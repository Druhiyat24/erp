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要發出布文件\9 月2026年\1150904 合併BL to Nirwana 1356 Pkgs 2 X 40'HQ  (遠東+New Wide)\"/>
    </mc:Choice>
  </mc:AlternateContent>
  <xr:revisionPtr revIDLastSave="0" documentId="13_ncr:1_{335843B6-F002-4CF9-A0F0-2DBCC26FC9C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356 Pkgs INVOICE" sheetId="4" r:id="rId1"/>
    <sheet name="1356 Pkgs PACKING" sheetId="5" r:id="rId2"/>
    <sheet name="(CS )618  Rolls packing details" sheetId="6" r:id="rId3"/>
    <sheet name="(BY)28 Rolls  packing  details" sheetId="8" r:id="rId4"/>
    <sheet name="(BY summary)28 Rolls" sheetId="7" r:id="rId5"/>
  </sheets>
  <definedNames>
    <definedName name="_xlnm._FilterDatabase" localSheetId="2" hidden="1">'(CS )618  Rolls packing details'!$A$2:$W$620</definedName>
    <definedName name="_xlnm.Print_Area" localSheetId="1">'1356 Pkgs PACKING'!$A$1:$R$1215</definedName>
    <definedName name="_xlnm.Print_Titles" localSheetId="0">'1356 Pkgs INVOICE'!$14:$14</definedName>
    <definedName name="_xlnm.Print_Titles" localSheetId="1">'1356 Pkgs PACKING'!$17:$17</definedName>
  </definedNames>
  <calcPr calcId="181029"/>
</workbook>
</file>

<file path=xl/calcChain.xml><?xml version="1.0" encoding="utf-8"?>
<calcChain xmlns="http://schemas.openxmlformats.org/spreadsheetml/2006/main">
  <c r="P30" i="8" l="1"/>
  <c r="U9" i="7"/>
  <c r="P9" i="7"/>
  <c r="O9" i="7"/>
  <c r="M9" i="7"/>
  <c r="K9" i="7"/>
  <c r="O621" i="6"/>
  <c r="N621" i="6"/>
  <c r="O620" i="6"/>
  <c r="M620" i="6"/>
  <c r="O619" i="6"/>
  <c r="M619" i="6"/>
  <c r="O618" i="6"/>
  <c r="M618" i="6"/>
  <c r="O617" i="6"/>
  <c r="M617" i="6"/>
  <c r="O616" i="6"/>
  <c r="M616" i="6"/>
  <c r="O615" i="6"/>
  <c r="M615" i="6"/>
  <c r="O614" i="6"/>
  <c r="M614" i="6"/>
  <c r="O613" i="6"/>
  <c r="M613" i="6"/>
  <c r="O612" i="6"/>
  <c r="M612" i="6"/>
  <c r="O611" i="6"/>
  <c r="M611" i="6"/>
  <c r="O610" i="6"/>
  <c r="M610" i="6"/>
  <c r="O609" i="6"/>
  <c r="M609" i="6"/>
  <c r="O608" i="6"/>
  <c r="M608" i="6"/>
  <c r="O607" i="6"/>
  <c r="M607" i="6"/>
  <c r="O606" i="6"/>
  <c r="M606" i="6"/>
  <c r="O605" i="6"/>
  <c r="M605" i="6"/>
  <c r="O604" i="6"/>
  <c r="M604" i="6"/>
  <c r="O603" i="6"/>
  <c r="M603" i="6"/>
  <c r="O602" i="6"/>
  <c r="M602" i="6"/>
  <c r="O601" i="6"/>
  <c r="M601" i="6"/>
  <c r="O600" i="6"/>
  <c r="M600" i="6"/>
  <c r="O599" i="6"/>
  <c r="M599" i="6"/>
  <c r="O598" i="6"/>
  <c r="M598" i="6"/>
  <c r="O597" i="6"/>
  <c r="M597" i="6"/>
  <c r="O596" i="6"/>
  <c r="M596" i="6"/>
  <c r="O595" i="6"/>
  <c r="M595" i="6"/>
  <c r="O594" i="6"/>
  <c r="M594" i="6"/>
  <c r="O593" i="6"/>
  <c r="M593" i="6"/>
  <c r="O592" i="6"/>
  <c r="M592" i="6"/>
  <c r="O591" i="6"/>
  <c r="M591" i="6"/>
  <c r="O590" i="6"/>
  <c r="M590" i="6"/>
  <c r="O589" i="6"/>
  <c r="M589" i="6"/>
  <c r="O588" i="6"/>
  <c r="M588" i="6"/>
  <c r="O587" i="6"/>
  <c r="M587" i="6"/>
  <c r="O586" i="6"/>
  <c r="M586" i="6"/>
  <c r="O585" i="6"/>
  <c r="M585" i="6"/>
  <c r="O584" i="6"/>
  <c r="M584" i="6"/>
  <c r="O583" i="6"/>
  <c r="M583" i="6"/>
  <c r="O582" i="6"/>
  <c r="M582" i="6"/>
  <c r="O581" i="6"/>
  <c r="M581" i="6"/>
  <c r="O580" i="6"/>
  <c r="M580" i="6"/>
  <c r="O579" i="6"/>
  <c r="M579" i="6"/>
  <c r="O578" i="6"/>
  <c r="M578" i="6"/>
  <c r="O577" i="6"/>
  <c r="M577" i="6"/>
  <c r="O576" i="6"/>
  <c r="M576" i="6"/>
  <c r="O575" i="6"/>
  <c r="M575" i="6"/>
  <c r="O574" i="6"/>
  <c r="M574" i="6"/>
  <c r="O573" i="6"/>
  <c r="M573" i="6"/>
  <c r="O572" i="6"/>
  <c r="M572" i="6"/>
  <c r="O571" i="6"/>
  <c r="M571" i="6"/>
  <c r="O570" i="6"/>
  <c r="M570" i="6"/>
  <c r="O569" i="6"/>
  <c r="M569" i="6"/>
  <c r="O568" i="6"/>
  <c r="M568" i="6"/>
  <c r="O567" i="6"/>
  <c r="M567" i="6"/>
  <c r="O566" i="6"/>
  <c r="M566" i="6"/>
  <c r="O565" i="6"/>
  <c r="M565" i="6"/>
  <c r="O564" i="6"/>
  <c r="M564" i="6"/>
  <c r="O563" i="6"/>
  <c r="M563" i="6"/>
  <c r="O562" i="6"/>
  <c r="M562" i="6"/>
  <c r="O561" i="6"/>
  <c r="M561" i="6"/>
  <c r="O560" i="6"/>
  <c r="M560" i="6"/>
  <c r="O559" i="6"/>
  <c r="M559" i="6"/>
  <c r="O558" i="6"/>
  <c r="M558" i="6"/>
  <c r="O557" i="6"/>
  <c r="M557" i="6"/>
  <c r="O556" i="6"/>
  <c r="M556" i="6"/>
  <c r="O555" i="6"/>
  <c r="M555" i="6"/>
  <c r="O554" i="6"/>
  <c r="M554" i="6"/>
  <c r="O553" i="6"/>
  <c r="M553" i="6"/>
  <c r="O552" i="6"/>
  <c r="M552" i="6"/>
  <c r="O551" i="6"/>
  <c r="M551" i="6"/>
  <c r="O550" i="6"/>
  <c r="M550" i="6"/>
  <c r="O549" i="6"/>
  <c r="M549" i="6"/>
  <c r="O548" i="6"/>
  <c r="M548" i="6"/>
  <c r="O547" i="6"/>
  <c r="M547" i="6"/>
  <c r="O546" i="6"/>
  <c r="M546" i="6"/>
  <c r="O545" i="6"/>
  <c r="M545" i="6"/>
  <c r="O544" i="6"/>
  <c r="M544" i="6"/>
  <c r="O543" i="6"/>
  <c r="M543" i="6"/>
  <c r="O542" i="6"/>
  <c r="M542" i="6"/>
  <c r="O541" i="6"/>
  <c r="M541" i="6"/>
  <c r="O540" i="6"/>
  <c r="M540" i="6"/>
  <c r="O539" i="6"/>
  <c r="M539" i="6"/>
  <c r="O538" i="6"/>
  <c r="M538" i="6"/>
  <c r="O537" i="6"/>
  <c r="M537" i="6"/>
  <c r="O536" i="6"/>
  <c r="M536" i="6"/>
  <c r="O535" i="6"/>
  <c r="M535" i="6"/>
  <c r="O534" i="6"/>
  <c r="M534" i="6"/>
  <c r="O533" i="6"/>
  <c r="M533" i="6"/>
  <c r="O532" i="6"/>
  <c r="M532" i="6"/>
  <c r="O531" i="6"/>
  <c r="M531" i="6"/>
  <c r="O530" i="6"/>
  <c r="M530" i="6"/>
  <c r="O529" i="6"/>
  <c r="M529" i="6"/>
  <c r="O528" i="6"/>
  <c r="M528" i="6"/>
  <c r="O527" i="6"/>
  <c r="M527" i="6"/>
  <c r="O526" i="6"/>
  <c r="M526" i="6"/>
  <c r="O525" i="6"/>
  <c r="M525" i="6"/>
  <c r="O524" i="6"/>
  <c r="M524" i="6"/>
  <c r="O523" i="6"/>
  <c r="M523" i="6"/>
  <c r="O522" i="6"/>
  <c r="M522" i="6"/>
  <c r="O521" i="6"/>
  <c r="M521" i="6"/>
  <c r="O520" i="6"/>
  <c r="M520" i="6"/>
  <c r="O519" i="6"/>
  <c r="M519" i="6"/>
  <c r="O518" i="6"/>
  <c r="M518" i="6"/>
  <c r="O517" i="6"/>
  <c r="M517" i="6"/>
  <c r="O516" i="6"/>
  <c r="M516" i="6"/>
  <c r="O515" i="6"/>
  <c r="M515" i="6"/>
  <c r="O514" i="6"/>
  <c r="M514" i="6"/>
  <c r="O513" i="6"/>
  <c r="M513" i="6"/>
  <c r="O512" i="6"/>
  <c r="M512" i="6"/>
  <c r="O511" i="6"/>
  <c r="M511" i="6"/>
  <c r="O510" i="6"/>
  <c r="M510" i="6"/>
  <c r="O509" i="6"/>
  <c r="M509" i="6"/>
  <c r="O508" i="6"/>
  <c r="M508" i="6"/>
  <c r="O507" i="6"/>
  <c r="M507" i="6"/>
  <c r="O506" i="6"/>
  <c r="M506" i="6"/>
  <c r="O505" i="6"/>
  <c r="M505" i="6"/>
  <c r="O504" i="6"/>
  <c r="M504" i="6"/>
  <c r="O503" i="6"/>
  <c r="M503" i="6"/>
  <c r="O502" i="6"/>
  <c r="M502" i="6"/>
  <c r="O501" i="6"/>
  <c r="M501" i="6"/>
  <c r="O500" i="6"/>
  <c r="M500" i="6"/>
  <c r="O499" i="6"/>
  <c r="M499" i="6"/>
  <c r="O498" i="6"/>
  <c r="M498" i="6"/>
  <c r="O497" i="6"/>
  <c r="M497" i="6"/>
  <c r="O496" i="6"/>
  <c r="M496" i="6"/>
  <c r="O495" i="6"/>
  <c r="M495" i="6"/>
  <c r="O494" i="6"/>
  <c r="M494" i="6"/>
  <c r="O493" i="6"/>
  <c r="M493" i="6"/>
  <c r="O492" i="6"/>
  <c r="M492" i="6"/>
  <c r="O491" i="6"/>
  <c r="M491" i="6"/>
  <c r="O490" i="6"/>
  <c r="M490" i="6"/>
  <c r="O489" i="6"/>
  <c r="M489" i="6"/>
  <c r="O488" i="6"/>
  <c r="M488" i="6"/>
  <c r="O487" i="6"/>
  <c r="M487" i="6"/>
  <c r="O486" i="6"/>
  <c r="M486" i="6"/>
  <c r="O485" i="6"/>
  <c r="M485" i="6"/>
  <c r="O484" i="6"/>
  <c r="M484" i="6"/>
  <c r="O483" i="6"/>
  <c r="M483" i="6"/>
  <c r="O482" i="6"/>
  <c r="M482" i="6"/>
  <c r="O481" i="6"/>
  <c r="M481" i="6"/>
  <c r="O480" i="6"/>
  <c r="M480" i="6"/>
  <c r="O479" i="6"/>
  <c r="M479" i="6"/>
  <c r="O478" i="6"/>
  <c r="M478" i="6"/>
  <c r="O477" i="6"/>
  <c r="M477" i="6"/>
  <c r="O476" i="6"/>
  <c r="M476" i="6"/>
  <c r="O475" i="6"/>
  <c r="M475" i="6"/>
  <c r="O474" i="6"/>
  <c r="M474" i="6"/>
  <c r="O473" i="6"/>
  <c r="M473" i="6"/>
  <c r="O472" i="6"/>
  <c r="M472" i="6"/>
  <c r="O471" i="6"/>
  <c r="M471" i="6"/>
  <c r="O470" i="6"/>
  <c r="M470" i="6"/>
  <c r="O469" i="6"/>
  <c r="M469" i="6"/>
  <c r="O468" i="6"/>
  <c r="M468" i="6"/>
  <c r="O467" i="6"/>
  <c r="M467" i="6"/>
  <c r="O466" i="6"/>
  <c r="M466" i="6"/>
  <c r="O465" i="6"/>
  <c r="M465" i="6"/>
  <c r="O464" i="6"/>
  <c r="M464" i="6"/>
  <c r="O463" i="6"/>
  <c r="M463" i="6"/>
  <c r="O462" i="6"/>
  <c r="M462" i="6"/>
  <c r="O461" i="6"/>
  <c r="M461" i="6"/>
  <c r="O460" i="6"/>
  <c r="M460" i="6"/>
  <c r="O459" i="6"/>
  <c r="M459" i="6"/>
  <c r="O458" i="6"/>
  <c r="M458" i="6"/>
  <c r="O457" i="6"/>
  <c r="M457" i="6"/>
  <c r="O456" i="6"/>
  <c r="M456" i="6"/>
  <c r="O455" i="6"/>
  <c r="M455" i="6"/>
  <c r="O454" i="6"/>
  <c r="M454" i="6"/>
  <c r="O453" i="6"/>
  <c r="M453" i="6"/>
  <c r="O452" i="6"/>
  <c r="M452" i="6"/>
  <c r="O451" i="6"/>
  <c r="M451" i="6"/>
  <c r="O450" i="6"/>
  <c r="M450" i="6"/>
  <c r="O449" i="6"/>
  <c r="M449" i="6"/>
  <c r="O448" i="6"/>
  <c r="M448" i="6"/>
  <c r="O447" i="6"/>
  <c r="M447" i="6"/>
  <c r="O446" i="6"/>
  <c r="M446" i="6"/>
  <c r="O445" i="6"/>
  <c r="M445" i="6"/>
  <c r="O444" i="6"/>
  <c r="M444" i="6"/>
  <c r="O443" i="6"/>
  <c r="M443" i="6"/>
  <c r="O442" i="6"/>
  <c r="M442" i="6"/>
  <c r="O441" i="6"/>
  <c r="M441" i="6"/>
  <c r="O440" i="6"/>
  <c r="M440" i="6"/>
  <c r="O439" i="6"/>
  <c r="M439" i="6"/>
  <c r="O438" i="6"/>
  <c r="M438" i="6"/>
  <c r="O437" i="6"/>
  <c r="M437" i="6"/>
  <c r="O436" i="6"/>
  <c r="M436" i="6"/>
  <c r="O435" i="6"/>
  <c r="M435" i="6"/>
  <c r="O434" i="6"/>
  <c r="M434" i="6"/>
  <c r="O433" i="6"/>
  <c r="M433" i="6"/>
  <c r="O432" i="6"/>
  <c r="M432" i="6"/>
  <c r="O431" i="6"/>
  <c r="M431" i="6"/>
  <c r="O430" i="6"/>
  <c r="M430" i="6"/>
  <c r="O429" i="6"/>
  <c r="M429" i="6"/>
  <c r="O428" i="6"/>
  <c r="M428" i="6"/>
  <c r="O427" i="6"/>
  <c r="M427" i="6"/>
  <c r="O426" i="6"/>
  <c r="M426" i="6"/>
  <c r="O425" i="6"/>
  <c r="M425" i="6"/>
  <c r="O424" i="6"/>
  <c r="M424" i="6"/>
  <c r="O423" i="6"/>
  <c r="M423" i="6"/>
  <c r="O422" i="6"/>
  <c r="M422" i="6"/>
  <c r="O421" i="6"/>
  <c r="M421" i="6"/>
  <c r="O420" i="6"/>
  <c r="M420" i="6"/>
  <c r="O419" i="6"/>
  <c r="M419" i="6"/>
  <c r="O418" i="6"/>
  <c r="M418" i="6"/>
  <c r="O417" i="6"/>
  <c r="M417" i="6"/>
  <c r="O416" i="6"/>
  <c r="M416" i="6"/>
  <c r="O415" i="6"/>
  <c r="M415" i="6"/>
  <c r="O414" i="6"/>
  <c r="M414" i="6"/>
  <c r="O413" i="6"/>
  <c r="M413" i="6"/>
  <c r="O412" i="6"/>
  <c r="M412" i="6"/>
  <c r="O411" i="6"/>
  <c r="M411" i="6"/>
  <c r="O410" i="6"/>
  <c r="M410" i="6"/>
  <c r="O409" i="6"/>
  <c r="M409" i="6"/>
  <c r="O408" i="6"/>
  <c r="M408" i="6"/>
  <c r="O407" i="6"/>
  <c r="M407" i="6"/>
  <c r="O406" i="6"/>
  <c r="M406" i="6"/>
  <c r="O405" i="6"/>
  <c r="M405" i="6"/>
  <c r="O404" i="6"/>
  <c r="M404" i="6"/>
  <c r="O403" i="6"/>
  <c r="M403" i="6"/>
  <c r="O402" i="6"/>
  <c r="M402" i="6"/>
  <c r="O401" i="6"/>
  <c r="M401" i="6"/>
  <c r="O400" i="6"/>
  <c r="M400" i="6"/>
  <c r="O399" i="6"/>
  <c r="M399" i="6"/>
  <c r="O398" i="6"/>
  <c r="M398" i="6"/>
  <c r="O397" i="6"/>
  <c r="M397" i="6"/>
  <c r="O396" i="6"/>
  <c r="M396" i="6"/>
  <c r="O395" i="6"/>
  <c r="M395" i="6"/>
  <c r="O394" i="6"/>
  <c r="M394" i="6"/>
  <c r="O393" i="6"/>
  <c r="M393" i="6"/>
  <c r="O392" i="6"/>
  <c r="M392" i="6"/>
  <c r="O391" i="6"/>
  <c r="M391" i="6"/>
  <c r="O390" i="6"/>
  <c r="M390" i="6"/>
  <c r="O389" i="6"/>
  <c r="M389" i="6"/>
  <c r="O388" i="6"/>
  <c r="M388" i="6"/>
  <c r="O387" i="6"/>
  <c r="M387" i="6"/>
  <c r="O386" i="6"/>
  <c r="M386" i="6"/>
  <c r="O385" i="6"/>
  <c r="M385" i="6"/>
  <c r="O384" i="6"/>
  <c r="M384" i="6"/>
  <c r="O383" i="6"/>
  <c r="M383" i="6"/>
  <c r="O382" i="6"/>
  <c r="M382" i="6"/>
  <c r="O381" i="6"/>
  <c r="M381" i="6"/>
  <c r="O380" i="6"/>
  <c r="M380" i="6"/>
  <c r="O379" i="6"/>
  <c r="M379" i="6"/>
  <c r="O378" i="6"/>
  <c r="M378" i="6"/>
  <c r="O377" i="6"/>
  <c r="M377" i="6"/>
  <c r="O376" i="6"/>
  <c r="M376" i="6"/>
  <c r="O375" i="6"/>
  <c r="M375" i="6"/>
  <c r="O374" i="6"/>
  <c r="M374" i="6"/>
  <c r="O373" i="6"/>
  <c r="M373" i="6"/>
  <c r="O372" i="6"/>
  <c r="M372" i="6"/>
  <c r="O371" i="6"/>
  <c r="M371" i="6"/>
  <c r="O370" i="6"/>
  <c r="M370" i="6"/>
  <c r="O369" i="6"/>
  <c r="M369" i="6"/>
  <c r="O368" i="6"/>
  <c r="M368" i="6"/>
  <c r="O367" i="6"/>
  <c r="M367" i="6"/>
  <c r="O366" i="6"/>
  <c r="M366" i="6"/>
  <c r="O365" i="6"/>
  <c r="M365" i="6"/>
  <c r="O364" i="6"/>
  <c r="M364" i="6"/>
  <c r="O363" i="6"/>
  <c r="M363" i="6"/>
  <c r="O362" i="6"/>
  <c r="M362" i="6"/>
  <c r="O361" i="6"/>
  <c r="M361" i="6"/>
  <c r="O360" i="6"/>
  <c r="M360" i="6"/>
  <c r="O359" i="6"/>
  <c r="M359" i="6"/>
  <c r="O358" i="6"/>
  <c r="M358" i="6"/>
  <c r="O357" i="6"/>
  <c r="M357" i="6"/>
  <c r="O356" i="6"/>
  <c r="M356" i="6"/>
  <c r="O355" i="6"/>
  <c r="M355" i="6"/>
  <c r="O354" i="6"/>
  <c r="M354" i="6"/>
  <c r="O353" i="6"/>
  <c r="M353" i="6"/>
  <c r="O352" i="6"/>
  <c r="M352" i="6"/>
  <c r="O351" i="6"/>
  <c r="M351" i="6"/>
  <c r="O350" i="6"/>
  <c r="M350" i="6"/>
  <c r="O349" i="6"/>
  <c r="M349" i="6"/>
  <c r="O348" i="6"/>
  <c r="M348" i="6"/>
  <c r="O347" i="6"/>
  <c r="M347" i="6"/>
  <c r="O346" i="6"/>
  <c r="M346" i="6"/>
  <c r="O345" i="6"/>
  <c r="M345" i="6"/>
  <c r="O344" i="6"/>
  <c r="M344" i="6"/>
  <c r="O343" i="6"/>
  <c r="M343" i="6"/>
  <c r="O342" i="6"/>
  <c r="M342" i="6"/>
  <c r="O341" i="6"/>
  <c r="M341" i="6"/>
  <c r="O340" i="6"/>
  <c r="M340" i="6"/>
  <c r="O339" i="6"/>
  <c r="M339" i="6"/>
  <c r="O338" i="6"/>
  <c r="M338" i="6"/>
  <c r="O337" i="6"/>
  <c r="M337" i="6"/>
  <c r="O336" i="6"/>
  <c r="M336" i="6"/>
  <c r="O335" i="6"/>
  <c r="M335" i="6"/>
  <c r="O334" i="6"/>
  <c r="M334" i="6"/>
  <c r="O333" i="6"/>
  <c r="M333" i="6"/>
  <c r="O332" i="6"/>
  <c r="M332" i="6"/>
  <c r="O331" i="6"/>
  <c r="M331" i="6"/>
  <c r="O330" i="6"/>
  <c r="M330" i="6"/>
  <c r="O329" i="6"/>
  <c r="M329" i="6"/>
  <c r="O328" i="6"/>
  <c r="M328" i="6"/>
  <c r="O327" i="6"/>
  <c r="M327" i="6"/>
  <c r="O326" i="6"/>
  <c r="M326" i="6"/>
  <c r="O325" i="6"/>
  <c r="M325" i="6"/>
  <c r="O324" i="6"/>
  <c r="M324" i="6"/>
  <c r="O323" i="6"/>
  <c r="M323" i="6"/>
  <c r="O322" i="6"/>
  <c r="M322" i="6"/>
  <c r="O321" i="6"/>
  <c r="M321" i="6"/>
  <c r="O320" i="6"/>
  <c r="M320" i="6"/>
  <c r="O319" i="6"/>
  <c r="M319" i="6"/>
  <c r="O318" i="6"/>
  <c r="M318" i="6"/>
  <c r="O317" i="6"/>
  <c r="M317" i="6"/>
  <c r="O316" i="6"/>
  <c r="M316" i="6"/>
  <c r="O315" i="6"/>
  <c r="M315" i="6"/>
  <c r="O314" i="6"/>
  <c r="M314" i="6"/>
  <c r="O313" i="6"/>
  <c r="M313" i="6"/>
  <c r="O312" i="6"/>
  <c r="M312" i="6"/>
  <c r="O311" i="6"/>
  <c r="M311" i="6"/>
  <c r="O310" i="6"/>
  <c r="M310" i="6"/>
  <c r="O309" i="6"/>
  <c r="M309" i="6"/>
  <c r="O308" i="6"/>
  <c r="M308" i="6"/>
  <c r="O307" i="6"/>
  <c r="M307" i="6"/>
  <c r="O306" i="6"/>
  <c r="M306" i="6"/>
  <c r="O305" i="6"/>
  <c r="M305" i="6"/>
  <c r="O304" i="6"/>
  <c r="M304" i="6"/>
  <c r="O303" i="6"/>
  <c r="M303" i="6"/>
  <c r="O302" i="6"/>
  <c r="M302" i="6"/>
  <c r="O301" i="6"/>
  <c r="M301" i="6"/>
  <c r="O300" i="6"/>
  <c r="M300" i="6"/>
  <c r="O299" i="6"/>
  <c r="M299" i="6"/>
  <c r="O298" i="6"/>
  <c r="M298" i="6"/>
  <c r="O297" i="6"/>
  <c r="M297" i="6"/>
  <c r="O296" i="6"/>
  <c r="M296" i="6"/>
  <c r="O295" i="6"/>
  <c r="M295" i="6"/>
  <c r="O294" i="6"/>
  <c r="M294" i="6"/>
  <c r="O293" i="6"/>
  <c r="M293" i="6"/>
  <c r="O292" i="6"/>
  <c r="M292" i="6"/>
  <c r="O291" i="6"/>
  <c r="M291" i="6"/>
  <c r="O290" i="6"/>
  <c r="M290" i="6"/>
  <c r="O289" i="6"/>
  <c r="M289" i="6"/>
  <c r="O288" i="6"/>
  <c r="M288" i="6"/>
  <c r="O287" i="6"/>
  <c r="M287" i="6"/>
  <c r="O286" i="6"/>
  <c r="M286" i="6"/>
  <c r="O285" i="6"/>
  <c r="M285" i="6"/>
  <c r="O284" i="6"/>
  <c r="M284" i="6"/>
  <c r="O283" i="6"/>
  <c r="M283" i="6"/>
  <c r="O282" i="6"/>
  <c r="M282" i="6"/>
  <c r="O281" i="6"/>
  <c r="M281" i="6"/>
  <c r="O280" i="6"/>
  <c r="M280" i="6"/>
  <c r="O279" i="6"/>
  <c r="M279" i="6"/>
  <c r="O278" i="6"/>
  <c r="M278" i="6"/>
  <c r="O277" i="6"/>
  <c r="M277" i="6"/>
  <c r="O276" i="6"/>
  <c r="M276" i="6"/>
  <c r="O275" i="6"/>
  <c r="M275" i="6"/>
  <c r="O274" i="6"/>
  <c r="M274" i="6"/>
  <c r="O273" i="6"/>
  <c r="M273" i="6"/>
  <c r="O272" i="6"/>
  <c r="M272" i="6"/>
  <c r="O271" i="6"/>
  <c r="M271" i="6"/>
  <c r="O270" i="6"/>
  <c r="M270" i="6"/>
  <c r="O269" i="6"/>
  <c r="M269" i="6"/>
  <c r="O268" i="6"/>
  <c r="M268" i="6"/>
  <c r="O267" i="6"/>
  <c r="M267" i="6"/>
  <c r="O266" i="6"/>
  <c r="M266" i="6"/>
  <c r="O265" i="6"/>
  <c r="M265" i="6"/>
  <c r="O264" i="6"/>
  <c r="M264" i="6"/>
  <c r="O263" i="6"/>
  <c r="M263" i="6"/>
  <c r="O262" i="6"/>
  <c r="M262" i="6"/>
  <c r="O261" i="6"/>
  <c r="M261" i="6"/>
  <c r="O260" i="6"/>
  <c r="M260" i="6"/>
  <c r="O259" i="6"/>
  <c r="M259" i="6"/>
  <c r="O258" i="6"/>
  <c r="M258" i="6"/>
  <c r="O257" i="6"/>
  <c r="M257" i="6"/>
  <c r="O256" i="6"/>
  <c r="M256" i="6"/>
  <c r="O255" i="6"/>
  <c r="M255" i="6"/>
  <c r="O254" i="6"/>
  <c r="M254" i="6"/>
  <c r="O253" i="6"/>
  <c r="M253" i="6"/>
  <c r="O252" i="6"/>
  <c r="M252" i="6"/>
  <c r="O251" i="6"/>
  <c r="M251" i="6"/>
  <c r="O250" i="6"/>
  <c r="M250" i="6"/>
  <c r="O249" i="6"/>
  <c r="M249" i="6"/>
  <c r="O248" i="6"/>
  <c r="M248" i="6"/>
  <c r="O247" i="6"/>
  <c r="M247" i="6"/>
  <c r="O246" i="6"/>
  <c r="M246" i="6"/>
  <c r="O245" i="6"/>
  <c r="M245" i="6"/>
  <c r="O244" i="6"/>
  <c r="M244" i="6"/>
  <c r="O243" i="6"/>
  <c r="M243" i="6"/>
  <c r="O242" i="6"/>
  <c r="M242" i="6"/>
  <c r="O241" i="6"/>
  <c r="M241" i="6"/>
  <c r="O240" i="6"/>
  <c r="M240" i="6"/>
  <c r="O239" i="6"/>
  <c r="M239" i="6"/>
  <c r="O238" i="6"/>
  <c r="M238" i="6"/>
  <c r="O237" i="6"/>
  <c r="M237" i="6"/>
  <c r="O236" i="6"/>
  <c r="M236" i="6"/>
  <c r="O235" i="6"/>
  <c r="M235" i="6"/>
  <c r="O234" i="6"/>
  <c r="M234" i="6"/>
  <c r="O233" i="6"/>
  <c r="M233" i="6"/>
  <c r="O232" i="6"/>
  <c r="M232" i="6"/>
  <c r="O231" i="6"/>
  <c r="M231" i="6"/>
  <c r="O230" i="6"/>
  <c r="M230" i="6"/>
  <c r="O229" i="6"/>
  <c r="M229" i="6"/>
  <c r="O228" i="6"/>
  <c r="M228" i="6"/>
  <c r="O227" i="6"/>
  <c r="M227" i="6"/>
  <c r="O226" i="6"/>
  <c r="M226" i="6"/>
  <c r="O225" i="6"/>
  <c r="M225" i="6"/>
  <c r="O224" i="6"/>
  <c r="M224" i="6"/>
  <c r="O223" i="6"/>
  <c r="M223" i="6"/>
  <c r="O222" i="6"/>
  <c r="M222" i="6"/>
  <c r="O221" i="6"/>
  <c r="M221" i="6"/>
  <c r="O220" i="6"/>
  <c r="M220" i="6"/>
  <c r="O219" i="6"/>
  <c r="M219" i="6"/>
  <c r="O218" i="6"/>
  <c r="M218" i="6"/>
  <c r="O217" i="6"/>
  <c r="M217" i="6"/>
  <c r="O216" i="6"/>
  <c r="M216" i="6"/>
  <c r="O215" i="6"/>
  <c r="M215" i="6"/>
  <c r="O214" i="6"/>
  <c r="M214" i="6"/>
  <c r="O213" i="6"/>
  <c r="M213" i="6"/>
  <c r="O212" i="6"/>
  <c r="M212" i="6"/>
  <c r="O211" i="6"/>
  <c r="M211" i="6"/>
  <c r="O210" i="6"/>
  <c r="M210" i="6"/>
  <c r="O209" i="6"/>
  <c r="M209" i="6"/>
  <c r="O208" i="6"/>
  <c r="M208" i="6"/>
  <c r="O207" i="6"/>
  <c r="M207" i="6"/>
  <c r="O206" i="6"/>
  <c r="M206" i="6"/>
  <c r="O205" i="6"/>
  <c r="M205" i="6"/>
  <c r="O204" i="6"/>
  <c r="M204" i="6"/>
  <c r="O203" i="6"/>
  <c r="M203" i="6"/>
  <c r="O202" i="6"/>
  <c r="M202" i="6"/>
  <c r="O201" i="6"/>
  <c r="M201" i="6"/>
  <c r="O200" i="6"/>
  <c r="M200" i="6"/>
  <c r="O199" i="6"/>
  <c r="M199" i="6"/>
  <c r="O198" i="6"/>
  <c r="M198" i="6"/>
  <c r="O197" i="6"/>
  <c r="M197" i="6"/>
  <c r="O196" i="6"/>
  <c r="M196" i="6"/>
  <c r="O195" i="6"/>
  <c r="M195" i="6"/>
  <c r="O194" i="6"/>
  <c r="M194" i="6"/>
  <c r="O193" i="6"/>
  <c r="M193" i="6"/>
  <c r="O192" i="6"/>
  <c r="M192" i="6"/>
  <c r="O191" i="6"/>
  <c r="M191" i="6"/>
  <c r="O190" i="6"/>
  <c r="M190" i="6"/>
  <c r="O189" i="6"/>
  <c r="M189" i="6"/>
  <c r="O188" i="6"/>
  <c r="M188" i="6"/>
  <c r="O187" i="6"/>
  <c r="M187" i="6"/>
  <c r="O186" i="6"/>
  <c r="M186" i="6"/>
  <c r="O185" i="6"/>
  <c r="M185" i="6"/>
  <c r="O184" i="6"/>
  <c r="M184" i="6"/>
  <c r="O183" i="6"/>
  <c r="M183" i="6"/>
  <c r="O182" i="6"/>
  <c r="M182" i="6"/>
  <c r="O181" i="6"/>
  <c r="M181" i="6"/>
  <c r="O180" i="6"/>
  <c r="M180" i="6"/>
  <c r="O179" i="6"/>
  <c r="M179" i="6"/>
  <c r="O178" i="6"/>
  <c r="M178" i="6"/>
  <c r="O177" i="6"/>
  <c r="M177" i="6"/>
  <c r="O176" i="6"/>
  <c r="M176" i="6"/>
  <c r="O175" i="6"/>
  <c r="M175" i="6"/>
  <c r="O174" i="6"/>
  <c r="M174" i="6"/>
  <c r="O173" i="6"/>
  <c r="M173" i="6"/>
  <c r="O172" i="6"/>
  <c r="M172" i="6"/>
  <c r="O171" i="6"/>
  <c r="M171" i="6"/>
  <c r="O170" i="6"/>
  <c r="M170" i="6"/>
  <c r="O169" i="6"/>
  <c r="M169" i="6"/>
  <c r="O168" i="6"/>
  <c r="M168" i="6"/>
  <c r="O167" i="6"/>
  <c r="M167" i="6"/>
  <c r="O166" i="6"/>
  <c r="M166" i="6"/>
  <c r="O165" i="6"/>
  <c r="M165" i="6"/>
  <c r="O164" i="6"/>
  <c r="M164" i="6"/>
  <c r="O163" i="6"/>
  <c r="M163" i="6"/>
  <c r="O162" i="6"/>
  <c r="M162" i="6"/>
  <c r="O161" i="6"/>
  <c r="M161" i="6"/>
  <c r="O160" i="6"/>
  <c r="M160" i="6"/>
  <c r="O159" i="6"/>
  <c r="M159" i="6"/>
  <c r="O158" i="6"/>
  <c r="M158" i="6"/>
  <c r="O157" i="6"/>
  <c r="M157" i="6"/>
  <c r="O156" i="6"/>
  <c r="M156" i="6"/>
  <c r="O155" i="6"/>
  <c r="M155" i="6"/>
  <c r="O154" i="6"/>
  <c r="M154" i="6"/>
  <c r="O153" i="6"/>
  <c r="M153" i="6"/>
  <c r="O152" i="6"/>
  <c r="M152" i="6"/>
  <c r="O151" i="6"/>
  <c r="M151" i="6"/>
  <c r="O150" i="6"/>
  <c r="M150" i="6"/>
  <c r="O149" i="6"/>
  <c r="M149" i="6"/>
  <c r="O148" i="6"/>
  <c r="M148" i="6"/>
  <c r="O147" i="6"/>
  <c r="M147" i="6"/>
  <c r="O146" i="6"/>
  <c r="M146" i="6"/>
  <c r="O145" i="6"/>
  <c r="M145" i="6"/>
  <c r="O144" i="6"/>
  <c r="M144" i="6"/>
  <c r="O143" i="6"/>
  <c r="M143" i="6"/>
  <c r="O142" i="6"/>
  <c r="M142" i="6"/>
  <c r="O141" i="6"/>
  <c r="M141" i="6"/>
  <c r="O140" i="6"/>
  <c r="M140" i="6"/>
  <c r="O139" i="6"/>
  <c r="M139" i="6"/>
  <c r="O138" i="6"/>
  <c r="M138" i="6"/>
  <c r="O137" i="6"/>
  <c r="M137" i="6"/>
  <c r="O136" i="6"/>
  <c r="M136" i="6"/>
  <c r="O135" i="6"/>
  <c r="M135" i="6"/>
  <c r="O134" i="6"/>
  <c r="M134" i="6"/>
  <c r="O133" i="6"/>
  <c r="M133" i="6"/>
  <c r="O132" i="6"/>
  <c r="M132" i="6"/>
  <c r="O131" i="6"/>
  <c r="M131" i="6"/>
  <c r="O130" i="6"/>
  <c r="M130" i="6"/>
  <c r="O129" i="6"/>
  <c r="M129" i="6"/>
  <c r="O128" i="6"/>
  <c r="M128" i="6"/>
  <c r="O127" i="6"/>
  <c r="M127" i="6"/>
  <c r="O126" i="6"/>
  <c r="M126" i="6"/>
  <c r="O125" i="6"/>
  <c r="M125" i="6"/>
  <c r="O124" i="6"/>
  <c r="M124" i="6"/>
  <c r="O123" i="6"/>
  <c r="M123" i="6"/>
  <c r="O122" i="6"/>
  <c r="M122" i="6"/>
  <c r="O121" i="6"/>
  <c r="M121" i="6"/>
  <c r="O120" i="6"/>
  <c r="M120" i="6"/>
  <c r="O119" i="6"/>
  <c r="M119" i="6"/>
  <c r="O118" i="6"/>
  <c r="M118" i="6"/>
  <c r="O117" i="6"/>
  <c r="M117" i="6"/>
  <c r="O116" i="6"/>
  <c r="M116" i="6"/>
  <c r="O115" i="6"/>
  <c r="M115" i="6"/>
  <c r="O114" i="6"/>
  <c r="M114" i="6"/>
  <c r="O113" i="6"/>
  <c r="M113" i="6"/>
  <c r="O112" i="6"/>
  <c r="M112" i="6"/>
  <c r="O111" i="6"/>
  <c r="M111" i="6"/>
  <c r="O110" i="6"/>
  <c r="M110" i="6"/>
  <c r="O109" i="6"/>
  <c r="M109" i="6"/>
  <c r="O108" i="6"/>
  <c r="M108" i="6"/>
  <c r="O107" i="6"/>
  <c r="M107" i="6"/>
  <c r="O106" i="6"/>
  <c r="M106" i="6"/>
  <c r="O105" i="6"/>
  <c r="M105" i="6"/>
  <c r="O104" i="6"/>
  <c r="M104" i="6"/>
  <c r="O103" i="6"/>
  <c r="M103" i="6"/>
  <c r="O102" i="6"/>
  <c r="M102" i="6"/>
  <c r="O101" i="6"/>
  <c r="M101" i="6"/>
  <c r="O100" i="6"/>
  <c r="M100" i="6"/>
  <c r="O99" i="6"/>
  <c r="M99" i="6"/>
  <c r="O98" i="6"/>
  <c r="M98" i="6"/>
  <c r="O97" i="6"/>
  <c r="M97" i="6"/>
  <c r="O96" i="6"/>
  <c r="M96" i="6"/>
  <c r="O95" i="6"/>
  <c r="M95" i="6"/>
  <c r="O94" i="6"/>
  <c r="M94" i="6"/>
  <c r="O93" i="6"/>
  <c r="M93" i="6"/>
  <c r="O92" i="6"/>
  <c r="M92" i="6"/>
  <c r="O91" i="6"/>
  <c r="M91" i="6"/>
  <c r="O90" i="6"/>
  <c r="M90" i="6"/>
  <c r="O89" i="6"/>
  <c r="M89" i="6"/>
  <c r="O88" i="6"/>
  <c r="M88" i="6"/>
  <c r="O87" i="6"/>
  <c r="M87" i="6"/>
  <c r="O86" i="6"/>
  <c r="M86" i="6"/>
  <c r="O85" i="6"/>
  <c r="M85" i="6"/>
  <c r="O84" i="6"/>
  <c r="M84" i="6"/>
  <c r="O83" i="6"/>
  <c r="M83" i="6"/>
  <c r="O82" i="6"/>
  <c r="M82" i="6"/>
  <c r="O81" i="6"/>
  <c r="M81" i="6"/>
  <c r="O80" i="6"/>
  <c r="M80" i="6"/>
  <c r="O79" i="6"/>
  <c r="M79" i="6"/>
  <c r="O78" i="6"/>
  <c r="M78" i="6"/>
  <c r="O77" i="6"/>
  <c r="M77" i="6"/>
  <c r="O76" i="6"/>
  <c r="M76" i="6"/>
  <c r="O75" i="6"/>
  <c r="M75" i="6"/>
  <c r="O74" i="6"/>
  <c r="M74" i="6"/>
  <c r="O73" i="6"/>
  <c r="M73" i="6"/>
  <c r="O72" i="6"/>
  <c r="M72" i="6"/>
  <c r="O71" i="6"/>
  <c r="M71" i="6"/>
  <c r="O70" i="6"/>
  <c r="M70" i="6"/>
  <c r="O69" i="6"/>
  <c r="M69" i="6"/>
  <c r="O68" i="6"/>
  <c r="M68" i="6"/>
  <c r="O67" i="6"/>
  <c r="M67" i="6"/>
  <c r="O66" i="6"/>
  <c r="M66" i="6"/>
  <c r="O65" i="6"/>
  <c r="M65" i="6"/>
  <c r="O64" i="6"/>
  <c r="M64" i="6"/>
  <c r="O63" i="6"/>
  <c r="M63" i="6"/>
  <c r="O62" i="6"/>
  <c r="M62" i="6"/>
  <c r="O61" i="6"/>
  <c r="M61" i="6"/>
  <c r="O60" i="6"/>
  <c r="M60" i="6"/>
  <c r="O59" i="6"/>
  <c r="M59" i="6"/>
  <c r="O58" i="6"/>
  <c r="M58" i="6"/>
  <c r="O57" i="6"/>
  <c r="M57" i="6"/>
  <c r="O56" i="6"/>
  <c r="M56" i="6"/>
  <c r="O55" i="6"/>
  <c r="M55" i="6"/>
  <c r="O54" i="6"/>
  <c r="M54" i="6"/>
  <c r="O53" i="6"/>
  <c r="M53" i="6"/>
  <c r="O52" i="6"/>
  <c r="M52" i="6"/>
  <c r="O51" i="6"/>
  <c r="M51" i="6"/>
  <c r="O50" i="6"/>
  <c r="M50" i="6"/>
  <c r="O49" i="6"/>
  <c r="M49" i="6"/>
  <c r="O48" i="6"/>
  <c r="M48" i="6"/>
  <c r="O47" i="6"/>
  <c r="M47" i="6"/>
  <c r="O46" i="6"/>
  <c r="M46" i="6"/>
  <c r="O45" i="6"/>
  <c r="M45" i="6"/>
  <c r="O44" i="6"/>
  <c r="M44" i="6"/>
  <c r="O43" i="6"/>
  <c r="M43" i="6"/>
  <c r="O42" i="6"/>
  <c r="M42" i="6"/>
  <c r="O41" i="6"/>
  <c r="M41" i="6"/>
  <c r="O40" i="6"/>
  <c r="M40" i="6"/>
  <c r="O39" i="6"/>
  <c r="M39" i="6"/>
  <c r="O38" i="6"/>
  <c r="M38" i="6"/>
  <c r="O37" i="6"/>
  <c r="M37" i="6"/>
  <c r="O36" i="6"/>
  <c r="M36" i="6"/>
  <c r="O35" i="6"/>
  <c r="M35" i="6"/>
  <c r="O34" i="6"/>
  <c r="M34" i="6"/>
  <c r="O33" i="6"/>
  <c r="M33" i="6"/>
  <c r="O32" i="6"/>
  <c r="M32" i="6"/>
  <c r="O31" i="6"/>
  <c r="M31" i="6"/>
  <c r="O30" i="6"/>
  <c r="M30" i="6"/>
  <c r="O29" i="6"/>
  <c r="M29" i="6"/>
  <c r="O28" i="6"/>
  <c r="M28" i="6"/>
  <c r="O27" i="6"/>
  <c r="M27" i="6"/>
  <c r="O26" i="6"/>
  <c r="M26" i="6"/>
  <c r="O25" i="6"/>
  <c r="M25" i="6"/>
  <c r="O24" i="6"/>
  <c r="M24" i="6"/>
  <c r="O23" i="6"/>
  <c r="M23" i="6"/>
  <c r="O22" i="6"/>
  <c r="M22" i="6"/>
  <c r="O21" i="6"/>
  <c r="M21" i="6"/>
  <c r="O20" i="6"/>
  <c r="M20" i="6"/>
  <c r="O19" i="6"/>
  <c r="M19" i="6"/>
  <c r="O18" i="6"/>
  <c r="M18" i="6"/>
  <c r="O17" i="6"/>
  <c r="M17" i="6"/>
  <c r="O16" i="6"/>
  <c r="M16" i="6"/>
  <c r="O15" i="6"/>
  <c r="M15" i="6"/>
  <c r="O14" i="6"/>
  <c r="M14" i="6"/>
  <c r="O13" i="6"/>
  <c r="M13" i="6"/>
  <c r="O12" i="6"/>
  <c r="M12" i="6"/>
  <c r="O11" i="6"/>
  <c r="M11" i="6"/>
  <c r="O10" i="6"/>
  <c r="M10" i="6"/>
  <c r="O9" i="6"/>
  <c r="M9" i="6"/>
  <c r="O8" i="6"/>
  <c r="M8" i="6"/>
  <c r="O7" i="6"/>
  <c r="M7" i="6"/>
  <c r="O6" i="6"/>
  <c r="M6" i="6"/>
  <c r="O5" i="6"/>
  <c r="M5" i="6"/>
  <c r="O4" i="6"/>
  <c r="M4" i="6"/>
  <c r="O3" i="6"/>
  <c r="M3" i="6"/>
  <c r="M621" i="6" s="1"/>
  <c r="A1140" i="5"/>
  <c r="P127" i="4"/>
  <c r="P129" i="4"/>
  <c r="P130" i="4"/>
  <c r="P132" i="4"/>
  <c r="P133" i="4"/>
  <c r="P134" i="4"/>
  <c r="P135" i="4"/>
  <c r="P147" i="4"/>
  <c r="P148" i="4"/>
  <c r="P149" i="4"/>
  <c r="P150" i="4"/>
  <c r="P151" i="4"/>
  <c r="P153" i="4"/>
  <c r="P154" i="4"/>
  <c r="P155" i="4"/>
  <c r="P156" i="4"/>
  <c r="P157" i="4"/>
  <c r="P165" i="4"/>
  <c r="P167" i="4"/>
  <c r="P172" i="4"/>
  <c r="P173" i="4"/>
  <c r="P175" i="4"/>
  <c r="P176" i="4"/>
  <c r="P184" i="4"/>
  <c r="P185" i="4"/>
  <c r="P187" i="4"/>
  <c r="P188" i="4"/>
  <c r="P189" i="4"/>
  <c r="P191" i="4"/>
  <c r="P192" i="4"/>
  <c r="P193" i="4"/>
  <c r="P194" i="4"/>
  <c r="P195" i="4"/>
  <c r="P200" i="4"/>
  <c r="P202" i="4"/>
  <c r="P211" i="4"/>
  <c r="P212" i="4"/>
  <c r="P214" i="4"/>
  <c r="P217" i="4"/>
  <c r="P218" i="4"/>
  <c r="P219" i="4"/>
  <c r="P226" i="4"/>
  <c r="P227" i="4"/>
  <c r="P228" i="4"/>
  <c r="P230" i="4"/>
  <c r="P231" i="4"/>
  <c r="P232" i="4"/>
  <c r="P241" i="4"/>
  <c r="P242" i="4"/>
  <c r="P243" i="4"/>
  <c r="P244" i="4"/>
  <c r="P247" i="4"/>
  <c r="P248" i="4"/>
  <c r="P249" i="4"/>
  <c r="P250" i="4"/>
  <c r="P256" i="4"/>
  <c r="P259" i="4"/>
  <c r="P269" i="4"/>
  <c r="P270" i="4"/>
  <c r="P271" i="4"/>
  <c r="P272" i="4"/>
  <c r="P273" i="4"/>
  <c r="P274" i="4"/>
  <c r="P276" i="4"/>
  <c r="P277" i="4"/>
  <c r="P278" i="4"/>
  <c r="P279" i="4"/>
  <c r="P280" i="4"/>
  <c r="P281" i="4"/>
  <c r="P286" i="4"/>
  <c r="P288" i="4"/>
  <c r="P110" i="4"/>
  <c r="P111" i="4"/>
  <c r="P115" i="4"/>
  <c r="P126" i="4"/>
  <c r="M1139" i="5"/>
  <c r="J1139" i="5"/>
  <c r="J1140" i="5"/>
  <c r="P1139" i="5"/>
  <c r="K293" i="4"/>
  <c r="P292" i="4" l="1"/>
</calcChain>
</file>

<file path=xl/sharedStrings.xml><?xml version="1.0" encoding="utf-8"?>
<sst xmlns="http://schemas.openxmlformats.org/spreadsheetml/2006/main" count="10686" uniqueCount="2085">
  <si>
    <t>Amount</t>
  </si>
  <si>
    <t>Unit Price</t>
    <phoneticPr fontId="8" type="noConversion"/>
  </si>
  <si>
    <t>Quantity</t>
  </si>
  <si>
    <t>Description of Goods</t>
    <phoneticPr fontId="8" type="noConversion"/>
  </si>
  <si>
    <t>Marks &amp; Nos.</t>
    <phoneticPr fontId="9" type="noConversion"/>
  </si>
  <si>
    <t xml:space="preserve">to </t>
    <phoneticPr fontId="9" type="noConversion"/>
  </si>
  <si>
    <t xml:space="preserve">From </t>
    <phoneticPr fontId="8" type="noConversion"/>
  </si>
  <si>
    <t xml:space="preserve">sailing on or about </t>
    <phoneticPr fontId="8" type="noConversion"/>
  </si>
  <si>
    <t xml:space="preserve">Per </t>
    <phoneticPr fontId="8" type="noConversion"/>
  </si>
  <si>
    <t xml:space="preserve">Shipped by </t>
    <phoneticPr fontId="8" type="noConversion"/>
  </si>
  <si>
    <t xml:space="preserve">INVOICE of </t>
    <phoneticPr fontId="8" type="noConversion"/>
  </si>
  <si>
    <t xml:space="preserve">Dated: </t>
    <phoneticPr fontId="8" type="noConversion"/>
  </si>
  <si>
    <t xml:space="preserve">No. </t>
    <phoneticPr fontId="8" type="noConversion"/>
  </si>
  <si>
    <t>INVOICE</t>
    <phoneticPr fontId="8" type="noConversion"/>
  </si>
  <si>
    <t>TTUY26091906-07</t>
  </si>
  <si>
    <t>SEP.04,2026</t>
  </si>
  <si>
    <t>FU KWOK KNITTING &amp; GARMENT CO.,LTD</t>
  </si>
  <si>
    <t>No. 110, Nanzih Dist., Kaohsiung City 811, Taiwan (R.O.C.)</t>
  </si>
  <si>
    <t>WAN HAI 376 V.S034</t>
  </si>
  <si>
    <t>TAIPEI,TAIWAN</t>
  </si>
  <si>
    <t>JAKARTA,INDONESIA</t>
  </si>
  <si>
    <t>----------</t>
  </si>
  <si>
    <t>KNITTED FABRIC 100% POLYESTER</t>
  </si>
  <si>
    <t>HS CODE: 600632</t>
  </si>
  <si>
    <t xml:space="preserve">#074418 + knit + Piece Dye + </t>
  </si>
  <si>
    <t>Synthetic fiber + 100% Polyester</t>
  </si>
  <si>
    <t>+ 60 IN * 180 g/m2</t>
  </si>
  <si>
    <t>ORDER NO.: 26K8009800 (27CD74418B2)</t>
  </si>
  <si>
    <t>---------------------</t>
  </si>
  <si>
    <t>FEPO: 6K060255,256,257,258,816</t>
  </si>
  <si>
    <t>STYLE: AM,AS,AT,AX0126,XM6930</t>
  </si>
  <si>
    <t>PO#FK-NIRWANA-CS S27-0729BUY</t>
  </si>
  <si>
    <t>COLOR ANFO1 Ancient Fossil</t>
  </si>
  <si>
    <t xml:space="preserve"> YDS</t>
  </si>
  <si>
    <t>USD</t>
  </si>
  <si>
    <t>COLOR BLA1 BLACK</t>
  </si>
  <si>
    <t>COLOR CABL2 CANYON BLUE</t>
  </si>
  <si>
    <t>COLOR CONA2 COLLEGIATE NAVY</t>
  </si>
  <si>
    <t>COLOR DAMO2 DARK MOUNTAIN</t>
  </si>
  <si>
    <t>COLOR GOHO1 GOLDEN HOUR</t>
  </si>
  <si>
    <t>COLOR REJA1 RED JASPER</t>
  </si>
  <si>
    <t>COLOR RIBL2 RIPPLE BLUE</t>
  </si>
  <si>
    <t>COLOR VIBL7 VINTAGE BLUE</t>
  </si>
  <si>
    <t xml:space="preserve"> </t>
  </si>
  <si>
    <t>ORDER NO.: 26K7084800 (27CD74418A9)</t>
  </si>
  <si>
    <t>FEPO: 6K060255,256,257,258</t>
  </si>
  <si>
    <t>STYLE: AM,AS,AT,AX0126</t>
  </si>
  <si>
    <t>PO#FK-NIRWANA-CS S27-0715BUY</t>
  </si>
  <si>
    <t>COLOR CIGR3 CITY GREY</t>
  </si>
  <si>
    <t>COLOR COGR1 COOL GREY</t>
  </si>
  <si>
    <t>COLOR GRI1 GRILL</t>
  </si>
  <si>
    <t>COLOR STGR1 STONE GREEN</t>
  </si>
  <si>
    <t>COLOR WHI1 WHITE</t>
  </si>
  <si>
    <t xml:space="preserve">#102908 + knit + Piece Dye + </t>
  </si>
  <si>
    <t xml:space="preserve">Synthetic fiber + 100% Polyester </t>
  </si>
  <si>
    <t>+ 62 IN * 135 g/m2</t>
  </si>
  <si>
    <t>ORDER NO.: 26K7086600 (27CD02908A1)</t>
  </si>
  <si>
    <t>----------------------</t>
  </si>
  <si>
    <t>FEPO: 6K060109,261,262</t>
  </si>
  <si>
    <t>STYLE: FL6160,FL,FS6094</t>
  </si>
  <si>
    <t>COLOR AMTI1 AMETHYST TIDE</t>
  </si>
  <si>
    <t>COLOR CAR2 CARBON</t>
  </si>
  <si>
    <t>COLOR REE1 REEF</t>
  </si>
  <si>
    <t>COLOR WHCA1 WHITE CAP</t>
  </si>
  <si>
    <t>IM#PE3P0067-AA01AT</t>
  </si>
  <si>
    <t>100% POLYESTER W:61" WT:125G/M2</t>
  </si>
  <si>
    <t>ORDER NO.: 26K7003400 (S7SD6204BK1)</t>
  </si>
  <si>
    <t>STYLE: 007DK/007DL/00C23/00C24</t>
  </si>
  <si>
    <t>PO# 6WBDY301/302/307/308A01</t>
  </si>
  <si>
    <t>COLOR GRAPHITE GRAPHITE</t>
  </si>
  <si>
    <t xml:space="preserve">COLOR NOCTURNAL NAVY </t>
  </si>
  <si>
    <t xml:space="preserve">      NOCTURNAL NAVY</t>
  </si>
  <si>
    <t xml:space="preserve">COLOR BLACK 129-13-00 </t>
  </si>
  <si>
    <t xml:space="preserve">      BLACK 129-13-00</t>
  </si>
  <si>
    <t>STYLE: 007DK/007DL</t>
  </si>
  <si>
    <t>PO# 6WBDY301/302A01</t>
  </si>
  <si>
    <t xml:space="preserve">COLOR LODEN GREEN </t>
  </si>
  <si>
    <t xml:space="preserve">      LODEN GREEN 076-24-10</t>
  </si>
  <si>
    <t xml:space="preserve">COLOR SHADED OLIVE </t>
  </si>
  <si>
    <t xml:space="preserve">      SHADED OLIVE 032-39-04</t>
  </si>
  <si>
    <t>STYLE: 007DK</t>
  </si>
  <si>
    <t>PO# 6WBDY301A02</t>
  </si>
  <si>
    <t xml:space="preserve">COLOR TIDAL WAVE </t>
  </si>
  <si>
    <t xml:space="preserve">      TIDAL WAVE 120-36-31</t>
  </si>
  <si>
    <t>-----------------------------------------</t>
  </si>
  <si>
    <t>vvvvvv</t>
  </si>
  <si>
    <t>vvvv</t>
  </si>
  <si>
    <t>vvv</t>
  </si>
  <si>
    <t>vvvvvvvvv</t>
  </si>
  <si>
    <t>MARKS &amp; NOS.:</t>
  </si>
  <si>
    <t xml:space="preserve">  NIRWANA</t>
  </si>
  <si>
    <t xml:space="preserve"> (IN DIA.)</t>
  </si>
  <si>
    <t>INDONESIA</t>
  </si>
  <si>
    <t>MADE IN TAIWAN</t>
  </si>
  <si>
    <t xml:space="preserve">ORDER#  </t>
  </si>
  <si>
    <t xml:space="preserve">ITEM#  </t>
  </si>
  <si>
    <t>COLOR:</t>
  </si>
  <si>
    <t>LOT.:</t>
  </si>
  <si>
    <t>R/NO.:</t>
  </si>
  <si>
    <t>QTY:</t>
  </si>
  <si>
    <t>N.W.:          KGS</t>
  </si>
  <si>
    <t>G.W.:          KGS</t>
  </si>
  <si>
    <t>Gross Weight</t>
    <phoneticPr fontId="8" type="noConversion"/>
  </si>
  <si>
    <t>Net Weight</t>
    <phoneticPr fontId="8" type="noConversion"/>
  </si>
  <si>
    <t>Qrantity</t>
  </si>
  <si>
    <t>Description</t>
  </si>
  <si>
    <t>Packing No.</t>
  </si>
  <si>
    <t>Per S.S.</t>
    <phoneticPr fontId="8" type="noConversion"/>
  </si>
  <si>
    <t>MARKS &amp; NOS:</t>
    <phoneticPr fontId="9" type="noConversion"/>
  </si>
  <si>
    <t xml:space="preserve">PACKING LIST of </t>
    <phoneticPr fontId="8" type="noConversion"/>
  </si>
  <si>
    <t>No.</t>
    <phoneticPr fontId="8" type="noConversion"/>
  </si>
  <si>
    <t>PACKING LIST</t>
    <phoneticPr fontId="8" type="noConversion"/>
  </si>
  <si>
    <t>Dated:SEP.04,2026</t>
    <phoneticPr fontId="3" type="noConversion"/>
  </si>
  <si>
    <t>F001-F019</t>
  </si>
  <si>
    <t xml:space="preserve"> KGS</t>
  </si>
  <si>
    <t>F001-F046,A001-</t>
  </si>
  <si>
    <t>A004,A007-011,</t>
  </si>
  <si>
    <t>A013-A014,A016-</t>
  </si>
  <si>
    <t>A017,A060-A185</t>
  </si>
  <si>
    <t>D021-D035,D061-</t>
  </si>
  <si>
    <t>D080</t>
  </si>
  <si>
    <t>I001-I032,G111-</t>
  </si>
  <si>
    <t>G127,G129-G148,</t>
  </si>
  <si>
    <t>G161-G167,G203</t>
  </si>
  <si>
    <t>B013-B014,G017-</t>
  </si>
  <si>
    <t>G018,G021,G023-</t>
  </si>
  <si>
    <t>G049</t>
  </si>
  <si>
    <t>A004-A006</t>
  </si>
  <si>
    <t>F026,D0001-D0007</t>
  </si>
  <si>
    <t>C010-C031</t>
  </si>
  <si>
    <t>J001-J006</t>
  </si>
  <si>
    <t>J001-J007</t>
  </si>
  <si>
    <t>H001-H016,G008-</t>
  </si>
  <si>
    <t>G023</t>
  </si>
  <si>
    <t>K001-K002</t>
  </si>
  <si>
    <t>G001-G002,G004-</t>
  </si>
  <si>
    <t>G012,G014-G015</t>
  </si>
  <si>
    <t>H0001-H0024,</t>
  </si>
  <si>
    <t>H0027-H0043</t>
  </si>
  <si>
    <t>C0115-C0130</t>
  </si>
  <si>
    <t>001-006,006~1,</t>
  </si>
  <si>
    <t>C0097-C0111</t>
  </si>
  <si>
    <t>C0062-C0078</t>
  </si>
  <si>
    <t>C0080-C0091,</t>
  </si>
  <si>
    <t>C0093-C0095</t>
  </si>
  <si>
    <t>C0007-C0009,</t>
  </si>
  <si>
    <t>C0011-C0020</t>
  </si>
  <si>
    <t>C0050-C0052,</t>
  </si>
  <si>
    <t>C0054-C0060</t>
  </si>
  <si>
    <t>C0132-C0140,</t>
  </si>
  <si>
    <t>C0142-C0147,</t>
  </si>
  <si>
    <t>C0150-C0177</t>
  </si>
  <si>
    <t>B0001-B0002</t>
  </si>
  <si>
    <t>B1002-B1007</t>
  </si>
  <si>
    <t>B2001-B2005</t>
  </si>
  <si>
    <t>B3001-B3005</t>
  </si>
  <si>
    <t>B4001-B4006</t>
  </si>
  <si>
    <t>B5001-B5004</t>
  </si>
  <si>
    <t>---------------------------------------------------------------------------------------------</t>
  </si>
  <si>
    <t xml:space="preserve"> ROLLS</t>
  </si>
  <si>
    <t>SEP.11,2026</t>
    <phoneticPr fontId="3" type="noConversion"/>
  </si>
  <si>
    <t xml:space="preserve">For account and risk of Messrs. </t>
  </si>
  <si>
    <r>
      <rPr>
        <b/>
        <sz val="10"/>
        <rFont val="細明體"/>
        <family val="3"/>
        <charset val="136"/>
      </rPr>
      <t>CONSIGNEE :</t>
    </r>
    <r>
      <rPr>
        <sz val="10"/>
        <rFont val="細明體"/>
        <family val="3"/>
        <charset val="136"/>
      </rPr>
      <t xml:space="preserve">  PT.NIRWANA ALABARE GARMENT</t>
    </r>
  </si>
  <si>
    <t xml:space="preserve">JL. RAYA RANCAEKEK - MAJALAYA NO.289, DESA SOLOKAN JERUK, KEC.SOLOKAN JERUK, KABUPATEN BANDUNG,
</t>
  </si>
  <si>
    <t xml:space="preserve">JAWA BARAT 40382 INDONESIA 6222-85962076
ATTN: CINHUI/NINA
NPWP CODE: 0745 4069 2644 4000
</t>
  </si>
  <si>
    <t>INTERLINING-W:150CM</t>
    <phoneticPr fontId="8" type="noConversion"/>
  </si>
  <si>
    <t xml:space="preserve">XB6133 100% Thermoplastic Polyurethane </t>
    <phoneticPr fontId="8" type="noConversion"/>
  </si>
  <si>
    <t xml:space="preserve">Non-woven Interlining </t>
    <phoneticPr fontId="8" type="noConversion"/>
  </si>
  <si>
    <t>M</t>
    <phoneticPr fontId="3" type="noConversion"/>
  </si>
  <si>
    <t>NIRWANA-S27-0729BUY 6K060253.254.807 / AJ1495/AM1495/XE2196/</t>
    <phoneticPr fontId="8" type="noConversion"/>
  </si>
  <si>
    <t>#WHITE 10 : 200M</t>
    <phoneticPr fontId="8" type="noConversion"/>
  </si>
  <si>
    <t>#Black 99 : 200M</t>
    <phoneticPr fontId="8" type="noConversion"/>
  </si>
  <si>
    <t>ME5013 - #113339 100% POLYESTER Woven Fabric Fusible Interlining</t>
    <phoneticPr fontId="8" type="noConversion"/>
  </si>
  <si>
    <t xml:space="preserve"> #WHITE:1,000M</t>
    <phoneticPr fontId="3" type="noConversion"/>
  </si>
  <si>
    <t>HS CODE.5603.92</t>
    <phoneticPr fontId="3" type="noConversion"/>
  </si>
  <si>
    <t>HS CODE.5903.90</t>
    <phoneticPr fontId="3" type="noConversion"/>
  </si>
  <si>
    <t>FU KWOK KNITTING &amp; GARMENT CO., LTD.</t>
    <phoneticPr fontId="3" type="noConversion"/>
  </si>
  <si>
    <t>No. 110, Nanzih Dist., Kaohsiung City 811, Taiwan (R.O.C.)</t>
    <phoneticPr fontId="3" type="noConversion"/>
  </si>
  <si>
    <t>CIF JAKARTA , INDONESIA</t>
    <phoneticPr fontId="3" type="noConversion"/>
  </si>
  <si>
    <t>XB6133 10</t>
    <phoneticPr fontId="3" type="noConversion"/>
  </si>
  <si>
    <t>XB6133 99</t>
    <phoneticPr fontId="3" type="noConversion"/>
  </si>
  <si>
    <t>ME 5013 10</t>
    <phoneticPr fontId="3" type="noConversion"/>
  </si>
  <si>
    <t>2-5</t>
    <phoneticPr fontId="3" type="noConversion"/>
  </si>
  <si>
    <t xml:space="preserve"> PKGS</t>
    <phoneticPr fontId="3" type="noConversion"/>
  </si>
  <si>
    <t>NIRWANA</t>
    <phoneticPr fontId="8" type="noConversion"/>
  </si>
  <si>
    <t>CONTAINER NO.WHSU5028286/40'HQ</t>
    <phoneticPr fontId="8" type="noConversion"/>
  </si>
  <si>
    <t>(IN DIA.)</t>
  </si>
  <si>
    <t>COUNTRY OF ORIGIN: TAIWAN</t>
  </si>
  <si>
    <t>PT NIRWANA ALABARE</t>
  </si>
  <si>
    <t>KNITTED FABRIC</t>
  </si>
  <si>
    <t>P.O :</t>
  </si>
  <si>
    <t>==========================</t>
  </si>
  <si>
    <t>STYLE :</t>
  </si>
  <si>
    <t>S/C NO.NW2607203</t>
  </si>
  <si>
    <t>COLOR :</t>
  </si>
  <si>
    <t>PO#P12607001257</t>
  </si>
  <si>
    <t>ITEM/PDM :</t>
  </si>
  <si>
    <t>#107186</t>
  </si>
  <si>
    <t>ROLL.:</t>
  </si>
  <si>
    <t>100% POLYESTER</t>
  </si>
  <si>
    <t>QTY.:</t>
  </si>
  <si>
    <t>62.00 IN * 194.00 G/M2</t>
  </si>
  <si>
    <t>N.W.:</t>
  </si>
  <si>
    <t>COLOR:BLACK, CITY GREY</t>
  </si>
  <si>
    <t>YDS</t>
  </si>
  <si>
    <t>G.W.:</t>
  </si>
  <si>
    <t>COLOR:COLUMBIA GREY, NIMBUS GREY</t>
  </si>
  <si>
    <t>BUY DATE:</t>
  </si>
  <si>
    <t>COLOR:DARK STONE, FLINT GREY</t>
  </si>
  <si>
    <t>COLOR:EVERBLUE, STORM</t>
  </si>
  <si>
    <t>PPS</t>
  </si>
  <si>
    <t>S/C NO.NW2607204</t>
  </si>
  <si>
    <t>PO#P12607001131/138/147-149/</t>
  </si>
  <si>
    <t>164/175/177/182/183/189/190/</t>
  </si>
  <si>
    <t>210-212/257-259/261/265</t>
  </si>
  <si>
    <t>#137111</t>
  </si>
  <si>
    <t>83% POLYESTER 17% ELASTANE</t>
  </si>
  <si>
    <t>53.00 IN * 200 G/M2</t>
  </si>
  <si>
    <t>COLOR:AURA</t>
  </si>
  <si>
    <t>COLOR:BLACK</t>
  </si>
  <si>
    <t>COLOR:CANYON BLUE</t>
  </si>
  <si>
    <t>COLOR:CEDAR BLUSH</t>
  </si>
  <si>
    <t>COLOR:FIVE SPICE</t>
  </si>
  <si>
    <t>S/C NO.NW2670205</t>
  </si>
  <si>
    <t>PO#P12607001182/1183</t>
  </si>
  <si>
    <t>#132894</t>
  </si>
  <si>
    <t>58.00 IN * 225.00 G/M2</t>
  </si>
  <si>
    <t>#128324</t>
  </si>
  <si>
    <t>48.00 IN * 270.00 G/M2</t>
  </si>
  <si>
    <t>COLOR:TRUFFLE</t>
  </si>
  <si>
    <t>S/C NO.NW2607197</t>
  </si>
  <si>
    <t>PO#P12607001175/177</t>
  </si>
  <si>
    <t>#132655</t>
  </si>
  <si>
    <t>60.00 IN * 140.00 G/M2</t>
  </si>
  <si>
    <t>COLOR:CARBON</t>
  </si>
  <si>
    <t>COLOR:COLUMBIA GREY</t>
  </si>
  <si>
    <t>COLOR:DOCKSIDE BLUE</t>
  </si>
  <si>
    <t>COLOR:STONE GREEN</t>
  </si>
  <si>
    <t>#132656</t>
  </si>
  <si>
    <t>COLOR:WHITE</t>
  </si>
  <si>
    <t>S/C NO.NW2607198</t>
  </si>
  <si>
    <t>PO#P12607001261/1277</t>
  </si>
  <si>
    <t>#132653</t>
  </si>
  <si>
    <t>68% COTTON 32% POLYESTER</t>
  </si>
  <si>
    <t>58.00 IN * 160.00 G/M2</t>
  </si>
  <si>
    <t>COLOR:FLINT GREY</t>
  </si>
  <si>
    <t>COLOR:LIGHT LICHEN</t>
  </si>
  <si>
    <t>#067278</t>
  </si>
  <si>
    <t>58% COTTON 38% POLYESTER</t>
  </si>
  <si>
    <t>4% ELASTANE</t>
  </si>
  <si>
    <t>42.00 IN * 180.00 G/M2</t>
  </si>
  <si>
    <t>COLOR:BLACK,BLACK</t>
  </si>
  <si>
    <t>COLOR:FLINT GREY, FLINT GREY</t>
  </si>
  <si>
    <t>COLOR:LIGHT LICHEN,LIGHT LICHEN</t>
  </si>
  <si>
    <t>S/C NO.NW2607199</t>
  </si>
  <si>
    <t>PO#P12607001148/1149</t>
  </si>
  <si>
    <t>#132659</t>
  </si>
  <si>
    <t>88% POLYESTER 12% ELASTANE</t>
  </si>
  <si>
    <t>58.00 IN * 140.00 G/M2</t>
  </si>
  <si>
    <t>COLOR:DARK STONE</t>
  </si>
  <si>
    <t>COLOR:SHARK</t>
  </si>
  <si>
    <t>#132660</t>
  </si>
  <si>
    <t>S/C NO.NW2607210</t>
  </si>
  <si>
    <t>PO#P12607001164/1210/1212/</t>
  </si>
  <si>
    <t>1258/1265/1259</t>
  </si>
  <si>
    <t>#132448</t>
  </si>
  <si>
    <t>92% NYLON 8% ELASTANE</t>
  </si>
  <si>
    <t>56.00 IN * 141.00 G/M2</t>
  </si>
  <si>
    <t>COLOR:MELON GLOW</t>
  </si>
  <si>
    <t>COLOR:TEA LIGHT</t>
  </si>
  <si>
    <t>COLOR:PHOENIX BLUE</t>
  </si>
  <si>
    <t>#132956</t>
  </si>
  <si>
    <t>LOT NO.12-04(A1)</t>
  </si>
  <si>
    <t xml:space="preserve">      TZ066</t>
  </si>
  <si>
    <t>KGS</t>
  </si>
  <si>
    <t xml:space="preserve">      TZ067</t>
  </si>
  <si>
    <t xml:space="preserve">      TZ068</t>
  </si>
  <si>
    <t>LOT NO.12-07</t>
  </si>
  <si>
    <t xml:space="preserve">      XA018</t>
  </si>
  <si>
    <t xml:space="preserve">      XA019</t>
  </si>
  <si>
    <t xml:space="preserve">      XA020</t>
  </si>
  <si>
    <t xml:space="preserve">      XA021</t>
  </si>
  <si>
    <t xml:space="preserve">      XA022</t>
  </si>
  <si>
    <t xml:space="preserve">      XA023</t>
  </si>
  <si>
    <t xml:space="preserve">      XA024</t>
  </si>
  <si>
    <t xml:space="preserve">      XA025</t>
  </si>
  <si>
    <t xml:space="preserve">      XA026</t>
  </si>
  <si>
    <t xml:space="preserve">      XA027</t>
  </si>
  <si>
    <t xml:space="preserve">      XA028</t>
  </si>
  <si>
    <t xml:space="preserve">      XA029</t>
  </si>
  <si>
    <t xml:space="preserve">      XA030</t>
  </si>
  <si>
    <t xml:space="preserve">      XA031</t>
  </si>
  <si>
    <t xml:space="preserve">      XA032</t>
  </si>
  <si>
    <t xml:space="preserve">      XA033</t>
  </si>
  <si>
    <t>LOT NO.12-08(A2)</t>
  </si>
  <si>
    <t xml:space="preserve">      XA034</t>
  </si>
  <si>
    <t xml:space="preserve">      XA035</t>
  </si>
  <si>
    <t xml:space="preserve">      XA036</t>
  </si>
  <si>
    <t xml:space="preserve">      XA037</t>
  </si>
  <si>
    <t xml:space="preserve">      XA038</t>
  </si>
  <si>
    <t xml:space="preserve">      XA039</t>
  </si>
  <si>
    <t xml:space="preserve">      XA040</t>
  </si>
  <si>
    <t xml:space="preserve">      XA041</t>
  </si>
  <si>
    <t xml:space="preserve">      XA042</t>
  </si>
  <si>
    <t xml:space="preserve">      XA043</t>
  </si>
  <si>
    <t xml:space="preserve">      XA044</t>
  </si>
  <si>
    <t>LOT NO.12-09</t>
  </si>
  <si>
    <t xml:space="preserve">      XA001</t>
  </si>
  <si>
    <t xml:space="preserve">      XA002</t>
  </si>
  <si>
    <t xml:space="preserve">      XA003</t>
  </si>
  <si>
    <t xml:space="preserve">      XA004</t>
  </si>
  <si>
    <t xml:space="preserve">      XA005</t>
  </si>
  <si>
    <t xml:space="preserve">      XA006</t>
  </si>
  <si>
    <t xml:space="preserve">      XA007</t>
  </si>
  <si>
    <t xml:space="preserve">      XA008</t>
  </si>
  <si>
    <t xml:space="preserve">      XA009</t>
  </si>
  <si>
    <t xml:space="preserve">      XA010</t>
  </si>
  <si>
    <t xml:space="preserve">      XA011</t>
  </si>
  <si>
    <t xml:space="preserve">      XA012</t>
  </si>
  <si>
    <t xml:space="preserve">      XA013</t>
  </si>
  <si>
    <t xml:space="preserve">      XA014</t>
  </si>
  <si>
    <t xml:space="preserve">      XA015</t>
  </si>
  <si>
    <t xml:space="preserve">      XA016</t>
  </si>
  <si>
    <t>LOT NO.11-02</t>
  </si>
  <si>
    <t xml:space="preserve">      XB001</t>
  </si>
  <si>
    <t xml:space="preserve">      XB002</t>
  </si>
  <si>
    <t xml:space="preserve">      XB003</t>
  </si>
  <si>
    <t xml:space="preserve">      XB004</t>
  </si>
  <si>
    <t xml:space="preserve">      XB005</t>
  </si>
  <si>
    <t xml:space="preserve">      XB006</t>
  </si>
  <si>
    <t xml:space="preserve">      XB007</t>
  </si>
  <si>
    <t xml:space="preserve">      XB008</t>
  </si>
  <si>
    <t xml:space="preserve">      XB009</t>
  </si>
  <si>
    <t xml:space="preserve">      XB010</t>
  </si>
  <si>
    <t xml:space="preserve">      XB011</t>
  </si>
  <si>
    <t xml:space="preserve">      XB012</t>
  </si>
  <si>
    <t xml:space="preserve">      XB013</t>
  </si>
  <si>
    <t xml:space="preserve">      XB014</t>
  </si>
  <si>
    <t xml:space="preserve">      XB015</t>
  </si>
  <si>
    <t xml:space="preserve">      XB016</t>
  </si>
  <si>
    <t xml:space="preserve">      XB017</t>
  </si>
  <si>
    <t xml:space="preserve">      XB018</t>
  </si>
  <si>
    <t xml:space="preserve">      XB019</t>
  </si>
  <si>
    <t>LOT NO.10-01</t>
  </si>
  <si>
    <t xml:space="preserve">      TT007</t>
  </si>
  <si>
    <t xml:space="preserve">      TT008</t>
  </si>
  <si>
    <t xml:space="preserve">      TT009</t>
  </si>
  <si>
    <t xml:space="preserve">      TT010</t>
  </si>
  <si>
    <t xml:space="preserve">      TT011</t>
  </si>
  <si>
    <t xml:space="preserve">      TT012</t>
  </si>
  <si>
    <t xml:space="preserve">      TT013</t>
  </si>
  <si>
    <t xml:space="preserve">      TT014</t>
  </si>
  <si>
    <t xml:space="preserve">      TT015</t>
  </si>
  <si>
    <t xml:space="preserve">      TT016</t>
  </si>
  <si>
    <t>LOT NO.09-03</t>
  </si>
  <si>
    <t xml:space="preserve">      XD002</t>
  </si>
  <si>
    <t xml:space="preserve">      XD003</t>
  </si>
  <si>
    <t xml:space="preserve">      XD004</t>
  </si>
  <si>
    <t xml:space="preserve">      XD005</t>
  </si>
  <si>
    <t xml:space="preserve">      XD006</t>
  </si>
  <si>
    <t xml:space="preserve">      XD007</t>
  </si>
  <si>
    <t xml:space="preserve">      XD008</t>
  </si>
  <si>
    <t xml:space="preserve">      XD009</t>
  </si>
  <si>
    <t xml:space="preserve">      XD010</t>
  </si>
  <si>
    <t xml:space="preserve">      XD011</t>
  </si>
  <si>
    <t xml:space="preserve">      XD012</t>
  </si>
  <si>
    <t xml:space="preserve">      XD013</t>
  </si>
  <si>
    <t xml:space="preserve">      XD014</t>
  </si>
  <si>
    <t xml:space="preserve">      XD015</t>
  </si>
  <si>
    <t xml:space="preserve">      XD016</t>
  </si>
  <si>
    <t xml:space="preserve">      XD017</t>
  </si>
  <si>
    <t>LOT NO.09-04</t>
  </si>
  <si>
    <t xml:space="preserve">      XD018</t>
  </si>
  <si>
    <t xml:space="preserve">      XD019</t>
  </si>
  <si>
    <t xml:space="preserve">      XD020</t>
  </si>
  <si>
    <t xml:space="preserve">      XD021</t>
  </si>
  <si>
    <t xml:space="preserve">      XD022</t>
  </si>
  <si>
    <t xml:space="preserve">      XD023</t>
  </si>
  <si>
    <t xml:space="preserve">      XD024</t>
  </si>
  <si>
    <t xml:space="preserve">      XA017</t>
  </si>
  <si>
    <t xml:space="preserve">      XB020</t>
  </si>
  <si>
    <t xml:space="preserve">    TT006~1</t>
  </si>
  <si>
    <t xml:space="preserve">      XD001</t>
  </si>
  <si>
    <t>LOT NO.2</t>
  </si>
  <si>
    <t xml:space="preserve">      VA002</t>
  </si>
  <si>
    <t xml:space="preserve">      VA003</t>
  </si>
  <si>
    <t xml:space="preserve">      VA004</t>
  </si>
  <si>
    <t xml:space="preserve">      VA005</t>
  </si>
  <si>
    <t xml:space="preserve">      VA006</t>
  </si>
  <si>
    <t xml:space="preserve">      VA007</t>
  </si>
  <si>
    <t xml:space="preserve">      VA008</t>
  </si>
  <si>
    <t xml:space="preserve">      VA009</t>
  </si>
  <si>
    <t xml:space="preserve">      VA010</t>
  </si>
  <si>
    <t xml:space="preserve">      VA011</t>
  </si>
  <si>
    <t xml:space="preserve">      VA012</t>
  </si>
  <si>
    <t xml:space="preserve">      VA013</t>
  </si>
  <si>
    <t>LOT NO.5</t>
  </si>
  <si>
    <t xml:space="preserve">      VB002</t>
  </si>
  <si>
    <t xml:space="preserve">      VB004</t>
  </si>
  <si>
    <t xml:space="preserve">      VB005</t>
  </si>
  <si>
    <t xml:space="preserve">      VB006</t>
  </si>
  <si>
    <t xml:space="preserve">      VB007</t>
  </si>
  <si>
    <t xml:space="preserve">      VB008</t>
  </si>
  <si>
    <t xml:space="preserve">      VB010</t>
  </si>
  <si>
    <t xml:space="preserve">      VB011</t>
  </si>
  <si>
    <t xml:space="preserve">      VB012</t>
  </si>
  <si>
    <t xml:space="preserve">      VB013</t>
  </si>
  <si>
    <t xml:space="preserve">      VB014</t>
  </si>
  <si>
    <t xml:space="preserve">      VB015</t>
  </si>
  <si>
    <t xml:space="preserve">      VB016</t>
  </si>
  <si>
    <t xml:space="preserve">      VB019</t>
  </si>
  <si>
    <t xml:space="preserve">      VB022</t>
  </si>
  <si>
    <t xml:space="preserve">      VB023</t>
  </si>
  <si>
    <t xml:space="preserve">      VB024</t>
  </si>
  <si>
    <t xml:space="preserve">      VB026</t>
  </si>
  <si>
    <t xml:space="preserve">      VB028</t>
  </si>
  <si>
    <t xml:space="preserve">      VB029</t>
  </si>
  <si>
    <t xml:space="preserve">      VB030</t>
  </si>
  <si>
    <t xml:space="preserve">      VB031</t>
  </si>
  <si>
    <t xml:space="preserve">      VB033</t>
  </si>
  <si>
    <t>LOT NO.3Y</t>
  </si>
  <si>
    <t xml:space="preserve">      VC003</t>
  </si>
  <si>
    <t xml:space="preserve">      VC004</t>
  </si>
  <si>
    <t xml:space="preserve">      VC005</t>
  </si>
  <si>
    <t xml:space="preserve">      VC006</t>
  </si>
  <si>
    <t xml:space="preserve">      VC007</t>
  </si>
  <si>
    <t xml:space="preserve">      VC008</t>
  </si>
  <si>
    <t xml:space="preserve">      VC009</t>
  </si>
  <si>
    <t xml:space="preserve">      VC010</t>
  </si>
  <si>
    <t xml:space="preserve">      VC011</t>
  </si>
  <si>
    <t xml:space="preserve">      VC012</t>
  </si>
  <si>
    <t xml:space="preserve">      VC013</t>
  </si>
  <si>
    <t xml:space="preserve">      VC014</t>
  </si>
  <si>
    <t>LOT NO.1</t>
  </si>
  <si>
    <t xml:space="preserve">      YD011</t>
  </si>
  <si>
    <t xml:space="preserve">      YD012</t>
  </si>
  <si>
    <t xml:space="preserve">      YD013</t>
  </si>
  <si>
    <t xml:space="preserve">      YD014</t>
  </si>
  <si>
    <t xml:space="preserve">      YD015</t>
  </si>
  <si>
    <t xml:space="preserve">      YD016</t>
  </si>
  <si>
    <t>LOT NO.3Z</t>
  </si>
  <si>
    <t xml:space="preserve">      VE001</t>
  </si>
  <si>
    <t xml:space="preserve">      VE002</t>
  </si>
  <si>
    <t xml:space="preserve">      VE003</t>
  </si>
  <si>
    <t xml:space="preserve">      VE004</t>
  </si>
  <si>
    <t xml:space="preserve">      VE005</t>
  </si>
  <si>
    <t xml:space="preserve">      VE006</t>
  </si>
  <si>
    <t xml:space="preserve">      VE007</t>
  </si>
  <si>
    <t xml:space="preserve">      VE008</t>
  </si>
  <si>
    <t xml:space="preserve">      VE009</t>
  </si>
  <si>
    <t xml:space="preserve">      VE010</t>
  </si>
  <si>
    <t xml:space="preserve">      VE011</t>
  </si>
  <si>
    <t xml:space="preserve">      VE012</t>
  </si>
  <si>
    <t xml:space="preserve">      VE013</t>
  </si>
  <si>
    <t xml:space="preserve">      VE014</t>
  </si>
  <si>
    <t xml:space="preserve">      VE015</t>
  </si>
  <si>
    <t xml:space="preserve">      VE016</t>
  </si>
  <si>
    <t xml:space="preserve">      VE017</t>
  </si>
  <si>
    <t xml:space="preserve">      VE018</t>
  </si>
  <si>
    <t>LOT NO.1Z</t>
  </si>
  <si>
    <t xml:space="preserve">       D014</t>
  </si>
  <si>
    <t xml:space="preserve">      VA001</t>
  </si>
  <si>
    <t xml:space="preserve">      VB032</t>
  </si>
  <si>
    <t xml:space="preserve">      VC001</t>
  </si>
  <si>
    <t xml:space="preserve">    YD015~1</t>
  </si>
  <si>
    <t xml:space="preserve">      VE019</t>
  </si>
  <si>
    <t>LOT NO.10-02</t>
  </si>
  <si>
    <t xml:space="preserve">      NA001</t>
  </si>
  <si>
    <t xml:space="preserve">      NA002</t>
  </si>
  <si>
    <t xml:space="preserve">      NA003</t>
  </si>
  <si>
    <t xml:space="preserve">      NA005</t>
  </si>
  <si>
    <t xml:space="preserve">      NA006</t>
  </si>
  <si>
    <t xml:space="preserve">      NA007</t>
  </si>
  <si>
    <t xml:space="preserve">      NA008</t>
  </si>
  <si>
    <t xml:space="preserve">      NA009</t>
  </si>
  <si>
    <t xml:space="preserve">      NA010</t>
  </si>
  <si>
    <t xml:space="preserve">      NA011</t>
  </si>
  <si>
    <t xml:space="preserve">      NA012</t>
  </si>
  <si>
    <t xml:space="preserve">      NA013</t>
  </si>
  <si>
    <t xml:space="preserve">      NA014</t>
  </si>
  <si>
    <t xml:space="preserve">      NA015</t>
  </si>
  <si>
    <t xml:space="preserve">      NA016</t>
  </si>
  <si>
    <t xml:space="preserve">      NA017</t>
  </si>
  <si>
    <t xml:space="preserve">      NA004</t>
  </si>
  <si>
    <t xml:space="preserve">      PL002</t>
  </si>
  <si>
    <t xml:space="preserve">      PP004</t>
  </si>
  <si>
    <t xml:space="preserve">      PL004</t>
  </si>
  <si>
    <t xml:space="preserve">      PP002</t>
  </si>
  <si>
    <t>LOT NO.3</t>
  </si>
  <si>
    <t xml:space="preserve">       N104</t>
  </si>
  <si>
    <t xml:space="preserve">       N105</t>
  </si>
  <si>
    <t xml:space="preserve">       N110</t>
  </si>
  <si>
    <t xml:space="preserve">       N112</t>
  </si>
  <si>
    <t xml:space="preserve">       N113</t>
  </si>
  <si>
    <t xml:space="preserve">       N114</t>
  </si>
  <si>
    <t xml:space="preserve">       N117</t>
  </si>
  <si>
    <t xml:space="preserve">       N118</t>
  </si>
  <si>
    <t xml:space="preserve">      CA004</t>
  </si>
  <si>
    <t xml:space="preserve">      CA005</t>
  </si>
  <si>
    <t xml:space="preserve">      CA006</t>
  </si>
  <si>
    <t xml:space="preserve">      CA007</t>
  </si>
  <si>
    <t xml:space="preserve">      CA008</t>
  </si>
  <si>
    <t xml:space="preserve">      CA009</t>
  </si>
  <si>
    <t xml:space="preserve">      CA010</t>
  </si>
  <si>
    <t xml:space="preserve">      CA017</t>
  </si>
  <si>
    <t xml:space="preserve">      CB005</t>
  </si>
  <si>
    <t xml:space="preserve">      CB006</t>
  </si>
  <si>
    <t xml:space="preserve">      CB008</t>
  </si>
  <si>
    <t xml:space="preserve">      GB002</t>
  </si>
  <si>
    <t xml:space="preserve">      GB003</t>
  </si>
  <si>
    <t xml:space="preserve">      CC004</t>
  </si>
  <si>
    <t xml:space="preserve">      CC006</t>
  </si>
  <si>
    <t xml:space="preserve">      CC009</t>
  </si>
  <si>
    <t xml:space="preserve">      CC010</t>
  </si>
  <si>
    <t xml:space="preserve">      CC011</t>
  </si>
  <si>
    <t xml:space="preserve">      CC012</t>
  </si>
  <si>
    <t xml:space="preserve">      CC013</t>
  </si>
  <si>
    <t xml:space="preserve">      CC014</t>
  </si>
  <si>
    <t xml:space="preserve">      CC015</t>
  </si>
  <si>
    <t xml:space="preserve">      CC017</t>
  </si>
  <si>
    <t xml:space="preserve">      CC018</t>
  </si>
  <si>
    <t xml:space="preserve">      GC001</t>
  </si>
  <si>
    <t xml:space="preserve">      GC002</t>
  </si>
  <si>
    <t xml:space="preserve">      GC003</t>
  </si>
  <si>
    <t xml:space="preserve">      GC004</t>
  </si>
  <si>
    <t xml:space="preserve">      GC005</t>
  </si>
  <si>
    <t xml:space="preserve">      GC006</t>
  </si>
  <si>
    <t xml:space="preserve">      GC007</t>
  </si>
  <si>
    <t xml:space="preserve">      CD003</t>
  </si>
  <si>
    <t xml:space="preserve">      CD004</t>
  </si>
  <si>
    <t xml:space="preserve">      CD005</t>
  </si>
  <si>
    <t xml:space="preserve">      CD006</t>
  </si>
  <si>
    <t xml:space="preserve">      CD007</t>
  </si>
  <si>
    <t xml:space="preserve">      CD008</t>
  </si>
  <si>
    <t xml:space="preserve">      CD009</t>
  </si>
  <si>
    <t xml:space="preserve">      CD011</t>
  </si>
  <si>
    <t xml:space="preserve">      CE007</t>
  </si>
  <si>
    <t xml:space="preserve">      CE008</t>
  </si>
  <si>
    <t xml:space="preserve">      CE009</t>
  </si>
  <si>
    <t xml:space="preserve">      CE010</t>
  </si>
  <si>
    <t xml:space="preserve">      CE011</t>
  </si>
  <si>
    <t xml:space="preserve">      CE012</t>
  </si>
  <si>
    <t xml:space="preserve">    CA017~2</t>
  </si>
  <si>
    <t xml:space="preserve">      GB001</t>
  </si>
  <si>
    <t xml:space="preserve">      GC008</t>
  </si>
  <si>
    <t xml:space="preserve">    CD011~1</t>
  </si>
  <si>
    <t xml:space="preserve">    CE012~1</t>
  </si>
  <si>
    <t>LOT NO.1-1</t>
  </si>
  <si>
    <t xml:space="preserve">      CH001</t>
  </si>
  <si>
    <t xml:space="preserve">      CH002</t>
  </si>
  <si>
    <t xml:space="preserve">      CH003</t>
  </si>
  <si>
    <t xml:space="preserve">      CH004</t>
  </si>
  <si>
    <t xml:space="preserve">      CH006</t>
  </si>
  <si>
    <t xml:space="preserve">      CH007</t>
  </si>
  <si>
    <t xml:space="preserve">      CH009</t>
  </si>
  <si>
    <t xml:space="preserve">      CH017</t>
  </si>
  <si>
    <t>LT NO.1-8</t>
  </si>
  <si>
    <t xml:space="preserve">      GF002</t>
  </si>
  <si>
    <t xml:space="preserve">      GF003</t>
  </si>
  <si>
    <t xml:space="preserve">      GF004</t>
  </si>
  <si>
    <t xml:space="preserve">      GF005</t>
  </si>
  <si>
    <t xml:space="preserve">      GF006</t>
  </si>
  <si>
    <t xml:space="preserve">      GF007</t>
  </si>
  <si>
    <t xml:space="preserve">      GF008</t>
  </si>
  <si>
    <t>LOT NO.1-8</t>
  </si>
  <si>
    <t xml:space="preserve">      GF001</t>
  </si>
  <si>
    <t xml:space="preserve">      CN030</t>
  </si>
  <si>
    <t xml:space="preserve">      CN031</t>
  </si>
  <si>
    <t xml:space="preserve">      CN032</t>
  </si>
  <si>
    <t xml:space="preserve">      CN033</t>
  </si>
  <si>
    <t xml:space="preserve">      CN035</t>
  </si>
  <si>
    <t xml:space="preserve">      CN036</t>
  </si>
  <si>
    <t xml:space="preserve">      CN037</t>
  </si>
  <si>
    <t xml:space="preserve">      CN038</t>
  </si>
  <si>
    <t xml:space="preserve">      CN039</t>
  </si>
  <si>
    <t xml:space="preserve">      CN040</t>
  </si>
  <si>
    <t xml:space="preserve">      CN041</t>
  </si>
  <si>
    <t xml:space="preserve">      CN044</t>
  </si>
  <si>
    <t xml:space="preserve">      CN045</t>
  </si>
  <si>
    <t xml:space="preserve">      CN046</t>
  </si>
  <si>
    <t xml:space="preserve">      CN047</t>
  </si>
  <si>
    <t xml:space="preserve">      CN048</t>
  </si>
  <si>
    <t xml:space="preserve">      CN049</t>
  </si>
  <si>
    <t xml:space="preserve">      CN050</t>
  </si>
  <si>
    <t xml:space="preserve">      CN001</t>
  </si>
  <si>
    <t xml:space="preserve">      CN002</t>
  </si>
  <si>
    <t xml:space="preserve">      CN003</t>
  </si>
  <si>
    <t xml:space="preserve">      CN004</t>
  </si>
  <si>
    <t xml:space="preserve">      CN005</t>
  </si>
  <si>
    <t xml:space="preserve">      CN006</t>
  </si>
  <si>
    <t xml:space="preserve">      CN007</t>
  </si>
  <si>
    <t xml:space="preserve">      CN008</t>
  </si>
  <si>
    <t xml:space="preserve">      CN010</t>
  </si>
  <si>
    <t xml:space="preserve">      CN011</t>
  </si>
  <si>
    <t xml:space="preserve">      CN012</t>
  </si>
  <si>
    <t xml:space="preserve">      CN013</t>
  </si>
  <si>
    <t xml:space="preserve">      CN014</t>
  </si>
  <si>
    <t xml:space="preserve">      CN015</t>
  </si>
  <si>
    <t xml:space="preserve">      CN016</t>
  </si>
  <si>
    <t xml:space="preserve">      CN017</t>
  </si>
  <si>
    <t xml:space="preserve">      CN019</t>
  </si>
  <si>
    <t xml:space="preserve">      CN020</t>
  </si>
  <si>
    <t xml:space="preserve">      CN021</t>
  </si>
  <si>
    <t xml:space="preserve">      CN022</t>
  </si>
  <si>
    <t xml:space="preserve">      CN023</t>
  </si>
  <si>
    <t xml:space="preserve">      CN024</t>
  </si>
  <si>
    <t xml:space="preserve">      CN025</t>
  </si>
  <si>
    <t xml:space="preserve">      CN027</t>
  </si>
  <si>
    <t xml:space="preserve">      CN028</t>
  </si>
  <si>
    <t xml:space="preserve">      CN029</t>
  </si>
  <si>
    <t xml:space="preserve">    CN048~1</t>
  </si>
  <si>
    <t xml:space="preserve">    CN009~1</t>
  </si>
  <si>
    <t xml:space="preserve">    CN025~2</t>
  </si>
  <si>
    <t>LOT NO.1-2</t>
  </si>
  <si>
    <t xml:space="preserve">      001~1</t>
  </si>
  <si>
    <t xml:space="preserve">      001~2</t>
  </si>
  <si>
    <t>LOT NOL1-2</t>
  </si>
  <si>
    <t>LOT NO.001-001A0</t>
  </si>
  <si>
    <t xml:space="preserve">      EA015</t>
  </si>
  <si>
    <t xml:space="preserve">      EA017</t>
  </si>
  <si>
    <t xml:space="preserve">      EA018</t>
  </si>
  <si>
    <t xml:space="preserve">      EA019</t>
  </si>
  <si>
    <t xml:space="preserve">      EA020</t>
  </si>
  <si>
    <t xml:space="preserve">      EA021</t>
  </si>
  <si>
    <t xml:space="preserve">      EA022</t>
  </si>
  <si>
    <t xml:space="preserve">      EA023</t>
  </si>
  <si>
    <t xml:space="preserve">      EA024</t>
  </si>
  <si>
    <t xml:space="preserve">      EA025</t>
  </si>
  <si>
    <t xml:space="preserve">      EA026</t>
  </si>
  <si>
    <t xml:space="preserve">      EC010</t>
  </si>
  <si>
    <t xml:space="preserve">      EC011</t>
  </si>
  <si>
    <t xml:space="preserve">      EC013</t>
  </si>
  <si>
    <t xml:space="preserve">      EC014</t>
  </si>
  <si>
    <t xml:space="preserve">      EC015</t>
  </si>
  <si>
    <t xml:space="preserve">      EC016</t>
  </si>
  <si>
    <t xml:space="preserve">      EC017</t>
  </si>
  <si>
    <t xml:space="preserve">      EC018</t>
  </si>
  <si>
    <t xml:space="preserve">      EC020</t>
  </si>
  <si>
    <t xml:space="preserve">      EC021</t>
  </si>
  <si>
    <t xml:space="preserve">      ED005</t>
  </si>
  <si>
    <t xml:space="preserve">      ED006</t>
  </si>
  <si>
    <t xml:space="preserve">      ED007</t>
  </si>
  <si>
    <t xml:space="preserve">      ED009</t>
  </si>
  <si>
    <t xml:space="preserve">      ED010</t>
  </si>
  <si>
    <t xml:space="preserve">      ED011</t>
  </si>
  <si>
    <t xml:space="preserve">      ED013</t>
  </si>
  <si>
    <t xml:space="preserve">      EE021</t>
  </si>
  <si>
    <t xml:space="preserve">      EE022</t>
  </si>
  <si>
    <t xml:space="preserve">      EE023</t>
  </si>
  <si>
    <t xml:space="preserve">      EE024</t>
  </si>
  <si>
    <t xml:space="preserve">      EE025</t>
  </si>
  <si>
    <t xml:space="preserve">      EE026</t>
  </si>
  <si>
    <t xml:space="preserve">      EE027</t>
  </si>
  <si>
    <t xml:space="preserve">      EE028</t>
  </si>
  <si>
    <t xml:space="preserve">      EE029</t>
  </si>
  <si>
    <t xml:space="preserve">      EE030</t>
  </si>
  <si>
    <t xml:space="preserve">      EE031</t>
  </si>
  <si>
    <t xml:space="preserve">    EA015~1</t>
  </si>
  <si>
    <t xml:space="preserve">    EC021~1</t>
  </si>
  <si>
    <t xml:space="preserve">    ED008~1</t>
  </si>
  <si>
    <t xml:space="preserve">    EE031~1</t>
  </si>
  <si>
    <t>LOT NO.50</t>
  </si>
  <si>
    <t xml:space="preserve">      EG004</t>
  </si>
  <si>
    <t xml:space="preserve">      EG006</t>
  </si>
  <si>
    <t xml:space="preserve">      EG007</t>
  </si>
  <si>
    <t xml:space="preserve">      EG008</t>
  </si>
  <si>
    <t xml:space="preserve">      EG009</t>
  </si>
  <si>
    <t xml:space="preserve">      EG010</t>
  </si>
  <si>
    <t xml:space="preserve">      EG012</t>
  </si>
  <si>
    <t xml:space="preserve">    FG012~1</t>
  </si>
  <si>
    <t xml:space="preserve">      BZ008</t>
  </si>
  <si>
    <t xml:space="preserve">      BZ009</t>
  </si>
  <si>
    <t xml:space="preserve">      BZ010</t>
  </si>
  <si>
    <t xml:space="preserve">      BZ011</t>
  </si>
  <si>
    <t xml:space="preserve">      BZ012</t>
  </si>
  <si>
    <t xml:space="preserve">      BZ013</t>
  </si>
  <si>
    <t xml:space="preserve">      BZ014</t>
  </si>
  <si>
    <t>LOT NO.21</t>
  </si>
  <si>
    <t xml:space="preserve">      UC017</t>
  </si>
  <si>
    <t xml:space="preserve">      UC018</t>
  </si>
  <si>
    <t xml:space="preserve">      UC019</t>
  </si>
  <si>
    <t xml:space="preserve">      UC020</t>
  </si>
  <si>
    <t>LOT NO.21-1</t>
  </si>
  <si>
    <t xml:space="preserve">      UC021</t>
  </si>
  <si>
    <t xml:space="preserve">      UC023</t>
  </si>
  <si>
    <t xml:space="preserve">      UC024</t>
  </si>
  <si>
    <t xml:space="preserve">      UC025</t>
  </si>
  <si>
    <t xml:space="preserve">      UC026</t>
  </si>
  <si>
    <t xml:space="preserve">      UC027</t>
  </si>
  <si>
    <t xml:space="preserve">      UC028</t>
  </si>
  <si>
    <t xml:space="preserve">      UC029</t>
  </si>
  <si>
    <t xml:space="preserve">      UC030</t>
  </si>
  <si>
    <t xml:space="preserve">      UC031</t>
  </si>
  <si>
    <t xml:space="preserve">      UC032</t>
  </si>
  <si>
    <t xml:space="preserve">      UC033</t>
  </si>
  <si>
    <t>LOT NO.22Z</t>
  </si>
  <si>
    <t xml:space="preserve">      UC034</t>
  </si>
  <si>
    <t xml:space="preserve">      UC035</t>
  </si>
  <si>
    <t xml:space="preserve">      UC036</t>
  </si>
  <si>
    <t xml:space="preserve">      UC037</t>
  </si>
  <si>
    <t xml:space="preserve">      UC038</t>
  </si>
  <si>
    <t xml:space="preserve">      UC039</t>
  </si>
  <si>
    <t xml:space="preserve">      UC040</t>
  </si>
  <si>
    <t xml:space="preserve">      UC041</t>
  </si>
  <si>
    <t xml:space="preserve">      UC042</t>
  </si>
  <si>
    <t>LOT NO.23</t>
  </si>
  <si>
    <t xml:space="preserve">      UC001</t>
  </si>
  <si>
    <t xml:space="preserve">      UC002</t>
  </si>
  <si>
    <t xml:space="preserve">      UC003</t>
  </si>
  <si>
    <t xml:space="preserve">      UC004</t>
  </si>
  <si>
    <t xml:space="preserve">      UC005</t>
  </si>
  <si>
    <t xml:space="preserve">      UC006</t>
  </si>
  <si>
    <t xml:space="preserve">      UC007</t>
  </si>
  <si>
    <t xml:space="preserve">      UC008</t>
  </si>
  <si>
    <t xml:space="preserve">      UC009</t>
  </si>
  <si>
    <t xml:space="preserve">      UC010</t>
  </si>
  <si>
    <t xml:space="preserve">      UC011</t>
  </si>
  <si>
    <t xml:space="preserve">      UC012</t>
  </si>
  <si>
    <t xml:space="preserve">      UC013</t>
  </si>
  <si>
    <t xml:space="preserve">      UC014</t>
  </si>
  <si>
    <t xml:space="preserve">      UC015</t>
  </si>
  <si>
    <t xml:space="preserve">      UC016</t>
  </si>
  <si>
    <t>LOT NO.24</t>
  </si>
  <si>
    <t xml:space="preserve">      UC067</t>
  </si>
  <si>
    <t xml:space="preserve">      UC068</t>
  </si>
  <si>
    <t xml:space="preserve">      UC069</t>
  </si>
  <si>
    <t xml:space="preserve">      UC070</t>
  </si>
  <si>
    <t xml:space="preserve">      UC071</t>
  </si>
  <si>
    <t xml:space="preserve">      UC072</t>
  </si>
  <si>
    <t xml:space="preserve">      UC073</t>
  </si>
  <si>
    <t xml:space="preserve">      UC074</t>
  </si>
  <si>
    <t xml:space="preserve">      UC075</t>
  </si>
  <si>
    <t xml:space="preserve">      UC076</t>
  </si>
  <si>
    <t xml:space="preserve">      UC077</t>
  </si>
  <si>
    <t xml:space="preserve">      UC078</t>
  </si>
  <si>
    <t xml:space="preserve">      UC079</t>
  </si>
  <si>
    <t xml:space="preserve">      UC080</t>
  </si>
  <si>
    <t xml:space="preserve">      UC081</t>
  </si>
  <si>
    <t xml:space="preserve">      UC082</t>
  </si>
  <si>
    <t>LOT NO.26</t>
  </si>
  <si>
    <t xml:space="preserve">      UC083</t>
  </si>
  <si>
    <t xml:space="preserve">      UC084</t>
  </si>
  <si>
    <t xml:space="preserve">      UC085</t>
  </si>
  <si>
    <t xml:space="preserve">      UC086</t>
  </si>
  <si>
    <t xml:space="preserve">      UC087</t>
  </si>
  <si>
    <t xml:space="preserve">      UC088</t>
  </si>
  <si>
    <t xml:space="preserve">      UC089</t>
  </si>
  <si>
    <t xml:space="preserve">      UC090</t>
  </si>
  <si>
    <t xml:space="preserve">      UC091</t>
  </si>
  <si>
    <t xml:space="preserve">      UC092</t>
  </si>
  <si>
    <t xml:space="preserve">      UC093</t>
  </si>
  <si>
    <t xml:space="preserve">      UD001</t>
  </si>
  <si>
    <t xml:space="preserve">      UD002</t>
  </si>
  <si>
    <t xml:space="preserve">      UD003</t>
  </si>
  <si>
    <t xml:space="preserve">      UD004</t>
  </si>
  <si>
    <t xml:space="preserve">      UD005</t>
  </si>
  <si>
    <t xml:space="preserve">      UD006</t>
  </si>
  <si>
    <t xml:space="preserve">      UD007</t>
  </si>
  <si>
    <t xml:space="preserve">      UD008</t>
  </si>
  <si>
    <t xml:space="preserve">      UD009</t>
  </si>
  <si>
    <t xml:space="preserve">      UD010</t>
  </si>
  <si>
    <t xml:space="preserve">      UD011</t>
  </si>
  <si>
    <t xml:space="preserve">      UD012</t>
  </si>
  <si>
    <t xml:space="preserve">      UD014</t>
  </si>
  <si>
    <t xml:space="preserve">      UD015</t>
  </si>
  <si>
    <t xml:space="preserve">      UD016</t>
  </si>
  <si>
    <t xml:space="preserve">      UD017</t>
  </si>
  <si>
    <t xml:space="preserve">      UD018</t>
  </si>
  <si>
    <t xml:space="preserve">      UD019</t>
  </si>
  <si>
    <t xml:space="preserve">      UD020</t>
  </si>
  <si>
    <t xml:space="preserve">      UD021</t>
  </si>
  <si>
    <t xml:space="preserve">      UD022</t>
  </si>
  <si>
    <t xml:space="preserve">      UD023</t>
  </si>
  <si>
    <t xml:space="preserve">      UD024</t>
  </si>
  <si>
    <t xml:space="preserve">      UD025</t>
  </si>
  <si>
    <t xml:space="preserve">      UE037</t>
  </si>
  <si>
    <t xml:space="preserve">      UE038</t>
  </si>
  <si>
    <t xml:space="preserve">      UE039</t>
  </si>
  <si>
    <t xml:space="preserve">      UE040</t>
  </si>
  <si>
    <t xml:space="preserve">      UE041</t>
  </si>
  <si>
    <t xml:space="preserve">      UE042</t>
  </si>
  <si>
    <t xml:space="preserve">      UE043</t>
  </si>
  <si>
    <t xml:space="preserve">      UE044</t>
  </si>
  <si>
    <t xml:space="preserve">      UE045</t>
  </si>
  <si>
    <t xml:space="preserve">      UE046</t>
  </si>
  <si>
    <t xml:space="preserve">      UE047</t>
  </si>
  <si>
    <t xml:space="preserve">      UE048</t>
  </si>
  <si>
    <t xml:space="preserve">      UE049</t>
  </si>
  <si>
    <t xml:space="preserve">      UE050</t>
  </si>
  <si>
    <t xml:space="preserve">      UE051</t>
  </si>
  <si>
    <t xml:space="preserve">      UE052</t>
  </si>
  <si>
    <t xml:space="preserve">      UE001</t>
  </si>
  <si>
    <t xml:space="preserve">      UE002</t>
  </si>
  <si>
    <t xml:space="preserve">      UE003</t>
  </si>
  <si>
    <t xml:space="preserve">      UE004</t>
  </si>
  <si>
    <t xml:space="preserve">      UE005</t>
  </si>
  <si>
    <t xml:space="preserve">      UE006</t>
  </si>
  <si>
    <t xml:space="preserve">      UE007</t>
  </si>
  <si>
    <t xml:space="preserve">      UE008</t>
  </si>
  <si>
    <t xml:space="preserve">      UE009</t>
  </si>
  <si>
    <t xml:space="preserve">      UE010</t>
  </si>
  <si>
    <t xml:space="preserve">      UE011</t>
  </si>
  <si>
    <t xml:space="preserve">      UE012</t>
  </si>
  <si>
    <t xml:space="preserve">      UE013</t>
  </si>
  <si>
    <t xml:space="preserve">      UE014</t>
  </si>
  <si>
    <t xml:space="preserve">      UE015</t>
  </si>
  <si>
    <t xml:space="preserve">      UE016</t>
  </si>
  <si>
    <t>LOT NO.5Z</t>
  </si>
  <si>
    <t xml:space="preserve">      UE017</t>
  </si>
  <si>
    <t xml:space="preserve">      UE018</t>
  </si>
  <si>
    <t xml:space="preserve">      UE020</t>
  </si>
  <si>
    <t xml:space="preserve">      UE021</t>
  </si>
  <si>
    <t xml:space="preserve">      UE022</t>
  </si>
  <si>
    <t xml:space="preserve">      UE023</t>
  </si>
  <si>
    <t xml:space="preserve">      UE024</t>
  </si>
  <si>
    <t xml:space="preserve">      UE025</t>
  </si>
  <si>
    <t xml:space="preserve">      UE026</t>
  </si>
  <si>
    <t xml:space="preserve">      UE027</t>
  </si>
  <si>
    <t xml:space="preserve">      UE028</t>
  </si>
  <si>
    <t xml:space="preserve">      UE029</t>
  </si>
  <si>
    <t xml:space="preserve">      UE030</t>
  </si>
  <si>
    <t xml:space="preserve">      UE031</t>
  </si>
  <si>
    <t xml:space="preserve">      UE032</t>
  </si>
  <si>
    <t xml:space="preserve">      UE033</t>
  </si>
  <si>
    <t xml:space="preserve">      UE034</t>
  </si>
  <si>
    <t xml:space="preserve">      UE035</t>
  </si>
  <si>
    <t xml:space="preserve">      UE036</t>
  </si>
  <si>
    <t>LOT NO.31-1Z</t>
  </si>
  <si>
    <t xml:space="preserve">      UF038</t>
  </si>
  <si>
    <t xml:space="preserve">      UF039</t>
  </si>
  <si>
    <t xml:space="preserve">      UF040</t>
  </si>
  <si>
    <t xml:space="preserve">      UF041</t>
  </si>
  <si>
    <t xml:space="preserve">      UF042</t>
  </si>
  <si>
    <t xml:space="preserve">      UF043</t>
  </si>
  <si>
    <t xml:space="preserve">      UF044</t>
  </si>
  <si>
    <t>LOT NO.31Z</t>
  </si>
  <si>
    <t xml:space="preserve">      UF045</t>
  </si>
  <si>
    <t xml:space="preserve">      UF046</t>
  </si>
  <si>
    <t xml:space="preserve">      UF047</t>
  </si>
  <si>
    <t xml:space="preserve">      UF048</t>
  </si>
  <si>
    <t xml:space="preserve">      UF049</t>
  </si>
  <si>
    <t xml:space="preserve">      UF050</t>
  </si>
  <si>
    <t xml:space="preserve">      UF051</t>
  </si>
  <si>
    <t xml:space="preserve">      UF052</t>
  </si>
  <si>
    <t xml:space="preserve">      UF053</t>
  </si>
  <si>
    <t xml:space="preserve">      UF054</t>
  </si>
  <si>
    <t xml:space="preserve">      UF055</t>
  </si>
  <si>
    <t>LOT NO.32</t>
  </si>
  <si>
    <t xml:space="preserve">      UF002</t>
  </si>
  <si>
    <t xml:space="preserve">      UF003</t>
  </si>
  <si>
    <t xml:space="preserve">      UF004</t>
  </si>
  <si>
    <t xml:space="preserve">      UF005</t>
  </si>
  <si>
    <t xml:space="preserve">      UF006</t>
  </si>
  <si>
    <t xml:space="preserve">      UF007</t>
  </si>
  <si>
    <t xml:space="preserve">      UF008</t>
  </si>
  <si>
    <t xml:space="preserve">      UF009</t>
  </si>
  <si>
    <t xml:space="preserve">      UF010</t>
  </si>
  <si>
    <t xml:space="preserve">      UF011</t>
  </si>
  <si>
    <t xml:space="preserve">      UF012</t>
  </si>
  <si>
    <t xml:space="preserve">      UF013</t>
  </si>
  <si>
    <t xml:space="preserve">      UF014</t>
  </si>
  <si>
    <t xml:space="preserve">      UF015</t>
  </si>
  <si>
    <t xml:space="preserve">      UF016</t>
  </si>
  <si>
    <t>LOT NO.33</t>
  </si>
  <si>
    <t xml:space="preserve">      UF017</t>
  </si>
  <si>
    <t xml:space="preserve">      UF018</t>
  </si>
  <si>
    <t xml:space="preserve">      UF019</t>
  </si>
  <si>
    <t xml:space="preserve">      UF020</t>
  </si>
  <si>
    <t xml:space="preserve">      UF021</t>
  </si>
  <si>
    <t xml:space="preserve">      UF022</t>
  </si>
  <si>
    <t xml:space="preserve">      UF023</t>
  </si>
  <si>
    <t xml:space="preserve">      UF024</t>
  </si>
  <si>
    <t xml:space="preserve">      UF025</t>
  </si>
  <si>
    <t xml:space="preserve">      UF026</t>
  </si>
  <si>
    <t xml:space="preserve">      UF027</t>
  </si>
  <si>
    <t xml:space="preserve">      UF028</t>
  </si>
  <si>
    <t xml:space="preserve">      UF029</t>
  </si>
  <si>
    <t xml:space="preserve">      UF030</t>
  </si>
  <si>
    <t xml:space="preserve">      UF031</t>
  </si>
  <si>
    <t xml:space="preserve">      UF032</t>
  </si>
  <si>
    <t xml:space="preserve">      UF033</t>
  </si>
  <si>
    <t>LOT NO.34Z</t>
  </si>
  <si>
    <t xml:space="preserve">      UF034</t>
  </si>
  <si>
    <t xml:space="preserve">      UF035</t>
  </si>
  <si>
    <t xml:space="preserve">      UF036</t>
  </si>
  <si>
    <t xml:space="preserve">      UF037</t>
  </si>
  <si>
    <t>LOT NO.35</t>
  </si>
  <si>
    <t xml:space="preserve">      UF056</t>
  </si>
  <si>
    <t xml:space="preserve">      UF057</t>
  </si>
  <si>
    <t xml:space="preserve">      UF058</t>
  </si>
  <si>
    <t xml:space="preserve">      UG033</t>
  </si>
  <si>
    <t xml:space="preserve">      UG034</t>
  </si>
  <si>
    <t xml:space="preserve">      UG035</t>
  </si>
  <si>
    <t xml:space="preserve">      UG036</t>
  </si>
  <si>
    <t xml:space="preserve">      UG037</t>
  </si>
  <si>
    <t xml:space="preserve">      UG038</t>
  </si>
  <si>
    <t xml:space="preserve">      UG039</t>
  </si>
  <si>
    <t xml:space="preserve">      UG040</t>
  </si>
  <si>
    <t xml:space="preserve">      UG041</t>
  </si>
  <si>
    <t xml:space="preserve">      UG042</t>
  </si>
  <si>
    <t xml:space="preserve">      UG043</t>
  </si>
  <si>
    <t xml:space="preserve">      UG044</t>
  </si>
  <si>
    <t xml:space="preserve">      UG045</t>
  </si>
  <si>
    <t xml:space="preserve">      UG046</t>
  </si>
  <si>
    <t xml:space="preserve">      UG047</t>
  </si>
  <si>
    <t xml:space="preserve">      UG048</t>
  </si>
  <si>
    <t xml:space="preserve">      UG017</t>
  </si>
  <si>
    <t xml:space="preserve">      UG018</t>
  </si>
  <si>
    <t xml:space="preserve">      UG019</t>
  </si>
  <si>
    <t xml:space="preserve">      UG020</t>
  </si>
  <si>
    <t xml:space="preserve">      UG021</t>
  </si>
  <si>
    <t xml:space="preserve">      UG022</t>
  </si>
  <si>
    <t xml:space="preserve">      UG023</t>
  </si>
  <si>
    <t xml:space="preserve">      UG024</t>
  </si>
  <si>
    <t xml:space="preserve">      UG025</t>
  </si>
  <si>
    <t xml:space="preserve">      UG026</t>
  </si>
  <si>
    <t xml:space="preserve">      UG027</t>
  </si>
  <si>
    <t xml:space="preserve">      UG028</t>
  </si>
  <si>
    <t xml:space="preserve">      UG029</t>
  </si>
  <si>
    <t xml:space="preserve">      UG030</t>
  </si>
  <si>
    <t xml:space="preserve">      UG031</t>
  </si>
  <si>
    <t xml:space="preserve">      UG032</t>
  </si>
  <si>
    <t>LOT NO.25</t>
  </si>
  <si>
    <t xml:space="preserve">      UG001</t>
  </si>
  <si>
    <t xml:space="preserve">      UG003</t>
  </si>
  <si>
    <t xml:space="preserve">      UG004</t>
  </si>
  <si>
    <t xml:space="preserve">      UG005</t>
  </si>
  <si>
    <t xml:space="preserve">      UG006</t>
  </si>
  <si>
    <t xml:space="preserve">      UG007</t>
  </si>
  <si>
    <t xml:space="preserve">      UG008</t>
  </si>
  <si>
    <t xml:space="preserve">      UG009</t>
  </si>
  <si>
    <t xml:space="preserve">      UG010</t>
  </si>
  <si>
    <t xml:space="preserve">      UG011</t>
  </si>
  <si>
    <t xml:space="preserve">      UG012</t>
  </si>
  <si>
    <t xml:space="preserve">      UG013</t>
  </si>
  <si>
    <t xml:space="preserve">      UG014</t>
  </si>
  <si>
    <t xml:space="preserve">      UG015</t>
  </si>
  <si>
    <t xml:space="preserve">      UG016</t>
  </si>
  <si>
    <t xml:space="preserve">      UG049</t>
  </si>
  <si>
    <t xml:space="preserve">      UG050</t>
  </si>
  <si>
    <t xml:space="preserve">      UG051</t>
  </si>
  <si>
    <t xml:space="preserve">      UG052</t>
  </si>
  <si>
    <t xml:space="preserve">      UG053</t>
  </si>
  <si>
    <t xml:space="preserve">      UG054</t>
  </si>
  <si>
    <t xml:space="preserve">      UG055</t>
  </si>
  <si>
    <t xml:space="preserve">      UG056</t>
  </si>
  <si>
    <t xml:space="preserve">      UG057</t>
  </si>
  <si>
    <t xml:space="preserve">      UG058</t>
  </si>
  <si>
    <t xml:space="preserve">      UG059</t>
  </si>
  <si>
    <t xml:space="preserve">      UG060</t>
  </si>
  <si>
    <t xml:space="preserve">      UG061</t>
  </si>
  <si>
    <t>LOT NO.26-1</t>
  </si>
  <si>
    <t xml:space="preserve">      UG062</t>
  </si>
  <si>
    <t xml:space="preserve">      UG063</t>
  </si>
  <si>
    <t xml:space="preserve">      UG064</t>
  </si>
  <si>
    <t>LOT NO.27</t>
  </si>
  <si>
    <t xml:space="preserve">      UG098</t>
  </si>
  <si>
    <t xml:space="preserve">      UG099</t>
  </si>
  <si>
    <t xml:space="preserve">      UG100</t>
  </si>
  <si>
    <t xml:space="preserve">      UG101</t>
  </si>
  <si>
    <t xml:space="preserve">      UG102</t>
  </si>
  <si>
    <t xml:space="preserve">      UG103</t>
  </si>
  <si>
    <t xml:space="preserve">      UG104</t>
  </si>
  <si>
    <t xml:space="preserve">      UG105</t>
  </si>
  <si>
    <t xml:space="preserve">      UG106</t>
  </si>
  <si>
    <t xml:space="preserve">      UG107</t>
  </si>
  <si>
    <t xml:space="preserve">      UG108</t>
  </si>
  <si>
    <t xml:space="preserve">      UG109</t>
  </si>
  <si>
    <t xml:space="preserve">      UG110</t>
  </si>
  <si>
    <t xml:space="preserve">      UG111</t>
  </si>
  <si>
    <t xml:space="preserve">      UG112</t>
  </si>
  <si>
    <t xml:space="preserve">      UG113</t>
  </si>
  <si>
    <t>LOT NO.28</t>
  </si>
  <si>
    <t xml:space="preserve">      UG065</t>
  </si>
  <si>
    <t xml:space="preserve">      UG066</t>
  </si>
  <si>
    <t xml:space="preserve">      UG067</t>
  </si>
  <si>
    <t xml:space="preserve">      UG068</t>
  </si>
  <si>
    <t xml:space="preserve">      UG069</t>
  </si>
  <si>
    <t xml:space="preserve">      UG070</t>
  </si>
  <si>
    <t xml:space="preserve">      UG071</t>
  </si>
  <si>
    <t xml:space="preserve">      UG072</t>
  </si>
  <si>
    <t xml:space="preserve">      UG074</t>
  </si>
  <si>
    <t>LOT NO.29</t>
  </si>
  <si>
    <t xml:space="preserve">      UG082</t>
  </si>
  <si>
    <t xml:space="preserve">      UG083</t>
  </si>
  <si>
    <t xml:space="preserve">      UG084</t>
  </si>
  <si>
    <t xml:space="preserve">      UG085</t>
  </si>
  <si>
    <t xml:space="preserve">      UG086</t>
  </si>
  <si>
    <t xml:space="preserve">      UG087</t>
  </si>
  <si>
    <t xml:space="preserve">      UG088</t>
  </si>
  <si>
    <t xml:space="preserve">      UG089</t>
  </si>
  <si>
    <t xml:space="preserve">      UG090</t>
  </si>
  <si>
    <t xml:space="preserve">      UG091</t>
  </si>
  <si>
    <t xml:space="preserve">      UG092</t>
  </si>
  <si>
    <t xml:space="preserve">      UG093</t>
  </si>
  <si>
    <t xml:space="preserve">      UG094</t>
  </si>
  <si>
    <t xml:space="preserve">      UG095</t>
  </si>
  <si>
    <t xml:space="preserve">      UG096</t>
  </si>
  <si>
    <t xml:space="preserve">      UG097</t>
  </si>
  <si>
    <t xml:space="preserve">    BZ015~1</t>
  </si>
  <si>
    <t xml:space="preserve">      UC022</t>
  </si>
  <si>
    <t xml:space="preserve">      UD013</t>
  </si>
  <si>
    <t xml:space="preserve">      UE019</t>
  </si>
  <si>
    <t xml:space="preserve">      UF001</t>
  </si>
  <si>
    <t xml:space="preserve">      UG002</t>
  </si>
  <si>
    <t>LOT NO.8Z</t>
  </si>
  <si>
    <t xml:space="preserve">      UT001</t>
  </si>
  <si>
    <t xml:space="preserve">      UT002</t>
  </si>
  <si>
    <t xml:space="preserve">      UT003</t>
  </si>
  <si>
    <t xml:space="preserve">      UT004</t>
  </si>
  <si>
    <t xml:space="preserve">      UT005</t>
  </si>
  <si>
    <t xml:space="preserve">      UT006</t>
  </si>
  <si>
    <t xml:space="preserve">      UT007</t>
  </si>
  <si>
    <t xml:space="preserve">      UT008</t>
  </si>
  <si>
    <t xml:space="preserve">      UT009</t>
  </si>
  <si>
    <t>----------------------------------------------------------------------------------------------------</t>
    <phoneticPr fontId="3" type="noConversion"/>
  </si>
  <si>
    <t>------------------------------------------------------------------------------------------------------</t>
    <phoneticPr fontId="3" type="noConversion"/>
  </si>
  <si>
    <t xml:space="preserve">--------------------------------------------------------------------------------------------------- </t>
    <phoneticPr fontId="3" type="noConversion"/>
  </si>
  <si>
    <t>SAY TOTAL SIX HUNDRED FORTY SIX ROLLS and SEVEN HUNDRED TEN PKGS (1356 ) ONLY.</t>
    <phoneticPr fontId="3" type="noConversion"/>
  </si>
  <si>
    <t>1356 PKGS</t>
    <phoneticPr fontId="3" type="noConversion"/>
  </si>
  <si>
    <t>FK0904NIR</t>
    <phoneticPr fontId="3" type="noConversion"/>
  </si>
  <si>
    <t>SEP.15,2026</t>
    <phoneticPr fontId="3" type="noConversion"/>
  </si>
  <si>
    <t xml:space="preserve"> </t>
    <phoneticPr fontId="3" type="noConversion"/>
  </si>
  <si>
    <t>KNITTED FABRIC  0715 BUY</t>
    <phoneticPr fontId="3" type="noConversion"/>
  </si>
  <si>
    <t xml:space="preserve"> Style# AE2996</t>
    <phoneticPr fontId="3" type="noConversion"/>
  </si>
  <si>
    <t>Style# AK2156/7645, AR2156, AW2156, AW7645</t>
    <phoneticPr fontId="3" type="noConversion"/>
  </si>
  <si>
    <t>Style# XE9956</t>
    <phoneticPr fontId="3" type="noConversion"/>
  </si>
  <si>
    <t>Style#CU1100</t>
    <phoneticPr fontId="3" type="noConversion"/>
  </si>
  <si>
    <t>Style# AJ9404</t>
    <phoneticPr fontId="3" type="noConversion"/>
  </si>
  <si>
    <t>Style# AJ9642</t>
    <phoneticPr fontId="3" type="noConversion"/>
  </si>
  <si>
    <t>Style# AE/AO2282, AE/AO9125,  AR/AK7147</t>
    <phoneticPr fontId="3" type="noConversion"/>
  </si>
  <si>
    <t xml:space="preserve">SAY TOTAL U.S. DOLLARS THREE HUNDRE THIRTY THOUSAND FOUR HUNDRED FIFTY SIX </t>
    <phoneticPr fontId="3" type="noConversion"/>
  </si>
  <si>
    <t>AND CENTS FORTY ONLY.</t>
    <phoneticPr fontId="3" type="noConversion"/>
  </si>
  <si>
    <t>PT NIRWANA ALABARE (in diamond)</t>
    <phoneticPr fontId="3" type="noConversion"/>
  </si>
  <si>
    <t>MADE IN TAIWAN</t>
    <phoneticPr fontId="3" type="noConversion"/>
  </si>
  <si>
    <t>P.O : 6K060253~254(0729BUY)</t>
    <phoneticPr fontId="3" type="noConversion"/>
  </si>
  <si>
    <t>ITEM : #070704(=XB6133)width 150CM</t>
    <phoneticPr fontId="3" type="noConversion"/>
  </si>
  <si>
    <t>COLOR : 10/99</t>
    <phoneticPr fontId="3" type="noConversion"/>
  </si>
  <si>
    <t>C/NO.1</t>
    <phoneticPr fontId="3" type="noConversion"/>
  </si>
  <si>
    <t>Q'TY: 200M ,100M</t>
    <phoneticPr fontId="3" type="noConversion"/>
  </si>
  <si>
    <t>N.W.25.65KGS G,W,31.315KGS</t>
    <phoneticPr fontId="3" type="noConversion"/>
  </si>
  <si>
    <t>P.O : 6K060807</t>
    <phoneticPr fontId="3" type="noConversion"/>
  </si>
  <si>
    <t>ITEM : #113339(=ME5013)width 150CM</t>
    <phoneticPr fontId="3" type="noConversion"/>
  </si>
  <si>
    <t>COLOR : 10</t>
    <phoneticPr fontId="3" type="noConversion"/>
  </si>
  <si>
    <t>C/NO.2-6</t>
    <phoneticPr fontId="3" type="noConversion"/>
  </si>
  <si>
    <t xml:space="preserve">N.W.9.3KGS,4.65KGS </t>
    <phoneticPr fontId="3" type="noConversion"/>
  </si>
  <si>
    <t>G.W.10.38KGS,51.19KGS</t>
    <phoneticPr fontId="3" type="noConversion"/>
  </si>
  <si>
    <t>MADE IN CHINA</t>
    <phoneticPr fontId="3" type="noConversion"/>
  </si>
  <si>
    <t>MADE IN TAIWAN / CHINA</t>
    <phoneticPr fontId="3" type="noConversion"/>
  </si>
  <si>
    <t>P.O : 6K060253+6K060807</t>
    <phoneticPr fontId="3" type="noConversion"/>
  </si>
  <si>
    <t>ITEM : #07074(=XB6133)width 150CM</t>
    <phoneticPr fontId="3" type="noConversion"/>
  </si>
  <si>
    <t>ITEM : #113339(=XME5013)width 150CM</t>
    <phoneticPr fontId="3" type="noConversion"/>
  </si>
  <si>
    <t>COLOR : 99/10</t>
    <phoneticPr fontId="3" type="noConversion"/>
  </si>
  <si>
    <t>C/NO.7-8</t>
    <phoneticPr fontId="3" type="noConversion"/>
  </si>
  <si>
    <t>Q'TY: 100M</t>
    <phoneticPr fontId="3" type="noConversion"/>
  </si>
  <si>
    <t xml:space="preserve">N.W.8.55KGS,4.65KGS </t>
    <phoneticPr fontId="3" type="noConversion"/>
  </si>
  <si>
    <t>G.W.9.105KGS,51.19KGS</t>
    <phoneticPr fontId="3" type="noConversion"/>
  </si>
  <si>
    <t xml:space="preserve"> (IN TRI)</t>
    <phoneticPr fontId="3" type="noConversion"/>
  </si>
  <si>
    <t xml:space="preserve"> (IN TRI.)</t>
    <phoneticPr fontId="3" type="noConversion"/>
  </si>
  <si>
    <r>
      <rPr>
        <sz val="12"/>
        <rFont val="細明體"/>
        <family val="3"/>
        <charset val="136"/>
      </rPr>
      <t>發貨單號</t>
    </r>
    <phoneticPr fontId="26" type="noConversion"/>
  </si>
  <si>
    <r>
      <rPr>
        <sz val="12"/>
        <rFont val="細明體"/>
        <family val="3"/>
        <charset val="136"/>
      </rPr>
      <t>出庫訂單號</t>
    </r>
    <phoneticPr fontId="26" type="noConversion"/>
  </si>
  <si>
    <t>PI NUMBER</t>
    <phoneticPr fontId="26" type="noConversion"/>
  </si>
  <si>
    <t>PO NUMBER</t>
    <phoneticPr fontId="9" type="noConversion"/>
  </si>
  <si>
    <t>ITEM</t>
  </si>
  <si>
    <r>
      <rPr>
        <sz val="12"/>
        <rFont val="細明體"/>
        <family val="3"/>
        <charset val="136"/>
      </rPr>
      <t>颜色</t>
    </r>
  </si>
  <si>
    <t>COLOR NAME</t>
    <phoneticPr fontId="26" type="noConversion"/>
  </si>
  <si>
    <r>
      <rPr>
        <sz val="12"/>
        <rFont val="細明體"/>
        <family val="3"/>
        <charset val="136"/>
      </rPr>
      <t>色號</t>
    </r>
    <phoneticPr fontId="26" type="noConversion"/>
  </si>
  <si>
    <t>LOT NUMBER</t>
    <phoneticPr fontId="9" type="noConversion"/>
  </si>
  <si>
    <r>
      <rPr>
        <sz val="12"/>
        <rFont val="細明體"/>
        <family val="3"/>
        <charset val="136"/>
      </rPr>
      <t>序號</t>
    </r>
  </si>
  <si>
    <r>
      <rPr>
        <sz val="12"/>
        <rFont val="細明體"/>
        <family val="3"/>
        <charset val="136"/>
      </rPr>
      <t>疋号</t>
    </r>
  </si>
  <si>
    <t>QTY (Y)</t>
    <phoneticPr fontId="26" type="noConversion"/>
  </si>
  <si>
    <t xml:space="preserve">Net Weight(kg) </t>
    <phoneticPr fontId="9" type="noConversion"/>
  </si>
  <si>
    <t>Gross Weight(kg)</t>
    <phoneticPr fontId="9" type="noConversion"/>
  </si>
  <si>
    <r>
      <rPr>
        <sz val="12"/>
        <rFont val="細明體"/>
        <family val="3"/>
        <charset val="136"/>
      </rPr>
      <t>讓碼</t>
    </r>
    <phoneticPr fontId="26" type="noConversion"/>
  </si>
  <si>
    <t>D26K8B3700</t>
  </si>
  <si>
    <t>27CD74418A9</t>
  </si>
  <si>
    <t>26K7084800A1</t>
  </si>
  <si>
    <t>FK-NIRWANA-CS S27-0715BUY</t>
  </si>
  <si>
    <r>
      <rPr>
        <sz val="12"/>
        <color indexed="8"/>
        <rFont val="細明體"/>
        <family val="3"/>
        <charset val="136"/>
      </rPr>
      <t>城市灰</t>
    </r>
  </si>
  <si>
    <t>City Grey</t>
  </si>
  <si>
    <t>CIGR3</t>
  </si>
  <si>
    <t>CG-16</t>
  </si>
  <si>
    <t>J001</t>
  </si>
  <si>
    <t>001</t>
  </si>
  <si>
    <t>J002</t>
  </si>
  <si>
    <t>002</t>
  </si>
  <si>
    <t>J003</t>
  </si>
  <si>
    <t>003</t>
  </si>
  <si>
    <t>J004</t>
  </si>
  <si>
    <t>004</t>
  </si>
  <si>
    <t>FK-NIRWANA-CS S27-0715BUY</t>
    <phoneticPr fontId="9" type="noConversion"/>
  </si>
  <si>
    <t>J005</t>
  </si>
  <si>
    <t>005</t>
  </si>
  <si>
    <t>J006</t>
  </si>
  <si>
    <t>006</t>
  </si>
  <si>
    <t>J007</t>
  </si>
  <si>
    <t>007</t>
  </si>
  <si>
    <r>
      <rPr>
        <sz val="12"/>
        <color indexed="8"/>
        <rFont val="細明體"/>
        <family val="3"/>
        <charset val="136"/>
      </rPr>
      <t>冷灰</t>
    </r>
  </si>
  <si>
    <t>Cool Grey</t>
  </si>
  <si>
    <t>COGR1</t>
  </si>
  <si>
    <t>CO-46</t>
  </si>
  <si>
    <t>H001</t>
  </si>
  <si>
    <t>H002</t>
  </si>
  <si>
    <t>H003</t>
  </si>
  <si>
    <t>H004</t>
  </si>
  <si>
    <t>H005</t>
  </si>
  <si>
    <t>H006</t>
  </si>
  <si>
    <t>H007</t>
  </si>
  <si>
    <t>H008</t>
  </si>
  <si>
    <t>008</t>
  </si>
  <si>
    <t>H009</t>
  </si>
  <si>
    <t>009</t>
  </si>
  <si>
    <t>H010</t>
  </si>
  <si>
    <t>010</t>
  </si>
  <si>
    <t>H011</t>
  </si>
  <si>
    <t>011</t>
  </si>
  <si>
    <t>H012</t>
  </si>
  <si>
    <t>012</t>
  </si>
  <si>
    <t>H013</t>
  </si>
  <si>
    <t>013</t>
  </si>
  <si>
    <t>H014</t>
  </si>
  <si>
    <t>014</t>
  </si>
  <si>
    <t>H015</t>
  </si>
  <si>
    <t>015</t>
  </si>
  <si>
    <t>H016</t>
  </si>
  <si>
    <t>016</t>
  </si>
  <si>
    <t>CO-48</t>
  </si>
  <si>
    <t>G008</t>
  </si>
  <si>
    <t>G009</t>
  </si>
  <si>
    <t>G010</t>
  </si>
  <si>
    <t>G011</t>
  </si>
  <si>
    <t>G012</t>
  </si>
  <si>
    <t>G013</t>
  </si>
  <si>
    <t>G014</t>
  </si>
  <si>
    <t>G015</t>
  </si>
  <si>
    <t>G016</t>
  </si>
  <si>
    <t>G017</t>
  </si>
  <si>
    <t>017</t>
  </si>
  <si>
    <t>G018</t>
  </si>
  <si>
    <t>018</t>
  </si>
  <si>
    <t>G019</t>
  </si>
  <si>
    <t>019</t>
  </si>
  <si>
    <t>G020</t>
  </si>
  <si>
    <t>020</t>
  </si>
  <si>
    <t>G021</t>
  </si>
  <si>
    <t>021</t>
  </si>
  <si>
    <t>G022</t>
  </si>
  <si>
    <t>022</t>
  </si>
  <si>
    <t>023</t>
  </si>
  <si>
    <r>
      <rPr>
        <sz val="12"/>
        <color indexed="8"/>
        <rFont val="細明體"/>
        <family val="3"/>
        <charset val="136"/>
      </rPr>
      <t>烤灰</t>
    </r>
  </si>
  <si>
    <t>Grill</t>
  </si>
  <si>
    <t>GRI1</t>
  </si>
  <si>
    <t>GI-9</t>
  </si>
  <si>
    <t>K001</t>
  </si>
  <si>
    <t>K002</t>
  </si>
  <si>
    <r>
      <rPr>
        <sz val="12"/>
        <color indexed="8"/>
        <rFont val="細明體"/>
        <family val="3"/>
        <charset val="136"/>
      </rPr>
      <t>墓石綠</t>
    </r>
  </si>
  <si>
    <t>Stone Green</t>
  </si>
  <si>
    <t>STGR1</t>
  </si>
  <si>
    <t>SG-59</t>
  </si>
  <si>
    <t>G001</t>
  </si>
  <si>
    <t>G002</t>
  </si>
  <si>
    <t>G003</t>
  </si>
  <si>
    <t>G004</t>
  </si>
  <si>
    <t>G005</t>
  </si>
  <si>
    <t>G006</t>
  </si>
  <si>
    <t>G007</t>
  </si>
  <si>
    <r>
      <rPr>
        <sz val="12"/>
        <color indexed="8"/>
        <rFont val="細明體"/>
        <family val="3"/>
        <charset val="136"/>
      </rPr>
      <t>白</t>
    </r>
  </si>
  <si>
    <t>White</t>
  </si>
  <si>
    <t>WHI1</t>
  </si>
  <si>
    <t>WH-63</t>
  </si>
  <si>
    <t>H0001</t>
  </si>
  <si>
    <t>H0002</t>
  </si>
  <si>
    <t>H0003</t>
  </si>
  <si>
    <t>H0004</t>
  </si>
  <si>
    <t>H0005</t>
  </si>
  <si>
    <t>H0006</t>
  </si>
  <si>
    <t>H0007</t>
  </si>
  <si>
    <t>H0008</t>
  </si>
  <si>
    <t>H0009</t>
  </si>
  <si>
    <t>H0010</t>
  </si>
  <si>
    <t>H0011</t>
  </si>
  <si>
    <t>H0012</t>
  </si>
  <si>
    <t>H0013</t>
  </si>
  <si>
    <t>H0014</t>
  </si>
  <si>
    <t>H0015</t>
  </si>
  <si>
    <t>H0016</t>
  </si>
  <si>
    <t>H0017</t>
  </si>
  <si>
    <t>H0018</t>
  </si>
  <si>
    <t>H0019</t>
  </si>
  <si>
    <t>H0020</t>
  </si>
  <si>
    <t>H0021</t>
  </si>
  <si>
    <t>H0022</t>
  </si>
  <si>
    <t>H0023</t>
  </si>
  <si>
    <t>H0024</t>
  </si>
  <si>
    <t>024</t>
  </si>
  <si>
    <t>WH-64</t>
  </si>
  <si>
    <t>H0025</t>
  </si>
  <si>
    <t>027</t>
  </si>
  <si>
    <t>H0026</t>
  </si>
  <si>
    <t>028</t>
  </si>
  <si>
    <t>H0027</t>
  </si>
  <si>
    <t>029</t>
  </si>
  <si>
    <t>H0028</t>
  </si>
  <si>
    <t>030</t>
  </si>
  <si>
    <t>H0029</t>
  </si>
  <si>
    <t>031</t>
  </si>
  <si>
    <t>H0030</t>
  </si>
  <si>
    <t>032</t>
  </si>
  <si>
    <t>H0031</t>
  </si>
  <si>
    <t>033</t>
  </si>
  <si>
    <t>H0032</t>
  </si>
  <si>
    <t>034</t>
  </si>
  <si>
    <t>H0033</t>
  </si>
  <si>
    <t>035</t>
  </si>
  <si>
    <t>H0034</t>
  </si>
  <si>
    <t>036</t>
  </si>
  <si>
    <t>H0035</t>
  </si>
  <si>
    <t>037</t>
  </si>
  <si>
    <t>H0036</t>
  </si>
  <si>
    <t>038</t>
  </si>
  <si>
    <t>H0037</t>
  </si>
  <si>
    <t>039</t>
  </si>
  <si>
    <t>H0038</t>
  </si>
  <si>
    <t>040</t>
  </si>
  <si>
    <t>H0039</t>
  </si>
  <si>
    <t>041</t>
  </si>
  <si>
    <t>H0040</t>
  </si>
  <si>
    <t>042</t>
  </si>
  <si>
    <t>H0041</t>
  </si>
  <si>
    <t>043</t>
  </si>
  <si>
    <t>D26K876700</t>
  </si>
  <si>
    <t>27CD02908A1</t>
  </si>
  <si>
    <t>26K7086600A1</t>
  </si>
  <si>
    <r>
      <rPr>
        <sz val="12"/>
        <color indexed="8"/>
        <rFont val="細明體"/>
        <family val="3"/>
        <charset val="136"/>
      </rPr>
      <t>裸石紫</t>
    </r>
  </si>
  <si>
    <t>Amethyst Tide</t>
  </si>
  <si>
    <t>AMTI1</t>
  </si>
  <si>
    <t>RQ1</t>
  </si>
  <si>
    <t>C0115</t>
  </si>
  <si>
    <t>115</t>
  </si>
  <si>
    <t>C0116</t>
  </si>
  <si>
    <t>116</t>
  </si>
  <si>
    <t>C0117</t>
  </si>
  <si>
    <t>117</t>
  </si>
  <si>
    <t>C0118</t>
  </si>
  <si>
    <t>118</t>
  </si>
  <si>
    <t>C0119</t>
  </si>
  <si>
    <t>119</t>
  </si>
  <si>
    <t>C0120</t>
  </si>
  <si>
    <t>120</t>
  </si>
  <si>
    <t>C0121</t>
  </si>
  <si>
    <t>121</t>
  </si>
  <si>
    <t>C0122</t>
  </si>
  <si>
    <t>122</t>
  </si>
  <si>
    <t>C0123</t>
  </si>
  <si>
    <t>123</t>
  </si>
  <si>
    <t>C0124</t>
  </si>
  <si>
    <t>124</t>
  </si>
  <si>
    <t>C0125</t>
  </si>
  <si>
    <t>125</t>
  </si>
  <si>
    <t>C0126</t>
  </si>
  <si>
    <t>126</t>
  </si>
  <si>
    <t>C0127</t>
  </si>
  <si>
    <t>127</t>
  </si>
  <si>
    <t>C0128</t>
  </si>
  <si>
    <t>128</t>
  </si>
  <si>
    <t>C0129</t>
  </si>
  <si>
    <t>129</t>
  </si>
  <si>
    <t>C0130</t>
  </si>
  <si>
    <t>130</t>
  </si>
  <si>
    <r>
      <rPr>
        <sz val="12"/>
        <color indexed="8"/>
        <rFont val="細明體"/>
        <family val="3"/>
        <charset val="136"/>
      </rPr>
      <t>黑</t>
    </r>
  </si>
  <si>
    <t>Black</t>
  </si>
  <si>
    <t>BLA1</t>
  </si>
  <si>
    <t>K7</t>
  </si>
  <si>
    <t>C0105</t>
  </si>
  <si>
    <t>105</t>
  </si>
  <si>
    <t>C0106</t>
  </si>
  <si>
    <t>106</t>
  </si>
  <si>
    <t>C0107</t>
  </si>
  <si>
    <t>107</t>
  </si>
  <si>
    <t>C0108</t>
  </si>
  <si>
    <t>108</t>
  </si>
  <si>
    <t>C0109</t>
  </si>
  <si>
    <t>109</t>
  </si>
  <si>
    <t>C0110</t>
  </si>
  <si>
    <t>110</t>
  </si>
  <si>
    <t>C0111</t>
  </si>
  <si>
    <t>111</t>
  </si>
  <si>
    <t>K8</t>
  </si>
  <si>
    <t>006-1</t>
  </si>
  <si>
    <t>K9</t>
  </si>
  <si>
    <t>C0097</t>
  </si>
  <si>
    <t>097</t>
  </si>
  <si>
    <t>C0098</t>
  </si>
  <si>
    <t>098</t>
  </si>
  <si>
    <t>C0099</t>
  </si>
  <si>
    <t>099</t>
  </si>
  <si>
    <t>C0100</t>
  </si>
  <si>
    <t>100</t>
  </si>
  <si>
    <t>C0101</t>
  </si>
  <si>
    <t>101</t>
  </si>
  <si>
    <t>C0102</t>
  </si>
  <si>
    <t>102</t>
  </si>
  <si>
    <t>C0103</t>
  </si>
  <si>
    <t>103</t>
  </si>
  <si>
    <t>C0104</t>
  </si>
  <si>
    <t>104</t>
  </si>
  <si>
    <r>
      <rPr>
        <sz val="12"/>
        <color indexed="8"/>
        <rFont val="細明體"/>
        <family val="3"/>
        <charset val="136"/>
      </rPr>
      <t>碳藍</t>
    </r>
  </si>
  <si>
    <t>Carbon</t>
  </si>
  <si>
    <t>CAR2</t>
  </si>
  <si>
    <t>P3</t>
  </si>
  <si>
    <t>C0062</t>
  </si>
  <si>
    <t>062</t>
  </si>
  <si>
    <t>C0063</t>
  </si>
  <si>
    <t>063</t>
  </si>
  <si>
    <t>C0064</t>
  </si>
  <si>
    <t>064</t>
  </si>
  <si>
    <t>C0065</t>
  </si>
  <si>
    <t>065</t>
  </si>
  <si>
    <t>C0066</t>
  </si>
  <si>
    <t>066</t>
  </si>
  <si>
    <t>C0067</t>
  </si>
  <si>
    <t>067</t>
  </si>
  <si>
    <t>C0068</t>
  </si>
  <si>
    <t>068</t>
  </si>
  <si>
    <t>C0069</t>
  </si>
  <si>
    <t>069</t>
  </si>
  <si>
    <t>C0070</t>
  </si>
  <si>
    <t>070</t>
  </si>
  <si>
    <t>C0071</t>
  </si>
  <si>
    <t>071</t>
  </si>
  <si>
    <t>C0072</t>
  </si>
  <si>
    <t>072</t>
  </si>
  <si>
    <t>C0073</t>
  </si>
  <si>
    <t>073</t>
  </si>
  <si>
    <t>C0074</t>
  </si>
  <si>
    <t>074</t>
  </si>
  <si>
    <t>C0075</t>
  </si>
  <si>
    <t>075</t>
  </si>
  <si>
    <t>C0076</t>
  </si>
  <si>
    <t>076</t>
  </si>
  <si>
    <t>C0077</t>
  </si>
  <si>
    <t>077</t>
  </si>
  <si>
    <t>C0078</t>
  </si>
  <si>
    <t>078</t>
  </si>
  <si>
    <r>
      <rPr>
        <sz val="12"/>
        <color indexed="8"/>
        <rFont val="細明體"/>
        <family val="3"/>
        <charset val="136"/>
      </rPr>
      <t>學士藍</t>
    </r>
  </si>
  <si>
    <t>Collegiate Navy</t>
  </si>
  <si>
    <t>CONA2</t>
  </si>
  <si>
    <t>U1</t>
  </si>
  <si>
    <t>C0080</t>
  </si>
  <si>
    <t>080</t>
  </si>
  <si>
    <t>C0081</t>
  </si>
  <si>
    <t>081</t>
  </si>
  <si>
    <t>C0082</t>
  </si>
  <si>
    <t>082</t>
  </si>
  <si>
    <t>C0083</t>
  </si>
  <si>
    <t>083</t>
  </si>
  <si>
    <t>C0084</t>
  </si>
  <si>
    <t>084</t>
  </si>
  <si>
    <t>C0085</t>
  </si>
  <si>
    <t>085</t>
  </si>
  <si>
    <t>C0086</t>
  </si>
  <si>
    <t>086</t>
  </si>
  <si>
    <t>C0087</t>
  </si>
  <si>
    <t>087</t>
  </si>
  <si>
    <t>C0088</t>
  </si>
  <si>
    <t>088</t>
  </si>
  <si>
    <t>C0089</t>
  </si>
  <si>
    <t>089</t>
  </si>
  <si>
    <t>C0090</t>
  </si>
  <si>
    <t>090</t>
  </si>
  <si>
    <t>C0091</t>
  </si>
  <si>
    <t>091</t>
  </si>
  <si>
    <t>C0092</t>
  </si>
  <si>
    <t>093</t>
  </si>
  <si>
    <t>C0093</t>
  </si>
  <si>
    <t>094</t>
  </si>
  <si>
    <t>C0094</t>
  </si>
  <si>
    <t>095</t>
  </si>
  <si>
    <r>
      <rPr>
        <sz val="12"/>
        <color indexed="8"/>
        <rFont val="細明體"/>
        <family val="3"/>
        <charset val="136"/>
      </rPr>
      <t>礁石藍</t>
    </r>
  </si>
  <si>
    <t>Reef</t>
  </si>
  <si>
    <t>REE1</t>
  </si>
  <si>
    <t>V1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</si>
  <si>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</si>
  <si>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</si>
  <si>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</si>
  <si>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</si>
  <si>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</si>
  <si>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</si>
  <si>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</si>
  <si>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</si>
  <si>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</si>
  <si>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</si>
  <si>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</si>
  <si>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</si>
  <si>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</si>
  <si>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r>
      <rPr>
        <sz val="12"/>
        <color indexed="8"/>
        <rFont val="細明體"/>
        <family val="3"/>
        <charset val="136"/>
      </rPr>
      <t>制服藍</t>
    </r>
  </si>
  <si>
    <t>White Cap</t>
  </si>
  <si>
    <t>WHCA1</t>
  </si>
  <si>
    <t>W1</t>
  </si>
  <si>
    <t>C0050</t>
  </si>
  <si>
    <t>050</t>
  </si>
  <si>
    <t>C0051</t>
  </si>
  <si>
    <t>051</t>
  </si>
  <si>
    <t>C0052</t>
  </si>
  <si>
    <t>052</t>
  </si>
  <si>
    <t>C0053</t>
  </si>
  <si>
    <t>054</t>
  </si>
  <si>
    <t>C0054</t>
  </si>
  <si>
    <t>055</t>
  </si>
  <si>
    <t>C0055</t>
  </si>
  <si>
    <t>056</t>
  </si>
  <si>
    <t>C0056</t>
  </si>
  <si>
    <t>057</t>
  </si>
  <si>
    <t>C0057</t>
  </si>
  <si>
    <t>058</t>
  </si>
  <si>
    <t>C0058</t>
  </si>
  <si>
    <t>059</t>
  </si>
  <si>
    <t>C0059</t>
  </si>
  <si>
    <t>060</t>
  </si>
  <si>
    <t>I26</t>
  </si>
  <si>
    <t>C0132</t>
  </si>
  <si>
    <t>132</t>
  </si>
  <si>
    <t>C0133</t>
  </si>
  <si>
    <t>133</t>
  </si>
  <si>
    <t>C0134</t>
  </si>
  <si>
    <t>134</t>
  </si>
  <si>
    <t>C0135</t>
  </si>
  <si>
    <t>135</t>
  </si>
  <si>
    <t>C0136</t>
  </si>
  <si>
    <t>136</t>
  </si>
  <si>
    <t>C0137</t>
  </si>
  <si>
    <t>137</t>
  </si>
  <si>
    <t>C0138</t>
  </si>
  <si>
    <t>138</t>
  </si>
  <si>
    <t>C0139</t>
  </si>
  <si>
    <t>139</t>
  </si>
  <si>
    <t>C0140</t>
  </si>
  <si>
    <t>140</t>
  </si>
  <si>
    <t>C0141</t>
  </si>
  <si>
    <t>142</t>
  </si>
  <si>
    <t>C0142</t>
  </si>
  <si>
    <t>143</t>
  </si>
  <si>
    <t>C0143</t>
  </si>
  <si>
    <t>144</t>
  </si>
  <si>
    <t>C0144</t>
  </si>
  <si>
    <t>145</t>
  </si>
  <si>
    <t>C0145</t>
  </si>
  <si>
    <t>146</t>
  </si>
  <si>
    <t>C0146</t>
  </si>
  <si>
    <t>147</t>
  </si>
  <si>
    <t>I27</t>
  </si>
  <si>
    <t>C0150</t>
  </si>
  <si>
    <t>150</t>
  </si>
  <si>
    <t>C0151</t>
  </si>
  <si>
    <t>151</t>
  </si>
  <si>
    <t>C0152</t>
  </si>
  <si>
    <t>152</t>
  </si>
  <si>
    <t>C0153</t>
  </si>
  <si>
    <t>153</t>
  </si>
  <si>
    <t>C0154</t>
  </si>
  <si>
    <t>154</t>
  </si>
  <si>
    <t>C0155</t>
  </si>
  <si>
    <t>155</t>
  </si>
  <si>
    <t>C0156</t>
  </si>
  <si>
    <t>156</t>
  </si>
  <si>
    <t>C0157</t>
  </si>
  <si>
    <t>157</t>
  </si>
  <si>
    <t>C0158</t>
  </si>
  <si>
    <t>158</t>
  </si>
  <si>
    <t>C0159</t>
  </si>
  <si>
    <t>159</t>
  </si>
  <si>
    <t>C0160</t>
  </si>
  <si>
    <t>160</t>
  </si>
  <si>
    <t>C0161</t>
  </si>
  <si>
    <t>161</t>
  </si>
  <si>
    <t>C0162</t>
  </si>
  <si>
    <t>162</t>
  </si>
  <si>
    <t>C0163</t>
  </si>
  <si>
    <t>163</t>
  </si>
  <si>
    <t>C0164</t>
  </si>
  <si>
    <t>164</t>
  </si>
  <si>
    <t>C0165</t>
  </si>
  <si>
    <t>165</t>
  </si>
  <si>
    <t>I28</t>
  </si>
  <si>
    <t>C0166</t>
  </si>
  <si>
    <t>166</t>
  </si>
  <si>
    <t>C0167</t>
  </si>
  <si>
    <t>167</t>
  </si>
  <si>
    <t>C0168</t>
  </si>
  <si>
    <t>168</t>
  </si>
  <si>
    <t>C0169</t>
  </si>
  <si>
    <t>169</t>
  </si>
  <si>
    <t>C0170</t>
  </si>
  <si>
    <t>170</t>
  </si>
  <si>
    <t>C0171</t>
  </si>
  <si>
    <t>171</t>
  </si>
  <si>
    <t>C0172</t>
  </si>
  <si>
    <t>172</t>
  </si>
  <si>
    <t>C0173</t>
  </si>
  <si>
    <t>173</t>
  </si>
  <si>
    <t>C0174</t>
  </si>
  <si>
    <t>174</t>
  </si>
  <si>
    <t>C0175</t>
  </si>
  <si>
    <t>175</t>
  </si>
  <si>
    <t>C0176</t>
  </si>
  <si>
    <t>176</t>
  </si>
  <si>
    <t>C0177</t>
  </si>
  <si>
    <t>177</t>
  </si>
  <si>
    <t>D26K877000</t>
  </si>
  <si>
    <t>27CD74418B2</t>
  </si>
  <si>
    <t>26K8009800A1</t>
  </si>
  <si>
    <t>FK-NIRWANA-CS S27-0729BUY</t>
  </si>
  <si>
    <r>
      <rPr>
        <sz val="12"/>
        <color indexed="8"/>
        <rFont val="細明體"/>
        <family val="3"/>
        <charset val="136"/>
      </rPr>
      <t>考古棕</t>
    </r>
  </si>
  <si>
    <t>Ancient Fossil</t>
  </si>
  <si>
    <t>ANFO1</t>
  </si>
  <si>
    <t>AN-41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</si>
  <si>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</si>
  <si>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</si>
  <si>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</si>
  <si>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</si>
  <si>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</si>
  <si>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</si>
  <si>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</si>
  <si>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</si>
  <si>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</si>
  <si>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</si>
  <si>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</si>
  <si>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</si>
  <si>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</si>
  <si>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</si>
  <si>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</si>
  <si>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</si>
  <si>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</si>
  <si>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</si>
  <si>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</si>
  <si>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BL-123</t>
  </si>
  <si>
    <t>F043</t>
  </si>
  <si>
    <t>F044</t>
  </si>
  <si>
    <t>044</t>
  </si>
  <si>
    <t>F045</t>
  </si>
  <si>
    <t>045</t>
  </si>
  <si>
    <t>F046</t>
  </si>
  <si>
    <t>046</t>
  </si>
  <si>
    <t>BL-124</t>
  </si>
  <si>
    <t>F001</t>
  </si>
  <si>
    <t>F002</t>
  </si>
  <si>
    <t>F003</t>
  </si>
  <si>
    <t>F004</t>
  </si>
  <si>
    <t>F005</t>
  </si>
  <si>
    <t>F006</t>
  </si>
  <si>
    <t>F007</t>
  </si>
  <si>
    <t>F008</t>
  </si>
  <si>
    <t>F009</t>
  </si>
  <si>
    <t>F010</t>
  </si>
  <si>
    <t>F011</t>
  </si>
  <si>
    <t>F012</t>
  </si>
  <si>
    <t>F013</t>
  </si>
  <si>
    <t>F014</t>
  </si>
  <si>
    <t>F015</t>
  </si>
  <si>
    <t>F016</t>
  </si>
  <si>
    <t>F017</t>
  </si>
  <si>
    <t>F018</t>
  </si>
  <si>
    <t>F019</t>
  </si>
  <si>
    <t>F020</t>
  </si>
  <si>
    <t>F021</t>
  </si>
  <si>
    <t>F022</t>
  </si>
  <si>
    <t>F023</t>
  </si>
  <si>
    <t>F024</t>
  </si>
  <si>
    <t>F025</t>
  </si>
  <si>
    <t>025</t>
  </si>
  <si>
    <t>F026</t>
  </si>
  <si>
    <t>026</t>
  </si>
  <si>
    <t>F027</t>
  </si>
  <si>
    <t>F028</t>
  </si>
  <si>
    <t>F029</t>
  </si>
  <si>
    <t>F030</t>
  </si>
  <si>
    <t>F031</t>
  </si>
  <si>
    <t>F032</t>
  </si>
  <si>
    <t>F033</t>
  </si>
  <si>
    <t>F034</t>
  </si>
  <si>
    <t>F035</t>
  </si>
  <si>
    <t>F036</t>
  </si>
  <si>
    <t>F037</t>
  </si>
  <si>
    <t>F038</t>
  </si>
  <si>
    <t>F039</t>
  </si>
  <si>
    <t>F040</t>
  </si>
  <si>
    <t>F041</t>
  </si>
  <si>
    <t>F042</t>
  </si>
  <si>
    <t>BL-126</t>
  </si>
  <si>
    <t>A001</t>
  </si>
  <si>
    <t>A002</t>
  </si>
  <si>
    <t>A003</t>
  </si>
  <si>
    <t>A004</t>
  </si>
  <si>
    <t>A007</t>
  </si>
  <si>
    <t>A008</t>
  </si>
  <si>
    <t>A009</t>
  </si>
  <si>
    <t>A010</t>
  </si>
  <si>
    <t>A011</t>
  </si>
  <si>
    <t>A013</t>
  </si>
  <si>
    <t>A014</t>
  </si>
  <si>
    <t>A016</t>
  </si>
  <si>
    <t>A017</t>
  </si>
  <si>
    <t>BL-128</t>
  </si>
  <si>
    <t>A060</t>
  </si>
  <si>
    <t>A061</t>
  </si>
  <si>
    <t>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</si>
  <si>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</si>
  <si>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</si>
  <si>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</si>
  <si>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</si>
  <si>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</si>
  <si>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</si>
  <si>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</si>
  <si>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</si>
  <si>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</si>
  <si>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</si>
  <si>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</si>
  <si>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</si>
  <si>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</si>
  <si>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</si>
  <si>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</si>
  <si>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</si>
  <si>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</si>
  <si>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</si>
  <si>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</si>
  <si>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</si>
  <si>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</si>
  <si>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</si>
  <si>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</si>
  <si>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</si>
  <si>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</si>
  <si>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</si>
  <si>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</si>
  <si>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</si>
  <si>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</si>
  <si>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</si>
  <si>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</si>
  <si>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</si>
  <si>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092</t>
  </si>
  <si>
    <t>A093</t>
  </si>
  <si>
    <t>A094</t>
  </si>
  <si>
    <t>A095</t>
  </si>
  <si>
    <t>A096</t>
  </si>
  <si>
    <t>096</t>
  </si>
  <si>
    <t>A097</t>
  </si>
  <si>
    <t>A098</t>
  </si>
  <si>
    <t>A099</t>
  </si>
  <si>
    <t>A100</t>
  </si>
  <si>
    <t>A101</t>
  </si>
  <si>
    <t>BL-129</t>
  </si>
  <si>
    <t>A0102</t>
  </si>
  <si>
    <t>A0103</t>
  </si>
  <si>
    <t>A0104</t>
  </si>
  <si>
    <t>A0105</t>
  </si>
  <si>
    <t>A0106</t>
  </si>
  <si>
    <t>A0107</t>
  </si>
  <si>
    <t>A0108</t>
  </si>
  <si>
    <t>A0109</t>
  </si>
  <si>
    <t>A0110</t>
  </si>
  <si>
    <t>A0111</t>
  </si>
  <si>
    <t>A0112</t>
  </si>
  <si>
    <t>112</t>
  </si>
  <si>
    <t>A0113</t>
  </si>
  <si>
    <t>113</t>
  </si>
  <si>
    <t>A0114</t>
  </si>
  <si>
    <t>114</t>
  </si>
  <si>
    <t>A0115</t>
  </si>
  <si>
    <t>A0116</t>
  </si>
  <si>
    <t>A0117</t>
  </si>
  <si>
    <t>A0118</t>
  </si>
  <si>
    <t>A0119</t>
  </si>
  <si>
    <t>A0120</t>
  </si>
  <si>
    <t>A0121</t>
  </si>
  <si>
    <t>A0122</t>
  </si>
  <si>
    <t>A0123</t>
  </si>
  <si>
    <t>A0124</t>
  </si>
  <si>
    <t>A0125</t>
  </si>
  <si>
    <t>A0126</t>
  </si>
  <si>
    <t>A0127</t>
  </si>
  <si>
    <t>A0128</t>
  </si>
  <si>
    <t>A0129</t>
  </si>
  <si>
    <t>A0130</t>
  </si>
  <si>
    <t>A0131</t>
  </si>
  <si>
    <t>131</t>
  </si>
  <si>
    <t>A0132</t>
  </si>
  <si>
    <t>A0133</t>
  </si>
  <si>
    <t>A0134</t>
  </si>
  <si>
    <t>A0135</t>
  </si>
  <si>
    <t>A0136</t>
  </si>
  <si>
    <t>A0137</t>
  </si>
  <si>
    <t>A0138</t>
  </si>
  <si>
    <t>A0139</t>
  </si>
  <si>
    <t>A0140</t>
  </si>
  <si>
    <t>A0141</t>
  </si>
  <si>
    <t>141</t>
  </si>
  <si>
    <t>A0142</t>
  </si>
  <si>
    <t>A0143</t>
  </si>
  <si>
    <t>BL-130</t>
  </si>
  <si>
    <t>A0144</t>
  </si>
  <si>
    <t>A0145</t>
  </si>
  <si>
    <t>A0146</t>
  </si>
  <si>
    <t>A0147</t>
  </si>
  <si>
    <t>A0148</t>
  </si>
  <si>
    <t>148</t>
  </si>
  <si>
    <t>A0149</t>
  </si>
  <si>
    <t>149</t>
  </si>
  <si>
    <t>A0150</t>
  </si>
  <si>
    <t>A0151</t>
  </si>
  <si>
    <t>A0152</t>
  </si>
  <si>
    <t>A0153</t>
  </si>
  <si>
    <t>A0154</t>
  </si>
  <si>
    <t>A0155</t>
  </si>
  <si>
    <t>A0156</t>
  </si>
  <si>
    <t>A0157</t>
  </si>
  <si>
    <t>A0158</t>
  </si>
  <si>
    <t>A0159</t>
  </si>
  <si>
    <t>A0160</t>
  </si>
  <si>
    <t>A0161</t>
  </si>
  <si>
    <t>A0162</t>
  </si>
  <si>
    <t>A0163</t>
  </si>
  <si>
    <t>A0164</t>
  </si>
  <si>
    <t>A0165</t>
  </si>
  <si>
    <t>A0166</t>
  </si>
  <si>
    <t>A0167</t>
  </si>
  <si>
    <t>A0168</t>
  </si>
  <si>
    <t>A0169</t>
  </si>
  <si>
    <t>A0170</t>
  </si>
  <si>
    <t>A0171</t>
  </si>
  <si>
    <t>A0172</t>
  </si>
  <si>
    <t>A0173</t>
  </si>
  <si>
    <t>A0174</t>
  </si>
  <si>
    <t>A0175</t>
  </si>
  <si>
    <t>A0176</t>
  </si>
  <si>
    <t>A0177</t>
  </si>
  <si>
    <t>A0178</t>
  </si>
  <si>
    <t>178</t>
  </si>
  <si>
    <t>A0179</t>
  </si>
  <si>
    <t>179</t>
  </si>
  <si>
    <t>A0180</t>
  </si>
  <si>
    <t>180</t>
  </si>
  <si>
    <t>A0181</t>
  </si>
  <si>
    <t>181</t>
  </si>
  <si>
    <t>A0182</t>
  </si>
  <si>
    <t>182</t>
  </si>
  <si>
    <t>A0183</t>
  </si>
  <si>
    <t>183</t>
  </si>
  <si>
    <t>A0184</t>
  </si>
  <si>
    <t>184</t>
  </si>
  <si>
    <t>A0185</t>
  </si>
  <si>
    <t>185</t>
  </si>
  <si>
    <r>
      <rPr>
        <sz val="12"/>
        <color indexed="8"/>
        <rFont val="細明體"/>
        <family val="3"/>
        <charset val="136"/>
      </rPr>
      <t>溪谷藍</t>
    </r>
  </si>
  <si>
    <t>Canyon Blue</t>
  </si>
  <si>
    <t>CABL2</t>
  </si>
  <si>
    <t>CB-15</t>
  </si>
  <si>
    <t>D0021</t>
  </si>
  <si>
    <t>D0022</t>
  </si>
  <si>
    <t>D0023</t>
  </si>
  <si>
    <t>D0024</t>
  </si>
  <si>
    <t>D0025</t>
  </si>
  <si>
    <t>D0026</t>
  </si>
  <si>
    <t>D0027</t>
  </si>
  <si>
    <t>D0028</t>
  </si>
  <si>
    <t>D0029</t>
  </si>
  <si>
    <t>D0030</t>
  </si>
  <si>
    <t>D0031</t>
  </si>
  <si>
    <t>D0032</t>
  </si>
  <si>
    <t>D0033</t>
  </si>
  <si>
    <t>D0034</t>
  </si>
  <si>
    <t>D0035</t>
  </si>
  <si>
    <t>CB-16</t>
  </si>
  <si>
    <t>D061</t>
  </si>
  <si>
    <t>D062</t>
  </si>
  <si>
    <t>D063</t>
  </si>
  <si>
    <t>D064</t>
  </si>
  <si>
    <t>D065</t>
  </si>
  <si>
    <t>D066</t>
  </si>
  <si>
    <t>D067</t>
  </si>
  <si>
    <t>D068</t>
  </si>
  <si>
    <t>D069</t>
  </si>
  <si>
    <t>D070</t>
  </si>
  <si>
    <t>D071</t>
  </si>
  <si>
    <t>D072</t>
  </si>
  <si>
    <t>D073</t>
  </si>
  <si>
    <t>D074</t>
  </si>
  <si>
    <t>D075</t>
  </si>
  <si>
    <t>D076</t>
  </si>
  <si>
    <t>D077</t>
  </si>
  <si>
    <t>D078</t>
  </si>
  <si>
    <t>D079</t>
  </si>
  <si>
    <t>CN-92</t>
  </si>
  <si>
    <t>I0001</t>
  </si>
  <si>
    <t>I0002</t>
  </si>
  <si>
    <t>I0003</t>
  </si>
  <si>
    <t>I0004</t>
  </si>
  <si>
    <t>I0005</t>
  </si>
  <si>
    <t>I0006</t>
  </si>
  <si>
    <t>I0007</t>
  </si>
  <si>
    <t>I0008</t>
  </si>
  <si>
    <t>I0009</t>
  </si>
  <si>
    <t>I0010</t>
  </si>
  <si>
    <t>I0011</t>
  </si>
  <si>
    <t>I0012</t>
  </si>
  <si>
    <t>I0013</t>
  </si>
  <si>
    <t>I0014</t>
  </si>
  <si>
    <t>I0015</t>
  </si>
  <si>
    <t>I0016</t>
  </si>
  <si>
    <t>I0017</t>
  </si>
  <si>
    <t>I0018</t>
  </si>
  <si>
    <t>I0019</t>
  </si>
  <si>
    <t>I0020</t>
  </si>
  <si>
    <t>I0021</t>
  </si>
  <si>
    <t>I0022</t>
  </si>
  <si>
    <t>I0023</t>
  </si>
  <si>
    <t>I0024</t>
  </si>
  <si>
    <t>I0025</t>
  </si>
  <si>
    <t>I0026</t>
  </si>
  <si>
    <t>I0027</t>
  </si>
  <si>
    <t>I0028</t>
  </si>
  <si>
    <t>I0029</t>
  </si>
  <si>
    <t>I0030</t>
  </si>
  <si>
    <t>I0031</t>
  </si>
  <si>
    <t>I0032</t>
  </si>
  <si>
    <t>CN-94</t>
  </si>
  <si>
    <t>G0161</t>
  </si>
  <si>
    <t>G0162</t>
  </si>
  <si>
    <t>G0163</t>
  </si>
  <si>
    <t>G0164</t>
  </si>
  <si>
    <t>G0165</t>
  </si>
  <si>
    <t>G0166</t>
  </si>
  <si>
    <t>G0167</t>
  </si>
  <si>
    <t>CN-95</t>
  </si>
  <si>
    <t>G0111</t>
  </si>
  <si>
    <t>G0112</t>
  </si>
  <si>
    <t>G0113</t>
  </si>
  <si>
    <t>G0114</t>
  </si>
  <si>
    <t>G0115</t>
  </si>
  <si>
    <t>G0116</t>
  </si>
  <si>
    <t>G0117</t>
  </si>
  <si>
    <t>G0118</t>
  </si>
  <si>
    <t>G0119</t>
  </si>
  <si>
    <t>G0120</t>
  </si>
  <si>
    <t>G0121</t>
  </si>
  <si>
    <t>G0122</t>
  </si>
  <si>
    <t>G0123</t>
  </si>
  <si>
    <t>G0124</t>
  </si>
  <si>
    <t>G0125</t>
  </si>
  <si>
    <t>G0126</t>
  </si>
  <si>
    <t>G0127</t>
  </si>
  <si>
    <t>G0128</t>
  </si>
  <si>
    <t>G0129</t>
  </si>
  <si>
    <t>G0130</t>
  </si>
  <si>
    <t>G0131</t>
  </si>
  <si>
    <t>G0132</t>
  </si>
  <si>
    <t>G0133</t>
  </si>
  <si>
    <t>G0134</t>
  </si>
  <si>
    <t>G0135</t>
  </si>
  <si>
    <t>G0136</t>
  </si>
  <si>
    <t>G0137</t>
  </si>
  <si>
    <t>G0138</t>
  </si>
  <si>
    <t>G0139</t>
  </si>
  <si>
    <t>G0140</t>
  </si>
  <si>
    <t>G0141</t>
  </si>
  <si>
    <t>G0142</t>
  </si>
  <si>
    <t>G0143</t>
  </si>
  <si>
    <t>G0144</t>
  </si>
  <si>
    <t>G0145</t>
  </si>
  <si>
    <t>G0146</t>
  </si>
  <si>
    <t>G0148</t>
  </si>
  <si>
    <t>G0203</t>
  </si>
  <si>
    <t>203</t>
  </si>
  <si>
    <r>
      <rPr>
        <sz val="12"/>
        <color indexed="8"/>
        <rFont val="細明體"/>
        <family val="3"/>
        <charset val="136"/>
      </rPr>
      <t>深山藍</t>
    </r>
  </si>
  <si>
    <t>Dark Mountain</t>
  </si>
  <si>
    <t>DAMO2</t>
  </si>
  <si>
    <t>DA-50</t>
  </si>
  <si>
    <t>G026</t>
  </si>
  <si>
    <t>G027</t>
  </si>
  <si>
    <t>G028</t>
  </si>
  <si>
    <t>G029</t>
  </si>
  <si>
    <t>G030</t>
  </si>
  <si>
    <t>G031</t>
  </si>
  <si>
    <t>G032</t>
  </si>
  <si>
    <t>G033</t>
  </si>
  <si>
    <t>G034</t>
  </si>
  <si>
    <t>G035</t>
  </si>
  <si>
    <t>G036</t>
  </si>
  <si>
    <t>G037</t>
  </si>
  <si>
    <t>G038</t>
  </si>
  <si>
    <t>G039</t>
  </si>
  <si>
    <t>G040</t>
  </si>
  <si>
    <t>G041</t>
  </si>
  <si>
    <t>G042</t>
  </si>
  <si>
    <t>G043</t>
  </si>
  <si>
    <t>G044</t>
  </si>
  <si>
    <t>G045</t>
  </si>
  <si>
    <t>G046</t>
  </si>
  <si>
    <t>G047</t>
  </si>
  <si>
    <t>047</t>
  </si>
  <si>
    <t>G048</t>
  </si>
  <si>
    <t>048</t>
  </si>
  <si>
    <t>049</t>
  </si>
  <si>
    <t>DA-53</t>
  </si>
  <si>
    <t>G024</t>
  </si>
  <si>
    <t>G025</t>
  </si>
  <si>
    <r>
      <rPr>
        <sz val="12"/>
        <color indexed="8"/>
        <rFont val="細明體"/>
        <family val="3"/>
        <charset val="136"/>
      </rPr>
      <t>光芒橘</t>
    </r>
  </si>
  <si>
    <t>Golden Hour</t>
  </si>
  <si>
    <t>GOHO1</t>
  </si>
  <si>
    <t>GO-7</t>
  </si>
  <si>
    <t>A005</t>
  </si>
  <si>
    <t>A006</t>
  </si>
  <si>
    <r>
      <rPr>
        <sz val="12"/>
        <color indexed="8"/>
        <rFont val="細明體"/>
        <family val="3"/>
        <charset val="136"/>
      </rPr>
      <t>碧玉紅</t>
    </r>
  </si>
  <si>
    <t>Red Jasper</t>
  </si>
  <si>
    <t>REJA1</t>
  </si>
  <si>
    <t>EJ-24</t>
  </si>
  <si>
    <t>F0026</t>
  </si>
  <si>
    <t>EJ-28</t>
  </si>
  <si>
    <t>D0001</t>
  </si>
  <si>
    <t>D0002</t>
  </si>
  <si>
    <t>D0003</t>
  </si>
  <si>
    <t>D0004</t>
  </si>
  <si>
    <t>D0005</t>
  </si>
  <si>
    <t>D0006</t>
  </si>
  <si>
    <t>D0007</t>
  </si>
  <si>
    <r>
      <rPr>
        <sz val="12"/>
        <color indexed="8"/>
        <rFont val="細明體"/>
        <family val="3"/>
        <charset val="136"/>
      </rPr>
      <t>波紋藍</t>
    </r>
  </si>
  <si>
    <t>Ripple Blue</t>
  </si>
  <si>
    <t>RIBL2</t>
  </si>
  <si>
    <t>BL-35</t>
  </si>
  <si>
    <t>BL-36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</si>
  <si>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</si>
  <si>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</si>
  <si>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</si>
  <si>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</si>
  <si>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</si>
  <si>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</si>
  <si>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</si>
  <si>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</si>
  <si>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</si>
  <si>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</si>
  <si>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</si>
  <si>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</si>
  <si>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r>
      <rPr>
        <sz val="12"/>
        <color indexed="8"/>
        <rFont val="細明體"/>
        <family val="3"/>
        <charset val="136"/>
      </rPr>
      <t>懷舊藍</t>
    </r>
  </si>
  <si>
    <t>Vintage Blue</t>
  </si>
  <si>
    <t>VIBL7</t>
  </si>
  <si>
    <t>RFL-17</t>
  </si>
  <si>
    <t>J0001</t>
  </si>
  <si>
    <t>J0002</t>
  </si>
  <si>
    <t>J0003</t>
  </si>
  <si>
    <t>J0004</t>
  </si>
  <si>
    <t>J0005</t>
  </si>
  <si>
    <t>J0006</t>
  </si>
  <si>
    <t>料件管理表號碼</t>
  </si>
  <si>
    <t>BUY</t>
  </si>
  <si>
    <t>客户PO#</t>
  </si>
  <si>
    <t>By Each 客户PO#</t>
    <phoneticPr fontId="26" type="noConversion"/>
  </si>
  <si>
    <t>色號</t>
    <phoneticPr fontId="26" type="noConversion"/>
  </si>
  <si>
    <t>供應商訂單號</t>
  </si>
  <si>
    <t>出庫訂單號</t>
    <phoneticPr fontId="26" type="noConversion"/>
  </si>
  <si>
    <t>等級</t>
    <phoneticPr fontId="26" type="noConversion"/>
  </si>
  <si>
    <t>缸號</t>
    <phoneticPr fontId="26" type="noConversion"/>
  </si>
  <si>
    <t>數量</t>
  </si>
  <si>
    <t>數量單位</t>
    <phoneticPr fontId="26" type="noConversion"/>
  </si>
  <si>
    <t>疋數</t>
    <phoneticPr fontId="26" type="noConversion"/>
  </si>
  <si>
    <t>包裝單位</t>
    <phoneticPr fontId="26" type="noConversion"/>
  </si>
  <si>
    <t>淨重</t>
  </si>
  <si>
    <t>毛重</t>
  </si>
  <si>
    <t>重量單位</t>
    <phoneticPr fontId="26" type="noConversion"/>
  </si>
  <si>
    <t>序號=C/No.</t>
    <phoneticPr fontId="26" type="noConversion"/>
  </si>
  <si>
    <t>併貨</t>
  </si>
  <si>
    <t>單價(yd)</t>
  </si>
  <si>
    <t>總金額(USD)</t>
    <phoneticPr fontId="26" type="noConversion"/>
  </si>
  <si>
    <t>出貨備註</t>
  </si>
  <si>
    <t>Contract Nbr.</t>
    <phoneticPr fontId="26" type="noConversion"/>
  </si>
  <si>
    <t>FET8 combined PO#</t>
    <phoneticPr fontId="26" type="noConversion"/>
  </si>
  <si>
    <t>by Each PO#</t>
    <phoneticPr fontId="26" type="noConversion"/>
  </si>
  <si>
    <t xml:space="preserve">Item </t>
    <phoneticPr fontId="26" type="noConversion"/>
  </si>
  <si>
    <t>color code</t>
    <phoneticPr fontId="26" type="noConversion"/>
  </si>
  <si>
    <t xml:space="preserve">(From FET8) </t>
    <phoneticPr fontId="26" type="noConversion"/>
  </si>
  <si>
    <t>(From FET8)</t>
    <phoneticPr fontId="26" type="noConversion"/>
  </si>
  <si>
    <t xml:space="preserve">Grade </t>
    <phoneticPr fontId="26" type="noConversion"/>
  </si>
  <si>
    <t>Lot No.</t>
    <phoneticPr fontId="26" type="noConversion"/>
  </si>
  <si>
    <t>Q'ty</t>
    <phoneticPr fontId="26" type="noConversion"/>
  </si>
  <si>
    <t xml:space="preserve">Unit </t>
    <phoneticPr fontId="26" type="noConversion"/>
  </si>
  <si>
    <t>Pkg Q'ty</t>
    <phoneticPr fontId="26" type="noConversion"/>
  </si>
  <si>
    <t xml:space="preserve">Pkg Unit </t>
    <phoneticPr fontId="26" type="noConversion"/>
  </si>
  <si>
    <t>N.W.</t>
    <phoneticPr fontId="26" type="noConversion"/>
  </si>
  <si>
    <t>G.W.</t>
    <phoneticPr fontId="26" type="noConversion"/>
  </si>
  <si>
    <t xml:space="preserve">W.Unit </t>
    <phoneticPr fontId="26" type="noConversion"/>
  </si>
  <si>
    <t xml:space="preserve">C/no. </t>
    <phoneticPr fontId="26" type="noConversion"/>
  </si>
  <si>
    <t>Unit price</t>
    <phoneticPr fontId="26" type="noConversion"/>
  </si>
  <si>
    <t xml:space="preserve">Amount </t>
    <phoneticPr fontId="26" type="noConversion"/>
  </si>
  <si>
    <t xml:space="preserve">Remark </t>
    <phoneticPr fontId="26" type="noConversion"/>
  </si>
  <si>
    <t>2027  -SP-1</t>
  </si>
  <si>
    <t>6WBDY301/302/307/308A01</t>
  </si>
  <si>
    <t>#PE3P0067-AA01AT</t>
  </si>
  <si>
    <t>BLACK 129-13-00</t>
  </si>
  <si>
    <t>26K7003400A1</t>
  </si>
  <si>
    <t>S7SD6204BK1</t>
  </si>
  <si>
    <t>A</t>
  </si>
  <si>
    <t>050010</t>
  </si>
  <si>
    <t>YD</t>
  </si>
  <si>
    <t>KG</t>
  </si>
  <si>
    <t>B2001          -B2005</t>
  </si>
  <si>
    <t>GRAPHITE</t>
  </si>
  <si>
    <t>920011</t>
  </si>
  <si>
    <t>B0001          -B0002</t>
  </si>
  <si>
    <t>6WBDY301/302A01</t>
  </si>
  <si>
    <t>LODEN GREEN</t>
  </si>
  <si>
    <t>000010</t>
  </si>
  <si>
    <t>B3001          -B3005</t>
  </si>
  <si>
    <t>NOCTURNAL NAVY</t>
  </si>
  <si>
    <t>900013,920011</t>
  </si>
  <si>
    <t>B1002          -B1007</t>
  </si>
  <si>
    <t>SHADED OLIVE</t>
  </si>
  <si>
    <t>900011</t>
  </si>
  <si>
    <t>B4001          -B4006</t>
  </si>
  <si>
    <t>6WBDY301A02</t>
  </si>
  <si>
    <t>TIDAL WAVE</t>
  </si>
  <si>
    <t>B5001          -B5004</t>
  </si>
  <si>
    <t>CONSIGNEE</t>
    <phoneticPr fontId="9" type="noConversion"/>
  </si>
  <si>
    <t>INVOICE#</t>
    <phoneticPr fontId="26" type="noConversion"/>
  </si>
  <si>
    <t>SHIPMENT DATE</t>
    <phoneticPr fontId="26" type="noConversion"/>
  </si>
  <si>
    <t>SAP PI#</t>
    <phoneticPr fontId="26" type="noConversion"/>
  </si>
  <si>
    <t>FET REF#</t>
    <phoneticPr fontId="26" type="noConversion"/>
  </si>
  <si>
    <t>BUYER</t>
    <phoneticPr fontId="26" type="noConversion"/>
  </si>
  <si>
    <t>颜色</t>
  </si>
  <si>
    <t>COLOR CODE</t>
    <phoneticPr fontId="26" type="noConversion"/>
  </si>
  <si>
    <t>LOT#</t>
    <phoneticPr fontId="9" type="noConversion"/>
  </si>
  <si>
    <t>C/NO</t>
    <phoneticPr fontId="9" type="noConversion"/>
  </si>
  <si>
    <t>R/NO</t>
    <phoneticPr fontId="9" type="noConversion"/>
  </si>
  <si>
    <t>QTY(YD)</t>
    <phoneticPr fontId="26" type="noConversion"/>
  </si>
  <si>
    <t>N.W. (KG)</t>
    <phoneticPr fontId="9" type="noConversion"/>
  </si>
  <si>
    <t>G.W.(KG)</t>
    <phoneticPr fontId="9" type="noConversion"/>
  </si>
  <si>
    <t>FOC</t>
    <phoneticPr fontId="26" type="noConversion"/>
  </si>
  <si>
    <t>PT.NIRWANA ALABARE</t>
  </si>
  <si>
    <t>D26K883600</t>
  </si>
  <si>
    <t>2026/09/03</t>
  </si>
  <si>
    <t>BEYOND YOGA</t>
  </si>
  <si>
    <t>PE3P0067-AA01AT</t>
  </si>
  <si>
    <t>霧黑</t>
  </si>
  <si>
    <t>B2001</t>
  </si>
  <si>
    <t>B2002</t>
  </si>
  <si>
    <t>B2003</t>
  </si>
  <si>
    <t>B2004</t>
  </si>
  <si>
    <t>B2005</t>
  </si>
  <si>
    <t>石墨灰</t>
  </si>
  <si>
    <t>B0001</t>
  </si>
  <si>
    <t>B0002</t>
  </si>
  <si>
    <t>毛呢綠</t>
  </si>
  <si>
    <t>LODEN GREEN 076-24-10</t>
  </si>
  <si>
    <t>B3001</t>
  </si>
  <si>
    <t>B3002</t>
  </si>
  <si>
    <t>B3003</t>
  </si>
  <si>
    <t>B3004</t>
  </si>
  <si>
    <t>902</t>
  </si>
  <si>
    <t>B3005</t>
  </si>
  <si>
    <t>901</t>
  </si>
  <si>
    <t>午夜藍</t>
  </si>
  <si>
    <t>900013</t>
  </si>
  <si>
    <t>B1004</t>
  </si>
  <si>
    <t>B1005</t>
  </si>
  <si>
    <t>B1006</t>
  </si>
  <si>
    <t>B1007</t>
  </si>
  <si>
    <t>B1002</t>
  </si>
  <si>
    <t>B1003</t>
  </si>
  <si>
    <t>深橄欖</t>
  </si>
  <si>
    <t>SHADED OLIVE 032-39-04</t>
  </si>
  <si>
    <t>B4001</t>
  </si>
  <si>
    <t>B4002</t>
  </si>
  <si>
    <t>B4003</t>
  </si>
  <si>
    <t>B4004</t>
  </si>
  <si>
    <t>B4005</t>
  </si>
  <si>
    <t>B4006</t>
  </si>
  <si>
    <t>潮汐藍</t>
  </si>
  <si>
    <t>TIDAL WAVE 120-36-31</t>
  </si>
  <si>
    <t>B5001</t>
  </si>
  <si>
    <t>B5002</t>
  </si>
  <si>
    <t>B5003</t>
  </si>
  <si>
    <t>B5004</t>
  </si>
  <si>
    <t xml:space="preserve"> 28 Rolls </t>
    <phoneticPr fontId="9" type="noConversion"/>
  </si>
  <si>
    <t>YDS</t>
    <phoneticPr fontId="9" type="noConversion"/>
  </si>
  <si>
    <t xml:space="preserve">618 Rolls </t>
    <phoneticPr fontId="3" type="noConversion"/>
  </si>
  <si>
    <t>(Total: 1356 Pkgs)</t>
    <phoneticPr fontId="3" type="noConversion"/>
  </si>
  <si>
    <t xml:space="preserve">CONTAINER NO.WHSU5741553/40'HQ </t>
    <phoneticPr fontId="8" type="noConversion"/>
  </si>
  <si>
    <t xml:space="preserve"> </t>
    <phoneticPr fontId="8" type="noConversion"/>
  </si>
  <si>
    <t>CONTAINER NO.WHSU5741553/40'HQ(618 Rolls+ 28 Rolls + 8 Ctns )</t>
    <phoneticPr fontId="8" type="noConversion"/>
  </si>
  <si>
    <t>CONTAINER NO.WHSU5028286/40'HQ (702  Rolls)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</si>
</sst>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.00;[Red]#,##0.00"/>
    <numFmt numFmtId="177" formatCode="#,##0_ "/>
    <numFmt numFmtId="178" formatCode="#,##0.00_ "/>
    <numFmt numFmtId="179" formatCode="0.00_ "/>
    <numFmt numFmtId="180" formatCode="#,##0;[Red]#,##0"/>
    <numFmt numFmtId="181" formatCode="#,##0.000_ "/>
  </numFmts>
  <fonts count="30"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0"/>
      <name val="細明體"/>
      <family val="3"/>
      <charset val="136"/>
    </font>
    <font>
      <sz val="9"/>
      <name val="新細明體"/>
      <family val="2"/>
      <charset val="136"/>
      <scheme val="minor"/>
    </font>
    <font>
      <u/>
      <sz val="10"/>
      <name val="細明體"/>
      <family val="3"/>
      <charset val="136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name val="新細明體"/>
      <family val="1"/>
      <charset val="136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sz val="11"/>
      <name val="Times New Roman"/>
      <family val="1"/>
    </font>
    <font>
      <b/>
      <u val="double"/>
      <sz val="10"/>
      <name val="細明體"/>
      <family val="3"/>
      <charset val="136"/>
    </font>
    <font>
      <sz val="14"/>
      <name val="細明體"/>
      <family val="3"/>
      <charset val="136"/>
    </font>
    <font>
      <b/>
      <u/>
      <sz val="14"/>
      <name val="Times New Roman"/>
      <family val="1"/>
    </font>
    <font>
      <b/>
      <sz val="14"/>
      <name val="Times New Roman"/>
      <family val="1"/>
    </font>
    <font>
      <sz val="12"/>
      <name val="細明體"/>
      <family val="3"/>
      <charset val="136"/>
    </font>
    <font>
      <sz val="12"/>
      <name val="新細明體"/>
      <family val="1"/>
      <charset val="136"/>
    </font>
    <font>
      <b/>
      <sz val="12"/>
      <name val="新細明體"/>
      <family val="1"/>
      <charset val="136"/>
    </font>
    <font>
      <u/>
      <sz val="11"/>
      <name val="Times New Roman"/>
      <family val="1"/>
    </font>
    <font>
      <sz val="14"/>
      <name val="Times New Roman"/>
      <family val="1"/>
    </font>
    <font>
      <b/>
      <sz val="10"/>
      <name val="細明體"/>
      <family val="3"/>
      <charset val="136"/>
    </font>
    <font>
      <sz val="10"/>
      <color indexed="8"/>
      <name val="新細明體"/>
      <family val="1"/>
      <charset val="136"/>
    </font>
    <font>
      <sz val="10"/>
      <name val="Times New Roman"/>
      <family val="1"/>
    </font>
    <font>
      <sz val="10"/>
      <color theme="1"/>
      <name val="新細明體"/>
      <family val="1"/>
      <charset val="136"/>
    </font>
    <font>
      <sz val="10"/>
      <name val="Arial"/>
      <family val="2"/>
    </font>
    <font>
      <sz val="12"/>
      <name val="Calibri"/>
      <family val="2"/>
    </font>
    <font>
      <sz val="12"/>
      <color indexed="8"/>
      <name val="新細明體"/>
      <family val="1"/>
      <charset val="136"/>
    </font>
    <font>
      <sz val="10"/>
      <name val="Calibri"/>
      <family val="2"/>
    </font>
    <font>
      <sz val="12"/>
      <color indexed="8"/>
      <name val="Calibri"/>
      <family val="2"/>
    </font>
    <font>
      <sz val="12"/>
      <color indexed="8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" fillId="0" borderId="0"/>
    <xf numFmtId="0" fontId="16" fillId="0" borderId="0"/>
    <xf numFmtId="0" fontId="16" fillId="0" borderId="0"/>
    <xf numFmtId="0" fontId="1" fillId="0" borderId="0">
      <alignment vertical="center"/>
    </xf>
    <xf numFmtId="0" fontId="24" fillId="0" borderId="0"/>
    <xf numFmtId="0" fontId="24" fillId="0" borderId="0"/>
  </cellStyleXfs>
  <cellXfs count="155">
    <xf numFmtId="0" fontId="0" fillId="0" borderId="0" xfId="0">
      <alignment vertical="center"/>
    </xf>
    <xf numFmtId="49" fontId="2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10" fillId="0" borderId="0" xfId="1" applyNumberFormat="1" applyFont="1" applyAlignment="1">
      <alignment horizontal="right" vertical="top"/>
    </xf>
    <xf numFmtId="0" fontId="10" fillId="0" borderId="0" xfId="1" applyFont="1" applyAlignment="1">
      <alignment horizontal="right" vertical="top"/>
    </xf>
    <xf numFmtId="49" fontId="10" fillId="0" borderId="0" xfId="1" applyNumberFormat="1" applyFont="1" applyAlignment="1">
      <alignment horizontal="left" vertical="top"/>
    </xf>
    <xf numFmtId="0" fontId="10" fillId="0" borderId="6" xfId="1" applyFont="1" applyBorder="1" applyAlignment="1">
      <alignment horizontal="right" vertical="top"/>
    </xf>
    <xf numFmtId="49" fontId="11" fillId="0" borderId="0" xfId="1" applyNumberFormat="1" applyFont="1" applyAlignment="1">
      <alignment horizontal="left" vertical="top"/>
    </xf>
    <xf numFmtId="49" fontId="12" fillId="0" borderId="0" xfId="1" applyNumberFormat="1" applyFont="1" applyAlignment="1">
      <alignment horizontal="left" vertical="top"/>
    </xf>
    <xf numFmtId="49" fontId="15" fillId="0" borderId="0" xfId="1" applyNumberFormat="1" applyFont="1" applyAlignment="1">
      <alignment horizontal="left" vertical="top"/>
    </xf>
    <xf numFmtId="49" fontId="2" fillId="0" borderId="0" xfId="1" applyNumberFormat="1" applyFont="1" applyAlignment="1">
      <alignment horizontal="right" vertical="top"/>
    </xf>
    <xf numFmtId="49" fontId="2" fillId="0" borderId="0" xfId="2" applyNumberFormat="1" applyFont="1" applyAlignment="1">
      <alignment horizontal="left" vertical="top"/>
    </xf>
    <xf numFmtId="49" fontId="2" fillId="0" borderId="7" xfId="2" applyNumberFormat="1" applyFont="1" applyBorder="1" applyAlignment="1">
      <alignment horizontal="left" vertical="top"/>
    </xf>
    <xf numFmtId="49" fontId="10" fillId="0" borderId="0" xfId="2" applyNumberFormat="1" applyFont="1" applyAlignment="1">
      <alignment horizontal="right" vertical="top"/>
    </xf>
    <xf numFmtId="49" fontId="10" fillId="0" borderId="0" xfId="2" applyNumberFormat="1" applyFont="1" applyAlignment="1">
      <alignment horizontal="left" vertical="top"/>
    </xf>
    <xf numFmtId="0" fontId="16" fillId="0" borderId="0" xfId="2" applyAlignment="1">
      <alignment horizontal="left" vertical="top"/>
    </xf>
    <xf numFmtId="49" fontId="11" fillId="0" borderId="0" xfId="2" applyNumberFormat="1" applyFont="1" applyAlignment="1">
      <alignment horizontal="left" vertical="top"/>
    </xf>
    <xf numFmtId="49" fontId="15" fillId="0" borderId="0" xfId="2" applyNumberFormat="1" applyFont="1" applyAlignment="1">
      <alignment horizontal="left" vertical="top"/>
    </xf>
    <xf numFmtId="49" fontId="4" fillId="0" borderId="0" xfId="2" applyNumberFormat="1" applyFont="1" applyAlignment="1">
      <alignment horizontal="left" vertical="top"/>
    </xf>
    <xf numFmtId="49" fontId="2" fillId="0" borderId="0" xfId="2" applyNumberFormat="1" applyFont="1" applyAlignment="1">
      <alignment horizontal="right" vertical="top"/>
    </xf>
    <xf numFmtId="49" fontId="2" fillId="0" borderId="0" xfId="3" applyNumberFormat="1" applyFont="1" applyAlignment="1">
      <alignment horizontal="left" vertical="top" wrapText="1"/>
    </xf>
    <xf numFmtId="0" fontId="21" fillId="0" borderId="0" xfId="4" applyFont="1" applyAlignment="1">
      <alignment horizontal="left" vertical="center"/>
    </xf>
    <xf numFmtId="0" fontId="21" fillId="0" borderId="0" xfId="4" applyFont="1" applyAlignment="1">
      <alignment horizontal="center" vertical="center"/>
    </xf>
    <xf numFmtId="0" fontId="2" fillId="0" borderId="0" xfId="1" applyFont="1" applyAlignment="1">
      <alignment horizontal="right" vertical="top"/>
    </xf>
    <xf numFmtId="176" fontId="2" fillId="0" borderId="0" xfId="1" applyNumberFormat="1" applyFont="1" applyAlignment="1">
      <alignment horizontal="right" vertical="top"/>
    </xf>
    <xf numFmtId="3" fontId="2" fillId="0" borderId="0" xfId="1" applyNumberFormat="1" applyFont="1" applyAlignment="1">
      <alignment horizontal="right" vertical="top"/>
    </xf>
    <xf numFmtId="4" fontId="2" fillId="0" borderId="0" xfId="1" applyNumberFormat="1" applyFont="1" applyAlignment="1">
      <alignment horizontal="right" vertical="top"/>
    </xf>
    <xf numFmtId="49" fontId="2" fillId="0" borderId="0" xfId="1" applyNumberFormat="1" applyFont="1" applyAlignment="1">
      <alignment horizontal="center" vertical="top"/>
    </xf>
    <xf numFmtId="0" fontId="2" fillId="0" borderId="0" xfId="2" applyFont="1" applyAlignment="1">
      <alignment horizontal="left" vertical="top"/>
    </xf>
    <xf numFmtId="0" fontId="2" fillId="0" borderId="0" xfId="2" applyFont="1" applyAlignment="1">
      <alignment horizontal="right" vertical="top"/>
    </xf>
    <xf numFmtId="176" fontId="2" fillId="0" borderId="0" xfId="2" applyNumberFormat="1" applyFont="1" applyAlignment="1">
      <alignment horizontal="right" vertical="top"/>
    </xf>
    <xf numFmtId="0" fontId="2" fillId="0" borderId="0" xfId="2" quotePrefix="1" applyFont="1" applyAlignment="1">
      <alignment horizontal="left" vertical="top"/>
    </xf>
    <xf numFmtId="3" fontId="2" fillId="0" borderId="0" xfId="2" applyNumberFormat="1" applyFont="1" applyAlignment="1">
      <alignment horizontal="right" vertical="top"/>
    </xf>
    <xf numFmtId="4" fontId="2" fillId="0" borderId="0" xfId="2" applyNumberFormat="1" applyFont="1" applyAlignment="1">
      <alignment horizontal="right" vertical="top"/>
    </xf>
    <xf numFmtId="49" fontId="2" fillId="0" borderId="0" xfId="0" applyNumberFormat="1" applyFont="1" applyAlignment="1">
      <alignment horizontal="left"/>
    </xf>
    <xf numFmtId="49" fontId="2" fillId="0" borderId="0" xfId="0" quotePrefix="1" applyNumberFormat="1" applyFont="1" applyAlignment="1">
      <alignment horizontal="left"/>
    </xf>
    <xf numFmtId="49" fontId="22" fillId="0" borderId="0" xfId="0" applyNumberFormat="1" applyFont="1" applyAlignment="1">
      <alignment horizontal="left"/>
    </xf>
    <xf numFmtId="177" fontId="2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/>
    <xf numFmtId="178" fontId="2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right"/>
    </xf>
    <xf numFmtId="179" fontId="2" fillId="0" borderId="0" xfId="0" applyNumberFormat="1" applyFont="1" applyAlignment="1">
      <alignment horizontal="left"/>
    </xf>
    <xf numFmtId="49" fontId="2" fillId="0" borderId="0" xfId="0" applyNumberFormat="1" applyFont="1" applyAlignment="1"/>
    <xf numFmtId="49" fontId="2" fillId="2" borderId="0" xfId="0" applyNumberFormat="1" applyFont="1" applyFill="1" applyAlignment="1">
      <alignment horizontal="left"/>
    </xf>
    <xf numFmtId="177" fontId="2" fillId="2" borderId="0" xfId="0" applyNumberFormat="1" applyFont="1" applyFill="1" applyAlignment="1">
      <alignment horizontal="right"/>
    </xf>
    <xf numFmtId="0" fontId="23" fillId="0" borderId="0" xfId="4" applyFont="1" applyAlignment="1">
      <alignment horizontal="left" vertical="center"/>
    </xf>
    <xf numFmtId="0" fontId="27" fillId="0" borderId="0" xfId="5" applyFont="1" applyAlignment="1">
      <alignment horizontal="left"/>
    </xf>
    <xf numFmtId="0" fontId="28" fillId="0" borderId="8" xfId="5" applyFont="1" applyBorder="1" applyAlignment="1">
      <alignment horizontal="left" vertical="center"/>
    </xf>
    <xf numFmtId="49" fontId="28" fillId="0" borderId="8" xfId="5" applyNumberFormat="1" applyFont="1" applyBorder="1" applyAlignment="1">
      <alignment horizontal="left" vertical="center"/>
    </xf>
    <xf numFmtId="176" fontId="28" fillId="0" borderId="8" xfId="5" applyNumberFormat="1" applyFont="1" applyBorder="1" applyAlignment="1">
      <alignment horizontal="left" vertical="center"/>
    </xf>
    <xf numFmtId="176" fontId="25" fillId="0" borderId="0" xfId="5" applyNumberFormat="1" applyFont="1" applyAlignment="1">
      <alignment horizontal="left"/>
    </xf>
    <xf numFmtId="0" fontId="15" fillId="0" borderId="8" xfId="5" applyFont="1" applyBorder="1" applyAlignment="1">
      <alignment horizontal="left" vertical="center"/>
    </xf>
    <xf numFmtId="49" fontId="15" fillId="0" borderId="8" xfId="5" applyNumberFormat="1" applyFont="1" applyBorder="1" applyAlignment="1">
      <alignment horizontal="left" vertical="center"/>
    </xf>
    <xf numFmtId="0" fontId="24" fillId="0" borderId="0" xfId="5"/>
    <xf numFmtId="178" fontId="15" fillId="0" borderId="8" xfId="5" applyNumberFormat="1" applyFont="1" applyBorder="1" applyAlignment="1">
      <alignment horizontal="left" vertical="center"/>
    </xf>
    <xf numFmtId="0" fontId="29" fillId="0" borderId="8" xfId="5" applyFont="1" applyBorder="1" applyAlignment="1">
      <alignment vertical="center"/>
    </xf>
    <xf numFmtId="0" fontId="29" fillId="0" borderId="8" xfId="5" applyFont="1" applyBorder="1" applyAlignment="1">
      <alignment horizontal="left" vertical="center"/>
    </xf>
    <xf numFmtId="49" fontId="29" fillId="0" borderId="8" xfId="5" applyNumberFormat="1" applyFont="1" applyBorder="1" applyAlignment="1">
      <alignment vertical="center"/>
    </xf>
    <xf numFmtId="178" fontId="29" fillId="0" borderId="8" xfId="5" applyNumberFormat="1" applyFont="1" applyBorder="1" applyAlignment="1">
      <alignment horizontal="right" vertical="center"/>
    </xf>
    <xf numFmtId="176" fontId="29" fillId="0" borderId="8" xfId="5" applyNumberFormat="1" applyFont="1" applyBorder="1" applyAlignment="1">
      <alignment horizontal="left" vertical="center"/>
    </xf>
    <xf numFmtId="177" fontId="29" fillId="0" borderId="8" xfId="5" applyNumberFormat="1" applyFont="1" applyBorder="1" applyAlignment="1">
      <alignment horizontal="right" vertical="center"/>
    </xf>
    <xf numFmtId="180" fontId="29" fillId="0" borderId="8" xfId="5" applyNumberFormat="1" applyFont="1" applyBorder="1" applyAlignment="1">
      <alignment horizontal="left" vertical="center"/>
    </xf>
    <xf numFmtId="181" fontId="29" fillId="0" borderId="8" xfId="5" applyNumberFormat="1" applyFont="1" applyBorder="1" applyAlignment="1">
      <alignment horizontal="right" vertical="center"/>
    </xf>
    <xf numFmtId="0" fontId="29" fillId="0" borderId="0" xfId="5" applyFont="1" applyAlignment="1">
      <alignment vertical="center"/>
    </xf>
    <xf numFmtId="178" fontId="29" fillId="0" borderId="0" xfId="5" applyNumberFormat="1" applyFont="1" applyAlignment="1">
      <alignment vertical="center"/>
    </xf>
    <xf numFmtId="177" fontId="29" fillId="0" borderId="0" xfId="5" applyNumberFormat="1" applyFont="1" applyAlignment="1">
      <alignment vertical="center"/>
    </xf>
    <xf numFmtId="176" fontId="29" fillId="0" borderId="0" xfId="5" applyNumberFormat="1" applyFont="1" applyAlignment="1">
      <alignment vertical="center"/>
    </xf>
    <xf numFmtId="49" fontId="15" fillId="0" borderId="8" xfId="5" applyNumberFormat="1" applyFont="1" applyBorder="1" applyAlignment="1">
      <alignment horizontal="center" vertical="center"/>
    </xf>
    <xf numFmtId="0" fontId="15" fillId="0" borderId="8" xfId="5" applyFont="1" applyBorder="1" applyAlignment="1">
      <alignment horizontal="center" vertical="center"/>
    </xf>
    <xf numFmtId="0" fontId="15" fillId="0" borderId="9" xfId="5" applyFont="1" applyBorder="1" applyAlignment="1">
      <alignment horizontal="center" vertical="center"/>
    </xf>
    <xf numFmtId="0" fontId="2" fillId="0" borderId="0" xfId="5" applyFont="1"/>
    <xf numFmtId="0" fontId="29" fillId="0" borderId="8" xfId="6" applyFont="1" applyBorder="1" applyAlignment="1">
      <alignment vertical="center"/>
    </xf>
    <xf numFmtId="176" fontId="29" fillId="0" borderId="8" xfId="5" applyNumberFormat="1" applyFont="1" applyBorder="1" applyAlignment="1">
      <alignment horizontal="right" vertical="center"/>
    </xf>
    <xf numFmtId="0" fontId="29" fillId="0" borderId="8" xfId="5" applyFont="1" applyBorder="1" applyAlignment="1">
      <alignment horizontal="right" vertical="center"/>
    </xf>
    <xf numFmtId="0" fontId="15" fillId="0" borderId="0" xfId="5" applyFont="1"/>
    <xf numFmtId="176" fontId="2" fillId="0" borderId="0" xfId="5" applyNumberFormat="1" applyFont="1"/>
    <xf numFmtId="0" fontId="2" fillId="0" borderId="0" xfId="5" applyFont="1" applyAlignment="1">
      <alignment horizontal="center"/>
    </xf>
    <xf numFmtId="0" fontId="25" fillId="0" borderId="0" xfId="5" applyFont="1" applyAlignment="1">
      <alignment horizontal="left"/>
    </xf>
    <xf numFmtId="49" fontId="6" fillId="0" borderId="0" xfId="2" applyNumberFormat="1" applyFont="1" applyAlignment="1">
      <alignment horizontal="center" vertical="top"/>
    </xf>
    <xf numFmtId="0" fontId="5" fillId="0" borderId="0" xfId="2" applyFont="1" applyAlignment="1">
      <alignment horizontal="center" vertical="top"/>
    </xf>
    <xf numFmtId="0" fontId="17" fillId="0" borderId="0" xfId="2" applyFont="1" applyAlignment="1">
      <alignment horizontal="center" vertical="top"/>
    </xf>
    <xf numFmtId="0" fontId="6" fillId="0" borderId="0" xfId="2" applyFont="1" applyAlignment="1">
      <alignment horizontal="center" vertical="top"/>
    </xf>
    <xf numFmtId="49" fontId="5" fillId="0" borderId="0" xfId="2" applyNumberFormat="1" applyFont="1" applyAlignment="1">
      <alignment horizontal="center" vertical="top"/>
    </xf>
    <xf numFmtId="49" fontId="2" fillId="2" borderId="0" xfId="1" applyNumberFormat="1" applyFont="1" applyFill="1" applyAlignment="1">
      <alignment horizontal="left" vertical="top"/>
    </xf>
    <xf numFmtId="49" fontId="6" fillId="2" borderId="0" xfId="2" applyNumberFormat="1" applyFont="1" applyFill="1" applyAlignment="1">
      <alignment horizontal="center" vertical="top"/>
    </xf>
    <xf numFmtId="179" fontId="2" fillId="2" borderId="0" xfId="0" applyNumberFormat="1" applyFont="1" applyFill="1" applyAlignment="1">
      <alignment horizontal="left"/>
    </xf>
    <xf numFmtId="178" fontId="2" fillId="2" borderId="0" xfId="0" applyNumberFormat="1" applyFont="1" applyFill="1" applyAlignment="1">
      <alignment horizontal="right"/>
    </xf>
    <xf numFmtId="49" fontId="2" fillId="0" borderId="0" xfId="3" applyNumberFormat="1" applyFont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5" xfId="1" applyFont="1" applyBorder="1" applyAlignment="1">
      <alignment horizontal="left" vertical="top" shrinkToFit="1"/>
    </xf>
    <xf numFmtId="49" fontId="2" fillId="0" borderId="4" xfId="1" applyNumberFormat="1" applyFont="1" applyBorder="1" applyAlignment="1">
      <alignment horizontal="left" vertical="top" shrinkToFit="1"/>
    </xf>
    <xf numFmtId="0" fontId="2" fillId="0" borderId="4" xfId="1" applyFont="1" applyBorder="1" applyAlignment="1">
      <alignment horizontal="left" vertical="top" shrinkToFit="1"/>
    </xf>
    <xf numFmtId="49" fontId="10" fillId="0" borderId="0" xfId="1" applyNumberFormat="1" applyFont="1" applyAlignment="1">
      <alignment horizontal="left" vertical="top"/>
    </xf>
    <xf numFmtId="0" fontId="10" fillId="0" borderId="0" xfId="1" applyFont="1" applyAlignment="1">
      <alignment horizontal="left" vertical="top"/>
    </xf>
    <xf numFmtId="49" fontId="6" fillId="0" borderId="1" xfId="1" applyNumberFormat="1" applyFont="1" applyBorder="1" applyAlignment="1">
      <alignment horizontal="center" vertical="top"/>
    </xf>
    <xf numFmtId="0" fontId="1" fillId="0" borderId="1" xfId="1" applyBorder="1" applyAlignment="1">
      <alignment horizontal="center" vertical="top"/>
    </xf>
    <xf numFmtId="0" fontId="1" fillId="0" borderId="3" xfId="1" applyBorder="1" applyAlignment="1">
      <alignment horizontal="center" vertical="top"/>
    </xf>
    <xf numFmtId="49" fontId="6" fillId="0" borderId="2" xfId="1" applyNumberFormat="1" applyFont="1" applyBorder="1" applyAlignment="1">
      <alignment horizontal="center" vertical="top"/>
    </xf>
    <xf numFmtId="0" fontId="6" fillId="0" borderId="1" xfId="1" applyFont="1" applyBorder="1" applyAlignment="1">
      <alignment horizontal="center" vertical="top"/>
    </xf>
    <xf numFmtId="49" fontId="2" fillId="0" borderId="0" xfId="0" applyNumberFormat="1" applyFont="1" applyAlignment="1">
      <alignment horizontal="left"/>
    </xf>
    <xf numFmtId="49" fontId="2" fillId="0" borderId="0" xfId="1" applyNumberFormat="1" applyFont="1" applyAlignment="1">
      <alignment horizontal="left" vertical="top" shrinkToFit="1"/>
    </xf>
    <xf numFmtId="0" fontId="2" fillId="0" borderId="0" xfId="1" applyFont="1" applyAlignment="1">
      <alignment horizontal="left" vertical="top" shrinkToFit="1"/>
    </xf>
    <xf numFmtId="0" fontId="1" fillId="0" borderId="0" xfId="1" applyAlignment="1">
      <alignment horizontal="left" vertical="top" shrinkToFit="1"/>
    </xf>
    <xf numFmtId="0" fontId="10" fillId="0" borderId="0" xfId="1" applyFont="1" applyAlignment="1">
      <alignment horizontal="right" vertical="top" shrinkToFit="1"/>
    </xf>
    <xf numFmtId="0" fontId="10" fillId="0" borderId="0" xfId="1" applyFont="1" applyAlignment="1">
      <alignment horizontal="left" vertical="top" shrinkToFit="1"/>
    </xf>
    <xf numFmtId="49" fontId="14" fillId="0" borderId="0" xfId="1" applyNumberFormat="1" applyFont="1" applyAlignment="1">
      <alignment horizontal="center" vertical="top" shrinkToFit="1"/>
    </xf>
    <xf numFmtId="49" fontId="10" fillId="0" borderId="0" xfId="1" applyNumberFormat="1" applyFont="1" applyAlignment="1">
      <alignment horizontal="center" vertical="top" wrapText="1"/>
    </xf>
    <xf numFmtId="49" fontId="13" fillId="0" borderId="0" xfId="1" applyNumberFormat="1" applyFont="1" applyAlignment="1">
      <alignment horizontal="center" vertical="top"/>
    </xf>
    <xf numFmtId="49" fontId="6" fillId="0" borderId="3" xfId="1" applyNumberFormat="1" applyFont="1" applyBorder="1" applyAlignment="1">
      <alignment horizontal="center" vertical="top"/>
    </xf>
    <xf numFmtId="0" fontId="7" fillId="0" borderId="3" xfId="1" applyFont="1" applyBorder="1" applyAlignment="1">
      <alignment horizontal="center" vertical="top"/>
    </xf>
    <xf numFmtId="49" fontId="10" fillId="0" borderId="0" xfId="1" applyNumberFormat="1" applyFont="1" applyAlignment="1">
      <alignment horizontal="right" vertical="top"/>
    </xf>
    <xf numFmtId="0" fontId="10" fillId="0" borderId="0" xfId="1" applyFont="1" applyAlignment="1">
      <alignment horizontal="right" vertical="top"/>
    </xf>
    <xf numFmtId="49" fontId="2" fillId="0" borderId="5" xfId="1" applyNumberFormat="1" applyFont="1" applyBorder="1" applyAlignment="1">
      <alignment horizontal="left" vertical="top" shrinkToFit="1"/>
    </xf>
    <xf numFmtId="49" fontId="5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49" fontId="2" fillId="0" borderId="0" xfId="2" applyNumberFormat="1" applyFont="1" applyAlignment="1">
      <alignment horizontal="left" vertical="top"/>
    </xf>
    <xf numFmtId="49" fontId="14" fillId="0" borderId="0" xfId="2" applyNumberFormat="1" applyFont="1" applyAlignment="1">
      <alignment horizontal="center" vertical="top" shrinkToFit="1"/>
    </xf>
    <xf numFmtId="0" fontId="19" fillId="0" borderId="0" xfId="2" applyFont="1" applyAlignment="1">
      <alignment horizontal="center" vertical="top" shrinkToFit="1"/>
    </xf>
    <xf numFmtId="49" fontId="13" fillId="0" borderId="0" xfId="2" applyNumberFormat="1" applyFont="1" applyAlignment="1">
      <alignment horizontal="center" vertical="top" wrapText="1"/>
    </xf>
    <xf numFmtId="49" fontId="10" fillId="0" borderId="0" xfId="2" applyNumberFormat="1" applyFont="1" applyAlignment="1">
      <alignment horizontal="center" vertical="top" wrapText="1"/>
    </xf>
    <xf numFmtId="0" fontId="10" fillId="0" borderId="0" xfId="2" applyFont="1" applyAlignment="1">
      <alignment horizontal="left" vertical="top" shrinkToFit="1"/>
    </xf>
    <xf numFmtId="49" fontId="2" fillId="0" borderId="5" xfId="2" applyNumberFormat="1" applyFont="1" applyBorder="1" applyAlignment="1">
      <alignment horizontal="left" vertical="top" shrinkToFit="1"/>
    </xf>
    <xf numFmtId="0" fontId="2" fillId="0" borderId="5" xfId="2" applyFont="1" applyBorder="1" applyAlignment="1">
      <alignment horizontal="left" vertical="top" shrinkToFit="1"/>
    </xf>
    <xf numFmtId="0" fontId="10" fillId="0" borderId="0" xfId="2" applyFont="1" applyAlignment="1">
      <alignment horizontal="right" vertical="top" shrinkToFit="1"/>
    </xf>
    <xf numFmtId="49" fontId="10" fillId="0" borderId="0" xfId="2" applyNumberFormat="1" applyFont="1" applyAlignment="1">
      <alignment horizontal="left" vertical="top"/>
    </xf>
    <xf numFmtId="0" fontId="16" fillId="0" borderId="0" xfId="2" applyAlignment="1">
      <alignment horizontal="left" vertical="top"/>
    </xf>
    <xf numFmtId="0" fontId="16" fillId="0" borderId="5" xfId="2" applyBorder="1" applyAlignment="1">
      <alignment horizontal="left" vertical="top" shrinkToFit="1"/>
    </xf>
    <xf numFmtId="49" fontId="6" fillId="0" borderId="2" xfId="2" applyNumberFormat="1" applyFont="1" applyBorder="1" applyAlignment="1">
      <alignment horizontal="center" vertical="top"/>
    </xf>
    <xf numFmtId="49" fontId="6" fillId="0" borderId="1" xfId="2" applyNumberFormat="1" applyFont="1" applyBorder="1" applyAlignment="1">
      <alignment horizontal="center" vertical="top"/>
    </xf>
    <xf numFmtId="49" fontId="5" fillId="0" borderId="1" xfId="2" applyNumberFormat="1" applyFont="1" applyBorder="1" applyAlignment="1">
      <alignment horizontal="center" vertical="top"/>
    </xf>
    <xf numFmtId="0" fontId="8" fillId="0" borderId="0" xfId="2" applyFont="1" applyAlignment="1">
      <alignment horizontal="left" vertical="top" wrapText="1"/>
    </xf>
    <xf numFmtId="0" fontId="8" fillId="0" borderId="7" xfId="2" applyFont="1" applyBorder="1" applyAlignment="1">
      <alignment horizontal="left" vertical="top" wrapText="1"/>
    </xf>
    <xf numFmtId="49" fontId="6" fillId="0" borderId="3" xfId="2" applyNumberFormat="1" applyFont="1" applyBorder="1" applyAlignment="1">
      <alignment horizontal="center" vertical="top"/>
    </xf>
    <xf numFmtId="0" fontId="5" fillId="0" borderId="1" xfId="2" applyFont="1" applyBorder="1" applyAlignment="1">
      <alignment horizontal="center" vertical="top"/>
    </xf>
    <xf numFmtId="0" fontId="5" fillId="0" borderId="3" xfId="2" applyFont="1" applyBorder="1" applyAlignment="1">
      <alignment horizontal="center" vertical="top"/>
    </xf>
    <xf numFmtId="0" fontId="6" fillId="0" borderId="2" xfId="2" applyFont="1" applyBorder="1" applyAlignment="1">
      <alignment horizontal="center" vertical="top"/>
    </xf>
    <xf numFmtId="0" fontId="17" fillId="0" borderId="1" xfId="2" applyFont="1" applyBorder="1" applyAlignment="1">
      <alignment horizontal="center" vertical="top"/>
    </xf>
    <xf numFmtId="0" fontId="17" fillId="0" borderId="3" xfId="2" applyFont="1" applyBorder="1" applyAlignment="1">
      <alignment horizontal="center" vertical="top"/>
    </xf>
    <xf numFmtId="0" fontId="10" fillId="0" borderId="0" xfId="2" applyFont="1" applyAlignment="1">
      <alignment horizontal="left" vertical="top"/>
    </xf>
    <xf numFmtId="49" fontId="5" fillId="0" borderId="0" xfId="2" applyNumberFormat="1" applyFont="1" applyAlignment="1">
      <alignment horizontal="left" vertical="top"/>
    </xf>
    <xf numFmtId="49" fontId="2" fillId="0" borderId="5" xfId="3" applyNumberFormat="1" applyFont="1" applyBorder="1" applyAlignment="1">
      <alignment horizontal="left" vertical="top" shrinkToFit="1"/>
    </xf>
    <xf numFmtId="0" fontId="2" fillId="0" borderId="5" xfId="3" applyFont="1" applyBorder="1" applyAlignment="1">
      <alignment horizontal="left" vertical="top" shrinkToFit="1"/>
    </xf>
    <xf numFmtId="49" fontId="2" fillId="0" borderId="0" xfId="3" applyNumberFormat="1" applyFont="1" applyAlignment="1">
      <alignment horizontal="left" vertical="top" wrapText="1"/>
    </xf>
    <xf numFmtId="49" fontId="10" fillId="0" borderId="0" xfId="3" applyNumberFormat="1" applyFont="1" applyAlignment="1">
      <alignment horizontal="left" vertical="top"/>
    </xf>
    <xf numFmtId="49" fontId="18" fillId="0" borderId="0" xfId="2" applyNumberFormat="1" applyFont="1" applyAlignment="1">
      <alignment horizontal="left" vertical="top"/>
    </xf>
    <xf numFmtId="49" fontId="2" fillId="0" borderId="0" xfId="0" applyNumberFormat="1" applyFont="1" applyAlignment="1">
      <alignment horizontal="right"/>
    </xf>
    <xf numFmtId="0" fontId="25" fillId="2" borderId="9" xfId="5" applyFont="1" applyFill="1" applyBorder="1" applyAlignment="1">
      <alignment horizontal="center" vertical="center"/>
    </xf>
    <xf numFmtId="0" fontId="25" fillId="2" borderId="10" xfId="5" applyFont="1" applyFill="1" applyBorder="1" applyAlignment="1">
      <alignment horizontal="center" vertical="center"/>
    </xf>
    <xf numFmtId="0" fontId="25" fillId="2" borderId="8" xfId="5" applyFont="1" applyFill="1" applyBorder="1" applyAlignment="1">
      <alignment horizontal="left" vertical="center"/>
    </xf>
    <xf numFmtId="0" fontId="25" fillId="2" borderId="9" xfId="5" applyFont="1" applyFill="1" applyBorder="1" applyAlignment="1">
      <alignment horizontal="left" vertical="center"/>
    </xf>
    <xf numFmtId="0" fontId="25" fillId="2" borderId="10" xfId="5" applyFont="1" applyFill="1" applyBorder="1" applyAlignment="1">
      <alignment horizontal="left" vertical="center"/>
    </xf>
    <xf numFmtId="0" fontId="17" fillId="2" borderId="0" xfId="2" applyFont="1" applyFill="1" applyAlignment="1">
      <alignment horizontal="center" vertical="top"/>
    </xf>
  </cellXfs>
  <cellStyles count="7">
    <cellStyle name="一般" xfId="0" builtinId="0"/>
    <cellStyle name="一般 2" xfId="1" xr:uid="{00000000-0005-0000-0000-000001000000}"/>
    <cellStyle name="一般 2 2" xfId="3" xr:uid="{00000000-0005-0000-0000-000002000000}"/>
    <cellStyle name="一般 2 3" xfId="6" xr:uid="{13773306-B3DB-4AC9-AD2F-3DAB879DABBD}"/>
    <cellStyle name="一般 3" xfId="2" xr:uid="{00000000-0005-0000-0000-000003000000}"/>
    <cellStyle name="一般 4" xfId="5" xr:uid="{643F3B82-6B19-41A2-9B7C-A0D3BC2C6AD8}"/>
    <cellStyle name="一般_Sheet1_99年寄越南資料-鈞麟_每星期結關(E.T.C)主附料進度!" xfId="4" xr:uid="{D128402C-529D-4E2C-8A41-A30302A88F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9"/>
  <sheetViews>
    <sheetView tabSelected="1" workbookViewId="0">
      <selection activeCell="E16" sqref="E16"/>
    </sheetView>
  </sheetViews>
  <sheetFormatPr defaultColWidth="9" defaultRowHeight="14.25"/>
  <cols>
    <col min="1" max="5" width="4.125" style="1" customWidth="1"/>
    <col min="6" max="6" width="5.625" style="1" customWidth="1"/>
    <col min="7" max="7" width="7.625" style="1" customWidth="1"/>
    <col min="8" max="9" width="7.125" style="1" customWidth="1"/>
    <col min="10" max="10" width="5.625" style="1" customWidth="1"/>
    <col min="11" max="11" width="11.625" style="1" customWidth="1"/>
    <col min="12" max="13" width="4.125" style="1" customWidth="1"/>
    <col min="14" max="14" width="8.625" style="1" customWidth="1"/>
    <col min="15" max="15" width="4.125" style="1" customWidth="1"/>
    <col min="16" max="16" width="11.625" style="1" customWidth="1"/>
    <col min="17" max="16384" width="9" style="1"/>
  </cols>
  <sheetData>
    <row r="1" spans="1:16" s="9" customFormat="1" ht="19.5">
      <c r="A1" s="108" t="s">
        <v>176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</row>
    <row r="2" spans="1:16" s="6" customFormat="1" ht="15">
      <c r="A2" s="109" t="s">
        <v>177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</row>
    <row r="3" spans="1:16" s="6" customFormat="1" ht="15">
      <c r="A3" s="106"/>
      <c r="B3" s="106"/>
      <c r="C3" s="106"/>
      <c r="D3" s="106"/>
      <c r="E3" s="106"/>
      <c r="F3" s="106"/>
      <c r="G3" s="106"/>
      <c r="H3" s="106"/>
      <c r="I3" s="106"/>
      <c r="J3" s="107"/>
      <c r="K3" s="107"/>
      <c r="L3" s="107"/>
      <c r="M3" s="107"/>
      <c r="N3" s="107"/>
      <c r="O3" s="107"/>
      <c r="P3" s="107"/>
    </row>
    <row r="4" spans="1:16" s="9" customFormat="1" ht="19.5">
      <c r="A4" s="110" t="s">
        <v>13</v>
      </c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</row>
    <row r="5" spans="1:16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ht="16.5">
      <c r="A6" s="6" t="s">
        <v>12</v>
      </c>
      <c r="B6" s="103" t="s">
        <v>1020</v>
      </c>
      <c r="C6" s="104"/>
      <c r="D6" s="104"/>
      <c r="E6" s="104"/>
      <c r="F6" s="104"/>
      <c r="G6" s="105"/>
      <c r="L6" s="113" t="s">
        <v>11</v>
      </c>
      <c r="M6" s="114"/>
      <c r="N6" s="115" t="s">
        <v>15</v>
      </c>
      <c r="O6" s="115"/>
      <c r="P6" s="92"/>
    </row>
    <row r="7" spans="1:16" ht="15.75">
      <c r="A7" s="116" t="s">
        <v>10</v>
      </c>
      <c r="B7" s="116"/>
      <c r="C7" s="116"/>
      <c r="D7" s="117"/>
      <c r="E7" s="92" t="s">
        <v>1019</v>
      </c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</row>
    <row r="8" spans="1:16" ht="16.5">
      <c r="A8" s="90" t="s">
        <v>162</v>
      </c>
      <c r="B8" s="91"/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21"/>
      <c r="P8" s="21"/>
    </row>
    <row r="9" spans="1:16" ht="16.5">
      <c r="A9" s="90" t="s">
        <v>163</v>
      </c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</row>
    <row r="10" spans="1:16" ht="16.5">
      <c r="A10" s="90" t="s">
        <v>164</v>
      </c>
      <c r="B10" s="91"/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</row>
    <row r="11" spans="1:16" ht="15">
      <c r="A11" s="95" t="s">
        <v>9</v>
      </c>
      <c r="B11" s="95"/>
      <c r="C11" s="95"/>
      <c r="D11" s="93"/>
      <c r="E11" s="93"/>
      <c r="F11" s="93"/>
      <c r="G11" s="93"/>
      <c r="H11" s="93"/>
      <c r="I11" s="94"/>
      <c r="J11" s="7" t="s">
        <v>8</v>
      </c>
      <c r="K11" s="93" t="s">
        <v>18</v>
      </c>
      <c r="L11" s="94"/>
      <c r="M11" s="94"/>
      <c r="N11" s="94"/>
      <c r="O11" s="94"/>
      <c r="P11" s="94"/>
    </row>
    <row r="12" spans="1:16" ht="15">
      <c r="A12" s="95" t="s">
        <v>7</v>
      </c>
      <c r="B12" s="95"/>
      <c r="C12" s="95"/>
      <c r="D12" s="96"/>
      <c r="E12" s="94" t="s">
        <v>1021</v>
      </c>
      <c r="F12" s="94"/>
      <c r="G12" s="94"/>
      <c r="H12" s="5" t="s">
        <v>6</v>
      </c>
      <c r="I12" s="92" t="s">
        <v>19</v>
      </c>
      <c r="J12" s="92"/>
      <c r="K12" s="92"/>
      <c r="L12" s="4" t="s">
        <v>5</v>
      </c>
      <c r="M12" s="94" t="s">
        <v>20</v>
      </c>
      <c r="N12" s="94"/>
      <c r="O12" s="94"/>
      <c r="P12" s="94"/>
    </row>
    <row r="13" spans="1:16" ht="15" thickBot="1"/>
    <row r="14" spans="1:16" s="3" customFormat="1" ht="17.25" thickTop="1">
      <c r="A14" s="97" t="s">
        <v>4</v>
      </c>
      <c r="B14" s="98"/>
      <c r="C14" s="98"/>
      <c r="D14" s="99"/>
      <c r="E14" s="100" t="s">
        <v>3</v>
      </c>
      <c r="F14" s="98"/>
      <c r="G14" s="98"/>
      <c r="H14" s="98"/>
      <c r="I14" s="98"/>
      <c r="J14" s="98"/>
      <c r="K14" s="100" t="s">
        <v>2</v>
      </c>
      <c r="L14" s="111"/>
      <c r="M14" s="101" t="s">
        <v>1</v>
      </c>
      <c r="N14" s="112"/>
      <c r="O14" s="100" t="s">
        <v>0</v>
      </c>
      <c r="P14" s="101"/>
    </row>
    <row r="15" spans="1:16">
      <c r="N15" s="1" t="s">
        <v>178</v>
      </c>
    </row>
    <row r="16" spans="1:16">
      <c r="E16" s="46" t="s">
        <v>2081</v>
      </c>
      <c r="F16" s="46"/>
      <c r="G16" s="46"/>
      <c r="H16" s="46"/>
      <c r="I16" s="47"/>
      <c r="J16" s="86"/>
      <c r="K16" s="86"/>
      <c r="N16" s="1" t="s">
        <v>21</v>
      </c>
    </row>
    <row r="17" spans="1:16">
      <c r="E17" s="1" t="s">
        <v>22</v>
      </c>
    </row>
    <row r="18" spans="1:16">
      <c r="E18" s="1" t="s">
        <v>23</v>
      </c>
    </row>
    <row r="19" spans="1:16">
      <c r="E19" s="1" t="s">
        <v>24</v>
      </c>
    </row>
    <row r="20" spans="1:16">
      <c r="E20" s="1" t="s">
        <v>25</v>
      </c>
    </row>
    <row r="21" spans="1:16">
      <c r="E21" s="1" t="s">
        <v>26</v>
      </c>
    </row>
    <row r="22" spans="1:16">
      <c r="A22" s="2"/>
      <c r="B22" s="2"/>
      <c r="E22" s="1" t="s">
        <v>27</v>
      </c>
    </row>
    <row r="23" spans="1:16" ht="16.5">
      <c r="E23" s="10" t="s">
        <v>28</v>
      </c>
    </row>
    <row r="24" spans="1:16">
      <c r="E24" s="1" t="s">
        <v>29</v>
      </c>
    </row>
    <row r="25" spans="1:16">
      <c r="E25" s="1" t="s">
        <v>30</v>
      </c>
    </row>
    <row r="26" spans="1:16">
      <c r="E26" s="2" t="s">
        <v>31</v>
      </c>
    </row>
    <row r="27" spans="1:16">
      <c r="E27" s="1" t="s">
        <v>32</v>
      </c>
      <c r="K27" s="26">
        <v>1540</v>
      </c>
      <c r="L27" s="1" t="s">
        <v>33</v>
      </c>
      <c r="M27" s="11" t="s">
        <v>34</v>
      </c>
      <c r="N27" s="24">
        <v>1.73</v>
      </c>
      <c r="O27" s="11" t="s">
        <v>34</v>
      </c>
      <c r="P27" s="27">
        <v>2664.2</v>
      </c>
    </row>
    <row r="28" spans="1:16">
      <c r="E28" s="1" t="s">
        <v>32</v>
      </c>
      <c r="K28" s="24">
        <v>20</v>
      </c>
      <c r="L28" s="1" t="s">
        <v>33</v>
      </c>
      <c r="N28" s="24">
        <v>1.73</v>
      </c>
      <c r="P28" s="24">
        <v>34.6</v>
      </c>
    </row>
    <row r="29" spans="1:16">
      <c r="E29" s="1" t="s">
        <v>35</v>
      </c>
      <c r="K29" s="26">
        <v>15221</v>
      </c>
      <c r="L29" s="1" t="s">
        <v>33</v>
      </c>
      <c r="N29" s="24">
        <v>1.73</v>
      </c>
      <c r="P29" s="27">
        <v>26332.33</v>
      </c>
    </row>
    <row r="30" spans="1:16">
      <c r="E30" s="1" t="s">
        <v>35</v>
      </c>
      <c r="K30" s="24">
        <v>157</v>
      </c>
      <c r="L30" s="1" t="s">
        <v>33</v>
      </c>
      <c r="N30" s="24">
        <v>1.73</v>
      </c>
      <c r="P30" s="24">
        <v>271.61</v>
      </c>
    </row>
    <row r="31" spans="1:16">
      <c r="E31" s="1" t="s">
        <v>36</v>
      </c>
      <c r="K31" s="26">
        <v>2861</v>
      </c>
      <c r="L31" s="1" t="s">
        <v>33</v>
      </c>
      <c r="N31" s="24">
        <v>1.73</v>
      </c>
      <c r="P31" s="27">
        <v>4949.53</v>
      </c>
    </row>
    <row r="32" spans="1:16">
      <c r="E32" s="1" t="s">
        <v>37</v>
      </c>
      <c r="K32" s="26">
        <v>6315</v>
      </c>
      <c r="L32" s="1" t="s">
        <v>33</v>
      </c>
      <c r="N32" s="24">
        <v>1.73</v>
      </c>
      <c r="P32" s="27">
        <v>10924.95</v>
      </c>
    </row>
    <row r="33" spans="5:16">
      <c r="E33" s="1" t="s">
        <v>37</v>
      </c>
      <c r="K33" s="24">
        <v>28</v>
      </c>
      <c r="L33" s="1" t="s">
        <v>33</v>
      </c>
      <c r="N33" s="24">
        <v>1.73</v>
      </c>
      <c r="P33" s="24">
        <v>48.44</v>
      </c>
    </row>
    <row r="34" spans="5:16">
      <c r="E34" s="1" t="s">
        <v>38</v>
      </c>
      <c r="K34" s="26">
        <v>2628</v>
      </c>
      <c r="L34" s="1" t="s">
        <v>33</v>
      </c>
      <c r="N34" s="24">
        <v>1.73</v>
      </c>
      <c r="P34" s="27">
        <v>4546.4399999999996</v>
      </c>
    </row>
    <row r="35" spans="5:16">
      <c r="E35" s="1" t="s">
        <v>39</v>
      </c>
      <c r="K35" s="24">
        <v>238</v>
      </c>
      <c r="L35" s="1" t="s">
        <v>33</v>
      </c>
      <c r="N35" s="24">
        <v>1.73</v>
      </c>
      <c r="P35" s="24">
        <v>411.74</v>
      </c>
    </row>
    <row r="36" spans="5:16">
      <c r="E36" s="1" t="s">
        <v>40</v>
      </c>
      <c r="K36" s="24">
        <v>628</v>
      </c>
      <c r="L36" s="1" t="s">
        <v>33</v>
      </c>
      <c r="N36" s="24">
        <v>1.73</v>
      </c>
      <c r="P36" s="27">
        <v>1086.44</v>
      </c>
    </row>
    <row r="37" spans="5:16">
      <c r="E37" s="1" t="s">
        <v>40</v>
      </c>
      <c r="K37" s="24">
        <v>21</v>
      </c>
      <c r="L37" s="1" t="s">
        <v>33</v>
      </c>
      <c r="N37" s="24">
        <v>1.73</v>
      </c>
      <c r="P37" s="24">
        <v>36.33</v>
      </c>
    </row>
    <row r="38" spans="5:16">
      <c r="E38" s="1" t="s">
        <v>41</v>
      </c>
      <c r="K38" s="26">
        <v>1786</v>
      </c>
      <c r="L38" s="1" t="s">
        <v>33</v>
      </c>
      <c r="N38" s="24">
        <v>1.73</v>
      </c>
      <c r="P38" s="27">
        <v>3089.78</v>
      </c>
    </row>
    <row r="39" spans="5:16">
      <c r="E39" s="1" t="s">
        <v>42</v>
      </c>
      <c r="K39" s="24">
        <v>463</v>
      </c>
      <c r="L39" s="1" t="s">
        <v>33</v>
      </c>
      <c r="N39" s="24">
        <v>1.73</v>
      </c>
      <c r="P39" s="24">
        <v>800.99</v>
      </c>
    </row>
    <row r="40" spans="5:16">
      <c r="E40" s="1" t="s">
        <v>42</v>
      </c>
      <c r="K40" s="24">
        <v>3</v>
      </c>
      <c r="L40" s="1" t="s">
        <v>33</v>
      </c>
      <c r="N40" s="24">
        <v>1.73</v>
      </c>
      <c r="P40" s="24">
        <v>5.19</v>
      </c>
    </row>
    <row r="41" spans="5:16">
      <c r="E41" s="1" t="s">
        <v>43</v>
      </c>
    </row>
    <row r="42" spans="5:16">
      <c r="E42" s="1" t="s">
        <v>44</v>
      </c>
    </row>
    <row r="43" spans="5:16" ht="16.5">
      <c r="E43" s="10" t="s">
        <v>28</v>
      </c>
    </row>
    <row r="44" spans="5:16">
      <c r="E44" s="1" t="s">
        <v>45</v>
      </c>
    </row>
    <row r="45" spans="5:16">
      <c r="E45" s="1" t="s">
        <v>46</v>
      </c>
    </row>
    <row r="46" spans="5:16">
      <c r="E46" s="2" t="s">
        <v>47</v>
      </c>
    </row>
    <row r="47" spans="5:16">
      <c r="E47" s="1" t="s">
        <v>48</v>
      </c>
      <c r="K47" s="24">
        <v>545</v>
      </c>
      <c r="L47" s="1" t="s">
        <v>33</v>
      </c>
      <c r="N47" s="24">
        <v>1.73</v>
      </c>
      <c r="P47" s="24">
        <v>942.85</v>
      </c>
    </row>
    <row r="48" spans="5:16">
      <c r="E48" s="1" t="s">
        <v>48</v>
      </c>
      <c r="K48" s="24">
        <v>17</v>
      </c>
      <c r="L48" s="1" t="s">
        <v>33</v>
      </c>
      <c r="N48" s="24">
        <v>1.73</v>
      </c>
      <c r="P48" s="24">
        <v>29.41</v>
      </c>
    </row>
    <row r="49" spans="5:16">
      <c r="E49" s="1" t="s">
        <v>49</v>
      </c>
      <c r="K49" s="26">
        <v>2606</v>
      </c>
      <c r="L49" s="1" t="s">
        <v>33</v>
      </c>
      <c r="N49" s="24">
        <v>1.73</v>
      </c>
      <c r="P49" s="27">
        <v>4508.38</v>
      </c>
    </row>
    <row r="50" spans="5:16">
      <c r="E50" s="1" t="s">
        <v>49</v>
      </c>
      <c r="K50" s="24">
        <v>35</v>
      </c>
      <c r="L50" s="1" t="s">
        <v>33</v>
      </c>
      <c r="N50" s="24">
        <v>1.73</v>
      </c>
      <c r="P50" s="24">
        <v>60.55</v>
      </c>
    </row>
    <row r="51" spans="5:16">
      <c r="E51" s="1" t="s">
        <v>50</v>
      </c>
      <c r="K51" s="24">
        <v>123</v>
      </c>
      <c r="L51" s="1" t="s">
        <v>33</v>
      </c>
      <c r="N51" s="24">
        <v>1.73</v>
      </c>
      <c r="P51" s="24">
        <v>212.79</v>
      </c>
    </row>
    <row r="52" spans="5:16">
      <c r="E52" s="1" t="s">
        <v>50</v>
      </c>
      <c r="K52" s="24">
        <v>37</v>
      </c>
      <c r="L52" s="1" t="s">
        <v>33</v>
      </c>
      <c r="N52" s="24">
        <v>1.73</v>
      </c>
      <c r="P52" s="24">
        <v>64.010000000000005</v>
      </c>
    </row>
    <row r="53" spans="5:16">
      <c r="E53" s="1" t="s">
        <v>51</v>
      </c>
      <c r="K53" s="26">
        <v>1024</v>
      </c>
      <c r="L53" s="1" t="s">
        <v>33</v>
      </c>
      <c r="N53" s="24">
        <v>1.73</v>
      </c>
      <c r="P53" s="27">
        <v>1771.52</v>
      </c>
    </row>
    <row r="54" spans="5:16">
      <c r="E54" s="1" t="s">
        <v>51</v>
      </c>
      <c r="K54" s="24">
        <v>39</v>
      </c>
      <c r="L54" s="1" t="s">
        <v>33</v>
      </c>
      <c r="N54" s="24">
        <v>1.73</v>
      </c>
      <c r="P54" s="24">
        <v>67.47</v>
      </c>
    </row>
    <row r="55" spans="5:16">
      <c r="E55" s="1" t="s">
        <v>52</v>
      </c>
      <c r="K55" s="26">
        <v>3378</v>
      </c>
      <c r="L55" s="1" t="s">
        <v>33</v>
      </c>
      <c r="N55" s="24">
        <v>1.73</v>
      </c>
      <c r="P55" s="27">
        <v>5843.94</v>
      </c>
    </row>
    <row r="56" spans="5:16">
      <c r="E56" s="1" t="s">
        <v>52</v>
      </c>
      <c r="K56" s="24">
        <v>11</v>
      </c>
      <c r="L56" s="1" t="s">
        <v>33</v>
      </c>
      <c r="M56" s="11" t="s">
        <v>34</v>
      </c>
      <c r="N56" s="24">
        <v>1.73</v>
      </c>
      <c r="O56" s="11" t="s">
        <v>34</v>
      </c>
      <c r="P56" s="24">
        <v>19.03</v>
      </c>
    </row>
    <row r="57" spans="5:16">
      <c r="E57" s="1" t="s">
        <v>43</v>
      </c>
    </row>
    <row r="58" spans="5:16">
      <c r="E58" s="1" t="s">
        <v>53</v>
      </c>
    </row>
    <row r="59" spans="5:16">
      <c r="E59" s="1" t="s">
        <v>54</v>
      </c>
    </row>
    <row r="60" spans="5:16">
      <c r="E60" s="1" t="s">
        <v>55</v>
      </c>
    </row>
    <row r="61" spans="5:16">
      <c r="E61" s="1" t="s">
        <v>56</v>
      </c>
    </row>
    <row r="62" spans="5:16" ht="16.5">
      <c r="E62" s="10" t="s">
        <v>57</v>
      </c>
    </row>
    <row r="63" spans="5:16">
      <c r="E63" s="1" t="s">
        <v>58</v>
      </c>
    </row>
    <row r="64" spans="5:16">
      <c r="E64" s="1" t="s">
        <v>59</v>
      </c>
    </row>
    <row r="65" spans="5:16">
      <c r="E65" s="2" t="s">
        <v>47</v>
      </c>
    </row>
    <row r="66" spans="5:16">
      <c r="E66" s="1" t="s">
        <v>60</v>
      </c>
      <c r="K66" s="26">
        <v>1519</v>
      </c>
      <c r="L66" s="1" t="s">
        <v>33</v>
      </c>
      <c r="N66" s="24">
        <v>1.45</v>
      </c>
      <c r="P66" s="27">
        <v>2202.5500000000002</v>
      </c>
    </row>
    <row r="67" spans="5:16">
      <c r="E67" s="1" t="s">
        <v>60</v>
      </c>
      <c r="K67" s="24">
        <v>72</v>
      </c>
      <c r="L67" s="1" t="s">
        <v>33</v>
      </c>
      <c r="N67" s="24">
        <v>1.45</v>
      </c>
      <c r="P67" s="24">
        <v>104.4</v>
      </c>
    </row>
    <row r="68" spans="5:16">
      <c r="E68" s="1" t="s">
        <v>35</v>
      </c>
      <c r="K68" s="26">
        <v>2065</v>
      </c>
      <c r="L68" s="1" t="s">
        <v>33</v>
      </c>
      <c r="N68" s="24">
        <v>1.45</v>
      </c>
      <c r="P68" s="27">
        <v>2994.25</v>
      </c>
    </row>
    <row r="69" spans="5:16">
      <c r="E69" s="1" t="s">
        <v>35</v>
      </c>
      <c r="K69" s="24">
        <v>80</v>
      </c>
      <c r="L69" s="1" t="s">
        <v>33</v>
      </c>
      <c r="N69" s="24">
        <v>1.45</v>
      </c>
      <c r="P69" s="24">
        <v>116</v>
      </c>
    </row>
    <row r="70" spans="5:16">
      <c r="E70" s="1" t="s">
        <v>61</v>
      </c>
      <c r="K70" s="26">
        <v>1648</v>
      </c>
      <c r="L70" s="1" t="s">
        <v>33</v>
      </c>
      <c r="N70" s="24">
        <v>1.45</v>
      </c>
      <c r="P70" s="27">
        <v>2389.6</v>
      </c>
    </row>
    <row r="71" spans="5:16">
      <c r="E71" s="1" t="s">
        <v>61</v>
      </c>
      <c r="K71" s="24">
        <v>148</v>
      </c>
      <c r="L71" s="1" t="s">
        <v>33</v>
      </c>
      <c r="N71" s="24">
        <v>1.45</v>
      </c>
      <c r="P71" s="24">
        <v>214.6</v>
      </c>
    </row>
    <row r="72" spans="5:16">
      <c r="E72" s="1" t="s">
        <v>37</v>
      </c>
      <c r="K72" s="26">
        <v>1488</v>
      </c>
      <c r="L72" s="1" t="s">
        <v>33</v>
      </c>
      <c r="N72" s="24">
        <v>1.45</v>
      </c>
      <c r="P72" s="27">
        <v>2157.6</v>
      </c>
    </row>
    <row r="73" spans="5:16">
      <c r="E73" s="1" t="s">
        <v>62</v>
      </c>
      <c r="K73" s="26">
        <v>1280</v>
      </c>
      <c r="L73" s="1" t="s">
        <v>33</v>
      </c>
      <c r="N73" s="24">
        <v>1.45</v>
      </c>
      <c r="P73" s="27">
        <v>1856</v>
      </c>
    </row>
    <row r="74" spans="5:16">
      <c r="E74" s="1" t="s">
        <v>62</v>
      </c>
      <c r="K74" s="24">
        <v>61</v>
      </c>
      <c r="L74" s="1" t="s">
        <v>33</v>
      </c>
      <c r="N74" s="24">
        <v>1.45</v>
      </c>
      <c r="P74" s="24">
        <v>88.45</v>
      </c>
    </row>
    <row r="75" spans="5:16">
      <c r="E75" s="1" t="s">
        <v>63</v>
      </c>
      <c r="K75" s="24">
        <v>947</v>
      </c>
      <c r="L75" s="1" t="s">
        <v>33</v>
      </c>
      <c r="N75" s="24">
        <v>1.45</v>
      </c>
      <c r="P75" s="27">
        <v>1373.15</v>
      </c>
    </row>
    <row r="76" spans="5:16">
      <c r="E76" s="1" t="s">
        <v>63</v>
      </c>
      <c r="K76" s="24">
        <v>65</v>
      </c>
      <c r="L76" s="1" t="s">
        <v>33</v>
      </c>
      <c r="N76" s="24">
        <v>1.45</v>
      </c>
      <c r="P76" s="24">
        <v>94.25</v>
      </c>
    </row>
    <row r="77" spans="5:16">
      <c r="E77" s="1" t="s">
        <v>52</v>
      </c>
      <c r="K77" s="26">
        <v>4249</v>
      </c>
      <c r="L77" s="1" t="s">
        <v>33</v>
      </c>
      <c r="N77" s="24">
        <v>1.45</v>
      </c>
      <c r="P77" s="27">
        <v>6161.05</v>
      </c>
    </row>
    <row r="78" spans="5:16">
      <c r="E78" s="1" t="s">
        <v>52</v>
      </c>
      <c r="K78" s="24">
        <v>31</v>
      </c>
      <c r="L78" s="1" t="s">
        <v>33</v>
      </c>
      <c r="N78" s="24">
        <v>1.45</v>
      </c>
      <c r="P78" s="24">
        <v>44.95</v>
      </c>
    </row>
    <row r="79" spans="5:16">
      <c r="E79" s="1" t="s">
        <v>22</v>
      </c>
    </row>
    <row r="80" spans="5:16">
      <c r="E80" s="1" t="s">
        <v>23</v>
      </c>
    </row>
    <row r="81" spans="5:16">
      <c r="E81" s="1" t="s">
        <v>64</v>
      </c>
    </row>
    <row r="82" spans="5:16">
      <c r="E82" s="1" t="s">
        <v>65</v>
      </c>
    </row>
    <row r="83" spans="5:16">
      <c r="E83" s="1" t="s">
        <v>66</v>
      </c>
    </row>
    <row r="84" spans="5:16" ht="16.5">
      <c r="E84" s="10" t="s">
        <v>28</v>
      </c>
    </row>
    <row r="85" spans="5:16">
      <c r="E85" s="1" t="s">
        <v>67</v>
      </c>
    </row>
    <row r="86" spans="5:16">
      <c r="E86" s="2" t="s">
        <v>68</v>
      </c>
    </row>
    <row r="87" spans="5:16">
      <c r="E87" s="1" t="s">
        <v>69</v>
      </c>
      <c r="K87" s="24">
        <v>116</v>
      </c>
      <c r="L87" s="1" t="s">
        <v>33</v>
      </c>
      <c r="N87" s="24">
        <v>2.2200000000000002</v>
      </c>
      <c r="P87" s="24">
        <v>257.52</v>
      </c>
    </row>
    <row r="88" spans="5:16">
      <c r="E88" s="1" t="s">
        <v>70</v>
      </c>
      <c r="K88" s="24">
        <v>370</v>
      </c>
      <c r="L88" s="1" t="s">
        <v>33</v>
      </c>
      <c r="N88" s="24">
        <v>2.2200000000000002</v>
      </c>
      <c r="P88" s="24">
        <v>821.4</v>
      </c>
    </row>
    <row r="89" spans="5:16">
      <c r="E89" s="1" t="s">
        <v>71</v>
      </c>
    </row>
    <row r="90" spans="5:16">
      <c r="E90" s="1" t="s">
        <v>72</v>
      </c>
      <c r="K90" s="24">
        <v>363</v>
      </c>
      <c r="L90" s="1" t="s">
        <v>33</v>
      </c>
      <c r="N90" s="24">
        <v>2.2200000000000002</v>
      </c>
      <c r="P90" s="24">
        <v>805.86</v>
      </c>
    </row>
    <row r="91" spans="5:16">
      <c r="E91" s="1" t="s">
        <v>73</v>
      </c>
    </row>
    <row r="92" spans="5:16">
      <c r="E92" s="1" t="s">
        <v>43</v>
      </c>
    </row>
    <row r="93" spans="5:16">
      <c r="E93" s="1" t="s">
        <v>74</v>
      </c>
    </row>
    <row r="94" spans="5:16">
      <c r="E94" s="2" t="s">
        <v>75</v>
      </c>
    </row>
    <row r="95" spans="5:16">
      <c r="E95" s="1" t="s">
        <v>76</v>
      </c>
      <c r="K95" s="24">
        <v>358</v>
      </c>
      <c r="L95" s="1" t="s">
        <v>33</v>
      </c>
      <c r="N95" s="24">
        <v>2.2200000000000002</v>
      </c>
      <c r="P95" s="24">
        <v>794.76</v>
      </c>
    </row>
    <row r="96" spans="5:16">
      <c r="E96" s="1" t="s">
        <v>77</v>
      </c>
    </row>
    <row r="97" spans="5:16">
      <c r="E97" s="1" t="s">
        <v>78</v>
      </c>
      <c r="K97" s="24">
        <v>347</v>
      </c>
      <c r="L97" s="1" t="s">
        <v>33</v>
      </c>
      <c r="N97" s="24">
        <v>2.2200000000000002</v>
      </c>
      <c r="P97" s="24">
        <v>770.34</v>
      </c>
    </row>
    <row r="98" spans="5:16">
      <c r="E98" s="1" t="s">
        <v>79</v>
      </c>
    </row>
    <row r="99" spans="5:16">
      <c r="E99" s="1" t="s">
        <v>43</v>
      </c>
    </row>
    <row r="100" spans="5:16">
      <c r="E100" s="1" t="s">
        <v>80</v>
      </c>
    </row>
    <row r="101" spans="5:16">
      <c r="E101" s="2" t="s">
        <v>81</v>
      </c>
    </row>
    <row r="102" spans="5:16">
      <c r="E102" s="1" t="s">
        <v>82</v>
      </c>
      <c r="K102" s="24">
        <v>300</v>
      </c>
      <c r="L102" s="1" t="s">
        <v>33</v>
      </c>
      <c r="N102" s="24">
        <v>2.2200000000000002</v>
      </c>
      <c r="P102" s="24">
        <v>666</v>
      </c>
    </row>
    <row r="103" spans="5:16">
      <c r="E103" s="1" t="s">
        <v>83</v>
      </c>
    </row>
    <row r="105" spans="5:16">
      <c r="E105" s="22" t="s">
        <v>169</v>
      </c>
      <c r="H105" s="23"/>
      <c r="I105" s="23"/>
      <c r="K105" s="24"/>
      <c r="N105" s="24"/>
      <c r="P105" s="41"/>
    </row>
    <row r="106" spans="5:16">
      <c r="E106" s="22" t="s">
        <v>165</v>
      </c>
      <c r="K106" s="24"/>
      <c r="N106" s="24"/>
      <c r="P106" s="41"/>
    </row>
    <row r="107" spans="5:16">
      <c r="E107" s="22" t="s">
        <v>174</v>
      </c>
      <c r="K107" s="24"/>
      <c r="N107" s="24"/>
      <c r="P107" s="41"/>
    </row>
    <row r="108" spans="5:16">
      <c r="E108" s="22" t="s">
        <v>166</v>
      </c>
      <c r="K108" s="24"/>
      <c r="N108" s="24"/>
      <c r="P108" s="41"/>
    </row>
    <row r="109" spans="5:16">
      <c r="E109" s="22" t="s">
        <v>167</v>
      </c>
      <c r="K109" s="24"/>
      <c r="N109" s="24"/>
      <c r="P109" s="41"/>
    </row>
    <row r="110" spans="5:16">
      <c r="E110" s="22" t="s">
        <v>170</v>
      </c>
      <c r="K110" s="24">
        <v>200</v>
      </c>
      <c r="L110" s="1" t="s">
        <v>168</v>
      </c>
      <c r="N110" s="24">
        <v>3.61</v>
      </c>
      <c r="P110" s="41">
        <f>K110*N110</f>
        <v>722</v>
      </c>
    </row>
    <row r="111" spans="5:16">
      <c r="E111" s="22" t="s">
        <v>171</v>
      </c>
      <c r="K111" s="24">
        <v>200</v>
      </c>
      <c r="L111" s="1" t="s">
        <v>168</v>
      </c>
      <c r="N111" s="24">
        <v>3.75</v>
      </c>
      <c r="P111" s="41">
        <f>K111*N111</f>
        <v>750</v>
      </c>
    </row>
    <row r="112" spans="5:16">
      <c r="E112" s="22"/>
      <c r="K112" s="24"/>
      <c r="N112" s="24"/>
      <c r="P112" s="41"/>
    </row>
    <row r="113" spans="1:16">
      <c r="E113" s="48" t="s">
        <v>172</v>
      </c>
      <c r="K113" s="24"/>
      <c r="N113" s="24"/>
      <c r="P113" s="41"/>
    </row>
    <row r="114" spans="1:16">
      <c r="E114" s="22" t="s">
        <v>175</v>
      </c>
      <c r="K114" s="24"/>
      <c r="N114" s="24"/>
      <c r="P114" s="41"/>
    </row>
    <row r="115" spans="1:16">
      <c r="E115" s="22" t="s">
        <v>173</v>
      </c>
      <c r="K115" s="24">
        <v>1000</v>
      </c>
      <c r="L115" s="1" t="s">
        <v>168</v>
      </c>
      <c r="N115" s="24">
        <v>0.68</v>
      </c>
      <c r="P115" s="41">
        <f>K115*N115</f>
        <v>680</v>
      </c>
    </row>
    <row r="116" spans="1:16">
      <c r="A116" s="1" t="s">
        <v>1017</v>
      </c>
      <c r="E116" s="22"/>
      <c r="K116" s="24"/>
      <c r="N116" s="24"/>
      <c r="P116" s="25"/>
    </row>
    <row r="117" spans="1:16" s="40" customFormat="1" ht="15" customHeight="1">
      <c r="B117" s="35"/>
      <c r="C117" s="36"/>
      <c r="D117" s="37"/>
      <c r="E117" s="46" t="s">
        <v>185</v>
      </c>
      <c r="F117" s="46"/>
      <c r="G117" s="46"/>
      <c r="H117" s="46"/>
      <c r="I117" s="47"/>
      <c r="J117" s="39"/>
      <c r="L117" s="39"/>
      <c r="M117" s="41"/>
      <c r="N117" s="39"/>
      <c r="O117" s="41"/>
    </row>
    <row r="118" spans="1:16" s="40" customFormat="1" ht="13.5" customHeight="1">
      <c r="B118" s="35"/>
      <c r="C118" s="36"/>
      <c r="D118" s="37"/>
      <c r="E118" s="35" t="s">
        <v>187</v>
      </c>
      <c r="F118" s="35"/>
      <c r="G118" s="35"/>
      <c r="H118" s="35"/>
      <c r="I118" s="38"/>
      <c r="J118" s="39"/>
      <c r="L118" s="39"/>
      <c r="M118" s="41"/>
      <c r="N118" s="39"/>
      <c r="O118" s="41"/>
    </row>
    <row r="119" spans="1:16" s="40" customFormat="1" ht="13.5" customHeight="1">
      <c r="B119" s="35"/>
      <c r="C119" s="36"/>
      <c r="D119" s="37"/>
      <c r="E119" s="35" t="s">
        <v>1023</v>
      </c>
      <c r="F119" s="35"/>
      <c r="G119" s="35"/>
      <c r="H119" s="35"/>
      <c r="I119" s="38"/>
      <c r="J119" s="39"/>
      <c r="L119" s="39"/>
      <c r="M119" s="41"/>
      <c r="N119" s="39"/>
      <c r="O119" s="41"/>
    </row>
    <row r="120" spans="1:16" s="40" customFormat="1" ht="13.5" customHeight="1">
      <c r="B120" s="35"/>
      <c r="C120" s="36"/>
      <c r="D120" s="37"/>
      <c r="E120" s="35" t="s">
        <v>191</v>
      </c>
      <c r="F120" s="35"/>
      <c r="G120" s="35"/>
      <c r="H120" s="35"/>
      <c r="I120" s="38"/>
      <c r="J120" s="39"/>
      <c r="L120" s="39"/>
      <c r="M120" s="41"/>
      <c r="N120" s="39"/>
      <c r="O120" s="41"/>
    </row>
    <row r="121" spans="1:16" s="40" customFormat="1" ht="13.5" customHeight="1">
      <c r="B121" s="35"/>
      <c r="C121" s="36"/>
      <c r="D121" s="37"/>
      <c r="E121" s="35" t="s">
        <v>193</v>
      </c>
      <c r="F121" s="35"/>
      <c r="G121" s="35"/>
      <c r="H121" s="35" t="s">
        <v>1024</v>
      </c>
      <c r="I121" s="38"/>
      <c r="J121" s="39"/>
      <c r="L121" s="39"/>
      <c r="M121" s="41"/>
      <c r="N121" s="39"/>
      <c r="O121" s="41"/>
    </row>
    <row r="122" spans="1:16" s="40" customFormat="1" ht="13.5" customHeight="1">
      <c r="B122" s="35"/>
      <c r="C122" s="36"/>
      <c r="D122" s="37"/>
      <c r="E122" s="42" t="s">
        <v>195</v>
      </c>
      <c r="F122" s="35"/>
      <c r="G122" s="35"/>
      <c r="H122" s="35"/>
      <c r="I122" s="38"/>
      <c r="J122" s="39"/>
      <c r="L122" s="39"/>
      <c r="M122" s="41"/>
      <c r="N122" s="39"/>
      <c r="O122" s="41"/>
    </row>
    <row r="123" spans="1:16" s="40" customFormat="1" ht="13.5" customHeight="1">
      <c r="B123" s="35"/>
      <c r="C123" s="36"/>
      <c r="D123" s="37"/>
      <c r="E123" s="35" t="s">
        <v>197</v>
      </c>
      <c r="F123" s="35"/>
      <c r="G123" s="35"/>
      <c r="H123" s="35"/>
      <c r="I123" s="38"/>
      <c r="J123" s="39"/>
      <c r="L123" s="39"/>
      <c r="M123" s="41"/>
      <c r="N123" s="39"/>
      <c r="O123" s="41"/>
    </row>
    <row r="124" spans="1:16" s="40" customFormat="1" ht="13.5" customHeight="1">
      <c r="B124" s="35"/>
      <c r="C124" s="36"/>
      <c r="D124" s="37"/>
      <c r="E124" s="35" t="s">
        <v>199</v>
      </c>
      <c r="F124" s="35"/>
      <c r="G124" s="35"/>
      <c r="H124" s="35"/>
      <c r="I124" s="38"/>
      <c r="J124" s="39"/>
      <c r="L124" s="39"/>
      <c r="M124" s="41"/>
      <c r="N124" s="39"/>
      <c r="O124" s="41"/>
    </row>
    <row r="125" spans="1:16" s="40" customFormat="1" ht="13.5" customHeight="1">
      <c r="B125" s="35"/>
      <c r="C125" s="36"/>
      <c r="D125" s="37"/>
      <c r="E125" s="35" t="s">
        <v>201</v>
      </c>
      <c r="F125" s="35"/>
      <c r="G125" s="35"/>
      <c r="H125" s="35"/>
      <c r="I125" s="38"/>
      <c r="J125" s="39"/>
      <c r="L125" s="39"/>
      <c r="M125" s="41"/>
      <c r="N125" s="39"/>
      <c r="O125" s="41"/>
    </row>
    <row r="126" spans="1:16" s="40" customFormat="1" ht="13.5" customHeight="1">
      <c r="B126" s="35"/>
      <c r="C126" s="36"/>
      <c r="D126" s="37"/>
      <c r="E126" s="35" t="s">
        <v>203</v>
      </c>
      <c r="F126" s="35"/>
      <c r="G126" s="35"/>
      <c r="H126" s="35"/>
      <c r="K126" s="38">
        <v>2880</v>
      </c>
      <c r="L126" s="39" t="s">
        <v>204</v>
      </c>
      <c r="N126" s="41">
        <v>2.16</v>
      </c>
      <c r="O126" s="39" t="s">
        <v>34</v>
      </c>
      <c r="P126" s="41">
        <f>K126*N126</f>
        <v>6220.8</v>
      </c>
    </row>
    <row r="127" spans="1:16" s="40" customFormat="1" ht="13.5" customHeight="1">
      <c r="B127" s="35"/>
      <c r="C127" s="36"/>
      <c r="D127" s="37"/>
      <c r="E127" s="35" t="s">
        <v>206</v>
      </c>
      <c r="F127" s="35"/>
      <c r="G127" s="35"/>
      <c r="H127" s="35"/>
      <c r="K127" s="38">
        <v>1128</v>
      </c>
      <c r="L127" s="39" t="s">
        <v>204</v>
      </c>
      <c r="N127" s="41">
        <v>2.16</v>
      </c>
      <c r="O127" s="39" t="s">
        <v>34</v>
      </c>
      <c r="P127" s="41">
        <f t="shared" ref="P127:P194" si="0">K127*N127</f>
        <v>2436.48</v>
      </c>
    </row>
    <row r="128" spans="1:16" s="40" customFormat="1">
      <c r="B128" s="35"/>
      <c r="C128" s="36"/>
      <c r="D128" s="37"/>
      <c r="E128" s="35"/>
      <c r="F128" s="35"/>
      <c r="G128" s="35"/>
      <c r="H128" s="35"/>
      <c r="K128" s="38"/>
      <c r="L128" s="39"/>
      <c r="N128" s="41"/>
      <c r="O128" s="39"/>
      <c r="P128" s="41"/>
    </row>
    <row r="129" spans="1:16" s="40" customFormat="1">
      <c r="B129" s="35"/>
      <c r="C129" s="36"/>
      <c r="D129" s="37"/>
      <c r="E129" s="35" t="s">
        <v>208</v>
      </c>
      <c r="F129" s="35"/>
      <c r="G129" s="35"/>
      <c r="H129" s="35"/>
      <c r="K129" s="38">
        <v>646</v>
      </c>
      <c r="L129" s="39" t="s">
        <v>204</v>
      </c>
      <c r="N129" s="41">
        <v>2.96</v>
      </c>
      <c r="O129" s="39" t="s">
        <v>34</v>
      </c>
      <c r="P129" s="41">
        <f t="shared" si="0"/>
        <v>1912.16</v>
      </c>
    </row>
    <row r="130" spans="1:16" s="40" customFormat="1">
      <c r="A130" s="35"/>
      <c r="B130" s="35"/>
      <c r="C130" s="36"/>
      <c r="D130" s="37"/>
      <c r="E130" s="35" t="s">
        <v>209</v>
      </c>
      <c r="F130" s="35"/>
      <c r="G130" s="35"/>
      <c r="H130" s="35"/>
      <c r="K130" s="38">
        <v>1335</v>
      </c>
      <c r="L130" s="39" t="s">
        <v>204</v>
      </c>
      <c r="N130" s="41">
        <v>2.16</v>
      </c>
      <c r="O130" s="39" t="s">
        <v>34</v>
      </c>
      <c r="P130" s="41">
        <f t="shared" si="0"/>
        <v>2883.6000000000004</v>
      </c>
    </row>
    <row r="131" spans="1:16" s="40" customFormat="1">
      <c r="A131" s="35"/>
      <c r="B131" s="35"/>
      <c r="C131" s="36"/>
      <c r="D131" s="37"/>
      <c r="E131" s="42" t="s">
        <v>210</v>
      </c>
      <c r="F131" s="35"/>
      <c r="G131" s="35"/>
      <c r="H131" s="35"/>
      <c r="K131" s="38"/>
      <c r="L131" s="39"/>
      <c r="N131" s="41"/>
      <c r="O131" s="39"/>
      <c r="P131" s="41"/>
    </row>
    <row r="132" spans="1:16" s="40" customFormat="1">
      <c r="A132" s="35"/>
      <c r="B132" s="35"/>
      <c r="C132" s="36"/>
      <c r="D132" s="37"/>
      <c r="E132" s="35" t="s">
        <v>203</v>
      </c>
      <c r="F132" s="35"/>
      <c r="G132" s="35"/>
      <c r="H132" s="35"/>
      <c r="K132" s="38">
        <v>10</v>
      </c>
      <c r="L132" s="39" t="s">
        <v>204</v>
      </c>
      <c r="N132" s="41">
        <v>2.16</v>
      </c>
      <c r="O132" s="39" t="s">
        <v>34</v>
      </c>
      <c r="P132" s="41">
        <f t="shared" si="0"/>
        <v>21.6</v>
      </c>
    </row>
    <row r="133" spans="1:16" s="40" customFormat="1">
      <c r="A133" s="35"/>
      <c r="B133" s="35"/>
      <c r="C133" s="36"/>
      <c r="D133" s="37"/>
      <c r="E133" s="35" t="s">
        <v>206</v>
      </c>
      <c r="F133" s="35"/>
      <c r="G133" s="35"/>
      <c r="H133" s="35"/>
      <c r="K133" s="38">
        <v>10</v>
      </c>
      <c r="L133" s="39" t="s">
        <v>204</v>
      </c>
      <c r="N133" s="41">
        <v>2.16</v>
      </c>
      <c r="O133" s="39" t="s">
        <v>34</v>
      </c>
      <c r="P133" s="41">
        <f t="shared" si="0"/>
        <v>21.6</v>
      </c>
    </row>
    <row r="134" spans="1:16" s="40" customFormat="1">
      <c r="A134" s="35"/>
      <c r="B134" s="35"/>
      <c r="C134" s="36"/>
      <c r="D134" s="37"/>
      <c r="E134" s="35" t="s">
        <v>208</v>
      </c>
      <c r="F134" s="35"/>
      <c r="G134" s="35"/>
      <c r="H134" s="35"/>
      <c r="K134" s="38">
        <v>10</v>
      </c>
      <c r="L134" s="39" t="s">
        <v>204</v>
      </c>
      <c r="N134" s="41">
        <v>2.96</v>
      </c>
      <c r="O134" s="39" t="s">
        <v>34</v>
      </c>
      <c r="P134" s="41">
        <f t="shared" si="0"/>
        <v>29.6</v>
      </c>
    </row>
    <row r="135" spans="1:16" s="40" customFormat="1">
      <c r="A135" s="35"/>
      <c r="B135" s="35"/>
      <c r="C135" s="36"/>
      <c r="D135" s="37"/>
      <c r="E135" s="35" t="s">
        <v>209</v>
      </c>
      <c r="F135" s="35"/>
      <c r="G135" s="35"/>
      <c r="H135" s="35"/>
      <c r="K135" s="38">
        <v>10</v>
      </c>
      <c r="L135" s="39" t="s">
        <v>204</v>
      </c>
      <c r="N135" s="41">
        <v>2.16</v>
      </c>
      <c r="O135" s="39" t="s">
        <v>34</v>
      </c>
      <c r="P135" s="41">
        <f t="shared" si="0"/>
        <v>21.6</v>
      </c>
    </row>
    <row r="136" spans="1:16" s="40" customFormat="1">
      <c r="A136" s="35"/>
      <c r="B136" s="35"/>
      <c r="C136" s="36"/>
      <c r="D136" s="37"/>
      <c r="E136" s="35"/>
      <c r="F136" s="35"/>
      <c r="G136" s="35"/>
      <c r="H136" s="35"/>
      <c r="K136" s="38"/>
      <c r="L136" s="39"/>
      <c r="N136" s="41"/>
      <c r="O136" s="39"/>
      <c r="P136" s="41"/>
    </row>
    <row r="137" spans="1:16" s="40" customFormat="1">
      <c r="A137" s="35"/>
      <c r="B137" s="35"/>
      <c r="C137" s="36"/>
      <c r="D137" s="37"/>
      <c r="E137" s="35"/>
      <c r="F137" s="35"/>
      <c r="G137" s="35"/>
      <c r="H137" s="35"/>
      <c r="K137" s="38"/>
      <c r="L137" s="39"/>
      <c r="N137" s="41"/>
      <c r="O137" s="39"/>
      <c r="P137" s="41"/>
    </row>
    <row r="138" spans="1:16" s="40" customFormat="1">
      <c r="A138" s="35"/>
      <c r="B138" s="35"/>
      <c r="C138" s="36"/>
      <c r="D138" s="37"/>
      <c r="E138" s="35" t="s">
        <v>211</v>
      </c>
      <c r="F138" s="35"/>
      <c r="G138" s="35"/>
      <c r="H138" s="35"/>
      <c r="K138" s="38"/>
      <c r="L138" s="39"/>
      <c r="N138" s="41"/>
      <c r="O138" s="39"/>
      <c r="P138" s="41"/>
    </row>
    <row r="139" spans="1:16" s="40" customFormat="1">
      <c r="A139" s="35"/>
      <c r="B139" s="35"/>
      <c r="C139" s="36"/>
      <c r="D139" s="37"/>
      <c r="E139" s="42" t="s">
        <v>212</v>
      </c>
      <c r="F139" s="35"/>
      <c r="G139" s="35"/>
      <c r="H139" s="35"/>
      <c r="K139" s="38"/>
      <c r="L139" s="39"/>
      <c r="N139" s="41"/>
      <c r="O139" s="39"/>
      <c r="P139" s="41"/>
    </row>
    <row r="140" spans="1:16" s="40" customFormat="1">
      <c r="A140" s="35"/>
      <c r="B140" s="35"/>
      <c r="C140" s="36"/>
      <c r="D140" s="37"/>
      <c r="E140" s="42" t="s">
        <v>213</v>
      </c>
      <c r="F140" s="35"/>
      <c r="G140" s="35"/>
      <c r="H140" s="35"/>
      <c r="K140" s="38"/>
      <c r="L140" s="39"/>
      <c r="N140" s="41"/>
      <c r="O140" s="39"/>
      <c r="P140" s="41"/>
    </row>
    <row r="141" spans="1:16" s="40" customFormat="1">
      <c r="A141" s="35"/>
      <c r="B141" s="35"/>
      <c r="C141" s="36"/>
      <c r="D141" s="37"/>
      <c r="E141" s="42" t="s">
        <v>214</v>
      </c>
      <c r="F141" s="35"/>
      <c r="G141" s="35"/>
      <c r="H141" s="35"/>
      <c r="K141" s="38"/>
      <c r="L141" s="39"/>
      <c r="N141" s="41"/>
      <c r="O141" s="39"/>
      <c r="P141" s="41"/>
    </row>
    <row r="142" spans="1:16" s="40" customFormat="1">
      <c r="A142" s="35"/>
      <c r="B142" s="35"/>
      <c r="C142" s="36"/>
      <c r="D142" s="37"/>
      <c r="E142" s="35" t="s">
        <v>215</v>
      </c>
      <c r="F142" s="35"/>
      <c r="G142" s="35"/>
      <c r="H142" s="35"/>
      <c r="K142" s="38"/>
      <c r="L142" s="39"/>
      <c r="N142" s="41"/>
      <c r="O142" s="39"/>
      <c r="P142" s="41"/>
    </row>
    <row r="143" spans="1:16" s="40" customFormat="1">
      <c r="A143" s="35"/>
      <c r="B143" s="35"/>
      <c r="C143" s="36"/>
      <c r="D143" s="37"/>
      <c r="E143" s="35" t="s">
        <v>1025</v>
      </c>
      <c r="F143" s="35"/>
      <c r="G143" s="35"/>
      <c r="H143" s="35"/>
      <c r="K143" s="38"/>
      <c r="L143" s="39"/>
      <c r="N143" s="41"/>
      <c r="O143" s="39"/>
      <c r="P143" s="41"/>
    </row>
    <row r="144" spans="1:16" s="40" customFormat="1">
      <c r="A144" s="35"/>
      <c r="B144" s="35"/>
      <c r="C144" s="36"/>
      <c r="D144" s="37"/>
      <c r="E144" s="35"/>
      <c r="F144" s="35"/>
      <c r="G144" s="35"/>
      <c r="H144" s="35"/>
      <c r="K144" s="38"/>
      <c r="L144" s="39"/>
      <c r="N144" s="41"/>
      <c r="O144" s="39"/>
      <c r="P144" s="41"/>
    </row>
    <row r="145" spans="1:16" s="40" customFormat="1">
      <c r="A145" s="35"/>
      <c r="B145" s="35"/>
      <c r="C145" s="36"/>
      <c r="D145" s="37"/>
      <c r="E145" s="35" t="s">
        <v>216</v>
      </c>
      <c r="F145" s="35"/>
      <c r="G145" s="35"/>
      <c r="H145" s="35"/>
      <c r="K145" s="38"/>
      <c r="L145" s="39"/>
      <c r="N145" s="41"/>
      <c r="O145" s="39"/>
      <c r="P145" s="41"/>
    </row>
    <row r="146" spans="1:16" s="40" customFormat="1">
      <c r="A146" s="35"/>
      <c r="B146" s="35"/>
      <c r="C146" s="36"/>
      <c r="D146" s="37"/>
      <c r="E146" s="35" t="s">
        <v>217</v>
      </c>
      <c r="F146" s="35"/>
      <c r="G146" s="35"/>
      <c r="H146" s="35"/>
      <c r="K146" s="38"/>
      <c r="L146" s="39"/>
      <c r="N146" s="41"/>
      <c r="O146" s="39"/>
      <c r="P146" s="41"/>
    </row>
    <row r="147" spans="1:16" s="40" customFormat="1">
      <c r="A147" s="35"/>
      <c r="B147" s="35"/>
      <c r="C147" s="36"/>
      <c r="D147" s="37"/>
      <c r="E147" s="35" t="s">
        <v>218</v>
      </c>
      <c r="F147" s="35"/>
      <c r="G147" s="35"/>
      <c r="H147" s="35"/>
      <c r="K147" s="38">
        <v>840</v>
      </c>
      <c r="L147" s="39" t="s">
        <v>204</v>
      </c>
      <c r="N147" s="41">
        <v>4.12</v>
      </c>
      <c r="O147" s="39" t="s">
        <v>34</v>
      </c>
      <c r="P147" s="41">
        <f t="shared" si="0"/>
        <v>3460.8</v>
      </c>
    </row>
    <row r="148" spans="1:16" s="40" customFormat="1">
      <c r="A148" s="35"/>
      <c r="B148" s="35"/>
      <c r="C148" s="36"/>
      <c r="D148" s="37"/>
      <c r="E148" s="35" t="s">
        <v>219</v>
      </c>
      <c r="F148" s="35"/>
      <c r="G148" s="35"/>
      <c r="H148" s="35"/>
      <c r="K148" s="38">
        <v>1566</v>
      </c>
      <c r="L148" s="39" t="s">
        <v>204</v>
      </c>
      <c r="N148" s="41">
        <v>4.12</v>
      </c>
      <c r="O148" s="39" t="s">
        <v>34</v>
      </c>
      <c r="P148" s="41">
        <f t="shared" si="0"/>
        <v>6451.92</v>
      </c>
    </row>
    <row r="149" spans="1:16" s="40" customFormat="1">
      <c r="A149" s="35"/>
      <c r="B149" s="35"/>
      <c r="C149" s="36"/>
      <c r="D149" s="37"/>
      <c r="E149" s="35" t="s">
        <v>220</v>
      </c>
      <c r="F149" s="35"/>
      <c r="G149" s="35"/>
      <c r="H149" s="35"/>
      <c r="K149" s="38">
        <v>807</v>
      </c>
      <c r="L149" s="39" t="s">
        <v>204</v>
      </c>
      <c r="N149" s="41">
        <v>4.12</v>
      </c>
      <c r="O149" s="39" t="s">
        <v>34</v>
      </c>
      <c r="P149" s="41">
        <f t="shared" si="0"/>
        <v>3324.84</v>
      </c>
    </row>
    <row r="150" spans="1:16" s="40" customFormat="1">
      <c r="A150" s="35"/>
      <c r="B150" s="35"/>
      <c r="C150" s="36"/>
      <c r="D150" s="37"/>
      <c r="E150" s="35" t="s">
        <v>221</v>
      </c>
      <c r="F150" s="35"/>
      <c r="G150" s="35"/>
      <c r="H150" s="35"/>
      <c r="K150" s="38">
        <v>365</v>
      </c>
      <c r="L150" s="39" t="s">
        <v>204</v>
      </c>
      <c r="N150" s="41">
        <v>4.92</v>
      </c>
      <c r="O150" s="39" t="s">
        <v>34</v>
      </c>
      <c r="P150" s="41">
        <f t="shared" si="0"/>
        <v>1795.8</v>
      </c>
    </row>
    <row r="151" spans="1:16" s="40" customFormat="1">
      <c r="A151" s="35"/>
      <c r="B151" s="35"/>
      <c r="C151" s="36"/>
      <c r="D151" s="37"/>
      <c r="E151" s="35" t="s">
        <v>222</v>
      </c>
      <c r="F151" s="35"/>
      <c r="G151" s="35"/>
      <c r="H151" s="35"/>
      <c r="K151" s="38">
        <v>1341</v>
      </c>
      <c r="L151" s="39" t="s">
        <v>204</v>
      </c>
      <c r="N151" s="41">
        <v>4.12</v>
      </c>
      <c r="O151" s="39" t="s">
        <v>34</v>
      </c>
      <c r="P151" s="41">
        <f t="shared" si="0"/>
        <v>5524.92</v>
      </c>
    </row>
    <row r="152" spans="1:16" s="40" customFormat="1">
      <c r="A152" s="35"/>
      <c r="B152" s="35"/>
      <c r="C152" s="36"/>
      <c r="D152" s="37"/>
      <c r="E152" s="42" t="s">
        <v>210</v>
      </c>
      <c r="F152" s="35"/>
      <c r="G152" s="35"/>
      <c r="H152" s="35"/>
      <c r="K152" s="38"/>
      <c r="L152" s="39"/>
      <c r="N152" s="41"/>
      <c r="O152" s="39"/>
      <c r="P152" s="41"/>
    </row>
    <row r="153" spans="1:16" s="40" customFormat="1">
      <c r="A153" s="35"/>
      <c r="B153" s="35"/>
      <c r="C153" s="36"/>
      <c r="D153" s="37"/>
      <c r="E153" s="35" t="s">
        <v>218</v>
      </c>
      <c r="F153" s="35"/>
      <c r="G153" s="35"/>
      <c r="H153" s="35"/>
      <c r="K153" s="38">
        <v>10</v>
      </c>
      <c r="L153" s="39" t="s">
        <v>204</v>
      </c>
      <c r="N153" s="41">
        <v>4.12</v>
      </c>
      <c r="O153" s="39" t="s">
        <v>34</v>
      </c>
      <c r="P153" s="41">
        <f t="shared" si="0"/>
        <v>41.2</v>
      </c>
    </row>
    <row r="154" spans="1:16" s="40" customFormat="1">
      <c r="A154" s="35"/>
      <c r="B154" s="35"/>
      <c r="C154" s="36"/>
      <c r="D154" s="37"/>
      <c r="E154" s="35" t="s">
        <v>219</v>
      </c>
      <c r="F154" s="35"/>
      <c r="G154" s="35"/>
      <c r="H154" s="35"/>
      <c r="K154" s="38">
        <v>10</v>
      </c>
      <c r="L154" s="39" t="s">
        <v>204</v>
      </c>
      <c r="N154" s="41">
        <v>4.12</v>
      </c>
      <c r="O154" s="39" t="s">
        <v>34</v>
      </c>
      <c r="P154" s="41">
        <f t="shared" si="0"/>
        <v>41.2</v>
      </c>
    </row>
    <row r="155" spans="1:16" s="40" customFormat="1">
      <c r="A155" s="35"/>
      <c r="B155" s="35"/>
      <c r="C155" s="36"/>
      <c r="D155" s="37"/>
      <c r="E155" s="35" t="s">
        <v>220</v>
      </c>
      <c r="F155" s="35"/>
      <c r="G155" s="35"/>
      <c r="H155" s="35"/>
      <c r="K155" s="38">
        <v>10</v>
      </c>
      <c r="L155" s="39" t="s">
        <v>204</v>
      </c>
      <c r="N155" s="41">
        <v>4.12</v>
      </c>
      <c r="O155" s="39" t="s">
        <v>34</v>
      </c>
      <c r="P155" s="41">
        <f t="shared" si="0"/>
        <v>41.2</v>
      </c>
    </row>
    <row r="156" spans="1:16" s="40" customFormat="1">
      <c r="A156" s="35"/>
      <c r="B156" s="35"/>
      <c r="C156" s="36"/>
      <c r="D156" s="37"/>
      <c r="E156" s="35" t="s">
        <v>221</v>
      </c>
      <c r="F156" s="35"/>
      <c r="G156" s="35"/>
      <c r="H156" s="35"/>
      <c r="K156" s="38">
        <v>10</v>
      </c>
      <c r="L156" s="39" t="s">
        <v>204</v>
      </c>
      <c r="N156" s="41">
        <v>4.92</v>
      </c>
      <c r="O156" s="39" t="s">
        <v>34</v>
      </c>
      <c r="P156" s="41">
        <f t="shared" si="0"/>
        <v>49.2</v>
      </c>
    </row>
    <row r="157" spans="1:16" s="40" customFormat="1">
      <c r="A157" s="35"/>
      <c r="B157" s="35"/>
      <c r="C157" s="36"/>
      <c r="D157" s="37"/>
      <c r="E157" s="35" t="s">
        <v>222</v>
      </c>
      <c r="F157" s="35"/>
      <c r="G157" s="35"/>
      <c r="H157" s="35"/>
      <c r="K157" s="38">
        <v>10</v>
      </c>
      <c r="L157" s="39" t="s">
        <v>204</v>
      </c>
      <c r="N157" s="41">
        <v>4.12</v>
      </c>
      <c r="O157" s="39" t="s">
        <v>34</v>
      </c>
      <c r="P157" s="41">
        <f t="shared" si="0"/>
        <v>41.2</v>
      </c>
    </row>
    <row r="158" spans="1:16" s="40" customFormat="1">
      <c r="A158" s="35"/>
      <c r="B158" s="35"/>
      <c r="C158" s="36"/>
      <c r="D158" s="37"/>
      <c r="E158" s="35"/>
      <c r="F158" s="35"/>
      <c r="G158" s="35"/>
      <c r="H158" s="35"/>
      <c r="K158" s="38"/>
      <c r="L158" s="39"/>
      <c r="N158" s="41"/>
      <c r="O158" s="39"/>
      <c r="P158" s="41"/>
    </row>
    <row r="159" spans="1:16" s="40" customFormat="1">
      <c r="A159" s="35"/>
      <c r="B159" s="35"/>
      <c r="C159" s="36"/>
      <c r="D159" s="37"/>
      <c r="E159" s="35" t="s">
        <v>223</v>
      </c>
      <c r="F159" s="35"/>
      <c r="G159" s="35"/>
      <c r="H159" s="35"/>
      <c r="K159" s="38"/>
      <c r="L159" s="39"/>
      <c r="N159" s="41"/>
      <c r="O159" s="39"/>
      <c r="P159" s="41"/>
    </row>
    <row r="160" spans="1:16" s="40" customFormat="1">
      <c r="A160" s="35"/>
      <c r="B160" s="35"/>
      <c r="C160" s="36"/>
      <c r="D160" s="37"/>
      <c r="E160" s="42" t="s">
        <v>224</v>
      </c>
      <c r="F160" s="35"/>
      <c r="G160" s="35"/>
      <c r="H160" s="35"/>
      <c r="K160" s="38"/>
      <c r="L160" s="39"/>
      <c r="N160" s="41"/>
      <c r="O160" s="39"/>
      <c r="P160" s="41"/>
    </row>
    <row r="161" spans="1:16" s="40" customFormat="1">
      <c r="A161" s="35"/>
      <c r="B161" s="35"/>
      <c r="C161" s="36"/>
      <c r="D161" s="37"/>
      <c r="E161" s="35" t="s">
        <v>225</v>
      </c>
      <c r="F161" s="35"/>
      <c r="G161" s="35"/>
      <c r="H161" s="35"/>
      <c r="K161" s="38"/>
      <c r="L161" s="39"/>
      <c r="N161" s="41"/>
      <c r="O161" s="39"/>
      <c r="P161" s="41"/>
    </row>
    <row r="162" spans="1:16" s="40" customFormat="1">
      <c r="A162" s="35"/>
      <c r="B162" s="35"/>
      <c r="C162" s="36"/>
      <c r="D162" s="37"/>
      <c r="E162" s="35" t="s">
        <v>1026</v>
      </c>
      <c r="F162" s="35"/>
      <c r="G162" s="35"/>
      <c r="H162" s="35"/>
      <c r="K162" s="38"/>
      <c r="L162" s="39"/>
      <c r="N162" s="41"/>
      <c r="O162" s="39"/>
      <c r="P162" s="41"/>
    </row>
    <row r="163" spans="1:16" s="40" customFormat="1">
      <c r="A163" s="35"/>
      <c r="B163" s="35"/>
      <c r="C163" s="36"/>
      <c r="D163" s="37"/>
      <c r="E163" s="35" t="s">
        <v>199</v>
      </c>
      <c r="F163" s="35"/>
      <c r="G163" s="35"/>
      <c r="H163" s="35"/>
      <c r="K163" s="38"/>
      <c r="L163" s="39"/>
      <c r="N163" s="41"/>
      <c r="O163" s="39"/>
      <c r="P163" s="41"/>
    </row>
    <row r="164" spans="1:16" s="40" customFormat="1">
      <c r="A164" s="35"/>
      <c r="B164" s="35"/>
      <c r="C164" s="36"/>
      <c r="D164" s="37"/>
      <c r="E164" s="35" t="s">
        <v>226</v>
      </c>
      <c r="F164" s="35"/>
      <c r="G164" s="35"/>
      <c r="H164" s="35"/>
      <c r="K164" s="38"/>
      <c r="L164" s="39"/>
      <c r="N164" s="41"/>
      <c r="O164" s="39"/>
      <c r="P164" s="41"/>
    </row>
    <row r="165" spans="1:16" s="40" customFormat="1">
      <c r="A165" s="35"/>
      <c r="B165" s="35"/>
      <c r="C165" s="36"/>
      <c r="D165" s="37"/>
      <c r="E165" s="35" t="s">
        <v>219</v>
      </c>
      <c r="F165" s="35"/>
      <c r="G165" s="35"/>
      <c r="H165" s="35"/>
      <c r="K165" s="38">
        <v>763</v>
      </c>
      <c r="L165" s="39" t="s">
        <v>204</v>
      </c>
      <c r="N165" s="41">
        <v>4.4800000000000004</v>
      </c>
      <c r="O165" s="39" t="s">
        <v>34</v>
      </c>
      <c r="P165" s="41">
        <f t="shared" si="0"/>
        <v>3418.2400000000002</v>
      </c>
    </row>
    <row r="166" spans="1:16" s="40" customFormat="1">
      <c r="A166" s="35"/>
      <c r="B166" s="35"/>
      <c r="C166" s="36"/>
      <c r="D166" s="37"/>
      <c r="E166" s="42" t="s">
        <v>210</v>
      </c>
      <c r="F166" s="35"/>
      <c r="G166" s="35"/>
      <c r="H166" s="35"/>
      <c r="K166" s="38"/>
      <c r="L166" s="39"/>
      <c r="N166" s="41"/>
      <c r="O166" s="39"/>
      <c r="P166" s="41"/>
    </row>
    <row r="167" spans="1:16" s="40" customFormat="1">
      <c r="A167" s="35"/>
      <c r="B167" s="35"/>
      <c r="C167" s="36"/>
      <c r="D167" s="37"/>
      <c r="E167" s="35" t="s">
        <v>219</v>
      </c>
      <c r="F167" s="35"/>
      <c r="G167" s="35"/>
      <c r="H167" s="35"/>
      <c r="K167" s="38">
        <v>12</v>
      </c>
      <c r="L167" s="39" t="s">
        <v>204</v>
      </c>
      <c r="N167" s="41">
        <v>4.4800000000000004</v>
      </c>
      <c r="O167" s="39" t="s">
        <v>34</v>
      </c>
      <c r="P167" s="41">
        <f t="shared" si="0"/>
        <v>53.760000000000005</v>
      </c>
    </row>
    <row r="168" spans="1:16" s="40" customFormat="1">
      <c r="A168" s="35"/>
      <c r="B168" s="35"/>
      <c r="C168" s="36"/>
      <c r="D168" s="37"/>
      <c r="E168" s="35"/>
      <c r="F168" s="35"/>
      <c r="G168" s="35"/>
      <c r="H168" s="35"/>
      <c r="K168" s="38"/>
      <c r="L168" s="39"/>
      <c r="N168" s="41"/>
      <c r="O168" s="39"/>
      <c r="P168" s="41"/>
    </row>
    <row r="169" spans="1:16" s="40" customFormat="1">
      <c r="A169" s="35"/>
      <c r="B169" s="35"/>
      <c r="C169" s="36"/>
      <c r="D169" s="37"/>
      <c r="E169" s="35" t="s">
        <v>227</v>
      </c>
      <c r="F169" s="35"/>
      <c r="G169" s="35"/>
      <c r="H169" s="35"/>
      <c r="K169" s="38"/>
      <c r="L169" s="39"/>
      <c r="N169" s="41"/>
      <c r="O169" s="39"/>
      <c r="P169" s="41"/>
    </row>
    <row r="170" spans="1:16" s="40" customFormat="1">
      <c r="A170" s="35"/>
      <c r="B170" s="35"/>
      <c r="C170" s="36"/>
      <c r="D170" s="37"/>
      <c r="E170" s="35" t="s">
        <v>199</v>
      </c>
      <c r="F170" s="35"/>
      <c r="G170" s="35"/>
      <c r="H170" s="35"/>
      <c r="K170" s="38"/>
      <c r="L170" s="39"/>
      <c r="N170" s="41"/>
      <c r="O170" s="39"/>
      <c r="P170" s="41"/>
    </row>
    <row r="171" spans="1:16" s="40" customFormat="1">
      <c r="A171" s="35"/>
      <c r="B171" s="35"/>
      <c r="C171" s="36"/>
      <c r="D171" s="37"/>
      <c r="E171" s="35" t="s">
        <v>228</v>
      </c>
      <c r="F171" s="35"/>
      <c r="G171" s="35"/>
      <c r="H171" s="35"/>
      <c r="K171" s="38"/>
      <c r="L171" s="39"/>
      <c r="N171" s="41"/>
      <c r="O171" s="39"/>
      <c r="P171" s="41"/>
    </row>
    <row r="172" spans="1:16" s="40" customFormat="1">
      <c r="A172" s="35"/>
      <c r="B172" s="35"/>
      <c r="C172" s="36"/>
      <c r="D172" s="37"/>
      <c r="E172" s="35" t="s">
        <v>219</v>
      </c>
      <c r="F172" s="35"/>
      <c r="G172" s="35"/>
      <c r="H172" s="35"/>
      <c r="K172" s="38">
        <v>41</v>
      </c>
      <c r="L172" s="39" t="s">
        <v>204</v>
      </c>
      <c r="N172" s="41">
        <v>2.64</v>
      </c>
      <c r="O172" s="39" t="s">
        <v>34</v>
      </c>
      <c r="P172" s="41">
        <f t="shared" si="0"/>
        <v>108.24000000000001</v>
      </c>
    </row>
    <row r="173" spans="1:16" s="40" customFormat="1">
      <c r="A173" s="35"/>
      <c r="B173" s="35"/>
      <c r="C173" s="36"/>
      <c r="D173" s="37"/>
      <c r="E173" s="35" t="s">
        <v>229</v>
      </c>
      <c r="F173" s="35"/>
      <c r="G173" s="35"/>
      <c r="H173" s="35"/>
      <c r="K173" s="38">
        <v>20</v>
      </c>
      <c r="L173" s="39" t="s">
        <v>204</v>
      </c>
      <c r="N173" s="41">
        <v>2.64</v>
      </c>
      <c r="O173" s="39" t="s">
        <v>34</v>
      </c>
      <c r="P173" s="41">
        <f t="shared" si="0"/>
        <v>52.800000000000004</v>
      </c>
    </row>
    <row r="174" spans="1:16" s="40" customFormat="1">
      <c r="A174" s="35"/>
      <c r="B174" s="35"/>
      <c r="C174" s="36"/>
      <c r="D174" s="37"/>
      <c r="E174" s="42" t="s">
        <v>210</v>
      </c>
      <c r="F174" s="35"/>
      <c r="G174" s="35"/>
      <c r="H174" s="35"/>
      <c r="K174" s="38"/>
      <c r="L174" s="39"/>
      <c r="N174" s="41"/>
      <c r="O174" s="39"/>
      <c r="P174" s="41"/>
    </row>
    <row r="175" spans="1:16" s="40" customFormat="1">
      <c r="A175" s="35"/>
      <c r="B175" s="35"/>
      <c r="C175" s="36"/>
      <c r="D175" s="37"/>
      <c r="E175" s="35" t="s">
        <v>219</v>
      </c>
      <c r="F175" s="35"/>
      <c r="G175" s="35"/>
      <c r="H175" s="35"/>
      <c r="K175" s="38">
        <v>5</v>
      </c>
      <c r="L175" s="39" t="s">
        <v>204</v>
      </c>
      <c r="N175" s="41">
        <v>2.64</v>
      </c>
      <c r="O175" s="39" t="s">
        <v>34</v>
      </c>
      <c r="P175" s="41">
        <f t="shared" si="0"/>
        <v>13.200000000000001</v>
      </c>
    </row>
    <row r="176" spans="1:16" s="40" customFormat="1">
      <c r="A176" s="35"/>
      <c r="B176" s="35"/>
      <c r="C176" s="36"/>
      <c r="D176" s="37"/>
      <c r="E176" s="35" t="s">
        <v>229</v>
      </c>
      <c r="F176" s="35"/>
      <c r="G176" s="35"/>
      <c r="H176" s="35"/>
      <c r="K176" s="38">
        <v>5</v>
      </c>
      <c r="L176" s="39" t="s">
        <v>204</v>
      </c>
      <c r="N176" s="41">
        <v>2.64</v>
      </c>
      <c r="O176" s="39" t="s">
        <v>34</v>
      </c>
      <c r="P176" s="41">
        <f t="shared" si="0"/>
        <v>13.200000000000001</v>
      </c>
    </row>
    <row r="177" spans="1:16" s="40" customFormat="1">
      <c r="A177" s="35"/>
      <c r="B177" s="35"/>
      <c r="C177" s="36"/>
      <c r="D177" s="37"/>
      <c r="E177" s="35"/>
      <c r="F177" s="35"/>
      <c r="G177" s="35"/>
      <c r="H177" s="35"/>
      <c r="K177" s="38"/>
      <c r="L177" s="39"/>
      <c r="N177" s="41"/>
      <c r="O177" s="39"/>
      <c r="P177" s="41"/>
    </row>
    <row r="178" spans="1:16" s="40" customFormat="1">
      <c r="A178" s="35"/>
      <c r="B178" s="35"/>
      <c r="C178" s="36"/>
      <c r="D178" s="37"/>
      <c r="E178" s="35" t="s">
        <v>230</v>
      </c>
      <c r="F178" s="35"/>
      <c r="G178" s="35"/>
      <c r="H178" s="35"/>
      <c r="K178" s="38"/>
      <c r="L178" s="39"/>
      <c r="N178" s="41"/>
      <c r="O178" s="39"/>
      <c r="P178" s="41"/>
    </row>
    <row r="179" spans="1:16" s="40" customFormat="1">
      <c r="A179" s="35"/>
      <c r="B179" s="35"/>
      <c r="C179" s="36"/>
      <c r="D179" s="37"/>
      <c r="E179" s="42" t="s">
        <v>231</v>
      </c>
      <c r="F179" s="35"/>
      <c r="G179" s="35"/>
      <c r="H179" s="35"/>
      <c r="K179" s="38"/>
      <c r="L179" s="39"/>
      <c r="N179" s="41"/>
      <c r="O179" s="39"/>
      <c r="P179" s="41"/>
    </row>
    <row r="180" spans="1:16" s="40" customFormat="1">
      <c r="A180" s="35"/>
      <c r="B180" s="35"/>
      <c r="C180" s="36"/>
      <c r="D180" s="37"/>
      <c r="E180" s="35" t="s">
        <v>232</v>
      </c>
      <c r="F180" s="35"/>
      <c r="G180" s="35"/>
      <c r="H180" s="35"/>
      <c r="K180" s="38"/>
      <c r="L180" s="39"/>
      <c r="N180" s="41"/>
      <c r="O180" s="39"/>
      <c r="P180" s="41"/>
    </row>
    <row r="181" spans="1:16" s="40" customFormat="1">
      <c r="A181" s="35"/>
      <c r="B181" s="35"/>
      <c r="C181" s="36"/>
      <c r="D181" s="37"/>
      <c r="E181" s="35" t="s">
        <v>1027</v>
      </c>
      <c r="F181" s="35"/>
      <c r="G181" s="35"/>
      <c r="H181" s="35"/>
      <c r="K181" s="38"/>
      <c r="L181" s="39"/>
      <c r="N181" s="41"/>
      <c r="O181" s="39"/>
      <c r="P181" s="41"/>
    </row>
    <row r="182" spans="1:16" s="40" customFormat="1">
      <c r="A182" s="35"/>
      <c r="B182" s="35"/>
      <c r="C182" s="36"/>
      <c r="D182" s="37"/>
      <c r="E182" s="35" t="s">
        <v>199</v>
      </c>
      <c r="F182" s="35"/>
      <c r="G182" s="35"/>
      <c r="H182" s="35"/>
      <c r="K182" s="38"/>
      <c r="L182" s="39"/>
      <c r="N182" s="41"/>
      <c r="O182" s="39"/>
      <c r="P182" s="41"/>
    </row>
    <row r="183" spans="1:16" s="40" customFormat="1">
      <c r="A183" s="35"/>
      <c r="B183" s="35"/>
      <c r="C183" s="36"/>
      <c r="D183" s="37"/>
      <c r="E183" s="35" t="s">
        <v>233</v>
      </c>
      <c r="F183" s="35"/>
      <c r="G183" s="35"/>
      <c r="H183" s="35"/>
      <c r="K183" s="38"/>
      <c r="L183" s="39"/>
      <c r="N183" s="41"/>
      <c r="O183" s="39"/>
      <c r="P183" s="41"/>
    </row>
    <row r="184" spans="1:16" s="40" customFormat="1">
      <c r="A184" s="35"/>
      <c r="B184" s="35"/>
      <c r="C184" s="36"/>
      <c r="D184" s="37"/>
      <c r="E184" s="35" t="s">
        <v>219</v>
      </c>
      <c r="F184" s="35"/>
      <c r="G184" s="35"/>
      <c r="H184" s="35"/>
      <c r="K184" s="38">
        <v>1513</v>
      </c>
      <c r="L184" s="39" t="s">
        <v>204</v>
      </c>
      <c r="N184" s="41">
        <v>3.29</v>
      </c>
      <c r="O184" s="39" t="s">
        <v>34</v>
      </c>
      <c r="P184" s="41">
        <f t="shared" si="0"/>
        <v>4977.7700000000004</v>
      </c>
    </row>
    <row r="185" spans="1:16" s="40" customFormat="1">
      <c r="A185" s="35"/>
      <c r="B185" s="35"/>
      <c r="C185" s="36"/>
      <c r="D185" s="37"/>
      <c r="E185" s="35" t="s">
        <v>234</v>
      </c>
      <c r="F185" s="35"/>
      <c r="G185" s="35"/>
      <c r="H185" s="35"/>
      <c r="K185" s="38">
        <v>324</v>
      </c>
      <c r="L185" s="39" t="s">
        <v>204</v>
      </c>
      <c r="N185" s="41">
        <v>4.09</v>
      </c>
      <c r="O185" s="39" t="s">
        <v>34</v>
      </c>
      <c r="P185" s="41">
        <f t="shared" si="0"/>
        <v>1325.1599999999999</v>
      </c>
    </row>
    <row r="186" spans="1:16" s="40" customFormat="1">
      <c r="A186" s="35"/>
      <c r="B186" s="35"/>
      <c r="C186" s="36"/>
      <c r="D186" s="37"/>
      <c r="E186" s="35"/>
      <c r="F186" s="35"/>
      <c r="G186" s="35"/>
      <c r="H186" s="35"/>
      <c r="K186" s="38"/>
      <c r="L186" s="39"/>
      <c r="N186" s="41"/>
      <c r="O186" s="39"/>
      <c r="P186" s="41"/>
    </row>
    <row r="187" spans="1:16" s="40" customFormat="1">
      <c r="A187" s="35"/>
      <c r="B187" s="35"/>
      <c r="C187" s="36"/>
      <c r="D187" s="37"/>
      <c r="E187" s="35" t="s">
        <v>235</v>
      </c>
      <c r="F187" s="35"/>
      <c r="G187" s="35"/>
      <c r="H187" s="35"/>
      <c r="K187" s="38">
        <v>1486</v>
      </c>
      <c r="L187" s="39" t="s">
        <v>204</v>
      </c>
      <c r="N187" s="41">
        <v>3.29</v>
      </c>
      <c r="O187" s="39" t="s">
        <v>34</v>
      </c>
      <c r="P187" s="41">
        <f t="shared" si="0"/>
        <v>4888.9399999999996</v>
      </c>
    </row>
    <row r="188" spans="1:16" s="40" customFormat="1">
      <c r="A188" s="35"/>
      <c r="B188" s="35"/>
      <c r="C188" s="36"/>
      <c r="D188" s="37"/>
      <c r="E188" s="35" t="s">
        <v>236</v>
      </c>
      <c r="F188" s="35"/>
      <c r="G188" s="35"/>
      <c r="H188" s="35"/>
      <c r="K188" s="38">
        <v>463</v>
      </c>
      <c r="L188" s="39" t="s">
        <v>204</v>
      </c>
      <c r="N188" s="41">
        <v>4.09</v>
      </c>
      <c r="O188" s="39" t="s">
        <v>34</v>
      </c>
      <c r="P188" s="41">
        <f t="shared" si="0"/>
        <v>1893.6699999999998</v>
      </c>
    </row>
    <row r="189" spans="1:16" s="40" customFormat="1">
      <c r="A189" s="35"/>
      <c r="B189" s="35"/>
      <c r="C189" s="36"/>
      <c r="D189" s="37"/>
      <c r="E189" s="35" t="s">
        <v>237</v>
      </c>
      <c r="F189" s="35"/>
      <c r="G189" s="35"/>
      <c r="H189" s="35"/>
      <c r="K189" s="38">
        <v>360</v>
      </c>
      <c r="L189" s="39" t="s">
        <v>204</v>
      </c>
      <c r="N189" s="41">
        <v>4.09</v>
      </c>
      <c r="O189" s="39" t="s">
        <v>34</v>
      </c>
      <c r="P189" s="41">
        <f t="shared" si="0"/>
        <v>1472.3999999999999</v>
      </c>
    </row>
    <row r="190" spans="1:16" s="40" customFormat="1">
      <c r="A190" s="35"/>
      <c r="B190" s="35"/>
      <c r="C190" s="36"/>
      <c r="D190" s="37"/>
      <c r="E190" s="42" t="s">
        <v>210</v>
      </c>
      <c r="F190" s="35"/>
      <c r="G190" s="35"/>
      <c r="H190" s="35"/>
      <c r="K190" s="38"/>
      <c r="L190" s="39"/>
      <c r="N190" s="41"/>
      <c r="O190" s="39"/>
      <c r="P190" s="41"/>
    </row>
    <row r="191" spans="1:16" s="40" customFormat="1">
      <c r="A191" s="35"/>
      <c r="B191" s="35"/>
      <c r="C191" s="36"/>
      <c r="D191" s="37"/>
      <c r="E191" s="35" t="s">
        <v>219</v>
      </c>
      <c r="F191" s="35"/>
      <c r="G191" s="35"/>
      <c r="H191" s="35"/>
      <c r="K191" s="38">
        <v>10</v>
      </c>
      <c r="L191" s="39" t="s">
        <v>204</v>
      </c>
      <c r="N191" s="41">
        <v>3.29</v>
      </c>
      <c r="O191" s="39" t="s">
        <v>34</v>
      </c>
      <c r="P191" s="41">
        <f t="shared" si="0"/>
        <v>32.9</v>
      </c>
    </row>
    <row r="192" spans="1:16" s="40" customFormat="1">
      <c r="A192" s="35"/>
      <c r="B192" s="35"/>
      <c r="C192" s="36"/>
      <c r="D192" s="37"/>
      <c r="E192" s="35" t="s">
        <v>234</v>
      </c>
      <c r="F192" s="35"/>
      <c r="G192" s="35"/>
      <c r="H192" s="35"/>
      <c r="K192" s="38">
        <v>10</v>
      </c>
      <c r="L192" s="39" t="s">
        <v>204</v>
      </c>
      <c r="N192" s="41">
        <v>4.09</v>
      </c>
      <c r="O192" s="39" t="s">
        <v>34</v>
      </c>
      <c r="P192" s="41">
        <f t="shared" si="0"/>
        <v>40.9</v>
      </c>
    </row>
    <row r="193" spans="1:16" s="40" customFormat="1">
      <c r="A193" s="35"/>
      <c r="B193" s="35"/>
      <c r="C193" s="36"/>
      <c r="D193" s="37"/>
      <c r="E193" s="35" t="s">
        <v>235</v>
      </c>
      <c r="F193" s="35"/>
      <c r="G193" s="35"/>
      <c r="H193" s="35"/>
      <c r="K193" s="38">
        <v>20</v>
      </c>
      <c r="L193" s="39" t="s">
        <v>204</v>
      </c>
      <c r="N193" s="41">
        <v>3.29</v>
      </c>
      <c r="O193" s="39" t="s">
        <v>34</v>
      </c>
      <c r="P193" s="41">
        <f t="shared" si="0"/>
        <v>65.8</v>
      </c>
    </row>
    <row r="194" spans="1:16" s="40" customFormat="1">
      <c r="A194" s="35"/>
      <c r="B194" s="35"/>
      <c r="C194" s="36"/>
      <c r="D194" s="37"/>
      <c r="E194" s="35" t="s">
        <v>236</v>
      </c>
      <c r="F194" s="35"/>
      <c r="G194" s="35"/>
      <c r="H194" s="35"/>
      <c r="K194" s="38">
        <v>10</v>
      </c>
      <c r="L194" s="39" t="s">
        <v>204</v>
      </c>
      <c r="N194" s="41">
        <v>4.09</v>
      </c>
      <c r="O194" s="39" t="s">
        <v>34</v>
      </c>
      <c r="P194" s="41">
        <f t="shared" si="0"/>
        <v>40.9</v>
      </c>
    </row>
    <row r="195" spans="1:16" s="40" customFormat="1">
      <c r="A195" s="35"/>
      <c r="B195" s="35"/>
      <c r="C195" s="36"/>
      <c r="D195" s="37"/>
      <c r="E195" s="35" t="s">
        <v>237</v>
      </c>
      <c r="F195" s="35"/>
      <c r="G195" s="35"/>
      <c r="H195" s="35"/>
      <c r="K195" s="38">
        <v>10</v>
      </c>
      <c r="L195" s="39" t="s">
        <v>204</v>
      </c>
      <c r="N195" s="41">
        <v>4.09</v>
      </c>
      <c r="O195" s="39" t="s">
        <v>34</v>
      </c>
      <c r="P195" s="41">
        <f t="shared" ref="P195:P259" si="1">K195*N195</f>
        <v>40.9</v>
      </c>
    </row>
    <row r="196" spans="1:16" s="40" customFormat="1">
      <c r="A196" s="35"/>
      <c r="B196" s="35"/>
      <c r="C196" s="36"/>
      <c r="D196" s="37"/>
      <c r="E196" s="35"/>
      <c r="F196" s="35"/>
      <c r="G196" s="35"/>
      <c r="H196" s="35"/>
      <c r="K196" s="38"/>
      <c r="L196" s="39"/>
      <c r="N196" s="41"/>
      <c r="O196" s="39"/>
      <c r="P196" s="41"/>
    </row>
    <row r="197" spans="1:16" s="40" customFormat="1">
      <c r="A197" s="35"/>
      <c r="B197" s="35"/>
      <c r="C197" s="36"/>
      <c r="D197" s="37"/>
      <c r="E197" s="35" t="s">
        <v>238</v>
      </c>
      <c r="F197" s="35"/>
      <c r="G197" s="35"/>
      <c r="H197" s="35"/>
      <c r="K197" s="38"/>
      <c r="L197" s="39"/>
      <c r="N197" s="41"/>
      <c r="O197" s="39"/>
      <c r="P197" s="41"/>
    </row>
    <row r="198" spans="1:16" s="40" customFormat="1">
      <c r="A198" s="35"/>
      <c r="B198" s="35"/>
      <c r="C198" s="36"/>
      <c r="D198" s="37"/>
      <c r="E198" s="35" t="s">
        <v>199</v>
      </c>
      <c r="F198" s="35"/>
      <c r="G198" s="35"/>
      <c r="H198" s="35"/>
      <c r="K198" s="38"/>
      <c r="L198" s="39"/>
      <c r="N198" s="41"/>
      <c r="O198" s="39"/>
      <c r="P198" s="41"/>
    </row>
    <row r="199" spans="1:16" s="40" customFormat="1">
      <c r="A199" s="35"/>
      <c r="B199" s="35"/>
      <c r="C199" s="36"/>
      <c r="D199" s="37"/>
      <c r="E199" s="35" t="s">
        <v>233</v>
      </c>
      <c r="F199" s="35"/>
      <c r="G199" s="35"/>
      <c r="H199" s="35"/>
      <c r="K199" s="38"/>
      <c r="L199" s="39"/>
      <c r="N199" s="41"/>
      <c r="O199" s="39"/>
      <c r="P199" s="41"/>
    </row>
    <row r="200" spans="1:16" s="40" customFormat="1">
      <c r="A200" s="35"/>
      <c r="B200" s="35"/>
      <c r="C200" s="36"/>
      <c r="D200" s="37"/>
      <c r="E200" s="35" t="s">
        <v>239</v>
      </c>
      <c r="F200" s="35"/>
      <c r="G200" s="35"/>
      <c r="H200" s="35"/>
      <c r="K200" s="38">
        <v>1266</v>
      </c>
      <c r="L200" s="39" t="s">
        <v>204</v>
      </c>
      <c r="N200" s="41">
        <v>3.29</v>
      </c>
      <c r="O200" s="39" t="s">
        <v>34</v>
      </c>
      <c r="P200" s="41">
        <f t="shared" si="1"/>
        <v>4165.1400000000003</v>
      </c>
    </row>
    <row r="201" spans="1:16" s="40" customFormat="1">
      <c r="A201" s="35"/>
      <c r="B201" s="35"/>
      <c r="C201" s="36"/>
      <c r="D201" s="37"/>
      <c r="E201" s="42" t="s">
        <v>210</v>
      </c>
      <c r="F201" s="35"/>
      <c r="G201" s="35"/>
      <c r="H201" s="35"/>
      <c r="K201" s="38"/>
      <c r="L201" s="39"/>
      <c r="N201" s="41"/>
      <c r="O201" s="39"/>
      <c r="P201" s="41"/>
    </row>
    <row r="202" spans="1:16" s="40" customFormat="1">
      <c r="A202" s="35"/>
      <c r="B202" s="35"/>
      <c r="C202" s="36"/>
      <c r="D202" s="37"/>
      <c r="E202" s="35" t="s">
        <v>239</v>
      </c>
      <c r="F202" s="35"/>
      <c r="G202" s="35"/>
      <c r="H202" s="35"/>
      <c r="K202" s="38">
        <v>10</v>
      </c>
      <c r="L202" s="39" t="s">
        <v>204</v>
      </c>
      <c r="N202" s="41">
        <v>3.29</v>
      </c>
      <c r="O202" s="39" t="s">
        <v>34</v>
      </c>
      <c r="P202" s="41">
        <f t="shared" si="1"/>
        <v>32.9</v>
      </c>
    </row>
    <row r="203" spans="1:16" s="40" customFormat="1">
      <c r="A203" s="35"/>
      <c r="B203" s="35"/>
      <c r="C203" s="36"/>
      <c r="D203" s="37"/>
      <c r="E203" s="35"/>
      <c r="F203" s="35"/>
      <c r="G203" s="35"/>
      <c r="H203" s="35"/>
      <c r="K203" s="38"/>
      <c r="L203" s="39"/>
      <c r="N203" s="41"/>
      <c r="O203" s="39"/>
      <c r="P203" s="41"/>
    </row>
    <row r="204" spans="1:16" s="40" customFormat="1">
      <c r="A204" s="35"/>
      <c r="B204" s="35"/>
      <c r="C204" s="36"/>
      <c r="D204" s="37"/>
      <c r="E204" s="35"/>
      <c r="F204" s="35"/>
      <c r="G204" s="35"/>
      <c r="H204" s="35"/>
      <c r="K204" s="38"/>
      <c r="L204" s="39"/>
      <c r="N204" s="41"/>
      <c r="O204" s="39"/>
      <c r="P204" s="41"/>
    </row>
    <row r="205" spans="1:16" s="40" customFormat="1">
      <c r="A205" s="35"/>
      <c r="B205" s="35"/>
      <c r="C205" s="36"/>
      <c r="D205" s="37"/>
      <c r="E205" s="35" t="s">
        <v>240</v>
      </c>
      <c r="F205" s="35"/>
      <c r="G205" s="35"/>
      <c r="H205" s="35"/>
      <c r="K205" s="38"/>
      <c r="L205" s="39"/>
      <c r="N205" s="41"/>
      <c r="O205" s="39"/>
      <c r="P205" s="41"/>
    </row>
    <row r="206" spans="1:16" s="40" customFormat="1">
      <c r="A206" s="35"/>
      <c r="B206" s="35"/>
      <c r="C206" s="36"/>
      <c r="D206" s="37"/>
      <c r="E206" s="42" t="s">
        <v>241</v>
      </c>
      <c r="F206" s="35"/>
      <c r="G206" s="35"/>
      <c r="H206" s="35"/>
      <c r="K206" s="38"/>
      <c r="L206" s="39"/>
      <c r="N206" s="41"/>
      <c r="O206" s="39"/>
      <c r="P206" s="41"/>
    </row>
    <row r="207" spans="1:16" s="40" customFormat="1">
      <c r="A207" s="35"/>
      <c r="B207" s="35"/>
      <c r="C207" s="36"/>
      <c r="D207" s="37"/>
      <c r="E207" s="35" t="s">
        <v>242</v>
      </c>
      <c r="F207" s="35"/>
      <c r="G207" s="35"/>
      <c r="H207" s="35"/>
      <c r="K207" s="38"/>
      <c r="L207" s="39"/>
      <c r="N207" s="41"/>
      <c r="O207" s="39"/>
      <c r="P207" s="41"/>
    </row>
    <row r="208" spans="1:16" s="40" customFormat="1">
      <c r="A208" s="35"/>
      <c r="B208" s="35"/>
      <c r="C208" s="36"/>
      <c r="D208" s="37"/>
      <c r="E208" s="35" t="s">
        <v>1028</v>
      </c>
      <c r="F208" s="35"/>
      <c r="G208" s="35"/>
      <c r="H208" s="35"/>
      <c r="K208" s="38"/>
      <c r="L208" s="39"/>
      <c r="N208" s="41"/>
      <c r="O208" s="39"/>
      <c r="P208" s="41"/>
    </row>
    <row r="209" spans="1:16" s="40" customFormat="1">
      <c r="A209" s="35"/>
      <c r="B209" s="35"/>
      <c r="C209" s="36"/>
      <c r="D209" s="37"/>
      <c r="E209" s="35" t="s">
        <v>243</v>
      </c>
      <c r="F209" s="35"/>
      <c r="G209" s="35"/>
      <c r="H209" s="35"/>
      <c r="K209" s="38"/>
      <c r="L209" s="39"/>
      <c r="N209" s="41"/>
      <c r="O209" s="39"/>
      <c r="P209" s="41"/>
    </row>
    <row r="210" spans="1:16" s="40" customFormat="1">
      <c r="A210" s="35"/>
      <c r="B210" s="35"/>
      <c r="C210" s="36"/>
      <c r="D210" s="37"/>
      <c r="E210" s="35" t="s">
        <v>244</v>
      </c>
      <c r="F210" s="35"/>
      <c r="G210" s="35"/>
      <c r="H210" s="35"/>
      <c r="K210" s="38"/>
      <c r="L210" s="39"/>
      <c r="N210" s="41"/>
      <c r="O210" s="39"/>
      <c r="P210" s="41"/>
    </row>
    <row r="211" spans="1:16" s="40" customFormat="1">
      <c r="A211" s="35"/>
      <c r="B211" s="35"/>
      <c r="C211" s="36"/>
      <c r="D211" s="37"/>
      <c r="E211" s="35" t="s">
        <v>219</v>
      </c>
      <c r="F211" s="35"/>
      <c r="G211" s="35"/>
      <c r="H211" s="35"/>
      <c r="K211" s="38">
        <v>1173</v>
      </c>
      <c r="L211" s="39" t="s">
        <v>204</v>
      </c>
      <c r="N211" s="41">
        <v>4.93</v>
      </c>
      <c r="O211" s="39" t="s">
        <v>34</v>
      </c>
      <c r="P211" s="41">
        <f t="shared" si="1"/>
        <v>5782.8899999999994</v>
      </c>
    </row>
    <row r="212" spans="1:16" s="40" customFormat="1">
      <c r="A212" s="35"/>
      <c r="B212" s="35"/>
      <c r="C212" s="36"/>
      <c r="D212" s="37"/>
      <c r="E212" s="35" t="s">
        <v>245</v>
      </c>
      <c r="F212" s="35"/>
      <c r="G212" s="35"/>
      <c r="H212" s="35"/>
      <c r="K212" s="38">
        <v>1414</v>
      </c>
      <c r="L212" s="39" t="s">
        <v>204</v>
      </c>
      <c r="N212" s="41">
        <v>4.93</v>
      </c>
      <c r="O212" s="39" t="s">
        <v>34</v>
      </c>
      <c r="P212" s="41">
        <f t="shared" si="1"/>
        <v>6971.0199999999995</v>
      </c>
    </row>
    <row r="213" spans="1:16" s="40" customFormat="1">
      <c r="A213" s="35"/>
      <c r="B213" s="35"/>
      <c r="C213" s="36"/>
      <c r="D213" s="37"/>
      <c r="E213" s="35"/>
      <c r="F213" s="35"/>
      <c r="G213" s="35"/>
      <c r="H213" s="35"/>
      <c r="K213" s="38"/>
      <c r="L213" s="39"/>
      <c r="N213" s="41"/>
      <c r="O213" s="39"/>
      <c r="P213" s="41"/>
    </row>
    <row r="214" spans="1:16" s="40" customFormat="1">
      <c r="A214" s="35"/>
      <c r="B214" s="35"/>
      <c r="C214" s="36"/>
      <c r="D214" s="37"/>
      <c r="E214" s="35" t="s">
        <v>246</v>
      </c>
      <c r="F214" s="35"/>
      <c r="G214" s="35"/>
      <c r="H214" s="35"/>
      <c r="K214" s="38">
        <v>345</v>
      </c>
      <c r="L214" s="39" t="s">
        <v>204</v>
      </c>
      <c r="N214" s="41">
        <v>5.73</v>
      </c>
      <c r="O214" s="39" t="s">
        <v>34</v>
      </c>
      <c r="P214" s="41">
        <f t="shared" si="1"/>
        <v>1976.8500000000001</v>
      </c>
    </row>
    <row r="215" spans="1:16" s="40" customFormat="1">
      <c r="A215" s="35"/>
      <c r="B215" s="35"/>
      <c r="C215" s="36"/>
      <c r="D215" s="37"/>
      <c r="E215" s="35"/>
      <c r="F215" s="35"/>
      <c r="G215" s="35"/>
      <c r="H215" s="35"/>
      <c r="K215" s="38"/>
      <c r="L215" s="39"/>
      <c r="N215" s="41"/>
      <c r="O215" s="39"/>
      <c r="P215" s="41"/>
    </row>
    <row r="216" spans="1:16" s="40" customFormat="1">
      <c r="A216" s="35"/>
      <c r="B216" s="35"/>
      <c r="C216" s="36"/>
      <c r="D216" s="37"/>
      <c r="E216" s="42" t="s">
        <v>210</v>
      </c>
      <c r="F216" s="35"/>
      <c r="G216" s="35"/>
      <c r="H216" s="35"/>
      <c r="K216" s="38"/>
      <c r="L216" s="39"/>
      <c r="N216" s="41"/>
      <c r="O216" s="39"/>
      <c r="P216" s="41"/>
    </row>
    <row r="217" spans="1:16" s="40" customFormat="1">
      <c r="A217" s="35"/>
      <c r="B217" s="35"/>
      <c r="C217" s="36"/>
      <c r="D217" s="37"/>
      <c r="E217" s="35" t="s">
        <v>219</v>
      </c>
      <c r="F217" s="35"/>
      <c r="G217" s="35"/>
      <c r="H217" s="35"/>
      <c r="K217" s="38">
        <v>5</v>
      </c>
      <c r="L217" s="39" t="s">
        <v>204</v>
      </c>
      <c r="N217" s="41">
        <v>4.93</v>
      </c>
      <c r="O217" s="39" t="s">
        <v>34</v>
      </c>
      <c r="P217" s="41">
        <f t="shared" si="1"/>
        <v>24.65</v>
      </c>
    </row>
    <row r="218" spans="1:16" s="40" customFormat="1">
      <c r="A218" s="35"/>
      <c r="B218" s="35"/>
      <c r="C218" s="36"/>
      <c r="D218" s="37"/>
      <c r="E218" s="35" t="s">
        <v>245</v>
      </c>
      <c r="F218" s="35"/>
      <c r="G218" s="35"/>
      <c r="H218" s="35"/>
      <c r="K218" s="38">
        <v>10</v>
      </c>
      <c r="L218" s="39" t="s">
        <v>204</v>
      </c>
      <c r="N218" s="41">
        <v>4.93</v>
      </c>
      <c r="O218" s="39" t="s">
        <v>34</v>
      </c>
      <c r="P218" s="41">
        <f t="shared" si="1"/>
        <v>49.3</v>
      </c>
    </row>
    <row r="219" spans="1:16" s="40" customFormat="1">
      <c r="A219" s="35"/>
      <c r="B219" s="35"/>
      <c r="C219" s="36"/>
      <c r="D219" s="37"/>
      <c r="E219" s="35" t="s">
        <v>246</v>
      </c>
      <c r="F219" s="35"/>
      <c r="G219" s="35"/>
      <c r="H219" s="35"/>
      <c r="K219" s="38">
        <v>5</v>
      </c>
      <c r="L219" s="39" t="s">
        <v>204</v>
      </c>
      <c r="N219" s="41">
        <v>5.73</v>
      </c>
      <c r="O219" s="39" t="s">
        <v>34</v>
      </c>
      <c r="P219" s="41">
        <f t="shared" si="1"/>
        <v>28.650000000000002</v>
      </c>
    </row>
    <row r="220" spans="1:16" s="40" customFormat="1">
      <c r="A220" s="35"/>
      <c r="B220" s="35"/>
      <c r="C220" s="36"/>
      <c r="D220" s="37"/>
      <c r="E220" s="35"/>
      <c r="F220" s="35"/>
      <c r="G220" s="35"/>
      <c r="H220" s="35"/>
      <c r="K220" s="38"/>
      <c r="L220" s="39"/>
      <c r="N220" s="41"/>
      <c r="O220" s="39"/>
      <c r="P220" s="41"/>
    </row>
    <row r="221" spans="1:16" s="40" customFormat="1">
      <c r="A221" s="35"/>
      <c r="B221" s="35"/>
      <c r="C221" s="36"/>
      <c r="D221" s="37"/>
      <c r="E221" s="35"/>
      <c r="F221" s="35"/>
      <c r="G221" s="35"/>
      <c r="H221" s="35"/>
      <c r="K221" s="38"/>
      <c r="L221" s="39"/>
      <c r="N221" s="41"/>
      <c r="O221" s="39"/>
      <c r="P221" s="41"/>
    </row>
    <row r="222" spans="1:16" s="40" customFormat="1">
      <c r="A222" s="35"/>
      <c r="B222" s="35"/>
      <c r="C222" s="36"/>
      <c r="D222" s="37"/>
      <c r="E222" s="35" t="s">
        <v>247</v>
      </c>
      <c r="F222" s="35"/>
      <c r="G222" s="35"/>
      <c r="H222" s="35"/>
      <c r="K222" s="38"/>
      <c r="L222" s="39"/>
      <c r="N222" s="41"/>
      <c r="O222" s="39"/>
      <c r="P222" s="41"/>
    </row>
    <row r="223" spans="1:16" s="40" customFormat="1">
      <c r="A223" s="35"/>
      <c r="B223" s="35"/>
      <c r="C223" s="36"/>
      <c r="D223" s="37"/>
      <c r="E223" s="35" t="s">
        <v>248</v>
      </c>
      <c r="F223" s="35"/>
      <c r="G223" s="35"/>
      <c r="H223" s="35"/>
      <c r="K223" s="38"/>
      <c r="L223" s="39"/>
      <c r="N223" s="41"/>
      <c r="O223" s="39"/>
      <c r="P223" s="41"/>
    </row>
    <row r="224" spans="1:16" s="40" customFormat="1">
      <c r="A224" s="35"/>
      <c r="B224" s="35"/>
      <c r="C224" s="36"/>
      <c r="D224" s="37"/>
      <c r="E224" s="35" t="s">
        <v>249</v>
      </c>
      <c r="F224" s="35"/>
      <c r="G224" s="35"/>
      <c r="H224" s="35"/>
      <c r="K224" s="38"/>
      <c r="L224" s="39"/>
      <c r="N224" s="41"/>
      <c r="O224" s="39"/>
      <c r="P224" s="41"/>
    </row>
    <row r="225" spans="1:16" s="40" customFormat="1">
      <c r="A225" s="35"/>
      <c r="B225" s="35"/>
      <c r="C225" s="36"/>
      <c r="D225" s="37"/>
      <c r="E225" s="35" t="s">
        <v>250</v>
      </c>
      <c r="F225" s="35"/>
      <c r="G225" s="35"/>
      <c r="H225" s="35"/>
      <c r="K225" s="38"/>
      <c r="L225" s="39"/>
      <c r="N225" s="41"/>
      <c r="O225" s="39"/>
      <c r="P225" s="41"/>
    </row>
    <row r="226" spans="1:16" s="40" customFormat="1">
      <c r="A226" s="35"/>
      <c r="B226" s="35"/>
      <c r="C226" s="36"/>
      <c r="D226" s="37"/>
      <c r="E226" s="35" t="s">
        <v>251</v>
      </c>
      <c r="F226" s="35"/>
      <c r="G226" s="35"/>
      <c r="H226" s="35"/>
      <c r="K226" s="38">
        <v>41</v>
      </c>
      <c r="L226" s="39" t="s">
        <v>204</v>
      </c>
      <c r="N226" s="41">
        <v>2.81</v>
      </c>
      <c r="O226" s="39" t="s">
        <v>34</v>
      </c>
      <c r="P226" s="41">
        <f t="shared" si="1"/>
        <v>115.21000000000001</v>
      </c>
    </row>
    <row r="227" spans="1:16" s="40" customFormat="1">
      <c r="A227" s="35"/>
      <c r="B227" s="35"/>
      <c r="C227" s="36"/>
      <c r="D227" s="37"/>
      <c r="E227" s="35" t="s">
        <v>252</v>
      </c>
      <c r="F227" s="35"/>
      <c r="G227" s="35"/>
      <c r="H227" s="35"/>
      <c r="K227" s="38">
        <v>49</v>
      </c>
      <c r="L227" s="39" t="s">
        <v>204</v>
      </c>
      <c r="N227" s="41">
        <v>2.81</v>
      </c>
      <c r="O227" s="39" t="s">
        <v>34</v>
      </c>
      <c r="P227" s="41">
        <f t="shared" si="1"/>
        <v>137.69</v>
      </c>
    </row>
    <row r="228" spans="1:16" s="40" customFormat="1">
      <c r="A228" s="35"/>
      <c r="B228" s="35"/>
      <c r="C228" s="36"/>
      <c r="D228" s="37"/>
      <c r="E228" s="35" t="s">
        <v>253</v>
      </c>
      <c r="F228" s="35"/>
      <c r="G228" s="35"/>
      <c r="H228" s="35"/>
      <c r="K228" s="38">
        <v>12</v>
      </c>
      <c r="L228" s="39" t="s">
        <v>204</v>
      </c>
      <c r="N228" s="41">
        <v>2.81</v>
      </c>
      <c r="O228" s="39" t="s">
        <v>34</v>
      </c>
      <c r="P228" s="41">
        <f t="shared" si="1"/>
        <v>33.72</v>
      </c>
    </row>
    <row r="229" spans="1:16" s="40" customFormat="1">
      <c r="A229" s="35"/>
      <c r="B229" s="35"/>
      <c r="C229" s="36"/>
      <c r="D229" s="37"/>
      <c r="E229" s="42" t="s">
        <v>210</v>
      </c>
      <c r="F229" s="35"/>
      <c r="G229" s="35"/>
      <c r="H229" s="35"/>
      <c r="K229" s="38"/>
      <c r="L229" s="39"/>
      <c r="N229" s="41"/>
      <c r="O229" s="39"/>
      <c r="P229" s="41"/>
    </row>
    <row r="230" spans="1:16" s="40" customFormat="1">
      <c r="A230" s="35"/>
      <c r="B230" s="35"/>
      <c r="C230" s="36"/>
      <c r="D230" s="37"/>
      <c r="E230" s="35" t="s">
        <v>251</v>
      </c>
      <c r="F230" s="35"/>
      <c r="G230" s="35"/>
      <c r="H230" s="35"/>
      <c r="K230" s="38">
        <v>1</v>
      </c>
      <c r="L230" s="39" t="s">
        <v>204</v>
      </c>
      <c r="N230" s="41">
        <v>2.81</v>
      </c>
      <c r="O230" s="39" t="s">
        <v>34</v>
      </c>
      <c r="P230" s="41">
        <f t="shared" si="1"/>
        <v>2.81</v>
      </c>
    </row>
    <row r="231" spans="1:16" s="40" customFormat="1">
      <c r="A231" s="35"/>
      <c r="B231" s="35"/>
      <c r="C231" s="36"/>
      <c r="D231" s="37"/>
      <c r="E231" s="35" t="s">
        <v>252</v>
      </c>
      <c r="F231" s="35"/>
      <c r="G231" s="35"/>
      <c r="H231" s="35"/>
      <c r="K231" s="38">
        <v>1</v>
      </c>
      <c r="L231" s="39" t="s">
        <v>204</v>
      </c>
      <c r="N231" s="41">
        <v>2.81</v>
      </c>
      <c r="O231" s="39" t="s">
        <v>34</v>
      </c>
      <c r="P231" s="41">
        <f t="shared" si="1"/>
        <v>2.81</v>
      </c>
    </row>
    <row r="232" spans="1:16" s="40" customFormat="1">
      <c r="A232" s="35"/>
      <c r="B232" s="35"/>
      <c r="C232" s="36"/>
      <c r="D232" s="37"/>
      <c r="E232" s="35" t="s">
        <v>253</v>
      </c>
      <c r="F232" s="35"/>
      <c r="G232" s="35"/>
      <c r="H232" s="35"/>
      <c r="K232" s="38">
        <v>1</v>
      </c>
      <c r="L232" s="39" t="s">
        <v>204</v>
      </c>
      <c r="N232" s="41">
        <v>2.81</v>
      </c>
      <c r="O232" s="39" t="s">
        <v>34</v>
      </c>
      <c r="P232" s="41">
        <f t="shared" si="1"/>
        <v>2.81</v>
      </c>
    </row>
    <row r="233" spans="1:16" s="40" customFormat="1">
      <c r="A233" s="35"/>
      <c r="B233" s="35"/>
      <c r="C233" s="36"/>
      <c r="D233" s="37"/>
      <c r="E233" s="35"/>
      <c r="F233" s="35"/>
      <c r="G233" s="35"/>
      <c r="H233" s="35"/>
      <c r="K233" s="38"/>
      <c r="L233" s="39"/>
      <c r="N233" s="41"/>
      <c r="O233" s="39"/>
      <c r="P233" s="41"/>
    </row>
    <row r="234" spans="1:16" s="40" customFormat="1">
      <c r="A234" s="35"/>
      <c r="B234" s="35"/>
      <c r="C234" s="36"/>
      <c r="D234" s="37"/>
      <c r="E234" s="35"/>
      <c r="F234" s="35"/>
      <c r="G234" s="35"/>
      <c r="H234" s="35"/>
      <c r="K234" s="38"/>
      <c r="L234" s="39"/>
      <c r="N234" s="41"/>
      <c r="O234" s="39"/>
      <c r="P234" s="41"/>
    </row>
    <row r="235" spans="1:16" s="40" customFormat="1">
      <c r="A235" s="35"/>
      <c r="B235" s="35"/>
      <c r="C235" s="36"/>
      <c r="D235" s="37"/>
      <c r="E235" s="35" t="s">
        <v>254</v>
      </c>
      <c r="F235" s="35"/>
      <c r="G235" s="35"/>
      <c r="H235" s="35"/>
      <c r="K235" s="38"/>
      <c r="L235" s="39"/>
      <c r="N235" s="41"/>
      <c r="O235" s="39"/>
      <c r="P235" s="41"/>
    </row>
    <row r="236" spans="1:16" s="40" customFormat="1">
      <c r="A236" s="35"/>
      <c r="B236" s="35"/>
      <c r="C236" s="36"/>
      <c r="D236" s="37"/>
      <c r="E236" s="42" t="s">
        <v>255</v>
      </c>
      <c r="F236" s="35"/>
      <c r="G236" s="35"/>
      <c r="H236" s="35"/>
      <c r="K236" s="38"/>
      <c r="L236" s="39"/>
      <c r="N236" s="41"/>
      <c r="O236" s="39"/>
      <c r="P236" s="41"/>
    </row>
    <row r="237" spans="1:16" s="40" customFormat="1">
      <c r="A237" s="35"/>
      <c r="B237" s="35"/>
      <c r="C237" s="36"/>
      <c r="D237" s="37"/>
      <c r="E237" s="35" t="s">
        <v>256</v>
      </c>
      <c r="F237" s="35"/>
      <c r="G237" s="35"/>
      <c r="H237" s="35"/>
      <c r="K237" s="38"/>
      <c r="L237" s="39"/>
      <c r="N237" s="41"/>
      <c r="O237" s="39"/>
      <c r="P237" s="41"/>
    </row>
    <row r="238" spans="1:16" s="40" customFormat="1">
      <c r="A238" s="35"/>
      <c r="B238" s="35"/>
      <c r="C238" s="36"/>
      <c r="D238" s="37"/>
      <c r="E238" s="35" t="s">
        <v>1029</v>
      </c>
      <c r="F238" s="35"/>
      <c r="G238" s="35"/>
      <c r="H238" s="35"/>
      <c r="K238" s="38"/>
      <c r="L238" s="39"/>
      <c r="N238" s="41"/>
      <c r="O238" s="39"/>
      <c r="P238" s="41"/>
    </row>
    <row r="239" spans="1:16" s="40" customFormat="1">
      <c r="A239" s="35"/>
      <c r="B239" s="35"/>
      <c r="C239" s="36"/>
      <c r="D239" s="37"/>
      <c r="E239" s="35" t="s">
        <v>257</v>
      </c>
      <c r="F239" s="35"/>
      <c r="G239" s="35"/>
      <c r="H239" s="35"/>
      <c r="K239" s="38"/>
      <c r="L239" s="39"/>
      <c r="N239" s="41"/>
      <c r="O239" s="39"/>
      <c r="P239" s="41"/>
    </row>
    <row r="240" spans="1:16" s="40" customFormat="1">
      <c r="A240" s="35"/>
      <c r="B240" s="35"/>
      <c r="C240" s="36"/>
      <c r="D240" s="37"/>
      <c r="E240" s="35" t="s">
        <v>258</v>
      </c>
      <c r="F240" s="35"/>
      <c r="G240" s="35"/>
      <c r="H240" s="35"/>
      <c r="K240" s="38"/>
      <c r="L240" s="39"/>
      <c r="N240" s="41"/>
      <c r="O240" s="39"/>
      <c r="P240" s="41"/>
    </row>
    <row r="241" spans="1:16" s="40" customFormat="1">
      <c r="A241" s="35"/>
      <c r="B241" s="35"/>
      <c r="C241" s="36"/>
      <c r="D241" s="37"/>
      <c r="E241" s="35" t="s">
        <v>219</v>
      </c>
      <c r="F241" s="35"/>
      <c r="G241" s="35"/>
      <c r="H241" s="35"/>
      <c r="K241" s="38">
        <v>975</v>
      </c>
      <c r="L241" s="39" t="s">
        <v>204</v>
      </c>
      <c r="N241" s="41">
        <v>5.15</v>
      </c>
      <c r="O241" s="39" t="s">
        <v>34</v>
      </c>
      <c r="P241" s="41">
        <f t="shared" si="1"/>
        <v>5021.25</v>
      </c>
    </row>
    <row r="242" spans="1:16" s="40" customFormat="1">
      <c r="A242" s="35"/>
      <c r="B242" s="35"/>
      <c r="C242" s="36"/>
      <c r="D242" s="37"/>
      <c r="E242" s="35" t="s">
        <v>259</v>
      </c>
      <c r="F242" s="35"/>
      <c r="G242" s="35"/>
      <c r="H242" s="35"/>
      <c r="K242" s="38">
        <v>935</v>
      </c>
      <c r="L242" s="39" t="s">
        <v>204</v>
      </c>
      <c r="N242" s="41">
        <v>5.15</v>
      </c>
      <c r="O242" s="39" t="s">
        <v>34</v>
      </c>
      <c r="P242" s="41">
        <f t="shared" si="1"/>
        <v>4815.25</v>
      </c>
    </row>
    <row r="243" spans="1:16" s="40" customFormat="1">
      <c r="A243" s="35"/>
      <c r="B243" s="35"/>
      <c r="C243" s="36"/>
      <c r="D243" s="37"/>
      <c r="E243" s="35" t="s">
        <v>246</v>
      </c>
      <c r="F243" s="35"/>
      <c r="G243" s="35"/>
      <c r="H243" s="35"/>
      <c r="K243" s="38">
        <v>645</v>
      </c>
      <c r="L243" s="39" t="s">
        <v>204</v>
      </c>
      <c r="N243" s="41">
        <v>5.95</v>
      </c>
      <c r="O243" s="39" t="s">
        <v>34</v>
      </c>
      <c r="P243" s="41">
        <f t="shared" si="1"/>
        <v>3837.75</v>
      </c>
    </row>
    <row r="244" spans="1:16" s="40" customFormat="1">
      <c r="A244" s="35"/>
      <c r="B244" s="35"/>
      <c r="C244" s="36"/>
      <c r="D244" s="37"/>
      <c r="E244" s="35" t="s">
        <v>260</v>
      </c>
      <c r="F244" s="35"/>
      <c r="G244" s="35"/>
      <c r="H244" s="35"/>
      <c r="K244" s="38">
        <v>1029</v>
      </c>
      <c r="L244" s="39" t="s">
        <v>204</v>
      </c>
      <c r="N244" s="41">
        <v>5.15</v>
      </c>
      <c r="O244" s="39" t="s">
        <v>34</v>
      </c>
      <c r="P244" s="41">
        <f t="shared" si="1"/>
        <v>5299.35</v>
      </c>
    </row>
    <row r="245" spans="1:16" s="40" customFormat="1">
      <c r="A245" s="35"/>
      <c r="B245" s="35"/>
      <c r="C245" s="36"/>
      <c r="D245" s="37"/>
      <c r="E245" s="35"/>
      <c r="F245" s="35"/>
      <c r="G245" s="35"/>
      <c r="H245" s="35"/>
      <c r="K245" s="38"/>
      <c r="L245" s="39"/>
      <c r="N245" s="41"/>
      <c r="O245" s="39"/>
      <c r="P245" s="41"/>
    </row>
    <row r="246" spans="1:16" s="40" customFormat="1">
      <c r="A246" s="35"/>
      <c r="B246" s="35"/>
      <c r="C246" s="36"/>
      <c r="D246" s="37"/>
      <c r="E246" s="42" t="s">
        <v>210</v>
      </c>
      <c r="F246" s="35"/>
      <c r="G246" s="35"/>
      <c r="H246" s="35"/>
      <c r="K246" s="38"/>
      <c r="L246" s="39"/>
      <c r="N246" s="41"/>
      <c r="O246" s="39"/>
      <c r="P246" s="41"/>
    </row>
    <row r="247" spans="1:16" s="40" customFormat="1">
      <c r="A247" s="35"/>
      <c r="B247" s="35"/>
      <c r="C247" s="36"/>
      <c r="D247" s="37"/>
      <c r="E247" s="35" t="s">
        <v>219</v>
      </c>
      <c r="F247" s="35"/>
      <c r="G247" s="35"/>
      <c r="H247" s="35"/>
      <c r="K247" s="38">
        <v>5</v>
      </c>
      <c r="L247" s="39" t="s">
        <v>204</v>
      </c>
      <c r="N247" s="41">
        <v>5.15</v>
      </c>
      <c r="O247" s="39" t="s">
        <v>34</v>
      </c>
      <c r="P247" s="41">
        <f t="shared" si="1"/>
        <v>25.75</v>
      </c>
    </row>
    <row r="248" spans="1:16" s="40" customFormat="1">
      <c r="A248" s="35"/>
      <c r="B248" s="35"/>
      <c r="C248" s="36"/>
      <c r="D248" s="37"/>
      <c r="E248" s="35" t="s">
        <v>259</v>
      </c>
      <c r="F248" s="35"/>
      <c r="G248" s="35"/>
      <c r="H248" s="35"/>
      <c r="K248" s="38">
        <v>5</v>
      </c>
      <c r="L248" s="39" t="s">
        <v>204</v>
      </c>
      <c r="N248" s="41">
        <v>5.15</v>
      </c>
      <c r="O248" s="39" t="s">
        <v>34</v>
      </c>
      <c r="P248" s="41">
        <f t="shared" si="1"/>
        <v>25.75</v>
      </c>
    </row>
    <row r="249" spans="1:16" s="40" customFormat="1">
      <c r="A249" s="35"/>
      <c r="B249" s="35"/>
      <c r="C249" s="36"/>
      <c r="D249" s="37"/>
      <c r="E249" s="35" t="s">
        <v>246</v>
      </c>
      <c r="F249" s="35"/>
      <c r="G249" s="35"/>
      <c r="H249" s="35"/>
      <c r="K249" s="38">
        <v>5</v>
      </c>
      <c r="L249" s="39" t="s">
        <v>204</v>
      </c>
      <c r="N249" s="41">
        <v>5.95</v>
      </c>
      <c r="O249" s="39" t="s">
        <v>34</v>
      </c>
      <c r="P249" s="41">
        <f t="shared" si="1"/>
        <v>29.75</v>
      </c>
    </row>
    <row r="250" spans="1:16" s="40" customFormat="1">
      <c r="A250" s="35"/>
      <c r="B250" s="35"/>
      <c r="C250" s="36"/>
      <c r="D250" s="37"/>
      <c r="E250" s="35" t="s">
        <v>260</v>
      </c>
      <c r="F250" s="35"/>
      <c r="G250" s="35"/>
      <c r="H250" s="35"/>
      <c r="K250" s="38">
        <v>5</v>
      </c>
      <c r="L250" s="39" t="s">
        <v>204</v>
      </c>
      <c r="N250" s="41">
        <v>5.15</v>
      </c>
      <c r="O250" s="39" t="s">
        <v>34</v>
      </c>
      <c r="P250" s="41">
        <f t="shared" si="1"/>
        <v>25.75</v>
      </c>
    </row>
    <row r="251" spans="1:16" s="40" customFormat="1">
      <c r="A251" s="35"/>
      <c r="B251" s="35"/>
      <c r="C251" s="36"/>
      <c r="D251" s="37"/>
      <c r="E251" s="35"/>
      <c r="F251" s="35"/>
      <c r="G251" s="35"/>
      <c r="H251" s="35"/>
      <c r="K251" s="38"/>
      <c r="L251" s="39"/>
      <c r="N251" s="41"/>
      <c r="O251" s="39"/>
      <c r="P251" s="41"/>
    </row>
    <row r="252" spans="1:16" s="40" customFormat="1">
      <c r="A252" s="35"/>
      <c r="B252" s="35"/>
      <c r="C252" s="36"/>
      <c r="D252" s="37"/>
      <c r="E252" s="35"/>
      <c r="F252" s="35"/>
      <c r="G252" s="35"/>
      <c r="H252" s="35"/>
      <c r="K252" s="38"/>
      <c r="L252" s="39"/>
      <c r="N252" s="41"/>
      <c r="O252" s="39"/>
      <c r="P252" s="41"/>
    </row>
    <row r="253" spans="1:16" s="40" customFormat="1">
      <c r="A253" s="35"/>
      <c r="B253" s="35"/>
      <c r="C253" s="36"/>
      <c r="D253" s="37"/>
      <c r="E253" s="35" t="s">
        <v>261</v>
      </c>
      <c r="F253" s="35"/>
      <c r="G253" s="35"/>
      <c r="H253" s="35"/>
      <c r="K253" s="38"/>
      <c r="L253" s="39"/>
      <c r="N253" s="41"/>
      <c r="O253" s="39"/>
      <c r="P253" s="41"/>
    </row>
    <row r="254" spans="1:16" s="40" customFormat="1">
      <c r="A254" s="35"/>
      <c r="B254" s="35"/>
      <c r="C254" s="36"/>
      <c r="D254" s="37"/>
      <c r="E254" s="35" t="s">
        <v>257</v>
      </c>
      <c r="F254" s="35"/>
      <c r="G254" s="35"/>
      <c r="H254" s="35"/>
      <c r="K254" s="38"/>
      <c r="L254" s="39"/>
      <c r="N254" s="41"/>
      <c r="O254" s="39"/>
      <c r="P254" s="41"/>
    </row>
    <row r="255" spans="1:16" s="40" customFormat="1">
      <c r="A255" s="35"/>
      <c r="B255" s="35"/>
      <c r="C255" s="36"/>
      <c r="D255" s="37"/>
      <c r="E255" s="35" t="s">
        <v>258</v>
      </c>
      <c r="F255" s="35"/>
      <c r="G255" s="35"/>
      <c r="H255" s="35"/>
      <c r="K255" s="38"/>
      <c r="L255" s="39"/>
      <c r="N255" s="41"/>
      <c r="O255" s="39"/>
      <c r="P255" s="41"/>
    </row>
    <row r="256" spans="1:16" s="40" customFormat="1">
      <c r="A256" s="35"/>
      <c r="B256" s="35"/>
      <c r="C256" s="36"/>
      <c r="D256" s="37"/>
      <c r="E256" s="35" t="s">
        <v>239</v>
      </c>
      <c r="F256" s="35"/>
      <c r="G256" s="35"/>
      <c r="H256" s="35"/>
      <c r="K256" s="38">
        <v>602</v>
      </c>
      <c r="L256" s="39" t="s">
        <v>204</v>
      </c>
      <c r="N256" s="41">
        <v>5.95</v>
      </c>
      <c r="O256" s="39" t="s">
        <v>34</v>
      </c>
      <c r="P256" s="41">
        <f t="shared" si="1"/>
        <v>3581.9</v>
      </c>
    </row>
    <row r="257" spans="1:21" s="40" customFormat="1">
      <c r="A257" s="35"/>
      <c r="B257" s="35"/>
      <c r="C257" s="36"/>
      <c r="D257" s="37"/>
      <c r="E257" s="35"/>
      <c r="F257" s="35"/>
      <c r="G257" s="35"/>
      <c r="H257" s="35"/>
      <c r="K257" s="38"/>
      <c r="L257" s="39"/>
      <c r="N257" s="41"/>
      <c r="O257" s="39"/>
      <c r="P257" s="41"/>
    </row>
    <row r="258" spans="1:21" s="40" customFormat="1">
      <c r="A258" s="35"/>
      <c r="B258" s="35"/>
      <c r="C258" s="36"/>
      <c r="D258" s="37"/>
      <c r="E258" s="42" t="s">
        <v>210</v>
      </c>
      <c r="F258" s="35"/>
      <c r="G258" s="35"/>
      <c r="H258" s="35"/>
      <c r="K258" s="38"/>
      <c r="L258" s="39"/>
      <c r="N258" s="41"/>
      <c r="O258" s="39"/>
      <c r="P258" s="41"/>
    </row>
    <row r="259" spans="1:21" s="40" customFormat="1">
      <c r="A259" s="35"/>
      <c r="B259" s="35"/>
      <c r="C259" s="36"/>
      <c r="D259" s="37"/>
      <c r="E259" s="35" t="s">
        <v>239</v>
      </c>
      <c r="F259" s="35"/>
      <c r="G259" s="35"/>
      <c r="H259" s="35"/>
      <c r="K259" s="38">
        <v>10</v>
      </c>
      <c r="L259" s="39" t="s">
        <v>204</v>
      </c>
      <c r="N259" s="41">
        <v>5.95</v>
      </c>
      <c r="O259" s="39" t="s">
        <v>34</v>
      </c>
      <c r="P259" s="41">
        <f t="shared" si="1"/>
        <v>59.5</v>
      </c>
    </row>
    <row r="260" spans="1:21" s="40" customFormat="1">
      <c r="A260" s="35"/>
      <c r="B260" s="35"/>
      <c r="C260" s="36"/>
      <c r="D260" s="37"/>
      <c r="E260" s="35"/>
      <c r="F260" s="35"/>
      <c r="G260" s="35"/>
      <c r="H260" s="35"/>
      <c r="K260" s="38"/>
      <c r="L260" s="39"/>
      <c r="N260" s="41"/>
      <c r="O260" s="39"/>
      <c r="P260" s="41"/>
    </row>
    <row r="261" spans="1:21" s="40" customFormat="1">
      <c r="A261" s="35"/>
      <c r="B261" s="35"/>
      <c r="C261" s="36"/>
      <c r="D261" s="37"/>
      <c r="E261" s="35"/>
      <c r="F261" s="35"/>
      <c r="G261" s="35"/>
      <c r="H261" s="35"/>
      <c r="K261" s="38"/>
      <c r="L261" s="39"/>
      <c r="N261" s="41"/>
      <c r="O261" s="39"/>
      <c r="P261" s="41"/>
    </row>
    <row r="262" spans="1:21" s="40" customFormat="1" ht="16.5">
      <c r="A262" s="35"/>
      <c r="B262" s="35"/>
      <c r="C262" s="36"/>
      <c r="D262" s="37"/>
      <c r="E262" s="35" t="s">
        <v>262</v>
      </c>
      <c r="F262" s="35"/>
      <c r="G262" s="35"/>
      <c r="H262" s="35"/>
      <c r="K262" s="38"/>
      <c r="L262" s="39"/>
      <c r="N262" s="41"/>
      <c r="O262" s="39"/>
      <c r="P262" s="41"/>
      <c r="U262"/>
    </row>
    <row r="263" spans="1:21" s="40" customFormat="1" ht="16.5">
      <c r="A263" s="35"/>
      <c r="B263" s="35"/>
      <c r="C263" s="36"/>
      <c r="D263" s="37"/>
      <c r="E263" s="42" t="s">
        <v>263</v>
      </c>
      <c r="F263" s="35"/>
      <c r="G263" s="35"/>
      <c r="H263" s="35"/>
      <c r="K263" s="38"/>
      <c r="L263" s="39"/>
      <c r="N263" s="41"/>
      <c r="O263" s="39"/>
      <c r="P263" s="41"/>
      <c r="U263"/>
    </row>
    <row r="264" spans="1:21" s="40" customFormat="1" ht="16.5">
      <c r="A264" s="35"/>
      <c r="B264" s="35"/>
      <c r="C264" s="36"/>
      <c r="D264" s="37"/>
      <c r="E264" s="35" t="s">
        <v>264</v>
      </c>
      <c r="F264" s="35"/>
      <c r="G264" s="35"/>
      <c r="H264" s="35"/>
      <c r="K264" s="38"/>
      <c r="L264" s="39"/>
      <c r="N264" s="41"/>
      <c r="O264" s="39"/>
      <c r="P264" s="41"/>
      <c r="U264"/>
    </row>
    <row r="265" spans="1:21" s="40" customFormat="1">
      <c r="A265" s="35"/>
      <c r="B265" s="35"/>
      <c r="C265" s="36"/>
      <c r="D265" s="37"/>
      <c r="E265" s="35" t="s">
        <v>265</v>
      </c>
      <c r="F265" s="35"/>
      <c r="G265" s="35"/>
      <c r="H265" s="35"/>
      <c r="K265" s="38"/>
      <c r="L265" s="39"/>
      <c r="N265" s="41"/>
      <c r="O265" s="39"/>
      <c r="P265" s="41"/>
    </row>
    <row r="266" spans="1:21" s="40" customFormat="1">
      <c r="A266" s="35"/>
      <c r="B266" s="35"/>
      <c r="C266" s="36"/>
      <c r="D266" s="37"/>
      <c r="E266" s="35" t="s">
        <v>1030</v>
      </c>
      <c r="F266" s="35"/>
      <c r="G266" s="35"/>
      <c r="H266" s="35"/>
      <c r="K266" s="38"/>
      <c r="L266" s="39"/>
      <c r="N266" s="41"/>
      <c r="O266" s="39"/>
      <c r="P266" s="41"/>
    </row>
    <row r="267" spans="1:21" s="40" customFormat="1">
      <c r="A267" s="35"/>
      <c r="B267" s="35"/>
      <c r="C267" s="36"/>
      <c r="D267" s="37"/>
      <c r="E267" s="35" t="s">
        <v>266</v>
      </c>
      <c r="F267" s="35"/>
      <c r="G267" s="35"/>
      <c r="H267" s="35"/>
      <c r="K267" s="38"/>
      <c r="L267" s="39"/>
      <c r="N267" s="41"/>
      <c r="O267" s="39"/>
      <c r="P267" s="41"/>
    </row>
    <row r="268" spans="1:21" s="40" customFormat="1">
      <c r="A268" s="35"/>
      <c r="B268" s="35"/>
      <c r="C268" s="36"/>
      <c r="D268" s="37"/>
      <c r="E268" s="35" t="s">
        <v>267</v>
      </c>
      <c r="F268" s="35"/>
      <c r="G268" s="35"/>
      <c r="H268" s="35"/>
      <c r="K268" s="38"/>
      <c r="L268" s="39"/>
      <c r="N268" s="41"/>
      <c r="O268" s="39"/>
      <c r="P268" s="41"/>
    </row>
    <row r="269" spans="1:21" s="40" customFormat="1">
      <c r="A269" s="35"/>
      <c r="B269" s="35"/>
      <c r="C269" s="36"/>
      <c r="D269" s="37"/>
      <c r="E269" s="35" t="s">
        <v>268</v>
      </c>
      <c r="F269" s="35"/>
      <c r="G269" s="35"/>
      <c r="H269" s="35"/>
      <c r="K269" s="38">
        <v>624</v>
      </c>
      <c r="L269" s="39" t="s">
        <v>204</v>
      </c>
      <c r="N269" s="41">
        <v>5.8</v>
      </c>
      <c r="O269" s="39" t="s">
        <v>34</v>
      </c>
      <c r="P269" s="41">
        <f t="shared" ref="P269:P288" si="2">K269*N269</f>
        <v>3619.2</v>
      </c>
    </row>
    <row r="270" spans="1:21" s="40" customFormat="1">
      <c r="A270" s="35"/>
      <c r="B270" s="35"/>
      <c r="C270" s="36"/>
      <c r="D270" s="37"/>
      <c r="E270" s="35" t="s">
        <v>237</v>
      </c>
      <c r="F270" s="35"/>
      <c r="G270" s="35"/>
      <c r="H270" s="35"/>
      <c r="K270" s="38">
        <v>6026</v>
      </c>
      <c r="L270" s="39" t="s">
        <v>204</v>
      </c>
      <c r="N270" s="41">
        <v>5</v>
      </c>
      <c r="O270" s="39" t="s">
        <v>34</v>
      </c>
      <c r="P270" s="41">
        <f t="shared" si="2"/>
        <v>30130</v>
      </c>
    </row>
    <row r="271" spans="1:21" s="40" customFormat="1">
      <c r="A271" s="35"/>
      <c r="B271" s="35"/>
      <c r="C271" s="36"/>
      <c r="D271" s="37"/>
      <c r="E271" s="35" t="s">
        <v>269</v>
      </c>
      <c r="F271" s="35"/>
      <c r="G271" s="35"/>
      <c r="H271" s="35"/>
      <c r="K271" s="38">
        <v>2096</v>
      </c>
      <c r="L271" s="39" t="s">
        <v>204</v>
      </c>
      <c r="N271" s="41">
        <v>5</v>
      </c>
      <c r="O271" s="39" t="s">
        <v>34</v>
      </c>
      <c r="P271" s="41">
        <f t="shared" si="2"/>
        <v>10480</v>
      </c>
    </row>
    <row r="272" spans="1:21" s="40" customFormat="1">
      <c r="A272" s="35"/>
      <c r="B272" s="35"/>
      <c r="C272" s="36"/>
      <c r="D272" s="37"/>
      <c r="E272" s="35" t="s">
        <v>270</v>
      </c>
      <c r="F272" s="35"/>
      <c r="G272" s="35"/>
      <c r="H272" s="35"/>
      <c r="K272" s="38">
        <v>4556</v>
      </c>
      <c r="L272" s="39" t="s">
        <v>204</v>
      </c>
      <c r="N272" s="41">
        <v>5</v>
      </c>
      <c r="O272" s="39" t="s">
        <v>34</v>
      </c>
      <c r="P272" s="41">
        <f t="shared" si="2"/>
        <v>22780</v>
      </c>
    </row>
    <row r="273" spans="1:16" s="40" customFormat="1">
      <c r="A273" s="35"/>
      <c r="B273" s="35"/>
      <c r="C273" s="36"/>
      <c r="D273" s="37"/>
      <c r="E273" s="35" t="s">
        <v>219</v>
      </c>
      <c r="F273" s="35"/>
      <c r="G273" s="35"/>
      <c r="H273" s="35"/>
      <c r="K273" s="38">
        <v>4718</v>
      </c>
      <c r="L273" s="39" t="s">
        <v>204</v>
      </c>
      <c r="N273" s="41">
        <v>5</v>
      </c>
      <c r="O273" s="39" t="s">
        <v>34</v>
      </c>
      <c r="P273" s="41">
        <f t="shared" si="2"/>
        <v>23590</v>
      </c>
    </row>
    <row r="274" spans="1:16" s="40" customFormat="1">
      <c r="A274" s="35"/>
      <c r="B274" s="35"/>
      <c r="C274" s="36"/>
      <c r="D274" s="37"/>
      <c r="E274" s="35" t="s">
        <v>259</v>
      </c>
      <c r="F274" s="35"/>
      <c r="G274" s="35"/>
      <c r="H274" s="35"/>
      <c r="K274" s="38">
        <v>9299</v>
      </c>
      <c r="L274" s="39" t="s">
        <v>204</v>
      </c>
      <c r="N274" s="41">
        <v>5</v>
      </c>
      <c r="O274" s="39" t="s">
        <v>34</v>
      </c>
      <c r="P274" s="41">
        <f t="shared" si="2"/>
        <v>46495</v>
      </c>
    </row>
    <row r="275" spans="1:16" s="40" customFormat="1">
      <c r="A275" s="35"/>
      <c r="B275" s="35"/>
      <c r="C275" s="36"/>
      <c r="D275" s="37"/>
      <c r="E275" s="42" t="s">
        <v>210</v>
      </c>
      <c r="F275" s="35"/>
      <c r="G275" s="35"/>
      <c r="H275" s="35"/>
      <c r="K275" s="38"/>
      <c r="L275" s="39"/>
      <c r="N275" s="41"/>
      <c r="O275" s="39"/>
      <c r="P275" s="41"/>
    </row>
    <row r="276" spans="1:16" s="40" customFormat="1">
      <c r="A276" s="35"/>
      <c r="B276" s="35"/>
      <c r="C276" s="36"/>
      <c r="D276" s="37"/>
      <c r="E276" s="35" t="s">
        <v>268</v>
      </c>
      <c r="F276" s="35"/>
      <c r="G276" s="35"/>
      <c r="H276" s="35"/>
      <c r="K276" s="38">
        <v>10</v>
      </c>
      <c r="L276" s="39" t="s">
        <v>204</v>
      </c>
      <c r="N276" s="41">
        <v>5.8</v>
      </c>
      <c r="O276" s="39" t="s">
        <v>34</v>
      </c>
      <c r="P276" s="41">
        <f t="shared" si="2"/>
        <v>58</v>
      </c>
    </row>
    <row r="277" spans="1:16" s="40" customFormat="1">
      <c r="A277" s="35"/>
      <c r="B277" s="35"/>
      <c r="C277" s="36"/>
      <c r="D277" s="37"/>
      <c r="E277" s="35" t="s">
        <v>237</v>
      </c>
      <c r="F277" s="35"/>
      <c r="G277" s="35"/>
      <c r="H277" s="35"/>
      <c r="K277" s="38">
        <v>10</v>
      </c>
      <c r="L277" s="39" t="s">
        <v>204</v>
      </c>
      <c r="N277" s="41">
        <v>5</v>
      </c>
      <c r="O277" s="39" t="s">
        <v>34</v>
      </c>
      <c r="P277" s="41">
        <f t="shared" si="2"/>
        <v>50</v>
      </c>
    </row>
    <row r="278" spans="1:16" s="40" customFormat="1">
      <c r="A278" s="35"/>
      <c r="B278" s="35"/>
      <c r="C278" s="36"/>
      <c r="D278" s="37"/>
      <c r="E278" s="35" t="s">
        <v>269</v>
      </c>
      <c r="F278" s="35"/>
      <c r="G278" s="35"/>
      <c r="H278" s="35"/>
      <c r="K278" s="38">
        <v>10</v>
      </c>
      <c r="L278" s="39" t="s">
        <v>204</v>
      </c>
      <c r="N278" s="41">
        <v>5</v>
      </c>
      <c r="O278" s="39" t="s">
        <v>34</v>
      </c>
      <c r="P278" s="41">
        <f t="shared" si="2"/>
        <v>50</v>
      </c>
    </row>
    <row r="279" spans="1:16" s="40" customFormat="1">
      <c r="A279" s="35"/>
      <c r="B279" s="35"/>
      <c r="C279" s="36"/>
      <c r="D279" s="37"/>
      <c r="E279" s="35" t="s">
        <v>270</v>
      </c>
      <c r="F279" s="35"/>
      <c r="G279" s="35"/>
      <c r="H279" s="35"/>
      <c r="K279" s="38">
        <v>10</v>
      </c>
      <c r="L279" s="39" t="s">
        <v>204</v>
      </c>
      <c r="N279" s="41">
        <v>5</v>
      </c>
      <c r="O279" s="39" t="s">
        <v>34</v>
      </c>
      <c r="P279" s="41">
        <f t="shared" si="2"/>
        <v>50</v>
      </c>
    </row>
    <row r="280" spans="1:16" s="40" customFormat="1">
      <c r="A280" s="35"/>
      <c r="B280" s="35"/>
      <c r="C280" s="36"/>
      <c r="D280" s="37"/>
      <c r="E280" s="35" t="s">
        <v>219</v>
      </c>
      <c r="F280" s="35"/>
      <c r="G280" s="35"/>
      <c r="H280" s="35"/>
      <c r="K280" s="38">
        <v>10</v>
      </c>
      <c r="L280" s="39" t="s">
        <v>204</v>
      </c>
      <c r="N280" s="41">
        <v>5</v>
      </c>
      <c r="O280" s="39" t="s">
        <v>34</v>
      </c>
      <c r="P280" s="41">
        <f t="shared" si="2"/>
        <v>50</v>
      </c>
    </row>
    <row r="281" spans="1:16" s="40" customFormat="1">
      <c r="A281" s="35"/>
      <c r="B281" s="35"/>
      <c r="C281" s="36"/>
      <c r="D281" s="37"/>
      <c r="E281" s="35" t="s">
        <v>259</v>
      </c>
      <c r="F281" s="35"/>
      <c r="G281" s="35"/>
      <c r="H281" s="35"/>
      <c r="K281" s="38">
        <v>10</v>
      </c>
      <c r="L281" s="39" t="s">
        <v>204</v>
      </c>
      <c r="N281" s="41">
        <v>5</v>
      </c>
      <c r="O281" s="39" t="s">
        <v>34</v>
      </c>
      <c r="P281" s="41">
        <f t="shared" si="2"/>
        <v>50</v>
      </c>
    </row>
    <row r="282" spans="1:16" s="40" customFormat="1">
      <c r="A282" s="35"/>
      <c r="B282" s="35"/>
      <c r="C282" s="36"/>
      <c r="D282" s="37"/>
      <c r="E282" s="102"/>
      <c r="F282" s="102"/>
      <c r="G282" s="35"/>
      <c r="H282" s="35"/>
      <c r="K282" s="38"/>
      <c r="L282" s="39"/>
      <c r="N282" s="41"/>
      <c r="O282" s="39"/>
      <c r="P282" s="41"/>
    </row>
    <row r="283" spans="1:16" s="40" customFormat="1">
      <c r="A283" s="35"/>
      <c r="B283" s="35"/>
      <c r="C283" s="36"/>
      <c r="D283" s="37"/>
      <c r="E283" s="35" t="s">
        <v>271</v>
      </c>
      <c r="F283" s="35"/>
      <c r="G283" s="35"/>
      <c r="H283" s="35"/>
      <c r="K283" s="38"/>
      <c r="L283" s="39"/>
      <c r="N283" s="41"/>
      <c r="O283" s="39"/>
      <c r="P283" s="41"/>
    </row>
    <row r="284" spans="1:16" s="40" customFormat="1">
      <c r="A284" s="35"/>
      <c r="B284" s="35"/>
      <c r="C284" s="36"/>
      <c r="D284" s="37"/>
      <c r="E284" s="35" t="s">
        <v>266</v>
      </c>
      <c r="F284" s="35"/>
      <c r="G284" s="35"/>
      <c r="H284" s="35"/>
      <c r="K284" s="38"/>
      <c r="L284" s="39"/>
      <c r="N284" s="41"/>
      <c r="O284" s="39"/>
      <c r="P284" s="41"/>
    </row>
    <row r="285" spans="1:16" s="40" customFormat="1">
      <c r="A285" s="35"/>
      <c r="B285" s="35"/>
      <c r="C285" s="36"/>
      <c r="D285" s="37"/>
      <c r="E285" s="35" t="s">
        <v>267</v>
      </c>
      <c r="F285" s="35"/>
      <c r="G285" s="35"/>
      <c r="H285" s="35"/>
      <c r="K285" s="38"/>
      <c r="L285" s="39"/>
      <c r="N285" s="41"/>
      <c r="O285" s="39"/>
      <c r="P285" s="41"/>
    </row>
    <row r="286" spans="1:16" s="40" customFormat="1">
      <c r="A286" s="35"/>
      <c r="B286" s="35"/>
      <c r="C286" s="36"/>
      <c r="D286" s="37"/>
      <c r="E286" s="35" t="s">
        <v>239</v>
      </c>
      <c r="F286" s="35"/>
      <c r="G286" s="35"/>
      <c r="H286" s="35"/>
      <c r="K286" s="38">
        <v>682</v>
      </c>
      <c r="L286" s="39" t="s">
        <v>204</v>
      </c>
      <c r="N286" s="41">
        <v>5</v>
      </c>
      <c r="O286" s="39" t="s">
        <v>34</v>
      </c>
      <c r="P286" s="41">
        <f t="shared" si="2"/>
        <v>3410</v>
      </c>
    </row>
    <row r="287" spans="1:16" s="40" customFormat="1">
      <c r="A287" s="35"/>
      <c r="B287" s="35"/>
      <c r="C287" s="36"/>
      <c r="D287" s="37"/>
      <c r="E287" s="42" t="s">
        <v>210</v>
      </c>
      <c r="F287" s="35"/>
      <c r="G287" s="35"/>
      <c r="H287" s="35"/>
      <c r="K287" s="38"/>
      <c r="L287" s="39"/>
      <c r="N287" s="41"/>
      <c r="O287" s="39"/>
      <c r="P287" s="41"/>
    </row>
    <row r="288" spans="1:16" s="40" customFormat="1">
      <c r="A288" s="35"/>
      <c r="B288" s="35"/>
      <c r="C288" s="36"/>
      <c r="D288" s="37"/>
      <c r="E288" s="35" t="s">
        <v>239</v>
      </c>
      <c r="F288" s="35"/>
      <c r="G288" s="35"/>
      <c r="H288" s="35"/>
      <c r="K288" s="38">
        <v>10</v>
      </c>
      <c r="L288" s="39" t="s">
        <v>204</v>
      </c>
      <c r="N288" s="41">
        <v>5</v>
      </c>
      <c r="O288" s="39" t="s">
        <v>34</v>
      </c>
      <c r="P288" s="41">
        <f t="shared" si="2"/>
        <v>50</v>
      </c>
    </row>
    <row r="289" spans="5:16">
      <c r="E289" s="22"/>
      <c r="N289" s="24"/>
      <c r="P289" s="41"/>
    </row>
    <row r="290" spans="5:16" ht="15" customHeight="1">
      <c r="P290" s="41"/>
    </row>
    <row r="291" spans="5:16" ht="16.5">
      <c r="K291" s="10" t="s">
        <v>84</v>
      </c>
    </row>
    <row r="292" spans="5:16">
      <c r="K292" s="26">
        <v>107901</v>
      </c>
      <c r="L292" s="1" t="s">
        <v>33</v>
      </c>
      <c r="O292" s="11" t="s">
        <v>34</v>
      </c>
      <c r="P292" s="27">
        <f>SUM(P27:P291)</f>
        <v>330456.39999999997</v>
      </c>
    </row>
    <row r="293" spans="5:16">
      <c r="K293" s="26">
        <f>K110+K111+K115</f>
        <v>1400</v>
      </c>
      <c r="L293" s="28" t="s">
        <v>168</v>
      </c>
      <c r="O293" s="11"/>
      <c r="P293" s="27"/>
    </row>
    <row r="294" spans="5:16">
      <c r="K294" s="11" t="s">
        <v>85</v>
      </c>
      <c r="L294" s="1" t="s">
        <v>86</v>
      </c>
      <c r="O294" s="11" t="s">
        <v>87</v>
      </c>
      <c r="P294" s="11" t="s">
        <v>88</v>
      </c>
    </row>
    <row r="295" spans="5:16">
      <c r="E295" s="1" t="s">
        <v>1031</v>
      </c>
    </row>
    <row r="296" spans="5:16">
      <c r="E296" s="1" t="s">
        <v>1032</v>
      </c>
    </row>
    <row r="297" spans="5:16">
      <c r="E297" s="1" t="s">
        <v>1022</v>
      </c>
    </row>
    <row r="299" spans="5:16">
      <c r="E299" s="2" t="s">
        <v>89</v>
      </c>
    </row>
    <row r="300" spans="5:16">
      <c r="E300" s="1" t="s">
        <v>90</v>
      </c>
    </row>
    <row r="301" spans="5:16">
      <c r="E301" s="1" t="s">
        <v>91</v>
      </c>
    </row>
    <row r="302" spans="5:16">
      <c r="E302" s="1" t="s">
        <v>92</v>
      </c>
    </row>
    <row r="303" spans="5:16">
      <c r="E303" s="1" t="s">
        <v>93</v>
      </c>
    </row>
    <row r="304" spans="5:16">
      <c r="E304" s="1" t="s">
        <v>94</v>
      </c>
    </row>
    <row r="305" spans="5:5">
      <c r="E305" s="1" t="s">
        <v>95</v>
      </c>
    </row>
    <row r="306" spans="5:5">
      <c r="E306" s="1" t="s">
        <v>96</v>
      </c>
    </row>
    <row r="307" spans="5:5">
      <c r="E307" s="1" t="s">
        <v>97</v>
      </c>
    </row>
    <row r="308" spans="5:5">
      <c r="E308" s="1" t="s">
        <v>98</v>
      </c>
    </row>
    <row r="309" spans="5:5">
      <c r="E309" s="1" t="s">
        <v>99</v>
      </c>
    </row>
    <row r="310" spans="5:5">
      <c r="E310" s="1" t="s">
        <v>100</v>
      </c>
    </row>
    <row r="311" spans="5:5">
      <c r="E311" s="1" t="s">
        <v>101</v>
      </c>
    </row>
    <row r="313" spans="5:5">
      <c r="E313" s="35"/>
    </row>
    <row r="314" spans="5:5">
      <c r="E314" s="1" t="s">
        <v>90</v>
      </c>
    </row>
    <row r="315" spans="5:5">
      <c r="E315" s="1" t="s">
        <v>1058</v>
      </c>
    </row>
    <row r="316" spans="5:5">
      <c r="E316" s="1" t="s">
        <v>92</v>
      </c>
    </row>
    <row r="317" spans="5:5">
      <c r="E317" s="1" t="s">
        <v>93</v>
      </c>
    </row>
    <row r="318" spans="5:5">
      <c r="E318" s="1" t="s">
        <v>94</v>
      </c>
    </row>
    <row r="319" spans="5:5">
      <c r="E319" s="1" t="s">
        <v>95</v>
      </c>
    </row>
    <row r="320" spans="5:5">
      <c r="E320" s="1" t="s">
        <v>96</v>
      </c>
    </row>
    <row r="321" spans="5:5">
      <c r="E321" s="1" t="s">
        <v>97</v>
      </c>
    </row>
    <row r="322" spans="5:5">
      <c r="E322" s="1" t="s">
        <v>98</v>
      </c>
    </row>
    <row r="323" spans="5:5">
      <c r="E323" s="1" t="s">
        <v>99</v>
      </c>
    </row>
    <row r="324" spans="5:5">
      <c r="E324" s="1" t="s">
        <v>100</v>
      </c>
    </row>
    <row r="325" spans="5:5">
      <c r="E325" s="1" t="s">
        <v>101</v>
      </c>
    </row>
    <row r="327" spans="5:5">
      <c r="E327" s="35" t="s">
        <v>1033</v>
      </c>
    </row>
    <row r="328" spans="5:5">
      <c r="E328" s="35" t="s">
        <v>1034</v>
      </c>
    </row>
    <row r="329" spans="5:5">
      <c r="E329" s="35" t="s">
        <v>1035</v>
      </c>
    </row>
    <row r="330" spans="5:5">
      <c r="E330" s="35" t="s">
        <v>1036</v>
      </c>
    </row>
    <row r="331" spans="5:5">
      <c r="E331" s="35" t="s">
        <v>1037</v>
      </c>
    </row>
    <row r="332" spans="5:5">
      <c r="E332" s="35" t="s">
        <v>1038</v>
      </c>
    </row>
    <row r="333" spans="5:5">
      <c r="E333" s="35" t="s">
        <v>1039</v>
      </c>
    </row>
    <row r="334" spans="5:5">
      <c r="E334" s="35" t="s">
        <v>1040</v>
      </c>
    </row>
    <row r="335" spans="5:5">
      <c r="E335" s="35"/>
    </row>
    <row r="336" spans="5:5">
      <c r="E336" s="35" t="s">
        <v>1033</v>
      </c>
    </row>
    <row r="337" spans="5:5">
      <c r="E337" s="35" t="s">
        <v>1047</v>
      </c>
    </row>
    <row r="338" spans="5:5">
      <c r="E338" s="35" t="s">
        <v>1041</v>
      </c>
    </row>
    <row r="339" spans="5:5">
      <c r="E339" s="35" t="s">
        <v>1042</v>
      </c>
    </row>
    <row r="340" spans="5:5">
      <c r="E340" s="35" t="s">
        <v>1043</v>
      </c>
    </row>
    <row r="341" spans="5:5">
      <c r="E341" s="35" t="s">
        <v>1044</v>
      </c>
    </row>
    <row r="342" spans="5:5">
      <c r="E342" s="35" t="s">
        <v>1039</v>
      </c>
    </row>
    <row r="343" spans="5:5">
      <c r="E343" s="35" t="s">
        <v>1045</v>
      </c>
    </row>
    <row r="344" spans="5:5">
      <c r="E344" s="1" t="s">
        <v>1046</v>
      </c>
    </row>
    <row r="346" spans="5:5">
      <c r="E346" s="35" t="s">
        <v>1033</v>
      </c>
    </row>
    <row r="347" spans="5:5">
      <c r="E347" s="35" t="s">
        <v>1048</v>
      </c>
    </row>
    <row r="348" spans="5:5">
      <c r="E348" s="35" t="s">
        <v>1049</v>
      </c>
    </row>
    <row r="349" spans="5:5">
      <c r="E349" s="35" t="s">
        <v>1050</v>
      </c>
    </row>
    <row r="350" spans="5:5">
      <c r="E350" s="35" t="s">
        <v>1051</v>
      </c>
    </row>
    <row r="351" spans="5:5">
      <c r="E351" s="35" t="s">
        <v>1052</v>
      </c>
    </row>
    <row r="352" spans="5:5">
      <c r="E352" s="35" t="s">
        <v>1053</v>
      </c>
    </row>
    <row r="353" spans="5:5">
      <c r="E353" s="35" t="s">
        <v>1054</v>
      </c>
    </row>
    <row r="354" spans="5:5">
      <c r="E354" s="35" t="s">
        <v>1055</v>
      </c>
    </row>
    <row r="355" spans="5:5">
      <c r="E355" s="1" t="s">
        <v>1056</v>
      </c>
    </row>
    <row r="357" spans="5:5">
      <c r="E357" s="35" t="s">
        <v>184</v>
      </c>
    </row>
    <row r="358" spans="5:5">
      <c r="E358" s="35" t="s">
        <v>186</v>
      </c>
    </row>
    <row r="359" spans="5:5">
      <c r="E359" s="35" t="s">
        <v>188</v>
      </c>
    </row>
    <row r="360" spans="5:5">
      <c r="E360" s="35" t="s">
        <v>190</v>
      </c>
    </row>
    <row r="361" spans="5:5">
      <c r="E361" s="35" t="s">
        <v>192</v>
      </c>
    </row>
    <row r="362" spans="5:5">
      <c r="E362" s="35" t="s">
        <v>194</v>
      </c>
    </row>
    <row r="363" spans="5:5">
      <c r="E363" s="35" t="s">
        <v>196</v>
      </c>
    </row>
    <row r="364" spans="5:5">
      <c r="E364" s="35" t="s">
        <v>198</v>
      </c>
    </row>
    <row r="365" spans="5:5">
      <c r="E365" s="35" t="s">
        <v>200</v>
      </c>
    </row>
    <row r="366" spans="5:5">
      <c r="E366" s="35" t="s">
        <v>202</v>
      </c>
    </row>
    <row r="367" spans="5:5">
      <c r="E367" s="35" t="s">
        <v>205</v>
      </c>
    </row>
    <row r="368" spans="5:5">
      <c r="E368" s="35" t="s">
        <v>207</v>
      </c>
    </row>
    <row r="369" spans="5:5">
      <c r="E369" s="35" t="s">
        <v>93</v>
      </c>
    </row>
  </sheetData>
  <mergeCells count="26">
    <mergeCell ref="E282:F282"/>
    <mergeCell ref="B6:G6"/>
    <mergeCell ref="A3:I3"/>
    <mergeCell ref="J3:P3"/>
    <mergeCell ref="A1:P1"/>
    <mergeCell ref="A2:P2"/>
    <mergeCell ref="A4:P4"/>
    <mergeCell ref="K14:L14"/>
    <mergeCell ref="I12:K12"/>
    <mergeCell ref="M14:N14"/>
    <mergeCell ref="M12:P12"/>
    <mergeCell ref="L6:M6"/>
    <mergeCell ref="N6:P6"/>
    <mergeCell ref="A7:D7"/>
    <mergeCell ref="E14:J14"/>
    <mergeCell ref="A11:C11"/>
    <mergeCell ref="A14:D14"/>
    <mergeCell ref="A9:P9"/>
    <mergeCell ref="A10:P10"/>
    <mergeCell ref="O14:P14"/>
    <mergeCell ref="K11:P11"/>
    <mergeCell ref="A8:N8"/>
    <mergeCell ref="E7:P7"/>
    <mergeCell ref="D11:I11"/>
    <mergeCell ref="A12:D12"/>
    <mergeCell ref="E12:G12"/>
  </mergeCells>
  <phoneticPr fontId="3" type="noConversion"/>
  <printOptions horizontalCentered="1"/>
  <pageMargins left="0.19685039370078741" right="0.19685039370078741" top="0.39370078740157483" bottom="0.39370078740157483" header="0" footer="0"/>
  <pageSetup paperSize="9" orientation="portrait" horizontalDpi="180" verticalDpi="180" r:id="rId1"/>
  <headerFooter alignWithMargins="0">
    <oddFooter>&amp;C&amp;"Times New Roman,標準"PAGE&amp;"新細明體,標準":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216"/>
  <sheetViews>
    <sheetView topLeftCell="A94" zoomScaleNormal="100" workbookViewId="0">
      <selection activeCell="D117" sqref="D117"/>
    </sheetView>
  </sheetViews>
  <sheetFormatPr defaultColWidth="9" defaultRowHeight="14.25"/>
  <cols>
    <col min="1" max="2" width="4.125" style="12" customWidth="1"/>
    <col min="3" max="3" width="10.625" style="12" customWidth="1"/>
    <col min="4" max="4" width="10.125" style="12" customWidth="1"/>
    <col min="5" max="5" width="4.125" style="12" customWidth="1"/>
    <col min="6" max="6" width="6.625" style="12" customWidth="1"/>
    <col min="7" max="7" width="4.125" style="12" customWidth="1"/>
    <col min="8" max="8" width="6.625" style="12" customWidth="1"/>
    <col min="9" max="9" width="1.625" style="12" customWidth="1"/>
    <col min="10" max="10" width="8.125" style="12" customWidth="1"/>
    <col min="11" max="11" width="4.125" style="12" customWidth="1"/>
    <col min="12" max="12" width="1.625" style="12" customWidth="1"/>
    <col min="13" max="13" width="9.75" style="12" customWidth="1"/>
    <col min="14" max="14" width="4.125" style="12" customWidth="1"/>
    <col min="15" max="15" width="1.625" style="12" customWidth="1"/>
    <col min="16" max="16" width="11.125" style="12" customWidth="1"/>
    <col min="17" max="17" width="4.125" style="12" customWidth="1"/>
    <col min="18" max="18" width="1.625" style="12" customWidth="1"/>
    <col min="19" max="19" width="8.125" style="12" customWidth="1"/>
    <col min="20" max="20" width="4.125" style="12" customWidth="1"/>
    <col min="21" max="16384" width="9" style="12"/>
  </cols>
  <sheetData>
    <row r="1" spans="1:20" ht="18.75">
      <c r="A1" s="119" t="s">
        <v>176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20"/>
    </row>
    <row r="2" spans="1:20" ht="15">
      <c r="A2" s="122" t="s">
        <v>177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</row>
    <row r="3" spans="1:20" ht="15">
      <c r="A3" s="126"/>
      <c r="B3" s="126"/>
      <c r="C3" s="126"/>
      <c r="D3" s="126"/>
      <c r="E3" s="126"/>
      <c r="F3" s="126"/>
      <c r="G3" s="126"/>
      <c r="H3" s="126"/>
      <c r="I3" s="126"/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3"/>
    </row>
    <row r="4" spans="1:20" ht="18.75">
      <c r="A4" s="121" t="s">
        <v>111</v>
      </c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</row>
    <row r="5" spans="1:20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</row>
    <row r="6" spans="1:20" ht="16.5">
      <c r="A6" s="15" t="s">
        <v>110</v>
      </c>
      <c r="B6" s="124" t="s">
        <v>14</v>
      </c>
      <c r="C6" s="125"/>
      <c r="D6" s="125"/>
      <c r="E6" s="125"/>
      <c r="F6" s="125"/>
      <c r="N6" s="127" t="s">
        <v>112</v>
      </c>
      <c r="O6" s="118"/>
      <c r="P6" s="91"/>
      <c r="Q6" s="91"/>
      <c r="R6" s="91"/>
      <c r="S6" s="91"/>
      <c r="T6" s="91"/>
    </row>
    <row r="7" spans="1:20" ht="16.5">
      <c r="A7" s="142" t="s">
        <v>109</v>
      </c>
      <c r="B7" s="128"/>
      <c r="C7" s="128"/>
      <c r="D7" s="128"/>
      <c r="E7" s="125" t="s">
        <v>1019</v>
      </c>
      <c r="F7" s="125"/>
      <c r="G7" s="125"/>
      <c r="H7" s="125"/>
      <c r="I7" s="125"/>
      <c r="J7" s="125"/>
      <c r="K7" s="125"/>
      <c r="L7" s="125"/>
      <c r="M7" s="125"/>
      <c r="N7" s="147" t="s">
        <v>108</v>
      </c>
      <c r="O7" s="128"/>
      <c r="P7" s="128"/>
      <c r="Q7" s="128"/>
      <c r="R7" s="128"/>
      <c r="S7" s="128"/>
      <c r="T7" s="128"/>
    </row>
    <row r="8" spans="1:20" ht="16.5">
      <c r="A8" s="146" t="s">
        <v>161</v>
      </c>
      <c r="B8" s="146"/>
      <c r="C8" s="146"/>
      <c r="D8" s="146"/>
      <c r="E8" s="146"/>
      <c r="F8" s="146"/>
      <c r="G8" s="143" t="s">
        <v>16</v>
      </c>
      <c r="H8" s="143"/>
      <c r="I8" s="144"/>
      <c r="J8" s="144"/>
      <c r="K8" s="144"/>
      <c r="L8" s="144"/>
      <c r="M8" s="144"/>
      <c r="N8" s="144"/>
      <c r="O8" s="144"/>
      <c r="P8" s="144"/>
      <c r="Q8" s="16"/>
      <c r="R8" s="16"/>
      <c r="S8" s="16"/>
      <c r="T8" s="16"/>
    </row>
    <row r="9" spans="1:20" ht="16.5">
      <c r="A9" s="145" t="s">
        <v>17</v>
      </c>
      <c r="B9" s="145"/>
      <c r="C9" s="145"/>
      <c r="D9" s="145"/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6"/>
      <c r="R9" s="16"/>
      <c r="S9" s="16"/>
      <c r="T9" s="16"/>
    </row>
    <row r="10" spans="1:20" ht="16.5">
      <c r="A10" s="90" t="s">
        <v>162</v>
      </c>
      <c r="B10" s="91"/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21"/>
      <c r="P10" s="21"/>
      <c r="Q10" s="16"/>
      <c r="R10" s="16"/>
      <c r="S10" s="16"/>
      <c r="T10" s="16"/>
    </row>
    <row r="11" spans="1:20" ht="16.5">
      <c r="A11" s="90" t="s">
        <v>163</v>
      </c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16"/>
      <c r="R11" s="16"/>
      <c r="S11" s="16"/>
      <c r="T11" s="16"/>
    </row>
    <row r="12" spans="1:20" ht="16.5">
      <c r="A12" s="90" t="s">
        <v>164</v>
      </c>
      <c r="B12" s="91"/>
      <c r="C12" s="91"/>
      <c r="D12" s="91"/>
      <c r="E12" s="91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16"/>
      <c r="R12" s="16"/>
      <c r="S12" s="16"/>
      <c r="T12" s="16"/>
    </row>
    <row r="13" spans="1:20" ht="16.5">
      <c r="A13" s="127" t="s">
        <v>107</v>
      </c>
      <c r="B13" s="128"/>
      <c r="C13" s="125" t="s">
        <v>18</v>
      </c>
      <c r="D13" s="125"/>
      <c r="E13" s="125"/>
      <c r="F13" s="125"/>
      <c r="G13" s="125"/>
      <c r="H13" s="129"/>
      <c r="I13" s="129"/>
      <c r="J13" s="129"/>
      <c r="K13" s="129"/>
      <c r="L13" s="129"/>
      <c r="M13" s="129"/>
      <c r="N13" s="133"/>
      <c r="O13" s="133"/>
      <c r="P13" s="133"/>
      <c r="Q13" s="133"/>
      <c r="R13" s="133"/>
      <c r="S13" s="133"/>
      <c r="T13" s="133"/>
    </row>
    <row r="14" spans="1:20" ht="16.5">
      <c r="A14" s="127" t="s">
        <v>7</v>
      </c>
      <c r="B14" s="128"/>
      <c r="C14" s="128"/>
      <c r="D14" s="128"/>
      <c r="E14" s="125" t="s">
        <v>160</v>
      </c>
      <c r="F14" s="129"/>
      <c r="G14" s="129"/>
      <c r="H14" s="129"/>
      <c r="I14" s="129"/>
      <c r="J14" s="129"/>
      <c r="K14" s="129"/>
      <c r="L14" s="129"/>
      <c r="M14" s="129"/>
      <c r="N14" s="133"/>
      <c r="O14" s="133"/>
      <c r="P14" s="133"/>
      <c r="Q14" s="133"/>
      <c r="R14" s="133"/>
      <c r="S14" s="133"/>
      <c r="T14" s="133"/>
    </row>
    <row r="15" spans="1:20" ht="15">
      <c r="A15" s="127" t="s">
        <v>6</v>
      </c>
      <c r="B15" s="141"/>
      <c r="C15" s="124" t="s">
        <v>19</v>
      </c>
      <c r="D15" s="125"/>
      <c r="E15" s="125"/>
      <c r="F15" s="125"/>
      <c r="G15" s="14" t="s">
        <v>5</v>
      </c>
      <c r="H15" s="125" t="s">
        <v>20</v>
      </c>
      <c r="I15" s="125"/>
      <c r="J15" s="125"/>
      <c r="K15" s="125"/>
      <c r="L15" s="125"/>
      <c r="M15" s="125"/>
      <c r="N15" s="133"/>
      <c r="O15" s="133"/>
      <c r="P15" s="133"/>
      <c r="Q15" s="133"/>
      <c r="R15" s="133"/>
      <c r="S15" s="133"/>
      <c r="T15" s="133"/>
    </row>
    <row r="16" spans="1:20" ht="15" thickBot="1">
      <c r="L16" s="13"/>
      <c r="M16" s="13"/>
      <c r="N16" s="134"/>
      <c r="O16" s="134"/>
      <c r="P16" s="134"/>
      <c r="Q16" s="134"/>
      <c r="R16" s="134"/>
      <c r="S16" s="134"/>
      <c r="T16" s="134"/>
    </row>
    <row r="17" spans="1:20" ht="17.25" thickTop="1">
      <c r="A17" s="131" t="s">
        <v>106</v>
      </c>
      <c r="B17" s="136"/>
      <c r="C17" s="137"/>
      <c r="D17" s="130" t="s">
        <v>105</v>
      </c>
      <c r="E17" s="136"/>
      <c r="F17" s="136"/>
      <c r="G17" s="136"/>
      <c r="H17" s="137"/>
      <c r="I17" s="130" t="s">
        <v>104</v>
      </c>
      <c r="J17" s="131"/>
      <c r="K17" s="135"/>
      <c r="L17" s="130" t="s">
        <v>103</v>
      </c>
      <c r="M17" s="139"/>
      <c r="N17" s="140"/>
      <c r="O17" s="138" t="s">
        <v>102</v>
      </c>
      <c r="P17" s="139"/>
      <c r="Q17" s="140"/>
      <c r="R17" s="130" t="s">
        <v>2082</v>
      </c>
      <c r="S17" s="131"/>
      <c r="T17" s="132"/>
    </row>
    <row r="18" spans="1:20" ht="16.5">
      <c r="A18" s="81"/>
      <c r="B18" s="82"/>
      <c r="C18" s="82"/>
      <c r="D18" s="46" t="s">
        <v>2083</v>
      </c>
      <c r="E18" s="46"/>
      <c r="F18" s="46"/>
      <c r="G18" s="46"/>
      <c r="H18" s="47"/>
      <c r="I18" s="87"/>
      <c r="J18" s="87"/>
      <c r="K18" s="87"/>
      <c r="L18" s="87"/>
      <c r="M18" s="154"/>
      <c r="N18" s="83"/>
      <c r="O18" s="84"/>
      <c r="P18" s="83"/>
      <c r="Q18" s="83"/>
      <c r="R18" s="81"/>
      <c r="S18" s="81"/>
      <c r="T18" s="85"/>
    </row>
    <row r="19" spans="1:20">
      <c r="D19" s="12" t="s">
        <v>22</v>
      </c>
    </row>
    <row r="20" spans="1:20">
      <c r="D20" s="12" t="s">
        <v>23</v>
      </c>
    </row>
    <row r="21" spans="1:20">
      <c r="D21" s="12" t="s">
        <v>24</v>
      </c>
    </row>
    <row r="22" spans="1:20">
      <c r="D22" s="12" t="s">
        <v>25</v>
      </c>
    </row>
    <row r="23" spans="1:20">
      <c r="D23" s="12" t="s">
        <v>26</v>
      </c>
    </row>
    <row r="24" spans="1:20">
      <c r="D24" s="12" t="s">
        <v>27</v>
      </c>
    </row>
    <row r="25" spans="1:20" ht="16.5">
      <c r="D25" s="18" t="s">
        <v>28</v>
      </c>
    </row>
    <row r="26" spans="1:20">
      <c r="D26" s="12" t="s">
        <v>29</v>
      </c>
    </row>
    <row r="27" spans="1:20">
      <c r="D27" s="12" t="s">
        <v>30</v>
      </c>
    </row>
    <row r="28" spans="1:20">
      <c r="D28" s="19" t="s">
        <v>31</v>
      </c>
    </row>
    <row r="29" spans="1:20">
      <c r="A29" s="12" t="s">
        <v>113</v>
      </c>
      <c r="D29" s="12" t="s">
        <v>32</v>
      </c>
      <c r="J29" s="33">
        <v>1560</v>
      </c>
      <c r="K29" s="12" t="s">
        <v>33</v>
      </c>
      <c r="M29" s="30">
        <v>405.3</v>
      </c>
      <c r="N29" s="12" t="s">
        <v>114</v>
      </c>
      <c r="P29" s="30">
        <v>409.1</v>
      </c>
      <c r="Q29" s="12" t="s">
        <v>114</v>
      </c>
    </row>
    <row r="30" spans="1:20">
      <c r="A30" s="12" t="s">
        <v>115</v>
      </c>
      <c r="D30" s="12" t="s">
        <v>35</v>
      </c>
      <c r="J30" s="33">
        <v>15378</v>
      </c>
      <c r="K30" s="12" t="s">
        <v>33</v>
      </c>
      <c r="M30" s="34">
        <v>4005.2</v>
      </c>
      <c r="N30" s="12" t="s">
        <v>114</v>
      </c>
      <c r="P30" s="34">
        <v>4042.2</v>
      </c>
      <c r="Q30" s="12" t="s">
        <v>114</v>
      </c>
    </row>
    <row r="31" spans="1:20">
      <c r="A31" s="12" t="s">
        <v>116</v>
      </c>
    </row>
    <row r="32" spans="1:20">
      <c r="A32" s="12" t="s">
        <v>117</v>
      </c>
    </row>
    <row r="33" spans="1:17">
      <c r="A33" s="12" t="s">
        <v>118</v>
      </c>
    </row>
    <row r="34" spans="1:17">
      <c r="A34" s="12" t="s">
        <v>119</v>
      </c>
      <c r="D34" s="12" t="s">
        <v>36</v>
      </c>
      <c r="J34" s="33">
        <v>2861</v>
      </c>
      <c r="K34" s="12" t="s">
        <v>33</v>
      </c>
      <c r="M34" s="30">
        <v>744.5</v>
      </c>
      <c r="N34" s="12" t="s">
        <v>114</v>
      </c>
      <c r="P34" s="30">
        <v>751.5</v>
      </c>
      <c r="Q34" s="12" t="s">
        <v>114</v>
      </c>
    </row>
    <row r="35" spans="1:17">
      <c r="A35" s="12" t="s">
        <v>120</v>
      </c>
    </row>
    <row r="36" spans="1:17">
      <c r="A36" s="12" t="s">
        <v>121</v>
      </c>
      <c r="D36" s="12" t="s">
        <v>37</v>
      </c>
      <c r="J36" s="33">
        <v>6343</v>
      </c>
      <c r="K36" s="12" t="s">
        <v>33</v>
      </c>
      <c r="M36" s="34">
        <v>1650.1</v>
      </c>
      <c r="N36" s="12" t="s">
        <v>114</v>
      </c>
      <c r="P36" s="34">
        <v>1665.5</v>
      </c>
      <c r="Q36" s="12" t="s">
        <v>114</v>
      </c>
    </row>
    <row r="37" spans="1:17">
      <c r="A37" s="12" t="s">
        <v>122</v>
      </c>
    </row>
    <row r="38" spans="1:17">
      <c r="A38" s="12" t="s">
        <v>123</v>
      </c>
    </row>
    <row r="39" spans="1:17">
      <c r="A39" s="12" t="s">
        <v>124</v>
      </c>
      <c r="D39" s="12" t="s">
        <v>38</v>
      </c>
      <c r="J39" s="33">
        <v>2628</v>
      </c>
      <c r="K39" s="12" t="s">
        <v>33</v>
      </c>
      <c r="M39" s="30">
        <v>684.1</v>
      </c>
      <c r="N39" s="12" t="s">
        <v>114</v>
      </c>
      <c r="P39" s="30">
        <v>690.5</v>
      </c>
      <c r="Q39" s="12" t="s">
        <v>114</v>
      </c>
    </row>
    <row r="40" spans="1:17">
      <c r="A40" s="12" t="s">
        <v>125</v>
      </c>
    </row>
    <row r="41" spans="1:17">
      <c r="A41" s="12" t="s">
        <v>126</v>
      </c>
    </row>
    <row r="42" spans="1:17">
      <c r="A42" s="12" t="s">
        <v>127</v>
      </c>
      <c r="D42" s="12" t="s">
        <v>39</v>
      </c>
      <c r="J42" s="30">
        <v>238</v>
      </c>
      <c r="K42" s="12" t="s">
        <v>33</v>
      </c>
      <c r="M42" s="30">
        <v>62.5</v>
      </c>
      <c r="N42" s="12" t="s">
        <v>114</v>
      </c>
      <c r="P42" s="30">
        <v>63.1</v>
      </c>
      <c r="Q42" s="12" t="s">
        <v>114</v>
      </c>
    </row>
    <row r="43" spans="1:17">
      <c r="A43" s="12" t="s">
        <v>128</v>
      </c>
      <c r="D43" s="12" t="s">
        <v>40</v>
      </c>
      <c r="J43" s="30">
        <v>649</v>
      </c>
      <c r="K43" s="12" t="s">
        <v>33</v>
      </c>
      <c r="M43" s="30">
        <v>170.2</v>
      </c>
      <c r="N43" s="12" t="s">
        <v>114</v>
      </c>
      <c r="P43" s="30">
        <v>171.8</v>
      </c>
      <c r="Q43" s="12" t="s">
        <v>114</v>
      </c>
    </row>
    <row r="44" spans="1:17">
      <c r="A44" s="12" t="s">
        <v>129</v>
      </c>
      <c r="D44" s="12" t="s">
        <v>41</v>
      </c>
      <c r="J44" s="33">
        <v>1786</v>
      </c>
      <c r="K44" s="12" t="s">
        <v>33</v>
      </c>
      <c r="M44" s="30">
        <v>464.2</v>
      </c>
      <c r="N44" s="12" t="s">
        <v>114</v>
      </c>
      <c r="P44" s="30">
        <v>468.6</v>
      </c>
      <c r="Q44" s="12" t="s">
        <v>114</v>
      </c>
    </row>
    <row r="45" spans="1:17">
      <c r="A45" s="12" t="s">
        <v>130</v>
      </c>
      <c r="D45" s="12" t="s">
        <v>42</v>
      </c>
      <c r="J45" s="30">
        <v>466</v>
      </c>
      <c r="K45" s="12" t="s">
        <v>33</v>
      </c>
      <c r="M45" s="30">
        <v>120.2</v>
      </c>
      <c r="N45" s="12" t="s">
        <v>114</v>
      </c>
      <c r="P45" s="30">
        <v>121.4</v>
      </c>
      <c r="Q45" s="12" t="s">
        <v>114</v>
      </c>
    </row>
    <row r="46" spans="1:17">
      <c r="D46" s="12" t="s">
        <v>43</v>
      </c>
    </row>
    <row r="47" spans="1:17">
      <c r="D47" s="12" t="s">
        <v>44</v>
      </c>
    </row>
    <row r="48" spans="1:17" ht="16.5">
      <c r="D48" s="18" t="s">
        <v>28</v>
      </c>
    </row>
    <row r="49" spans="1:17">
      <c r="D49" s="12" t="s">
        <v>45</v>
      </c>
    </row>
    <row r="50" spans="1:17">
      <c r="D50" s="12" t="s">
        <v>46</v>
      </c>
    </row>
    <row r="51" spans="1:17">
      <c r="D51" s="19" t="s">
        <v>47</v>
      </c>
    </row>
    <row r="52" spans="1:17">
      <c r="A52" s="12" t="s">
        <v>131</v>
      </c>
      <c r="D52" s="12" t="s">
        <v>48</v>
      </c>
      <c r="J52" s="30">
        <v>562</v>
      </c>
      <c r="K52" s="12" t="s">
        <v>33</v>
      </c>
      <c r="M52" s="30">
        <v>146.4</v>
      </c>
      <c r="N52" s="12" t="s">
        <v>114</v>
      </c>
      <c r="P52" s="30">
        <v>147.80000000000001</v>
      </c>
      <c r="Q52" s="12" t="s">
        <v>114</v>
      </c>
    </row>
    <row r="53" spans="1:17">
      <c r="A53" s="12" t="s">
        <v>132</v>
      </c>
      <c r="D53" s="12" t="s">
        <v>49</v>
      </c>
      <c r="J53" s="33">
        <v>2641</v>
      </c>
      <c r="K53" s="12" t="s">
        <v>33</v>
      </c>
      <c r="M53" s="30">
        <v>680.5</v>
      </c>
      <c r="N53" s="12" t="s">
        <v>114</v>
      </c>
      <c r="P53" s="30">
        <v>686.9</v>
      </c>
      <c r="Q53" s="12" t="s">
        <v>114</v>
      </c>
    </row>
    <row r="54" spans="1:17">
      <c r="A54" s="12" t="s">
        <v>133</v>
      </c>
    </row>
    <row r="55" spans="1:17">
      <c r="A55" s="12" t="s">
        <v>134</v>
      </c>
      <c r="D55" s="12" t="s">
        <v>50</v>
      </c>
      <c r="J55" s="30">
        <v>160</v>
      </c>
      <c r="K55" s="12" t="s">
        <v>33</v>
      </c>
      <c r="M55" s="30">
        <v>41.4</v>
      </c>
      <c r="N55" s="12" t="s">
        <v>114</v>
      </c>
      <c r="P55" s="30">
        <v>41.8</v>
      </c>
      <c r="Q55" s="12" t="s">
        <v>114</v>
      </c>
    </row>
    <row r="56" spans="1:17">
      <c r="A56" s="12" t="s">
        <v>135</v>
      </c>
      <c r="D56" s="12" t="s">
        <v>51</v>
      </c>
      <c r="J56" s="33">
        <v>1063</v>
      </c>
      <c r="K56" s="12" t="s">
        <v>33</v>
      </c>
      <c r="M56" s="30">
        <v>276.3</v>
      </c>
      <c r="N56" s="12" t="s">
        <v>114</v>
      </c>
      <c r="P56" s="30">
        <v>278.89999999999998</v>
      </c>
      <c r="Q56" s="12" t="s">
        <v>114</v>
      </c>
    </row>
    <row r="57" spans="1:17">
      <c r="A57" s="12" t="s">
        <v>136</v>
      </c>
    </row>
    <row r="58" spans="1:17">
      <c r="A58" s="12" t="s">
        <v>137</v>
      </c>
      <c r="D58" s="12" t="s">
        <v>52</v>
      </c>
      <c r="J58" s="33">
        <v>3389</v>
      </c>
      <c r="K58" s="12" t="s">
        <v>33</v>
      </c>
      <c r="M58" s="30">
        <v>873.7</v>
      </c>
      <c r="N58" s="12" t="s">
        <v>114</v>
      </c>
      <c r="P58" s="30">
        <v>881.9</v>
      </c>
      <c r="Q58" s="12" t="s">
        <v>114</v>
      </c>
    </row>
    <row r="59" spans="1:17">
      <c r="A59" s="12" t="s">
        <v>138</v>
      </c>
    </row>
    <row r="60" spans="1:17">
      <c r="D60" s="12" t="s">
        <v>43</v>
      </c>
    </row>
    <row r="61" spans="1:17">
      <c r="D61" s="12" t="s">
        <v>53</v>
      </c>
    </row>
    <row r="62" spans="1:17">
      <c r="D62" s="12" t="s">
        <v>54</v>
      </c>
    </row>
    <row r="63" spans="1:17">
      <c r="D63" s="12" t="s">
        <v>55</v>
      </c>
    </row>
    <row r="64" spans="1:17">
      <c r="D64" s="12" t="s">
        <v>56</v>
      </c>
    </row>
    <row r="65" spans="1:17" ht="16.5">
      <c r="D65" s="18" t="s">
        <v>57</v>
      </c>
    </row>
    <row r="66" spans="1:17">
      <c r="D66" s="12" t="s">
        <v>58</v>
      </c>
    </row>
    <row r="67" spans="1:17">
      <c r="D67" s="12" t="s">
        <v>59</v>
      </c>
    </row>
    <row r="68" spans="1:17">
      <c r="D68" s="19" t="s">
        <v>47</v>
      </c>
    </row>
    <row r="69" spans="1:17">
      <c r="A69" s="12" t="s">
        <v>139</v>
      </c>
      <c r="D69" s="12" t="s">
        <v>60</v>
      </c>
      <c r="J69" s="33">
        <v>1591</v>
      </c>
      <c r="K69" s="12" t="s">
        <v>33</v>
      </c>
      <c r="M69" s="30">
        <v>331.1</v>
      </c>
      <c r="N69" s="12" t="s">
        <v>114</v>
      </c>
      <c r="P69" s="30">
        <v>334.3</v>
      </c>
      <c r="Q69" s="12" t="s">
        <v>114</v>
      </c>
    </row>
    <row r="70" spans="1:17">
      <c r="A70" s="12" t="s">
        <v>140</v>
      </c>
      <c r="D70" s="12" t="s">
        <v>35</v>
      </c>
      <c r="J70" s="33">
        <v>2145</v>
      </c>
      <c r="K70" s="12" t="s">
        <v>33</v>
      </c>
      <c r="M70" s="30">
        <v>448.8</v>
      </c>
      <c r="N70" s="12" t="s">
        <v>114</v>
      </c>
      <c r="P70" s="30">
        <v>453.2</v>
      </c>
      <c r="Q70" s="12" t="s">
        <v>114</v>
      </c>
    </row>
    <row r="71" spans="1:17">
      <c r="A71" s="12" t="s">
        <v>141</v>
      </c>
    </row>
    <row r="72" spans="1:17">
      <c r="A72" s="12" t="s">
        <v>142</v>
      </c>
      <c r="D72" s="12" t="s">
        <v>61</v>
      </c>
      <c r="J72" s="33">
        <v>1796</v>
      </c>
      <c r="K72" s="12" t="s">
        <v>33</v>
      </c>
      <c r="M72" s="30">
        <v>365.1</v>
      </c>
      <c r="N72" s="12" t="s">
        <v>114</v>
      </c>
      <c r="P72" s="30">
        <v>368.5</v>
      </c>
      <c r="Q72" s="12" t="s">
        <v>114</v>
      </c>
    </row>
    <row r="73" spans="1:17">
      <c r="A73" s="12" t="s">
        <v>143</v>
      </c>
      <c r="D73" s="12" t="s">
        <v>37</v>
      </c>
      <c r="J73" s="33">
        <v>1488</v>
      </c>
      <c r="K73" s="12" t="s">
        <v>33</v>
      </c>
      <c r="M73" s="30">
        <v>314.3</v>
      </c>
      <c r="N73" s="12" t="s">
        <v>114</v>
      </c>
      <c r="P73" s="30">
        <v>317.3</v>
      </c>
      <c r="Q73" s="12" t="s">
        <v>114</v>
      </c>
    </row>
    <row r="74" spans="1:17">
      <c r="A74" s="12" t="s">
        <v>144</v>
      </c>
    </row>
    <row r="75" spans="1:17">
      <c r="A75" s="12" t="s">
        <v>145</v>
      </c>
      <c r="D75" s="12" t="s">
        <v>62</v>
      </c>
      <c r="J75" s="33">
        <v>1341</v>
      </c>
      <c r="K75" s="12" t="s">
        <v>33</v>
      </c>
      <c r="M75" s="30">
        <v>272.5</v>
      </c>
      <c r="N75" s="12" t="s">
        <v>114</v>
      </c>
      <c r="P75" s="30">
        <v>275.10000000000002</v>
      </c>
      <c r="Q75" s="12" t="s">
        <v>114</v>
      </c>
    </row>
    <row r="76" spans="1:17">
      <c r="A76" s="12" t="s">
        <v>146</v>
      </c>
    </row>
    <row r="77" spans="1:17">
      <c r="A77" s="12" t="s">
        <v>147</v>
      </c>
      <c r="D77" s="12" t="s">
        <v>63</v>
      </c>
      <c r="J77" s="33">
        <v>1012</v>
      </c>
      <c r="K77" s="12" t="s">
        <v>33</v>
      </c>
      <c r="M77" s="30">
        <v>205.8</v>
      </c>
      <c r="N77" s="12" t="s">
        <v>114</v>
      </c>
      <c r="P77" s="30">
        <v>207.8</v>
      </c>
      <c r="Q77" s="12" t="s">
        <v>114</v>
      </c>
    </row>
    <row r="78" spans="1:17">
      <c r="A78" s="12" t="s">
        <v>148</v>
      </c>
    </row>
    <row r="79" spans="1:17">
      <c r="A79" s="12" t="s">
        <v>149</v>
      </c>
      <c r="D79" s="12" t="s">
        <v>52</v>
      </c>
      <c r="J79" s="33">
        <v>4280</v>
      </c>
      <c r="K79" s="12" t="s">
        <v>33</v>
      </c>
      <c r="M79" s="30">
        <v>886.5</v>
      </c>
      <c r="N79" s="12" t="s">
        <v>114</v>
      </c>
      <c r="P79" s="30">
        <v>895.1</v>
      </c>
      <c r="Q79" s="12" t="s">
        <v>114</v>
      </c>
    </row>
    <row r="80" spans="1:17">
      <c r="A80" s="12" t="s">
        <v>150</v>
      </c>
    </row>
    <row r="81" spans="1:17">
      <c r="A81" s="12" t="s">
        <v>151</v>
      </c>
    </row>
    <row r="82" spans="1:17">
      <c r="D82" s="12" t="s">
        <v>22</v>
      </c>
    </row>
    <row r="83" spans="1:17">
      <c r="D83" s="12" t="s">
        <v>23</v>
      </c>
    </row>
    <row r="84" spans="1:17">
      <c r="D84" s="12" t="s">
        <v>64</v>
      </c>
    </row>
    <row r="85" spans="1:17">
      <c r="D85" s="12" t="s">
        <v>65</v>
      </c>
    </row>
    <row r="86" spans="1:17">
      <c r="D86" s="12" t="s">
        <v>66</v>
      </c>
    </row>
    <row r="87" spans="1:17" ht="16.5">
      <c r="D87" s="18" t="s">
        <v>28</v>
      </c>
    </row>
    <row r="88" spans="1:17">
      <c r="D88" s="12" t="s">
        <v>67</v>
      </c>
    </row>
    <row r="89" spans="1:17">
      <c r="D89" s="19" t="s">
        <v>68</v>
      </c>
    </row>
    <row r="90" spans="1:17">
      <c r="A90" s="12" t="s">
        <v>152</v>
      </c>
      <c r="D90" s="12" t="s">
        <v>69</v>
      </c>
      <c r="J90" s="30">
        <v>116</v>
      </c>
      <c r="K90" s="12" t="s">
        <v>33</v>
      </c>
      <c r="M90" s="30">
        <v>21</v>
      </c>
      <c r="N90" s="12" t="s">
        <v>114</v>
      </c>
      <c r="P90" s="30">
        <v>22</v>
      </c>
      <c r="Q90" s="12" t="s">
        <v>114</v>
      </c>
    </row>
    <row r="91" spans="1:17">
      <c r="A91" s="12" t="s">
        <v>153</v>
      </c>
      <c r="D91" s="12" t="s">
        <v>70</v>
      </c>
      <c r="J91" s="30">
        <v>370</v>
      </c>
      <c r="K91" s="12" t="s">
        <v>33</v>
      </c>
      <c r="M91" s="30">
        <v>69.900000000000006</v>
      </c>
      <c r="N91" s="12" t="s">
        <v>114</v>
      </c>
      <c r="P91" s="30">
        <v>72.900000000000006</v>
      </c>
      <c r="Q91" s="12" t="s">
        <v>114</v>
      </c>
    </row>
    <row r="92" spans="1:17">
      <c r="D92" s="12" t="s">
        <v>71</v>
      </c>
    </row>
    <row r="93" spans="1:17">
      <c r="A93" s="12" t="s">
        <v>154</v>
      </c>
      <c r="D93" s="12" t="s">
        <v>72</v>
      </c>
      <c r="J93" s="30">
        <v>363</v>
      </c>
      <c r="K93" s="12" t="s">
        <v>33</v>
      </c>
      <c r="M93" s="30">
        <v>68.099999999999994</v>
      </c>
      <c r="N93" s="12" t="s">
        <v>114</v>
      </c>
      <c r="P93" s="30">
        <v>70.599999999999994</v>
      </c>
      <c r="Q93" s="12" t="s">
        <v>114</v>
      </c>
    </row>
    <row r="94" spans="1:17">
      <c r="D94" s="12" t="s">
        <v>73</v>
      </c>
    </row>
    <row r="95" spans="1:17">
      <c r="D95" s="12" t="s">
        <v>43</v>
      </c>
    </row>
    <row r="96" spans="1:17">
      <c r="D96" s="12" t="s">
        <v>74</v>
      </c>
    </row>
    <row r="97" spans="1:17">
      <c r="D97" s="19" t="s">
        <v>75</v>
      </c>
    </row>
    <row r="98" spans="1:17">
      <c r="A98" s="12" t="s">
        <v>155</v>
      </c>
      <c r="D98" s="12" t="s">
        <v>76</v>
      </c>
      <c r="J98" s="30">
        <v>358</v>
      </c>
      <c r="K98" s="12" t="s">
        <v>33</v>
      </c>
      <c r="M98" s="30">
        <v>65.5</v>
      </c>
      <c r="N98" s="12" t="s">
        <v>114</v>
      </c>
      <c r="P98" s="30">
        <v>68</v>
      </c>
      <c r="Q98" s="12" t="s">
        <v>114</v>
      </c>
    </row>
    <row r="99" spans="1:17">
      <c r="D99" s="12" t="s">
        <v>77</v>
      </c>
    </row>
    <row r="100" spans="1:17">
      <c r="A100" s="12" t="s">
        <v>156</v>
      </c>
      <c r="D100" s="12" t="s">
        <v>78</v>
      </c>
      <c r="J100" s="30">
        <v>347</v>
      </c>
      <c r="K100" s="12" t="s">
        <v>33</v>
      </c>
      <c r="M100" s="30">
        <v>65.3</v>
      </c>
      <c r="N100" s="12" t="s">
        <v>114</v>
      </c>
      <c r="P100" s="30">
        <v>68.3</v>
      </c>
      <c r="Q100" s="12" t="s">
        <v>114</v>
      </c>
    </row>
    <row r="101" spans="1:17">
      <c r="D101" s="12" t="s">
        <v>79</v>
      </c>
    </row>
    <row r="102" spans="1:17">
      <c r="D102" s="12" t="s">
        <v>43</v>
      </c>
    </row>
    <row r="103" spans="1:17">
      <c r="D103" s="12" t="s">
        <v>80</v>
      </c>
    </row>
    <row r="104" spans="1:17">
      <c r="D104" s="19" t="s">
        <v>81</v>
      </c>
    </row>
    <row r="105" spans="1:17">
      <c r="A105" s="12" t="s">
        <v>157</v>
      </c>
      <c r="D105" s="12" t="s">
        <v>82</v>
      </c>
      <c r="J105" s="30">
        <v>300</v>
      </c>
      <c r="K105" s="12" t="s">
        <v>33</v>
      </c>
      <c r="M105" s="30">
        <v>57.1</v>
      </c>
      <c r="N105" s="12" t="s">
        <v>114</v>
      </c>
      <c r="P105" s="30">
        <v>59.1</v>
      </c>
      <c r="Q105" s="12" t="s">
        <v>114</v>
      </c>
    </row>
    <row r="106" spans="1:17">
      <c r="D106" s="12" t="s">
        <v>83</v>
      </c>
    </row>
    <row r="109" spans="1:17">
      <c r="A109" s="29">
        <v>1</v>
      </c>
      <c r="D109" s="12" t="s">
        <v>179</v>
      </c>
      <c r="J109" s="30">
        <v>200</v>
      </c>
      <c r="K109" s="12" t="s">
        <v>168</v>
      </c>
      <c r="M109" s="31">
        <v>17.100000000000001</v>
      </c>
      <c r="N109" s="12" t="s">
        <v>114</v>
      </c>
      <c r="P109" s="31">
        <v>22.22</v>
      </c>
      <c r="Q109" s="12" t="s">
        <v>114</v>
      </c>
    </row>
    <row r="110" spans="1:17">
      <c r="D110" s="12" t="s">
        <v>180</v>
      </c>
      <c r="J110" s="30">
        <v>100</v>
      </c>
      <c r="K110" s="12" t="s">
        <v>168</v>
      </c>
      <c r="M110" s="31">
        <v>8.5500000000000007</v>
      </c>
      <c r="N110" s="12" t="s">
        <v>114</v>
      </c>
      <c r="P110" s="31">
        <v>9.1</v>
      </c>
      <c r="Q110" s="12" t="s">
        <v>114</v>
      </c>
    </row>
    <row r="111" spans="1:17">
      <c r="A111" s="32" t="s">
        <v>182</v>
      </c>
      <c r="D111" s="12" t="s">
        <v>181</v>
      </c>
      <c r="J111" s="30">
        <v>800</v>
      </c>
      <c r="K111" s="12" t="s">
        <v>168</v>
      </c>
      <c r="M111" s="31">
        <v>37.200000000000003</v>
      </c>
      <c r="N111" s="12" t="s">
        <v>114</v>
      </c>
      <c r="P111" s="31">
        <v>41.52</v>
      </c>
      <c r="Q111" s="12" t="s">
        <v>114</v>
      </c>
    </row>
    <row r="112" spans="1:17">
      <c r="A112" s="29">
        <v>6</v>
      </c>
      <c r="D112" s="12" t="s">
        <v>181</v>
      </c>
      <c r="J112" s="30">
        <v>100</v>
      </c>
      <c r="K112" s="12" t="s">
        <v>168</v>
      </c>
      <c r="M112" s="31">
        <v>4.6500000000000004</v>
      </c>
      <c r="N112" s="12" t="s">
        <v>114</v>
      </c>
      <c r="P112" s="31">
        <v>5.19</v>
      </c>
      <c r="Q112" s="12" t="s">
        <v>114</v>
      </c>
    </row>
    <row r="113" spans="1:17">
      <c r="A113" s="29">
        <v>7</v>
      </c>
      <c r="D113" s="12" t="s">
        <v>180</v>
      </c>
      <c r="J113" s="30">
        <v>100</v>
      </c>
      <c r="K113" s="12" t="s">
        <v>168</v>
      </c>
      <c r="M113" s="31">
        <v>8.5500000000000007</v>
      </c>
      <c r="N113" s="12" t="s">
        <v>114</v>
      </c>
      <c r="P113" s="31">
        <v>9.1</v>
      </c>
      <c r="Q113" s="12" t="s">
        <v>114</v>
      </c>
    </row>
    <row r="114" spans="1:17">
      <c r="A114" s="29">
        <v>8</v>
      </c>
      <c r="D114" s="12" t="s">
        <v>181</v>
      </c>
      <c r="J114" s="30">
        <v>100</v>
      </c>
      <c r="K114" s="12" t="s">
        <v>168</v>
      </c>
      <c r="M114" s="31">
        <v>4.6500000000000004</v>
      </c>
      <c r="N114" s="12" t="s">
        <v>114</v>
      </c>
      <c r="P114" s="31">
        <v>5.19</v>
      </c>
      <c r="Q114" s="12" t="s">
        <v>114</v>
      </c>
    </row>
    <row r="115" spans="1:17">
      <c r="A115" s="12" t="s">
        <v>1015</v>
      </c>
    </row>
    <row r="116" spans="1:17" s="40" customFormat="1" ht="12.75" customHeight="1">
      <c r="A116" s="148"/>
      <c r="B116" s="148"/>
      <c r="C116" s="43"/>
      <c r="D116" s="46" t="s">
        <v>2084</v>
      </c>
      <c r="E116" s="46"/>
      <c r="F116" s="46"/>
      <c r="G116" s="46"/>
      <c r="H116" s="47"/>
      <c r="I116" s="88"/>
      <c r="J116" s="89"/>
      <c r="K116" s="44"/>
      <c r="L116" s="41"/>
      <c r="M116" s="44"/>
      <c r="N116" s="35"/>
      <c r="O116" s="35"/>
      <c r="P116" s="45"/>
    </row>
    <row r="117" spans="1:17" s="40" customFormat="1" ht="12.75" customHeight="1">
      <c r="A117" s="148"/>
      <c r="B117" s="148"/>
      <c r="C117" s="43"/>
      <c r="D117" s="35" t="s">
        <v>187</v>
      </c>
      <c r="E117" s="35"/>
      <c r="F117" s="35"/>
      <c r="G117" s="35"/>
      <c r="H117" s="38"/>
      <c r="I117" s="44"/>
      <c r="J117" s="41"/>
      <c r="K117" s="44"/>
      <c r="L117" s="41"/>
      <c r="M117" s="44"/>
      <c r="N117" s="35"/>
      <c r="O117" s="35"/>
      <c r="P117" s="45"/>
    </row>
    <row r="118" spans="1:17" s="40" customFormat="1" ht="12.75" customHeight="1">
      <c r="A118" s="148"/>
      <c r="B118" s="148"/>
      <c r="C118" s="43"/>
      <c r="D118" s="35" t="s">
        <v>189</v>
      </c>
      <c r="E118" s="35"/>
      <c r="F118" s="35"/>
      <c r="G118" s="35"/>
      <c r="H118" s="38"/>
      <c r="I118" s="44"/>
      <c r="J118" s="41"/>
      <c r="K118" s="44"/>
      <c r="L118" s="41"/>
      <c r="M118" s="44"/>
      <c r="N118" s="35"/>
      <c r="O118" s="35"/>
      <c r="P118" s="45"/>
    </row>
    <row r="119" spans="1:17" s="40" customFormat="1" ht="12.75" customHeight="1">
      <c r="A119" s="148"/>
      <c r="B119" s="148"/>
      <c r="C119" s="43"/>
      <c r="D119" s="35" t="s">
        <v>191</v>
      </c>
      <c r="E119" s="35"/>
      <c r="F119" s="35"/>
      <c r="G119" s="35"/>
      <c r="H119" s="38"/>
      <c r="I119" s="44"/>
      <c r="J119" s="41"/>
      <c r="K119" s="44"/>
      <c r="L119" s="41"/>
      <c r="M119" s="44"/>
      <c r="N119" s="35"/>
      <c r="O119" s="35"/>
    </row>
    <row r="120" spans="1:17" s="40" customFormat="1" ht="12.75" customHeight="1">
      <c r="A120" s="148"/>
      <c r="B120" s="148"/>
      <c r="C120" s="43"/>
      <c r="D120" s="35" t="s">
        <v>193</v>
      </c>
      <c r="E120" s="35"/>
      <c r="F120" s="35"/>
      <c r="G120" s="35"/>
      <c r="H120" s="38"/>
      <c r="I120" s="44"/>
      <c r="J120" s="41"/>
      <c r="K120" s="44"/>
      <c r="L120" s="41"/>
      <c r="M120" s="44"/>
      <c r="N120" s="35"/>
      <c r="O120" s="35"/>
    </row>
    <row r="121" spans="1:17" s="40" customFormat="1" ht="12.75" customHeight="1">
      <c r="A121" s="148"/>
      <c r="B121" s="148"/>
      <c r="C121" s="43"/>
      <c r="D121" s="42" t="s">
        <v>195</v>
      </c>
      <c r="E121" s="35"/>
      <c r="F121" s="35"/>
      <c r="G121" s="35"/>
      <c r="H121" s="38"/>
      <c r="I121" s="44"/>
      <c r="J121" s="41"/>
      <c r="K121" s="44"/>
      <c r="L121" s="41"/>
      <c r="M121" s="44"/>
      <c r="N121" s="35"/>
      <c r="O121" s="35"/>
    </row>
    <row r="122" spans="1:17" s="40" customFormat="1" ht="12.75" customHeight="1">
      <c r="A122" s="148"/>
      <c r="B122" s="148"/>
      <c r="C122" s="43"/>
      <c r="D122" s="35" t="s">
        <v>197</v>
      </c>
      <c r="E122" s="35"/>
      <c r="F122" s="35"/>
      <c r="G122" s="35"/>
      <c r="H122" s="38"/>
      <c r="I122" s="44"/>
      <c r="J122" s="41"/>
      <c r="K122" s="44"/>
      <c r="L122" s="41"/>
      <c r="M122" s="44"/>
      <c r="N122" s="35"/>
      <c r="O122" s="35"/>
    </row>
    <row r="123" spans="1:17" s="40" customFormat="1" ht="12.75" customHeight="1">
      <c r="A123" s="148"/>
      <c r="B123" s="148"/>
      <c r="C123" s="43"/>
      <c r="D123" s="35" t="s">
        <v>199</v>
      </c>
      <c r="E123" s="35"/>
      <c r="F123" s="35"/>
      <c r="G123" s="35"/>
      <c r="H123" s="38"/>
      <c r="I123" s="44"/>
      <c r="J123" s="41"/>
      <c r="K123" s="44"/>
      <c r="L123" s="41"/>
      <c r="M123" s="44"/>
      <c r="N123" s="35"/>
      <c r="O123" s="35"/>
    </row>
    <row r="124" spans="1:17" s="40" customFormat="1" ht="12.75" customHeight="1">
      <c r="A124" s="148"/>
      <c r="B124" s="148"/>
      <c r="C124" s="43"/>
      <c r="D124" s="35" t="s">
        <v>201</v>
      </c>
      <c r="E124" s="35"/>
      <c r="F124" s="35"/>
      <c r="G124" s="35"/>
      <c r="H124" s="38"/>
      <c r="I124" s="44"/>
      <c r="J124" s="41"/>
      <c r="K124" s="44"/>
      <c r="L124" s="41"/>
      <c r="M124" s="44"/>
      <c r="N124" s="35"/>
      <c r="O124" s="35"/>
    </row>
    <row r="125" spans="1:17" s="40" customFormat="1" ht="12.75" customHeight="1">
      <c r="A125" s="148"/>
      <c r="B125" s="148"/>
      <c r="C125" s="43"/>
      <c r="D125" s="35" t="s">
        <v>203</v>
      </c>
      <c r="E125" s="35"/>
      <c r="F125" s="35"/>
      <c r="G125" s="35"/>
      <c r="H125" s="38"/>
      <c r="I125" s="44"/>
      <c r="J125" s="41"/>
      <c r="K125" s="44"/>
      <c r="L125" s="41"/>
      <c r="M125" s="44"/>
      <c r="N125" s="35"/>
      <c r="O125" s="35"/>
    </row>
    <row r="126" spans="1:17" s="40" customFormat="1" ht="12.75" customHeight="1">
      <c r="A126" s="148"/>
      <c r="B126" s="148"/>
      <c r="C126" s="43"/>
      <c r="D126" s="35" t="s">
        <v>272</v>
      </c>
      <c r="E126" s="35"/>
      <c r="F126" s="35"/>
      <c r="G126" s="35"/>
      <c r="H126" s="38"/>
      <c r="I126" s="44"/>
      <c r="J126" s="41"/>
      <c r="K126" s="44"/>
      <c r="L126" s="41"/>
      <c r="M126" s="44"/>
      <c r="N126" s="35"/>
      <c r="O126" s="35"/>
    </row>
    <row r="127" spans="1:17" s="40" customFormat="1" ht="12.75" customHeight="1">
      <c r="A127" s="148" t="s">
        <v>273</v>
      </c>
      <c r="B127" s="148"/>
      <c r="C127" s="43"/>
      <c r="D127" s="35"/>
      <c r="E127" s="35"/>
      <c r="F127" s="35"/>
      <c r="G127" s="35"/>
      <c r="J127" s="38">
        <v>59</v>
      </c>
      <c r="K127" s="44" t="s">
        <v>204</v>
      </c>
      <c r="M127" s="41">
        <v>17</v>
      </c>
      <c r="N127" s="44" t="s">
        <v>274</v>
      </c>
      <c r="O127" s="35"/>
      <c r="P127" s="41">
        <v>17.3</v>
      </c>
      <c r="Q127" s="44" t="s">
        <v>274</v>
      </c>
    </row>
    <row r="128" spans="1:17" s="40" customFormat="1">
      <c r="A128" s="148" t="s">
        <v>275</v>
      </c>
      <c r="B128" s="148"/>
      <c r="C128" s="43"/>
      <c r="D128" s="35"/>
      <c r="E128" s="35"/>
      <c r="F128" s="35"/>
      <c r="G128" s="35"/>
      <c r="J128" s="38">
        <v>64</v>
      </c>
      <c r="K128" s="44" t="s">
        <v>204</v>
      </c>
      <c r="M128" s="41">
        <v>18.5</v>
      </c>
      <c r="N128" s="44" t="s">
        <v>274</v>
      </c>
      <c r="O128" s="35"/>
      <c r="P128" s="41">
        <v>18.8</v>
      </c>
      <c r="Q128" s="44" t="s">
        <v>274</v>
      </c>
    </row>
    <row r="129" spans="1:17" s="40" customFormat="1">
      <c r="A129" s="148" t="s">
        <v>276</v>
      </c>
      <c r="B129" s="148"/>
      <c r="C129" s="43"/>
      <c r="D129" s="35"/>
      <c r="E129" s="35"/>
      <c r="F129" s="35"/>
      <c r="G129" s="35"/>
      <c r="J129" s="38">
        <v>64</v>
      </c>
      <c r="K129" s="44" t="s">
        <v>204</v>
      </c>
      <c r="M129" s="41">
        <v>18.7</v>
      </c>
      <c r="N129" s="44" t="s">
        <v>274</v>
      </c>
      <c r="O129" s="35"/>
      <c r="P129" s="41">
        <v>19</v>
      </c>
      <c r="Q129" s="44" t="s">
        <v>274</v>
      </c>
    </row>
    <row r="130" spans="1:17" s="40" customFormat="1">
      <c r="A130" s="148"/>
      <c r="B130" s="148"/>
      <c r="C130" s="43"/>
      <c r="D130" s="35" t="s">
        <v>277</v>
      </c>
      <c r="E130" s="35"/>
      <c r="F130" s="35"/>
      <c r="G130" s="35"/>
      <c r="J130" s="38"/>
      <c r="K130" s="44"/>
      <c r="M130" s="41"/>
      <c r="N130" s="44"/>
      <c r="O130" s="35"/>
      <c r="P130" s="41"/>
      <c r="Q130" s="44"/>
    </row>
    <row r="131" spans="1:17" s="40" customFormat="1">
      <c r="A131" s="148" t="s">
        <v>278</v>
      </c>
      <c r="B131" s="148"/>
      <c r="C131" s="43"/>
      <c r="D131" s="35"/>
      <c r="E131" s="35"/>
      <c r="F131" s="35"/>
      <c r="G131" s="35"/>
      <c r="J131" s="38">
        <v>55</v>
      </c>
      <c r="K131" s="44" t="s">
        <v>204</v>
      </c>
      <c r="M131" s="41">
        <v>15.9</v>
      </c>
      <c r="N131" s="44" t="s">
        <v>274</v>
      </c>
      <c r="O131" s="35"/>
      <c r="P131" s="41">
        <v>16.2</v>
      </c>
      <c r="Q131" s="44" t="s">
        <v>274</v>
      </c>
    </row>
    <row r="132" spans="1:17" s="40" customFormat="1">
      <c r="A132" s="148" t="s">
        <v>279</v>
      </c>
      <c r="B132" s="148"/>
      <c r="C132" s="43"/>
      <c r="D132" s="35"/>
      <c r="E132" s="35"/>
      <c r="F132" s="35"/>
      <c r="G132" s="35"/>
      <c r="J132" s="38">
        <v>66</v>
      </c>
      <c r="K132" s="44" t="s">
        <v>204</v>
      </c>
      <c r="M132" s="41">
        <v>19.2</v>
      </c>
      <c r="N132" s="44" t="s">
        <v>274</v>
      </c>
      <c r="O132" s="35"/>
      <c r="P132" s="41">
        <v>19.5</v>
      </c>
      <c r="Q132" s="44" t="s">
        <v>274</v>
      </c>
    </row>
    <row r="133" spans="1:17" s="40" customFormat="1">
      <c r="A133" s="148" t="s">
        <v>280</v>
      </c>
      <c r="B133" s="148"/>
      <c r="C133" s="43"/>
      <c r="D133" s="35"/>
      <c r="E133" s="35"/>
      <c r="F133" s="35"/>
      <c r="G133" s="35"/>
      <c r="J133" s="38">
        <v>64</v>
      </c>
      <c r="K133" s="44" t="s">
        <v>204</v>
      </c>
      <c r="M133" s="41">
        <v>18.899999999999999</v>
      </c>
      <c r="N133" s="44" t="s">
        <v>274</v>
      </c>
      <c r="O133" s="35"/>
      <c r="P133" s="41">
        <v>19.2</v>
      </c>
      <c r="Q133" s="44" t="s">
        <v>274</v>
      </c>
    </row>
    <row r="134" spans="1:17" s="40" customFormat="1">
      <c r="A134" s="148" t="s">
        <v>281</v>
      </c>
      <c r="B134" s="148"/>
      <c r="C134" s="43"/>
      <c r="D134" s="35"/>
      <c r="E134" s="35"/>
      <c r="F134" s="35"/>
      <c r="G134" s="35"/>
      <c r="J134" s="38">
        <v>67</v>
      </c>
      <c r="K134" s="44" t="s">
        <v>204</v>
      </c>
      <c r="M134" s="41">
        <v>19.5</v>
      </c>
      <c r="N134" s="44" t="s">
        <v>274</v>
      </c>
      <c r="O134" s="35"/>
      <c r="P134" s="41">
        <v>19.8</v>
      </c>
      <c r="Q134" s="44" t="s">
        <v>274</v>
      </c>
    </row>
    <row r="135" spans="1:17" s="40" customFormat="1">
      <c r="A135" s="148" t="s">
        <v>282</v>
      </c>
      <c r="B135" s="148"/>
      <c r="C135" s="43"/>
      <c r="D135" s="35"/>
      <c r="E135" s="35"/>
      <c r="F135" s="35"/>
      <c r="G135" s="35"/>
      <c r="J135" s="38">
        <v>66</v>
      </c>
      <c r="K135" s="44" t="s">
        <v>204</v>
      </c>
      <c r="M135" s="41">
        <v>19.3</v>
      </c>
      <c r="N135" s="44" t="s">
        <v>274</v>
      </c>
      <c r="O135" s="35"/>
      <c r="P135" s="41">
        <v>19.600000000000001</v>
      </c>
      <c r="Q135" s="44" t="s">
        <v>274</v>
      </c>
    </row>
    <row r="136" spans="1:17" s="40" customFormat="1">
      <c r="A136" s="148" t="s">
        <v>283</v>
      </c>
      <c r="B136" s="148"/>
      <c r="C136" s="43"/>
      <c r="D136" s="35"/>
      <c r="E136" s="35"/>
      <c r="F136" s="35"/>
      <c r="G136" s="35"/>
      <c r="J136" s="38">
        <v>67</v>
      </c>
      <c r="K136" s="44" t="s">
        <v>204</v>
      </c>
      <c r="M136" s="41">
        <v>19.399999999999999</v>
      </c>
      <c r="N136" s="44" t="s">
        <v>274</v>
      </c>
      <c r="O136" s="35"/>
      <c r="P136" s="41">
        <v>19.7</v>
      </c>
      <c r="Q136" s="44" t="s">
        <v>274</v>
      </c>
    </row>
    <row r="137" spans="1:17" s="40" customFormat="1">
      <c r="A137" s="148" t="s">
        <v>284</v>
      </c>
      <c r="B137" s="148"/>
      <c r="C137" s="43"/>
      <c r="D137" s="35"/>
      <c r="E137" s="35"/>
      <c r="F137" s="35"/>
      <c r="G137" s="35"/>
      <c r="J137" s="38">
        <v>67</v>
      </c>
      <c r="K137" s="44" t="s">
        <v>204</v>
      </c>
      <c r="M137" s="41">
        <v>19.399999999999999</v>
      </c>
      <c r="N137" s="44" t="s">
        <v>274</v>
      </c>
      <c r="O137" s="35"/>
      <c r="P137" s="41">
        <v>19.7</v>
      </c>
      <c r="Q137" s="44" t="s">
        <v>274</v>
      </c>
    </row>
    <row r="138" spans="1:17" s="40" customFormat="1">
      <c r="A138" s="148" t="s">
        <v>285</v>
      </c>
      <c r="B138" s="148"/>
      <c r="C138" s="43"/>
      <c r="D138" s="35"/>
      <c r="E138" s="35"/>
      <c r="F138" s="35"/>
      <c r="G138" s="35"/>
      <c r="J138" s="38">
        <v>67</v>
      </c>
      <c r="K138" s="44" t="s">
        <v>204</v>
      </c>
      <c r="M138" s="41">
        <v>19.399999999999999</v>
      </c>
      <c r="N138" s="44" t="s">
        <v>274</v>
      </c>
      <c r="O138" s="35"/>
      <c r="P138" s="41">
        <v>19.7</v>
      </c>
      <c r="Q138" s="44" t="s">
        <v>274</v>
      </c>
    </row>
    <row r="139" spans="1:17" s="40" customFormat="1">
      <c r="A139" s="148" t="s">
        <v>286</v>
      </c>
      <c r="B139" s="148"/>
      <c r="C139" s="43"/>
      <c r="D139" s="35"/>
      <c r="E139" s="35"/>
      <c r="F139" s="35"/>
      <c r="G139" s="35"/>
      <c r="J139" s="38">
        <v>66</v>
      </c>
      <c r="K139" s="44" t="s">
        <v>204</v>
      </c>
      <c r="M139" s="41">
        <v>19.3</v>
      </c>
      <c r="N139" s="44" t="s">
        <v>274</v>
      </c>
      <c r="O139" s="35"/>
      <c r="P139" s="41">
        <v>19.600000000000001</v>
      </c>
      <c r="Q139" s="44" t="s">
        <v>274</v>
      </c>
    </row>
    <row r="140" spans="1:17" s="40" customFormat="1">
      <c r="A140" s="148" t="s">
        <v>287</v>
      </c>
      <c r="B140" s="148"/>
      <c r="C140" s="43"/>
      <c r="D140" s="35"/>
      <c r="E140" s="35"/>
      <c r="F140" s="35"/>
      <c r="G140" s="35"/>
      <c r="J140" s="38">
        <v>67</v>
      </c>
      <c r="K140" s="44" t="s">
        <v>204</v>
      </c>
      <c r="M140" s="41">
        <v>19.2</v>
      </c>
      <c r="N140" s="44" t="s">
        <v>274</v>
      </c>
      <c r="O140" s="35"/>
      <c r="P140" s="41">
        <v>19.5</v>
      </c>
      <c r="Q140" s="44" t="s">
        <v>274</v>
      </c>
    </row>
    <row r="141" spans="1:17" s="40" customFormat="1">
      <c r="A141" s="148" t="s">
        <v>288</v>
      </c>
      <c r="B141" s="148"/>
      <c r="C141" s="43"/>
      <c r="D141" s="35"/>
      <c r="E141" s="35"/>
      <c r="F141" s="35"/>
      <c r="G141" s="35"/>
      <c r="J141" s="38">
        <v>66</v>
      </c>
      <c r="K141" s="44" t="s">
        <v>204</v>
      </c>
      <c r="M141" s="41">
        <v>19.399999999999999</v>
      </c>
      <c r="N141" s="44" t="s">
        <v>274</v>
      </c>
      <c r="O141" s="35"/>
      <c r="P141" s="41">
        <v>19.7</v>
      </c>
      <c r="Q141" s="44" t="s">
        <v>274</v>
      </c>
    </row>
    <row r="142" spans="1:17" s="40" customFormat="1">
      <c r="A142" s="148" t="s">
        <v>289</v>
      </c>
      <c r="B142" s="148"/>
      <c r="C142" s="43"/>
      <c r="D142" s="35"/>
      <c r="E142" s="35"/>
      <c r="F142" s="35"/>
      <c r="G142" s="35"/>
      <c r="J142" s="38">
        <v>67</v>
      </c>
      <c r="K142" s="44" t="s">
        <v>204</v>
      </c>
      <c r="M142" s="41">
        <v>19.5</v>
      </c>
      <c r="N142" s="44" t="s">
        <v>274</v>
      </c>
      <c r="O142" s="35"/>
      <c r="P142" s="41">
        <v>19.8</v>
      </c>
      <c r="Q142" s="44" t="s">
        <v>274</v>
      </c>
    </row>
    <row r="143" spans="1:17" s="40" customFormat="1">
      <c r="A143" s="148" t="s">
        <v>290</v>
      </c>
      <c r="B143" s="148"/>
      <c r="C143" s="43"/>
      <c r="D143" s="35"/>
      <c r="E143" s="35"/>
      <c r="F143" s="35"/>
      <c r="G143" s="35"/>
      <c r="J143" s="38">
        <v>67</v>
      </c>
      <c r="K143" s="44" t="s">
        <v>204</v>
      </c>
      <c r="M143" s="41">
        <v>19.600000000000001</v>
      </c>
      <c r="N143" s="44" t="s">
        <v>274</v>
      </c>
      <c r="O143" s="35"/>
      <c r="P143" s="41">
        <v>19.899999999999999</v>
      </c>
      <c r="Q143" s="44" t="s">
        <v>274</v>
      </c>
    </row>
    <row r="144" spans="1:17" s="40" customFormat="1">
      <c r="A144" s="148" t="s">
        <v>291</v>
      </c>
      <c r="B144" s="148"/>
      <c r="C144" s="43"/>
      <c r="D144" s="35"/>
      <c r="E144" s="35"/>
      <c r="F144" s="35"/>
      <c r="G144" s="35"/>
      <c r="J144" s="38">
        <v>67</v>
      </c>
      <c r="K144" s="44" t="s">
        <v>204</v>
      </c>
      <c r="M144" s="41">
        <v>19.399999999999999</v>
      </c>
      <c r="N144" s="44" t="s">
        <v>274</v>
      </c>
      <c r="O144" s="35"/>
      <c r="P144" s="41">
        <v>19.7</v>
      </c>
      <c r="Q144" s="44" t="s">
        <v>274</v>
      </c>
    </row>
    <row r="145" spans="1:17" s="40" customFormat="1">
      <c r="A145" s="148" t="s">
        <v>292</v>
      </c>
      <c r="B145" s="148"/>
      <c r="C145" s="43"/>
      <c r="D145" s="35"/>
      <c r="E145" s="35"/>
      <c r="F145" s="35"/>
      <c r="G145" s="35"/>
      <c r="J145" s="38">
        <v>66</v>
      </c>
      <c r="K145" s="44" t="s">
        <v>204</v>
      </c>
      <c r="M145" s="41">
        <v>19.399999999999999</v>
      </c>
      <c r="N145" s="44" t="s">
        <v>274</v>
      </c>
      <c r="O145" s="35"/>
      <c r="P145" s="41">
        <v>19.7</v>
      </c>
      <c r="Q145" s="44" t="s">
        <v>274</v>
      </c>
    </row>
    <row r="146" spans="1:17" s="40" customFormat="1">
      <c r="A146" s="148" t="s">
        <v>293</v>
      </c>
      <c r="B146" s="148"/>
      <c r="C146" s="43"/>
      <c r="D146" s="35"/>
      <c r="E146" s="35"/>
      <c r="F146" s="35"/>
      <c r="G146" s="35"/>
      <c r="J146" s="38">
        <v>66</v>
      </c>
      <c r="K146" s="44" t="s">
        <v>204</v>
      </c>
      <c r="M146" s="41">
        <v>18.899999999999999</v>
      </c>
      <c r="N146" s="44" t="s">
        <v>274</v>
      </c>
      <c r="O146" s="35"/>
      <c r="P146" s="41">
        <v>19.2</v>
      </c>
      <c r="Q146" s="44" t="s">
        <v>274</v>
      </c>
    </row>
    <row r="147" spans="1:17" s="40" customFormat="1">
      <c r="A147" s="148"/>
      <c r="B147" s="148"/>
      <c r="C147" s="43"/>
      <c r="D147" s="35" t="s">
        <v>294</v>
      </c>
      <c r="E147" s="35"/>
      <c r="F147" s="35"/>
      <c r="G147" s="35"/>
      <c r="J147" s="38"/>
      <c r="K147" s="44"/>
      <c r="M147" s="41"/>
      <c r="N147" s="44"/>
      <c r="O147" s="35"/>
      <c r="P147" s="41"/>
      <c r="Q147" s="44"/>
    </row>
    <row r="148" spans="1:17" s="40" customFormat="1">
      <c r="A148" s="148" t="s">
        <v>295</v>
      </c>
      <c r="B148" s="148"/>
      <c r="C148" s="43"/>
      <c r="D148" s="35"/>
      <c r="E148" s="35"/>
      <c r="F148" s="35"/>
      <c r="G148" s="35"/>
      <c r="J148" s="38">
        <v>66</v>
      </c>
      <c r="K148" s="44" t="s">
        <v>204</v>
      </c>
      <c r="M148" s="41">
        <v>19.2</v>
      </c>
      <c r="N148" s="44" t="s">
        <v>274</v>
      </c>
      <c r="O148" s="35"/>
      <c r="P148" s="41">
        <v>19.5</v>
      </c>
      <c r="Q148" s="44" t="s">
        <v>274</v>
      </c>
    </row>
    <row r="149" spans="1:17" s="40" customFormat="1">
      <c r="A149" s="148" t="s">
        <v>296</v>
      </c>
      <c r="B149" s="148"/>
      <c r="C149" s="43"/>
      <c r="D149" s="35"/>
      <c r="E149" s="35"/>
      <c r="F149" s="35"/>
      <c r="G149" s="35"/>
      <c r="J149" s="38">
        <v>66</v>
      </c>
      <c r="K149" s="44" t="s">
        <v>204</v>
      </c>
      <c r="M149" s="41">
        <v>19.100000000000001</v>
      </c>
      <c r="N149" s="44" t="s">
        <v>274</v>
      </c>
      <c r="O149" s="35"/>
      <c r="P149" s="41">
        <v>19.399999999999999</v>
      </c>
      <c r="Q149" s="44" t="s">
        <v>274</v>
      </c>
    </row>
    <row r="150" spans="1:17" s="40" customFormat="1">
      <c r="A150" s="148" t="s">
        <v>297</v>
      </c>
      <c r="B150" s="148"/>
      <c r="C150" s="43"/>
      <c r="D150" s="35"/>
      <c r="E150" s="35"/>
      <c r="F150" s="35"/>
      <c r="G150" s="35"/>
      <c r="J150" s="38">
        <v>66</v>
      </c>
      <c r="K150" s="44" t="s">
        <v>204</v>
      </c>
      <c r="M150" s="41">
        <v>19.100000000000001</v>
      </c>
      <c r="N150" s="44" t="s">
        <v>274</v>
      </c>
      <c r="O150" s="35"/>
      <c r="P150" s="41">
        <v>19.399999999999999</v>
      </c>
      <c r="Q150" s="44" t="s">
        <v>274</v>
      </c>
    </row>
    <row r="151" spans="1:17" s="40" customFormat="1">
      <c r="A151" s="148" t="s">
        <v>298</v>
      </c>
      <c r="B151" s="148"/>
      <c r="C151" s="43"/>
      <c r="D151" s="35"/>
      <c r="E151" s="35"/>
      <c r="F151" s="35"/>
      <c r="G151" s="35"/>
      <c r="J151" s="38">
        <v>66</v>
      </c>
      <c r="K151" s="44" t="s">
        <v>204</v>
      </c>
      <c r="M151" s="41">
        <v>19.3</v>
      </c>
      <c r="N151" s="44" t="s">
        <v>274</v>
      </c>
      <c r="O151" s="35"/>
      <c r="P151" s="41">
        <v>19.600000000000001</v>
      </c>
      <c r="Q151" s="44" t="s">
        <v>274</v>
      </c>
    </row>
    <row r="152" spans="1:17" s="40" customFormat="1">
      <c r="A152" s="148" t="s">
        <v>299</v>
      </c>
      <c r="B152" s="148"/>
      <c r="C152" s="43"/>
      <c r="D152" s="35"/>
      <c r="E152" s="35"/>
      <c r="F152" s="35"/>
      <c r="G152" s="35"/>
      <c r="J152" s="38">
        <v>61</v>
      </c>
      <c r="K152" s="44" t="s">
        <v>204</v>
      </c>
      <c r="M152" s="41">
        <v>17.7</v>
      </c>
      <c r="N152" s="44" t="s">
        <v>274</v>
      </c>
      <c r="O152" s="35"/>
      <c r="P152" s="41">
        <v>18</v>
      </c>
      <c r="Q152" s="44" t="s">
        <v>274</v>
      </c>
    </row>
    <row r="153" spans="1:17" s="40" customFormat="1">
      <c r="A153" s="148" t="s">
        <v>300</v>
      </c>
      <c r="B153" s="148"/>
      <c r="C153" s="43"/>
      <c r="D153" s="35"/>
      <c r="E153" s="35"/>
      <c r="F153" s="35"/>
      <c r="G153" s="35"/>
      <c r="J153" s="38">
        <v>66</v>
      </c>
      <c r="K153" s="44" t="s">
        <v>204</v>
      </c>
      <c r="M153" s="41">
        <v>19.2</v>
      </c>
      <c r="N153" s="44" t="s">
        <v>274</v>
      </c>
      <c r="O153" s="35"/>
      <c r="P153" s="41">
        <v>19.5</v>
      </c>
      <c r="Q153" s="44" t="s">
        <v>274</v>
      </c>
    </row>
    <row r="154" spans="1:17" s="40" customFormat="1">
      <c r="A154" s="148" t="s">
        <v>301</v>
      </c>
      <c r="B154" s="148"/>
      <c r="C154" s="43"/>
      <c r="D154" s="35"/>
      <c r="E154" s="35"/>
      <c r="F154" s="35"/>
      <c r="G154" s="35"/>
      <c r="J154" s="38">
        <v>67</v>
      </c>
      <c r="K154" s="44" t="s">
        <v>204</v>
      </c>
      <c r="M154" s="41">
        <v>19.5</v>
      </c>
      <c r="N154" s="44" t="s">
        <v>274</v>
      </c>
      <c r="O154" s="35"/>
      <c r="P154" s="41">
        <v>19.8</v>
      </c>
      <c r="Q154" s="44" t="s">
        <v>274</v>
      </c>
    </row>
    <row r="155" spans="1:17" s="40" customFormat="1">
      <c r="A155" s="148" t="s">
        <v>302</v>
      </c>
      <c r="B155" s="148"/>
      <c r="C155" s="43"/>
      <c r="D155" s="35"/>
      <c r="E155" s="35"/>
      <c r="F155" s="35"/>
      <c r="G155" s="35"/>
      <c r="J155" s="38">
        <v>65</v>
      </c>
      <c r="K155" s="44" t="s">
        <v>204</v>
      </c>
      <c r="M155" s="41">
        <v>19.2</v>
      </c>
      <c r="N155" s="44" t="s">
        <v>274</v>
      </c>
      <c r="O155" s="35"/>
      <c r="P155" s="41">
        <v>19.5</v>
      </c>
      <c r="Q155" s="44" t="s">
        <v>274</v>
      </c>
    </row>
    <row r="156" spans="1:17" s="40" customFormat="1">
      <c r="A156" s="148" t="s">
        <v>303</v>
      </c>
      <c r="B156" s="148"/>
      <c r="C156" s="43"/>
      <c r="D156" s="35"/>
      <c r="E156" s="35"/>
      <c r="F156" s="35"/>
      <c r="G156" s="35"/>
      <c r="J156" s="38">
        <v>66</v>
      </c>
      <c r="K156" s="44" t="s">
        <v>204</v>
      </c>
      <c r="M156" s="41">
        <v>19.3</v>
      </c>
      <c r="N156" s="44" t="s">
        <v>274</v>
      </c>
      <c r="O156" s="35"/>
      <c r="P156" s="41">
        <v>19.600000000000001</v>
      </c>
      <c r="Q156" s="44" t="s">
        <v>274</v>
      </c>
    </row>
    <row r="157" spans="1:17" s="40" customFormat="1">
      <c r="A157" s="148" t="s">
        <v>304</v>
      </c>
      <c r="B157" s="148"/>
      <c r="C157" s="43"/>
      <c r="D157" s="35"/>
      <c r="E157" s="35"/>
      <c r="F157" s="35"/>
      <c r="G157" s="35"/>
      <c r="J157" s="38">
        <v>65</v>
      </c>
      <c r="K157" s="44" t="s">
        <v>204</v>
      </c>
      <c r="M157" s="41">
        <v>19</v>
      </c>
      <c r="N157" s="44" t="s">
        <v>274</v>
      </c>
      <c r="O157" s="35"/>
      <c r="P157" s="41">
        <v>19.3</v>
      </c>
      <c r="Q157" s="44" t="s">
        <v>274</v>
      </c>
    </row>
    <row r="158" spans="1:17" s="40" customFormat="1">
      <c r="A158" s="148" t="s">
        <v>305</v>
      </c>
      <c r="B158" s="148"/>
      <c r="C158" s="43"/>
      <c r="D158" s="35"/>
      <c r="E158" s="35"/>
      <c r="F158" s="35"/>
      <c r="G158" s="35"/>
      <c r="J158" s="38">
        <v>63</v>
      </c>
      <c r="K158" s="44" t="s">
        <v>204</v>
      </c>
      <c r="M158" s="41">
        <v>18.5</v>
      </c>
      <c r="N158" s="44" t="s">
        <v>274</v>
      </c>
      <c r="O158" s="35"/>
      <c r="P158" s="41">
        <v>18.8</v>
      </c>
      <c r="Q158" s="44" t="s">
        <v>274</v>
      </c>
    </row>
    <row r="159" spans="1:17" s="40" customFormat="1">
      <c r="A159" s="148"/>
      <c r="B159" s="148"/>
      <c r="C159" s="43"/>
      <c r="D159" s="35" t="s">
        <v>306</v>
      </c>
      <c r="E159" s="35"/>
      <c r="F159" s="35"/>
      <c r="G159" s="35"/>
      <c r="J159" s="38"/>
      <c r="K159" s="44"/>
      <c r="M159" s="41"/>
      <c r="N159" s="44"/>
      <c r="O159" s="35"/>
      <c r="P159" s="41"/>
      <c r="Q159" s="44"/>
    </row>
    <row r="160" spans="1:17" s="40" customFormat="1">
      <c r="A160" s="148" t="s">
        <v>307</v>
      </c>
      <c r="B160" s="148"/>
      <c r="C160" s="43"/>
      <c r="D160" s="35"/>
      <c r="E160" s="35"/>
      <c r="F160" s="35"/>
      <c r="G160" s="35"/>
      <c r="J160" s="38">
        <v>64</v>
      </c>
      <c r="K160" s="44" t="s">
        <v>204</v>
      </c>
      <c r="M160" s="41">
        <v>18.5</v>
      </c>
      <c r="N160" s="44" t="s">
        <v>274</v>
      </c>
      <c r="O160" s="35"/>
      <c r="P160" s="41">
        <v>18.8</v>
      </c>
      <c r="Q160" s="44" t="s">
        <v>274</v>
      </c>
    </row>
    <row r="161" spans="1:17" s="40" customFormat="1">
      <c r="A161" s="148" t="s">
        <v>308</v>
      </c>
      <c r="B161" s="148"/>
      <c r="C161" s="43"/>
      <c r="D161" s="35"/>
      <c r="E161" s="35"/>
      <c r="F161" s="35"/>
      <c r="G161" s="35"/>
      <c r="J161" s="38">
        <v>67</v>
      </c>
      <c r="K161" s="44" t="s">
        <v>204</v>
      </c>
      <c r="M161" s="41">
        <v>19.3</v>
      </c>
      <c r="N161" s="44" t="s">
        <v>274</v>
      </c>
      <c r="O161" s="35"/>
      <c r="P161" s="41">
        <v>19.600000000000001</v>
      </c>
      <c r="Q161" s="44" t="s">
        <v>274</v>
      </c>
    </row>
    <row r="162" spans="1:17" s="40" customFormat="1">
      <c r="A162" s="148" t="s">
        <v>309</v>
      </c>
      <c r="B162" s="148"/>
      <c r="C162" s="43"/>
      <c r="D162" s="35"/>
      <c r="E162" s="35"/>
      <c r="F162" s="35"/>
      <c r="G162" s="35"/>
      <c r="J162" s="38">
        <v>66</v>
      </c>
      <c r="K162" s="44" t="s">
        <v>204</v>
      </c>
      <c r="M162" s="41">
        <v>19.600000000000001</v>
      </c>
      <c r="N162" s="44" t="s">
        <v>274</v>
      </c>
      <c r="O162" s="35"/>
      <c r="P162" s="41">
        <v>19.899999999999999</v>
      </c>
      <c r="Q162" s="44" t="s">
        <v>274</v>
      </c>
    </row>
    <row r="163" spans="1:17" s="40" customFormat="1">
      <c r="A163" s="148" t="s">
        <v>310</v>
      </c>
      <c r="B163" s="148"/>
      <c r="C163" s="43"/>
      <c r="D163" s="35"/>
      <c r="E163" s="35"/>
      <c r="F163" s="35"/>
      <c r="G163" s="35"/>
      <c r="J163" s="38">
        <v>65</v>
      </c>
      <c r="K163" s="44" t="s">
        <v>204</v>
      </c>
      <c r="M163" s="41">
        <v>19.2</v>
      </c>
      <c r="N163" s="44" t="s">
        <v>274</v>
      </c>
      <c r="O163" s="35"/>
      <c r="P163" s="41">
        <v>19.5</v>
      </c>
      <c r="Q163" s="44" t="s">
        <v>274</v>
      </c>
    </row>
    <row r="164" spans="1:17" s="40" customFormat="1">
      <c r="A164" s="148" t="s">
        <v>311</v>
      </c>
      <c r="B164" s="148"/>
      <c r="C164" s="43"/>
      <c r="D164" s="35"/>
      <c r="E164" s="35"/>
      <c r="F164" s="35"/>
      <c r="G164" s="35"/>
      <c r="J164" s="38">
        <v>66</v>
      </c>
      <c r="K164" s="44" t="s">
        <v>204</v>
      </c>
      <c r="M164" s="41">
        <v>19.399999999999999</v>
      </c>
      <c r="N164" s="44" t="s">
        <v>274</v>
      </c>
      <c r="O164" s="35"/>
      <c r="P164" s="41">
        <v>19.7</v>
      </c>
      <c r="Q164" s="44" t="s">
        <v>274</v>
      </c>
    </row>
    <row r="165" spans="1:17" s="40" customFormat="1">
      <c r="A165" s="148" t="s">
        <v>312</v>
      </c>
      <c r="B165" s="148"/>
      <c r="C165" s="43"/>
      <c r="D165" s="35"/>
      <c r="E165" s="35"/>
      <c r="F165" s="35"/>
      <c r="G165" s="35"/>
      <c r="J165" s="38">
        <v>34</v>
      </c>
      <c r="K165" s="44" t="s">
        <v>204</v>
      </c>
      <c r="M165" s="41">
        <v>9.9</v>
      </c>
      <c r="N165" s="44" t="s">
        <v>274</v>
      </c>
      <c r="O165" s="35"/>
      <c r="P165" s="41">
        <v>10.199999999999999</v>
      </c>
      <c r="Q165" s="44" t="s">
        <v>274</v>
      </c>
    </row>
    <row r="166" spans="1:17" s="40" customFormat="1">
      <c r="A166" s="148" t="s">
        <v>313</v>
      </c>
      <c r="B166" s="148"/>
      <c r="C166" s="43"/>
      <c r="D166" s="35"/>
      <c r="E166" s="35"/>
      <c r="F166" s="35"/>
      <c r="G166" s="35"/>
      <c r="J166" s="38">
        <v>66</v>
      </c>
      <c r="K166" s="44" t="s">
        <v>204</v>
      </c>
      <c r="M166" s="41">
        <v>19.3</v>
      </c>
      <c r="N166" s="44" t="s">
        <v>274</v>
      </c>
      <c r="O166" s="35"/>
      <c r="P166" s="41">
        <v>19.600000000000001</v>
      </c>
      <c r="Q166" s="44" t="s">
        <v>274</v>
      </c>
    </row>
    <row r="167" spans="1:17" s="40" customFormat="1">
      <c r="A167" s="148" t="s">
        <v>314</v>
      </c>
      <c r="B167" s="148"/>
      <c r="C167" s="43"/>
      <c r="D167" s="35"/>
      <c r="E167" s="35"/>
      <c r="F167" s="35"/>
      <c r="G167" s="35"/>
      <c r="J167" s="38">
        <v>32</v>
      </c>
      <c r="K167" s="44" t="s">
        <v>204</v>
      </c>
      <c r="M167" s="41">
        <v>9.5</v>
      </c>
      <c r="N167" s="44" t="s">
        <v>274</v>
      </c>
      <c r="O167" s="35"/>
      <c r="P167" s="41">
        <v>9.8000000000000007</v>
      </c>
      <c r="Q167" s="44" t="s">
        <v>274</v>
      </c>
    </row>
    <row r="168" spans="1:17" s="40" customFormat="1">
      <c r="A168" s="148" t="s">
        <v>315</v>
      </c>
      <c r="B168" s="148"/>
      <c r="C168" s="43"/>
      <c r="D168" s="35"/>
      <c r="E168" s="35"/>
      <c r="F168" s="35"/>
      <c r="G168" s="35"/>
      <c r="J168" s="38">
        <v>60</v>
      </c>
      <c r="K168" s="44" t="s">
        <v>204</v>
      </c>
      <c r="M168" s="41">
        <v>17.8</v>
      </c>
      <c r="N168" s="44" t="s">
        <v>274</v>
      </c>
      <c r="O168" s="35"/>
      <c r="P168" s="41">
        <v>18.100000000000001</v>
      </c>
      <c r="Q168" s="44" t="s">
        <v>274</v>
      </c>
    </row>
    <row r="169" spans="1:17" s="40" customFormat="1">
      <c r="A169" s="148" t="s">
        <v>316</v>
      </c>
      <c r="B169" s="148"/>
      <c r="C169" s="43"/>
      <c r="D169" s="35"/>
      <c r="E169" s="35"/>
      <c r="F169" s="35"/>
      <c r="G169" s="35"/>
      <c r="J169" s="38">
        <v>33</v>
      </c>
      <c r="K169" s="44" t="s">
        <v>204</v>
      </c>
      <c r="M169" s="41">
        <v>9.6999999999999993</v>
      </c>
      <c r="N169" s="44" t="s">
        <v>274</v>
      </c>
      <c r="O169" s="35"/>
      <c r="P169" s="41">
        <v>10</v>
      </c>
      <c r="Q169" s="44" t="s">
        <v>274</v>
      </c>
    </row>
    <row r="170" spans="1:17" s="40" customFormat="1">
      <c r="A170" s="148" t="s">
        <v>317</v>
      </c>
      <c r="B170" s="148"/>
      <c r="C170" s="43"/>
      <c r="D170" s="35"/>
      <c r="E170" s="35"/>
      <c r="F170" s="35"/>
      <c r="G170" s="35"/>
      <c r="J170" s="38">
        <v>66</v>
      </c>
      <c r="K170" s="44" t="s">
        <v>204</v>
      </c>
      <c r="M170" s="41">
        <v>19.5</v>
      </c>
      <c r="N170" s="44" t="s">
        <v>274</v>
      </c>
      <c r="O170" s="35"/>
      <c r="P170" s="41">
        <v>19.8</v>
      </c>
      <c r="Q170" s="44" t="s">
        <v>274</v>
      </c>
    </row>
    <row r="171" spans="1:17" s="40" customFormat="1">
      <c r="A171" s="148" t="s">
        <v>318</v>
      </c>
      <c r="B171" s="148"/>
      <c r="C171" s="43"/>
      <c r="D171" s="35"/>
      <c r="E171" s="35"/>
      <c r="F171" s="35"/>
      <c r="G171" s="35"/>
      <c r="J171" s="38">
        <v>66</v>
      </c>
      <c r="K171" s="44" t="s">
        <v>204</v>
      </c>
      <c r="M171" s="41">
        <v>19.3</v>
      </c>
      <c r="N171" s="44" t="s">
        <v>274</v>
      </c>
      <c r="O171" s="35"/>
      <c r="P171" s="41">
        <v>19.600000000000001</v>
      </c>
      <c r="Q171" s="44" t="s">
        <v>274</v>
      </c>
    </row>
    <row r="172" spans="1:17" s="40" customFormat="1">
      <c r="A172" s="148" t="s">
        <v>319</v>
      </c>
      <c r="B172" s="148"/>
      <c r="C172" s="43"/>
      <c r="D172" s="35"/>
      <c r="E172" s="35"/>
      <c r="F172" s="35"/>
      <c r="G172" s="35"/>
      <c r="J172" s="38">
        <v>78</v>
      </c>
      <c r="K172" s="44" t="s">
        <v>204</v>
      </c>
      <c r="M172" s="41">
        <v>22.9</v>
      </c>
      <c r="N172" s="44" t="s">
        <v>274</v>
      </c>
      <c r="O172" s="35"/>
      <c r="P172" s="41">
        <v>23.2</v>
      </c>
      <c r="Q172" s="44" t="s">
        <v>274</v>
      </c>
    </row>
    <row r="173" spans="1:17" s="40" customFormat="1">
      <c r="A173" s="148" t="s">
        <v>320</v>
      </c>
      <c r="B173" s="148"/>
      <c r="C173" s="43"/>
      <c r="D173" s="35"/>
      <c r="E173" s="35"/>
      <c r="F173" s="35"/>
      <c r="G173" s="35"/>
      <c r="J173" s="38">
        <v>66</v>
      </c>
      <c r="K173" s="44" t="s">
        <v>204</v>
      </c>
      <c r="M173" s="41">
        <v>19.2</v>
      </c>
      <c r="N173" s="44" t="s">
        <v>274</v>
      </c>
      <c r="O173" s="35"/>
      <c r="P173" s="41">
        <v>19.5</v>
      </c>
      <c r="Q173" s="44" t="s">
        <v>274</v>
      </c>
    </row>
    <row r="174" spans="1:17" s="40" customFormat="1">
      <c r="A174" s="148" t="s">
        <v>321</v>
      </c>
      <c r="B174" s="148"/>
      <c r="C174" s="43"/>
      <c r="D174" s="35"/>
      <c r="E174" s="35"/>
      <c r="F174" s="35"/>
      <c r="G174" s="35"/>
      <c r="J174" s="38">
        <v>31</v>
      </c>
      <c r="K174" s="44" t="s">
        <v>204</v>
      </c>
      <c r="M174" s="41">
        <v>8.9</v>
      </c>
      <c r="N174" s="44" t="s">
        <v>274</v>
      </c>
      <c r="O174" s="35"/>
      <c r="P174" s="41">
        <v>9.1999999999999993</v>
      </c>
      <c r="Q174" s="44" t="s">
        <v>274</v>
      </c>
    </row>
    <row r="175" spans="1:17" s="40" customFormat="1">
      <c r="A175" s="148" t="s">
        <v>322</v>
      </c>
      <c r="B175" s="148"/>
      <c r="C175" s="43"/>
      <c r="D175" s="35"/>
      <c r="E175" s="35"/>
      <c r="F175" s="35"/>
      <c r="G175" s="35"/>
      <c r="J175" s="38">
        <v>65</v>
      </c>
      <c r="K175" s="44" t="s">
        <v>204</v>
      </c>
      <c r="M175" s="41">
        <v>19</v>
      </c>
      <c r="N175" s="44" t="s">
        <v>274</v>
      </c>
      <c r="O175" s="35"/>
      <c r="P175" s="41">
        <v>19.3</v>
      </c>
      <c r="Q175" s="44" t="s">
        <v>274</v>
      </c>
    </row>
    <row r="176" spans="1:17" s="40" customFormat="1">
      <c r="A176" s="148"/>
      <c r="B176" s="148"/>
      <c r="C176" s="43"/>
      <c r="D176" s="35"/>
      <c r="E176" s="35"/>
      <c r="F176" s="35"/>
      <c r="G176" s="35"/>
      <c r="J176" s="38"/>
      <c r="K176" s="44"/>
      <c r="M176" s="41"/>
      <c r="N176" s="44"/>
      <c r="O176" s="35"/>
      <c r="P176" s="41"/>
      <c r="Q176" s="44"/>
    </row>
    <row r="177" spans="1:17" s="40" customFormat="1">
      <c r="A177" s="148"/>
      <c r="B177" s="148"/>
      <c r="C177" s="43"/>
      <c r="D177" s="35" t="s">
        <v>206</v>
      </c>
      <c r="E177" s="35"/>
      <c r="F177" s="35"/>
      <c r="G177" s="35"/>
      <c r="J177" s="38"/>
      <c r="K177" s="44"/>
      <c r="M177" s="41"/>
      <c r="N177" s="44"/>
      <c r="O177" s="35"/>
      <c r="P177" s="41"/>
      <c r="Q177" s="44"/>
    </row>
    <row r="178" spans="1:17" s="40" customFormat="1">
      <c r="A178" s="148"/>
      <c r="B178" s="148"/>
      <c r="C178" s="43"/>
      <c r="D178" s="35" t="s">
        <v>323</v>
      </c>
      <c r="E178" s="35"/>
      <c r="F178" s="35"/>
      <c r="G178" s="35"/>
      <c r="J178" s="38"/>
      <c r="K178" s="44"/>
      <c r="M178" s="41"/>
      <c r="N178" s="44"/>
      <c r="O178" s="35"/>
      <c r="P178" s="41"/>
      <c r="Q178" s="44"/>
    </row>
    <row r="179" spans="1:17" s="40" customFormat="1">
      <c r="A179" s="148" t="s">
        <v>324</v>
      </c>
      <c r="B179" s="148"/>
      <c r="C179" s="43"/>
      <c r="D179" s="35"/>
      <c r="E179" s="35"/>
      <c r="F179" s="35"/>
      <c r="G179" s="35"/>
      <c r="J179" s="38">
        <v>62</v>
      </c>
      <c r="K179" s="44" t="s">
        <v>204</v>
      </c>
      <c r="M179" s="41">
        <v>18.399999999999999</v>
      </c>
      <c r="N179" s="44" t="s">
        <v>274</v>
      </c>
      <c r="O179" s="35"/>
      <c r="P179" s="41">
        <v>18.7</v>
      </c>
      <c r="Q179" s="44" t="s">
        <v>274</v>
      </c>
    </row>
    <row r="180" spans="1:17" s="40" customFormat="1">
      <c r="A180" s="148" t="s">
        <v>325</v>
      </c>
      <c r="B180" s="148"/>
      <c r="C180" s="43"/>
      <c r="D180" s="35"/>
      <c r="E180" s="35"/>
      <c r="F180" s="35"/>
      <c r="G180" s="35"/>
      <c r="J180" s="38">
        <v>65</v>
      </c>
      <c r="K180" s="44" t="s">
        <v>204</v>
      </c>
      <c r="M180" s="41">
        <v>18.899999999999999</v>
      </c>
      <c r="N180" s="44" t="s">
        <v>274</v>
      </c>
      <c r="O180" s="35"/>
      <c r="P180" s="41">
        <v>19.2</v>
      </c>
      <c r="Q180" s="44" t="s">
        <v>274</v>
      </c>
    </row>
    <row r="181" spans="1:17" s="40" customFormat="1">
      <c r="A181" s="148" t="s">
        <v>326</v>
      </c>
      <c r="B181" s="148"/>
      <c r="C181" s="43"/>
      <c r="D181" s="35"/>
      <c r="E181" s="35"/>
      <c r="F181" s="35"/>
      <c r="G181" s="35"/>
      <c r="J181" s="38">
        <v>69</v>
      </c>
      <c r="K181" s="44" t="s">
        <v>204</v>
      </c>
      <c r="M181" s="41">
        <v>20.100000000000001</v>
      </c>
      <c r="N181" s="44" t="s">
        <v>274</v>
      </c>
      <c r="O181" s="35"/>
      <c r="P181" s="41">
        <v>20.399999999999999</v>
      </c>
      <c r="Q181" s="44" t="s">
        <v>274</v>
      </c>
    </row>
    <row r="182" spans="1:17" s="40" customFormat="1">
      <c r="A182" s="148" t="s">
        <v>327</v>
      </c>
      <c r="B182" s="148"/>
      <c r="C182" s="43"/>
      <c r="D182" s="35"/>
      <c r="E182" s="35"/>
      <c r="F182" s="35"/>
      <c r="G182" s="35"/>
      <c r="J182" s="38">
        <v>66</v>
      </c>
      <c r="K182" s="44" t="s">
        <v>204</v>
      </c>
      <c r="M182" s="41">
        <v>19</v>
      </c>
      <c r="N182" s="44" t="s">
        <v>274</v>
      </c>
      <c r="O182" s="35"/>
      <c r="P182" s="41">
        <v>19.3</v>
      </c>
      <c r="Q182" s="44" t="s">
        <v>274</v>
      </c>
    </row>
    <row r="183" spans="1:17" s="40" customFormat="1">
      <c r="A183" s="148" t="s">
        <v>328</v>
      </c>
      <c r="B183" s="148"/>
      <c r="C183" s="43"/>
      <c r="D183" s="35"/>
      <c r="E183" s="35"/>
      <c r="F183" s="35"/>
      <c r="G183" s="35"/>
      <c r="J183" s="38">
        <v>33</v>
      </c>
      <c r="K183" s="44" t="s">
        <v>204</v>
      </c>
      <c r="M183" s="41">
        <v>9.6999999999999993</v>
      </c>
      <c r="N183" s="44" t="s">
        <v>274</v>
      </c>
      <c r="O183" s="35"/>
      <c r="P183" s="41">
        <v>10</v>
      </c>
      <c r="Q183" s="44" t="s">
        <v>274</v>
      </c>
    </row>
    <row r="184" spans="1:17" s="40" customFormat="1">
      <c r="A184" s="148" t="s">
        <v>329</v>
      </c>
      <c r="B184" s="148"/>
      <c r="C184" s="43"/>
      <c r="D184" s="35"/>
      <c r="E184" s="35"/>
      <c r="F184" s="35"/>
      <c r="G184" s="35"/>
      <c r="J184" s="38">
        <v>62</v>
      </c>
      <c r="K184" s="44" t="s">
        <v>204</v>
      </c>
      <c r="M184" s="41">
        <v>18.2</v>
      </c>
      <c r="N184" s="44" t="s">
        <v>274</v>
      </c>
      <c r="O184" s="35"/>
      <c r="P184" s="41">
        <v>18.5</v>
      </c>
      <c r="Q184" s="44" t="s">
        <v>274</v>
      </c>
    </row>
    <row r="185" spans="1:17" s="40" customFormat="1">
      <c r="A185" s="148" t="s">
        <v>330</v>
      </c>
      <c r="B185" s="148"/>
      <c r="C185" s="43"/>
      <c r="D185" s="35"/>
      <c r="E185" s="35"/>
      <c r="F185" s="35"/>
      <c r="G185" s="35"/>
      <c r="J185" s="38">
        <v>65</v>
      </c>
      <c r="K185" s="44" t="s">
        <v>204</v>
      </c>
      <c r="M185" s="41">
        <v>19.100000000000001</v>
      </c>
      <c r="N185" s="44" t="s">
        <v>274</v>
      </c>
      <c r="O185" s="35"/>
      <c r="P185" s="41">
        <v>19.399999999999999</v>
      </c>
      <c r="Q185" s="44" t="s">
        <v>274</v>
      </c>
    </row>
    <row r="186" spans="1:17" s="40" customFormat="1">
      <c r="A186" s="148" t="s">
        <v>331</v>
      </c>
      <c r="B186" s="148"/>
      <c r="C186" s="43"/>
      <c r="D186" s="35"/>
      <c r="E186" s="35"/>
      <c r="F186" s="35"/>
      <c r="G186" s="35"/>
      <c r="J186" s="38">
        <v>65</v>
      </c>
      <c r="K186" s="44" t="s">
        <v>204</v>
      </c>
      <c r="M186" s="41">
        <v>19.2</v>
      </c>
      <c r="N186" s="44" t="s">
        <v>274</v>
      </c>
      <c r="O186" s="35"/>
      <c r="P186" s="41">
        <v>19.5</v>
      </c>
      <c r="Q186" s="44" t="s">
        <v>274</v>
      </c>
    </row>
    <row r="187" spans="1:17" s="40" customFormat="1">
      <c r="A187" s="148" t="s">
        <v>332</v>
      </c>
      <c r="B187" s="148"/>
      <c r="C187" s="43"/>
      <c r="D187" s="35"/>
      <c r="E187" s="35"/>
      <c r="F187" s="35"/>
      <c r="G187" s="35"/>
      <c r="J187" s="38">
        <v>66</v>
      </c>
      <c r="K187" s="44" t="s">
        <v>204</v>
      </c>
      <c r="M187" s="41">
        <v>19.2</v>
      </c>
      <c r="N187" s="44" t="s">
        <v>274</v>
      </c>
      <c r="O187" s="35"/>
      <c r="P187" s="41">
        <v>19.5</v>
      </c>
      <c r="Q187" s="44" t="s">
        <v>274</v>
      </c>
    </row>
    <row r="188" spans="1:17" s="40" customFormat="1">
      <c r="A188" s="148" t="s">
        <v>333</v>
      </c>
      <c r="B188" s="148"/>
      <c r="C188" s="43"/>
      <c r="D188" s="35"/>
      <c r="E188" s="35"/>
      <c r="F188" s="35"/>
      <c r="G188" s="35"/>
      <c r="J188" s="38">
        <v>64</v>
      </c>
      <c r="K188" s="44" t="s">
        <v>204</v>
      </c>
      <c r="M188" s="41">
        <v>18.899999999999999</v>
      </c>
      <c r="N188" s="44" t="s">
        <v>274</v>
      </c>
      <c r="O188" s="35"/>
      <c r="P188" s="41">
        <v>19.2</v>
      </c>
      <c r="Q188" s="44" t="s">
        <v>274</v>
      </c>
    </row>
    <row r="189" spans="1:17" s="40" customFormat="1">
      <c r="A189" s="148" t="s">
        <v>334</v>
      </c>
      <c r="B189" s="148"/>
      <c r="C189" s="43"/>
      <c r="D189" s="35"/>
      <c r="E189" s="35"/>
      <c r="F189" s="35"/>
      <c r="G189" s="35"/>
      <c r="J189" s="38">
        <v>65</v>
      </c>
      <c r="K189" s="44" t="s">
        <v>204</v>
      </c>
      <c r="M189" s="41">
        <v>19.100000000000001</v>
      </c>
      <c r="N189" s="44" t="s">
        <v>274</v>
      </c>
      <c r="O189" s="35"/>
      <c r="P189" s="41">
        <v>19.399999999999999</v>
      </c>
      <c r="Q189" s="44" t="s">
        <v>274</v>
      </c>
    </row>
    <row r="190" spans="1:17" s="40" customFormat="1">
      <c r="A190" s="148" t="s">
        <v>335</v>
      </c>
      <c r="B190" s="148"/>
      <c r="C190" s="43"/>
      <c r="D190" s="35"/>
      <c r="E190" s="35"/>
      <c r="F190" s="35"/>
      <c r="G190" s="35"/>
      <c r="J190" s="38">
        <v>65</v>
      </c>
      <c r="K190" s="44" t="s">
        <v>204</v>
      </c>
      <c r="M190" s="41">
        <v>19.100000000000001</v>
      </c>
      <c r="N190" s="44" t="s">
        <v>274</v>
      </c>
      <c r="O190" s="35"/>
      <c r="P190" s="41">
        <v>19.399999999999999</v>
      </c>
      <c r="Q190" s="44" t="s">
        <v>274</v>
      </c>
    </row>
    <row r="191" spans="1:17" s="40" customFormat="1">
      <c r="A191" s="148" t="s">
        <v>336</v>
      </c>
      <c r="B191" s="148"/>
      <c r="C191" s="43"/>
      <c r="D191" s="35"/>
      <c r="E191" s="35"/>
      <c r="F191" s="35"/>
      <c r="G191" s="35"/>
      <c r="J191" s="38">
        <v>66</v>
      </c>
      <c r="K191" s="44" t="s">
        <v>204</v>
      </c>
      <c r="M191" s="41">
        <v>19.2</v>
      </c>
      <c r="N191" s="44" t="s">
        <v>274</v>
      </c>
      <c r="O191" s="35"/>
      <c r="P191" s="41">
        <v>19.5</v>
      </c>
      <c r="Q191" s="44" t="s">
        <v>274</v>
      </c>
    </row>
    <row r="192" spans="1:17" s="40" customFormat="1">
      <c r="A192" s="148" t="s">
        <v>337</v>
      </c>
      <c r="B192" s="148"/>
      <c r="C192" s="43"/>
      <c r="D192" s="35"/>
      <c r="E192" s="35"/>
      <c r="F192" s="35"/>
      <c r="G192" s="35"/>
      <c r="J192" s="38">
        <v>33</v>
      </c>
      <c r="K192" s="44" t="s">
        <v>204</v>
      </c>
      <c r="M192" s="41">
        <v>9.6999999999999993</v>
      </c>
      <c r="N192" s="44" t="s">
        <v>274</v>
      </c>
      <c r="O192" s="35"/>
      <c r="P192" s="41">
        <v>10</v>
      </c>
      <c r="Q192" s="44" t="s">
        <v>274</v>
      </c>
    </row>
    <row r="193" spans="1:17" s="40" customFormat="1">
      <c r="A193" s="148" t="s">
        <v>338</v>
      </c>
      <c r="B193" s="148"/>
      <c r="C193" s="43"/>
      <c r="D193" s="35"/>
      <c r="E193" s="35"/>
      <c r="F193" s="35"/>
      <c r="G193" s="35"/>
      <c r="J193" s="38">
        <v>31</v>
      </c>
      <c r="K193" s="44" t="s">
        <v>204</v>
      </c>
      <c r="M193" s="41">
        <v>9</v>
      </c>
      <c r="N193" s="44" t="s">
        <v>274</v>
      </c>
      <c r="O193" s="35"/>
      <c r="P193" s="41">
        <v>9.3000000000000007</v>
      </c>
      <c r="Q193" s="44" t="s">
        <v>274</v>
      </c>
    </row>
    <row r="194" spans="1:17" s="40" customFormat="1">
      <c r="A194" s="148" t="s">
        <v>339</v>
      </c>
      <c r="B194" s="148"/>
      <c r="C194" s="43"/>
      <c r="D194" s="35"/>
      <c r="E194" s="35"/>
      <c r="F194" s="35"/>
      <c r="G194" s="35"/>
      <c r="J194" s="38">
        <v>65</v>
      </c>
      <c r="K194" s="44" t="s">
        <v>204</v>
      </c>
      <c r="M194" s="41">
        <v>19</v>
      </c>
      <c r="N194" s="44" t="s">
        <v>274</v>
      </c>
      <c r="O194" s="35"/>
      <c r="P194" s="41">
        <v>19.3</v>
      </c>
      <c r="Q194" s="44" t="s">
        <v>274</v>
      </c>
    </row>
    <row r="195" spans="1:17" s="40" customFormat="1">
      <c r="A195" s="148" t="s">
        <v>340</v>
      </c>
      <c r="B195" s="148"/>
      <c r="C195" s="43"/>
      <c r="D195" s="35"/>
      <c r="E195" s="35"/>
      <c r="F195" s="35"/>
      <c r="G195" s="35"/>
      <c r="J195" s="38">
        <v>65</v>
      </c>
      <c r="K195" s="44" t="s">
        <v>204</v>
      </c>
      <c r="M195" s="41">
        <v>19.100000000000001</v>
      </c>
      <c r="N195" s="44" t="s">
        <v>274</v>
      </c>
      <c r="O195" s="35"/>
      <c r="P195" s="41">
        <v>19.399999999999999</v>
      </c>
      <c r="Q195" s="44" t="s">
        <v>274</v>
      </c>
    </row>
    <row r="196" spans="1:17" s="40" customFormat="1">
      <c r="A196" s="148" t="s">
        <v>341</v>
      </c>
      <c r="B196" s="148"/>
      <c r="C196" s="43"/>
      <c r="D196" s="35"/>
      <c r="E196" s="35"/>
      <c r="F196" s="35"/>
      <c r="G196" s="35"/>
      <c r="J196" s="38">
        <v>58</v>
      </c>
      <c r="K196" s="44" t="s">
        <v>204</v>
      </c>
      <c r="M196" s="41">
        <v>17.2</v>
      </c>
      <c r="N196" s="44" t="s">
        <v>274</v>
      </c>
      <c r="O196" s="35"/>
      <c r="P196" s="41">
        <v>17.5</v>
      </c>
      <c r="Q196" s="44" t="s">
        <v>274</v>
      </c>
    </row>
    <row r="197" spans="1:17" s="40" customFormat="1">
      <c r="A197" s="148" t="s">
        <v>342</v>
      </c>
      <c r="B197" s="148"/>
      <c r="C197" s="43"/>
      <c r="D197" s="35"/>
      <c r="E197" s="35"/>
      <c r="F197" s="35"/>
      <c r="G197" s="35"/>
      <c r="J197" s="38">
        <v>63</v>
      </c>
      <c r="K197" s="44" t="s">
        <v>204</v>
      </c>
      <c r="M197" s="41">
        <v>18.7</v>
      </c>
      <c r="N197" s="44" t="s">
        <v>274</v>
      </c>
      <c r="O197" s="35"/>
      <c r="P197" s="41">
        <v>19</v>
      </c>
      <c r="Q197" s="44" t="s">
        <v>274</v>
      </c>
    </row>
    <row r="198" spans="1:17" s="40" customFormat="1">
      <c r="A198" s="148"/>
      <c r="B198" s="148"/>
      <c r="C198" s="43"/>
      <c r="D198" s="35"/>
      <c r="E198" s="35"/>
      <c r="F198" s="35"/>
      <c r="G198" s="35"/>
      <c r="J198" s="38"/>
      <c r="K198" s="44"/>
      <c r="M198" s="41"/>
      <c r="N198" s="44"/>
      <c r="O198" s="35"/>
      <c r="P198" s="41"/>
      <c r="Q198" s="44"/>
    </row>
    <row r="199" spans="1:17" s="40" customFormat="1">
      <c r="A199" s="148"/>
      <c r="B199" s="148"/>
      <c r="C199" s="43"/>
      <c r="D199" s="35" t="s">
        <v>208</v>
      </c>
      <c r="E199" s="35"/>
      <c r="F199" s="35"/>
      <c r="G199" s="35"/>
      <c r="J199" s="38"/>
      <c r="K199" s="44"/>
      <c r="M199" s="41"/>
      <c r="N199" s="44"/>
      <c r="O199" s="35"/>
      <c r="P199" s="41"/>
      <c r="Q199" s="44"/>
    </row>
    <row r="200" spans="1:17" s="40" customFormat="1">
      <c r="A200" s="148"/>
      <c r="B200" s="148"/>
      <c r="C200" s="43"/>
      <c r="D200" s="35" t="s">
        <v>343</v>
      </c>
      <c r="E200" s="35"/>
      <c r="F200" s="35"/>
      <c r="G200" s="35"/>
      <c r="J200" s="38"/>
      <c r="K200" s="44"/>
      <c r="M200" s="41"/>
      <c r="N200" s="44"/>
      <c r="O200" s="35"/>
      <c r="P200" s="41"/>
      <c r="Q200" s="44"/>
    </row>
    <row r="201" spans="1:17" s="40" customFormat="1">
      <c r="A201" s="148" t="s">
        <v>344</v>
      </c>
      <c r="B201" s="148"/>
      <c r="C201" s="43"/>
      <c r="D201" s="35"/>
      <c r="E201" s="35"/>
      <c r="F201" s="35"/>
      <c r="G201" s="35"/>
      <c r="J201" s="38">
        <v>66</v>
      </c>
      <c r="K201" s="44" t="s">
        <v>204</v>
      </c>
      <c r="M201" s="41">
        <v>19.100000000000001</v>
      </c>
      <c r="N201" s="44" t="s">
        <v>274</v>
      </c>
      <c r="O201" s="35"/>
      <c r="P201" s="41">
        <v>19.399999999999999</v>
      </c>
      <c r="Q201" s="44" t="s">
        <v>274</v>
      </c>
    </row>
    <row r="202" spans="1:17" s="40" customFormat="1">
      <c r="A202" s="148" t="s">
        <v>345</v>
      </c>
      <c r="B202" s="148"/>
      <c r="C202" s="43"/>
      <c r="D202" s="35"/>
      <c r="E202" s="35"/>
      <c r="F202" s="35"/>
      <c r="G202" s="35"/>
      <c r="J202" s="38">
        <v>65</v>
      </c>
      <c r="K202" s="44" t="s">
        <v>204</v>
      </c>
      <c r="M202" s="41">
        <v>18.899999999999999</v>
      </c>
      <c r="N202" s="44" t="s">
        <v>274</v>
      </c>
      <c r="O202" s="35"/>
      <c r="P202" s="41">
        <v>19.2</v>
      </c>
      <c r="Q202" s="44" t="s">
        <v>274</v>
      </c>
    </row>
    <row r="203" spans="1:17" s="40" customFormat="1">
      <c r="A203" s="148" t="s">
        <v>346</v>
      </c>
      <c r="B203" s="148"/>
      <c r="C203" s="43"/>
      <c r="D203" s="35"/>
      <c r="E203" s="35"/>
      <c r="F203" s="35"/>
      <c r="G203" s="35"/>
      <c r="J203" s="38">
        <v>65</v>
      </c>
      <c r="K203" s="44" t="s">
        <v>204</v>
      </c>
      <c r="M203" s="41">
        <v>19</v>
      </c>
      <c r="N203" s="44" t="s">
        <v>274</v>
      </c>
      <c r="O203" s="35"/>
      <c r="P203" s="41">
        <v>19.3</v>
      </c>
      <c r="Q203" s="44" t="s">
        <v>274</v>
      </c>
    </row>
    <row r="204" spans="1:17" s="40" customFormat="1">
      <c r="A204" s="148" t="s">
        <v>347</v>
      </c>
      <c r="B204" s="148"/>
      <c r="C204" s="43"/>
      <c r="D204" s="35"/>
      <c r="E204" s="35"/>
      <c r="F204" s="35"/>
      <c r="G204" s="35"/>
      <c r="J204" s="38">
        <v>65</v>
      </c>
      <c r="K204" s="44" t="s">
        <v>204</v>
      </c>
      <c r="M204" s="41">
        <v>19</v>
      </c>
      <c r="N204" s="44" t="s">
        <v>274</v>
      </c>
      <c r="O204" s="35"/>
      <c r="P204" s="41">
        <v>19.3</v>
      </c>
      <c r="Q204" s="44" t="s">
        <v>274</v>
      </c>
    </row>
    <row r="205" spans="1:17" s="40" customFormat="1">
      <c r="A205" s="148" t="s">
        <v>348</v>
      </c>
      <c r="B205" s="148"/>
      <c r="C205" s="43"/>
      <c r="D205" s="35"/>
      <c r="E205" s="35"/>
      <c r="F205" s="35"/>
      <c r="G205" s="35"/>
      <c r="J205" s="38">
        <v>65</v>
      </c>
      <c r="K205" s="44" t="s">
        <v>204</v>
      </c>
      <c r="M205" s="41">
        <v>18.899999999999999</v>
      </c>
      <c r="N205" s="44" t="s">
        <v>274</v>
      </c>
      <c r="O205" s="35"/>
      <c r="P205" s="41">
        <v>19.2</v>
      </c>
      <c r="Q205" s="44" t="s">
        <v>274</v>
      </c>
    </row>
    <row r="206" spans="1:17" s="40" customFormat="1">
      <c r="A206" s="148" t="s">
        <v>349</v>
      </c>
      <c r="B206" s="148"/>
      <c r="C206" s="43"/>
      <c r="D206" s="35"/>
      <c r="E206" s="35"/>
      <c r="F206" s="35"/>
      <c r="G206" s="35"/>
      <c r="J206" s="38">
        <v>65</v>
      </c>
      <c r="K206" s="44" t="s">
        <v>204</v>
      </c>
      <c r="M206" s="41">
        <v>18.8</v>
      </c>
      <c r="N206" s="44" t="s">
        <v>274</v>
      </c>
      <c r="O206" s="35"/>
      <c r="P206" s="41">
        <v>19.100000000000001</v>
      </c>
      <c r="Q206" s="44" t="s">
        <v>274</v>
      </c>
    </row>
    <row r="207" spans="1:17" s="40" customFormat="1">
      <c r="A207" s="148" t="s">
        <v>350</v>
      </c>
      <c r="B207" s="148"/>
      <c r="C207" s="43"/>
      <c r="D207" s="35"/>
      <c r="E207" s="35"/>
      <c r="F207" s="35"/>
      <c r="G207" s="35"/>
      <c r="J207" s="38">
        <v>65</v>
      </c>
      <c r="K207" s="44" t="s">
        <v>204</v>
      </c>
      <c r="M207" s="41">
        <v>18.7</v>
      </c>
      <c r="N207" s="44" t="s">
        <v>274</v>
      </c>
      <c r="O207" s="35"/>
      <c r="P207" s="41">
        <v>19</v>
      </c>
      <c r="Q207" s="44" t="s">
        <v>274</v>
      </c>
    </row>
    <row r="208" spans="1:17" s="40" customFormat="1">
      <c r="A208" s="148" t="s">
        <v>351</v>
      </c>
      <c r="B208" s="148"/>
      <c r="C208" s="43"/>
      <c r="D208" s="35"/>
      <c r="E208" s="35"/>
      <c r="F208" s="35"/>
      <c r="G208" s="35"/>
      <c r="J208" s="38">
        <v>64</v>
      </c>
      <c r="K208" s="44" t="s">
        <v>204</v>
      </c>
      <c r="M208" s="41">
        <v>18.600000000000001</v>
      </c>
      <c r="N208" s="44" t="s">
        <v>274</v>
      </c>
      <c r="O208" s="35"/>
      <c r="P208" s="41">
        <v>18.899999999999999</v>
      </c>
      <c r="Q208" s="44" t="s">
        <v>274</v>
      </c>
    </row>
    <row r="209" spans="1:17" s="40" customFormat="1">
      <c r="A209" s="148" t="s">
        <v>352</v>
      </c>
      <c r="B209" s="148"/>
      <c r="C209" s="43"/>
      <c r="D209" s="35"/>
      <c r="E209" s="35"/>
      <c r="F209" s="35"/>
      <c r="G209" s="35"/>
      <c r="J209" s="38">
        <v>61</v>
      </c>
      <c r="K209" s="44" t="s">
        <v>204</v>
      </c>
      <c r="M209" s="41">
        <v>17.7</v>
      </c>
      <c r="N209" s="44" t="s">
        <v>274</v>
      </c>
      <c r="O209" s="35"/>
      <c r="P209" s="41">
        <v>18</v>
      </c>
      <c r="Q209" s="44" t="s">
        <v>274</v>
      </c>
    </row>
    <row r="210" spans="1:17" s="40" customFormat="1">
      <c r="A210" s="148" t="s">
        <v>353</v>
      </c>
      <c r="B210" s="148"/>
      <c r="C210" s="43"/>
      <c r="D210" s="35"/>
      <c r="E210" s="35"/>
      <c r="F210" s="35"/>
      <c r="G210" s="35"/>
      <c r="J210" s="38">
        <v>65</v>
      </c>
      <c r="K210" s="44" t="s">
        <v>204</v>
      </c>
      <c r="M210" s="41">
        <v>18.899999999999999</v>
      </c>
      <c r="N210" s="44" t="s">
        <v>274</v>
      </c>
      <c r="O210" s="35"/>
      <c r="P210" s="41">
        <v>19.2</v>
      </c>
      <c r="Q210" s="44" t="s">
        <v>274</v>
      </c>
    </row>
    <row r="211" spans="1:17" s="40" customFormat="1">
      <c r="A211" s="148"/>
      <c r="B211" s="148"/>
      <c r="C211" s="43"/>
      <c r="D211" s="35"/>
      <c r="E211" s="35"/>
      <c r="F211" s="35"/>
      <c r="G211" s="35"/>
      <c r="J211" s="38"/>
      <c r="K211" s="44"/>
      <c r="M211" s="41"/>
      <c r="N211" s="44"/>
      <c r="O211" s="35"/>
      <c r="P211" s="41"/>
      <c r="Q211" s="44"/>
    </row>
    <row r="212" spans="1:17" s="40" customFormat="1">
      <c r="A212" s="148"/>
      <c r="B212" s="148"/>
      <c r="C212" s="43"/>
      <c r="D212" s="35" t="s">
        <v>209</v>
      </c>
      <c r="E212" s="35"/>
      <c r="F212" s="35"/>
      <c r="G212" s="35"/>
      <c r="J212" s="38"/>
      <c r="K212" s="44"/>
      <c r="M212" s="41"/>
      <c r="N212" s="44"/>
      <c r="O212" s="35"/>
      <c r="P212" s="41"/>
      <c r="Q212" s="44"/>
    </row>
    <row r="213" spans="1:17" s="40" customFormat="1">
      <c r="A213" s="148"/>
      <c r="B213" s="148"/>
      <c r="C213" s="43"/>
      <c r="D213" s="35" t="s">
        <v>354</v>
      </c>
      <c r="E213" s="35"/>
      <c r="F213" s="35"/>
      <c r="G213" s="35"/>
      <c r="J213" s="38"/>
      <c r="K213" s="44"/>
      <c r="M213" s="41"/>
      <c r="N213" s="44"/>
      <c r="O213" s="35"/>
      <c r="P213" s="41"/>
      <c r="Q213" s="44"/>
    </row>
    <row r="214" spans="1:17" s="40" customFormat="1">
      <c r="A214" s="148" t="s">
        <v>355</v>
      </c>
      <c r="B214" s="148"/>
      <c r="C214" s="43"/>
      <c r="D214" s="35"/>
      <c r="E214" s="35"/>
      <c r="F214" s="35"/>
      <c r="G214" s="35"/>
      <c r="J214" s="38">
        <v>56</v>
      </c>
      <c r="K214" s="44" t="s">
        <v>204</v>
      </c>
      <c r="M214" s="41">
        <v>16.2</v>
      </c>
      <c r="N214" s="44" t="s">
        <v>274</v>
      </c>
      <c r="O214" s="35"/>
      <c r="P214" s="41">
        <v>16.5</v>
      </c>
      <c r="Q214" s="44" t="s">
        <v>274</v>
      </c>
    </row>
    <row r="215" spans="1:17" s="40" customFormat="1">
      <c r="A215" s="148" t="s">
        <v>356</v>
      </c>
      <c r="B215" s="148"/>
      <c r="C215" s="43"/>
      <c r="D215" s="35"/>
      <c r="E215" s="35"/>
      <c r="F215" s="35"/>
      <c r="G215" s="35"/>
      <c r="J215" s="38">
        <v>67</v>
      </c>
      <c r="K215" s="44" t="s">
        <v>204</v>
      </c>
      <c r="M215" s="41">
        <v>19.3</v>
      </c>
      <c r="N215" s="44" t="s">
        <v>274</v>
      </c>
      <c r="O215" s="35"/>
      <c r="P215" s="41">
        <v>19.600000000000001</v>
      </c>
      <c r="Q215" s="44" t="s">
        <v>274</v>
      </c>
    </row>
    <row r="216" spans="1:17" s="40" customFormat="1">
      <c r="A216" s="148" t="s">
        <v>357</v>
      </c>
      <c r="B216" s="148"/>
      <c r="C216" s="43"/>
      <c r="D216" s="35"/>
      <c r="E216" s="35"/>
      <c r="F216" s="35"/>
      <c r="G216" s="35"/>
      <c r="J216" s="38">
        <v>66</v>
      </c>
      <c r="K216" s="44" t="s">
        <v>204</v>
      </c>
      <c r="M216" s="41">
        <v>19.399999999999999</v>
      </c>
      <c r="N216" s="44" t="s">
        <v>274</v>
      </c>
      <c r="O216" s="35"/>
      <c r="P216" s="41">
        <v>19.7</v>
      </c>
      <c r="Q216" s="44" t="s">
        <v>274</v>
      </c>
    </row>
    <row r="217" spans="1:17" s="40" customFormat="1">
      <c r="A217" s="148" t="s">
        <v>358</v>
      </c>
      <c r="B217" s="148"/>
      <c r="C217" s="43"/>
      <c r="D217" s="35"/>
      <c r="E217" s="35"/>
      <c r="F217" s="35"/>
      <c r="G217" s="35"/>
      <c r="J217" s="38">
        <v>66</v>
      </c>
      <c r="K217" s="44" t="s">
        <v>204</v>
      </c>
      <c r="M217" s="41">
        <v>19.399999999999999</v>
      </c>
      <c r="N217" s="44" t="s">
        <v>274</v>
      </c>
      <c r="O217" s="35"/>
      <c r="P217" s="41">
        <v>19.7</v>
      </c>
      <c r="Q217" s="44" t="s">
        <v>274</v>
      </c>
    </row>
    <row r="218" spans="1:17" s="40" customFormat="1">
      <c r="A218" s="148" t="s">
        <v>359</v>
      </c>
      <c r="B218" s="148"/>
      <c r="C218" s="43"/>
      <c r="D218" s="35"/>
      <c r="E218" s="35"/>
      <c r="F218" s="35"/>
      <c r="G218" s="35"/>
      <c r="J218" s="38">
        <v>32</v>
      </c>
      <c r="K218" s="44" t="s">
        <v>204</v>
      </c>
      <c r="M218" s="41">
        <v>9.4</v>
      </c>
      <c r="N218" s="44" t="s">
        <v>274</v>
      </c>
      <c r="O218" s="35"/>
      <c r="P218" s="41">
        <v>9.6999999999999993</v>
      </c>
      <c r="Q218" s="44" t="s">
        <v>274</v>
      </c>
    </row>
    <row r="219" spans="1:17" s="40" customFormat="1">
      <c r="A219" s="148" t="s">
        <v>360</v>
      </c>
      <c r="B219" s="148"/>
      <c r="C219" s="43"/>
      <c r="D219" s="35"/>
      <c r="E219" s="35"/>
      <c r="F219" s="35"/>
      <c r="G219" s="35"/>
      <c r="J219" s="38">
        <v>65</v>
      </c>
      <c r="K219" s="44" t="s">
        <v>204</v>
      </c>
      <c r="M219" s="41">
        <v>19</v>
      </c>
      <c r="N219" s="44" t="s">
        <v>274</v>
      </c>
      <c r="O219" s="35"/>
      <c r="P219" s="41">
        <v>19.3</v>
      </c>
      <c r="Q219" s="44" t="s">
        <v>274</v>
      </c>
    </row>
    <row r="220" spans="1:17" s="40" customFormat="1">
      <c r="A220" s="148" t="s">
        <v>361</v>
      </c>
      <c r="B220" s="148"/>
      <c r="C220" s="43"/>
      <c r="D220" s="35"/>
      <c r="E220" s="35"/>
      <c r="F220" s="35"/>
      <c r="G220" s="35"/>
      <c r="J220" s="38">
        <v>64</v>
      </c>
      <c r="K220" s="44" t="s">
        <v>204</v>
      </c>
      <c r="M220" s="41">
        <v>18.899999999999999</v>
      </c>
      <c r="N220" s="44" t="s">
        <v>274</v>
      </c>
      <c r="O220" s="35"/>
      <c r="P220" s="41">
        <v>19.2</v>
      </c>
      <c r="Q220" s="44" t="s">
        <v>274</v>
      </c>
    </row>
    <row r="221" spans="1:17" s="40" customFormat="1">
      <c r="A221" s="148" t="s">
        <v>362</v>
      </c>
      <c r="B221" s="148"/>
      <c r="C221" s="43"/>
      <c r="D221" s="35"/>
      <c r="E221" s="35"/>
      <c r="F221" s="35"/>
      <c r="G221" s="35"/>
      <c r="J221" s="38">
        <v>66</v>
      </c>
      <c r="K221" s="44" t="s">
        <v>204</v>
      </c>
      <c r="M221" s="41">
        <v>19.399999999999999</v>
      </c>
      <c r="N221" s="44" t="s">
        <v>274</v>
      </c>
      <c r="O221" s="35"/>
      <c r="P221" s="41">
        <v>19.7</v>
      </c>
      <c r="Q221" s="44" t="s">
        <v>274</v>
      </c>
    </row>
    <row r="222" spans="1:17" s="40" customFormat="1">
      <c r="A222" s="148" t="s">
        <v>363</v>
      </c>
      <c r="B222" s="148"/>
      <c r="C222" s="43"/>
      <c r="D222" s="35"/>
      <c r="E222" s="35"/>
      <c r="F222" s="35"/>
      <c r="G222" s="35"/>
      <c r="J222" s="38">
        <v>32</v>
      </c>
      <c r="K222" s="44" t="s">
        <v>204</v>
      </c>
      <c r="M222" s="41">
        <v>9.4</v>
      </c>
      <c r="N222" s="44" t="s">
        <v>274</v>
      </c>
      <c r="O222" s="35"/>
      <c r="P222" s="41">
        <v>9.6999999999999993</v>
      </c>
      <c r="Q222" s="44" t="s">
        <v>274</v>
      </c>
    </row>
    <row r="223" spans="1:17" s="40" customFormat="1">
      <c r="A223" s="148" t="s">
        <v>364</v>
      </c>
      <c r="B223" s="148"/>
      <c r="C223" s="43"/>
      <c r="D223" s="35"/>
      <c r="E223" s="35"/>
      <c r="F223" s="35"/>
      <c r="G223" s="35"/>
      <c r="J223" s="38">
        <v>67</v>
      </c>
      <c r="K223" s="44" t="s">
        <v>204</v>
      </c>
      <c r="M223" s="41">
        <v>19.5</v>
      </c>
      <c r="N223" s="44" t="s">
        <v>274</v>
      </c>
      <c r="O223" s="35"/>
      <c r="P223" s="41">
        <v>19.8</v>
      </c>
      <c r="Q223" s="44" t="s">
        <v>274</v>
      </c>
    </row>
    <row r="224" spans="1:17" s="40" customFormat="1">
      <c r="A224" s="148" t="s">
        <v>365</v>
      </c>
      <c r="B224" s="148"/>
      <c r="C224" s="43"/>
      <c r="D224" s="35"/>
      <c r="E224" s="35"/>
      <c r="F224" s="35"/>
      <c r="G224" s="35"/>
      <c r="J224" s="38">
        <v>33</v>
      </c>
      <c r="K224" s="44" t="s">
        <v>204</v>
      </c>
      <c r="M224" s="41">
        <v>9.6</v>
      </c>
      <c r="N224" s="44" t="s">
        <v>274</v>
      </c>
      <c r="O224" s="35"/>
      <c r="P224" s="41">
        <v>9.9</v>
      </c>
      <c r="Q224" s="44" t="s">
        <v>274</v>
      </c>
    </row>
    <row r="225" spans="1:17" s="40" customFormat="1">
      <c r="A225" s="148" t="s">
        <v>366</v>
      </c>
      <c r="B225" s="148"/>
      <c r="C225" s="43"/>
      <c r="D225" s="35"/>
      <c r="E225" s="35"/>
      <c r="F225" s="35"/>
      <c r="G225" s="35"/>
      <c r="J225" s="38">
        <v>66</v>
      </c>
      <c r="K225" s="44" t="s">
        <v>204</v>
      </c>
      <c r="M225" s="41">
        <v>19.399999999999999</v>
      </c>
      <c r="N225" s="44" t="s">
        <v>274</v>
      </c>
      <c r="O225" s="35"/>
      <c r="P225" s="41">
        <v>19.7</v>
      </c>
      <c r="Q225" s="44" t="s">
        <v>274</v>
      </c>
    </row>
    <row r="226" spans="1:17" s="40" customFormat="1">
      <c r="A226" s="148" t="s">
        <v>367</v>
      </c>
      <c r="B226" s="148"/>
      <c r="C226" s="43"/>
      <c r="D226" s="35"/>
      <c r="E226" s="35"/>
      <c r="F226" s="35"/>
      <c r="G226" s="35"/>
      <c r="J226" s="38">
        <v>66</v>
      </c>
      <c r="K226" s="44" t="s">
        <v>204</v>
      </c>
      <c r="M226" s="41">
        <v>19.5</v>
      </c>
      <c r="N226" s="44" t="s">
        <v>274</v>
      </c>
      <c r="O226" s="35"/>
      <c r="P226" s="41">
        <v>19.8</v>
      </c>
      <c r="Q226" s="44" t="s">
        <v>274</v>
      </c>
    </row>
    <row r="227" spans="1:17" s="40" customFormat="1">
      <c r="A227" s="148" t="s">
        <v>368</v>
      </c>
      <c r="B227" s="148"/>
      <c r="C227" s="43"/>
      <c r="D227" s="35"/>
      <c r="E227" s="35"/>
      <c r="F227" s="35"/>
      <c r="G227" s="35"/>
      <c r="J227" s="38">
        <v>66</v>
      </c>
      <c r="K227" s="44" t="s">
        <v>204</v>
      </c>
      <c r="M227" s="41">
        <v>19.2</v>
      </c>
      <c r="N227" s="44" t="s">
        <v>274</v>
      </c>
      <c r="O227" s="35"/>
      <c r="P227" s="41">
        <v>19.5</v>
      </c>
      <c r="Q227" s="44" t="s">
        <v>274</v>
      </c>
    </row>
    <row r="228" spans="1:17" s="40" customFormat="1">
      <c r="A228" s="148" t="s">
        <v>369</v>
      </c>
      <c r="B228" s="148"/>
      <c r="C228" s="43"/>
      <c r="D228" s="35"/>
      <c r="E228" s="35"/>
      <c r="F228" s="35"/>
      <c r="G228" s="35"/>
      <c r="J228" s="38">
        <v>65</v>
      </c>
      <c r="K228" s="44" t="s">
        <v>204</v>
      </c>
      <c r="M228" s="41">
        <v>19</v>
      </c>
      <c r="N228" s="44" t="s">
        <v>274</v>
      </c>
      <c r="O228" s="35"/>
      <c r="P228" s="41">
        <v>19.3</v>
      </c>
      <c r="Q228" s="44" t="s">
        <v>274</v>
      </c>
    </row>
    <row r="229" spans="1:17" s="40" customFormat="1">
      <c r="A229" s="148" t="s">
        <v>370</v>
      </c>
      <c r="B229" s="148"/>
      <c r="C229" s="43"/>
      <c r="D229" s="35"/>
      <c r="E229" s="35"/>
      <c r="F229" s="35"/>
      <c r="G229" s="35"/>
      <c r="J229" s="38">
        <v>32</v>
      </c>
      <c r="K229" s="44" t="s">
        <v>204</v>
      </c>
      <c r="M229" s="41">
        <v>9.4</v>
      </c>
      <c r="N229" s="44" t="s">
        <v>274</v>
      </c>
      <c r="O229" s="35"/>
      <c r="P229" s="41">
        <v>9.6999999999999993</v>
      </c>
      <c r="Q229" s="44" t="s">
        <v>274</v>
      </c>
    </row>
    <row r="230" spans="1:17" s="40" customFormat="1">
      <c r="A230" s="148"/>
      <c r="B230" s="148"/>
      <c r="C230" s="43"/>
      <c r="D230" s="35" t="s">
        <v>371</v>
      </c>
      <c r="E230" s="35"/>
      <c r="F230" s="35"/>
      <c r="G230" s="35"/>
      <c r="J230" s="38"/>
      <c r="K230" s="44"/>
      <c r="M230" s="41"/>
      <c r="N230" s="44"/>
      <c r="O230" s="35"/>
      <c r="P230" s="41"/>
      <c r="Q230" s="44"/>
    </row>
    <row r="231" spans="1:17" s="40" customFormat="1">
      <c r="A231" s="148" t="s">
        <v>372</v>
      </c>
      <c r="B231" s="148"/>
      <c r="C231" s="43"/>
      <c r="D231" s="35"/>
      <c r="E231" s="35"/>
      <c r="F231" s="35"/>
      <c r="G231" s="35"/>
      <c r="J231" s="38">
        <v>66</v>
      </c>
      <c r="K231" s="44" t="s">
        <v>204</v>
      </c>
      <c r="M231" s="41">
        <v>19</v>
      </c>
      <c r="N231" s="44" t="s">
        <v>274</v>
      </c>
      <c r="O231" s="35"/>
      <c r="P231" s="41">
        <v>19.3</v>
      </c>
      <c r="Q231" s="44" t="s">
        <v>274</v>
      </c>
    </row>
    <row r="232" spans="1:17" s="40" customFormat="1">
      <c r="A232" s="148" t="s">
        <v>373</v>
      </c>
      <c r="B232" s="148"/>
      <c r="C232" s="43"/>
      <c r="D232" s="35"/>
      <c r="E232" s="35"/>
      <c r="F232" s="35"/>
      <c r="G232" s="35"/>
      <c r="J232" s="38">
        <v>64</v>
      </c>
      <c r="K232" s="44" t="s">
        <v>204</v>
      </c>
      <c r="M232" s="41">
        <v>18.8</v>
      </c>
      <c r="N232" s="44" t="s">
        <v>274</v>
      </c>
      <c r="O232" s="35"/>
      <c r="P232" s="41">
        <v>19.100000000000001</v>
      </c>
      <c r="Q232" s="44" t="s">
        <v>274</v>
      </c>
    </row>
    <row r="233" spans="1:17" s="40" customFormat="1">
      <c r="A233" s="148" t="s">
        <v>374</v>
      </c>
      <c r="B233" s="148"/>
      <c r="C233" s="43"/>
      <c r="D233" s="35"/>
      <c r="E233" s="35"/>
      <c r="F233" s="35"/>
      <c r="G233" s="35"/>
      <c r="J233" s="38">
        <v>66</v>
      </c>
      <c r="K233" s="44" t="s">
        <v>204</v>
      </c>
      <c r="M233" s="41">
        <v>19.3</v>
      </c>
      <c r="N233" s="44" t="s">
        <v>274</v>
      </c>
      <c r="O233" s="35"/>
      <c r="P233" s="41">
        <v>19.600000000000001</v>
      </c>
      <c r="Q233" s="44" t="s">
        <v>274</v>
      </c>
    </row>
    <row r="234" spans="1:17" s="40" customFormat="1">
      <c r="A234" s="148" t="s">
        <v>375</v>
      </c>
      <c r="B234" s="148"/>
      <c r="C234" s="43"/>
      <c r="D234" s="35"/>
      <c r="E234" s="35"/>
      <c r="F234" s="35"/>
      <c r="G234" s="35"/>
      <c r="J234" s="38">
        <v>66</v>
      </c>
      <c r="K234" s="44" t="s">
        <v>204</v>
      </c>
      <c r="M234" s="41">
        <v>19.3</v>
      </c>
      <c r="N234" s="44" t="s">
        <v>274</v>
      </c>
      <c r="O234" s="35"/>
      <c r="P234" s="41">
        <v>19.600000000000001</v>
      </c>
      <c r="Q234" s="44" t="s">
        <v>274</v>
      </c>
    </row>
    <row r="235" spans="1:17" s="40" customFormat="1">
      <c r="A235" s="148" t="s">
        <v>376</v>
      </c>
      <c r="B235" s="148"/>
      <c r="C235" s="43"/>
      <c r="D235" s="35"/>
      <c r="E235" s="35"/>
      <c r="F235" s="35"/>
      <c r="G235" s="35"/>
      <c r="J235" s="38">
        <v>66</v>
      </c>
      <c r="K235" s="44" t="s">
        <v>204</v>
      </c>
      <c r="M235" s="41">
        <v>19.3</v>
      </c>
      <c r="N235" s="44" t="s">
        <v>274</v>
      </c>
      <c r="O235" s="35"/>
      <c r="P235" s="41">
        <v>19.600000000000001</v>
      </c>
      <c r="Q235" s="44" t="s">
        <v>274</v>
      </c>
    </row>
    <row r="236" spans="1:17" s="40" customFormat="1">
      <c r="A236" s="148" t="s">
        <v>377</v>
      </c>
      <c r="B236" s="148"/>
      <c r="C236" s="43"/>
      <c r="D236" s="35"/>
      <c r="E236" s="35"/>
      <c r="F236" s="35"/>
      <c r="G236" s="35"/>
      <c r="J236" s="38">
        <v>66</v>
      </c>
      <c r="K236" s="44" t="s">
        <v>204</v>
      </c>
      <c r="M236" s="41">
        <v>19.2</v>
      </c>
      <c r="N236" s="44" t="s">
        <v>274</v>
      </c>
      <c r="O236" s="35"/>
      <c r="P236" s="41">
        <v>19.5</v>
      </c>
      <c r="Q236" s="44" t="s">
        <v>274</v>
      </c>
    </row>
    <row r="237" spans="1:17" s="40" customFormat="1">
      <c r="A237" s="148" t="s">
        <v>378</v>
      </c>
      <c r="B237" s="148"/>
      <c r="C237" s="43"/>
      <c r="D237" s="35"/>
      <c r="E237" s="35"/>
      <c r="F237" s="35"/>
      <c r="G237" s="35"/>
      <c r="J237" s="38">
        <v>32</v>
      </c>
      <c r="K237" s="44" t="s">
        <v>204</v>
      </c>
      <c r="M237" s="41">
        <v>9.4</v>
      </c>
      <c r="N237" s="44" t="s">
        <v>274</v>
      </c>
      <c r="O237" s="35"/>
      <c r="P237" s="41">
        <v>9.6999999999999993</v>
      </c>
      <c r="Q237" s="44" t="s">
        <v>274</v>
      </c>
    </row>
    <row r="238" spans="1:17" s="40" customFormat="1">
      <c r="A238" s="148"/>
      <c r="B238" s="148"/>
      <c r="C238" s="43"/>
      <c r="D238" s="35"/>
      <c r="E238" s="35"/>
      <c r="F238" s="35"/>
      <c r="G238" s="35"/>
      <c r="J238" s="38"/>
      <c r="K238" s="44"/>
      <c r="M238" s="41"/>
      <c r="N238" s="44"/>
      <c r="O238" s="35"/>
      <c r="P238" s="41"/>
      <c r="Q238" s="44"/>
    </row>
    <row r="239" spans="1:17" s="40" customFormat="1">
      <c r="A239" s="148"/>
      <c r="B239" s="148"/>
      <c r="C239" s="43"/>
      <c r="D239" s="42" t="s">
        <v>210</v>
      </c>
      <c r="E239" s="35"/>
      <c r="F239" s="35"/>
      <c r="G239" s="35"/>
      <c r="J239" s="38"/>
      <c r="K239" s="44"/>
      <c r="M239" s="41"/>
      <c r="N239" s="44"/>
      <c r="O239" s="35"/>
      <c r="P239" s="41"/>
      <c r="Q239" s="44"/>
    </row>
    <row r="240" spans="1:17" s="40" customFormat="1">
      <c r="A240" s="148"/>
      <c r="B240" s="148"/>
      <c r="C240" s="43"/>
      <c r="D240" s="35" t="s">
        <v>203</v>
      </c>
      <c r="E240" s="35"/>
      <c r="F240" s="35"/>
      <c r="G240" s="35"/>
      <c r="J240" s="38"/>
      <c r="K240" s="44"/>
      <c r="M240" s="41"/>
      <c r="N240" s="44"/>
      <c r="O240" s="35"/>
      <c r="P240" s="41"/>
      <c r="Q240" s="44"/>
    </row>
    <row r="241" spans="1:17" s="40" customFormat="1">
      <c r="A241" s="148"/>
      <c r="B241" s="148"/>
      <c r="C241" s="43"/>
      <c r="D241" s="35" t="s">
        <v>277</v>
      </c>
      <c r="E241" s="35"/>
      <c r="F241" s="35"/>
      <c r="G241" s="35"/>
      <c r="J241" s="38"/>
      <c r="K241" s="44"/>
      <c r="M241" s="41"/>
      <c r="N241" s="44"/>
      <c r="O241" s="35"/>
      <c r="P241" s="41"/>
      <c r="Q241" s="44"/>
    </row>
    <row r="242" spans="1:17" s="40" customFormat="1">
      <c r="A242" s="148" t="s">
        <v>379</v>
      </c>
      <c r="B242" s="148"/>
      <c r="C242" s="43"/>
      <c r="D242" s="35"/>
      <c r="E242" s="35"/>
      <c r="F242" s="35"/>
      <c r="G242" s="35"/>
      <c r="J242" s="38">
        <v>10</v>
      </c>
      <c r="K242" s="44" t="s">
        <v>204</v>
      </c>
      <c r="M242" s="41">
        <v>3</v>
      </c>
      <c r="N242" s="44" t="s">
        <v>274</v>
      </c>
      <c r="O242" s="35"/>
      <c r="P242" s="41">
        <v>3.3</v>
      </c>
      <c r="Q242" s="44" t="s">
        <v>274</v>
      </c>
    </row>
    <row r="243" spans="1:17" s="40" customFormat="1">
      <c r="A243" s="148"/>
      <c r="B243" s="148"/>
      <c r="C243" s="43"/>
      <c r="D243" s="35"/>
      <c r="E243" s="35"/>
      <c r="F243" s="35"/>
      <c r="G243" s="35"/>
      <c r="J243" s="38"/>
      <c r="K243" s="44"/>
      <c r="M243" s="41"/>
      <c r="N243" s="44"/>
      <c r="O243" s="35"/>
      <c r="P243" s="41"/>
      <c r="Q243" s="44"/>
    </row>
    <row r="244" spans="1:17" s="40" customFormat="1">
      <c r="A244" s="148"/>
      <c r="B244" s="148"/>
      <c r="C244" s="43"/>
      <c r="D244" s="35" t="s">
        <v>206</v>
      </c>
      <c r="E244" s="35"/>
      <c r="F244" s="35"/>
      <c r="G244" s="35"/>
      <c r="J244" s="38"/>
      <c r="K244" s="44"/>
      <c r="M244" s="41"/>
      <c r="N244" s="44"/>
      <c r="O244" s="35"/>
      <c r="P244" s="41"/>
      <c r="Q244" s="44"/>
    </row>
    <row r="245" spans="1:17" s="40" customFormat="1">
      <c r="A245" s="148"/>
      <c r="B245" s="148"/>
      <c r="C245" s="43"/>
      <c r="D245" s="35" t="s">
        <v>323</v>
      </c>
      <c r="E245" s="35"/>
      <c r="F245" s="35"/>
      <c r="G245" s="35"/>
      <c r="J245" s="38"/>
      <c r="K245" s="44"/>
      <c r="M245" s="41"/>
      <c r="N245" s="44"/>
      <c r="O245" s="35"/>
      <c r="P245" s="41"/>
      <c r="Q245" s="44"/>
    </row>
    <row r="246" spans="1:17" s="40" customFormat="1">
      <c r="A246" s="148" t="s">
        <v>380</v>
      </c>
      <c r="B246" s="148"/>
      <c r="C246" s="43"/>
      <c r="D246" s="35"/>
      <c r="E246" s="35"/>
      <c r="F246" s="35"/>
      <c r="G246" s="35"/>
      <c r="J246" s="38">
        <v>10</v>
      </c>
      <c r="K246" s="44" t="s">
        <v>204</v>
      </c>
      <c r="M246" s="41">
        <v>3</v>
      </c>
      <c r="N246" s="44" t="s">
        <v>274</v>
      </c>
      <c r="O246" s="35"/>
      <c r="P246" s="41">
        <v>3.3</v>
      </c>
      <c r="Q246" s="44" t="s">
        <v>274</v>
      </c>
    </row>
    <row r="247" spans="1:17" s="40" customFormat="1">
      <c r="A247" s="148"/>
      <c r="B247" s="148"/>
      <c r="C247" s="43"/>
      <c r="D247" s="35"/>
      <c r="E247" s="35"/>
      <c r="F247" s="35"/>
      <c r="G247" s="35"/>
      <c r="J247" s="38"/>
      <c r="K247" s="44"/>
      <c r="M247" s="41"/>
      <c r="N247" s="44"/>
      <c r="O247" s="35"/>
      <c r="P247" s="41"/>
      <c r="Q247" s="44"/>
    </row>
    <row r="248" spans="1:17" s="40" customFormat="1">
      <c r="A248" s="148"/>
      <c r="B248" s="148"/>
      <c r="C248" s="43"/>
      <c r="D248" s="35" t="s">
        <v>208</v>
      </c>
      <c r="E248" s="35"/>
      <c r="F248" s="35"/>
      <c r="G248" s="35"/>
      <c r="J248" s="38"/>
      <c r="K248" s="44"/>
      <c r="M248" s="41"/>
      <c r="N248" s="44"/>
      <c r="O248" s="35"/>
      <c r="P248" s="41"/>
      <c r="Q248" s="44"/>
    </row>
    <row r="249" spans="1:17" s="40" customFormat="1">
      <c r="A249" s="148"/>
      <c r="B249" s="148"/>
      <c r="C249" s="43"/>
      <c r="D249" s="35" t="s">
        <v>343</v>
      </c>
      <c r="E249" s="35"/>
      <c r="F249" s="35"/>
      <c r="G249" s="35"/>
      <c r="J249" s="38"/>
      <c r="K249" s="44"/>
      <c r="M249" s="41"/>
      <c r="N249" s="44"/>
      <c r="O249" s="35"/>
      <c r="P249" s="41"/>
      <c r="Q249" s="44"/>
    </row>
    <row r="250" spans="1:17" s="40" customFormat="1">
      <c r="A250" s="148" t="s">
        <v>381</v>
      </c>
      <c r="B250" s="148"/>
      <c r="C250" s="43"/>
      <c r="D250" s="35"/>
      <c r="E250" s="35"/>
      <c r="F250" s="35"/>
      <c r="G250" s="35"/>
      <c r="J250" s="38">
        <v>10</v>
      </c>
      <c r="K250" s="44" t="s">
        <v>204</v>
      </c>
      <c r="M250" s="41">
        <v>3</v>
      </c>
      <c r="N250" s="44" t="s">
        <v>274</v>
      </c>
      <c r="O250" s="35"/>
      <c r="P250" s="41">
        <v>3.3</v>
      </c>
      <c r="Q250" s="44" t="s">
        <v>274</v>
      </c>
    </row>
    <row r="251" spans="1:17" s="40" customFormat="1">
      <c r="A251" s="148"/>
      <c r="B251" s="148"/>
      <c r="C251" s="43"/>
      <c r="D251" s="35"/>
      <c r="E251" s="35"/>
      <c r="F251" s="35"/>
      <c r="G251" s="35"/>
      <c r="J251" s="38"/>
      <c r="K251" s="44"/>
      <c r="M251" s="41"/>
      <c r="N251" s="44"/>
      <c r="O251" s="35"/>
      <c r="P251" s="41"/>
      <c r="Q251" s="44"/>
    </row>
    <row r="252" spans="1:17" s="40" customFormat="1">
      <c r="A252" s="148"/>
      <c r="B252" s="148"/>
      <c r="C252" s="43"/>
      <c r="D252" s="35" t="s">
        <v>209</v>
      </c>
      <c r="E252" s="35"/>
      <c r="F252" s="35"/>
      <c r="G252" s="35"/>
      <c r="J252" s="38"/>
      <c r="K252" s="44"/>
      <c r="M252" s="41"/>
      <c r="N252" s="44"/>
      <c r="O252" s="35"/>
      <c r="P252" s="41"/>
      <c r="Q252" s="44"/>
    </row>
    <row r="253" spans="1:17" s="40" customFormat="1">
      <c r="A253" s="148"/>
      <c r="B253" s="148"/>
      <c r="C253" s="43"/>
      <c r="D253" s="35" t="s">
        <v>354</v>
      </c>
      <c r="E253" s="35"/>
      <c r="F253" s="35"/>
      <c r="G253" s="35"/>
      <c r="J253" s="38"/>
      <c r="K253" s="44"/>
      <c r="M253" s="41"/>
      <c r="N253" s="44"/>
      <c r="O253" s="35"/>
      <c r="P253" s="41"/>
      <c r="Q253" s="44"/>
    </row>
    <row r="254" spans="1:17" s="40" customFormat="1">
      <c r="A254" s="148" t="s">
        <v>382</v>
      </c>
      <c r="B254" s="148"/>
      <c r="C254" s="43"/>
      <c r="D254" s="35"/>
      <c r="E254" s="35"/>
      <c r="F254" s="35"/>
      <c r="G254" s="35"/>
      <c r="J254" s="38">
        <v>10</v>
      </c>
      <c r="K254" s="44" t="s">
        <v>204</v>
      </c>
      <c r="M254" s="41">
        <v>2.9</v>
      </c>
      <c r="N254" s="44" t="s">
        <v>274</v>
      </c>
      <c r="O254" s="35"/>
      <c r="P254" s="41">
        <v>3.2</v>
      </c>
      <c r="Q254" s="44" t="s">
        <v>274</v>
      </c>
    </row>
    <row r="255" spans="1:17" s="40" customFormat="1">
      <c r="A255" s="148"/>
      <c r="B255" s="148"/>
      <c r="C255" s="43"/>
      <c r="D255" s="35"/>
      <c r="E255" s="35"/>
      <c r="F255" s="35"/>
      <c r="G255" s="35"/>
      <c r="J255" s="38"/>
      <c r="K255" s="44"/>
      <c r="M255" s="41"/>
      <c r="N255" s="44"/>
      <c r="O255" s="35"/>
      <c r="P255" s="41"/>
      <c r="Q255" s="44"/>
    </row>
    <row r="256" spans="1:17" s="40" customFormat="1">
      <c r="A256" s="148"/>
      <c r="B256" s="148"/>
      <c r="C256" s="43"/>
      <c r="D256" s="35" t="s">
        <v>211</v>
      </c>
      <c r="E256" s="35"/>
      <c r="F256" s="35"/>
      <c r="G256" s="35"/>
      <c r="J256" s="38"/>
      <c r="K256" s="44"/>
      <c r="M256" s="41"/>
      <c r="N256" s="44"/>
      <c r="O256" s="35"/>
      <c r="P256" s="41"/>
      <c r="Q256" s="44"/>
    </row>
    <row r="257" spans="1:17" s="40" customFormat="1">
      <c r="A257" s="148"/>
      <c r="B257" s="148"/>
      <c r="C257" s="43"/>
      <c r="D257" s="42" t="s">
        <v>212</v>
      </c>
      <c r="E257" s="35"/>
      <c r="F257" s="35"/>
      <c r="G257" s="35"/>
      <c r="J257" s="38"/>
      <c r="K257" s="44"/>
      <c r="M257" s="41"/>
      <c r="N257" s="44"/>
      <c r="O257" s="35"/>
      <c r="P257" s="41"/>
      <c r="Q257" s="44"/>
    </row>
    <row r="258" spans="1:17" s="40" customFormat="1">
      <c r="A258" s="148"/>
      <c r="B258" s="148"/>
      <c r="C258" s="43"/>
      <c r="D258" s="42" t="s">
        <v>213</v>
      </c>
      <c r="E258" s="35"/>
      <c r="F258" s="35"/>
      <c r="G258" s="35"/>
      <c r="J258" s="38"/>
      <c r="K258" s="44"/>
      <c r="M258" s="41"/>
      <c r="N258" s="44"/>
      <c r="O258" s="35"/>
      <c r="P258" s="41"/>
      <c r="Q258" s="44"/>
    </row>
    <row r="259" spans="1:17" s="40" customFormat="1">
      <c r="A259" s="148"/>
      <c r="B259" s="148"/>
      <c r="C259" s="43"/>
      <c r="D259" s="42" t="s">
        <v>214</v>
      </c>
      <c r="E259" s="35"/>
      <c r="F259" s="35"/>
      <c r="G259" s="35"/>
      <c r="J259" s="38"/>
      <c r="K259" s="44"/>
      <c r="M259" s="41"/>
      <c r="N259" s="44"/>
      <c r="O259" s="35"/>
      <c r="P259" s="41"/>
      <c r="Q259" s="44"/>
    </row>
    <row r="260" spans="1:17" s="40" customFormat="1">
      <c r="A260" s="148"/>
      <c r="B260" s="148"/>
      <c r="C260" s="43"/>
      <c r="D260" s="35" t="s">
        <v>215</v>
      </c>
      <c r="E260" s="35"/>
      <c r="F260" s="35"/>
      <c r="G260" s="35"/>
      <c r="J260" s="38"/>
      <c r="K260" s="44"/>
      <c r="M260" s="41"/>
      <c r="N260" s="44"/>
      <c r="O260" s="35"/>
      <c r="P260" s="41"/>
      <c r="Q260" s="44"/>
    </row>
    <row r="261" spans="1:17" s="40" customFormat="1">
      <c r="A261" s="148"/>
      <c r="B261" s="148"/>
      <c r="C261" s="43"/>
      <c r="D261" s="35" t="s">
        <v>216</v>
      </c>
      <c r="E261" s="35"/>
      <c r="F261" s="35"/>
      <c r="G261" s="35"/>
      <c r="J261" s="38"/>
      <c r="K261" s="44"/>
      <c r="M261" s="41"/>
      <c r="N261" s="44"/>
      <c r="O261" s="35"/>
      <c r="P261" s="41"/>
      <c r="Q261" s="44"/>
    </row>
    <row r="262" spans="1:17" s="40" customFormat="1">
      <c r="A262" s="148"/>
      <c r="B262" s="148"/>
      <c r="C262" s="43"/>
      <c r="D262" s="35" t="s">
        <v>217</v>
      </c>
      <c r="E262" s="35"/>
      <c r="F262" s="35"/>
      <c r="G262" s="35"/>
      <c r="J262" s="38"/>
      <c r="K262" s="44"/>
      <c r="M262" s="41"/>
      <c r="N262" s="44"/>
      <c r="O262" s="35"/>
      <c r="P262" s="41"/>
      <c r="Q262" s="44"/>
    </row>
    <row r="263" spans="1:17" s="40" customFormat="1">
      <c r="A263" s="148"/>
      <c r="B263" s="148"/>
      <c r="C263" s="43"/>
      <c r="D263" s="35" t="s">
        <v>218</v>
      </c>
      <c r="E263" s="35"/>
      <c r="F263" s="35"/>
      <c r="G263" s="35"/>
      <c r="J263" s="38"/>
      <c r="K263" s="44"/>
      <c r="M263" s="41"/>
      <c r="N263" s="44"/>
      <c r="O263" s="35"/>
      <c r="P263" s="41"/>
      <c r="Q263" s="44"/>
    </row>
    <row r="264" spans="1:17" s="40" customFormat="1">
      <c r="A264" s="148"/>
      <c r="B264" s="148"/>
      <c r="C264" s="43"/>
      <c r="D264" s="35" t="s">
        <v>383</v>
      </c>
      <c r="E264" s="35"/>
      <c r="F264" s="35"/>
      <c r="G264" s="35"/>
      <c r="J264" s="38"/>
      <c r="K264" s="44"/>
      <c r="M264" s="41"/>
      <c r="N264" s="44"/>
      <c r="O264" s="35"/>
      <c r="P264" s="41"/>
      <c r="Q264" s="44"/>
    </row>
    <row r="265" spans="1:17" s="40" customFormat="1">
      <c r="A265" s="148" t="s">
        <v>384</v>
      </c>
      <c r="B265" s="148"/>
      <c r="C265" s="43"/>
      <c r="D265" s="35"/>
      <c r="E265" s="35"/>
      <c r="F265" s="35"/>
      <c r="G265" s="35"/>
      <c r="J265" s="38">
        <v>64</v>
      </c>
      <c r="K265" s="44" t="s">
        <v>204</v>
      </c>
      <c r="M265" s="41">
        <v>16.399999999999999</v>
      </c>
      <c r="N265" s="44" t="s">
        <v>274</v>
      </c>
      <c r="O265" s="35"/>
      <c r="P265" s="41">
        <v>16.7</v>
      </c>
      <c r="Q265" s="44" t="s">
        <v>274</v>
      </c>
    </row>
    <row r="266" spans="1:17" s="40" customFormat="1">
      <c r="A266" s="148" t="s">
        <v>385</v>
      </c>
      <c r="B266" s="148"/>
      <c r="C266" s="43"/>
      <c r="D266" s="35"/>
      <c r="E266" s="35"/>
      <c r="F266" s="35"/>
      <c r="G266" s="35"/>
      <c r="J266" s="38">
        <v>73</v>
      </c>
      <c r="K266" s="44" t="s">
        <v>204</v>
      </c>
      <c r="M266" s="41">
        <v>18.600000000000001</v>
      </c>
      <c r="N266" s="44" t="s">
        <v>274</v>
      </c>
      <c r="O266" s="35"/>
      <c r="P266" s="41">
        <v>18.899999999999999</v>
      </c>
      <c r="Q266" s="44" t="s">
        <v>274</v>
      </c>
    </row>
    <row r="267" spans="1:17" s="40" customFormat="1">
      <c r="A267" s="148" t="s">
        <v>386</v>
      </c>
      <c r="B267" s="148"/>
      <c r="C267" s="43"/>
      <c r="D267" s="35"/>
      <c r="E267" s="35"/>
      <c r="F267" s="35"/>
      <c r="G267" s="35"/>
      <c r="J267" s="38">
        <v>75</v>
      </c>
      <c r="K267" s="44" t="s">
        <v>204</v>
      </c>
      <c r="M267" s="41">
        <v>19.2</v>
      </c>
      <c r="N267" s="44" t="s">
        <v>274</v>
      </c>
      <c r="O267" s="35"/>
      <c r="P267" s="41">
        <v>19.5</v>
      </c>
      <c r="Q267" s="44" t="s">
        <v>274</v>
      </c>
    </row>
    <row r="268" spans="1:17" s="40" customFormat="1">
      <c r="A268" s="148" t="s">
        <v>387</v>
      </c>
      <c r="B268" s="148"/>
      <c r="C268" s="43"/>
      <c r="D268" s="35"/>
      <c r="E268" s="35"/>
      <c r="F268" s="35"/>
      <c r="G268" s="35"/>
      <c r="J268" s="38">
        <v>73</v>
      </c>
      <c r="K268" s="44" t="s">
        <v>204</v>
      </c>
      <c r="M268" s="41">
        <v>18.600000000000001</v>
      </c>
      <c r="N268" s="44" t="s">
        <v>274</v>
      </c>
      <c r="O268" s="35"/>
      <c r="P268" s="41">
        <v>18.899999999999999</v>
      </c>
      <c r="Q268" s="44" t="s">
        <v>274</v>
      </c>
    </row>
    <row r="269" spans="1:17" s="40" customFormat="1">
      <c r="A269" s="148" t="s">
        <v>388</v>
      </c>
      <c r="B269" s="148"/>
      <c r="C269" s="43"/>
      <c r="D269" s="35"/>
      <c r="E269" s="35"/>
      <c r="F269" s="35"/>
      <c r="G269" s="35"/>
      <c r="J269" s="38">
        <v>67</v>
      </c>
      <c r="K269" s="44" t="s">
        <v>204</v>
      </c>
      <c r="M269" s="41">
        <v>17.2</v>
      </c>
      <c r="N269" s="44" t="s">
        <v>274</v>
      </c>
      <c r="O269" s="35"/>
      <c r="P269" s="41">
        <v>17.5</v>
      </c>
      <c r="Q269" s="44" t="s">
        <v>274</v>
      </c>
    </row>
    <row r="270" spans="1:17" s="40" customFormat="1">
      <c r="A270" s="148" t="s">
        <v>389</v>
      </c>
      <c r="B270" s="148"/>
      <c r="C270" s="43"/>
      <c r="D270" s="35"/>
      <c r="E270" s="35"/>
      <c r="F270" s="35"/>
      <c r="G270" s="35"/>
      <c r="J270" s="38">
        <v>69</v>
      </c>
      <c r="K270" s="44" t="s">
        <v>204</v>
      </c>
      <c r="M270" s="41">
        <v>17.5</v>
      </c>
      <c r="N270" s="44" t="s">
        <v>274</v>
      </c>
      <c r="O270" s="35"/>
      <c r="P270" s="41">
        <v>17.8</v>
      </c>
      <c r="Q270" s="44" t="s">
        <v>274</v>
      </c>
    </row>
    <row r="271" spans="1:17" s="40" customFormat="1">
      <c r="A271" s="148" t="s">
        <v>390</v>
      </c>
      <c r="B271" s="148"/>
      <c r="C271" s="43"/>
      <c r="D271" s="35"/>
      <c r="E271" s="35"/>
      <c r="F271" s="35"/>
      <c r="G271" s="35"/>
      <c r="J271" s="38">
        <v>74</v>
      </c>
      <c r="K271" s="44" t="s">
        <v>204</v>
      </c>
      <c r="M271" s="41">
        <v>19</v>
      </c>
      <c r="N271" s="44" t="s">
        <v>274</v>
      </c>
      <c r="O271" s="35"/>
      <c r="P271" s="41">
        <v>19.3</v>
      </c>
      <c r="Q271" s="44" t="s">
        <v>274</v>
      </c>
    </row>
    <row r="272" spans="1:17" s="40" customFormat="1">
      <c r="A272" s="148" t="s">
        <v>391</v>
      </c>
      <c r="B272" s="148"/>
      <c r="C272" s="43"/>
      <c r="D272" s="35"/>
      <c r="E272" s="35"/>
      <c r="F272" s="35"/>
      <c r="G272" s="35"/>
      <c r="J272" s="38">
        <v>74</v>
      </c>
      <c r="K272" s="44" t="s">
        <v>204</v>
      </c>
      <c r="M272" s="41">
        <v>18.8</v>
      </c>
      <c r="N272" s="44" t="s">
        <v>274</v>
      </c>
      <c r="O272" s="35"/>
      <c r="P272" s="41">
        <v>19.100000000000001</v>
      </c>
      <c r="Q272" s="44" t="s">
        <v>274</v>
      </c>
    </row>
    <row r="273" spans="1:17" s="40" customFormat="1">
      <c r="A273" s="148" t="s">
        <v>392</v>
      </c>
      <c r="B273" s="148"/>
      <c r="C273" s="43"/>
      <c r="D273" s="35"/>
      <c r="E273" s="35"/>
      <c r="F273" s="35"/>
      <c r="G273" s="35"/>
      <c r="J273" s="38">
        <v>67</v>
      </c>
      <c r="K273" s="44" t="s">
        <v>204</v>
      </c>
      <c r="M273" s="41">
        <v>17</v>
      </c>
      <c r="N273" s="44" t="s">
        <v>274</v>
      </c>
      <c r="O273" s="35"/>
      <c r="P273" s="41">
        <v>17.3</v>
      </c>
      <c r="Q273" s="44" t="s">
        <v>274</v>
      </c>
    </row>
    <row r="274" spans="1:17" s="40" customFormat="1">
      <c r="A274" s="148" t="s">
        <v>393</v>
      </c>
      <c r="B274" s="148"/>
      <c r="C274" s="43"/>
      <c r="D274" s="35"/>
      <c r="E274" s="35"/>
      <c r="F274" s="35"/>
      <c r="G274" s="35"/>
      <c r="J274" s="38">
        <v>71</v>
      </c>
      <c r="K274" s="44" t="s">
        <v>204</v>
      </c>
      <c r="M274" s="41">
        <v>18.2</v>
      </c>
      <c r="N274" s="44" t="s">
        <v>274</v>
      </c>
      <c r="O274" s="35"/>
      <c r="P274" s="41">
        <v>18.5</v>
      </c>
      <c r="Q274" s="44" t="s">
        <v>274</v>
      </c>
    </row>
    <row r="275" spans="1:17" s="40" customFormat="1">
      <c r="A275" s="148" t="s">
        <v>394</v>
      </c>
      <c r="B275" s="148"/>
      <c r="C275" s="43"/>
      <c r="D275" s="35"/>
      <c r="E275" s="35"/>
      <c r="F275" s="35"/>
      <c r="G275" s="35"/>
      <c r="J275" s="38">
        <v>72</v>
      </c>
      <c r="K275" s="44" t="s">
        <v>204</v>
      </c>
      <c r="M275" s="41">
        <v>18.3</v>
      </c>
      <c r="N275" s="44" t="s">
        <v>274</v>
      </c>
      <c r="O275" s="35"/>
      <c r="P275" s="41">
        <v>18.600000000000001</v>
      </c>
      <c r="Q275" s="44" t="s">
        <v>274</v>
      </c>
    </row>
    <row r="276" spans="1:17" s="40" customFormat="1">
      <c r="A276" s="148" t="s">
        <v>395</v>
      </c>
      <c r="B276" s="148"/>
      <c r="C276" s="43"/>
      <c r="D276" s="35"/>
      <c r="E276" s="35"/>
      <c r="F276" s="35"/>
      <c r="G276" s="35"/>
      <c r="J276" s="38">
        <v>61</v>
      </c>
      <c r="K276" s="44" t="s">
        <v>204</v>
      </c>
      <c r="M276" s="41">
        <v>15.6</v>
      </c>
      <c r="N276" s="44" t="s">
        <v>274</v>
      </c>
      <c r="O276" s="35"/>
      <c r="P276" s="41">
        <v>15.9</v>
      </c>
      <c r="Q276" s="44" t="s">
        <v>274</v>
      </c>
    </row>
    <row r="277" spans="1:17" s="40" customFormat="1">
      <c r="A277" s="148"/>
      <c r="B277" s="148"/>
      <c r="C277" s="43"/>
      <c r="D277" s="35"/>
      <c r="E277" s="35"/>
      <c r="F277" s="35"/>
      <c r="G277" s="35"/>
      <c r="J277" s="38"/>
      <c r="K277" s="44"/>
      <c r="M277" s="41"/>
      <c r="N277" s="44"/>
      <c r="O277" s="35"/>
      <c r="P277" s="41"/>
      <c r="Q277" s="44"/>
    </row>
    <row r="278" spans="1:17" s="40" customFormat="1">
      <c r="A278" s="148"/>
      <c r="B278" s="148"/>
      <c r="C278" s="43"/>
      <c r="D278" s="35" t="s">
        <v>219</v>
      </c>
      <c r="E278" s="35"/>
      <c r="F278" s="35"/>
      <c r="G278" s="35"/>
      <c r="J278" s="38"/>
      <c r="K278" s="44"/>
      <c r="M278" s="41"/>
      <c r="N278" s="44"/>
      <c r="O278" s="35"/>
      <c r="P278" s="41"/>
      <c r="Q278" s="44"/>
    </row>
    <row r="279" spans="1:17" s="40" customFormat="1">
      <c r="A279" s="148"/>
      <c r="B279" s="148"/>
      <c r="C279" s="43"/>
      <c r="D279" s="35" t="s">
        <v>396</v>
      </c>
      <c r="E279" s="35"/>
      <c r="F279" s="35"/>
      <c r="G279" s="35"/>
      <c r="J279" s="38"/>
      <c r="K279" s="44"/>
      <c r="M279" s="41"/>
      <c r="N279" s="44"/>
      <c r="O279" s="35"/>
      <c r="P279" s="41"/>
      <c r="Q279" s="44"/>
    </row>
    <row r="280" spans="1:17" s="40" customFormat="1">
      <c r="A280" s="148" t="s">
        <v>397</v>
      </c>
      <c r="B280" s="148"/>
      <c r="C280" s="43"/>
      <c r="D280" s="35"/>
      <c r="E280" s="35"/>
      <c r="F280" s="35"/>
      <c r="G280" s="35"/>
      <c r="J280" s="38">
        <v>74</v>
      </c>
      <c r="K280" s="44" t="s">
        <v>204</v>
      </c>
      <c r="M280" s="41">
        <v>19.100000000000001</v>
      </c>
      <c r="N280" s="44" t="s">
        <v>274</v>
      </c>
      <c r="O280" s="35"/>
      <c r="P280" s="41">
        <v>19.399999999999999</v>
      </c>
      <c r="Q280" s="44" t="s">
        <v>274</v>
      </c>
    </row>
    <row r="281" spans="1:17" s="40" customFormat="1">
      <c r="A281" s="148" t="s">
        <v>398</v>
      </c>
      <c r="B281" s="148"/>
      <c r="C281" s="43"/>
      <c r="D281" s="35"/>
      <c r="E281" s="35"/>
      <c r="F281" s="35"/>
      <c r="G281" s="35"/>
      <c r="J281" s="38">
        <v>74</v>
      </c>
      <c r="K281" s="44" t="s">
        <v>204</v>
      </c>
      <c r="M281" s="41">
        <v>19.100000000000001</v>
      </c>
      <c r="N281" s="44" t="s">
        <v>274</v>
      </c>
      <c r="O281" s="35"/>
      <c r="P281" s="41">
        <v>19.399999999999999</v>
      </c>
      <c r="Q281" s="44" t="s">
        <v>274</v>
      </c>
    </row>
    <row r="282" spans="1:17" s="40" customFormat="1">
      <c r="A282" s="148" t="s">
        <v>399</v>
      </c>
      <c r="B282" s="148"/>
      <c r="C282" s="43"/>
      <c r="D282" s="35"/>
      <c r="E282" s="35"/>
      <c r="F282" s="35"/>
      <c r="G282" s="35"/>
      <c r="J282" s="38">
        <v>71</v>
      </c>
      <c r="K282" s="44" t="s">
        <v>204</v>
      </c>
      <c r="M282" s="41">
        <v>18.3</v>
      </c>
      <c r="N282" s="44" t="s">
        <v>274</v>
      </c>
      <c r="O282" s="35"/>
      <c r="P282" s="41">
        <v>18.600000000000001</v>
      </c>
      <c r="Q282" s="44" t="s">
        <v>274</v>
      </c>
    </row>
    <row r="283" spans="1:17" s="40" customFormat="1">
      <c r="A283" s="148" t="s">
        <v>400</v>
      </c>
      <c r="B283" s="148"/>
      <c r="C283" s="43"/>
      <c r="D283" s="35"/>
      <c r="E283" s="35"/>
      <c r="F283" s="35"/>
      <c r="G283" s="35"/>
      <c r="J283" s="38">
        <v>73</v>
      </c>
      <c r="K283" s="44" t="s">
        <v>204</v>
      </c>
      <c r="M283" s="41">
        <v>18.899999999999999</v>
      </c>
      <c r="N283" s="44" t="s">
        <v>274</v>
      </c>
      <c r="O283" s="35"/>
      <c r="P283" s="41">
        <v>19.2</v>
      </c>
      <c r="Q283" s="44" t="s">
        <v>274</v>
      </c>
    </row>
    <row r="284" spans="1:17" s="40" customFormat="1">
      <c r="A284" s="148" t="s">
        <v>401</v>
      </c>
      <c r="B284" s="148"/>
      <c r="C284" s="43"/>
      <c r="D284" s="35"/>
      <c r="E284" s="35"/>
      <c r="F284" s="35"/>
      <c r="G284" s="35"/>
      <c r="J284" s="38">
        <v>36</v>
      </c>
      <c r="K284" s="44" t="s">
        <v>204</v>
      </c>
      <c r="M284" s="41">
        <v>9.5</v>
      </c>
      <c r="N284" s="44" t="s">
        <v>274</v>
      </c>
      <c r="O284" s="35"/>
      <c r="P284" s="41">
        <v>9.8000000000000007</v>
      </c>
      <c r="Q284" s="44" t="s">
        <v>274</v>
      </c>
    </row>
    <row r="285" spans="1:17" s="40" customFormat="1">
      <c r="A285" s="148" t="s">
        <v>402</v>
      </c>
      <c r="B285" s="148"/>
      <c r="C285" s="43"/>
      <c r="D285" s="35"/>
      <c r="E285" s="35"/>
      <c r="F285" s="35"/>
      <c r="G285" s="35"/>
      <c r="J285" s="38">
        <v>40</v>
      </c>
      <c r="K285" s="44" t="s">
        <v>204</v>
      </c>
      <c r="M285" s="41">
        <v>10.199999999999999</v>
      </c>
      <c r="N285" s="44" t="s">
        <v>274</v>
      </c>
      <c r="O285" s="35"/>
      <c r="P285" s="41">
        <v>10.5</v>
      </c>
      <c r="Q285" s="44" t="s">
        <v>274</v>
      </c>
    </row>
    <row r="286" spans="1:17" s="40" customFormat="1">
      <c r="A286" s="148" t="s">
        <v>403</v>
      </c>
      <c r="B286" s="148"/>
      <c r="C286" s="43"/>
      <c r="D286" s="35"/>
      <c r="E286" s="35"/>
      <c r="F286" s="35"/>
      <c r="G286" s="35"/>
      <c r="J286" s="38">
        <v>72</v>
      </c>
      <c r="K286" s="44" t="s">
        <v>204</v>
      </c>
      <c r="M286" s="41">
        <v>18.600000000000001</v>
      </c>
      <c r="N286" s="44" t="s">
        <v>274</v>
      </c>
      <c r="O286" s="35"/>
      <c r="P286" s="41">
        <v>18.899999999999999</v>
      </c>
      <c r="Q286" s="44" t="s">
        <v>274</v>
      </c>
    </row>
    <row r="287" spans="1:17" s="40" customFormat="1">
      <c r="A287" s="148" t="s">
        <v>404</v>
      </c>
      <c r="B287" s="148"/>
      <c r="C287" s="43"/>
      <c r="D287" s="35"/>
      <c r="E287" s="35"/>
      <c r="F287" s="35"/>
      <c r="G287" s="35"/>
      <c r="J287" s="38">
        <v>76</v>
      </c>
      <c r="K287" s="44" t="s">
        <v>204</v>
      </c>
      <c r="M287" s="41">
        <v>19.600000000000001</v>
      </c>
      <c r="N287" s="44" t="s">
        <v>274</v>
      </c>
      <c r="O287" s="35"/>
      <c r="P287" s="41">
        <v>19.899999999999999</v>
      </c>
      <c r="Q287" s="44" t="s">
        <v>274</v>
      </c>
    </row>
    <row r="288" spans="1:17" s="40" customFormat="1">
      <c r="A288" s="148" t="s">
        <v>405</v>
      </c>
      <c r="B288" s="148"/>
      <c r="C288" s="43"/>
      <c r="D288" s="35"/>
      <c r="E288" s="35"/>
      <c r="F288" s="35"/>
      <c r="G288" s="35"/>
      <c r="J288" s="38">
        <v>77</v>
      </c>
      <c r="K288" s="44" t="s">
        <v>204</v>
      </c>
      <c r="M288" s="41">
        <v>19.899999999999999</v>
      </c>
      <c r="N288" s="44" t="s">
        <v>274</v>
      </c>
      <c r="O288" s="35"/>
      <c r="P288" s="41">
        <v>20.2</v>
      </c>
      <c r="Q288" s="44" t="s">
        <v>274</v>
      </c>
    </row>
    <row r="289" spans="1:17" s="40" customFormat="1">
      <c r="A289" s="148" t="s">
        <v>406</v>
      </c>
      <c r="B289" s="148"/>
      <c r="C289" s="43"/>
      <c r="D289" s="35"/>
      <c r="E289" s="35"/>
      <c r="F289" s="35"/>
      <c r="G289" s="35"/>
      <c r="J289" s="38">
        <v>77</v>
      </c>
      <c r="K289" s="44" t="s">
        <v>204</v>
      </c>
      <c r="M289" s="41">
        <v>19.8</v>
      </c>
      <c r="N289" s="44" t="s">
        <v>274</v>
      </c>
      <c r="O289" s="35"/>
      <c r="P289" s="41">
        <v>20.100000000000001</v>
      </c>
      <c r="Q289" s="44" t="s">
        <v>274</v>
      </c>
    </row>
    <row r="290" spans="1:17" s="40" customFormat="1">
      <c r="A290" s="148" t="s">
        <v>407</v>
      </c>
      <c r="B290" s="148"/>
      <c r="C290" s="43"/>
      <c r="D290" s="35"/>
      <c r="E290" s="35"/>
      <c r="F290" s="35"/>
      <c r="G290" s="35"/>
      <c r="J290" s="38">
        <v>77</v>
      </c>
      <c r="K290" s="44" t="s">
        <v>204</v>
      </c>
      <c r="M290" s="41">
        <v>19.7</v>
      </c>
      <c r="N290" s="44" t="s">
        <v>274</v>
      </c>
      <c r="O290" s="35"/>
      <c r="P290" s="41">
        <v>20</v>
      </c>
      <c r="Q290" s="44" t="s">
        <v>274</v>
      </c>
    </row>
    <row r="291" spans="1:17" s="40" customFormat="1">
      <c r="A291" s="148" t="s">
        <v>408</v>
      </c>
      <c r="B291" s="148"/>
      <c r="C291" s="43"/>
      <c r="D291" s="35"/>
      <c r="E291" s="35"/>
      <c r="F291" s="35"/>
      <c r="G291" s="35"/>
      <c r="J291" s="38">
        <v>76</v>
      </c>
      <c r="K291" s="44" t="s">
        <v>204</v>
      </c>
      <c r="M291" s="41">
        <v>19.600000000000001</v>
      </c>
      <c r="N291" s="44" t="s">
        <v>274</v>
      </c>
      <c r="O291" s="35"/>
      <c r="P291" s="41">
        <v>19.899999999999999</v>
      </c>
      <c r="Q291" s="44" t="s">
        <v>274</v>
      </c>
    </row>
    <row r="292" spans="1:17" s="40" customFormat="1">
      <c r="A292" s="148" t="s">
        <v>409</v>
      </c>
      <c r="B292" s="148"/>
      <c r="C292" s="43"/>
      <c r="D292" s="35"/>
      <c r="E292" s="35"/>
      <c r="F292" s="35"/>
      <c r="G292" s="35"/>
      <c r="J292" s="38">
        <v>73</v>
      </c>
      <c r="K292" s="44" t="s">
        <v>204</v>
      </c>
      <c r="M292" s="41">
        <v>18.899999999999999</v>
      </c>
      <c r="N292" s="44" t="s">
        <v>274</v>
      </c>
      <c r="O292" s="35"/>
      <c r="P292" s="41">
        <v>19.2</v>
      </c>
      <c r="Q292" s="44" t="s">
        <v>274</v>
      </c>
    </row>
    <row r="293" spans="1:17" s="40" customFormat="1">
      <c r="A293" s="148" t="s">
        <v>410</v>
      </c>
      <c r="B293" s="148"/>
      <c r="C293" s="43"/>
      <c r="D293" s="35"/>
      <c r="E293" s="35"/>
      <c r="F293" s="35"/>
      <c r="G293" s="35"/>
      <c r="J293" s="38">
        <v>77</v>
      </c>
      <c r="K293" s="44" t="s">
        <v>204</v>
      </c>
      <c r="M293" s="41">
        <v>19.7</v>
      </c>
      <c r="N293" s="44" t="s">
        <v>274</v>
      </c>
      <c r="O293" s="35"/>
      <c r="P293" s="41">
        <v>20</v>
      </c>
      <c r="Q293" s="44" t="s">
        <v>274</v>
      </c>
    </row>
    <row r="294" spans="1:17" s="40" customFormat="1">
      <c r="A294" s="148" t="s">
        <v>411</v>
      </c>
      <c r="B294" s="148"/>
      <c r="C294" s="43"/>
      <c r="D294" s="35"/>
      <c r="E294" s="35"/>
      <c r="F294" s="35"/>
      <c r="G294" s="35"/>
      <c r="J294" s="38">
        <v>76</v>
      </c>
      <c r="K294" s="44" t="s">
        <v>204</v>
      </c>
      <c r="M294" s="41">
        <v>19.600000000000001</v>
      </c>
      <c r="N294" s="44" t="s">
        <v>274</v>
      </c>
      <c r="O294" s="35"/>
      <c r="P294" s="41">
        <v>19.899999999999999</v>
      </c>
      <c r="Q294" s="44" t="s">
        <v>274</v>
      </c>
    </row>
    <row r="295" spans="1:17" s="40" customFormat="1">
      <c r="A295" s="148" t="s">
        <v>412</v>
      </c>
      <c r="B295" s="148"/>
      <c r="C295" s="43"/>
      <c r="D295" s="35"/>
      <c r="E295" s="35"/>
      <c r="F295" s="35"/>
      <c r="G295" s="35"/>
      <c r="J295" s="38">
        <v>76</v>
      </c>
      <c r="K295" s="44" t="s">
        <v>204</v>
      </c>
      <c r="M295" s="41">
        <v>19.600000000000001</v>
      </c>
      <c r="N295" s="44" t="s">
        <v>274</v>
      </c>
      <c r="O295" s="35"/>
      <c r="P295" s="41">
        <v>19.899999999999999</v>
      </c>
      <c r="Q295" s="44" t="s">
        <v>274</v>
      </c>
    </row>
    <row r="296" spans="1:17" s="40" customFormat="1">
      <c r="A296" s="148" t="s">
        <v>413</v>
      </c>
      <c r="B296" s="148"/>
      <c r="C296" s="43"/>
      <c r="D296" s="35"/>
      <c r="E296" s="35"/>
      <c r="F296" s="35"/>
      <c r="G296" s="35"/>
      <c r="J296" s="38">
        <v>76</v>
      </c>
      <c r="K296" s="44" t="s">
        <v>204</v>
      </c>
      <c r="M296" s="41">
        <v>19.600000000000001</v>
      </c>
      <c r="N296" s="44" t="s">
        <v>274</v>
      </c>
      <c r="O296" s="35"/>
      <c r="P296" s="41">
        <v>19.899999999999999</v>
      </c>
      <c r="Q296" s="44" t="s">
        <v>274</v>
      </c>
    </row>
    <row r="297" spans="1:17" s="40" customFormat="1">
      <c r="A297" s="148" t="s">
        <v>414</v>
      </c>
      <c r="B297" s="148"/>
      <c r="C297" s="43"/>
      <c r="D297" s="35"/>
      <c r="E297" s="35"/>
      <c r="F297" s="35"/>
      <c r="G297" s="35"/>
      <c r="J297" s="38">
        <v>72</v>
      </c>
      <c r="K297" s="44" t="s">
        <v>204</v>
      </c>
      <c r="M297" s="41">
        <v>18.600000000000001</v>
      </c>
      <c r="N297" s="44" t="s">
        <v>274</v>
      </c>
      <c r="O297" s="35"/>
      <c r="P297" s="41">
        <v>18.899999999999999</v>
      </c>
      <c r="Q297" s="44" t="s">
        <v>274</v>
      </c>
    </row>
    <row r="298" spans="1:17" s="40" customFormat="1">
      <c r="A298" s="148" t="s">
        <v>415</v>
      </c>
      <c r="B298" s="148"/>
      <c r="C298" s="43"/>
      <c r="D298" s="35"/>
      <c r="E298" s="35"/>
      <c r="F298" s="35"/>
      <c r="G298" s="35"/>
      <c r="J298" s="38">
        <v>75</v>
      </c>
      <c r="K298" s="44" t="s">
        <v>204</v>
      </c>
      <c r="M298" s="41">
        <v>19.2</v>
      </c>
      <c r="N298" s="44" t="s">
        <v>274</v>
      </c>
      <c r="O298" s="35"/>
      <c r="P298" s="41">
        <v>19.5</v>
      </c>
      <c r="Q298" s="44" t="s">
        <v>274</v>
      </c>
    </row>
    <row r="299" spans="1:17" s="40" customFormat="1">
      <c r="A299" s="148" t="s">
        <v>416</v>
      </c>
      <c r="B299" s="148"/>
      <c r="C299" s="43"/>
      <c r="D299" s="35"/>
      <c r="E299" s="35"/>
      <c r="F299" s="35"/>
      <c r="G299" s="35"/>
      <c r="J299" s="38">
        <v>76</v>
      </c>
      <c r="K299" s="44" t="s">
        <v>204</v>
      </c>
      <c r="M299" s="41">
        <v>19.600000000000001</v>
      </c>
      <c r="N299" s="44" t="s">
        <v>274</v>
      </c>
      <c r="O299" s="35"/>
      <c r="P299" s="41">
        <v>19.899999999999999</v>
      </c>
      <c r="Q299" s="44" t="s">
        <v>274</v>
      </c>
    </row>
    <row r="300" spans="1:17" s="40" customFormat="1">
      <c r="A300" s="148" t="s">
        <v>417</v>
      </c>
      <c r="B300" s="148"/>
      <c r="C300" s="43"/>
      <c r="D300" s="35"/>
      <c r="E300" s="35"/>
      <c r="F300" s="35"/>
      <c r="G300" s="35"/>
      <c r="J300" s="38">
        <v>77</v>
      </c>
      <c r="K300" s="44" t="s">
        <v>204</v>
      </c>
      <c r="M300" s="41">
        <v>19.8</v>
      </c>
      <c r="N300" s="44" t="s">
        <v>274</v>
      </c>
      <c r="O300" s="35"/>
      <c r="P300" s="41">
        <v>20.100000000000001</v>
      </c>
      <c r="Q300" s="44" t="s">
        <v>274</v>
      </c>
    </row>
    <row r="301" spans="1:17" s="40" customFormat="1">
      <c r="A301" s="148" t="s">
        <v>418</v>
      </c>
      <c r="B301" s="148"/>
      <c r="C301" s="43"/>
      <c r="D301" s="35"/>
      <c r="E301" s="35"/>
      <c r="F301" s="35"/>
      <c r="G301" s="35"/>
      <c r="J301" s="38">
        <v>29</v>
      </c>
      <c r="K301" s="44" t="s">
        <v>204</v>
      </c>
      <c r="M301" s="41">
        <v>7.5</v>
      </c>
      <c r="N301" s="44" t="s">
        <v>274</v>
      </c>
      <c r="O301" s="35"/>
      <c r="P301" s="41">
        <v>7.8</v>
      </c>
      <c r="Q301" s="44" t="s">
        <v>274</v>
      </c>
    </row>
    <row r="302" spans="1:17" s="40" customFormat="1">
      <c r="A302" s="148" t="s">
        <v>419</v>
      </c>
      <c r="B302" s="148"/>
      <c r="C302" s="43"/>
      <c r="D302" s="35"/>
      <c r="E302" s="35"/>
      <c r="F302" s="35"/>
      <c r="G302" s="35"/>
      <c r="J302" s="38">
        <v>36</v>
      </c>
      <c r="K302" s="44" t="s">
        <v>204</v>
      </c>
      <c r="M302" s="41">
        <v>9.4</v>
      </c>
      <c r="N302" s="44" t="s">
        <v>274</v>
      </c>
      <c r="O302" s="35"/>
      <c r="P302" s="41">
        <v>9.6999999999999993</v>
      </c>
      <c r="Q302" s="44" t="s">
        <v>274</v>
      </c>
    </row>
    <row r="303" spans="1:17" s="40" customFormat="1">
      <c r="A303" s="148"/>
      <c r="B303" s="148"/>
      <c r="C303" s="43"/>
      <c r="D303" s="35"/>
      <c r="E303" s="35"/>
      <c r="F303" s="35"/>
      <c r="G303" s="35"/>
      <c r="J303" s="38"/>
      <c r="K303" s="44"/>
      <c r="M303" s="41"/>
      <c r="N303" s="44"/>
      <c r="O303" s="35"/>
      <c r="P303" s="41"/>
      <c r="Q303" s="44"/>
    </row>
    <row r="304" spans="1:17" s="40" customFormat="1">
      <c r="A304" s="148"/>
      <c r="B304" s="148"/>
      <c r="C304" s="43"/>
      <c r="D304" s="35" t="s">
        <v>220</v>
      </c>
      <c r="E304" s="35"/>
      <c r="F304" s="35"/>
      <c r="G304" s="35"/>
      <c r="J304" s="38"/>
      <c r="K304" s="44"/>
      <c r="M304" s="41"/>
      <c r="N304" s="44"/>
      <c r="O304" s="35"/>
      <c r="P304" s="41"/>
      <c r="Q304" s="44"/>
    </row>
    <row r="305" spans="1:17" s="40" customFormat="1">
      <c r="A305" s="148"/>
      <c r="B305" s="148"/>
      <c r="C305" s="43"/>
      <c r="D305" s="35" t="s">
        <v>420</v>
      </c>
      <c r="E305" s="35"/>
      <c r="F305" s="35"/>
      <c r="G305" s="35"/>
      <c r="J305" s="38"/>
      <c r="K305" s="44"/>
      <c r="M305" s="41"/>
      <c r="N305" s="44"/>
      <c r="O305" s="35"/>
      <c r="P305" s="41"/>
      <c r="Q305" s="44"/>
    </row>
    <row r="306" spans="1:17" s="40" customFormat="1">
      <c r="A306" s="148" t="s">
        <v>421</v>
      </c>
      <c r="B306" s="148"/>
      <c r="C306" s="43"/>
      <c r="D306" s="35"/>
      <c r="E306" s="35"/>
      <c r="F306" s="35"/>
      <c r="G306" s="35"/>
      <c r="J306" s="38">
        <v>27</v>
      </c>
      <c r="K306" s="44" t="s">
        <v>204</v>
      </c>
      <c r="M306" s="41">
        <v>6.9</v>
      </c>
      <c r="N306" s="44" t="s">
        <v>274</v>
      </c>
      <c r="O306" s="35"/>
      <c r="P306" s="41">
        <v>7.2</v>
      </c>
      <c r="Q306" s="44" t="s">
        <v>274</v>
      </c>
    </row>
    <row r="307" spans="1:17" s="40" customFormat="1">
      <c r="A307" s="148" t="s">
        <v>422</v>
      </c>
      <c r="B307" s="148"/>
      <c r="C307" s="43"/>
      <c r="D307" s="35"/>
      <c r="E307" s="35"/>
      <c r="F307" s="35"/>
      <c r="G307" s="35"/>
      <c r="J307" s="38">
        <v>69</v>
      </c>
      <c r="K307" s="44" t="s">
        <v>204</v>
      </c>
      <c r="M307" s="41">
        <v>17.7</v>
      </c>
      <c r="N307" s="44" t="s">
        <v>274</v>
      </c>
      <c r="O307" s="35"/>
      <c r="P307" s="41">
        <v>18</v>
      </c>
      <c r="Q307" s="44" t="s">
        <v>274</v>
      </c>
    </row>
    <row r="308" spans="1:17" s="40" customFormat="1">
      <c r="A308" s="148" t="s">
        <v>423</v>
      </c>
      <c r="B308" s="148"/>
      <c r="C308" s="43"/>
      <c r="D308" s="35"/>
      <c r="E308" s="35"/>
      <c r="F308" s="35"/>
      <c r="G308" s="35"/>
      <c r="J308" s="38">
        <v>75</v>
      </c>
      <c r="K308" s="44" t="s">
        <v>204</v>
      </c>
      <c r="M308" s="41">
        <v>19.100000000000001</v>
      </c>
      <c r="N308" s="44" t="s">
        <v>274</v>
      </c>
      <c r="O308" s="35"/>
      <c r="P308" s="41">
        <v>19.399999999999999</v>
      </c>
      <c r="Q308" s="44" t="s">
        <v>274</v>
      </c>
    </row>
    <row r="309" spans="1:17" s="40" customFormat="1">
      <c r="A309" s="148" t="s">
        <v>424</v>
      </c>
      <c r="B309" s="148"/>
      <c r="C309" s="43"/>
      <c r="D309" s="35"/>
      <c r="E309" s="35"/>
      <c r="F309" s="35"/>
      <c r="G309" s="35"/>
      <c r="J309" s="38">
        <v>69</v>
      </c>
      <c r="K309" s="44" t="s">
        <v>204</v>
      </c>
      <c r="M309" s="41">
        <v>17.7</v>
      </c>
      <c r="N309" s="44" t="s">
        <v>274</v>
      </c>
      <c r="O309" s="35"/>
      <c r="P309" s="41">
        <v>18</v>
      </c>
      <c r="Q309" s="44" t="s">
        <v>274</v>
      </c>
    </row>
    <row r="310" spans="1:17" s="40" customFormat="1">
      <c r="A310" s="148" t="s">
        <v>425</v>
      </c>
      <c r="B310" s="148"/>
      <c r="C310" s="43"/>
      <c r="D310" s="35"/>
      <c r="E310" s="35"/>
      <c r="F310" s="35"/>
      <c r="G310" s="35"/>
      <c r="J310" s="38">
        <v>62</v>
      </c>
      <c r="K310" s="44" t="s">
        <v>204</v>
      </c>
      <c r="M310" s="41">
        <v>15.9</v>
      </c>
      <c r="N310" s="44" t="s">
        <v>274</v>
      </c>
      <c r="O310" s="35"/>
      <c r="P310" s="41">
        <v>16.2</v>
      </c>
      <c r="Q310" s="44" t="s">
        <v>274</v>
      </c>
    </row>
    <row r="311" spans="1:17" s="40" customFormat="1">
      <c r="A311" s="148" t="s">
        <v>426</v>
      </c>
      <c r="B311" s="148"/>
      <c r="C311" s="43"/>
      <c r="D311" s="35"/>
      <c r="E311" s="35"/>
      <c r="F311" s="35"/>
      <c r="G311" s="35"/>
      <c r="J311" s="38">
        <v>75</v>
      </c>
      <c r="K311" s="44" t="s">
        <v>204</v>
      </c>
      <c r="M311" s="41">
        <v>19.3</v>
      </c>
      <c r="N311" s="44" t="s">
        <v>274</v>
      </c>
      <c r="O311" s="35"/>
      <c r="P311" s="41">
        <v>19.600000000000001</v>
      </c>
      <c r="Q311" s="44" t="s">
        <v>274</v>
      </c>
    </row>
    <row r="312" spans="1:17" s="40" customFormat="1">
      <c r="A312" s="148" t="s">
        <v>427</v>
      </c>
      <c r="B312" s="148"/>
      <c r="C312" s="43"/>
      <c r="D312" s="35"/>
      <c r="E312" s="35"/>
      <c r="F312" s="35"/>
      <c r="G312" s="35"/>
      <c r="J312" s="38">
        <v>69</v>
      </c>
      <c r="K312" s="44" t="s">
        <v>204</v>
      </c>
      <c r="M312" s="41">
        <v>17.7</v>
      </c>
      <c r="N312" s="44" t="s">
        <v>274</v>
      </c>
      <c r="O312" s="35"/>
      <c r="P312" s="41">
        <v>18</v>
      </c>
      <c r="Q312" s="44" t="s">
        <v>274</v>
      </c>
    </row>
    <row r="313" spans="1:17" s="40" customFormat="1">
      <c r="A313" s="148" t="s">
        <v>428</v>
      </c>
      <c r="B313" s="148"/>
      <c r="C313" s="43"/>
      <c r="D313" s="35"/>
      <c r="E313" s="35"/>
      <c r="F313" s="35"/>
      <c r="G313" s="35"/>
      <c r="J313" s="38">
        <v>65</v>
      </c>
      <c r="K313" s="44" t="s">
        <v>204</v>
      </c>
      <c r="M313" s="41">
        <v>16.5</v>
      </c>
      <c r="N313" s="44" t="s">
        <v>274</v>
      </c>
      <c r="O313" s="35"/>
      <c r="P313" s="41">
        <v>16.8</v>
      </c>
      <c r="Q313" s="44" t="s">
        <v>274</v>
      </c>
    </row>
    <row r="314" spans="1:17" s="40" customFormat="1">
      <c r="A314" s="148" t="s">
        <v>429</v>
      </c>
      <c r="B314" s="148"/>
      <c r="C314" s="43"/>
      <c r="D314" s="35"/>
      <c r="E314" s="35"/>
      <c r="F314" s="35"/>
      <c r="G314" s="35"/>
      <c r="J314" s="38">
        <v>70</v>
      </c>
      <c r="K314" s="44" t="s">
        <v>204</v>
      </c>
      <c r="M314" s="41">
        <v>17.899999999999999</v>
      </c>
      <c r="N314" s="44" t="s">
        <v>274</v>
      </c>
      <c r="O314" s="35"/>
      <c r="P314" s="41">
        <v>18.2</v>
      </c>
      <c r="Q314" s="44" t="s">
        <v>274</v>
      </c>
    </row>
    <row r="315" spans="1:17" s="40" customFormat="1">
      <c r="A315" s="148" t="s">
        <v>430</v>
      </c>
      <c r="B315" s="148"/>
      <c r="C315" s="43"/>
      <c r="D315" s="35"/>
      <c r="E315" s="35"/>
      <c r="F315" s="35"/>
      <c r="G315" s="35"/>
      <c r="J315" s="38">
        <v>76</v>
      </c>
      <c r="K315" s="44" t="s">
        <v>204</v>
      </c>
      <c r="M315" s="41">
        <v>19.3</v>
      </c>
      <c r="N315" s="44" t="s">
        <v>274</v>
      </c>
      <c r="O315" s="35"/>
      <c r="P315" s="41">
        <v>19.600000000000001</v>
      </c>
      <c r="Q315" s="44" t="s">
        <v>274</v>
      </c>
    </row>
    <row r="316" spans="1:17" s="40" customFormat="1">
      <c r="A316" s="148" t="s">
        <v>431</v>
      </c>
      <c r="B316" s="148"/>
      <c r="C316" s="43"/>
      <c r="D316" s="35"/>
      <c r="E316" s="35"/>
      <c r="F316" s="35"/>
      <c r="G316" s="35"/>
      <c r="J316" s="38">
        <v>74</v>
      </c>
      <c r="K316" s="44" t="s">
        <v>204</v>
      </c>
      <c r="M316" s="41">
        <v>18.8</v>
      </c>
      <c r="N316" s="44" t="s">
        <v>274</v>
      </c>
      <c r="O316" s="35"/>
      <c r="P316" s="41">
        <v>19.100000000000001</v>
      </c>
      <c r="Q316" s="44" t="s">
        <v>274</v>
      </c>
    </row>
    <row r="317" spans="1:17" s="40" customFormat="1">
      <c r="A317" s="148" t="s">
        <v>432</v>
      </c>
      <c r="B317" s="148"/>
      <c r="C317" s="43"/>
      <c r="D317" s="35"/>
      <c r="E317" s="35"/>
      <c r="F317" s="35"/>
      <c r="G317" s="35"/>
      <c r="J317" s="38">
        <v>76</v>
      </c>
      <c r="K317" s="44" t="s">
        <v>204</v>
      </c>
      <c r="M317" s="41">
        <v>19.3</v>
      </c>
      <c r="N317" s="44" t="s">
        <v>274</v>
      </c>
      <c r="O317" s="35"/>
      <c r="P317" s="41">
        <v>19.600000000000001</v>
      </c>
      <c r="Q317" s="44" t="s">
        <v>274</v>
      </c>
    </row>
    <row r="318" spans="1:17" s="40" customFormat="1">
      <c r="A318" s="148"/>
      <c r="B318" s="148"/>
      <c r="C318" s="43"/>
      <c r="D318" s="35"/>
      <c r="E318" s="35"/>
      <c r="F318" s="35"/>
      <c r="G318" s="35"/>
      <c r="J318" s="38"/>
      <c r="K318" s="44"/>
      <c r="M318" s="41"/>
      <c r="N318" s="44"/>
      <c r="O318" s="35"/>
      <c r="P318" s="41"/>
      <c r="Q318" s="44"/>
    </row>
    <row r="319" spans="1:17" s="40" customFormat="1">
      <c r="A319" s="148"/>
      <c r="B319" s="148"/>
      <c r="C319" s="43"/>
      <c r="D319" s="35" t="s">
        <v>221</v>
      </c>
      <c r="E319" s="35"/>
      <c r="F319" s="35"/>
      <c r="G319" s="35"/>
      <c r="J319" s="38"/>
      <c r="K319" s="44"/>
      <c r="M319" s="41"/>
      <c r="N319" s="44"/>
      <c r="O319" s="35"/>
      <c r="P319" s="41"/>
      <c r="Q319" s="44"/>
    </row>
    <row r="320" spans="1:17" s="40" customFormat="1">
      <c r="A320" s="148"/>
      <c r="B320" s="148"/>
      <c r="C320" s="43"/>
      <c r="D320" s="35" t="s">
        <v>433</v>
      </c>
      <c r="E320" s="35"/>
      <c r="F320" s="35"/>
      <c r="G320" s="35"/>
      <c r="J320" s="38"/>
      <c r="K320" s="44"/>
      <c r="M320" s="41"/>
      <c r="N320" s="44"/>
      <c r="O320" s="35"/>
      <c r="P320" s="41"/>
      <c r="Q320" s="44"/>
    </row>
    <row r="321" spans="1:17" s="40" customFormat="1">
      <c r="A321" s="148" t="s">
        <v>434</v>
      </c>
      <c r="B321" s="148"/>
      <c r="C321" s="43"/>
      <c r="D321" s="35"/>
      <c r="E321" s="35"/>
      <c r="F321" s="35"/>
      <c r="G321" s="35"/>
      <c r="J321" s="38">
        <v>72</v>
      </c>
      <c r="K321" s="44" t="s">
        <v>204</v>
      </c>
      <c r="M321" s="41">
        <v>18.899999999999999</v>
      </c>
      <c r="N321" s="44" t="s">
        <v>274</v>
      </c>
      <c r="O321" s="35"/>
      <c r="P321" s="41">
        <v>19.2</v>
      </c>
      <c r="Q321" s="44" t="s">
        <v>274</v>
      </c>
    </row>
    <row r="322" spans="1:17" s="40" customFormat="1">
      <c r="A322" s="148" t="s">
        <v>435</v>
      </c>
      <c r="B322" s="148"/>
      <c r="C322" s="43"/>
      <c r="D322" s="35"/>
      <c r="E322" s="35"/>
      <c r="F322" s="35"/>
      <c r="G322" s="35"/>
      <c r="J322" s="38">
        <v>72</v>
      </c>
      <c r="K322" s="44" t="s">
        <v>204</v>
      </c>
      <c r="M322" s="41">
        <v>18.7</v>
      </c>
      <c r="N322" s="44" t="s">
        <v>274</v>
      </c>
      <c r="O322" s="35"/>
      <c r="P322" s="41">
        <v>19</v>
      </c>
      <c r="Q322" s="44" t="s">
        <v>274</v>
      </c>
    </row>
    <row r="323" spans="1:17" s="40" customFormat="1">
      <c r="A323" s="148" t="s">
        <v>436</v>
      </c>
      <c r="B323" s="148"/>
      <c r="C323" s="43"/>
      <c r="D323" s="35"/>
      <c r="E323" s="35"/>
      <c r="F323" s="35"/>
      <c r="G323" s="35"/>
      <c r="J323" s="38">
        <v>73</v>
      </c>
      <c r="K323" s="44" t="s">
        <v>204</v>
      </c>
      <c r="M323" s="41">
        <v>19.100000000000001</v>
      </c>
      <c r="N323" s="44" t="s">
        <v>274</v>
      </c>
      <c r="O323" s="35"/>
      <c r="P323" s="41">
        <v>19.399999999999999</v>
      </c>
      <c r="Q323" s="44" t="s">
        <v>274</v>
      </c>
    </row>
    <row r="324" spans="1:17" s="40" customFormat="1">
      <c r="A324" s="148" t="s">
        <v>437</v>
      </c>
      <c r="B324" s="148"/>
      <c r="C324" s="43"/>
      <c r="D324" s="35"/>
      <c r="E324" s="35"/>
      <c r="F324" s="35"/>
      <c r="G324" s="35"/>
      <c r="J324" s="38">
        <v>70</v>
      </c>
      <c r="K324" s="44" t="s">
        <v>204</v>
      </c>
      <c r="M324" s="41">
        <v>18.3</v>
      </c>
      <c r="N324" s="44" t="s">
        <v>274</v>
      </c>
      <c r="O324" s="35"/>
      <c r="P324" s="41">
        <v>18.600000000000001</v>
      </c>
      <c r="Q324" s="44" t="s">
        <v>274</v>
      </c>
    </row>
    <row r="325" spans="1:17" s="40" customFormat="1">
      <c r="A325" s="148" t="s">
        <v>438</v>
      </c>
      <c r="B325" s="148"/>
      <c r="C325" s="43"/>
      <c r="D325" s="35"/>
      <c r="E325" s="35"/>
      <c r="F325" s="35"/>
      <c r="G325" s="35"/>
      <c r="J325" s="38">
        <v>63</v>
      </c>
      <c r="K325" s="44" t="s">
        <v>204</v>
      </c>
      <c r="M325" s="41">
        <v>16.5</v>
      </c>
      <c r="N325" s="44" t="s">
        <v>274</v>
      </c>
      <c r="O325" s="35"/>
      <c r="P325" s="41">
        <v>16.8</v>
      </c>
      <c r="Q325" s="44" t="s">
        <v>274</v>
      </c>
    </row>
    <row r="326" spans="1:17" s="40" customFormat="1">
      <c r="A326" s="148" t="s">
        <v>439</v>
      </c>
      <c r="B326" s="148"/>
      <c r="C326" s="43"/>
      <c r="D326" s="35"/>
      <c r="E326" s="35"/>
      <c r="F326" s="35"/>
      <c r="G326" s="35"/>
      <c r="J326" s="38">
        <v>15</v>
      </c>
      <c r="K326" s="44" t="s">
        <v>204</v>
      </c>
      <c r="M326" s="41">
        <v>4</v>
      </c>
      <c r="N326" s="44" t="s">
        <v>274</v>
      </c>
      <c r="O326" s="35"/>
      <c r="P326" s="41">
        <v>4.3</v>
      </c>
      <c r="Q326" s="44" t="s">
        <v>274</v>
      </c>
    </row>
    <row r="327" spans="1:17" s="40" customFormat="1">
      <c r="A327" s="148"/>
      <c r="B327" s="148"/>
      <c r="C327" s="43"/>
      <c r="D327" s="35"/>
      <c r="E327" s="35"/>
      <c r="F327" s="35"/>
      <c r="G327" s="35"/>
      <c r="J327" s="38"/>
      <c r="K327" s="44"/>
      <c r="M327" s="41"/>
      <c r="N327" s="44"/>
      <c r="O327" s="35"/>
      <c r="P327" s="41"/>
      <c r="Q327" s="44"/>
    </row>
    <row r="328" spans="1:17" s="40" customFormat="1">
      <c r="A328" s="148"/>
      <c r="B328" s="148"/>
      <c r="C328" s="43"/>
      <c r="D328" s="35" t="s">
        <v>222</v>
      </c>
      <c r="E328" s="35"/>
      <c r="F328" s="35"/>
      <c r="G328" s="35"/>
      <c r="J328" s="38"/>
      <c r="K328" s="44"/>
      <c r="M328" s="41"/>
      <c r="N328" s="44"/>
      <c r="O328" s="35"/>
      <c r="P328" s="41"/>
      <c r="Q328" s="44"/>
    </row>
    <row r="329" spans="1:17" s="40" customFormat="1">
      <c r="A329" s="148"/>
      <c r="B329" s="148"/>
      <c r="C329" s="43"/>
      <c r="D329" s="35" t="s">
        <v>440</v>
      </c>
      <c r="E329" s="35"/>
      <c r="F329" s="35"/>
      <c r="G329" s="35"/>
      <c r="J329" s="38"/>
      <c r="K329" s="44"/>
      <c r="M329" s="41"/>
      <c r="N329" s="44"/>
      <c r="O329" s="35"/>
      <c r="P329" s="41"/>
      <c r="Q329" s="44"/>
    </row>
    <row r="330" spans="1:17" s="40" customFormat="1">
      <c r="A330" s="148" t="s">
        <v>441</v>
      </c>
      <c r="B330" s="148"/>
      <c r="C330" s="43"/>
      <c r="D330" s="35"/>
      <c r="E330" s="35"/>
      <c r="F330" s="35"/>
      <c r="G330" s="35"/>
      <c r="J330" s="38">
        <v>74</v>
      </c>
      <c r="K330" s="44" t="s">
        <v>204</v>
      </c>
      <c r="M330" s="41">
        <v>19.2</v>
      </c>
      <c r="N330" s="44" t="s">
        <v>274</v>
      </c>
      <c r="O330" s="35"/>
      <c r="P330" s="41">
        <v>19.5</v>
      </c>
      <c r="Q330" s="44" t="s">
        <v>274</v>
      </c>
    </row>
    <row r="331" spans="1:17" s="40" customFormat="1">
      <c r="A331" s="148" t="s">
        <v>442</v>
      </c>
      <c r="B331" s="148"/>
      <c r="C331" s="43"/>
      <c r="D331" s="35"/>
      <c r="E331" s="35"/>
      <c r="F331" s="35"/>
      <c r="G331" s="35"/>
      <c r="J331" s="38">
        <v>70</v>
      </c>
      <c r="K331" s="44" t="s">
        <v>204</v>
      </c>
      <c r="M331" s="41">
        <v>18.2</v>
      </c>
      <c r="N331" s="44" t="s">
        <v>274</v>
      </c>
      <c r="O331" s="35"/>
      <c r="P331" s="41">
        <v>18.5</v>
      </c>
      <c r="Q331" s="44" t="s">
        <v>274</v>
      </c>
    </row>
    <row r="332" spans="1:17" s="40" customFormat="1">
      <c r="A332" s="148" t="s">
        <v>443</v>
      </c>
      <c r="B332" s="148"/>
      <c r="C332" s="43"/>
      <c r="D332" s="35"/>
      <c r="E332" s="35"/>
      <c r="F332" s="35"/>
      <c r="G332" s="35"/>
      <c r="J332" s="38">
        <v>74</v>
      </c>
      <c r="K332" s="44" t="s">
        <v>204</v>
      </c>
      <c r="M332" s="41">
        <v>19.2</v>
      </c>
      <c r="N332" s="44" t="s">
        <v>274</v>
      </c>
      <c r="O332" s="35"/>
      <c r="P332" s="41">
        <v>19.5</v>
      </c>
      <c r="Q332" s="44" t="s">
        <v>274</v>
      </c>
    </row>
    <row r="333" spans="1:17" s="40" customFormat="1">
      <c r="A333" s="148" t="s">
        <v>444</v>
      </c>
      <c r="B333" s="148"/>
      <c r="C333" s="43"/>
      <c r="D333" s="35"/>
      <c r="E333" s="35"/>
      <c r="F333" s="35"/>
      <c r="G333" s="35"/>
      <c r="J333" s="38">
        <v>68</v>
      </c>
      <c r="K333" s="44" t="s">
        <v>204</v>
      </c>
      <c r="M333" s="41">
        <v>17.600000000000001</v>
      </c>
      <c r="N333" s="44" t="s">
        <v>274</v>
      </c>
      <c r="O333" s="35"/>
      <c r="P333" s="41">
        <v>17.899999999999999</v>
      </c>
      <c r="Q333" s="44" t="s">
        <v>274</v>
      </c>
    </row>
    <row r="334" spans="1:17" s="40" customFormat="1">
      <c r="A334" s="148" t="s">
        <v>445</v>
      </c>
      <c r="B334" s="148"/>
      <c r="C334" s="43"/>
      <c r="D334" s="35"/>
      <c r="E334" s="35"/>
      <c r="F334" s="35"/>
      <c r="G334" s="35"/>
      <c r="J334" s="38">
        <v>67</v>
      </c>
      <c r="K334" s="44" t="s">
        <v>204</v>
      </c>
      <c r="M334" s="41">
        <v>17.3</v>
      </c>
      <c r="N334" s="44" t="s">
        <v>274</v>
      </c>
      <c r="O334" s="35"/>
      <c r="P334" s="41">
        <v>17.600000000000001</v>
      </c>
      <c r="Q334" s="44" t="s">
        <v>274</v>
      </c>
    </row>
    <row r="335" spans="1:17" s="40" customFormat="1">
      <c r="A335" s="148" t="s">
        <v>446</v>
      </c>
      <c r="B335" s="148"/>
      <c r="C335" s="43"/>
      <c r="D335" s="35"/>
      <c r="E335" s="35"/>
      <c r="F335" s="35"/>
      <c r="G335" s="35"/>
      <c r="J335" s="38">
        <v>72</v>
      </c>
      <c r="K335" s="44" t="s">
        <v>204</v>
      </c>
      <c r="M335" s="41">
        <v>18.8</v>
      </c>
      <c r="N335" s="44" t="s">
        <v>274</v>
      </c>
      <c r="O335" s="35"/>
      <c r="P335" s="41">
        <v>19.100000000000001</v>
      </c>
      <c r="Q335" s="44" t="s">
        <v>274</v>
      </c>
    </row>
    <row r="336" spans="1:17" s="40" customFormat="1">
      <c r="A336" s="148" t="s">
        <v>447</v>
      </c>
      <c r="B336" s="148"/>
      <c r="C336" s="43"/>
      <c r="D336" s="35"/>
      <c r="E336" s="35"/>
      <c r="F336" s="35"/>
      <c r="G336" s="35"/>
      <c r="J336" s="38">
        <v>73</v>
      </c>
      <c r="K336" s="44" t="s">
        <v>204</v>
      </c>
      <c r="M336" s="41">
        <v>18.899999999999999</v>
      </c>
      <c r="N336" s="44" t="s">
        <v>274</v>
      </c>
      <c r="O336" s="35"/>
      <c r="P336" s="41">
        <v>19.2</v>
      </c>
      <c r="Q336" s="44" t="s">
        <v>274</v>
      </c>
    </row>
    <row r="337" spans="1:17" s="40" customFormat="1">
      <c r="A337" s="148" t="s">
        <v>448</v>
      </c>
      <c r="B337" s="148"/>
      <c r="C337" s="43"/>
      <c r="D337" s="35"/>
      <c r="E337" s="35"/>
      <c r="F337" s="35"/>
      <c r="G337" s="35"/>
      <c r="J337" s="38">
        <v>71</v>
      </c>
      <c r="K337" s="44" t="s">
        <v>204</v>
      </c>
      <c r="M337" s="41">
        <v>18.3</v>
      </c>
      <c r="N337" s="44" t="s">
        <v>274</v>
      </c>
      <c r="O337" s="35"/>
      <c r="P337" s="41">
        <v>18.600000000000001</v>
      </c>
      <c r="Q337" s="44" t="s">
        <v>274</v>
      </c>
    </row>
    <row r="338" spans="1:17" s="40" customFormat="1">
      <c r="A338" s="148" t="s">
        <v>449</v>
      </c>
      <c r="B338" s="148"/>
      <c r="C338" s="43"/>
      <c r="D338" s="35"/>
      <c r="E338" s="35"/>
      <c r="F338" s="35"/>
      <c r="G338" s="35"/>
      <c r="J338" s="38">
        <v>68</v>
      </c>
      <c r="K338" s="44" t="s">
        <v>204</v>
      </c>
      <c r="M338" s="41">
        <v>17.7</v>
      </c>
      <c r="N338" s="44" t="s">
        <v>274</v>
      </c>
      <c r="O338" s="35"/>
      <c r="P338" s="41">
        <v>18</v>
      </c>
      <c r="Q338" s="44" t="s">
        <v>274</v>
      </c>
    </row>
    <row r="339" spans="1:17" s="40" customFormat="1">
      <c r="A339" s="148" t="s">
        <v>450</v>
      </c>
      <c r="B339" s="148"/>
      <c r="C339" s="43"/>
      <c r="D339" s="35"/>
      <c r="E339" s="35"/>
      <c r="F339" s="35"/>
      <c r="G339" s="35"/>
      <c r="J339" s="38">
        <v>74</v>
      </c>
      <c r="K339" s="44" t="s">
        <v>204</v>
      </c>
      <c r="M339" s="41">
        <v>19.3</v>
      </c>
      <c r="N339" s="44" t="s">
        <v>274</v>
      </c>
      <c r="O339" s="35"/>
      <c r="P339" s="41">
        <v>19.600000000000001</v>
      </c>
      <c r="Q339" s="44" t="s">
        <v>274</v>
      </c>
    </row>
    <row r="340" spans="1:17" s="40" customFormat="1">
      <c r="A340" s="148" t="s">
        <v>451</v>
      </c>
      <c r="B340" s="148"/>
      <c r="C340" s="43"/>
      <c r="D340" s="35"/>
      <c r="E340" s="35"/>
      <c r="F340" s="35"/>
      <c r="G340" s="35"/>
      <c r="J340" s="38">
        <v>61</v>
      </c>
      <c r="K340" s="44" t="s">
        <v>204</v>
      </c>
      <c r="M340" s="41">
        <v>15.7</v>
      </c>
      <c r="N340" s="44" t="s">
        <v>274</v>
      </c>
      <c r="O340" s="35"/>
      <c r="P340" s="41">
        <v>16</v>
      </c>
      <c r="Q340" s="44" t="s">
        <v>274</v>
      </c>
    </row>
    <row r="341" spans="1:17" s="40" customFormat="1">
      <c r="A341" s="148" t="s">
        <v>452</v>
      </c>
      <c r="B341" s="148"/>
      <c r="C341" s="43"/>
      <c r="D341" s="35"/>
      <c r="E341" s="35"/>
      <c r="F341" s="35"/>
      <c r="G341" s="35"/>
      <c r="J341" s="38">
        <v>73</v>
      </c>
      <c r="K341" s="44" t="s">
        <v>204</v>
      </c>
      <c r="M341" s="41">
        <v>18.7</v>
      </c>
      <c r="N341" s="44" t="s">
        <v>274</v>
      </c>
      <c r="O341" s="35"/>
      <c r="P341" s="41">
        <v>19</v>
      </c>
      <c r="Q341" s="44" t="s">
        <v>274</v>
      </c>
    </row>
    <row r="342" spans="1:17" s="40" customFormat="1">
      <c r="A342" s="148" t="s">
        <v>453</v>
      </c>
      <c r="B342" s="148"/>
      <c r="C342" s="43"/>
      <c r="D342" s="35"/>
      <c r="E342" s="35"/>
      <c r="F342" s="35"/>
      <c r="G342" s="35"/>
      <c r="J342" s="38">
        <v>64</v>
      </c>
      <c r="K342" s="44" t="s">
        <v>204</v>
      </c>
      <c r="M342" s="41">
        <v>16.5</v>
      </c>
      <c r="N342" s="44" t="s">
        <v>274</v>
      </c>
      <c r="O342" s="35"/>
      <c r="P342" s="41">
        <v>16.8</v>
      </c>
      <c r="Q342" s="44" t="s">
        <v>274</v>
      </c>
    </row>
    <row r="343" spans="1:17" s="40" customFormat="1">
      <c r="A343" s="148" t="s">
        <v>454</v>
      </c>
      <c r="B343" s="148"/>
      <c r="C343" s="43"/>
      <c r="D343" s="35"/>
      <c r="E343" s="35"/>
      <c r="F343" s="35"/>
      <c r="G343" s="35"/>
      <c r="J343" s="38">
        <v>76</v>
      </c>
      <c r="K343" s="44" t="s">
        <v>204</v>
      </c>
      <c r="M343" s="41">
        <v>19.3</v>
      </c>
      <c r="N343" s="44" t="s">
        <v>274</v>
      </c>
      <c r="O343" s="35"/>
      <c r="P343" s="41">
        <v>19.600000000000001</v>
      </c>
      <c r="Q343" s="44" t="s">
        <v>274</v>
      </c>
    </row>
    <row r="344" spans="1:17" s="40" customFormat="1">
      <c r="A344" s="148" t="s">
        <v>455</v>
      </c>
      <c r="B344" s="148"/>
      <c r="C344" s="43"/>
      <c r="D344" s="35"/>
      <c r="E344" s="35"/>
      <c r="F344" s="35"/>
      <c r="G344" s="35"/>
      <c r="J344" s="38">
        <v>66</v>
      </c>
      <c r="K344" s="44" t="s">
        <v>204</v>
      </c>
      <c r="M344" s="41">
        <v>17.100000000000001</v>
      </c>
      <c r="N344" s="44" t="s">
        <v>274</v>
      </c>
      <c r="O344" s="35"/>
      <c r="P344" s="41">
        <v>17.399999999999999</v>
      </c>
      <c r="Q344" s="44" t="s">
        <v>274</v>
      </c>
    </row>
    <row r="345" spans="1:17" s="40" customFormat="1">
      <c r="A345" s="148" t="s">
        <v>456</v>
      </c>
      <c r="B345" s="148"/>
      <c r="C345" s="43"/>
      <c r="D345" s="35"/>
      <c r="E345" s="35"/>
      <c r="F345" s="35"/>
      <c r="G345" s="35"/>
      <c r="J345" s="38">
        <v>70</v>
      </c>
      <c r="K345" s="44" t="s">
        <v>204</v>
      </c>
      <c r="M345" s="41">
        <v>17.8</v>
      </c>
      <c r="N345" s="44" t="s">
        <v>274</v>
      </c>
      <c r="O345" s="35"/>
      <c r="P345" s="41">
        <v>18.100000000000001</v>
      </c>
      <c r="Q345" s="44" t="s">
        <v>274</v>
      </c>
    </row>
    <row r="346" spans="1:17" s="40" customFormat="1">
      <c r="A346" s="148" t="s">
        <v>457</v>
      </c>
      <c r="B346" s="148"/>
      <c r="C346" s="43"/>
      <c r="D346" s="35"/>
      <c r="E346" s="35"/>
      <c r="F346" s="35"/>
      <c r="G346" s="35"/>
      <c r="J346" s="38">
        <v>72</v>
      </c>
      <c r="K346" s="44" t="s">
        <v>204</v>
      </c>
      <c r="M346" s="41">
        <v>18.600000000000001</v>
      </c>
      <c r="N346" s="44" t="s">
        <v>274</v>
      </c>
      <c r="O346" s="35"/>
      <c r="P346" s="41">
        <v>18.899999999999999</v>
      </c>
      <c r="Q346" s="44" t="s">
        <v>274</v>
      </c>
    </row>
    <row r="347" spans="1:17" s="40" customFormat="1">
      <c r="A347" s="148" t="s">
        <v>458</v>
      </c>
      <c r="B347" s="148"/>
      <c r="C347" s="43"/>
      <c r="D347" s="35"/>
      <c r="E347" s="35"/>
      <c r="F347" s="35"/>
      <c r="G347" s="35"/>
      <c r="J347" s="38">
        <v>72</v>
      </c>
      <c r="K347" s="44" t="s">
        <v>204</v>
      </c>
      <c r="M347" s="41">
        <v>18.600000000000001</v>
      </c>
      <c r="N347" s="44" t="s">
        <v>274</v>
      </c>
      <c r="O347" s="35"/>
      <c r="P347" s="41">
        <v>18.899999999999999</v>
      </c>
      <c r="Q347" s="44" t="s">
        <v>274</v>
      </c>
    </row>
    <row r="348" spans="1:17" s="40" customFormat="1">
      <c r="A348" s="148"/>
      <c r="B348" s="148"/>
      <c r="C348" s="43"/>
      <c r="D348" s="35" t="s">
        <v>459</v>
      </c>
      <c r="E348" s="35"/>
      <c r="F348" s="35"/>
      <c r="G348" s="35"/>
      <c r="J348" s="38"/>
      <c r="K348" s="44"/>
      <c r="M348" s="41"/>
      <c r="N348" s="44"/>
      <c r="O348" s="35"/>
      <c r="P348" s="41"/>
      <c r="Q348" s="44"/>
    </row>
    <row r="349" spans="1:17" s="40" customFormat="1">
      <c r="A349" s="148" t="s">
        <v>460</v>
      </c>
      <c r="B349" s="148"/>
      <c r="C349" s="43"/>
      <c r="D349" s="35"/>
      <c r="E349" s="35"/>
      <c r="F349" s="35"/>
      <c r="G349" s="35"/>
      <c r="J349" s="38">
        <v>76</v>
      </c>
      <c r="K349" s="44" t="s">
        <v>204</v>
      </c>
      <c r="M349" s="41">
        <v>19.5</v>
      </c>
      <c r="N349" s="44" t="s">
        <v>274</v>
      </c>
      <c r="O349" s="35"/>
      <c r="P349" s="41">
        <v>19.8</v>
      </c>
      <c r="Q349" s="44" t="s">
        <v>274</v>
      </c>
    </row>
    <row r="350" spans="1:17" s="40" customFormat="1">
      <c r="A350" s="148"/>
      <c r="B350" s="148"/>
      <c r="C350" s="43"/>
      <c r="D350" s="35"/>
      <c r="E350" s="35"/>
      <c r="F350" s="35"/>
      <c r="G350" s="35"/>
      <c r="J350" s="38"/>
      <c r="K350" s="44"/>
      <c r="M350" s="41"/>
      <c r="N350" s="44"/>
      <c r="O350" s="35"/>
      <c r="P350" s="41"/>
      <c r="Q350" s="44"/>
    </row>
    <row r="351" spans="1:17" s="40" customFormat="1">
      <c r="A351" s="148"/>
      <c r="B351" s="148"/>
      <c r="C351" s="43"/>
      <c r="D351" s="42" t="s">
        <v>210</v>
      </c>
      <c r="E351" s="35"/>
      <c r="F351" s="35"/>
      <c r="G351" s="35"/>
      <c r="J351" s="38"/>
      <c r="K351" s="44"/>
      <c r="M351" s="41"/>
      <c r="N351" s="44"/>
      <c r="O351" s="35"/>
      <c r="P351" s="41"/>
      <c r="Q351" s="44"/>
    </row>
    <row r="352" spans="1:17" s="40" customFormat="1">
      <c r="A352" s="148"/>
      <c r="B352" s="148"/>
      <c r="C352" s="43"/>
      <c r="D352" s="35" t="s">
        <v>218</v>
      </c>
      <c r="E352" s="35"/>
      <c r="F352" s="35"/>
      <c r="G352" s="35"/>
      <c r="J352" s="38"/>
      <c r="K352" s="44"/>
      <c r="M352" s="41"/>
      <c r="N352" s="44"/>
      <c r="O352" s="35"/>
      <c r="P352" s="41"/>
      <c r="Q352" s="44"/>
    </row>
    <row r="353" spans="1:17" s="40" customFormat="1">
      <c r="A353" s="148"/>
      <c r="B353" s="148"/>
      <c r="C353" s="43"/>
      <c r="D353" s="35" t="s">
        <v>383</v>
      </c>
      <c r="E353" s="35"/>
      <c r="F353" s="35"/>
      <c r="G353" s="35"/>
      <c r="J353" s="38"/>
      <c r="K353" s="44"/>
      <c r="M353" s="41"/>
      <c r="N353" s="44"/>
      <c r="O353" s="35"/>
      <c r="P353" s="41"/>
      <c r="Q353" s="44"/>
    </row>
    <row r="354" spans="1:17" s="40" customFormat="1">
      <c r="A354" s="148" t="s">
        <v>461</v>
      </c>
      <c r="B354" s="148"/>
      <c r="C354" s="43"/>
      <c r="D354" s="35"/>
      <c r="E354" s="35"/>
      <c r="F354" s="35"/>
      <c r="G354" s="35"/>
      <c r="J354" s="38">
        <v>10</v>
      </c>
      <c r="K354" s="44" t="s">
        <v>204</v>
      </c>
      <c r="M354" s="41">
        <v>2.6</v>
      </c>
      <c r="N354" s="44" t="s">
        <v>274</v>
      </c>
      <c r="O354" s="35"/>
      <c r="P354" s="41">
        <v>2.9</v>
      </c>
      <c r="Q354" s="44" t="s">
        <v>274</v>
      </c>
    </row>
    <row r="355" spans="1:17" s="40" customFormat="1">
      <c r="A355" s="148"/>
      <c r="B355" s="148"/>
      <c r="C355" s="43"/>
      <c r="D355" s="35"/>
      <c r="E355" s="35"/>
      <c r="F355" s="35"/>
      <c r="G355" s="35"/>
      <c r="J355" s="38"/>
      <c r="K355" s="44"/>
      <c r="M355" s="41"/>
      <c r="N355" s="44"/>
      <c r="O355" s="35"/>
      <c r="P355" s="41"/>
      <c r="Q355" s="44"/>
    </row>
    <row r="356" spans="1:17" s="40" customFormat="1">
      <c r="A356" s="148"/>
      <c r="B356" s="148"/>
      <c r="C356" s="43"/>
      <c r="D356" s="35" t="s">
        <v>219</v>
      </c>
      <c r="E356" s="35"/>
      <c r="F356" s="35"/>
      <c r="G356" s="35"/>
      <c r="J356" s="38"/>
      <c r="K356" s="44"/>
      <c r="M356" s="41"/>
      <c r="N356" s="44"/>
      <c r="O356" s="35"/>
      <c r="P356" s="41"/>
      <c r="Q356" s="44"/>
    </row>
    <row r="357" spans="1:17" s="40" customFormat="1">
      <c r="A357" s="148"/>
      <c r="B357" s="148"/>
      <c r="C357" s="43"/>
      <c r="D357" s="35" t="s">
        <v>396</v>
      </c>
      <c r="E357" s="35"/>
      <c r="F357" s="35"/>
      <c r="G357" s="35"/>
      <c r="J357" s="38"/>
      <c r="K357" s="44"/>
      <c r="M357" s="41"/>
      <c r="N357" s="44"/>
      <c r="O357" s="35"/>
      <c r="P357" s="41"/>
      <c r="Q357" s="44"/>
    </row>
    <row r="358" spans="1:17" s="40" customFormat="1">
      <c r="A358" s="148" t="s">
        <v>462</v>
      </c>
      <c r="B358" s="148"/>
      <c r="C358" s="43"/>
      <c r="D358" s="35"/>
      <c r="E358" s="35"/>
      <c r="F358" s="35"/>
      <c r="G358" s="35"/>
      <c r="J358" s="38">
        <v>10</v>
      </c>
      <c r="K358" s="44" t="s">
        <v>204</v>
      </c>
      <c r="M358" s="41">
        <v>2.5</v>
      </c>
      <c r="N358" s="44" t="s">
        <v>274</v>
      </c>
      <c r="O358" s="35"/>
      <c r="P358" s="41">
        <v>2.8</v>
      </c>
      <c r="Q358" s="44" t="s">
        <v>274</v>
      </c>
    </row>
    <row r="359" spans="1:17" s="40" customFormat="1">
      <c r="A359" s="148"/>
      <c r="B359" s="148"/>
      <c r="C359" s="43"/>
      <c r="D359" s="35"/>
      <c r="E359" s="35"/>
      <c r="F359" s="35"/>
      <c r="G359" s="35"/>
      <c r="J359" s="38"/>
      <c r="K359" s="44"/>
      <c r="M359" s="41"/>
      <c r="N359" s="44"/>
      <c r="O359" s="35"/>
      <c r="P359" s="41"/>
      <c r="Q359" s="44"/>
    </row>
    <row r="360" spans="1:17" s="40" customFormat="1">
      <c r="A360" s="148"/>
      <c r="B360" s="148"/>
      <c r="C360" s="43"/>
      <c r="D360" s="35" t="s">
        <v>220</v>
      </c>
      <c r="E360" s="35"/>
      <c r="F360" s="35"/>
      <c r="G360" s="35"/>
      <c r="J360" s="38"/>
      <c r="K360" s="44"/>
      <c r="M360" s="41"/>
      <c r="N360" s="44"/>
      <c r="O360" s="35"/>
      <c r="P360" s="41"/>
      <c r="Q360" s="44"/>
    </row>
    <row r="361" spans="1:17" s="40" customFormat="1">
      <c r="A361" s="148"/>
      <c r="B361" s="148"/>
      <c r="C361" s="43"/>
      <c r="D361" s="35" t="s">
        <v>420</v>
      </c>
      <c r="E361" s="35"/>
      <c r="F361" s="35"/>
      <c r="G361" s="35"/>
      <c r="J361" s="38"/>
      <c r="K361" s="44"/>
      <c r="M361" s="41"/>
      <c r="N361" s="44"/>
      <c r="O361" s="35"/>
      <c r="P361" s="41"/>
      <c r="Q361" s="44"/>
    </row>
    <row r="362" spans="1:17" s="40" customFormat="1">
      <c r="A362" s="148" t="s">
        <v>463</v>
      </c>
      <c r="B362" s="148"/>
      <c r="C362" s="43"/>
      <c r="D362" s="35"/>
      <c r="E362" s="35"/>
      <c r="F362" s="35"/>
      <c r="G362" s="35"/>
      <c r="J362" s="38">
        <v>10</v>
      </c>
      <c r="K362" s="44" t="s">
        <v>204</v>
      </c>
      <c r="M362" s="41">
        <v>2.5</v>
      </c>
      <c r="N362" s="44" t="s">
        <v>274</v>
      </c>
      <c r="O362" s="35"/>
      <c r="P362" s="41">
        <v>2.8</v>
      </c>
      <c r="Q362" s="44" t="s">
        <v>274</v>
      </c>
    </row>
    <row r="363" spans="1:17" s="40" customFormat="1">
      <c r="A363" s="148"/>
      <c r="B363" s="148"/>
      <c r="C363" s="43"/>
      <c r="D363" s="35"/>
      <c r="E363" s="35"/>
      <c r="F363" s="35"/>
      <c r="G363" s="35"/>
      <c r="J363" s="38"/>
      <c r="K363" s="44"/>
      <c r="M363" s="41"/>
      <c r="N363" s="44"/>
      <c r="O363" s="35"/>
      <c r="P363" s="41"/>
      <c r="Q363" s="44"/>
    </row>
    <row r="364" spans="1:17" s="40" customFormat="1">
      <c r="A364" s="148"/>
      <c r="B364" s="148"/>
      <c r="C364" s="43"/>
      <c r="D364" s="35" t="s">
        <v>221</v>
      </c>
      <c r="E364" s="35"/>
      <c r="F364" s="35"/>
      <c r="G364" s="35"/>
      <c r="J364" s="38"/>
      <c r="K364" s="44"/>
      <c r="M364" s="41"/>
      <c r="N364" s="44"/>
      <c r="O364" s="35"/>
      <c r="P364" s="41"/>
      <c r="Q364" s="44"/>
    </row>
    <row r="365" spans="1:17" s="40" customFormat="1">
      <c r="A365" s="148"/>
      <c r="B365" s="148"/>
      <c r="C365" s="43"/>
      <c r="D365" s="35" t="s">
        <v>433</v>
      </c>
      <c r="E365" s="35"/>
      <c r="F365" s="35"/>
      <c r="G365" s="35"/>
      <c r="J365" s="38"/>
      <c r="K365" s="44"/>
      <c r="M365" s="41"/>
      <c r="N365" s="44"/>
      <c r="O365" s="35"/>
      <c r="P365" s="41"/>
      <c r="Q365" s="44"/>
    </row>
    <row r="366" spans="1:17" s="40" customFormat="1">
      <c r="A366" s="148" t="s">
        <v>464</v>
      </c>
      <c r="B366" s="148"/>
      <c r="C366" s="43"/>
      <c r="D366" s="35"/>
      <c r="E366" s="35"/>
      <c r="F366" s="35"/>
      <c r="G366" s="35"/>
      <c r="J366" s="38">
        <v>10</v>
      </c>
      <c r="K366" s="44" t="s">
        <v>204</v>
      </c>
      <c r="M366" s="41">
        <v>2.5</v>
      </c>
      <c r="N366" s="44" t="s">
        <v>274</v>
      </c>
      <c r="O366" s="35"/>
      <c r="P366" s="41">
        <v>2.8</v>
      </c>
      <c r="Q366" s="44" t="s">
        <v>274</v>
      </c>
    </row>
    <row r="367" spans="1:17" s="40" customFormat="1">
      <c r="A367" s="148"/>
      <c r="B367" s="148"/>
      <c r="C367" s="43"/>
      <c r="D367" s="35"/>
      <c r="E367" s="35"/>
      <c r="F367" s="35"/>
      <c r="G367" s="35"/>
      <c r="J367" s="38"/>
      <c r="K367" s="44"/>
      <c r="M367" s="41"/>
      <c r="N367" s="44"/>
      <c r="O367" s="35"/>
      <c r="P367" s="41"/>
      <c r="Q367" s="44"/>
    </row>
    <row r="368" spans="1:17" s="40" customFormat="1">
      <c r="A368" s="148"/>
      <c r="B368" s="148"/>
      <c r="C368" s="43"/>
      <c r="D368" s="35" t="s">
        <v>222</v>
      </c>
      <c r="E368" s="35"/>
      <c r="F368" s="35"/>
      <c r="G368" s="35"/>
      <c r="J368" s="38"/>
      <c r="K368" s="44"/>
      <c r="M368" s="41"/>
      <c r="N368" s="44"/>
      <c r="O368" s="35"/>
      <c r="P368" s="41"/>
      <c r="Q368" s="44"/>
    </row>
    <row r="369" spans="1:17" s="40" customFormat="1">
      <c r="A369" s="148"/>
      <c r="B369" s="148"/>
      <c r="C369" s="43"/>
      <c r="D369" s="35" t="s">
        <v>440</v>
      </c>
      <c r="E369" s="35"/>
      <c r="F369" s="35"/>
      <c r="G369" s="35"/>
      <c r="J369" s="38"/>
      <c r="K369" s="44"/>
      <c r="M369" s="41"/>
      <c r="N369" s="44"/>
      <c r="O369" s="35"/>
      <c r="P369" s="41"/>
      <c r="Q369" s="44"/>
    </row>
    <row r="370" spans="1:17" s="40" customFormat="1">
      <c r="A370" s="148" t="s">
        <v>465</v>
      </c>
      <c r="B370" s="148"/>
      <c r="C370" s="43"/>
      <c r="D370" s="35"/>
      <c r="E370" s="35"/>
      <c r="F370" s="35"/>
      <c r="G370" s="35"/>
      <c r="J370" s="38">
        <v>10</v>
      </c>
      <c r="K370" s="44" t="s">
        <v>204</v>
      </c>
      <c r="M370" s="41">
        <v>2.7</v>
      </c>
      <c r="N370" s="44" t="s">
        <v>274</v>
      </c>
      <c r="O370" s="35"/>
      <c r="P370" s="41">
        <v>3</v>
      </c>
      <c r="Q370" s="44" t="s">
        <v>274</v>
      </c>
    </row>
    <row r="371" spans="1:17" s="40" customFormat="1">
      <c r="A371" s="148"/>
      <c r="B371" s="148"/>
      <c r="C371" s="43"/>
      <c r="D371" s="35"/>
      <c r="E371" s="35"/>
      <c r="F371" s="35"/>
      <c r="G371" s="35"/>
      <c r="J371" s="38"/>
      <c r="K371" s="44"/>
      <c r="M371" s="41"/>
      <c r="N371" s="44"/>
      <c r="O371" s="35"/>
      <c r="P371" s="41"/>
      <c r="Q371" s="44"/>
    </row>
    <row r="372" spans="1:17" s="40" customFormat="1">
      <c r="A372" s="148"/>
      <c r="B372" s="148"/>
      <c r="C372" s="43"/>
      <c r="D372" s="35" t="s">
        <v>223</v>
      </c>
      <c r="E372" s="35"/>
      <c r="F372" s="35"/>
      <c r="G372" s="35"/>
      <c r="J372" s="38"/>
      <c r="K372" s="44"/>
      <c r="M372" s="41"/>
      <c r="N372" s="44"/>
      <c r="O372" s="35"/>
      <c r="P372" s="41"/>
      <c r="Q372" s="44"/>
    </row>
    <row r="373" spans="1:17" s="40" customFormat="1">
      <c r="A373" s="148"/>
      <c r="B373" s="148"/>
      <c r="C373" s="43"/>
      <c r="D373" s="42" t="s">
        <v>224</v>
      </c>
      <c r="E373" s="35"/>
      <c r="F373" s="35"/>
      <c r="G373" s="35"/>
      <c r="J373" s="38"/>
      <c r="K373" s="44"/>
      <c r="M373" s="41"/>
      <c r="N373" s="44"/>
      <c r="O373" s="35"/>
      <c r="P373" s="41"/>
      <c r="Q373" s="44"/>
    </row>
    <row r="374" spans="1:17" s="40" customFormat="1">
      <c r="A374" s="148"/>
      <c r="B374" s="148"/>
      <c r="C374" s="43"/>
      <c r="D374" s="35" t="s">
        <v>225</v>
      </c>
      <c r="E374" s="35"/>
      <c r="F374" s="35"/>
      <c r="G374" s="35"/>
      <c r="J374" s="38"/>
      <c r="K374" s="44"/>
      <c r="M374" s="41"/>
      <c r="N374" s="44"/>
      <c r="O374" s="35"/>
      <c r="P374" s="41"/>
      <c r="Q374" s="44"/>
    </row>
    <row r="375" spans="1:17" s="40" customFormat="1">
      <c r="A375" s="148"/>
      <c r="B375" s="148"/>
      <c r="C375" s="43"/>
      <c r="D375" s="35" t="s">
        <v>199</v>
      </c>
      <c r="E375" s="35"/>
      <c r="F375" s="35"/>
      <c r="G375" s="35"/>
      <c r="J375" s="38"/>
      <c r="K375" s="44"/>
      <c r="M375" s="41"/>
      <c r="N375" s="44"/>
      <c r="O375" s="35"/>
      <c r="P375" s="41"/>
      <c r="Q375" s="44"/>
    </row>
    <row r="376" spans="1:17" s="40" customFormat="1">
      <c r="A376" s="148"/>
      <c r="B376" s="148"/>
      <c r="C376" s="43"/>
      <c r="D376" s="35" t="s">
        <v>226</v>
      </c>
      <c r="E376" s="35"/>
      <c r="F376" s="35"/>
      <c r="G376" s="35"/>
      <c r="J376" s="38"/>
      <c r="K376" s="44"/>
      <c r="M376" s="41"/>
      <c r="N376" s="44"/>
      <c r="O376" s="35"/>
      <c r="P376" s="41"/>
      <c r="Q376" s="44"/>
    </row>
    <row r="377" spans="1:17" s="40" customFormat="1">
      <c r="A377" s="148"/>
      <c r="B377" s="148"/>
      <c r="C377" s="43"/>
      <c r="D377" s="35" t="s">
        <v>219</v>
      </c>
      <c r="E377" s="35"/>
      <c r="F377" s="35"/>
      <c r="G377" s="35"/>
      <c r="J377" s="38"/>
      <c r="K377" s="44"/>
      <c r="M377" s="41"/>
      <c r="N377" s="44"/>
      <c r="O377" s="35"/>
      <c r="P377" s="41"/>
      <c r="Q377" s="44"/>
    </row>
    <row r="378" spans="1:17" s="40" customFormat="1">
      <c r="A378" s="148"/>
      <c r="B378" s="148"/>
      <c r="C378" s="43"/>
      <c r="D378" s="35" t="s">
        <v>466</v>
      </c>
      <c r="E378" s="35"/>
      <c r="F378" s="35"/>
      <c r="G378" s="35"/>
      <c r="J378" s="38"/>
      <c r="K378" s="44"/>
      <c r="M378" s="41"/>
      <c r="N378" s="44"/>
      <c r="O378" s="35"/>
      <c r="P378" s="41"/>
      <c r="Q378" s="44"/>
    </row>
    <row r="379" spans="1:17" s="40" customFormat="1">
      <c r="A379" s="148" t="s">
        <v>467</v>
      </c>
      <c r="B379" s="148"/>
      <c r="C379" s="43"/>
      <c r="D379" s="35"/>
      <c r="E379" s="35"/>
      <c r="F379" s="35"/>
      <c r="G379" s="35"/>
      <c r="J379" s="38">
        <v>28</v>
      </c>
      <c r="K379" s="44" t="s">
        <v>204</v>
      </c>
      <c r="M379" s="41">
        <v>9.1999999999999993</v>
      </c>
      <c r="N379" s="44" t="s">
        <v>274</v>
      </c>
      <c r="O379" s="35"/>
      <c r="P379" s="41">
        <v>9.5</v>
      </c>
      <c r="Q379" s="44" t="s">
        <v>274</v>
      </c>
    </row>
    <row r="380" spans="1:17" s="40" customFormat="1">
      <c r="A380" s="148" t="s">
        <v>468</v>
      </c>
      <c r="B380" s="148"/>
      <c r="C380" s="43"/>
      <c r="D380" s="35"/>
      <c r="E380" s="35"/>
      <c r="F380" s="35"/>
      <c r="G380" s="35"/>
      <c r="J380" s="38">
        <v>56</v>
      </c>
      <c r="K380" s="44" t="s">
        <v>204</v>
      </c>
      <c r="M380" s="41">
        <v>18.399999999999999</v>
      </c>
      <c r="N380" s="44" t="s">
        <v>274</v>
      </c>
      <c r="O380" s="35"/>
      <c r="P380" s="41">
        <v>18.7</v>
      </c>
      <c r="Q380" s="44" t="s">
        <v>274</v>
      </c>
    </row>
    <row r="381" spans="1:17" s="40" customFormat="1">
      <c r="A381" s="148" t="s">
        <v>469</v>
      </c>
      <c r="B381" s="148"/>
      <c r="C381" s="43"/>
      <c r="D381" s="35"/>
      <c r="E381" s="35"/>
      <c r="F381" s="35"/>
      <c r="G381" s="35"/>
      <c r="J381" s="38">
        <v>53</v>
      </c>
      <c r="K381" s="44" t="s">
        <v>204</v>
      </c>
      <c r="M381" s="41">
        <v>17.5</v>
      </c>
      <c r="N381" s="44" t="s">
        <v>274</v>
      </c>
      <c r="O381" s="35"/>
      <c r="P381" s="41">
        <v>17.8</v>
      </c>
      <c r="Q381" s="44" t="s">
        <v>274</v>
      </c>
    </row>
    <row r="382" spans="1:17" s="40" customFormat="1">
      <c r="A382" s="148" t="s">
        <v>470</v>
      </c>
      <c r="B382" s="148"/>
      <c r="C382" s="43"/>
      <c r="D382" s="35"/>
      <c r="E382" s="35"/>
      <c r="F382" s="35"/>
      <c r="G382" s="35"/>
      <c r="J382" s="38">
        <v>38</v>
      </c>
      <c r="K382" s="44" t="s">
        <v>204</v>
      </c>
      <c r="M382" s="41">
        <v>12.5</v>
      </c>
      <c r="N382" s="44" t="s">
        <v>274</v>
      </c>
      <c r="O382" s="35"/>
      <c r="P382" s="41">
        <v>12.8</v>
      </c>
      <c r="Q382" s="44" t="s">
        <v>274</v>
      </c>
    </row>
    <row r="383" spans="1:17" s="40" customFormat="1">
      <c r="A383" s="148" t="s">
        <v>471</v>
      </c>
      <c r="B383" s="148"/>
      <c r="C383" s="43"/>
      <c r="D383" s="35"/>
      <c r="E383" s="35"/>
      <c r="F383" s="35"/>
      <c r="G383" s="35"/>
      <c r="J383" s="38">
        <v>51</v>
      </c>
      <c r="K383" s="44" t="s">
        <v>204</v>
      </c>
      <c r="M383" s="41">
        <v>16.7</v>
      </c>
      <c r="N383" s="44" t="s">
        <v>274</v>
      </c>
      <c r="O383" s="35"/>
      <c r="P383" s="41">
        <v>17</v>
      </c>
      <c r="Q383" s="44" t="s">
        <v>274</v>
      </c>
    </row>
    <row r="384" spans="1:17" s="40" customFormat="1">
      <c r="A384" s="148" t="s">
        <v>472</v>
      </c>
      <c r="B384" s="148"/>
      <c r="C384" s="43"/>
      <c r="D384" s="35"/>
      <c r="E384" s="35"/>
      <c r="F384" s="35"/>
      <c r="G384" s="35"/>
      <c r="J384" s="38">
        <v>57</v>
      </c>
      <c r="K384" s="44" t="s">
        <v>204</v>
      </c>
      <c r="M384" s="41">
        <v>19</v>
      </c>
      <c r="N384" s="44" t="s">
        <v>274</v>
      </c>
      <c r="O384" s="35"/>
      <c r="P384" s="41">
        <v>19.3</v>
      </c>
      <c r="Q384" s="44" t="s">
        <v>274</v>
      </c>
    </row>
    <row r="385" spans="1:17" s="40" customFormat="1">
      <c r="A385" s="148" t="s">
        <v>473</v>
      </c>
      <c r="B385" s="148"/>
      <c r="C385" s="43"/>
      <c r="D385" s="35"/>
      <c r="E385" s="35"/>
      <c r="F385" s="35"/>
      <c r="G385" s="35"/>
      <c r="J385" s="38">
        <v>77</v>
      </c>
      <c r="K385" s="44" t="s">
        <v>204</v>
      </c>
      <c r="M385" s="41">
        <v>25.5</v>
      </c>
      <c r="N385" s="44" t="s">
        <v>274</v>
      </c>
      <c r="O385" s="35"/>
      <c r="P385" s="41">
        <v>25.8</v>
      </c>
      <c r="Q385" s="44" t="s">
        <v>274</v>
      </c>
    </row>
    <row r="386" spans="1:17" s="40" customFormat="1">
      <c r="A386" s="148" t="s">
        <v>474</v>
      </c>
      <c r="B386" s="148"/>
      <c r="C386" s="43"/>
      <c r="D386" s="35"/>
      <c r="E386" s="35"/>
      <c r="F386" s="35"/>
      <c r="G386" s="35"/>
      <c r="J386" s="38">
        <v>53</v>
      </c>
      <c r="K386" s="44" t="s">
        <v>204</v>
      </c>
      <c r="M386" s="41">
        <v>17.399999999999999</v>
      </c>
      <c r="N386" s="44" t="s">
        <v>274</v>
      </c>
      <c r="O386" s="35"/>
      <c r="P386" s="41">
        <v>17.7</v>
      </c>
      <c r="Q386" s="44" t="s">
        <v>274</v>
      </c>
    </row>
    <row r="387" spans="1:17" s="40" customFormat="1">
      <c r="A387" s="148" t="s">
        <v>475</v>
      </c>
      <c r="B387" s="148"/>
      <c r="C387" s="43"/>
      <c r="D387" s="35"/>
      <c r="E387" s="35"/>
      <c r="F387" s="35"/>
      <c r="G387" s="35"/>
      <c r="J387" s="38">
        <v>48</v>
      </c>
      <c r="K387" s="44" t="s">
        <v>204</v>
      </c>
      <c r="M387" s="41">
        <v>15.8</v>
      </c>
      <c r="N387" s="44" t="s">
        <v>274</v>
      </c>
      <c r="O387" s="35"/>
      <c r="P387" s="41">
        <v>16.100000000000001</v>
      </c>
      <c r="Q387" s="44" t="s">
        <v>274</v>
      </c>
    </row>
    <row r="388" spans="1:17" s="40" customFormat="1">
      <c r="A388" s="148" t="s">
        <v>476</v>
      </c>
      <c r="B388" s="148"/>
      <c r="C388" s="43"/>
      <c r="D388" s="35"/>
      <c r="E388" s="35"/>
      <c r="F388" s="35"/>
      <c r="G388" s="35"/>
      <c r="J388" s="38">
        <v>56</v>
      </c>
      <c r="K388" s="44" t="s">
        <v>204</v>
      </c>
      <c r="M388" s="41">
        <v>18.399999999999999</v>
      </c>
      <c r="N388" s="44" t="s">
        <v>274</v>
      </c>
      <c r="O388" s="35"/>
      <c r="P388" s="41">
        <v>18.7</v>
      </c>
      <c r="Q388" s="44" t="s">
        <v>274</v>
      </c>
    </row>
    <row r="389" spans="1:17" s="40" customFormat="1">
      <c r="A389" s="148" t="s">
        <v>477</v>
      </c>
      <c r="B389" s="148"/>
      <c r="C389" s="43"/>
      <c r="D389" s="35"/>
      <c r="E389" s="35"/>
      <c r="F389" s="35"/>
      <c r="G389" s="35"/>
      <c r="J389" s="38">
        <v>54</v>
      </c>
      <c r="K389" s="44" t="s">
        <v>204</v>
      </c>
      <c r="M389" s="41">
        <v>17.8</v>
      </c>
      <c r="N389" s="44" t="s">
        <v>274</v>
      </c>
      <c r="O389" s="35"/>
      <c r="P389" s="41">
        <v>18.100000000000001</v>
      </c>
      <c r="Q389" s="44" t="s">
        <v>274</v>
      </c>
    </row>
    <row r="390" spans="1:17" s="40" customFormat="1">
      <c r="A390" s="148" t="s">
        <v>478</v>
      </c>
      <c r="B390" s="148"/>
      <c r="C390" s="43"/>
      <c r="D390" s="35"/>
      <c r="E390" s="35"/>
      <c r="F390" s="35"/>
      <c r="G390" s="35"/>
      <c r="J390" s="38">
        <v>49</v>
      </c>
      <c r="K390" s="44" t="s">
        <v>204</v>
      </c>
      <c r="M390" s="41">
        <v>16.2</v>
      </c>
      <c r="N390" s="44" t="s">
        <v>274</v>
      </c>
      <c r="O390" s="35"/>
      <c r="P390" s="41">
        <v>16.5</v>
      </c>
      <c r="Q390" s="44" t="s">
        <v>274</v>
      </c>
    </row>
    <row r="391" spans="1:17" s="40" customFormat="1">
      <c r="A391" s="148" t="s">
        <v>479</v>
      </c>
      <c r="B391" s="148"/>
      <c r="C391" s="43"/>
      <c r="D391" s="35"/>
      <c r="E391" s="35"/>
      <c r="F391" s="35"/>
      <c r="G391" s="35"/>
      <c r="J391" s="38">
        <v>51</v>
      </c>
      <c r="K391" s="44" t="s">
        <v>204</v>
      </c>
      <c r="M391" s="41">
        <v>16.8</v>
      </c>
      <c r="N391" s="44" t="s">
        <v>274</v>
      </c>
      <c r="O391" s="35"/>
      <c r="P391" s="41">
        <v>17.100000000000001</v>
      </c>
      <c r="Q391" s="44" t="s">
        <v>274</v>
      </c>
    </row>
    <row r="392" spans="1:17" s="40" customFormat="1">
      <c r="A392" s="148" t="s">
        <v>480</v>
      </c>
      <c r="B392" s="148"/>
      <c r="C392" s="43"/>
      <c r="D392" s="35"/>
      <c r="E392" s="35"/>
      <c r="F392" s="35"/>
      <c r="G392" s="35"/>
      <c r="J392" s="38">
        <v>30</v>
      </c>
      <c r="K392" s="44" t="s">
        <v>204</v>
      </c>
      <c r="M392" s="41">
        <v>9.9</v>
      </c>
      <c r="N392" s="44" t="s">
        <v>274</v>
      </c>
      <c r="O392" s="35"/>
      <c r="P392" s="41">
        <v>10.199999999999999</v>
      </c>
      <c r="Q392" s="44" t="s">
        <v>274</v>
      </c>
    </row>
    <row r="393" spans="1:17" s="40" customFormat="1">
      <c r="A393" s="148" t="s">
        <v>481</v>
      </c>
      <c r="B393" s="148"/>
      <c r="C393" s="43"/>
      <c r="D393" s="35"/>
      <c r="E393" s="35"/>
      <c r="F393" s="35"/>
      <c r="G393" s="35"/>
      <c r="J393" s="38">
        <v>36</v>
      </c>
      <c r="K393" s="44" t="s">
        <v>204</v>
      </c>
      <c r="M393" s="41">
        <v>12</v>
      </c>
      <c r="N393" s="44" t="s">
        <v>274</v>
      </c>
      <c r="O393" s="35"/>
      <c r="P393" s="41">
        <v>12.3</v>
      </c>
      <c r="Q393" s="44" t="s">
        <v>274</v>
      </c>
    </row>
    <row r="394" spans="1:17" s="40" customFormat="1">
      <c r="A394" s="148" t="s">
        <v>482</v>
      </c>
      <c r="B394" s="148"/>
      <c r="C394" s="43"/>
      <c r="D394" s="35"/>
      <c r="E394" s="35"/>
      <c r="F394" s="35"/>
      <c r="G394" s="35"/>
      <c r="J394" s="38">
        <v>26</v>
      </c>
      <c r="K394" s="44" t="s">
        <v>204</v>
      </c>
      <c r="M394" s="41">
        <v>8.6999999999999993</v>
      </c>
      <c r="N394" s="44" t="s">
        <v>274</v>
      </c>
      <c r="O394" s="35"/>
      <c r="P394" s="41">
        <v>9</v>
      </c>
      <c r="Q394" s="44" t="s">
        <v>274</v>
      </c>
    </row>
    <row r="395" spans="1:17" s="40" customFormat="1">
      <c r="A395" s="148"/>
      <c r="B395" s="148"/>
      <c r="C395" s="43"/>
      <c r="D395" s="35"/>
      <c r="E395" s="35"/>
      <c r="F395" s="35"/>
      <c r="G395" s="35"/>
      <c r="J395" s="38"/>
      <c r="K395" s="44"/>
      <c r="M395" s="41"/>
      <c r="N395" s="44"/>
      <c r="O395" s="35"/>
      <c r="P395" s="41"/>
      <c r="Q395" s="44"/>
    </row>
    <row r="396" spans="1:17" s="40" customFormat="1">
      <c r="A396" s="148"/>
      <c r="B396" s="148"/>
      <c r="C396" s="43"/>
      <c r="D396" s="42" t="s">
        <v>210</v>
      </c>
      <c r="E396" s="35"/>
      <c r="F396" s="35"/>
      <c r="G396" s="35"/>
      <c r="J396" s="38"/>
      <c r="K396" s="44"/>
      <c r="M396" s="41"/>
      <c r="N396" s="44"/>
      <c r="O396" s="35"/>
      <c r="P396" s="41"/>
      <c r="Q396" s="44"/>
    </row>
    <row r="397" spans="1:17" s="40" customFormat="1">
      <c r="A397" s="148"/>
      <c r="B397" s="148"/>
      <c r="C397" s="43"/>
      <c r="D397" s="35" t="s">
        <v>219</v>
      </c>
      <c r="E397" s="35"/>
      <c r="F397" s="35"/>
      <c r="G397" s="35"/>
      <c r="J397" s="38"/>
      <c r="K397" s="44"/>
      <c r="M397" s="41"/>
      <c r="N397" s="44"/>
      <c r="O397" s="35"/>
      <c r="P397" s="41"/>
      <c r="Q397" s="44"/>
    </row>
    <row r="398" spans="1:17" s="40" customFormat="1">
      <c r="A398" s="148"/>
      <c r="B398" s="148"/>
      <c r="C398" s="43"/>
      <c r="D398" s="35" t="s">
        <v>466</v>
      </c>
      <c r="E398" s="35"/>
      <c r="F398" s="35"/>
      <c r="G398" s="35"/>
      <c r="J398" s="38"/>
      <c r="K398" s="44"/>
      <c r="M398" s="41"/>
      <c r="N398" s="44"/>
      <c r="O398" s="35"/>
      <c r="P398" s="41"/>
      <c r="Q398" s="44"/>
    </row>
    <row r="399" spans="1:17" s="40" customFormat="1">
      <c r="A399" s="148" t="s">
        <v>483</v>
      </c>
      <c r="B399" s="148"/>
      <c r="C399" s="43"/>
      <c r="D399" s="35"/>
      <c r="E399" s="35"/>
      <c r="F399" s="35"/>
      <c r="G399" s="35"/>
      <c r="J399" s="38">
        <v>12</v>
      </c>
      <c r="K399" s="44" t="s">
        <v>204</v>
      </c>
      <c r="M399" s="41">
        <v>4</v>
      </c>
      <c r="N399" s="44" t="s">
        <v>274</v>
      </c>
      <c r="O399" s="35"/>
      <c r="P399" s="41">
        <v>4.3</v>
      </c>
      <c r="Q399" s="44" t="s">
        <v>274</v>
      </c>
    </row>
    <row r="400" spans="1:17" s="40" customFormat="1">
      <c r="A400" s="148"/>
      <c r="B400" s="148"/>
      <c r="C400" s="43"/>
      <c r="D400" s="35"/>
      <c r="E400" s="35"/>
      <c r="F400" s="35"/>
      <c r="G400" s="35"/>
      <c r="J400" s="38"/>
      <c r="K400" s="44"/>
      <c r="M400" s="41"/>
      <c r="N400" s="44"/>
      <c r="O400" s="35"/>
      <c r="P400" s="41"/>
      <c r="Q400" s="44"/>
    </row>
    <row r="401" spans="1:17" s="40" customFormat="1">
      <c r="A401" s="148"/>
      <c r="B401" s="148"/>
      <c r="C401" s="43"/>
      <c r="D401" s="35" t="s">
        <v>227</v>
      </c>
      <c r="E401" s="35"/>
      <c r="F401" s="35"/>
      <c r="G401" s="35"/>
      <c r="J401" s="38"/>
      <c r="K401" s="44"/>
      <c r="M401" s="41"/>
      <c r="N401" s="44"/>
      <c r="O401" s="35"/>
      <c r="P401" s="41"/>
      <c r="Q401" s="44"/>
    </row>
    <row r="402" spans="1:17" s="40" customFormat="1">
      <c r="A402" s="148"/>
      <c r="B402" s="148"/>
      <c r="C402" s="43"/>
      <c r="D402" s="35" t="s">
        <v>199</v>
      </c>
      <c r="E402" s="35"/>
      <c r="F402" s="35"/>
      <c r="G402" s="35"/>
      <c r="J402" s="38"/>
      <c r="K402" s="44"/>
      <c r="M402" s="41"/>
      <c r="N402" s="44"/>
      <c r="O402" s="35"/>
      <c r="P402" s="41"/>
      <c r="Q402" s="44"/>
    </row>
    <row r="403" spans="1:17" s="40" customFormat="1">
      <c r="A403" s="148"/>
      <c r="B403" s="148"/>
      <c r="C403" s="43"/>
      <c r="D403" s="35" t="s">
        <v>228</v>
      </c>
      <c r="E403" s="35"/>
      <c r="F403" s="35"/>
      <c r="G403" s="35"/>
      <c r="J403" s="38"/>
      <c r="K403" s="44"/>
      <c r="M403" s="41"/>
      <c r="N403" s="44"/>
      <c r="O403" s="35"/>
      <c r="P403" s="41"/>
      <c r="Q403" s="44"/>
    </row>
    <row r="404" spans="1:17" s="40" customFormat="1">
      <c r="A404" s="148"/>
      <c r="B404" s="148"/>
      <c r="C404" s="43"/>
      <c r="D404" s="35" t="s">
        <v>219</v>
      </c>
      <c r="E404" s="35"/>
      <c r="F404" s="35"/>
      <c r="G404" s="35"/>
      <c r="J404" s="38"/>
      <c r="K404" s="44"/>
      <c r="M404" s="41"/>
      <c r="N404" s="44"/>
      <c r="O404" s="35"/>
      <c r="P404" s="41"/>
      <c r="Q404" s="44"/>
    </row>
    <row r="405" spans="1:17" s="40" customFormat="1">
      <c r="A405" s="148"/>
      <c r="B405" s="148"/>
      <c r="C405" s="43"/>
      <c r="D405" s="35" t="s">
        <v>433</v>
      </c>
      <c r="E405" s="35"/>
      <c r="F405" s="35"/>
      <c r="G405" s="35"/>
      <c r="J405" s="38"/>
      <c r="K405" s="44"/>
      <c r="M405" s="41"/>
      <c r="N405" s="44"/>
      <c r="O405" s="35"/>
      <c r="P405" s="41"/>
      <c r="Q405" s="44"/>
    </row>
    <row r="406" spans="1:17" s="40" customFormat="1">
      <c r="A406" s="148" t="s">
        <v>484</v>
      </c>
      <c r="B406" s="148"/>
      <c r="C406" s="43"/>
      <c r="D406" s="35"/>
      <c r="E406" s="35"/>
      <c r="F406" s="35"/>
      <c r="G406" s="35"/>
      <c r="J406" s="38">
        <v>41</v>
      </c>
      <c r="K406" s="44" t="s">
        <v>204</v>
      </c>
      <c r="M406" s="41">
        <v>14</v>
      </c>
      <c r="N406" s="44" t="s">
        <v>274</v>
      </c>
      <c r="O406" s="35"/>
      <c r="P406" s="41">
        <v>14.3</v>
      </c>
      <c r="Q406" s="44" t="s">
        <v>274</v>
      </c>
    </row>
    <row r="407" spans="1:17" s="40" customFormat="1">
      <c r="A407" s="148"/>
      <c r="B407" s="148"/>
      <c r="C407" s="43"/>
      <c r="D407" s="35"/>
      <c r="E407" s="35"/>
      <c r="F407" s="35"/>
      <c r="G407" s="35"/>
      <c r="J407" s="38"/>
      <c r="K407" s="44"/>
      <c r="M407" s="41"/>
      <c r="N407" s="44"/>
      <c r="O407" s="35"/>
      <c r="P407" s="41"/>
      <c r="Q407" s="44"/>
    </row>
    <row r="408" spans="1:17" s="40" customFormat="1">
      <c r="A408" s="148"/>
      <c r="B408" s="148"/>
      <c r="C408" s="43"/>
      <c r="D408" s="35" t="s">
        <v>229</v>
      </c>
      <c r="E408" s="35"/>
      <c r="F408" s="35"/>
      <c r="G408" s="35"/>
      <c r="J408" s="38"/>
      <c r="K408" s="44"/>
      <c r="M408" s="41"/>
      <c r="N408" s="44"/>
      <c r="O408" s="35"/>
      <c r="P408" s="41"/>
      <c r="Q408" s="44"/>
    </row>
    <row r="409" spans="1:17" s="40" customFormat="1">
      <c r="A409" s="148"/>
      <c r="B409" s="148"/>
      <c r="C409" s="43"/>
      <c r="D409" s="35" t="s">
        <v>433</v>
      </c>
      <c r="E409" s="35"/>
      <c r="F409" s="35"/>
      <c r="G409" s="35"/>
      <c r="J409" s="38"/>
      <c r="K409" s="44"/>
      <c r="M409" s="41"/>
      <c r="N409" s="44"/>
      <c r="O409" s="35"/>
      <c r="P409" s="41"/>
      <c r="Q409" s="44"/>
    </row>
    <row r="410" spans="1:17" s="40" customFormat="1">
      <c r="A410" s="148" t="s">
        <v>485</v>
      </c>
      <c r="B410" s="148"/>
      <c r="C410" s="43"/>
      <c r="D410" s="35"/>
      <c r="E410" s="35"/>
      <c r="F410" s="35"/>
      <c r="G410" s="35"/>
      <c r="J410" s="38">
        <v>20</v>
      </c>
      <c r="K410" s="44" t="s">
        <v>204</v>
      </c>
      <c r="M410" s="41">
        <v>7.1</v>
      </c>
      <c r="N410" s="44" t="s">
        <v>274</v>
      </c>
      <c r="O410" s="35"/>
      <c r="P410" s="41">
        <v>7.4</v>
      </c>
      <c r="Q410" s="44" t="s">
        <v>274</v>
      </c>
    </row>
    <row r="411" spans="1:17" s="40" customFormat="1">
      <c r="A411" s="148"/>
      <c r="B411" s="148"/>
      <c r="C411" s="43"/>
      <c r="D411" s="35"/>
      <c r="E411" s="35"/>
      <c r="F411" s="35"/>
      <c r="G411" s="35"/>
      <c r="J411" s="38"/>
      <c r="K411" s="44"/>
      <c r="M411" s="41"/>
      <c r="N411" s="44"/>
      <c r="O411" s="35"/>
      <c r="P411" s="41"/>
      <c r="Q411" s="44"/>
    </row>
    <row r="412" spans="1:17" s="40" customFormat="1">
      <c r="A412" s="148"/>
      <c r="B412" s="148"/>
      <c r="C412" s="43"/>
      <c r="D412" s="42" t="s">
        <v>210</v>
      </c>
      <c r="E412" s="35"/>
      <c r="F412" s="35"/>
      <c r="G412" s="35"/>
      <c r="J412" s="38"/>
      <c r="K412" s="44"/>
      <c r="M412" s="41"/>
      <c r="N412" s="44"/>
      <c r="O412" s="35"/>
      <c r="P412" s="41"/>
      <c r="Q412" s="44"/>
    </row>
    <row r="413" spans="1:17" s="40" customFormat="1">
      <c r="A413" s="148"/>
      <c r="B413" s="148"/>
      <c r="C413" s="43"/>
      <c r="D413" s="35" t="s">
        <v>219</v>
      </c>
      <c r="E413" s="35"/>
      <c r="F413" s="35"/>
      <c r="G413" s="35"/>
      <c r="J413" s="38"/>
      <c r="K413" s="44"/>
      <c r="M413" s="41"/>
      <c r="N413" s="44"/>
      <c r="O413" s="35"/>
      <c r="P413" s="41"/>
      <c r="Q413" s="44"/>
    </row>
    <row r="414" spans="1:17" s="40" customFormat="1">
      <c r="A414" s="148"/>
      <c r="B414" s="148"/>
      <c r="C414" s="43"/>
      <c r="D414" s="35" t="s">
        <v>433</v>
      </c>
      <c r="E414" s="35"/>
      <c r="F414" s="35"/>
      <c r="G414" s="35"/>
      <c r="J414" s="38"/>
      <c r="K414" s="44"/>
      <c r="M414" s="41"/>
      <c r="N414" s="44"/>
      <c r="O414" s="35"/>
      <c r="P414" s="41"/>
      <c r="Q414" s="44"/>
    </row>
    <row r="415" spans="1:17" s="40" customFormat="1">
      <c r="A415" s="148" t="s">
        <v>486</v>
      </c>
      <c r="B415" s="148"/>
      <c r="C415" s="43"/>
      <c r="D415" s="35"/>
      <c r="E415" s="35"/>
      <c r="F415" s="35"/>
      <c r="G415" s="35"/>
      <c r="J415" s="38">
        <v>5</v>
      </c>
      <c r="K415" s="44" t="s">
        <v>204</v>
      </c>
      <c r="M415" s="41">
        <v>1.7</v>
      </c>
      <c r="N415" s="44" t="s">
        <v>274</v>
      </c>
      <c r="O415" s="35"/>
      <c r="P415" s="41">
        <v>2</v>
      </c>
      <c r="Q415" s="44" t="s">
        <v>274</v>
      </c>
    </row>
    <row r="416" spans="1:17" s="40" customFormat="1">
      <c r="A416" s="148"/>
      <c r="B416" s="148"/>
      <c r="C416" s="43"/>
      <c r="D416" s="35"/>
      <c r="E416" s="35"/>
      <c r="F416" s="35"/>
      <c r="G416" s="35"/>
      <c r="J416" s="38"/>
      <c r="K416" s="44"/>
      <c r="M416" s="41"/>
      <c r="N416" s="44"/>
      <c r="O416" s="35"/>
      <c r="P416" s="41"/>
      <c r="Q416" s="44"/>
    </row>
    <row r="417" spans="1:17" s="40" customFormat="1">
      <c r="A417" s="148"/>
      <c r="B417" s="148"/>
      <c r="C417" s="43"/>
      <c r="D417" s="35" t="s">
        <v>229</v>
      </c>
      <c r="E417" s="35"/>
      <c r="F417" s="35"/>
      <c r="G417" s="35"/>
      <c r="J417" s="38"/>
      <c r="K417" s="44"/>
      <c r="M417" s="41"/>
      <c r="N417" s="44"/>
      <c r="O417" s="35"/>
      <c r="P417" s="41"/>
      <c r="Q417" s="44"/>
    </row>
    <row r="418" spans="1:17" s="40" customFormat="1">
      <c r="A418" s="148"/>
      <c r="B418" s="148"/>
      <c r="C418" s="43"/>
      <c r="D418" s="35" t="s">
        <v>433</v>
      </c>
      <c r="E418" s="35"/>
      <c r="F418" s="35"/>
      <c r="G418" s="35"/>
      <c r="J418" s="38"/>
      <c r="K418" s="44"/>
      <c r="M418" s="41"/>
      <c r="N418" s="44"/>
      <c r="O418" s="35"/>
      <c r="P418" s="41"/>
      <c r="Q418" s="44"/>
    </row>
    <row r="419" spans="1:17" s="40" customFormat="1">
      <c r="A419" s="148" t="s">
        <v>487</v>
      </c>
      <c r="B419" s="148"/>
      <c r="C419" s="43"/>
      <c r="D419" s="35"/>
      <c r="E419" s="35"/>
      <c r="F419" s="35"/>
      <c r="G419" s="35"/>
      <c r="J419" s="38">
        <v>5</v>
      </c>
      <c r="K419" s="44" t="s">
        <v>204</v>
      </c>
      <c r="M419" s="41">
        <v>1.6</v>
      </c>
      <c r="N419" s="44" t="s">
        <v>274</v>
      </c>
      <c r="O419" s="35"/>
      <c r="P419" s="41">
        <v>1.9</v>
      </c>
      <c r="Q419" s="44" t="s">
        <v>274</v>
      </c>
    </row>
    <row r="420" spans="1:17" s="40" customFormat="1">
      <c r="A420" s="148"/>
      <c r="B420" s="148"/>
      <c r="C420" s="43"/>
      <c r="D420" s="35"/>
      <c r="E420" s="35"/>
      <c r="F420" s="35"/>
      <c r="G420" s="35"/>
      <c r="J420" s="38"/>
      <c r="K420" s="44"/>
      <c r="M420" s="41"/>
      <c r="N420" s="44"/>
      <c r="O420" s="35"/>
      <c r="P420" s="41"/>
      <c r="Q420" s="44"/>
    </row>
    <row r="421" spans="1:17" s="40" customFormat="1">
      <c r="A421" s="148"/>
      <c r="B421" s="148"/>
      <c r="C421" s="43"/>
      <c r="D421" s="35"/>
      <c r="E421" s="35"/>
      <c r="F421" s="35"/>
      <c r="G421" s="35"/>
      <c r="J421" s="38"/>
      <c r="K421" s="44"/>
      <c r="M421" s="41"/>
      <c r="N421" s="44"/>
      <c r="O421" s="35"/>
      <c r="P421" s="41"/>
      <c r="Q421" s="44"/>
    </row>
    <row r="422" spans="1:17" s="40" customFormat="1">
      <c r="A422" s="148"/>
      <c r="B422" s="148"/>
      <c r="C422" s="43"/>
      <c r="D422" s="35" t="s">
        <v>230</v>
      </c>
      <c r="E422" s="35"/>
      <c r="F422" s="35"/>
      <c r="G422" s="35"/>
      <c r="J422" s="38"/>
      <c r="K422" s="44"/>
      <c r="M422" s="41"/>
      <c r="N422" s="44"/>
      <c r="O422" s="35"/>
      <c r="P422" s="41"/>
      <c r="Q422" s="44"/>
    </row>
    <row r="423" spans="1:17" s="40" customFormat="1">
      <c r="A423" s="148"/>
      <c r="B423" s="148"/>
      <c r="C423" s="43"/>
      <c r="D423" s="42" t="s">
        <v>231</v>
      </c>
      <c r="E423" s="35"/>
      <c r="F423" s="35"/>
      <c r="G423" s="35"/>
      <c r="J423" s="38"/>
      <c r="K423" s="44"/>
      <c r="M423" s="41"/>
      <c r="N423" s="44"/>
      <c r="O423" s="35"/>
      <c r="P423" s="41"/>
      <c r="Q423" s="44"/>
    </row>
    <row r="424" spans="1:17" s="40" customFormat="1">
      <c r="A424" s="148"/>
      <c r="B424" s="148"/>
      <c r="C424" s="43"/>
      <c r="D424" s="35" t="s">
        <v>232</v>
      </c>
      <c r="E424" s="35"/>
      <c r="F424" s="35"/>
      <c r="G424" s="35"/>
      <c r="J424" s="38"/>
      <c r="K424" s="44"/>
      <c r="M424" s="41"/>
      <c r="N424" s="44"/>
      <c r="O424" s="35"/>
      <c r="P424" s="41"/>
      <c r="Q424" s="44"/>
    </row>
    <row r="425" spans="1:17" s="40" customFormat="1">
      <c r="A425" s="148"/>
      <c r="B425" s="148"/>
      <c r="C425" s="43"/>
      <c r="D425" s="35" t="s">
        <v>199</v>
      </c>
      <c r="E425" s="35"/>
      <c r="F425" s="35"/>
      <c r="G425" s="35"/>
      <c r="J425" s="38"/>
      <c r="K425" s="44"/>
      <c r="M425" s="41"/>
      <c r="N425" s="44"/>
      <c r="O425" s="35"/>
      <c r="P425" s="41"/>
      <c r="Q425" s="44"/>
    </row>
    <row r="426" spans="1:17" s="40" customFormat="1">
      <c r="A426" s="148"/>
      <c r="B426" s="148"/>
      <c r="C426" s="43"/>
      <c r="D426" s="35" t="s">
        <v>233</v>
      </c>
      <c r="E426" s="35"/>
      <c r="F426" s="35"/>
      <c r="G426" s="35"/>
      <c r="J426" s="38"/>
      <c r="K426" s="44"/>
      <c r="M426" s="41"/>
      <c r="N426" s="44"/>
      <c r="O426" s="35"/>
      <c r="P426" s="41"/>
      <c r="Q426" s="44"/>
    </row>
    <row r="427" spans="1:17" s="40" customFormat="1">
      <c r="A427" s="148"/>
      <c r="B427" s="148"/>
      <c r="C427" s="43"/>
      <c r="D427" s="35" t="s">
        <v>219</v>
      </c>
      <c r="E427" s="35"/>
      <c r="F427" s="35"/>
      <c r="G427" s="35"/>
      <c r="J427" s="38"/>
      <c r="K427" s="44"/>
      <c r="M427" s="41"/>
      <c r="N427" s="44"/>
      <c r="O427" s="35"/>
      <c r="P427" s="41"/>
      <c r="Q427" s="44"/>
    </row>
    <row r="428" spans="1:17" s="40" customFormat="1">
      <c r="A428" s="148"/>
      <c r="B428" s="148"/>
      <c r="C428" s="43"/>
      <c r="D428" s="35" t="s">
        <v>488</v>
      </c>
      <c r="E428" s="35"/>
      <c r="F428" s="35"/>
      <c r="G428" s="35"/>
      <c r="J428" s="38"/>
      <c r="K428" s="44"/>
      <c r="M428" s="41"/>
      <c r="N428" s="44"/>
      <c r="O428" s="35"/>
      <c r="P428" s="41"/>
      <c r="Q428" s="44"/>
    </row>
    <row r="429" spans="1:17" s="40" customFormat="1">
      <c r="A429" s="148" t="s">
        <v>489</v>
      </c>
      <c r="B429" s="148"/>
      <c r="C429" s="43"/>
      <c r="D429" s="35"/>
      <c r="E429" s="35"/>
      <c r="F429" s="35"/>
      <c r="G429" s="35"/>
      <c r="J429" s="38">
        <v>100</v>
      </c>
      <c r="K429" s="44" t="s">
        <v>204</v>
      </c>
      <c r="M429" s="41">
        <v>20.100000000000001</v>
      </c>
      <c r="N429" s="44" t="s">
        <v>274</v>
      </c>
      <c r="O429" s="35"/>
      <c r="P429" s="41">
        <v>20.399999999999999</v>
      </c>
      <c r="Q429" s="44" t="s">
        <v>274</v>
      </c>
    </row>
    <row r="430" spans="1:17" s="40" customFormat="1">
      <c r="A430" s="148" t="s">
        <v>490</v>
      </c>
      <c r="B430" s="148"/>
      <c r="C430" s="43"/>
      <c r="D430" s="35"/>
      <c r="E430" s="35"/>
      <c r="F430" s="35"/>
      <c r="G430" s="35"/>
      <c r="J430" s="38">
        <v>96</v>
      </c>
      <c r="K430" s="44" t="s">
        <v>204</v>
      </c>
      <c r="M430" s="41">
        <v>19.3</v>
      </c>
      <c r="N430" s="44" t="s">
        <v>274</v>
      </c>
      <c r="O430" s="35"/>
      <c r="P430" s="41">
        <v>19.600000000000001</v>
      </c>
      <c r="Q430" s="44" t="s">
        <v>274</v>
      </c>
    </row>
    <row r="431" spans="1:17" s="40" customFormat="1">
      <c r="A431" s="148" t="s">
        <v>491</v>
      </c>
      <c r="B431" s="148"/>
      <c r="C431" s="43"/>
      <c r="D431" s="35"/>
      <c r="E431" s="35"/>
      <c r="F431" s="35"/>
      <c r="G431" s="35"/>
      <c r="J431" s="38">
        <v>99</v>
      </c>
      <c r="K431" s="44" t="s">
        <v>204</v>
      </c>
      <c r="M431" s="41">
        <v>19.899999999999999</v>
      </c>
      <c r="N431" s="44" t="s">
        <v>274</v>
      </c>
      <c r="O431" s="35"/>
      <c r="P431" s="41">
        <v>20.2</v>
      </c>
      <c r="Q431" s="44" t="s">
        <v>274</v>
      </c>
    </row>
    <row r="432" spans="1:17" s="40" customFormat="1">
      <c r="A432" s="148" t="s">
        <v>492</v>
      </c>
      <c r="B432" s="148"/>
      <c r="C432" s="43"/>
      <c r="D432" s="35"/>
      <c r="E432" s="35"/>
      <c r="F432" s="35"/>
      <c r="G432" s="35"/>
      <c r="J432" s="38">
        <v>100</v>
      </c>
      <c r="K432" s="44" t="s">
        <v>204</v>
      </c>
      <c r="M432" s="41">
        <v>20.100000000000001</v>
      </c>
      <c r="N432" s="44" t="s">
        <v>274</v>
      </c>
      <c r="O432" s="35"/>
      <c r="P432" s="41">
        <v>20.399999999999999</v>
      </c>
      <c r="Q432" s="44" t="s">
        <v>274</v>
      </c>
    </row>
    <row r="433" spans="1:17" s="40" customFormat="1">
      <c r="A433" s="148" t="s">
        <v>493</v>
      </c>
      <c r="B433" s="148"/>
      <c r="C433" s="43"/>
      <c r="D433" s="35"/>
      <c r="E433" s="35"/>
      <c r="F433" s="35"/>
      <c r="G433" s="35"/>
      <c r="J433" s="38">
        <v>104</v>
      </c>
      <c r="K433" s="44" t="s">
        <v>204</v>
      </c>
      <c r="M433" s="41">
        <v>20.9</v>
      </c>
      <c r="N433" s="44" t="s">
        <v>274</v>
      </c>
      <c r="O433" s="35"/>
      <c r="P433" s="41">
        <v>21.2</v>
      </c>
      <c r="Q433" s="44" t="s">
        <v>274</v>
      </c>
    </row>
    <row r="434" spans="1:17" s="40" customFormat="1">
      <c r="A434" s="148" t="s">
        <v>494</v>
      </c>
      <c r="B434" s="148"/>
      <c r="C434" s="43"/>
      <c r="D434" s="35"/>
      <c r="E434" s="35"/>
      <c r="F434" s="35"/>
      <c r="G434" s="35"/>
      <c r="J434" s="38">
        <v>99</v>
      </c>
      <c r="K434" s="44" t="s">
        <v>204</v>
      </c>
      <c r="M434" s="41">
        <v>20</v>
      </c>
      <c r="N434" s="44" t="s">
        <v>274</v>
      </c>
      <c r="O434" s="35"/>
      <c r="P434" s="41">
        <v>20.3</v>
      </c>
      <c r="Q434" s="44" t="s">
        <v>274</v>
      </c>
    </row>
    <row r="435" spans="1:17" s="40" customFormat="1">
      <c r="A435" s="148" t="s">
        <v>495</v>
      </c>
      <c r="B435" s="148"/>
      <c r="C435" s="43"/>
      <c r="D435" s="35"/>
      <c r="E435" s="35"/>
      <c r="F435" s="35"/>
      <c r="G435" s="35"/>
      <c r="J435" s="38">
        <v>99</v>
      </c>
      <c r="K435" s="44" t="s">
        <v>204</v>
      </c>
      <c r="M435" s="41">
        <v>19.899999999999999</v>
      </c>
      <c r="N435" s="44" t="s">
        <v>274</v>
      </c>
      <c r="O435" s="35"/>
      <c r="P435" s="41">
        <v>20.2</v>
      </c>
      <c r="Q435" s="44" t="s">
        <v>274</v>
      </c>
    </row>
    <row r="436" spans="1:17" s="40" customFormat="1">
      <c r="A436" s="148" t="s">
        <v>496</v>
      </c>
      <c r="B436" s="148"/>
      <c r="C436" s="43"/>
      <c r="D436" s="35"/>
      <c r="E436" s="35"/>
      <c r="F436" s="35"/>
      <c r="G436" s="35"/>
      <c r="J436" s="38">
        <v>94</v>
      </c>
      <c r="K436" s="44" t="s">
        <v>204</v>
      </c>
      <c r="M436" s="41">
        <v>18.899999999999999</v>
      </c>
      <c r="N436" s="44" t="s">
        <v>274</v>
      </c>
      <c r="O436" s="35"/>
      <c r="P436" s="41">
        <v>19.2</v>
      </c>
      <c r="Q436" s="44" t="s">
        <v>274</v>
      </c>
    </row>
    <row r="437" spans="1:17" s="40" customFormat="1">
      <c r="A437" s="148"/>
      <c r="B437" s="148"/>
      <c r="C437" s="43"/>
      <c r="D437" s="35" t="s">
        <v>433</v>
      </c>
      <c r="E437" s="35"/>
      <c r="F437" s="35"/>
      <c r="G437" s="35"/>
      <c r="J437" s="38"/>
      <c r="K437" s="44"/>
      <c r="M437" s="41"/>
      <c r="N437" s="44"/>
      <c r="O437" s="35"/>
      <c r="P437" s="41"/>
      <c r="Q437" s="44"/>
    </row>
    <row r="438" spans="1:17" s="40" customFormat="1">
      <c r="A438" s="148" t="s">
        <v>497</v>
      </c>
      <c r="B438" s="148"/>
      <c r="C438" s="43"/>
      <c r="D438" s="35"/>
      <c r="E438" s="35"/>
      <c r="F438" s="35"/>
      <c r="G438" s="35"/>
      <c r="J438" s="38">
        <v>97</v>
      </c>
      <c r="K438" s="44" t="s">
        <v>204</v>
      </c>
      <c r="M438" s="41">
        <v>19.600000000000001</v>
      </c>
      <c r="N438" s="44" t="s">
        <v>274</v>
      </c>
      <c r="O438" s="35"/>
      <c r="P438" s="41">
        <v>19.899999999999999</v>
      </c>
      <c r="Q438" s="44" t="s">
        <v>274</v>
      </c>
    </row>
    <row r="439" spans="1:17" s="40" customFormat="1">
      <c r="A439" s="148" t="s">
        <v>498</v>
      </c>
      <c r="B439" s="148"/>
      <c r="C439" s="43"/>
      <c r="D439" s="35"/>
      <c r="E439" s="35"/>
      <c r="F439" s="35"/>
      <c r="G439" s="35"/>
      <c r="J439" s="38">
        <v>92</v>
      </c>
      <c r="K439" s="44" t="s">
        <v>204</v>
      </c>
      <c r="M439" s="41">
        <v>18.600000000000001</v>
      </c>
      <c r="N439" s="44" t="s">
        <v>274</v>
      </c>
      <c r="O439" s="35"/>
      <c r="P439" s="41">
        <v>18.899999999999999</v>
      </c>
      <c r="Q439" s="44" t="s">
        <v>274</v>
      </c>
    </row>
    <row r="440" spans="1:17" s="40" customFormat="1">
      <c r="A440" s="148" t="s">
        <v>499</v>
      </c>
      <c r="B440" s="148"/>
      <c r="C440" s="43"/>
      <c r="D440" s="35"/>
      <c r="E440" s="35"/>
      <c r="F440" s="35"/>
      <c r="G440" s="35"/>
      <c r="J440" s="38">
        <v>88</v>
      </c>
      <c r="K440" s="44" t="s">
        <v>204</v>
      </c>
      <c r="M440" s="41">
        <v>17.8</v>
      </c>
      <c r="N440" s="44" t="s">
        <v>274</v>
      </c>
      <c r="O440" s="35"/>
      <c r="P440" s="41">
        <v>18.100000000000001</v>
      </c>
      <c r="Q440" s="44" t="s">
        <v>274</v>
      </c>
    </row>
    <row r="441" spans="1:17" s="40" customFormat="1">
      <c r="A441" s="148" t="s">
        <v>500</v>
      </c>
      <c r="B441" s="148"/>
      <c r="C441" s="43"/>
      <c r="D441" s="35"/>
      <c r="E441" s="35"/>
      <c r="F441" s="35"/>
      <c r="G441" s="35"/>
      <c r="J441" s="38">
        <v>98</v>
      </c>
      <c r="K441" s="44" t="s">
        <v>204</v>
      </c>
      <c r="M441" s="41">
        <v>19.899999999999999</v>
      </c>
      <c r="N441" s="44" t="s">
        <v>274</v>
      </c>
      <c r="O441" s="35"/>
      <c r="P441" s="41">
        <v>20.2</v>
      </c>
      <c r="Q441" s="44" t="s">
        <v>274</v>
      </c>
    </row>
    <row r="442" spans="1:17" s="40" customFormat="1">
      <c r="A442" s="148" t="s">
        <v>501</v>
      </c>
      <c r="B442" s="148"/>
      <c r="C442" s="43"/>
      <c r="D442" s="35"/>
      <c r="E442" s="35"/>
      <c r="F442" s="35"/>
      <c r="G442" s="35"/>
      <c r="J442" s="38">
        <v>100</v>
      </c>
      <c r="K442" s="44" t="s">
        <v>204</v>
      </c>
      <c r="M442" s="41">
        <v>20.2</v>
      </c>
      <c r="N442" s="44" t="s">
        <v>274</v>
      </c>
      <c r="O442" s="35"/>
      <c r="P442" s="41">
        <v>20.5</v>
      </c>
      <c r="Q442" s="44" t="s">
        <v>274</v>
      </c>
    </row>
    <row r="443" spans="1:17" s="40" customFormat="1">
      <c r="A443" s="148" t="s">
        <v>502</v>
      </c>
      <c r="B443" s="148"/>
      <c r="C443" s="43"/>
      <c r="D443" s="35"/>
      <c r="E443" s="35"/>
      <c r="F443" s="35"/>
      <c r="G443" s="35"/>
      <c r="J443" s="38">
        <v>99</v>
      </c>
      <c r="K443" s="44" t="s">
        <v>204</v>
      </c>
      <c r="M443" s="41">
        <v>20</v>
      </c>
      <c r="N443" s="44" t="s">
        <v>274</v>
      </c>
      <c r="O443" s="35"/>
      <c r="P443" s="41">
        <v>20.3</v>
      </c>
      <c r="Q443" s="44" t="s">
        <v>274</v>
      </c>
    </row>
    <row r="444" spans="1:17" s="40" customFormat="1">
      <c r="A444" s="148" t="s">
        <v>503</v>
      </c>
      <c r="B444" s="148"/>
      <c r="C444" s="43"/>
      <c r="D444" s="35"/>
      <c r="E444" s="35"/>
      <c r="F444" s="35"/>
      <c r="G444" s="35"/>
      <c r="J444" s="38">
        <v>99</v>
      </c>
      <c r="K444" s="44" t="s">
        <v>204</v>
      </c>
      <c r="M444" s="41">
        <v>20.100000000000001</v>
      </c>
      <c r="N444" s="44" t="s">
        <v>274</v>
      </c>
      <c r="O444" s="35"/>
      <c r="P444" s="41">
        <v>20.399999999999999</v>
      </c>
      <c r="Q444" s="44" t="s">
        <v>274</v>
      </c>
    </row>
    <row r="445" spans="1:17" s="40" customFormat="1">
      <c r="A445" s="148" t="s">
        <v>504</v>
      </c>
      <c r="B445" s="148"/>
      <c r="C445" s="43"/>
      <c r="D445" s="35"/>
      <c r="E445" s="35"/>
      <c r="F445" s="35"/>
      <c r="G445" s="35"/>
      <c r="J445" s="38">
        <v>49</v>
      </c>
      <c r="K445" s="44" t="s">
        <v>204</v>
      </c>
      <c r="M445" s="41">
        <v>9.9</v>
      </c>
      <c r="N445" s="44" t="s">
        <v>274</v>
      </c>
      <c r="O445" s="35"/>
      <c r="P445" s="41">
        <v>10.199999999999999</v>
      </c>
      <c r="Q445" s="44" t="s">
        <v>274</v>
      </c>
    </row>
    <row r="446" spans="1:17" s="40" customFormat="1">
      <c r="A446" s="148"/>
      <c r="B446" s="148"/>
      <c r="C446" s="43"/>
      <c r="D446" s="35"/>
      <c r="E446" s="35"/>
      <c r="F446" s="35"/>
      <c r="G446" s="35"/>
      <c r="J446" s="38"/>
      <c r="K446" s="44"/>
      <c r="M446" s="41"/>
      <c r="N446" s="44"/>
      <c r="O446" s="35"/>
      <c r="P446" s="41"/>
      <c r="Q446" s="44"/>
    </row>
    <row r="447" spans="1:17" s="40" customFormat="1">
      <c r="A447" s="148"/>
      <c r="B447" s="148"/>
      <c r="C447" s="43"/>
      <c r="D447" s="35" t="s">
        <v>234</v>
      </c>
      <c r="E447" s="35"/>
      <c r="F447" s="35"/>
      <c r="G447" s="35"/>
      <c r="J447" s="38"/>
      <c r="K447" s="44"/>
      <c r="M447" s="41"/>
      <c r="N447" s="44"/>
      <c r="O447" s="35"/>
      <c r="P447" s="41"/>
      <c r="Q447" s="44"/>
    </row>
    <row r="448" spans="1:17" s="40" customFormat="1">
      <c r="A448" s="148"/>
      <c r="B448" s="148"/>
      <c r="C448" s="43"/>
      <c r="D448" s="35" t="s">
        <v>433</v>
      </c>
      <c r="E448" s="35"/>
      <c r="F448" s="35"/>
      <c r="G448" s="35"/>
      <c r="J448" s="38"/>
      <c r="K448" s="44"/>
      <c r="M448" s="41"/>
      <c r="N448" s="44"/>
      <c r="O448" s="35"/>
      <c r="P448" s="41"/>
      <c r="Q448" s="44"/>
    </row>
    <row r="449" spans="1:17" s="40" customFormat="1">
      <c r="A449" s="148" t="s">
        <v>505</v>
      </c>
      <c r="B449" s="148"/>
      <c r="C449" s="43"/>
      <c r="D449" s="35"/>
      <c r="E449" s="35"/>
      <c r="F449" s="35"/>
      <c r="G449" s="35"/>
      <c r="J449" s="38">
        <v>32</v>
      </c>
      <c r="K449" s="44" t="s">
        <v>204</v>
      </c>
      <c r="M449" s="41">
        <v>6.5</v>
      </c>
      <c r="N449" s="44" t="s">
        <v>274</v>
      </c>
      <c r="O449" s="35"/>
      <c r="P449" s="41">
        <v>6.8</v>
      </c>
      <c r="Q449" s="44" t="s">
        <v>274</v>
      </c>
    </row>
    <row r="450" spans="1:17" s="40" customFormat="1">
      <c r="A450" s="148" t="s">
        <v>506</v>
      </c>
      <c r="B450" s="148"/>
      <c r="C450" s="43"/>
      <c r="D450" s="35"/>
      <c r="E450" s="35"/>
      <c r="F450" s="35"/>
      <c r="G450" s="35"/>
      <c r="J450" s="38">
        <v>39</v>
      </c>
      <c r="K450" s="44" t="s">
        <v>204</v>
      </c>
      <c r="M450" s="41">
        <v>7.9</v>
      </c>
      <c r="N450" s="44" t="s">
        <v>274</v>
      </c>
      <c r="O450" s="35"/>
      <c r="P450" s="41">
        <v>8.1999999999999993</v>
      </c>
      <c r="Q450" s="44" t="s">
        <v>274</v>
      </c>
    </row>
    <row r="451" spans="1:17" s="40" customFormat="1">
      <c r="A451" s="148" t="s">
        <v>507</v>
      </c>
      <c r="B451" s="148"/>
      <c r="C451" s="43"/>
      <c r="D451" s="35"/>
      <c r="E451" s="35"/>
      <c r="F451" s="35"/>
      <c r="G451" s="35"/>
      <c r="J451" s="38">
        <v>83</v>
      </c>
      <c r="K451" s="44" t="s">
        <v>204</v>
      </c>
      <c r="M451" s="41">
        <v>16.7</v>
      </c>
      <c r="N451" s="44" t="s">
        <v>274</v>
      </c>
      <c r="O451" s="35"/>
      <c r="P451" s="41">
        <v>17</v>
      </c>
      <c r="Q451" s="44" t="s">
        <v>274</v>
      </c>
    </row>
    <row r="452" spans="1:17" s="40" customFormat="1">
      <c r="A452" s="148"/>
      <c r="B452" s="148"/>
      <c r="C452" s="43"/>
      <c r="D452" s="35" t="s">
        <v>383</v>
      </c>
      <c r="E452" s="35"/>
      <c r="F452" s="35"/>
      <c r="G452" s="35"/>
      <c r="J452" s="38"/>
      <c r="K452" s="44"/>
      <c r="M452" s="41"/>
      <c r="N452" s="44"/>
      <c r="O452" s="35"/>
      <c r="P452" s="41"/>
      <c r="Q452" s="44"/>
    </row>
    <row r="453" spans="1:17" s="40" customFormat="1">
      <c r="A453" s="148" t="s">
        <v>508</v>
      </c>
      <c r="B453" s="148"/>
      <c r="C453" s="43"/>
      <c r="D453" s="35"/>
      <c r="E453" s="35"/>
      <c r="F453" s="35"/>
      <c r="G453" s="35"/>
      <c r="J453" s="38">
        <v>79</v>
      </c>
      <c r="K453" s="44" t="s">
        <v>204</v>
      </c>
      <c r="M453" s="41">
        <v>16</v>
      </c>
      <c r="N453" s="44" t="s">
        <v>274</v>
      </c>
      <c r="O453" s="35"/>
      <c r="P453" s="41">
        <v>16.3</v>
      </c>
      <c r="Q453" s="44" t="s">
        <v>274</v>
      </c>
    </row>
    <row r="454" spans="1:17" s="40" customFormat="1">
      <c r="A454" s="148" t="s">
        <v>509</v>
      </c>
      <c r="B454" s="148"/>
      <c r="C454" s="43"/>
      <c r="D454" s="35"/>
      <c r="E454" s="35"/>
      <c r="F454" s="35"/>
      <c r="G454" s="35"/>
      <c r="J454" s="38">
        <v>91</v>
      </c>
      <c r="K454" s="44" t="s">
        <v>204</v>
      </c>
      <c r="M454" s="41">
        <v>18.399999999999999</v>
      </c>
      <c r="N454" s="44" t="s">
        <v>274</v>
      </c>
      <c r="O454" s="35"/>
      <c r="P454" s="41">
        <v>18.7</v>
      </c>
      <c r="Q454" s="44" t="s">
        <v>274</v>
      </c>
    </row>
    <row r="455" spans="1:17" s="40" customFormat="1">
      <c r="A455" s="148"/>
      <c r="B455" s="148"/>
      <c r="C455" s="43"/>
      <c r="D455" s="35"/>
      <c r="E455" s="35"/>
      <c r="F455" s="35"/>
      <c r="G455" s="35"/>
      <c r="J455" s="38"/>
      <c r="K455" s="44"/>
      <c r="M455" s="41"/>
      <c r="N455" s="44"/>
      <c r="O455" s="35"/>
      <c r="P455" s="41"/>
      <c r="Q455" s="44"/>
    </row>
    <row r="456" spans="1:17" s="40" customFormat="1">
      <c r="A456" s="148"/>
      <c r="B456" s="148"/>
      <c r="C456" s="43"/>
      <c r="D456" s="35" t="s">
        <v>235</v>
      </c>
      <c r="E456" s="35"/>
      <c r="F456" s="35"/>
      <c r="G456" s="35"/>
      <c r="J456" s="38"/>
      <c r="K456" s="44"/>
      <c r="M456" s="41"/>
      <c r="N456" s="44"/>
      <c r="O456" s="35"/>
      <c r="P456" s="41"/>
      <c r="Q456" s="44"/>
    </row>
    <row r="457" spans="1:17" s="40" customFormat="1">
      <c r="A457" s="148"/>
      <c r="B457" s="148"/>
      <c r="C457" s="43"/>
      <c r="D457" s="35" t="s">
        <v>433</v>
      </c>
      <c r="E457" s="35"/>
      <c r="F457" s="35"/>
      <c r="G457" s="35"/>
      <c r="J457" s="38"/>
      <c r="K457" s="44"/>
      <c r="M457" s="41"/>
      <c r="N457" s="44"/>
      <c r="O457" s="35"/>
      <c r="P457" s="41"/>
      <c r="Q457" s="44"/>
    </row>
    <row r="458" spans="1:17" s="40" customFormat="1">
      <c r="A458" s="148" t="s">
        <v>510</v>
      </c>
      <c r="B458" s="148"/>
      <c r="C458" s="43"/>
      <c r="D458" s="35"/>
      <c r="E458" s="35"/>
      <c r="F458" s="35"/>
      <c r="G458" s="35"/>
      <c r="J458" s="38">
        <v>98</v>
      </c>
      <c r="K458" s="44" t="s">
        <v>204</v>
      </c>
      <c r="M458" s="41">
        <v>19.8</v>
      </c>
      <c r="N458" s="44" t="s">
        <v>274</v>
      </c>
      <c r="O458" s="35"/>
      <c r="P458" s="41">
        <v>20.100000000000001</v>
      </c>
      <c r="Q458" s="44" t="s">
        <v>274</v>
      </c>
    </row>
    <row r="459" spans="1:17" s="40" customFormat="1">
      <c r="A459" s="148" t="s">
        <v>511</v>
      </c>
      <c r="B459" s="148"/>
      <c r="C459" s="43"/>
      <c r="D459" s="35"/>
      <c r="E459" s="35"/>
      <c r="F459" s="35"/>
      <c r="G459" s="35"/>
      <c r="J459" s="38">
        <v>42</v>
      </c>
      <c r="K459" s="44" t="s">
        <v>204</v>
      </c>
      <c r="M459" s="41">
        <v>8.5</v>
      </c>
      <c r="N459" s="44" t="s">
        <v>274</v>
      </c>
      <c r="O459" s="35"/>
      <c r="P459" s="41">
        <v>8.8000000000000007</v>
      </c>
      <c r="Q459" s="44" t="s">
        <v>274</v>
      </c>
    </row>
    <row r="460" spans="1:17" s="40" customFormat="1">
      <c r="A460" s="148" t="s">
        <v>512</v>
      </c>
      <c r="B460" s="148"/>
      <c r="C460" s="43"/>
      <c r="D460" s="35"/>
      <c r="E460" s="35"/>
      <c r="F460" s="35"/>
      <c r="G460" s="35"/>
      <c r="J460" s="38">
        <v>98</v>
      </c>
      <c r="K460" s="44" t="s">
        <v>204</v>
      </c>
      <c r="M460" s="41">
        <v>19.899999999999999</v>
      </c>
      <c r="N460" s="44" t="s">
        <v>274</v>
      </c>
      <c r="O460" s="35"/>
      <c r="P460" s="41">
        <v>20.2</v>
      </c>
      <c r="Q460" s="44" t="s">
        <v>274</v>
      </c>
    </row>
    <row r="461" spans="1:17" s="40" customFormat="1">
      <c r="A461" s="148" t="s">
        <v>513</v>
      </c>
      <c r="B461" s="148"/>
      <c r="C461" s="43"/>
      <c r="D461" s="35"/>
      <c r="E461" s="35"/>
      <c r="F461" s="35"/>
      <c r="G461" s="35"/>
      <c r="J461" s="38">
        <v>95</v>
      </c>
      <c r="K461" s="44" t="s">
        <v>204</v>
      </c>
      <c r="M461" s="41">
        <v>19.3</v>
      </c>
      <c r="N461" s="44" t="s">
        <v>274</v>
      </c>
      <c r="O461" s="35"/>
      <c r="P461" s="41">
        <v>19.600000000000001</v>
      </c>
      <c r="Q461" s="44" t="s">
        <v>274</v>
      </c>
    </row>
    <row r="462" spans="1:17" s="40" customFormat="1">
      <c r="A462" s="148" t="s">
        <v>514</v>
      </c>
      <c r="B462" s="148"/>
      <c r="C462" s="43"/>
      <c r="D462" s="35"/>
      <c r="E462" s="35"/>
      <c r="F462" s="35"/>
      <c r="G462" s="35"/>
      <c r="J462" s="38">
        <v>47</v>
      </c>
      <c r="K462" s="44" t="s">
        <v>204</v>
      </c>
      <c r="M462" s="41">
        <v>9.5</v>
      </c>
      <c r="N462" s="44" t="s">
        <v>274</v>
      </c>
      <c r="O462" s="35"/>
      <c r="P462" s="41">
        <v>9.8000000000000007</v>
      </c>
      <c r="Q462" s="44" t="s">
        <v>274</v>
      </c>
    </row>
    <row r="463" spans="1:17" s="40" customFormat="1">
      <c r="A463" s="148" t="s">
        <v>515</v>
      </c>
      <c r="B463" s="148"/>
      <c r="C463" s="43"/>
      <c r="D463" s="35"/>
      <c r="E463" s="35"/>
      <c r="F463" s="35"/>
      <c r="G463" s="35"/>
      <c r="J463" s="38">
        <v>98</v>
      </c>
      <c r="K463" s="44" t="s">
        <v>204</v>
      </c>
      <c r="M463" s="41">
        <v>19.899999999999999</v>
      </c>
      <c r="N463" s="44" t="s">
        <v>274</v>
      </c>
      <c r="O463" s="35"/>
      <c r="P463" s="41">
        <v>20.2</v>
      </c>
      <c r="Q463" s="44" t="s">
        <v>274</v>
      </c>
    </row>
    <row r="464" spans="1:17" s="40" customFormat="1">
      <c r="A464" s="148" t="s">
        <v>516</v>
      </c>
      <c r="B464" s="148"/>
      <c r="C464" s="43"/>
      <c r="D464" s="35"/>
      <c r="E464" s="35"/>
      <c r="F464" s="35"/>
      <c r="G464" s="35"/>
      <c r="J464" s="38">
        <v>98</v>
      </c>
      <c r="K464" s="44" t="s">
        <v>204</v>
      </c>
      <c r="M464" s="41">
        <v>19.8</v>
      </c>
      <c r="N464" s="44" t="s">
        <v>274</v>
      </c>
      <c r="O464" s="35"/>
      <c r="P464" s="41">
        <v>20.100000000000001</v>
      </c>
      <c r="Q464" s="44" t="s">
        <v>274</v>
      </c>
    </row>
    <row r="465" spans="1:17" s="40" customFormat="1">
      <c r="A465" s="148" t="s">
        <v>517</v>
      </c>
      <c r="B465" s="148"/>
      <c r="C465" s="43"/>
      <c r="D465" s="35"/>
      <c r="E465" s="35"/>
      <c r="F465" s="35"/>
      <c r="G465" s="35"/>
      <c r="J465" s="38">
        <v>93</v>
      </c>
      <c r="K465" s="44" t="s">
        <v>204</v>
      </c>
      <c r="M465" s="41">
        <v>18.899999999999999</v>
      </c>
      <c r="N465" s="44" t="s">
        <v>274</v>
      </c>
      <c r="O465" s="35"/>
      <c r="P465" s="41">
        <v>19.2</v>
      </c>
      <c r="Q465" s="44" t="s">
        <v>274</v>
      </c>
    </row>
    <row r="466" spans="1:17" s="40" customFormat="1">
      <c r="A466" s="148" t="s">
        <v>518</v>
      </c>
      <c r="B466" s="148"/>
      <c r="C466" s="43"/>
      <c r="D466" s="35"/>
      <c r="E466" s="35"/>
      <c r="F466" s="35"/>
      <c r="G466" s="35"/>
      <c r="J466" s="38">
        <v>98</v>
      </c>
      <c r="K466" s="44" t="s">
        <v>204</v>
      </c>
      <c r="M466" s="41">
        <v>19.899999999999999</v>
      </c>
      <c r="N466" s="44" t="s">
        <v>274</v>
      </c>
      <c r="O466" s="35"/>
      <c r="P466" s="41">
        <v>20.2</v>
      </c>
      <c r="Q466" s="44" t="s">
        <v>274</v>
      </c>
    </row>
    <row r="467" spans="1:17" s="40" customFormat="1">
      <c r="A467" s="148" t="s">
        <v>519</v>
      </c>
      <c r="B467" s="148"/>
      <c r="C467" s="43"/>
      <c r="D467" s="35"/>
      <c r="E467" s="35"/>
      <c r="F467" s="35"/>
      <c r="G467" s="35"/>
      <c r="J467" s="38">
        <v>60</v>
      </c>
      <c r="K467" s="44" t="s">
        <v>204</v>
      </c>
      <c r="M467" s="41">
        <v>12.2</v>
      </c>
      <c r="N467" s="44" t="s">
        <v>274</v>
      </c>
      <c r="O467" s="35"/>
      <c r="P467" s="41">
        <v>12.5</v>
      </c>
      <c r="Q467" s="44" t="s">
        <v>274</v>
      </c>
    </row>
    <row r="468" spans="1:17" s="40" customFormat="1">
      <c r="A468" s="148" t="s">
        <v>520</v>
      </c>
      <c r="B468" s="148"/>
      <c r="C468" s="43"/>
      <c r="D468" s="35"/>
      <c r="E468" s="35"/>
      <c r="F468" s="35"/>
      <c r="G468" s="35"/>
      <c r="J468" s="38">
        <v>98</v>
      </c>
      <c r="K468" s="44" t="s">
        <v>204</v>
      </c>
      <c r="M468" s="41">
        <v>19.899999999999999</v>
      </c>
      <c r="N468" s="44" t="s">
        <v>274</v>
      </c>
      <c r="O468" s="35"/>
      <c r="P468" s="41">
        <v>20.2</v>
      </c>
      <c r="Q468" s="44" t="s">
        <v>274</v>
      </c>
    </row>
    <row r="469" spans="1:17" s="40" customFormat="1">
      <c r="A469" s="148"/>
      <c r="B469" s="148"/>
      <c r="C469" s="43"/>
      <c r="D469" s="35" t="s">
        <v>383</v>
      </c>
      <c r="E469" s="35"/>
      <c r="F469" s="35"/>
      <c r="G469" s="35"/>
      <c r="J469" s="38"/>
      <c r="K469" s="44"/>
      <c r="M469" s="41"/>
      <c r="N469" s="44"/>
      <c r="O469" s="35"/>
      <c r="P469" s="41"/>
      <c r="Q469" s="44"/>
    </row>
    <row r="470" spans="1:17" s="40" customFormat="1">
      <c r="A470" s="148" t="s">
        <v>521</v>
      </c>
      <c r="B470" s="148"/>
      <c r="C470" s="43"/>
      <c r="D470" s="35"/>
      <c r="E470" s="35"/>
      <c r="F470" s="35"/>
      <c r="G470" s="35"/>
      <c r="J470" s="38">
        <v>66</v>
      </c>
      <c r="K470" s="44" t="s">
        <v>204</v>
      </c>
      <c r="M470" s="41">
        <v>13.3</v>
      </c>
      <c r="N470" s="44" t="s">
        <v>274</v>
      </c>
      <c r="O470" s="35"/>
      <c r="P470" s="41">
        <v>13.6</v>
      </c>
      <c r="Q470" s="44" t="s">
        <v>274</v>
      </c>
    </row>
    <row r="471" spans="1:17" s="40" customFormat="1">
      <c r="A471" s="148" t="s">
        <v>522</v>
      </c>
      <c r="B471" s="148"/>
      <c r="C471" s="43"/>
      <c r="D471" s="35"/>
      <c r="E471" s="35"/>
      <c r="F471" s="35"/>
      <c r="G471" s="35"/>
      <c r="J471" s="38">
        <v>93</v>
      </c>
      <c r="K471" s="44" t="s">
        <v>204</v>
      </c>
      <c r="M471" s="41">
        <v>18.8</v>
      </c>
      <c r="N471" s="44" t="s">
        <v>274</v>
      </c>
      <c r="O471" s="35"/>
      <c r="P471" s="41">
        <v>19.100000000000001</v>
      </c>
      <c r="Q471" s="44" t="s">
        <v>274</v>
      </c>
    </row>
    <row r="472" spans="1:17" s="40" customFormat="1">
      <c r="A472" s="148" t="s">
        <v>523</v>
      </c>
      <c r="B472" s="148"/>
      <c r="C472" s="43"/>
      <c r="D472" s="35"/>
      <c r="E472" s="35"/>
      <c r="F472" s="35"/>
      <c r="G472" s="35"/>
      <c r="J472" s="38">
        <v>85</v>
      </c>
      <c r="K472" s="44" t="s">
        <v>204</v>
      </c>
      <c r="M472" s="41">
        <v>17.2</v>
      </c>
      <c r="N472" s="44" t="s">
        <v>274</v>
      </c>
      <c r="O472" s="35"/>
      <c r="P472" s="41">
        <v>17.5</v>
      </c>
      <c r="Q472" s="44" t="s">
        <v>274</v>
      </c>
    </row>
    <row r="473" spans="1:17" s="40" customFormat="1">
      <c r="A473" s="148" t="s">
        <v>524</v>
      </c>
      <c r="B473" s="148"/>
      <c r="C473" s="43"/>
      <c r="D473" s="35"/>
      <c r="E473" s="35"/>
      <c r="F473" s="35"/>
      <c r="G473" s="35"/>
      <c r="J473" s="38">
        <v>93</v>
      </c>
      <c r="K473" s="44" t="s">
        <v>204</v>
      </c>
      <c r="M473" s="41">
        <v>18.899999999999999</v>
      </c>
      <c r="N473" s="44" t="s">
        <v>274</v>
      </c>
      <c r="O473" s="35"/>
      <c r="P473" s="41">
        <v>19.2</v>
      </c>
      <c r="Q473" s="44" t="s">
        <v>274</v>
      </c>
    </row>
    <row r="474" spans="1:17" s="40" customFormat="1">
      <c r="A474" s="148" t="s">
        <v>525</v>
      </c>
      <c r="B474" s="148"/>
      <c r="C474" s="43"/>
      <c r="D474" s="35"/>
      <c r="E474" s="35"/>
      <c r="F474" s="35"/>
      <c r="G474" s="35"/>
      <c r="J474" s="38">
        <v>91</v>
      </c>
      <c r="K474" s="44" t="s">
        <v>204</v>
      </c>
      <c r="M474" s="41">
        <v>18.5</v>
      </c>
      <c r="N474" s="44" t="s">
        <v>274</v>
      </c>
      <c r="O474" s="35"/>
      <c r="P474" s="41">
        <v>18.8</v>
      </c>
      <c r="Q474" s="44" t="s">
        <v>274</v>
      </c>
    </row>
    <row r="475" spans="1:17" s="40" customFormat="1">
      <c r="A475" s="148" t="s">
        <v>526</v>
      </c>
      <c r="B475" s="148"/>
      <c r="C475" s="43"/>
      <c r="D475" s="35"/>
      <c r="E475" s="35"/>
      <c r="F475" s="35"/>
      <c r="G475" s="35"/>
      <c r="J475" s="38">
        <v>109</v>
      </c>
      <c r="K475" s="44" t="s">
        <v>204</v>
      </c>
      <c r="M475" s="41">
        <v>22.1</v>
      </c>
      <c r="N475" s="44" t="s">
        <v>274</v>
      </c>
      <c r="O475" s="35"/>
      <c r="P475" s="41">
        <v>22.4</v>
      </c>
      <c r="Q475" s="44" t="s">
        <v>274</v>
      </c>
    </row>
    <row r="476" spans="1:17" s="40" customFormat="1">
      <c r="A476" s="148" t="s">
        <v>527</v>
      </c>
      <c r="B476" s="148"/>
      <c r="C476" s="43"/>
      <c r="D476" s="35"/>
      <c r="E476" s="35"/>
      <c r="F476" s="35"/>
      <c r="G476" s="35"/>
      <c r="J476" s="38">
        <v>24</v>
      </c>
      <c r="K476" s="44" t="s">
        <v>204</v>
      </c>
      <c r="M476" s="41">
        <v>4.9000000000000004</v>
      </c>
      <c r="N476" s="44" t="s">
        <v>274</v>
      </c>
      <c r="O476" s="35"/>
      <c r="P476" s="41">
        <v>5.2</v>
      </c>
      <c r="Q476" s="44" t="s">
        <v>274</v>
      </c>
    </row>
    <row r="477" spans="1:17" s="40" customFormat="1">
      <c r="A477" s="148"/>
      <c r="B477" s="148"/>
      <c r="C477" s="43"/>
      <c r="D477" s="35"/>
      <c r="E477" s="35"/>
      <c r="F477" s="35"/>
      <c r="G477" s="35"/>
      <c r="J477" s="38"/>
      <c r="K477" s="44"/>
      <c r="M477" s="41"/>
      <c r="N477" s="44"/>
      <c r="O477" s="35"/>
      <c r="P477" s="41"/>
      <c r="Q477" s="44"/>
    </row>
    <row r="478" spans="1:17" s="40" customFormat="1">
      <c r="A478" s="148"/>
      <c r="B478" s="148"/>
      <c r="C478" s="43"/>
      <c r="D478" s="35" t="s">
        <v>236</v>
      </c>
      <c r="E478" s="35"/>
      <c r="F478" s="35"/>
      <c r="G478" s="35"/>
      <c r="J478" s="38"/>
      <c r="K478" s="44"/>
      <c r="M478" s="41"/>
      <c r="N478" s="44"/>
      <c r="O478" s="35"/>
      <c r="P478" s="41"/>
      <c r="Q478" s="44"/>
    </row>
    <row r="479" spans="1:17" s="40" customFormat="1">
      <c r="A479" s="148"/>
      <c r="B479" s="148"/>
      <c r="C479" s="43"/>
      <c r="D479" s="35" t="s">
        <v>433</v>
      </c>
      <c r="E479" s="35"/>
      <c r="F479" s="35"/>
      <c r="G479" s="35"/>
      <c r="J479" s="38"/>
      <c r="K479" s="44"/>
      <c r="M479" s="41"/>
      <c r="N479" s="44"/>
      <c r="O479" s="35"/>
      <c r="P479" s="41"/>
      <c r="Q479" s="44"/>
    </row>
    <row r="480" spans="1:17" s="40" customFormat="1">
      <c r="A480" s="148" t="s">
        <v>528</v>
      </c>
      <c r="B480" s="148"/>
      <c r="C480" s="43"/>
      <c r="D480" s="35"/>
      <c r="E480" s="35"/>
      <c r="F480" s="35"/>
      <c r="G480" s="35"/>
      <c r="J480" s="38">
        <v>16</v>
      </c>
      <c r="K480" s="44" t="s">
        <v>204</v>
      </c>
      <c r="M480" s="41">
        <v>3.3</v>
      </c>
      <c r="N480" s="44" t="s">
        <v>274</v>
      </c>
      <c r="O480" s="35"/>
      <c r="P480" s="41">
        <v>3.6</v>
      </c>
      <c r="Q480" s="44" t="s">
        <v>274</v>
      </c>
    </row>
    <row r="481" spans="1:17" s="40" customFormat="1">
      <c r="A481" s="148" t="s">
        <v>529</v>
      </c>
      <c r="B481" s="148"/>
      <c r="C481" s="43"/>
      <c r="D481" s="35"/>
      <c r="E481" s="35"/>
      <c r="F481" s="35"/>
      <c r="G481" s="35"/>
      <c r="J481" s="38">
        <v>43</v>
      </c>
      <c r="K481" s="44" t="s">
        <v>204</v>
      </c>
      <c r="M481" s="41">
        <v>8.6999999999999993</v>
      </c>
      <c r="N481" s="44" t="s">
        <v>274</v>
      </c>
      <c r="O481" s="35"/>
      <c r="P481" s="41">
        <v>9</v>
      </c>
      <c r="Q481" s="44" t="s">
        <v>274</v>
      </c>
    </row>
    <row r="482" spans="1:17" s="40" customFormat="1">
      <c r="A482" s="148" t="s">
        <v>530</v>
      </c>
      <c r="B482" s="148"/>
      <c r="C482" s="43"/>
      <c r="D482" s="35"/>
      <c r="E482" s="35"/>
      <c r="F482" s="35"/>
      <c r="G482" s="35"/>
      <c r="J482" s="38">
        <v>99</v>
      </c>
      <c r="K482" s="44" t="s">
        <v>204</v>
      </c>
      <c r="M482" s="41">
        <v>20</v>
      </c>
      <c r="N482" s="44" t="s">
        <v>274</v>
      </c>
      <c r="O482" s="35"/>
      <c r="P482" s="41">
        <v>20.3</v>
      </c>
      <c r="Q482" s="44" t="s">
        <v>274</v>
      </c>
    </row>
    <row r="483" spans="1:17" s="40" customFormat="1">
      <c r="A483" s="148" t="s">
        <v>531</v>
      </c>
      <c r="B483" s="148"/>
      <c r="C483" s="43"/>
      <c r="D483" s="35"/>
      <c r="E483" s="35"/>
      <c r="F483" s="35"/>
      <c r="G483" s="35"/>
      <c r="J483" s="38">
        <v>48</v>
      </c>
      <c r="K483" s="44" t="s">
        <v>204</v>
      </c>
      <c r="M483" s="41">
        <v>9.6999999999999993</v>
      </c>
      <c r="N483" s="44" t="s">
        <v>274</v>
      </c>
      <c r="O483" s="35"/>
      <c r="P483" s="41">
        <v>10</v>
      </c>
      <c r="Q483" s="44" t="s">
        <v>274</v>
      </c>
    </row>
    <row r="484" spans="1:17" s="40" customFormat="1">
      <c r="A484" s="148" t="s">
        <v>532</v>
      </c>
      <c r="B484" s="148"/>
      <c r="C484" s="43"/>
      <c r="D484" s="35"/>
      <c r="E484" s="35"/>
      <c r="F484" s="35"/>
      <c r="G484" s="35"/>
      <c r="J484" s="38">
        <v>87</v>
      </c>
      <c r="K484" s="44" t="s">
        <v>204</v>
      </c>
      <c r="M484" s="41">
        <v>17.5</v>
      </c>
      <c r="N484" s="44" t="s">
        <v>274</v>
      </c>
      <c r="O484" s="35"/>
      <c r="P484" s="41">
        <v>17.8</v>
      </c>
      <c r="Q484" s="44" t="s">
        <v>274</v>
      </c>
    </row>
    <row r="485" spans="1:17" s="40" customFormat="1">
      <c r="A485" s="148" t="s">
        <v>533</v>
      </c>
      <c r="B485" s="148"/>
      <c r="C485" s="43"/>
      <c r="D485" s="35"/>
      <c r="E485" s="35"/>
      <c r="F485" s="35"/>
      <c r="G485" s="35"/>
      <c r="J485" s="38">
        <v>31</v>
      </c>
      <c r="K485" s="44" t="s">
        <v>204</v>
      </c>
      <c r="M485" s="41">
        <v>6.3</v>
      </c>
      <c r="N485" s="44" t="s">
        <v>274</v>
      </c>
      <c r="O485" s="35"/>
      <c r="P485" s="41">
        <v>6.6</v>
      </c>
      <c r="Q485" s="44" t="s">
        <v>274</v>
      </c>
    </row>
    <row r="486" spans="1:17" s="40" customFormat="1">
      <c r="A486" s="148" t="s">
        <v>534</v>
      </c>
      <c r="B486" s="148"/>
      <c r="C486" s="43"/>
      <c r="D486" s="35"/>
      <c r="E486" s="35"/>
      <c r="F486" s="35"/>
      <c r="G486" s="35"/>
      <c r="J486" s="38">
        <v>89</v>
      </c>
      <c r="K486" s="44" t="s">
        <v>204</v>
      </c>
      <c r="M486" s="41">
        <v>17.899999999999999</v>
      </c>
      <c r="N486" s="44" t="s">
        <v>274</v>
      </c>
      <c r="O486" s="35"/>
      <c r="P486" s="41">
        <v>18.2</v>
      </c>
      <c r="Q486" s="44" t="s">
        <v>274</v>
      </c>
    </row>
    <row r="487" spans="1:17" s="40" customFormat="1">
      <c r="A487" s="148" t="s">
        <v>535</v>
      </c>
      <c r="B487" s="148"/>
      <c r="C487" s="43"/>
      <c r="D487" s="35"/>
      <c r="E487" s="35"/>
      <c r="F487" s="35"/>
      <c r="G487" s="35"/>
      <c r="J487" s="38">
        <v>50</v>
      </c>
      <c r="K487" s="44" t="s">
        <v>204</v>
      </c>
      <c r="M487" s="41">
        <v>10.199999999999999</v>
      </c>
      <c r="N487" s="44" t="s">
        <v>274</v>
      </c>
      <c r="O487" s="35"/>
      <c r="P487" s="41">
        <v>10.5</v>
      </c>
      <c r="Q487" s="44" t="s">
        <v>274</v>
      </c>
    </row>
    <row r="488" spans="1:17" s="40" customFormat="1">
      <c r="A488" s="148"/>
      <c r="B488" s="148"/>
      <c r="C488" s="43"/>
      <c r="D488" s="35"/>
      <c r="E488" s="35"/>
      <c r="F488" s="35"/>
      <c r="G488" s="35"/>
      <c r="J488" s="38"/>
      <c r="K488" s="44"/>
      <c r="M488" s="41"/>
      <c r="N488" s="44"/>
      <c r="O488" s="35"/>
      <c r="P488" s="41"/>
      <c r="Q488" s="44"/>
    </row>
    <row r="489" spans="1:17" s="40" customFormat="1">
      <c r="A489" s="148"/>
      <c r="B489" s="148"/>
      <c r="C489" s="43"/>
      <c r="D489" s="35" t="s">
        <v>237</v>
      </c>
      <c r="E489" s="35"/>
      <c r="F489" s="35"/>
      <c r="G489" s="35"/>
      <c r="J489" s="38"/>
      <c r="K489" s="44"/>
      <c r="M489" s="41"/>
      <c r="N489" s="44"/>
      <c r="O489" s="35"/>
      <c r="P489" s="41"/>
      <c r="Q489" s="44"/>
    </row>
    <row r="490" spans="1:17" s="40" customFormat="1">
      <c r="A490" s="148"/>
      <c r="B490" s="148"/>
      <c r="C490" s="43"/>
      <c r="D490" s="35" t="s">
        <v>433</v>
      </c>
      <c r="E490" s="35"/>
      <c r="F490" s="35"/>
      <c r="G490" s="35"/>
      <c r="J490" s="38"/>
      <c r="K490" s="44"/>
      <c r="M490" s="41"/>
      <c r="N490" s="44"/>
      <c r="O490" s="35"/>
      <c r="P490" s="41"/>
      <c r="Q490" s="44"/>
    </row>
    <row r="491" spans="1:17" s="40" customFormat="1">
      <c r="A491" s="148" t="s">
        <v>536</v>
      </c>
      <c r="B491" s="148"/>
      <c r="C491" s="43"/>
      <c r="D491" s="35"/>
      <c r="E491" s="35"/>
      <c r="F491" s="35"/>
      <c r="G491" s="35"/>
      <c r="J491" s="38">
        <v>90</v>
      </c>
      <c r="K491" s="44" t="s">
        <v>204</v>
      </c>
      <c r="M491" s="41">
        <v>18.3</v>
      </c>
      <c r="N491" s="44" t="s">
        <v>274</v>
      </c>
      <c r="O491" s="35"/>
      <c r="P491" s="41">
        <v>18.600000000000001</v>
      </c>
      <c r="Q491" s="44" t="s">
        <v>274</v>
      </c>
    </row>
    <row r="492" spans="1:17" s="40" customFormat="1">
      <c r="A492" s="148" t="s">
        <v>537</v>
      </c>
      <c r="B492" s="148"/>
      <c r="C492" s="43"/>
      <c r="D492" s="35"/>
      <c r="E492" s="35"/>
      <c r="F492" s="35"/>
      <c r="G492" s="35"/>
      <c r="J492" s="38">
        <v>95</v>
      </c>
      <c r="K492" s="44" t="s">
        <v>204</v>
      </c>
      <c r="M492" s="41">
        <v>19.3</v>
      </c>
      <c r="N492" s="44" t="s">
        <v>274</v>
      </c>
      <c r="O492" s="35"/>
      <c r="P492" s="41">
        <v>19.600000000000001</v>
      </c>
      <c r="Q492" s="44" t="s">
        <v>274</v>
      </c>
    </row>
    <row r="493" spans="1:17" s="40" customFormat="1">
      <c r="A493" s="148" t="s">
        <v>538</v>
      </c>
      <c r="B493" s="148"/>
      <c r="C493" s="43"/>
      <c r="D493" s="35"/>
      <c r="E493" s="35"/>
      <c r="F493" s="35"/>
      <c r="G493" s="35"/>
      <c r="J493" s="38">
        <v>49</v>
      </c>
      <c r="K493" s="44" t="s">
        <v>204</v>
      </c>
      <c r="M493" s="41">
        <v>9.9</v>
      </c>
      <c r="N493" s="44" t="s">
        <v>274</v>
      </c>
      <c r="O493" s="35"/>
      <c r="P493" s="41">
        <v>10.199999999999999</v>
      </c>
      <c r="Q493" s="44" t="s">
        <v>274</v>
      </c>
    </row>
    <row r="494" spans="1:17" s="40" customFormat="1">
      <c r="A494" s="148" t="s">
        <v>539</v>
      </c>
      <c r="B494" s="148"/>
      <c r="C494" s="43"/>
      <c r="D494" s="35"/>
      <c r="E494" s="35"/>
      <c r="F494" s="35"/>
      <c r="G494" s="35"/>
      <c r="J494" s="38">
        <v>47</v>
      </c>
      <c r="K494" s="44" t="s">
        <v>204</v>
      </c>
      <c r="M494" s="41">
        <v>9.5</v>
      </c>
      <c r="N494" s="44" t="s">
        <v>274</v>
      </c>
      <c r="O494" s="35"/>
      <c r="P494" s="41">
        <v>9.8000000000000007</v>
      </c>
      <c r="Q494" s="44" t="s">
        <v>274</v>
      </c>
    </row>
    <row r="495" spans="1:17" s="40" customFormat="1">
      <c r="A495" s="148" t="s">
        <v>540</v>
      </c>
      <c r="B495" s="148"/>
      <c r="C495" s="43"/>
      <c r="D495" s="35"/>
      <c r="E495" s="35"/>
      <c r="F495" s="35"/>
      <c r="G495" s="35"/>
      <c r="J495" s="38">
        <v>39</v>
      </c>
      <c r="K495" s="44" t="s">
        <v>204</v>
      </c>
      <c r="M495" s="41">
        <v>7.9</v>
      </c>
      <c r="N495" s="44" t="s">
        <v>274</v>
      </c>
      <c r="O495" s="35"/>
      <c r="P495" s="41">
        <v>8.1999999999999993</v>
      </c>
      <c r="Q495" s="44" t="s">
        <v>274</v>
      </c>
    </row>
    <row r="496" spans="1:17" s="40" customFormat="1">
      <c r="A496" s="148" t="s">
        <v>541</v>
      </c>
      <c r="B496" s="148"/>
      <c r="C496" s="43"/>
      <c r="D496" s="35"/>
      <c r="E496" s="35"/>
      <c r="F496" s="35"/>
      <c r="G496" s="35"/>
      <c r="J496" s="38">
        <v>40</v>
      </c>
      <c r="K496" s="44" t="s">
        <v>204</v>
      </c>
      <c r="M496" s="41">
        <v>8.1</v>
      </c>
      <c r="N496" s="44" t="s">
        <v>274</v>
      </c>
      <c r="O496" s="35"/>
      <c r="P496" s="41">
        <v>8.4</v>
      </c>
      <c r="Q496" s="44" t="s">
        <v>274</v>
      </c>
    </row>
    <row r="497" spans="1:17" s="40" customFormat="1">
      <c r="A497" s="148"/>
      <c r="B497" s="148"/>
      <c r="C497" s="43"/>
      <c r="D497" s="35"/>
      <c r="E497" s="35"/>
      <c r="F497" s="35"/>
      <c r="G497" s="35"/>
      <c r="J497" s="38"/>
      <c r="K497" s="44"/>
      <c r="M497" s="41"/>
      <c r="N497" s="44"/>
      <c r="O497" s="35"/>
      <c r="P497" s="41"/>
      <c r="Q497" s="44"/>
    </row>
    <row r="498" spans="1:17" s="40" customFormat="1">
      <c r="A498" s="148"/>
      <c r="B498" s="148"/>
      <c r="C498" s="43"/>
      <c r="D498" s="42" t="s">
        <v>210</v>
      </c>
      <c r="E498" s="35"/>
      <c r="F498" s="35"/>
      <c r="G498" s="35"/>
      <c r="J498" s="38"/>
      <c r="K498" s="44"/>
      <c r="M498" s="41"/>
      <c r="N498" s="44"/>
      <c r="O498" s="35"/>
      <c r="P498" s="41"/>
      <c r="Q498" s="44"/>
    </row>
    <row r="499" spans="1:17" s="40" customFormat="1">
      <c r="A499" s="148"/>
      <c r="B499" s="148"/>
      <c r="C499" s="43"/>
      <c r="D499" s="35" t="s">
        <v>219</v>
      </c>
      <c r="E499" s="35"/>
      <c r="F499" s="35"/>
      <c r="G499" s="35"/>
      <c r="J499" s="38"/>
      <c r="K499" s="44"/>
      <c r="M499" s="41"/>
      <c r="N499" s="44"/>
      <c r="O499" s="35"/>
      <c r="P499" s="41"/>
      <c r="Q499" s="44"/>
    </row>
    <row r="500" spans="1:17" s="40" customFormat="1">
      <c r="A500" s="148"/>
      <c r="B500" s="148"/>
      <c r="C500" s="43"/>
      <c r="D500" s="35" t="s">
        <v>433</v>
      </c>
      <c r="E500" s="35"/>
      <c r="F500" s="35"/>
      <c r="G500" s="35"/>
      <c r="J500" s="38"/>
      <c r="K500" s="44"/>
      <c r="M500" s="41"/>
      <c r="N500" s="44"/>
      <c r="O500" s="35"/>
      <c r="P500" s="41"/>
      <c r="Q500" s="44"/>
    </row>
    <row r="501" spans="1:17" s="40" customFormat="1">
      <c r="A501" s="148" t="s">
        <v>542</v>
      </c>
      <c r="B501" s="148"/>
      <c r="C501" s="43"/>
      <c r="D501" s="35"/>
      <c r="E501" s="35"/>
      <c r="F501" s="35"/>
      <c r="G501" s="35"/>
      <c r="J501" s="38">
        <v>10</v>
      </c>
      <c r="K501" s="44" t="s">
        <v>204</v>
      </c>
      <c r="M501" s="41">
        <v>2</v>
      </c>
      <c r="N501" s="44" t="s">
        <v>274</v>
      </c>
      <c r="O501" s="35"/>
      <c r="P501" s="41">
        <v>2.2999999999999998</v>
      </c>
      <c r="Q501" s="44" t="s">
        <v>274</v>
      </c>
    </row>
    <row r="502" spans="1:17" s="40" customFormat="1">
      <c r="A502" s="148"/>
      <c r="B502" s="148"/>
      <c r="C502" s="43"/>
      <c r="D502" s="35"/>
      <c r="E502" s="35"/>
      <c r="F502" s="35"/>
      <c r="G502" s="35"/>
      <c r="J502" s="38"/>
      <c r="K502" s="44"/>
      <c r="M502" s="41"/>
      <c r="N502" s="44"/>
      <c r="O502" s="35"/>
      <c r="P502" s="41"/>
      <c r="Q502" s="44"/>
    </row>
    <row r="503" spans="1:17" s="40" customFormat="1">
      <c r="A503" s="148"/>
      <c r="B503" s="148"/>
      <c r="C503" s="43"/>
      <c r="D503" s="35" t="s">
        <v>234</v>
      </c>
      <c r="E503" s="35"/>
      <c r="F503" s="35"/>
      <c r="G503" s="35"/>
      <c r="J503" s="38"/>
      <c r="K503" s="44"/>
      <c r="M503" s="41"/>
      <c r="N503" s="44"/>
      <c r="O503" s="35"/>
      <c r="P503" s="41"/>
      <c r="Q503" s="44"/>
    </row>
    <row r="504" spans="1:17" s="40" customFormat="1">
      <c r="A504" s="148"/>
      <c r="B504" s="148"/>
      <c r="C504" s="43"/>
      <c r="D504" s="35" t="s">
        <v>383</v>
      </c>
      <c r="E504" s="35"/>
      <c r="F504" s="35"/>
      <c r="G504" s="35"/>
      <c r="J504" s="38"/>
      <c r="K504" s="44"/>
      <c r="M504" s="41"/>
      <c r="N504" s="44"/>
      <c r="O504" s="35"/>
      <c r="P504" s="41"/>
      <c r="Q504" s="44"/>
    </row>
    <row r="505" spans="1:17" s="40" customFormat="1">
      <c r="A505" s="148" t="s">
        <v>543</v>
      </c>
      <c r="B505" s="148"/>
      <c r="C505" s="43"/>
      <c r="D505" s="35"/>
      <c r="E505" s="35"/>
      <c r="F505" s="35"/>
      <c r="G505" s="35"/>
      <c r="J505" s="38">
        <v>10</v>
      </c>
      <c r="K505" s="44" t="s">
        <v>204</v>
      </c>
      <c r="M505" s="41">
        <v>2</v>
      </c>
      <c r="N505" s="44" t="s">
        <v>274</v>
      </c>
      <c r="O505" s="35"/>
      <c r="P505" s="41">
        <v>2.2999999999999998</v>
      </c>
      <c r="Q505" s="44" t="s">
        <v>274</v>
      </c>
    </row>
    <row r="506" spans="1:17" s="40" customFormat="1">
      <c r="A506" s="148"/>
      <c r="B506" s="148"/>
      <c r="C506" s="43"/>
      <c r="D506" s="35"/>
      <c r="E506" s="35"/>
      <c r="F506" s="35"/>
      <c r="G506" s="35"/>
      <c r="J506" s="38"/>
      <c r="K506" s="44"/>
      <c r="M506" s="41"/>
      <c r="N506" s="44"/>
      <c r="O506" s="35"/>
      <c r="P506" s="41"/>
      <c r="Q506" s="44"/>
    </row>
    <row r="507" spans="1:17" s="40" customFormat="1">
      <c r="A507" s="148"/>
      <c r="B507" s="148"/>
      <c r="C507" s="43"/>
      <c r="D507" s="35" t="s">
        <v>235</v>
      </c>
      <c r="E507" s="35"/>
      <c r="F507" s="35"/>
      <c r="G507" s="35"/>
      <c r="J507" s="38"/>
      <c r="K507" s="44"/>
      <c r="M507" s="41"/>
      <c r="N507" s="44"/>
      <c r="O507" s="35"/>
      <c r="P507" s="41"/>
      <c r="Q507" s="44"/>
    </row>
    <row r="508" spans="1:17" s="40" customFormat="1">
      <c r="A508" s="148"/>
      <c r="B508" s="148"/>
      <c r="C508" s="43"/>
      <c r="D508" s="35" t="s">
        <v>383</v>
      </c>
      <c r="E508" s="35"/>
      <c r="F508" s="35"/>
      <c r="G508" s="35"/>
      <c r="J508" s="38"/>
      <c r="K508" s="44"/>
      <c r="M508" s="41"/>
      <c r="N508" s="44"/>
      <c r="O508" s="35"/>
      <c r="P508" s="41"/>
      <c r="Q508" s="44"/>
    </row>
    <row r="509" spans="1:17" s="40" customFormat="1">
      <c r="A509" s="148" t="s">
        <v>544</v>
      </c>
      <c r="B509" s="148"/>
      <c r="C509" s="43"/>
      <c r="D509" s="35"/>
      <c r="E509" s="35"/>
      <c r="F509" s="35"/>
      <c r="G509" s="35"/>
      <c r="J509" s="38">
        <v>20</v>
      </c>
      <c r="K509" s="44" t="s">
        <v>204</v>
      </c>
      <c r="M509" s="41">
        <v>4</v>
      </c>
      <c r="N509" s="44" t="s">
        <v>274</v>
      </c>
      <c r="O509" s="35"/>
      <c r="P509" s="41">
        <v>4.3</v>
      </c>
      <c r="Q509" s="44" t="s">
        <v>274</v>
      </c>
    </row>
    <row r="510" spans="1:17" s="40" customFormat="1">
      <c r="A510" s="148"/>
      <c r="B510" s="148"/>
      <c r="C510" s="43"/>
      <c r="D510" s="35"/>
      <c r="E510" s="35"/>
      <c r="F510" s="35"/>
      <c r="G510" s="35"/>
      <c r="J510" s="38"/>
      <c r="K510" s="44"/>
      <c r="M510" s="41"/>
      <c r="N510" s="44"/>
      <c r="O510" s="35"/>
      <c r="P510" s="41"/>
      <c r="Q510" s="44"/>
    </row>
    <row r="511" spans="1:17" s="40" customFormat="1">
      <c r="A511" s="148"/>
      <c r="B511" s="148"/>
      <c r="C511" s="43"/>
      <c r="D511" s="35" t="s">
        <v>236</v>
      </c>
      <c r="E511" s="35"/>
      <c r="F511" s="35"/>
      <c r="G511" s="35"/>
      <c r="J511" s="38"/>
      <c r="K511" s="44"/>
      <c r="M511" s="41"/>
      <c r="N511" s="44"/>
      <c r="O511" s="35"/>
      <c r="P511" s="41"/>
      <c r="Q511" s="44"/>
    </row>
    <row r="512" spans="1:17" s="40" customFormat="1">
      <c r="A512" s="148"/>
      <c r="B512" s="148"/>
      <c r="C512" s="43"/>
      <c r="D512" s="35" t="s">
        <v>433</v>
      </c>
      <c r="E512" s="35"/>
      <c r="F512" s="35"/>
      <c r="G512" s="35"/>
      <c r="J512" s="38"/>
      <c r="K512" s="44"/>
      <c r="M512" s="41"/>
      <c r="N512" s="44"/>
      <c r="O512" s="35"/>
      <c r="P512" s="41"/>
      <c r="Q512" s="44"/>
    </row>
    <row r="513" spans="1:17" s="40" customFormat="1">
      <c r="A513" s="148" t="s">
        <v>545</v>
      </c>
      <c r="B513" s="148"/>
      <c r="C513" s="43"/>
      <c r="D513" s="35"/>
      <c r="E513" s="35"/>
      <c r="F513" s="35"/>
      <c r="G513" s="35"/>
      <c r="J513" s="38">
        <v>10</v>
      </c>
      <c r="K513" s="44" t="s">
        <v>204</v>
      </c>
      <c r="M513" s="41">
        <v>2</v>
      </c>
      <c r="N513" s="44" t="s">
        <v>274</v>
      </c>
      <c r="O513" s="35"/>
      <c r="P513" s="41">
        <v>2.2999999999999998</v>
      </c>
      <c r="Q513" s="44" t="s">
        <v>274</v>
      </c>
    </row>
    <row r="514" spans="1:17" s="40" customFormat="1">
      <c r="A514" s="148"/>
      <c r="B514" s="148"/>
      <c r="C514" s="43"/>
      <c r="D514" s="35"/>
      <c r="E514" s="35"/>
      <c r="F514" s="35"/>
      <c r="G514" s="35"/>
      <c r="J514" s="38"/>
      <c r="K514" s="44"/>
      <c r="M514" s="41"/>
      <c r="N514" s="44"/>
      <c r="O514" s="35"/>
      <c r="P514" s="41"/>
      <c r="Q514" s="44"/>
    </row>
    <row r="515" spans="1:17" s="40" customFormat="1">
      <c r="A515" s="148"/>
      <c r="B515" s="148"/>
      <c r="C515" s="43"/>
      <c r="D515" s="35" t="s">
        <v>237</v>
      </c>
      <c r="E515" s="35"/>
      <c r="F515" s="35"/>
      <c r="G515" s="35"/>
      <c r="J515" s="38"/>
      <c r="K515" s="44"/>
      <c r="M515" s="41"/>
      <c r="N515" s="44"/>
      <c r="O515" s="35"/>
      <c r="P515" s="41"/>
      <c r="Q515" s="44"/>
    </row>
    <row r="516" spans="1:17" s="40" customFormat="1">
      <c r="A516" s="148"/>
      <c r="B516" s="148"/>
      <c r="C516" s="43"/>
      <c r="D516" s="35" t="s">
        <v>433</v>
      </c>
      <c r="E516" s="35"/>
      <c r="F516" s="35"/>
      <c r="G516" s="35"/>
      <c r="J516" s="38"/>
      <c r="K516" s="44"/>
      <c r="M516" s="41"/>
      <c r="N516" s="44"/>
      <c r="O516" s="35"/>
      <c r="P516" s="41"/>
      <c r="Q516" s="44"/>
    </row>
    <row r="517" spans="1:17" s="40" customFormat="1">
      <c r="A517" s="148" t="s">
        <v>546</v>
      </c>
      <c r="B517" s="148"/>
      <c r="C517" s="43"/>
      <c r="D517" s="35"/>
      <c r="E517" s="35"/>
      <c r="F517" s="35"/>
      <c r="G517" s="35"/>
      <c r="J517" s="38">
        <v>10</v>
      </c>
      <c r="K517" s="44" t="s">
        <v>204</v>
      </c>
      <c r="M517" s="41">
        <v>2</v>
      </c>
      <c r="N517" s="44" t="s">
        <v>274</v>
      </c>
      <c r="O517" s="35"/>
      <c r="P517" s="41">
        <v>2.2999999999999998</v>
      </c>
      <c r="Q517" s="44" t="s">
        <v>274</v>
      </c>
    </row>
    <row r="518" spans="1:17" s="40" customFormat="1">
      <c r="A518" s="148"/>
      <c r="B518" s="148"/>
      <c r="C518" s="43"/>
      <c r="D518" s="35"/>
      <c r="E518" s="35"/>
      <c r="F518" s="35"/>
      <c r="G518" s="35"/>
      <c r="J518" s="38"/>
      <c r="K518" s="44"/>
      <c r="M518" s="41"/>
      <c r="N518" s="44"/>
      <c r="O518" s="35"/>
      <c r="P518" s="41"/>
      <c r="Q518" s="44"/>
    </row>
    <row r="519" spans="1:17" s="40" customFormat="1">
      <c r="A519" s="148"/>
      <c r="B519" s="148"/>
      <c r="C519" s="43"/>
      <c r="D519" s="35"/>
      <c r="E519" s="35"/>
      <c r="F519" s="35"/>
      <c r="G519" s="35"/>
      <c r="J519" s="38"/>
      <c r="K519" s="44"/>
      <c r="M519" s="41"/>
      <c r="N519" s="44"/>
      <c r="O519" s="35"/>
      <c r="P519" s="41"/>
      <c r="Q519" s="44"/>
    </row>
    <row r="520" spans="1:17" s="40" customFormat="1">
      <c r="A520" s="148"/>
      <c r="B520" s="148"/>
      <c r="C520" s="43"/>
      <c r="D520" s="35" t="s">
        <v>238</v>
      </c>
      <c r="E520" s="35"/>
      <c r="F520" s="35"/>
      <c r="G520" s="35"/>
      <c r="J520" s="38"/>
      <c r="K520" s="44"/>
      <c r="M520" s="41"/>
      <c r="N520" s="44"/>
      <c r="O520" s="35"/>
      <c r="P520" s="41"/>
      <c r="Q520" s="44"/>
    </row>
    <row r="521" spans="1:17" s="40" customFormat="1">
      <c r="A521" s="148"/>
      <c r="B521" s="148"/>
      <c r="C521" s="43"/>
      <c r="D521" s="35" t="s">
        <v>199</v>
      </c>
      <c r="E521" s="35"/>
      <c r="F521" s="35"/>
      <c r="G521" s="35"/>
      <c r="J521" s="38"/>
      <c r="K521" s="44"/>
      <c r="M521" s="41"/>
      <c r="N521" s="44"/>
      <c r="O521" s="35"/>
      <c r="P521" s="41"/>
      <c r="Q521" s="44"/>
    </row>
    <row r="522" spans="1:17" s="40" customFormat="1">
      <c r="A522" s="148"/>
      <c r="B522" s="148"/>
      <c r="C522" s="43"/>
      <c r="D522" s="35" t="s">
        <v>233</v>
      </c>
      <c r="E522" s="35"/>
      <c r="F522" s="35"/>
      <c r="G522" s="35"/>
      <c r="J522" s="38"/>
      <c r="K522" s="44"/>
      <c r="M522" s="41"/>
      <c r="N522" s="44"/>
      <c r="O522" s="35"/>
      <c r="P522" s="41"/>
      <c r="Q522" s="44"/>
    </row>
    <row r="523" spans="1:17" s="40" customFormat="1">
      <c r="A523" s="148"/>
      <c r="B523" s="148"/>
      <c r="C523" s="43"/>
      <c r="D523" s="35" t="s">
        <v>239</v>
      </c>
      <c r="E523" s="35"/>
      <c r="F523" s="35"/>
      <c r="G523" s="35"/>
      <c r="J523" s="38"/>
      <c r="K523" s="44"/>
      <c r="M523" s="41"/>
      <c r="N523" s="44"/>
      <c r="O523" s="35"/>
      <c r="P523" s="41"/>
      <c r="Q523" s="44"/>
    </row>
    <row r="524" spans="1:17" s="40" customFormat="1">
      <c r="A524" s="148"/>
      <c r="B524" s="148"/>
      <c r="C524" s="43"/>
      <c r="D524" s="35" t="s">
        <v>547</v>
      </c>
      <c r="E524" s="35"/>
      <c r="F524" s="35"/>
      <c r="G524" s="35"/>
      <c r="J524" s="38"/>
      <c r="K524" s="44"/>
      <c r="M524" s="41"/>
      <c r="N524" s="44"/>
      <c r="O524" s="35"/>
      <c r="P524" s="41"/>
      <c r="Q524" s="44"/>
    </row>
    <row r="525" spans="1:17" s="40" customFormat="1">
      <c r="A525" s="148" t="s">
        <v>548</v>
      </c>
      <c r="B525" s="148"/>
      <c r="C525" s="43"/>
      <c r="D525" s="35"/>
      <c r="E525" s="35"/>
      <c r="F525" s="35"/>
      <c r="G525" s="35"/>
      <c r="J525" s="38">
        <v>87</v>
      </c>
      <c r="K525" s="44" t="s">
        <v>204</v>
      </c>
      <c r="M525" s="41">
        <v>17.5</v>
      </c>
      <c r="N525" s="44" t="s">
        <v>274</v>
      </c>
      <c r="O525" s="35"/>
      <c r="P525" s="41">
        <v>17.8</v>
      </c>
      <c r="Q525" s="44" t="s">
        <v>274</v>
      </c>
    </row>
    <row r="526" spans="1:17" s="40" customFormat="1">
      <c r="A526" s="148" t="s">
        <v>549</v>
      </c>
      <c r="B526" s="148"/>
      <c r="C526" s="43"/>
      <c r="D526" s="35"/>
      <c r="E526" s="35"/>
      <c r="F526" s="35"/>
      <c r="G526" s="35"/>
      <c r="J526" s="38">
        <v>90</v>
      </c>
      <c r="K526" s="44" t="s">
        <v>204</v>
      </c>
      <c r="M526" s="41">
        <v>18.3</v>
      </c>
      <c r="N526" s="44" t="s">
        <v>274</v>
      </c>
      <c r="O526" s="35"/>
      <c r="P526" s="41">
        <v>18.600000000000001</v>
      </c>
      <c r="Q526" s="44" t="s">
        <v>274</v>
      </c>
    </row>
    <row r="527" spans="1:17" s="40" customFormat="1">
      <c r="A527" s="148" t="s">
        <v>550</v>
      </c>
      <c r="B527" s="148"/>
      <c r="C527" s="43"/>
      <c r="D527" s="35"/>
      <c r="E527" s="35"/>
      <c r="F527" s="35"/>
      <c r="G527" s="35"/>
      <c r="J527" s="38">
        <v>98</v>
      </c>
      <c r="K527" s="44" t="s">
        <v>204</v>
      </c>
      <c r="M527" s="41">
        <v>19.899999999999999</v>
      </c>
      <c r="N527" s="44" t="s">
        <v>274</v>
      </c>
      <c r="O527" s="35"/>
      <c r="P527" s="41">
        <v>20.2</v>
      </c>
      <c r="Q527" s="44" t="s">
        <v>274</v>
      </c>
    </row>
    <row r="528" spans="1:17" s="40" customFormat="1">
      <c r="A528" s="148" t="s">
        <v>551</v>
      </c>
      <c r="B528" s="148"/>
      <c r="C528" s="43"/>
      <c r="D528" s="35"/>
      <c r="E528" s="35"/>
      <c r="F528" s="35"/>
      <c r="G528" s="35"/>
      <c r="J528" s="38">
        <v>95</v>
      </c>
      <c r="K528" s="44" t="s">
        <v>204</v>
      </c>
      <c r="M528" s="41">
        <v>19.3</v>
      </c>
      <c r="N528" s="44" t="s">
        <v>274</v>
      </c>
      <c r="O528" s="35"/>
      <c r="P528" s="41">
        <v>19.600000000000001</v>
      </c>
      <c r="Q528" s="44" t="s">
        <v>274</v>
      </c>
    </row>
    <row r="529" spans="1:17" s="40" customFormat="1">
      <c r="A529" s="148" t="s">
        <v>552</v>
      </c>
      <c r="B529" s="148"/>
      <c r="C529" s="43"/>
      <c r="D529" s="35"/>
      <c r="E529" s="35"/>
      <c r="F529" s="35"/>
      <c r="G529" s="35"/>
      <c r="J529" s="38">
        <v>90</v>
      </c>
      <c r="K529" s="44" t="s">
        <v>204</v>
      </c>
      <c r="M529" s="41">
        <v>18.3</v>
      </c>
      <c r="N529" s="44" t="s">
        <v>274</v>
      </c>
      <c r="O529" s="35"/>
      <c r="P529" s="41">
        <v>18.600000000000001</v>
      </c>
      <c r="Q529" s="44" t="s">
        <v>274</v>
      </c>
    </row>
    <row r="530" spans="1:17" s="40" customFormat="1">
      <c r="A530" s="148" t="s">
        <v>553</v>
      </c>
      <c r="B530" s="148"/>
      <c r="C530" s="43"/>
      <c r="D530" s="35"/>
      <c r="E530" s="35"/>
      <c r="F530" s="35"/>
      <c r="G530" s="35"/>
      <c r="J530" s="38">
        <v>93</v>
      </c>
      <c r="K530" s="44" t="s">
        <v>204</v>
      </c>
      <c r="M530" s="41">
        <v>18.8</v>
      </c>
      <c r="N530" s="44" t="s">
        <v>274</v>
      </c>
      <c r="O530" s="35"/>
      <c r="P530" s="41">
        <v>19.100000000000001</v>
      </c>
      <c r="Q530" s="44" t="s">
        <v>274</v>
      </c>
    </row>
    <row r="531" spans="1:17" s="40" customFormat="1">
      <c r="A531" s="148" t="s">
        <v>554</v>
      </c>
      <c r="B531" s="148"/>
      <c r="C531" s="43"/>
      <c r="D531" s="35"/>
      <c r="E531" s="35"/>
      <c r="F531" s="35"/>
      <c r="G531" s="35"/>
      <c r="J531" s="38">
        <v>97</v>
      </c>
      <c r="K531" s="44" t="s">
        <v>204</v>
      </c>
      <c r="M531" s="41">
        <v>19.7</v>
      </c>
      <c r="N531" s="44" t="s">
        <v>274</v>
      </c>
      <c r="O531" s="35"/>
      <c r="P531" s="41">
        <v>20</v>
      </c>
      <c r="Q531" s="44" t="s">
        <v>274</v>
      </c>
    </row>
    <row r="532" spans="1:17" s="40" customFormat="1">
      <c r="A532" s="148" t="s">
        <v>555</v>
      </c>
      <c r="B532" s="148"/>
      <c r="C532" s="43"/>
      <c r="D532" s="35"/>
      <c r="E532" s="35"/>
      <c r="F532" s="35"/>
      <c r="G532" s="35"/>
      <c r="J532" s="38">
        <v>46</v>
      </c>
      <c r="K532" s="44" t="s">
        <v>204</v>
      </c>
      <c r="M532" s="41">
        <v>9.3000000000000007</v>
      </c>
      <c r="N532" s="44" t="s">
        <v>274</v>
      </c>
      <c r="O532" s="35"/>
      <c r="P532" s="41">
        <v>9.6</v>
      </c>
      <c r="Q532" s="44" t="s">
        <v>274</v>
      </c>
    </row>
    <row r="533" spans="1:17" s="40" customFormat="1">
      <c r="A533" s="148"/>
      <c r="B533" s="148"/>
      <c r="C533" s="43"/>
      <c r="D533" s="35" t="s">
        <v>556</v>
      </c>
      <c r="E533" s="35"/>
      <c r="F533" s="35"/>
      <c r="G533" s="35"/>
      <c r="J533" s="38"/>
      <c r="K533" s="44"/>
      <c r="M533" s="41"/>
      <c r="N533" s="44"/>
      <c r="O533" s="35"/>
      <c r="P533" s="41"/>
      <c r="Q533" s="44"/>
    </row>
    <row r="534" spans="1:17" s="40" customFormat="1">
      <c r="A534" s="148" t="s">
        <v>557</v>
      </c>
      <c r="B534" s="148"/>
      <c r="C534" s="43"/>
      <c r="D534" s="35"/>
      <c r="E534" s="35"/>
      <c r="F534" s="35"/>
      <c r="G534" s="35"/>
      <c r="J534" s="38">
        <v>85</v>
      </c>
      <c r="K534" s="44" t="s">
        <v>204</v>
      </c>
      <c r="M534" s="41">
        <v>17.2</v>
      </c>
      <c r="N534" s="44" t="s">
        <v>274</v>
      </c>
      <c r="O534" s="35"/>
      <c r="P534" s="41">
        <v>17.5</v>
      </c>
      <c r="Q534" s="44" t="s">
        <v>274</v>
      </c>
    </row>
    <row r="535" spans="1:17" s="40" customFormat="1">
      <c r="A535" s="148" t="s">
        <v>558</v>
      </c>
      <c r="B535" s="148"/>
      <c r="C535" s="43"/>
      <c r="D535" s="35"/>
      <c r="E535" s="35"/>
      <c r="F535" s="35"/>
      <c r="G535" s="35"/>
      <c r="J535" s="38">
        <v>86</v>
      </c>
      <c r="K535" s="44" t="s">
        <v>204</v>
      </c>
      <c r="M535" s="41">
        <v>17.3</v>
      </c>
      <c r="N535" s="44" t="s">
        <v>274</v>
      </c>
      <c r="O535" s="35"/>
      <c r="P535" s="41">
        <v>17.600000000000001</v>
      </c>
      <c r="Q535" s="44" t="s">
        <v>274</v>
      </c>
    </row>
    <row r="536" spans="1:17" s="40" customFormat="1">
      <c r="A536" s="148" t="s">
        <v>559</v>
      </c>
      <c r="B536" s="148"/>
      <c r="C536" s="43"/>
      <c r="D536" s="35"/>
      <c r="E536" s="35"/>
      <c r="F536" s="35"/>
      <c r="G536" s="35"/>
      <c r="J536" s="38">
        <v>90</v>
      </c>
      <c r="K536" s="44" t="s">
        <v>204</v>
      </c>
      <c r="M536" s="41">
        <v>18.2</v>
      </c>
      <c r="N536" s="44" t="s">
        <v>274</v>
      </c>
      <c r="O536" s="35"/>
      <c r="P536" s="41">
        <v>18.5</v>
      </c>
      <c r="Q536" s="44" t="s">
        <v>274</v>
      </c>
    </row>
    <row r="537" spans="1:17" s="40" customFormat="1">
      <c r="A537" s="148" t="s">
        <v>560</v>
      </c>
      <c r="B537" s="148"/>
      <c r="C537" s="43"/>
      <c r="D537" s="35"/>
      <c r="E537" s="35"/>
      <c r="F537" s="35"/>
      <c r="G537" s="35"/>
      <c r="J537" s="38">
        <v>96</v>
      </c>
      <c r="K537" s="44" t="s">
        <v>204</v>
      </c>
      <c r="M537" s="41">
        <v>19.5</v>
      </c>
      <c r="N537" s="44" t="s">
        <v>274</v>
      </c>
      <c r="O537" s="35"/>
      <c r="P537" s="41">
        <v>19.8</v>
      </c>
      <c r="Q537" s="44" t="s">
        <v>274</v>
      </c>
    </row>
    <row r="538" spans="1:17" s="40" customFormat="1">
      <c r="A538" s="148" t="s">
        <v>561</v>
      </c>
      <c r="B538" s="148"/>
      <c r="C538" s="43"/>
      <c r="D538" s="35"/>
      <c r="E538" s="35"/>
      <c r="F538" s="35"/>
      <c r="G538" s="35"/>
      <c r="J538" s="38">
        <v>67</v>
      </c>
      <c r="K538" s="44" t="s">
        <v>204</v>
      </c>
      <c r="M538" s="41">
        <v>13.5</v>
      </c>
      <c r="N538" s="44" t="s">
        <v>274</v>
      </c>
      <c r="O538" s="35"/>
      <c r="P538" s="41">
        <v>13.8</v>
      </c>
      <c r="Q538" s="44" t="s">
        <v>274</v>
      </c>
    </row>
    <row r="539" spans="1:17" s="40" customFormat="1">
      <c r="A539" s="148" t="s">
        <v>562</v>
      </c>
      <c r="B539" s="148"/>
      <c r="C539" s="43"/>
      <c r="D539" s="35"/>
      <c r="E539" s="35"/>
      <c r="F539" s="35"/>
      <c r="G539" s="35"/>
      <c r="J539" s="38">
        <v>73</v>
      </c>
      <c r="K539" s="44" t="s">
        <v>204</v>
      </c>
      <c r="M539" s="41">
        <v>14.8</v>
      </c>
      <c r="N539" s="44" t="s">
        <v>274</v>
      </c>
      <c r="O539" s="35"/>
      <c r="P539" s="41">
        <v>15.1</v>
      </c>
      <c r="Q539" s="44" t="s">
        <v>274</v>
      </c>
    </row>
    <row r="540" spans="1:17" s="40" customFormat="1">
      <c r="A540" s="148" t="s">
        <v>563</v>
      </c>
      <c r="B540" s="148"/>
      <c r="C540" s="43"/>
      <c r="D540" s="35"/>
      <c r="E540" s="35"/>
      <c r="F540" s="35"/>
      <c r="G540" s="35"/>
      <c r="J540" s="38">
        <v>73</v>
      </c>
      <c r="K540" s="44" t="s">
        <v>204</v>
      </c>
      <c r="M540" s="41">
        <v>14.8</v>
      </c>
      <c r="N540" s="44" t="s">
        <v>274</v>
      </c>
      <c r="O540" s="35"/>
      <c r="P540" s="41">
        <v>15.1</v>
      </c>
      <c r="Q540" s="44" t="s">
        <v>274</v>
      </c>
    </row>
    <row r="541" spans="1:17" s="40" customFormat="1">
      <c r="A541" s="148"/>
      <c r="B541" s="148"/>
      <c r="C541" s="43"/>
      <c r="D541" s="35"/>
      <c r="E541" s="35"/>
      <c r="F541" s="35"/>
      <c r="G541" s="35"/>
      <c r="J541" s="38"/>
      <c r="K541" s="44"/>
      <c r="M541" s="41"/>
      <c r="N541" s="44"/>
      <c r="O541" s="35"/>
      <c r="P541" s="41"/>
      <c r="Q541" s="44"/>
    </row>
    <row r="542" spans="1:17" s="40" customFormat="1">
      <c r="A542" s="148"/>
      <c r="B542" s="148"/>
      <c r="C542" s="43"/>
      <c r="D542" s="42" t="s">
        <v>210</v>
      </c>
      <c r="E542" s="35"/>
      <c r="F542" s="35"/>
      <c r="G542" s="35"/>
      <c r="J542" s="38"/>
      <c r="K542" s="44"/>
      <c r="M542" s="41"/>
      <c r="N542" s="44"/>
      <c r="O542" s="35"/>
      <c r="P542" s="41"/>
      <c r="Q542" s="44"/>
    </row>
    <row r="543" spans="1:17" s="40" customFormat="1">
      <c r="A543" s="148"/>
      <c r="B543" s="148"/>
      <c r="C543" s="43"/>
      <c r="D543" s="35" t="s">
        <v>239</v>
      </c>
      <c r="E543" s="35"/>
      <c r="F543" s="35"/>
      <c r="G543" s="35"/>
      <c r="J543" s="38"/>
      <c r="K543" s="44"/>
      <c r="M543" s="41"/>
      <c r="N543" s="44"/>
      <c r="O543" s="35"/>
      <c r="P543" s="41"/>
      <c r="Q543" s="44"/>
    </row>
    <row r="544" spans="1:17" s="40" customFormat="1">
      <c r="A544" s="148"/>
      <c r="B544" s="148"/>
      <c r="C544" s="43"/>
      <c r="D544" s="35" t="s">
        <v>564</v>
      </c>
      <c r="E544" s="35"/>
      <c r="F544" s="35"/>
      <c r="G544" s="35"/>
      <c r="J544" s="38"/>
      <c r="K544" s="44"/>
      <c r="M544" s="41"/>
      <c r="N544" s="44"/>
      <c r="O544" s="35"/>
      <c r="P544" s="41"/>
      <c r="Q544" s="44"/>
    </row>
    <row r="545" spans="1:17" s="40" customFormat="1">
      <c r="A545" s="148" t="s">
        <v>565</v>
      </c>
      <c r="B545" s="148"/>
      <c r="C545" s="43"/>
      <c r="D545" s="35"/>
      <c r="E545" s="35"/>
      <c r="F545" s="35"/>
      <c r="G545" s="35"/>
      <c r="J545" s="38">
        <v>10</v>
      </c>
      <c r="K545" s="44" t="s">
        <v>204</v>
      </c>
      <c r="M545" s="41">
        <v>2</v>
      </c>
      <c r="N545" s="44" t="s">
        <v>274</v>
      </c>
      <c r="O545" s="35"/>
      <c r="P545" s="41">
        <v>2.2999999999999998</v>
      </c>
      <c r="Q545" s="44" t="s">
        <v>274</v>
      </c>
    </row>
    <row r="546" spans="1:17" s="40" customFormat="1">
      <c r="A546" s="148"/>
      <c r="B546" s="148"/>
      <c r="C546" s="43"/>
      <c r="D546" s="35"/>
      <c r="E546" s="35"/>
      <c r="F546" s="35"/>
      <c r="G546" s="35"/>
      <c r="J546" s="38"/>
      <c r="K546" s="44"/>
      <c r="M546" s="41"/>
      <c r="N546" s="44"/>
      <c r="O546" s="35"/>
      <c r="P546" s="41"/>
      <c r="Q546" s="44"/>
    </row>
    <row r="547" spans="1:17" s="40" customFormat="1">
      <c r="A547" s="148"/>
      <c r="B547" s="148"/>
      <c r="C547" s="43"/>
      <c r="D547" s="35"/>
      <c r="E547" s="35"/>
      <c r="F547" s="35"/>
      <c r="G547" s="35"/>
      <c r="J547" s="38"/>
      <c r="K547" s="44"/>
      <c r="M547" s="41"/>
      <c r="N547" s="44"/>
      <c r="O547" s="35"/>
      <c r="P547" s="41"/>
      <c r="Q547" s="44"/>
    </row>
    <row r="548" spans="1:17" s="40" customFormat="1">
      <c r="A548" s="148"/>
      <c r="B548" s="148"/>
      <c r="C548" s="43"/>
      <c r="D548" s="35" t="s">
        <v>240</v>
      </c>
      <c r="E548" s="35"/>
      <c r="F548" s="35"/>
      <c r="G548" s="35"/>
      <c r="J548" s="38"/>
      <c r="K548" s="44"/>
      <c r="M548" s="41"/>
      <c r="N548" s="44"/>
      <c r="O548" s="35"/>
      <c r="P548" s="41"/>
      <c r="Q548" s="44"/>
    </row>
    <row r="549" spans="1:17" s="40" customFormat="1">
      <c r="A549" s="148"/>
      <c r="B549" s="148"/>
      <c r="C549" s="43"/>
      <c r="D549" s="42" t="s">
        <v>241</v>
      </c>
      <c r="E549" s="35"/>
      <c r="F549" s="35"/>
      <c r="G549" s="35"/>
      <c r="J549" s="38"/>
      <c r="K549" s="44"/>
      <c r="M549" s="41"/>
      <c r="N549" s="44"/>
      <c r="O549" s="35"/>
      <c r="P549" s="41"/>
      <c r="Q549" s="44"/>
    </row>
    <row r="550" spans="1:17" s="40" customFormat="1">
      <c r="A550" s="148"/>
      <c r="B550" s="148"/>
      <c r="C550" s="43"/>
      <c r="D550" s="35" t="s">
        <v>242</v>
      </c>
      <c r="E550" s="35"/>
      <c r="F550" s="35"/>
      <c r="G550" s="35"/>
      <c r="J550" s="38"/>
      <c r="K550" s="44"/>
      <c r="M550" s="41"/>
      <c r="N550" s="44"/>
      <c r="O550" s="35"/>
      <c r="P550" s="41"/>
      <c r="Q550" s="44"/>
    </row>
    <row r="551" spans="1:17" s="40" customFormat="1">
      <c r="A551" s="148"/>
      <c r="B551" s="148"/>
      <c r="C551" s="43"/>
      <c r="D551" s="35" t="s">
        <v>243</v>
      </c>
      <c r="E551" s="35"/>
      <c r="F551" s="35"/>
      <c r="G551" s="35"/>
      <c r="J551" s="38"/>
      <c r="K551" s="44"/>
      <c r="M551" s="41"/>
      <c r="N551" s="44"/>
      <c r="O551" s="35"/>
      <c r="P551" s="41"/>
      <c r="Q551" s="44"/>
    </row>
    <row r="552" spans="1:17" s="40" customFormat="1">
      <c r="A552" s="148"/>
      <c r="B552" s="148"/>
      <c r="C552" s="43"/>
      <c r="D552" s="35" t="s">
        <v>244</v>
      </c>
      <c r="E552" s="35"/>
      <c r="F552" s="35"/>
      <c r="G552" s="35"/>
      <c r="J552" s="38"/>
      <c r="K552" s="44"/>
      <c r="M552" s="41"/>
      <c r="N552" s="44"/>
      <c r="O552" s="35"/>
      <c r="P552" s="41"/>
      <c r="Q552" s="44"/>
    </row>
    <row r="553" spans="1:17" s="40" customFormat="1">
      <c r="A553" s="148"/>
      <c r="B553" s="148"/>
      <c r="C553" s="43"/>
      <c r="D553" s="35" t="s">
        <v>219</v>
      </c>
      <c r="E553" s="35"/>
      <c r="F553" s="35"/>
      <c r="G553" s="35"/>
      <c r="J553" s="38"/>
      <c r="K553" s="44"/>
      <c r="M553" s="41"/>
      <c r="N553" s="44"/>
      <c r="O553" s="35"/>
      <c r="P553" s="41"/>
      <c r="Q553" s="44"/>
    </row>
    <row r="554" spans="1:17" s="40" customFormat="1">
      <c r="A554" s="148"/>
      <c r="B554" s="148"/>
      <c r="C554" s="43"/>
      <c r="D554" s="35" t="s">
        <v>547</v>
      </c>
      <c r="E554" s="35"/>
      <c r="F554" s="35"/>
      <c r="G554" s="35"/>
      <c r="J554" s="38"/>
      <c r="K554" s="44"/>
      <c r="M554" s="41"/>
      <c r="N554" s="44"/>
      <c r="O554" s="35"/>
      <c r="P554" s="41"/>
      <c r="Q554" s="44"/>
    </row>
    <row r="555" spans="1:17" s="40" customFormat="1">
      <c r="A555" s="148" t="s">
        <v>566</v>
      </c>
      <c r="B555" s="148"/>
      <c r="C555" s="43"/>
      <c r="D555" s="35"/>
      <c r="E555" s="35"/>
      <c r="F555" s="35"/>
      <c r="G555" s="35"/>
      <c r="J555" s="38">
        <v>77</v>
      </c>
      <c r="K555" s="44" t="s">
        <v>204</v>
      </c>
      <c r="M555" s="41">
        <v>17.2</v>
      </c>
      <c r="N555" s="44" t="s">
        <v>274</v>
      </c>
      <c r="O555" s="35"/>
      <c r="P555" s="41">
        <v>17.5</v>
      </c>
      <c r="Q555" s="44" t="s">
        <v>274</v>
      </c>
    </row>
    <row r="556" spans="1:17" s="40" customFormat="1">
      <c r="A556" s="148" t="s">
        <v>567</v>
      </c>
      <c r="B556" s="148"/>
      <c r="C556" s="43"/>
      <c r="D556" s="35"/>
      <c r="E556" s="35"/>
      <c r="F556" s="35"/>
      <c r="G556" s="35"/>
      <c r="J556" s="38">
        <v>82</v>
      </c>
      <c r="K556" s="44" t="s">
        <v>204</v>
      </c>
      <c r="M556" s="41">
        <v>18.399999999999999</v>
      </c>
      <c r="N556" s="44" t="s">
        <v>274</v>
      </c>
      <c r="O556" s="35"/>
      <c r="P556" s="41">
        <v>18.7</v>
      </c>
      <c r="Q556" s="44" t="s">
        <v>274</v>
      </c>
    </row>
    <row r="557" spans="1:17" s="40" customFormat="1">
      <c r="A557" s="148" t="s">
        <v>568</v>
      </c>
      <c r="B557" s="148"/>
      <c r="C557" s="43"/>
      <c r="D557" s="35"/>
      <c r="E557" s="35"/>
      <c r="F557" s="35"/>
      <c r="G557" s="35"/>
      <c r="J557" s="38">
        <v>30</v>
      </c>
      <c r="K557" s="44" t="s">
        <v>204</v>
      </c>
      <c r="M557" s="41">
        <v>6.8</v>
      </c>
      <c r="N557" s="44" t="s">
        <v>274</v>
      </c>
      <c r="O557" s="35"/>
      <c r="P557" s="41">
        <v>7.1</v>
      </c>
      <c r="Q557" s="44" t="s">
        <v>274</v>
      </c>
    </row>
    <row r="558" spans="1:17" s="40" customFormat="1">
      <c r="A558" s="148" t="s">
        <v>569</v>
      </c>
      <c r="B558" s="148"/>
      <c r="C558" s="43"/>
      <c r="D558" s="35"/>
      <c r="E558" s="35"/>
      <c r="F558" s="35"/>
      <c r="G558" s="35"/>
      <c r="J558" s="38">
        <v>36</v>
      </c>
      <c r="K558" s="44" t="s">
        <v>204</v>
      </c>
      <c r="M558" s="41">
        <v>8</v>
      </c>
      <c r="N558" s="44" t="s">
        <v>274</v>
      </c>
      <c r="O558" s="35"/>
      <c r="P558" s="41">
        <v>8.3000000000000007</v>
      </c>
      <c r="Q558" s="44" t="s">
        <v>274</v>
      </c>
    </row>
    <row r="559" spans="1:17" s="40" customFormat="1">
      <c r="A559" s="148" t="s">
        <v>570</v>
      </c>
      <c r="B559" s="148"/>
      <c r="C559" s="43"/>
      <c r="D559" s="35"/>
      <c r="E559" s="35"/>
      <c r="F559" s="35"/>
      <c r="G559" s="35"/>
      <c r="J559" s="38">
        <v>72</v>
      </c>
      <c r="K559" s="44" t="s">
        <v>204</v>
      </c>
      <c r="M559" s="41">
        <v>16.2</v>
      </c>
      <c r="N559" s="44" t="s">
        <v>274</v>
      </c>
      <c r="O559" s="35"/>
      <c r="P559" s="41">
        <v>16.5</v>
      </c>
      <c r="Q559" s="44" t="s">
        <v>274</v>
      </c>
    </row>
    <row r="560" spans="1:17" s="40" customFormat="1">
      <c r="A560" s="148" t="s">
        <v>571</v>
      </c>
      <c r="B560" s="148"/>
      <c r="C560" s="43"/>
      <c r="D560" s="35"/>
      <c r="E560" s="35"/>
      <c r="F560" s="35"/>
      <c r="G560" s="35"/>
      <c r="J560" s="38">
        <v>45</v>
      </c>
      <c r="K560" s="44" t="s">
        <v>204</v>
      </c>
      <c r="M560" s="41">
        <v>10.199999999999999</v>
      </c>
      <c r="N560" s="44" t="s">
        <v>274</v>
      </c>
      <c r="O560" s="35"/>
      <c r="P560" s="41">
        <v>10.5</v>
      </c>
      <c r="Q560" s="44" t="s">
        <v>274</v>
      </c>
    </row>
    <row r="561" spans="1:17" s="40" customFormat="1">
      <c r="A561" s="148" t="s">
        <v>572</v>
      </c>
      <c r="B561" s="148"/>
      <c r="C561" s="43"/>
      <c r="D561" s="35"/>
      <c r="E561" s="35"/>
      <c r="F561" s="35"/>
      <c r="G561" s="35"/>
      <c r="J561" s="38">
        <v>81</v>
      </c>
      <c r="K561" s="44" t="s">
        <v>204</v>
      </c>
      <c r="M561" s="41">
        <v>18.2</v>
      </c>
      <c r="N561" s="44" t="s">
        <v>274</v>
      </c>
      <c r="O561" s="35"/>
      <c r="P561" s="41">
        <v>18.5</v>
      </c>
      <c r="Q561" s="44" t="s">
        <v>274</v>
      </c>
    </row>
    <row r="562" spans="1:17" s="40" customFormat="1">
      <c r="A562" s="148" t="s">
        <v>573</v>
      </c>
      <c r="B562" s="148"/>
      <c r="C562" s="43"/>
      <c r="D562" s="35"/>
      <c r="E562" s="35"/>
      <c r="F562" s="35"/>
      <c r="G562" s="35"/>
      <c r="J562" s="38">
        <v>76</v>
      </c>
      <c r="K562" s="44" t="s">
        <v>204</v>
      </c>
      <c r="M562" s="41">
        <v>17.100000000000001</v>
      </c>
      <c r="N562" s="44" t="s">
        <v>274</v>
      </c>
      <c r="O562" s="35"/>
      <c r="P562" s="41">
        <v>17.399999999999999</v>
      </c>
      <c r="Q562" s="44" t="s">
        <v>274</v>
      </c>
    </row>
    <row r="563" spans="1:17" s="40" customFormat="1">
      <c r="A563" s="148" t="s">
        <v>574</v>
      </c>
      <c r="B563" s="148"/>
      <c r="C563" s="43"/>
      <c r="D563" s="35"/>
      <c r="E563" s="35"/>
      <c r="F563" s="35"/>
      <c r="G563" s="35"/>
      <c r="J563" s="38">
        <v>79</v>
      </c>
      <c r="K563" s="44" t="s">
        <v>204</v>
      </c>
      <c r="M563" s="41">
        <v>17.600000000000001</v>
      </c>
      <c r="N563" s="44" t="s">
        <v>274</v>
      </c>
      <c r="O563" s="35"/>
      <c r="P563" s="41">
        <v>17.899999999999999</v>
      </c>
      <c r="Q563" s="44" t="s">
        <v>274</v>
      </c>
    </row>
    <row r="564" spans="1:17" s="40" customFormat="1">
      <c r="A564" s="148" t="s">
        <v>575</v>
      </c>
      <c r="B564" s="148"/>
      <c r="C564" s="43"/>
      <c r="D564" s="35"/>
      <c r="E564" s="35"/>
      <c r="F564" s="35"/>
      <c r="G564" s="35"/>
      <c r="J564" s="38">
        <v>80</v>
      </c>
      <c r="K564" s="44" t="s">
        <v>204</v>
      </c>
      <c r="M564" s="41">
        <v>17.8</v>
      </c>
      <c r="N564" s="44" t="s">
        <v>274</v>
      </c>
      <c r="O564" s="35"/>
      <c r="P564" s="41">
        <v>18.100000000000001</v>
      </c>
      <c r="Q564" s="44" t="s">
        <v>274</v>
      </c>
    </row>
    <row r="565" spans="1:17" s="40" customFormat="1">
      <c r="A565" s="148" t="s">
        <v>576</v>
      </c>
      <c r="B565" s="148"/>
      <c r="C565" s="43"/>
      <c r="D565" s="35"/>
      <c r="E565" s="35"/>
      <c r="F565" s="35"/>
      <c r="G565" s="35"/>
      <c r="J565" s="38">
        <v>111</v>
      </c>
      <c r="K565" s="44" t="s">
        <v>204</v>
      </c>
      <c r="M565" s="41">
        <v>24.8</v>
      </c>
      <c r="N565" s="44" t="s">
        <v>274</v>
      </c>
      <c r="O565" s="35"/>
      <c r="P565" s="41">
        <v>25.1</v>
      </c>
      <c r="Q565" s="44" t="s">
        <v>274</v>
      </c>
    </row>
    <row r="566" spans="1:17" s="40" customFormat="1">
      <c r="A566" s="148" t="s">
        <v>577</v>
      </c>
      <c r="B566" s="148"/>
      <c r="C566" s="43"/>
      <c r="D566" s="35"/>
      <c r="E566" s="35"/>
      <c r="F566" s="35"/>
      <c r="G566" s="35"/>
      <c r="J566" s="38">
        <v>34</v>
      </c>
      <c r="K566" s="44" t="s">
        <v>204</v>
      </c>
      <c r="M566" s="41">
        <v>7.6</v>
      </c>
      <c r="N566" s="44" t="s">
        <v>274</v>
      </c>
      <c r="O566" s="35"/>
      <c r="P566" s="41">
        <v>7.9</v>
      </c>
      <c r="Q566" s="44" t="s">
        <v>274</v>
      </c>
    </row>
    <row r="567" spans="1:17" s="40" customFormat="1">
      <c r="A567" s="148" t="s">
        <v>578</v>
      </c>
      <c r="B567" s="148"/>
      <c r="C567" s="43"/>
      <c r="D567" s="35"/>
      <c r="E567" s="35"/>
      <c r="F567" s="35"/>
      <c r="G567" s="35"/>
      <c r="J567" s="38">
        <v>83</v>
      </c>
      <c r="K567" s="44" t="s">
        <v>204</v>
      </c>
      <c r="M567" s="41">
        <v>18.600000000000001</v>
      </c>
      <c r="N567" s="44" t="s">
        <v>274</v>
      </c>
      <c r="O567" s="35"/>
      <c r="P567" s="41">
        <v>18.899999999999999</v>
      </c>
      <c r="Q567" s="44" t="s">
        <v>274</v>
      </c>
    </row>
    <row r="568" spans="1:17" s="40" customFormat="1">
      <c r="A568" s="148" t="s">
        <v>579</v>
      </c>
      <c r="B568" s="148"/>
      <c r="C568" s="43"/>
      <c r="D568" s="35"/>
      <c r="E568" s="35"/>
      <c r="F568" s="35"/>
      <c r="G568" s="35"/>
      <c r="J568" s="38">
        <v>30</v>
      </c>
      <c r="K568" s="44" t="s">
        <v>204</v>
      </c>
      <c r="M568" s="41">
        <v>6.6</v>
      </c>
      <c r="N568" s="44" t="s">
        <v>274</v>
      </c>
      <c r="O568" s="35"/>
      <c r="P568" s="41">
        <v>6.9</v>
      </c>
      <c r="Q568" s="44" t="s">
        <v>274</v>
      </c>
    </row>
    <row r="569" spans="1:17" s="40" customFormat="1">
      <c r="A569" s="148" t="s">
        <v>580</v>
      </c>
      <c r="B569" s="148"/>
      <c r="C569" s="43"/>
      <c r="D569" s="35"/>
      <c r="E569" s="35"/>
      <c r="F569" s="35"/>
      <c r="G569" s="35"/>
      <c r="J569" s="38">
        <v>34</v>
      </c>
      <c r="K569" s="44" t="s">
        <v>204</v>
      </c>
      <c r="M569" s="41">
        <v>7.7</v>
      </c>
      <c r="N569" s="44" t="s">
        <v>274</v>
      </c>
      <c r="O569" s="35"/>
      <c r="P569" s="41">
        <v>8</v>
      </c>
      <c r="Q569" s="44" t="s">
        <v>274</v>
      </c>
    </row>
    <row r="570" spans="1:17" s="40" customFormat="1">
      <c r="A570" s="148" t="s">
        <v>581</v>
      </c>
      <c r="B570" s="148"/>
      <c r="C570" s="43"/>
      <c r="D570" s="35"/>
      <c r="E570" s="35"/>
      <c r="F570" s="35"/>
      <c r="G570" s="35"/>
      <c r="J570" s="38">
        <v>73</v>
      </c>
      <c r="K570" s="44" t="s">
        <v>204</v>
      </c>
      <c r="M570" s="41">
        <v>16.2</v>
      </c>
      <c r="N570" s="44" t="s">
        <v>274</v>
      </c>
      <c r="O570" s="35"/>
      <c r="P570" s="41">
        <v>16.5</v>
      </c>
      <c r="Q570" s="44" t="s">
        <v>274</v>
      </c>
    </row>
    <row r="571" spans="1:17" s="40" customFormat="1">
      <c r="A571" s="148" t="s">
        <v>582</v>
      </c>
      <c r="B571" s="148"/>
      <c r="C571" s="43"/>
      <c r="D571" s="35"/>
      <c r="E571" s="35"/>
      <c r="F571" s="35"/>
      <c r="G571" s="35"/>
      <c r="J571" s="38">
        <v>79</v>
      </c>
      <c r="K571" s="44" t="s">
        <v>204</v>
      </c>
      <c r="M571" s="41">
        <v>17.8</v>
      </c>
      <c r="N571" s="44" t="s">
        <v>274</v>
      </c>
      <c r="O571" s="35"/>
      <c r="P571" s="41">
        <v>18.100000000000001</v>
      </c>
      <c r="Q571" s="44" t="s">
        <v>274</v>
      </c>
    </row>
    <row r="572" spans="1:17" s="40" customFormat="1">
      <c r="A572" s="148" t="s">
        <v>583</v>
      </c>
      <c r="B572" s="148"/>
      <c r="C572" s="43"/>
      <c r="D572" s="35"/>
      <c r="E572" s="35"/>
      <c r="F572" s="35"/>
      <c r="G572" s="35"/>
      <c r="J572" s="38">
        <v>71</v>
      </c>
      <c r="K572" s="44" t="s">
        <v>204</v>
      </c>
      <c r="M572" s="41">
        <v>15.8</v>
      </c>
      <c r="N572" s="44" t="s">
        <v>274</v>
      </c>
      <c r="O572" s="35"/>
      <c r="P572" s="41">
        <v>16.100000000000001</v>
      </c>
      <c r="Q572" s="44" t="s">
        <v>274</v>
      </c>
    </row>
    <row r="573" spans="1:17" s="40" customFormat="1">
      <c r="A573" s="148"/>
      <c r="B573" s="148"/>
      <c r="C573" s="43"/>
      <c r="D573" s="35"/>
      <c r="E573" s="35"/>
      <c r="F573" s="35"/>
      <c r="G573" s="35"/>
      <c r="J573" s="38"/>
      <c r="K573" s="44"/>
      <c r="M573" s="41"/>
      <c r="N573" s="44"/>
      <c r="O573" s="35"/>
      <c r="P573" s="41"/>
      <c r="Q573" s="44"/>
    </row>
    <row r="574" spans="1:17" s="40" customFormat="1">
      <c r="A574" s="148"/>
      <c r="B574" s="148"/>
      <c r="C574" s="43"/>
      <c r="D574" s="35" t="s">
        <v>245</v>
      </c>
      <c r="E574" s="35"/>
      <c r="F574" s="35"/>
      <c r="G574" s="35"/>
      <c r="J574" s="38"/>
      <c r="K574" s="44"/>
      <c r="M574" s="41"/>
      <c r="N574" s="44"/>
      <c r="O574" s="35"/>
      <c r="P574" s="41"/>
      <c r="Q574" s="44"/>
    </row>
    <row r="575" spans="1:17" s="40" customFormat="1">
      <c r="A575" s="148"/>
      <c r="B575" s="148"/>
      <c r="C575" s="43"/>
      <c r="D575" s="35" t="s">
        <v>547</v>
      </c>
      <c r="E575" s="35"/>
      <c r="F575" s="35"/>
      <c r="G575" s="35"/>
      <c r="J575" s="38"/>
      <c r="K575" s="44"/>
      <c r="M575" s="41"/>
      <c r="N575" s="44"/>
      <c r="O575" s="35"/>
      <c r="P575" s="41"/>
      <c r="Q575" s="44"/>
    </row>
    <row r="576" spans="1:17" s="40" customFormat="1">
      <c r="A576" s="148" t="s">
        <v>584</v>
      </c>
      <c r="B576" s="148"/>
      <c r="C576" s="43"/>
      <c r="D576" s="35"/>
      <c r="E576" s="35"/>
      <c r="F576" s="35"/>
      <c r="G576" s="35"/>
      <c r="J576" s="38">
        <v>79</v>
      </c>
      <c r="K576" s="44" t="s">
        <v>204</v>
      </c>
      <c r="M576" s="41">
        <v>17.7</v>
      </c>
      <c r="N576" s="44" t="s">
        <v>274</v>
      </c>
      <c r="O576" s="35"/>
      <c r="P576" s="41">
        <v>18</v>
      </c>
      <c r="Q576" s="44" t="s">
        <v>274</v>
      </c>
    </row>
    <row r="577" spans="1:17" s="40" customFormat="1">
      <c r="A577" s="148" t="s">
        <v>585</v>
      </c>
      <c r="B577" s="148"/>
      <c r="C577" s="43"/>
      <c r="D577" s="35"/>
      <c r="E577" s="35"/>
      <c r="F577" s="35"/>
      <c r="G577" s="35"/>
      <c r="J577" s="38">
        <v>59</v>
      </c>
      <c r="K577" s="44" t="s">
        <v>204</v>
      </c>
      <c r="M577" s="41">
        <v>13.2</v>
      </c>
      <c r="N577" s="44" t="s">
        <v>274</v>
      </c>
      <c r="O577" s="35"/>
      <c r="P577" s="41">
        <v>13.5</v>
      </c>
      <c r="Q577" s="44" t="s">
        <v>274</v>
      </c>
    </row>
    <row r="578" spans="1:17" s="40" customFormat="1">
      <c r="A578" s="148" t="s">
        <v>586</v>
      </c>
      <c r="B578" s="148"/>
      <c r="C578" s="43"/>
      <c r="D578" s="35"/>
      <c r="E578" s="35"/>
      <c r="F578" s="35"/>
      <c r="G578" s="35"/>
      <c r="J578" s="38">
        <v>64</v>
      </c>
      <c r="K578" s="44" t="s">
        <v>204</v>
      </c>
      <c r="M578" s="41">
        <v>14.4</v>
      </c>
      <c r="N578" s="44" t="s">
        <v>274</v>
      </c>
      <c r="O578" s="35"/>
      <c r="P578" s="41">
        <v>14.7</v>
      </c>
      <c r="Q578" s="44" t="s">
        <v>274</v>
      </c>
    </row>
    <row r="579" spans="1:17" s="40" customFormat="1">
      <c r="A579" s="148" t="s">
        <v>587</v>
      </c>
      <c r="B579" s="148"/>
      <c r="C579" s="43"/>
      <c r="D579" s="35"/>
      <c r="E579" s="35"/>
      <c r="F579" s="35"/>
      <c r="G579" s="35"/>
      <c r="J579" s="38">
        <v>93</v>
      </c>
      <c r="K579" s="44" t="s">
        <v>204</v>
      </c>
      <c r="M579" s="41">
        <v>20.8</v>
      </c>
      <c r="N579" s="44" t="s">
        <v>274</v>
      </c>
      <c r="O579" s="35"/>
      <c r="P579" s="41">
        <v>21.1</v>
      </c>
      <c r="Q579" s="44" t="s">
        <v>274</v>
      </c>
    </row>
    <row r="580" spans="1:17" s="40" customFormat="1">
      <c r="A580" s="148" t="s">
        <v>588</v>
      </c>
      <c r="B580" s="148"/>
      <c r="C580" s="43"/>
      <c r="D580" s="35"/>
      <c r="E580" s="35"/>
      <c r="F580" s="35"/>
      <c r="G580" s="35"/>
      <c r="J580" s="38">
        <v>71</v>
      </c>
      <c r="K580" s="44" t="s">
        <v>204</v>
      </c>
      <c r="M580" s="41">
        <v>16</v>
      </c>
      <c r="N580" s="44" t="s">
        <v>274</v>
      </c>
      <c r="O580" s="35"/>
      <c r="P580" s="41">
        <v>16.3</v>
      </c>
      <c r="Q580" s="44" t="s">
        <v>274</v>
      </c>
    </row>
    <row r="581" spans="1:17" s="40" customFormat="1">
      <c r="A581" s="148" t="s">
        <v>589</v>
      </c>
      <c r="B581" s="148"/>
      <c r="C581" s="43"/>
      <c r="D581" s="35"/>
      <c r="E581" s="35"/>
      <c r="F581" s="35"/>
      <c r="G581" s="35"/>
      <c r="J581" s="38">
        <v>103</v>
      </c>
      <c r="K581" s="44" t="s">
        <v>204</v>
      </c>
      <c r="M581" s="41">
        <v>23</v>
      </c>
      <c r="N581" s="44" t="s">
        <v>274</v>
      </c>
      <c r="O581" s="35"/>
      <c r="P581" s="41">
        <v>23.3</v>
      </c>
      <c r="Q581" s="44" t="s">
        <v>274</v>
      </c>
    </row>
    <row r="582" spans="1:17" s="40" customFormat="1">
      <c r="A582" s="148" t="s">
        <v>590</v>
      </c>
      <c r="B582" s="148"/>
      <c r="C582" s="43"/>
      <c r="D582" s="35"/>
      <c r="E582" s="35"/>
      <c r="F582" s="35"/>
      <c r="G582" s="35"/>
      <c r="J582" s="38">
        <v>82</v>
      </c>
      <c r="K582" s="44" t="s">
        <v>204</v>
      </c>
      <c r="M582" s="41">
        <v>18.399999999999999</v>
      </c>
      <c r="N582" s="44" t="s">
        <v>274</v>
      </c>
      <c r="O582" s="35"/>
      <c r="P582" s="41">
        <v>18.7</v>
      </c>
      <c r="Q582" s="44" t="s">
        <v>274</v>
      </c>
    </row>
    <row r="583" spans="1:17" s="40" customFormat="1">
      <c r="A583" s="148" t="s">
        <v>591</v>
      </c>
      <c r="B583" s="148"/>
      <c r="C583" s="43"/>
      <c r="D583" s="35"/>
      <c r="E583" s="35"/>
      <c r="F583" s="35"/>
      <c r="G583" s="35"/>
      <c r="J583" s="38">
        <v>80</v>
      </c>
      <c r="K583" s="44" t="s">
        <v>204</v>
      </c>
      <c r="M583" s="41">
        <v>18</v>
      </c>
      <c r="N583" s="44" t="s">
        <v>274</v>
      </c>
      <c r="O583" s="35"/>
      <c r="P583" s="41">
        <v>18.3</v>
      </c>
      <c r="Q583" s="44" t="s">
        <v>274</v>
      </c>
    </row>
    <row r="584" spans="1:17" s="40" customFormat="1">
      <c r="A584" s="148" t="s">
        <v>592</v>
      </c>
      <c r="B584" s="148"/>
      <c r="C584" s="43"/>
      <c r="D584" s="35"/>
      <c r="E584" s="35"/>
      <c r="F584" s="35"/>
      <c r="G584" s="35"/>
      <c r="J584" s="38">
        <v>74</v>
      </c>
      <c r="K584" s="44" t="s">
        <v>204</v>
      </c>
      <c r="M584" s="41">
        <v>16.600000000000001</v>
      </c>
      <c r="N584" s="44" t="s">
        <v>274</v>
      </c>
      <c r="O584" s="35"/>
      <c r="P584" s="41">
        <v>16.899999999999999</v>
      </c>
      <c r="Q584" s="44" t="s">
        <v>274</v>
      </c>
    </row>
    <row r="585" spans="1:17" s="40" customFormat="1">
      <c r="A585" s="148" t="s">
        <v>593</v>
      </c>
      <c r="B585" s="148"/>
      <c r="C585" s="43"/>
      <c r="D585" s="35"/>
      <c r="E585" s="35"/>
      <c r="F585" s="35"/>
      <c r="G585" s="35"/>
      <c r="J585" s="38">
        <v>40</v>
      </c>
      <c r="K585" s="44" t="s">
        <v>204</v>
      </c>
      <c r="M585" s="41">
        <v>9</v>
      </c>
      <c r="N585" s="44" t="s">
        <v>274</v>
      </c>
      <c r="O585" s="35"/>
      <c r="P585" s="41">
        <v>9.3000000000000007</v>
      </c>
      <c r="Q585" s="44" t="s">
        <v>274</v>
      </c>
    </row>
    <row r="586" spans="1:17" s="40" customFormat="1">
      <c r="A586" s="148" t="s">
        <v>594</v>
      </c>
      <c r="B586" s="148"/>
      <c r="C586" s="43"/>
      <c r="D586" s="35"/>
      <c r="E586" s="35"/>
      <c r="F586" s="35"/>
      <c r="G586" s="35"/>
      <c r="J586" s="38">
        <v>38</v>
      </c>
      <c r="K586" s="44" t="s">
        <v>204</v>
      </c>
      <c r="M586" s="41">
        <v>8.6999999999999993</v>
      </c>
      <c r="N586" s="44" t="s">
        <v>274</v>
      </c>
      <c r="O586" s="35"/>
      <c r="P586" s="41">
        <v>9</v>
      </c>
      <c r="Q586" s="44" t="s">
        <v>274</v>
      </c>
    </row>
    <row r="587" spans="1:17" s="40" customFormat="1">
      <c r="A587" s="148" t="s">
        <v>595</v>
      </c>
      <c r="B587" s="148"/>
      <c r="C587" s="43"/>
      <c r="D587" s="35"/>
      <c r="E587" s="35"/>
      <c r="F587" s="35"/>
      <c r="G587" s="35"/>
      <c r="J587" s="38">
        <v>83</v>
      </c>
      <c r="K587" s="44" t="s">
        <v>204</v>
      </c>
      <c r="M587" s="41">
        <v>18.5</v>
      </c>
      <c r="N587" s="44" t="s">
        <v>274</v>
      </c>
      <c r="O587" s="35"/>
      <c r="P587" s="41">
        <v>18.8</v>
      </c>
      <c r="Q587" s="44" t="s">
        <v>274</v>
      </c>
    </row>
    <row r="588" spans="1:17" s="40" customFormat="1">
      <c r="A588" s="148" t="s">
        <v>596</v>
      </c>
      <c r="B588" s="148"/>
      <c r="C588" s="43"/>
      <c r="D588" s="35"/>
      <c r="E588" s="35"/>
      <c r="F588" s="35"/>
      <c r="G588" s="35"/>
      <c r="J588" s="38">
        <v>80</v>
      </c>
      <c r="K588" s="44" t="s">
        <v>204</v>
      </c>
      <c r="M588" s="41">
        <v>17.899999999999999</v>
      </c>
      <c r="N588" s="44" t="s">
        <v>274</v>
      </c>
      <c r="O588" s="35"/>
      <c r="P588" s="41">
        <v>18.2</v>
      </c>
      <c r="Q588" s="44" t="s">
        <v>274</v>
      </c>
    </row>
    <row r="589" spans="1:17" s="40" customFormat="1">
      <c r="A589" s="148" t="s">
        <v>597</v>
      </c>
      <c r="B589" s="148"/>
      <c r="C589" s="43"/>
      <c r="D589" s="35"/>
      <c r="E589" s="35"/>
      <c r="F589" s="35"/>
      <c r="G589" s="35"/>
      <c r="J589" s="38">
        <v>77</v>
      </c>
      <c r="K589" s="44" t="s">
        <v>204</v>
      </c>
      <c r="M589" s="41">
        <v>17.5</v>
      </c>
      <c r="N589" s="44" t="s">
        <v>274</v>
      </c>
      <c r="O589" s="35"/>
      <c r="P589" s="41">
        <v>17.8</v>
      </c>
      <c r="Q589" s="44" t="s">
        <v>274</v>
      </c>
    </row>
    <row r="590" spans="1:17" s="40" customFormat="1">
      <c r="A590" s="148" t="s">
        <v>598</v>
      </c>
      <c r="B590" s="148"/>
      <c r="C590" s="43"/>
      <c r="D590" s="35"/>
      <c r="E590" s="35"/>
      <c r="F590" s="35"/>
      <c r="G590" s="35"/>
      <c r="J590" s="38">
        <v>79</v>
      </c>
      <c r="K590" s="44" t="s">
        <v>204</v>
      </c>
      <c r="M590" s="41">
        <v>17.600000000000001</v>
      </c>
      <c r="N590" s="44" t="s">
        <v>274</v>
      </c>
      <c r="O590" s="35"/>
      <c r="P590" s="41">
        <v>17.899999999999999</v>
      </c>
      <c r="Q590" s="44" t="s">
        <v>274</v>
      </c>
    </row>
    <row r="591" spans="1:17" s="40" customFormat="1">
      <c r="A591" s="148" t="s">
        <v>599</v>
      </c>
      <c r="B591" s="148"/>
      <c r="C591" s="43"/>
      <c r="D591" s="35"/>
      <c r="E591" s="35"/>
      <c r="F591" s="35"/>
      <c r="G591" s="35"/>
      <c r="J591" s="38">
        <v>78</v>
      </c>
      <c r="K591" s="44" t="s">
        <v>204</v>
      </c>
      <c r="M591" s="41">
        <v>17.5</v>
      </c>
      <c r="N591" s="44" t="s">
        <v>274</v>
      </c>
      <c r="O591" s="35"/>
      <c r="P591" s="41">
        <v>17.8</v>
      </c>
      <c r="Q591" s="44" t="s">
        <v>274</v>
      </c>
    </row>
    <row r="592" spans="1:17" s="40" customFormat="1">
      <c r="A592" s="148" t="s">
        <v>600</v>
      </c>
      <c r="B592" s="148"/>
      <c r="C592" s="43"/>
      <c r="D592" s="35"/>
      <c r="E592" s="35"/>
      <c r="F592" s="35"/>
      <c r="G592" s="35"/>
      <c r="J592" s="38">
        <v>73</v>
      </c>
      <c r="K592" s="44" t="s">
        <v>204</v>
      </c>
      <c r="M592" s="41">
        <v>16.399999999999999</v>
      </c>
      <c r="N592" s="44" t="s">
        <v>274</v>
      </c>
      <c r="O592" s="35"/>
      <c r="P592" s="41">
        <v>16.7</v>
      </c>
      <c r="Q592" s="44" t="s">
        <v>274</v>
      </c>
    </row>
    <row r="593" spans="1:17" s="40" customFormat="1">
      <c r="A593" s="148" t="s">
        <v>601</v>
      </c>
      <c r="B593" s="148"/>
      <c r="C593" s="43"/>
      <c r="D593" s="35"/>
      <c r="E593" s="35"/>
      <c r="F593" s="35"/>
      <c r="G593" s="35"/>
      <c r="J593" s="38">
        <v>81</v>
      </c>
      <c r="K593" s="44" t="s">
        <v>204</v>
      </c>
      <c r="M593" s="41">
        <v>18.100000000000001</v>
      </c>
      <c r="N593" s="44" t="s">
        <v>274</v>
      </c>
      <c r="O593" s="35"/>
      <c r="P593" s="41">
        <v>18.399999999999999</v>
      </c>
      <c r="Q593" s="44" t="s">
        <v>274</v>
      </c>
    </row>
    <row r="594" spans="1:17" s="40" customFormat="1">
      <c r="A594" s="148" t="s">
        <v>602</v>
      </c>
      <c r="B594" s="148"/>
      <c r="C594" s="43"/>
      <c r="D594" s="35"/>
      <c r="E594" s="35"/>
      <c r="F594" s="35"/>
      <c r="G594" s="35"/>
      <c r="J594" s="38">
        <v>80</v>
      </c>
      <c r="K594" s="44" t="s">
        <v>204</v>
      </c>
      <c r="M594" s="41">
        <v>18</v>
      </c>
      <c r="N594" s="44" t="s">
        <v>274</v>
      </c>
      <c r="O594" s="35"/>
      <c r="P594" s="41">
        <v>18.3</v>
      </c>
      <c r="Q594" s="44" t="s">
        <v>274</v>
      </c>
    </row>
    <row r="595" spans="1:17" s="40" customFormat="1">
      <c r="A595" s="148"/>
      <c r="B595" s="148"/>
      <c r="C595" s="43"/>
      <c r="D595" s="35"/>
      <c r="E595" s="35"/>
      <c r="F595" s="35"/>
      <c r="G595" s="35"/>
      <c r="J595" s="38"/>
      <c r="K595" s="44"/>
      <c r="M595" s="41"/>
      <c r="N595" s="44"/>
      <c r="O595" s="35"/>
      <c r="P595" s="41"/>
      <c r="Q595" s="44"/>
    </row>
    <row r="596" spans="1:17" s="40" customFormat="1">
      <c r="A596" s="148"/>
      <c r="B596" s="148"/>
      <c r="C596" s="43"/>
      <c r="D596" s="35" t="s">
        <v>246</v>
      </c>
      <c r="E596" s="35"/>
      <c r="F596" s="35"/>
      <c r="G596" s="35"/>
      <c r="J596" s="38"/>
      <c r="K596" s="44"/>
      <c r="M596" s="41"/>
      <c r="N596" s="44"/>
      <c r="O596" s="35"/>
      <c r="P596" s="41"/>
      <c r="Q596" s="44"/>
    </row>
    <row r="597" spans="1:17" s="40" customFormat="1">
      <c r="A597" s="148"/>
      <c r="B597" s="148"/>
      <c r="C597" s="43"/>
      <c r="D597" s="35" t="s">
        <v>547</v>
      </c>
      <c r="E597" s="35"/>
      <c r="F597" s="35"/>
      <c r="G597" s="35"/>
      <c r="J597" s="38"/>
      <c r="K597" s="44"/>
      <c r="M597" s="41"/>
      <c r="N597" s="44"/>
      <c r="O597" s="35"/>
      <c r="P597" s="41"/>
      <c r="Q597" s="44"/>
    </row>
    <row r="598" spans="1:17" s="40" customFormat="1">
      <c r="A598" s="148" t="s">
        <v>603</v>
      </c>
      <c r="B598" s="148"/>
      <c r="C598" s="43"/>
      <c r="D598" s="35"/>
      <c r="E598" s="35"/>
      <c r="F598" s="35"/>
      <c r="G598" s="35"/>
      <c r="J598" s="38">
        <v>76</v>
      </c>
      <c r="K598" s="44" t="s">
        <v>204</v>
      </c>
      <c r="M598" s="41">
        <v>17.100000000000001</v>
      </c>
      <c r="N598" s="44" t="s">
        <v>274</v>
      </c>
      <c r="O598" s="35"/>
      <c r="P598" s="41">
        <v>17.399999999999999</v>
      </c>
      <c r="Q598" s="44" t="s">
        <v>274</v>
      </c>
    </row>
    <row r="599" spans="1:17" s="40" customFormat="1">
      <c r="A599" s="148" t="s">
        <v>604</v>
      </c>
      <c r="B599" s="148"/>
      <c r="C599" s="43"/>
      <c r="D599" s="35"/>
      <c r="E599" s="35"/>
      <c r="F599" s="35"/>
      <c r="G599" s="35"/>
      <c r="J599" s="38">
        <v>37</v>
      </c>
      <c r="K599" s="44" t="s">
        <v>204</v>
      </c>
      <c r="M599" s="41">
        <v>8.1999999999999993</v>
      </c>
      <c r="N599" s="44" t="s">
        <v>274</v>
      </c>
      <c r="O599" s="35"/>
      <c r="P599" s="41">
        <v>8.5</v>
      </c>
      <c r="Q599" s="44" t="s">
        <v>274</v>
      </c>
    </row>
    <row r="600" spans="1:17" s="40" customFormat="1">
      <c r="A600" s="148" t="s">
        <v>605</v>
      </c>
      <c r="B600" s="148"/>
      <c r="C600" s="43"/>
      <c r="D600" s="35"/>
      <c r="E600" s="35"/>
      <c r="F600" s="35"/>
      <c r="G600" s="35"/>
      <c r="J600" s="38">
        <v>38</v>
      </c>
      <c r="K600" s="44" t="s">
        <v>204</v>
      </c>
      <c r="M600" s="41">
        <v>8.5</v>
      </c>
      <c r="N600" s="44" t="s">
        <v>274</v>
      </c>
      <c r="O600" s="35"/>
      <c r="P600" s="41">
        <v>8.8000000000000007</v>
      </c>
      <c r="Q600" s="44" t="s">
        <v>274</v>
      </c>
    </row>
    <row r="601" spans="1:17" s="40" customFormat="1">
      <c r="A601" s="148" t="s">
        <v>606</v>
      </c>
      <c r="B601" s="148"/>
      <c r="C601" s="43"/>
      <c r="D601" s="35"/>
      <c r="E601" s="35"/>
      <c r="F601" s="35"/>
      <c r="G601" s="35"/>
      <c r="J601" s="38">
        <v>55</v>
      </c>
      <c r="K601" s="44" t="s">
        <v>204</v>
      </c>
      <c r="M601" s="41">
        <v>12.3</v>
      </c>
      <c r="N601" s="44" t="s">
        <v>274</v>
      </c>
      <c r="O601" s="35"/>
      <c r="P601" s="41">
        <v>12.6</v>
      </c>
      <c r="Q601" s="44" t="s">
        <v>274</v>
      </c>
    </row>
    <row r="602" spans="1:17" s="40" customFormat="1">
      <c r="A602" s="148" t="s">
        <v>607</v>
      </c>
      <c r="B602" s="148"/>
      <c r="C602" s="43"/>
      <c r="D602" s="35"/>
      <c r="E602" s="35"/>
      <c r="F602" s="35"/>
      <c r="G602" s="35"/>
      <c r="J602" s="38">
        <v>39</v>
      </c>
      <c r="K602" s="44" t="s">
        <v>204</v>
      </c>
      <c r="M602" s="41">
        <v>8.8000000000000007</v>
      </c>
      <c r="N602" s="44" t="s">
        <v>274</v>
      </c>
      <c r="O602" s="35"/>
      <c r="P602" s="41">
        <v>9.1</v>
      </c>
      <c r="Q602" s="44" t="s">
        <v>274</v>
      </c>
    </row>
    <row r="603" spans="1:17" s="40" customFormat="1">
      <c r="A603" s="148" t="s">
        <v>608</v>
      </c>
      <c r="B603" s="148"/>
      <c r="C603" s="43"/>
      <c r="D603" s="35"/>
      <c r="E603" s="35"/>
      <c r="F603" s="35"/>
      <c r="G603" s="35"/>
      <c r="J603" s="38">
        <v>29</v>
      </c>
      <c r="K603" s="44" t="s">
        <v>204</v>
      </c>
      <c r="M603" s="41">
        <v>6.5</v>
      </c>
      <c r="N603" s="44" t="s">
        <v>274</v>
      </c>
      <c r="O603" s="35"/>
      <c r="P603" s="41">
        <v>6.8</v>
      </c>
      <c r="Q603" s="44" t="s">
        <v>274</v>
      </c>
    </row>
    <row r="604" spans="1:17" s="40" customFormat="1">
      <c r="A604" s="148" t="s">
        <v>609</v>
      </c>
      <c r="B604" s="148"/>
      <c r="C604" s="43"/>
      <c r="D604" s="35"/>
      <c r="E604" s="35"/>
      <c r="F604" s="35"/>
      <c r="G604" s="35"/>
      <c r="J604" s="38">
        <v>71</v>
      </c>
      <c r="K604" s="44" t="s">
        <v>204</v>
      </c>
      <c r="M604" s="41">
        <v>15.9</v>
      </c>
      <c r="N604" s="44" t="s">
        <v>274</v>
      </c>
      <c r="O604" s="35"/>
      <c r="P604" s="41">
        <v>16.2</v>
      </c>
      <c r="Q604" s="44" t="s">
        <v>274</v>
      </c>
    </row>
    <row r="605" spans="1:17" s="40" customFormat="1">
      <c r="A605" s="148"/>
      <c r="B605" s="148"/>
      <c r="C605" s="43"/>
      <c r="D605" s="35"/>
      <c r="E605" s="35"/>
      <c r="F605" s="35"/>
      <c r="G605" s="35"/>
      <c r="J605" s="38"/>
      <c r="K605" s="44"/>
      <c r="M605" s="41"/>
      <c r="N605" s="44"/>
      <c r="O605" s="35"/>
      <c r="P605" s="41"/>
      <c r="Q605" s="44"/>
    </row>
    <row r="606" spans="1:17" s="40" customFormat="1">
      <c r="A606" s="148"/>
      <c r="B606" s="148"/>
      <c r="C606" s="43"/>
      <c r="D606" s="42" t="s">
        <v>210</v>
      </c>
      <c r="E606" s="35"/>
      <c r="F606" s="35"/>
      <c r="G606" s="35"/>
      <c r="J606" s="38"/>
      <c r="K606" s="44"/>
      <c r="M606" s="41"/>
      <c r="N606" s="44"/>
      <c r="O606" s="35"/>
      <c r="P606" s="41"/>
      <c r="Q606" s="44"/>
    </row>
    <row r="607" spans="1:17" s="40" customFormat="1">
      <c r="A607" s="148"/>
      <c r="B607" s="148"/>
      <c r="C607" s="43"/>
      <c r="D607" s="35" t="s">
        <v>219</v>
      </c>
      <c r="E607" s="35"/>
      <c r="F607" s="35"/>
      <c r="G607" s="35"/>
      <c r="J607" s="38"/>
      <c r="K607" s="44"/>
      <c r="M607" s="41"/>
      <c r="N607" s="44"/>
      <c r="O607" s="35"/>
      <c r="P607" s="41"/>
      <c r="Q607" s="44"/>
    </row>
    <row r="608" spans="1:17" s="40" customFormat="1">
      <c r="A608" s="148"/>
      <c r="B608" s="148"/>
      <c r="C608" s="43"/>
      <c r="D608" s="35" t="s">
        <v>547</v>
      </c>
      <c r="E608" s="35"/>
      <c r="F608" s="35"/>
      <c r="G608" s="35"/>
      <c r="J608" s="38"/>
      <c r="K608" s="44"/>
      <c r="M608" s="41"/>
      <c r="N608" s="44"/>
      <c r="O608" s="35"/>
      <c r="P608" s="41"/>
      <c r="Q608" s="44"/>
    </row>
    <row r="609" spans="1:17" s="40" customFormat="1">
      <c r="A609" s="148" t="s">
        <v>610</v>
      </c>
      <c r="B609" s="148"/>
      <c r="C609" s="43"/>
      <c r="D609" s="35"/>
      <c r="E609" s="35"/>
      <c r="F609" s="35"/>
      <c r="G609" s="35"/>
      <c r="J609" s="38">
        <v>5</v>
      </c>
      <c r="K609" s="44" t="s">
        <v>204</v>
      </c>
      <c r="M609" s="41">
        <v>1.2</v>
      </c>
      <c r="N609" s="44" t="s">
        <v>274</v>
      </c>
      <c r="O609" s="35"/>
      <c r="P609" s="41">
        <v>1.5</v>
      </c>
      <c r="Q609" s="44" t="s">
        <v>274</v>
      </c>
    </row>
    <row r="610" spans="1:17" s="40" customFormat="1">
      <c r="A610" s="148"/>
      <c r="B610" s="148"/>
      <c r="C610" s="43"/>
      <c r="D610" s="35"/>
      <c r="E610" s="35"/>
      <c r="F610" s="35"/>
      <c r="G610" s="35"/>
      <c r="J610" s="38"/>
      <c r="K610" s="44"/>
      <c r="M610" s="41"/>
      <c r="N610" s="44"/>
      <c r="O610" s="35"/>
      <c r="P610" s="41"/>
      <c r="Q610" s="44"/>
    </row>
    <row r="611" spans="1:17" s="40" customFormat="1">
      <c r="A611" s="148"/>
      <c r="B611" s="148"/>
      <c r="C611" s="43"/>
      <c r="D611" s="35" t="s">
        <v>245</v>
      </c>
      <c r="E611" s="35"/>
      <c r="F611" s="35"/>
      <c r="G611" s="35"/>
      <c r="J611" s="38"/>
      <c r="K611" s="44"/>
      <c r="M611" s="41"/>
      <c r="N611" s="44"/>
      <c r="O611" s="35"/>
      <c r="P611" s="41"/>
      <c r="Q611" s="44"/>
    </row>
    <row r="612" spans="1:17" s="40" customFormat="1">
      <c r="A612" s="148"/>
      <c r="B612" s="148"/>
      <c r="C612" s="43"/>
      <c r="D612" s="35" t="s">
        <v>547</v>
      </c>
      <c r="E612" s="35"/>
      <c r="F612" s="35"/>
      <c r="G612" s="35"/>
      <c r="J612" s="38"/>
      <c r="K612" s="44"/>
      <c r="M612" s="41"/>
      <c r="N612" s="44"/>
      <c r="O612" s="35"/>
      <c r="P612" s="41"/>
      <c r="Q612" s="44"/>
    </row>
    <row r="613" spans="1:17" s="40" customFormat="1">
      <c r="A613" s="148" t="s">
        <v>611</v>
      </c>
      <c r="B613" s="148"/>
      <c r="C613" s="43"/>
      <c r="D613" s="35"/>
      <c r="E613" s="35"/>
      <c r="F613" s="35"/>
      <c r="G613" s="35"/>
      <c r="J613" s="38">
        <v>10</v>
      </c>
      <c r="K613" s="44" t="s">
        <v>204</v>
      </c>
      <c r="M613" s="41">
        <v>2.2999999999999998</v>
      </c>
      <c r="N613" s="44" t="s">
        <v>274</v>
      </c>
      <c r="O613" s="35"/>
      <c r="P613" s="41">
        <v>2.6</v>
      </c>
      <c r="Q613" s="44" t="s">
        <v>274</v>
      </c>
    </row>
    <row r="614" spans="1:17" s="40" customFormat="1">
      <c r="A614" s="148"/>
      <c r="B614" s="148"/>
      <c r="C614" s="43"/>
      <c r="D614" s="35"/>
      <c r="E614" s="35"/>
      <c r="F614" s="35"/>
      <c r="G614" s="35"/>
      <c r="J614" s="38"/>
      <c r="K614" s="44"/>
      <c r="M614" s="41"/>
      <c r="N614" s="44"/>
      <c r="O614" s="35"/>
      <c r="P614" s="41"/>
      <c r="Q614" s="44"/>
    </row>
    <row r="615" spans="1:17" s="40" customFormat="1">
      <c r="A615" s="148"/>
      <c r="B615" s="148"/>
      <c r="C615" s="43"/>
      <c r="D615" s="35" t="s">
        <v>246</v>
      </c>
      <c r="E615" s="35"/>
      <c r="F615" s="35"/>
      <c r="G615" s="35"/>
      <c r="J615" s="38"/>
      <c r="K615" s="44"/>
      <c r="M615" s="41"/>
      <c r="N615" s="44"/>
      <c r="O615" s="35"/>
      <c r="P615" s="41"/>
      <c r="Q615" s="44"/>
    </row>
    <row r="616" spans="1:17" s="40" customFormat="1">
      <c r="A616" s="148"/>
      <c r="B616" s="148"/>
      <c r="C616" s="43"/>
      <c r="D616" s="35" t="s">
        <v>547</v>
      </c>
      <c r="E616" s="35"/>
      <c r="F616" s="35"/>
      <c r="G616" s="35"/>
      <c r="J616" s="38"/>
      <c r="K616" s="44"/>
      <c r="M616" s="41"/>
      <c r="N616" s="44"/>
      <c r="O616" s="35"/>
      <c r="P616" s="41"/>
      <c r="Q616" s="44"/>
    </row>
    <row r="617" spans="1:17" s="40" customFormat="1">
      <c r="A617" s="148" t="s">
        <v>612</v>
      </c>
      <c r="B617" s="148"/>
      <c r="C617" s="43"/>
      <c r="D617" s="35"/>
      <c r="E617" s="35"/>
      <c r="F617" s="35"/>
      <c r="G617" s="35"/>
      <c r="J617" s="38">
        <v>5</v>
      </c>
      <c r="K617" s="44" t="s">
        <v>204</v>
      </c>
      <c r="M617" s="41">
        <v>1.1000000000000001</v>
      </c>
      <c r="N617" s="44" t="s">
        <v>274</v>
      </c>
      <c r="O617" s="35"/>
      <c r="P617" s="41">
        <v>1.4</v>
      </c>
      <c r="Q617" s="44" t="s">
        <v>274</v>
      </c>
    </row>
    <row r="618" spans="1:17" s="40" customFormat="1">
      <c r="A618" s="148"/>
      <c r="B618" s="148"/>
      <c r="C618" s="43"/>
      <c r="D618" s="35"/>
      <c r="E618" s="35"/>
      <c r="F618" s="35"/>
      <c r="G618" s="35"/>
      <c r="J618" s="38"/>
      <c r="K618" s="44"/>
      <c r="M618" s="41"/>
      <c r="N618" s="44"/>
      <c r="O618" s="35"/>
      <c r="P618" s="41"/>
      <c r="Q618" s="44"/>
    </row>
    <row r="619" spans="1:17" s="40" customFormat="1">
      <c r="A619" s="148"/>
      <c r="B619" s="148"/>
      <c r="C619" s="43"/>
      <c r="D619" s="35"/>
      <c r="E619" s="35"/>
      <c r="F619" s="35"/>
      <c r="G619" s="35"/>
      <c r="J619" s="38"/>
      <c r="K619" s="44"/>
      <c r="M619" s="41"/>
      <c r="N619" s="44"/>
      <c r="O619" s="35"/>
      <c r="P619" s="41"/>
      <c r="Q619" s="44"/>
    </row>
    <row r="620" spans="1:17" s="40" customFormat="1">
      <c r="A620" s="148"/>
      <c r="B620" s="148"/>
      <c r="C620" s="43"/>
      <c r="D620" s="35" t="s">
        <v>247</v>
      </c>
      <c r="E620" s="35"/>
      <c r="F620" s="35"/>
      <c r="G620" s="35"/>
      <c r="J620" s="38"/>
      <c r="K620" s="44"/>
      <c r="M620" s="41"/>
      <c r="N620" s="44"/>
      <c r="O620" s="35"/>
      <c r="P620" s="41"/>
      <c r="Q620" s="44"/>
    </row>
    <row r="621" spans="1:17" s="40" customFormat="1">
      <c r="A621" s="148"/>
      <c r="B621" s="148"/>
      <c r="C621" s="43"/>
      <c r="D621" s="35" t="s">
        <v>248</v>
      </c>
      <c r="E621" s="35"/>
      <c r="F621" s="35"/>
      <c r="G621" s="35"/>
      <c r="J621" s="38"/>
      <c r="K621" s="44"/>
      <c r="M621" s="41"/>
      <c r="N621" s="44"/>
      <c r="O621" s="35"/>
      <c r="P621" s="41"/>
      <c r="Q621" s="44"/>
    </row>
    <row r="622" spans="1:17" s="40" customFormat="1">
      <c r="A622" s="148"/>
      <c r="B622" s="148"/>
      <c r="C622" s="43"/>
      <c r="D622" s="35" t="s">
        <v>249</v>
      </c>
      <c r="E622" s="35"/>
      <c r="F622" s="35"/>
      <c r="G622" s="35"/>
      <c r="J622" s="38"/>
      <c r="K622" s="44"/>
      <c r="M622" s="41"/>
      <c r="N622" s="44"/>
      <c r="O622" s="35"/>
      <c r="P622" s="41"/>
      <c r="Q622" s="44"/>
    </row>
    <row r="623" spans="1:17" s="40" customFormat="1">
      <c r="A623" s="148"/>
      <c r="B623" s="148"/>
      <c r="C623" s="43"/>
      <c r="D623" s="35" t="s">
        <v>250</v>
      </c>
      <c r="E623" s="35"/>
      <c r="F623" s="35"/>
      <c r="G623" s="35"/>
      <c r="J623" s="38"/>
      <c r="K623" s="44"/>
      <c r="M623" s="41"/>
      <c r="N623" s="44"/>
      <c r="O623" s="35"/>
      <c r="P623" s="41"/>
      <c r="Q623" s="44"/>
    </row>
    <row r="624" spans="1:17" s="40" customFormat="1">
      <c r="A624" s="148"/>
      <c r="B624" s="148"/>
      <c r="C624" s="43"/>
      <c r="D624" s="35" t="s">
        <v>251</v>
      </c>
      <c r="E624" s="35"/>
      <c r="F624" s="35"/>
      <c r="G624" s="35"/>
      <c r="J624" s="38"/>
      <c r="K624" s="44"/>
      <c r="M624" s="41"/>
      <c r="N624" s="44"/>
      <c r="O624" s="35"/>
      <c r="P624" s="41"/>
      <c r="Q624" s="44"/>
    </row>
    <row r="625" spans="1:17" s="40" customFormat="1">
      <c r="A625" s="148"/>
      <c r="B625" s="148"/>
      <c r="C625" s="43"/>
      <c r="D625" s="35" t="s">
        <v>613</v>
      </c>
      <c r="E625" s="35"/>
      <c r="F625" s="35"/>
      <c r="G625" s="35"/>
      <c r="J625" s="38"/>
      <c r="K625" s="44"/>
      <c r="M625" s="41"/>
      <c r="N625" s="44"/>
      <c r="O625" s="35"/>
      <c r="P625" s="41"/>
      <c r="Q625" s="44"/>
    </row>
    <row r="626" spans="1:17" s="40" customFormat="1">
      <c r="A626" s="148" t="s">
        <v>614</v>
      </c>
      <c r="B626" s="148"/>
      <c r="C626" s="43"/>
      <c r="D626" s="35"/>
      <c r="E626" s="35"/>
      <c r="F626" s="35"/>
      <c r="G626" s="35"/>
      <c r="J626" s="38">
        <v>41</v>
      </c>
      <c r="K626" s="44" t="s">
        <v>204</v>
      </c>
      <c r="M626" s="41">
        <v>8</v>
      </c>
      <c r="N626" s="44" t="s">
        <v>274</v>
      </c>
      <c r="O626" s="35"/>
      <c r="P626" s="41">
        <v>8.3000000000000007</v>
      </c>
      <c r="Q626" s="44" t="s">
        <v>274</v>
      </c>
    </row>
    <row r="627" spans="1:17" s="40" customFormat="1">
      <c r="A627" s="148"/>
      <c r="B627" s="148"/>
      <c r="C627" s="43"/>
      <c r="D627" s="35"/>
      <c r="E627" s="35"/>
      <c r="F627" s="35"/>
      <c r="G627" s="35"/>
      <c r="J627" s="38"/>
      <c r="K627" s="44"/>
      <c r="M627" s="41"/>
      <c r="N627" s="44"/>
      <c r="O627" s="35"/>
      <c r="P627" s="41"/>
      <c r="Q627" s="44"/>
    </row>
    <row r="628" spans="1:17" s="40" customFormat="1">
      <c r="A628" s="148"/>
      <c r="B628" s="148"/>
      <c r="C628" s="43"/>
      <c r="D628" s="35" t="s">
        <v>252</v>
      </c>
      <c r="E628" s="35"/>
      <c r="F628" s="35"/>
      <c r="G628" s="35"/>
      <c r="J628" s="38"/>
      <c r="K628" s="44"/>
      <c r="M628" s="41"/>
      <c r="N628" s="44"/>
      <c r="O628" s="35"/>
      <c r="P628" s="41"/>
      <c r="Q628" s="44"/>
    </row>
    <row r="629" spans="1:17" s="40" customFormat="1">
      <c r="A629" s="148"/>
      <c r="B629" s="148"/>
      <c r="C629" s="43"/>
      <c r="D629" s="35" t="s">
        <v>613</v>
      </c>
      <c r="E629" s="35"/>
      <c r="F629" s="35"/>
      <c r="G629" s="35"/>
      <c r="J629" s="38"/>
      <c r="K629" s="44"/>
      <c r="M629" s="41"/>
      <c r="N629" s="44"/>
      <c r="O629" s="35"/>
      <c r="P629" s="41"/>
      <c r="Q629" s="44"/>
    </row>
    <row r="630" spans="1:17" s="40" customFormat="1">
      <c r="A630" s="148" t="s">
        <v>614</v>
      </c>
      <c r="B630" s="148"/>
      <c r="C630" s="43"/>
      <c r="D630" s="35"/>
      <c r="E630" s="35"/>
      <c r="F630" s="35"/>
      <c r="G630" s="35"/>
      <c r="J630" s="38">
        <v>49</v>
      </c>
      <c r="K630" s="44" t="s">
        <v>204</v>
      </c>
      <c r="M630" s="41">
        <v>9.6999999999999993</v>
      </c>
      <c r="N630" s="44" t="s">
        <v>274</v>
      </c>
      <c r="O630" s="35"/>
      <c r="P630" s="41">
        <v>10</v>
      </c>
      <c r="Q630" s="44" t="s">
        <v>274</v>
      </c>
    </row>
    <row r="631" spans="1:17" s="40" customFormat="1">
      <c r="A631" s="148"/>
      <c r="B631" s="148"/>
      <c r="C631" s="43"/>
      <c r="D631" s="35"/>
      <c r="E631" s="35"/>
      <c r="F631" s="35"/>
      <c r="G631" s="35"/>
      <c r="J631" s="38"/>
      <c r="K631" s="44"/>
      <c r="M631" s="41"/>
      <c r="N631" s="44"/>
      <c r="O631" s="35"/>
      <c r="P631" s="41"/>
      <c r="Q631" s="44"/>
    </row>
    <row r="632" spans="1:17" s="40" customFormat="1">
      <c r="A632" s="148"/>
      <c r="B632" s="148"/>
      <c r="C632" s="43"/>
      <c r="D632" s="35" t="s">
        <v>253</v>
      </c>
      <c r="E632" s="35"/>
      <c r="F632" s="35"/>
      <c r="G632" s="35"/>
      <c r="J632" s="38"/>
      <c r="K632" s="44"/>
      <c r="M632" s="41"/>
      <c r="N632" s="44"/>
      <c r="O632" s="35"/>
      <c r="P632" s="41"/>
      <c r="Q632" s="44"/>
    </row>
    <row r="633" spans="1:17" s="40" customFormat="1">
      <c r="A633" s="148"/>
      <c r="B633" s="148"/>
      <c r="C633" s="43"/>
      <c r="D633" s="35" t="s">
        <v>613</v>
      </c>
      <c r="E633" s="35"/>
      <c r="F633" s="35"/>
      <c r="G633" s="35"/>
      <c r="J633" s="38"/>
      <c r="K633" s="44"/>
      <c r="M633" s="41"/>
      <c r="N633" s="44"/>
      <c r="O633" s="35"/>
      <c r="P633" s="41"/>
      <c r="Q633" s="44"/>
    </row>
    <row r="634" spans="1:17" s="40" customFormat="1">
      <c r="A634" s="148" t="s">
        <v>615</v>
      </c>
      <c r="B634" s="148"/>
      <c r="C634" s="43"/>
      <c r="D634" s="35"/>
      <c r="E634" s="35"/>
      <c r="F634" s="35"/>
      <c r="G634" s="35"/>
      <c r="J634" s="38">
        <v>12</v>
      </c>
      <c r="K634" s="44" t="s">
        <v>204</v>
      </c>
      <c r="M634" s="41">
        <v>2.2999999999999998</v>
      </c>
      <c r="N634" s="44" t="s">
        <v>274</v>
      </c>
      <c r="O634" s="35"/>
      <c r="P634" s="41">
        <v>2.6</v>
      </c>
      <c r="Q634" s="44" t="s">
        <v>274</v>
      </c>
    </row>
    <row r="635" spans="1:17" s="40" customFormat="1">
      <c r="A635" s="148"/>
      <c r="B635" s="148"/>
      <c r="C635" s="43"/>
      <c r="D635" s="35"/>
      <c r="E635" s="35"/>
      <c r="F635" s="35"/>
      <c r="G635" s="35"/>
      <c r="J635" s="38"/>
      <c r="K635" s="44"/>
      <c r="M635" s="41"/>
      <c r="N635" s="44"/>
      <c r="O635" s="35"/>
      <c r="P635" s="41"/>
      <c r="Q635" s="44"/>
    </row>
    <row r="636" spans="1:17" s="40" customFormat="1">
      <c r="A636" s="148" t="s">
        <v>614</v>
      </c>
      <c r="B636" s="148"/>
      <c r="C636" s="43"/>
      <c r="D636" s="35" t="s">
        <v>251</v>
      </c>
      <c r="E636" s="35"/>
      <c r="F636" s="35"/>
      <c r="G636" s="35"/>
      <c r="J636" s="38">
        <v>1</v>
      </c>
      <c r="K636" s="44" t="s">
        <v>204</v>
      </c>
      <c r="M636" s="41">
        <v>0.6</v>
      </c>
      <c r="N636" s="44" t="s">
        <v>274</v>
      </c>
      <c r="O636" s="35"/>
      <c r="P636" s="41">
        <v>0.9</v>
      </c>
      <c r="Q636" s="44" t="s">
        <v>274</v>
      </c>
    </row>
    <row r="637" spans="1:17" s="40" customFormat="1">
      <c r="A637" s="148"/>
      <c r="B637" s="148"/>
      <c r="C637" s="43"/>
      <c r="D637" s="35" t="s">
        <v>613</v>
      </c>
      <c r="E637" s="35"/>
      <c r="F637" s="35"/>
      <c r="G637" s="35"/>
      <c r="J637" s="38"/>
      <c r="K637" s="44"/>
      <c r="M637" s="41"/>
      <c r="N637" s="44"/>
      <c r="O637" s="35"/>
      <c r="P637" s="41"/>
      <c r="Q637" s="44"/>
    </row>
    <row r="638" spans="1:17" s="40" customFormat="1">
      <c r="A638" s="148"/>
      <c r="B638" s="148"/>
      <c r="C638" s="43"/>
      <c r="D638" s="35"/>
      <c r="E638" s="35"/>
      <c r="F638" s="35"/>
      <c r="G638" s="35"/>
      <c r="J638" s="38"/>
      <c r="K638" s="44"/>
      <c r="M638" s="41"/>
      <c r="N638" s="44"/>
      <c r="O638" s="35"/>
      <c r="P638" s="41"/>
      <c r="Q638" s="44"/>
    </row>
    <row r="639" spans="1:17" s="40" customFormat="1">
      <c r="A639" s="148"/>
      <c r="B639" s="148"/>
      <c r="C639" s="43"/>
      <c r="D639" s="35" t="s">
        <v>252</v>
      </c>
      <c r="E639" s="35"/>
      <c r="F639" s="35"/>
      <c r="G639" s="35"/>
      <c r="J639" s="38">
        <v>1</v>
      </c>
      <c r="K639" s="44" t="s">
        <v>204</v>
      </c>
      <c r="M639" s="41"/>
      <c r="N639" s="44"/>
      <c r="O639" s="35"/>
      <c r="P639" s="41"/>
      <c r="Q639" s="44"/>
    </row>
    <row r="640" spans="1:17" s="40" customFormat="1">
      <c r="A640" s="148"/>
      <c r="B640" s="148"/>
      <c r="C640" s="43"/>
      <c r="D640" s="35" t="s">
        <v>616</v>
      </c>
      <c r="E640" s="35"/>
      <c r="F640" s="35"/>
      <c r="G640" s="35"/>
      <c r="J640" s="38"/>
      <c r="K640" s="44"/>
      <c r="M640" s="41"/>
      <c r="N640" s="44"/>
      <c r="O640" s="35"/>
      <c r="P640" s="41"/>
      <c r="Q640" s="44"/>
    </row>
    <row r="641" spans="1:17" s="40" customFormat="1">
      <c r="A641" s="148"/>
      <c r="B641" s="148"/>
      <c r="C641" s="43"/>
      <c r="D641" s="35"/>
      <c r="E641" s="35"/>
      <c r="F641" s="35"/>
      <c r="G641" s="35"/>
      <c r="J641" s="38"/>
      <c r="K641" s="44"/>
      <c r="M641" s="41"/>
      <c r="N641" s="44"/>
      <c r="O641" s="35"/>
      <c r="P641" s="41"/>
      <c r="Q641" s="44"/>
    </row>
    <row r="642" spans="1:17" s="40" customFormat="1">
      <c r="A642" s="148"/>
      <c r="B642" s="148"/>
      <c r="C642" s="43"/>
      <c r="D642" s="35" t="s">
        <v>253</v>
      </c>
      <c r="E642" s="35"/>
      <c r="F642" s="35"/>
      <c r="G642" s="35"/>
      <c r="J642" s="38">
        <v>1</v>
      </c>
      <c r="K642" s="44" t="s">
        <v>204</v>
      </c>
      <c r="M642" s="41"/>
      <c r="N642" s="44"/>
      <c r="O642" s="35"/>
      <c r="P642" s="41"/>
      <c r="Q642" s="44"/>
    </row>
    <row r="643" spans="1:17" s="40" customFormat="1">
      <c r="A643" s="148"/>
      <c r="B643" s="148"/>
      <c r="C643" s="43"/>
      <c r="D643" s="35" t="s">
        <v>613</v>
      </c>
      <c r="E643" s="35"/>
      <c r="F643" s="35"/>
      <c r="G643" s="35"/>
      <c r="J643" s="38"/>
      <c r="K643" s="44"/>
      <c r="M643" s="41"/>
      <c r="N643" s="44"/>
      <c r="O643" s="35"/>
      <c r="P643" s="41"/>
      <c r="Q643" s="44"/>
    </row>
    <row r="644" spans="1:17" s="40" customFormat="1">
      <c r="A644" s="148"/>
      <c r="B644" s="148"/>
      <c r="C644" s="43"/>
      <c r="D644" s="35"/>
      <c r="E644" s="35"/>
      <c r="F644" s="35"/>
      <c r="G644" s="35"/>
      <c r="J644" s="38"/>
      <c r="K644" s="44"/>
      <c r="M644" s="41"/>
      <c r="N644" s="44"/>
      <c r="O644" s="35"/>
      <c r="P644" s="41"/>
      <c r="Q644" s="44"/>
    </row>
    <row r="645" spans="1:17" s="40" customFormat="1">
      <c r="A645" s="148"/>
      <c r="B645" s="148"/>
      <c r="C645" s="43"/>
      <c r="D645" s="35"/>
      <c r="E645" s="35"/>
      <c r="F645" s="35"/>
      <c r="G645" s="35"/>
      <c r="J645" s="38"/>
      <c r="K645" s="44"/>
      <c r="M645" s="41"/>
      <c r="N645" s="44"/>
      <c r="O645" s="35"/>
      <c r="P645" s="41"/>
      <c r="Q645" s="44"/>
    </row>
    <row r="646" spans="1:17" s="40" customFormat="1">
      <c r="A646" s="148"/>
      <c r="B646" s="148"/>
      <c r="C646" s="43"/>
      <c r="D646" s="35" t="s">
        <v>254</v>
      </c>
      <c r="E646" s="35"/>
      <c r="F646" s="35"/>
      <c r="G646" s="35"/>
      <c r="J646" s="38"/>
      <c r="K646" s="44"/>
      <c r="M646" s="41"/>
      <c r="N646" s="44"/>
      <c r="O646" s="35"/>
      <c r="P646" s="41"/>
      <c r="Q646" s="44"/>
    </row>
    <row r="647" spans="1:17" s="40" customFormat="1">
      <c r="A647" s="148"/>
      <c r="B647" s="148"/>
      <c r="C647" s="43"/>
      <c r="D647" s="42" t="s">
        <v>255</v>
      </c>
      <c r="E647" s="35"/>
      <c r="F647" s="35"/>
      <c r="G647" s="35"/>
      <c r="J647" s="38"/>
      <c r="K647" s="44"/>
      <c r="M647" s="41"/>
      <c r="N647" s="44"/>
      <c r="O647" s="35"/>
      <c r="P647" s="41"/>
      <c r="Q647" s="44"/>
    </row>
    <row r="648" spans="1:17" s="40" customFormat="1">
      <c r="A648" s="148"/>
      <c r="B648" s="148"/>
      <c r="C648" s="43"/>
      <c r="D648" s="35" t="s">
        <v>256</v>
      </c>
      <c r="E648" s="35"/>
      <c r="F648" s="35"/>
      <c r="G648" s="35"/>
      <c r="J648" s="38"/>
      <c r="K648" s="44"/>
      <c r="M648" s="41"/>
      <c r="N648" s="44"/>
      <c r="O648" s="35"/>
      <c r="P648" s="41"/>
      <c r="Q648" s="44"/>
    </row>
    <row r="649" spans="1:17" s="40" customFormat="1">
      <c r="A649" s="148"/>
      <c r="B649" s="148"/>
      <c r="C649" s="43"/>
      <c r="D649" s="35" t="s">
        <v>257</v>
      </c>
      <c r="E649" s="35"/>
      <c r="F649" s="35"/>
      <c r="G649" s="35"/>
      <c r="J649" s="38"/>
      <c r="K649" s="44"/>
      <c r="M649" s="41"/>
      <c r="N649" s="44"/>
      <c r="O649" s="35"/>
      <c r="P649" s="41"/>
      <c r="Q649" s="44"/>
    </row>
    <row r="650" spans="1:17" s="40" customFormat="1">
      <c r="A650" s="148"/>
      <c r="B650" s="148"/>
      <c r="C650" s="43"/>
      <c r="D650" s="35" t="s">
        <v>258</v>
      </c>
      <c r="E650" s="35"/>
      <c r="F650" s="35"/>
      <c r="G650" s="35"/>
      <c r="J650" s="38"/>
      <c r="K650" s="44"/>
      <c r="M650" s="41"/>
      <c r="N650" s="44"/>
      <c r="O650" s="35"/>
      <c r="P650" s="41"/>
      <c r="Q650" s="44"/>
    </row>
    <row r="651" spans="1:17" s="40" customFormat="1">
      <c r="A651" s="148"/>
      <c r="B651" s="148"/>
      <c r="C651" s="43"/>
      <c r="D651" s="35" t="s">
        <v>219</v>
      </c>
      <c r="E651" s="35"/>
      <c r="F651" s="35"/>
      <c r="G651" s="35"/>
      <c r="J651" s="38"/>
      <c r="K651" s="44"/>
      <c r="M651" s="41"/>
      <c r="N651" s="44"/>
      <c r="O651" s="35"/>
      <c r="P651" s="41"/>
      <c r="Q651" s="44"/>
    </row>
    <row r="652" spans="1:17" s="40" customFormat="1">
      <c r="A652" s="148"/>
      <c r="B652" s="148"/>
      <c r="C652" s="43"/>
      <c r="D652" s="35" t="s">
        <v>617</v>
      </c>
      <c r="E652" s="35"/>
      <c r="F652" s="35"/>
      <c r="G652" s="35"/>
      <c r="J652" s="38"/>
      <c r="K652" s="44"/>
      <c r="M652" s="41"/>
      <c r="N652" s="44"/>
      <c r="O652" s="35"/>
      <c r="P652" s="41"/>
      <c r="Q652" s="44"/>
    </row>
    <row r="653" spans="1:17" s="40" customFormat="1">
      <c r="A653" s="148" t="s">
        <v>618</v>
      </c>
      <c r="B653" s="148"/>
      <c r="C653" s="43"/>
      <c r="D653" s="35"/>
      <c r="E653" s="35"/>
      <c r="F653" s="35"/>
      <c r="G653" s="35"/>
      <c r="J653" s="38">
        <v>90</v>
      </c>
      <c r="K653" s="44" t="s">
        <v>204</v>
      </c>
      <c r="M653" s="41">
        <v>18.3</v>
      </c>
      <c r="N653" s="44" t="s">
        <v>274</v>
      </c>
      <c r="O653" s="35"/>
      <c r="P653" s="41">
        <v>18.600000000000001</v>
      </c>
      <c r="Q653" s="44" t="s">
        <v>274</v>
      </c>
    </row>
    <row r="654" spans="1:17" s="40" customFormat="1">
      <c r="A654" s="148" t="s">
        <v>619</v>
      </c>
      <c r="B654" s="148"/>
      <c r="C654" s="43"/>
      <c r="D654" s="35"/>
      <c r="E654" s="35"/>
      <c r="F654" s="35"/>
      <c r="G654" s="35"/>
      <c r="J654" s="38">
        <v>92</v>
      </c>
      <c r="K654" s="44" t="s">
        <v>204</v>
      </c>
      <c r="M654" s="41">
        <v>18.899999999999999</v>
      </c>
      <c r="N654" s="44" t="s">
        <v>274</v>
      </c>
      <c r="O654" s="35"/>
      <c r="P654" s="41">
        <v>19.2</v>
      </c>
      <c r="Q654" s="44" t="s">
        <v>274</v>
      </c>
    </row>
    <row r="655" spans="1:17" s="40" customFormat="1">
      <c r="A655" s="148" t="s">
        <v>620</v>
      </c>
      <c r="B655" s="148"/>
      <c r="C655" s="43"/>
      <c r="D655" s="35"/>
      <c r="E655" s="35"/>
      <c r="F655" s="35"/>
      <c r="G655" s="35"/>
      <c r="J655" s="38">
        <v>93</v>
      </c>
      <c r="K655" s="44" t="s">
        <v>204</v>
      </c>
      <c r="M655" s="41">
        <v>19.100000000000001</v>
      </c>
      <c r="N655" s="44" t="s">
        <v>274</v>
      </c>
      <c r="O655" s="35"/>
      <c r="P655" s="41">
        <v>19.399999999999999</v>
      </c>
      <c r="Q655" s="44" t="s">
        <v>274</v>
      </c>
    </row>
    <row r="656" spans="1:17" s="40" customFormat="1">
      <c r="A656" s="148" t="s">
        <v>621</v>
      </c>
      <c r="B656" s="148"/>
      <c r="C656" s="43"/>
      <c r="D656" s="35"/>
      <c r="E656" s="35"/>
      <c r="F656" s="35"/>
      <c r="G656" s="35"/>
      <c r="J656" s="38">
        <v>93</v>
      </c>
      <c r="K656" s="44" t="s">
        <v>204</v>
      </c>
      <c r="M656" s="41">
        <v>19</v>
      </c>
      <c r="N656" s="44" t="s">
        <v>274</v>
      </c>
      <c r="O656" s="35"/>
      <c r="P656" s="41">
        <v>19.3</v>
      </c>
      <c r="Q656" s="44" t="s">
        <v>274</v>
      </c>
    </row>
    <row r="657" spans="1:17" s="40" customFormat="1">
      <c r="A657" s="148" t="s">
        <v>622</v>
      </c>
      <c r="B657" s="148"/>
      <c r="C657" s="43"/>
      <c r="D657" s="35"/>
      <c r="E657" s="35"/>
      <c r="F657" s="35"/>
      <c r="G657" s="35"/>
      <c r="J657" s="38">
        <v>94</v>
      </c>
      <c r="K657" s="44" t="s">
        <v>204</v>
      </c>
      <c r="M657" s="41">
        <v>19.3</v>
      </c>
      <c r="N657" s="44" t="s">
        <v>274</v>
      </c>
      <c r="O657" s="35"/>
      <c r="P657" s="41">
        <v>19.600000000000001</v>
      </c>
      <c r="Q657" s="44" t="s">
        <v>274</v>
      </c>
    </row>
    <row r="658" spans="1:17" s="40" customFormat="1">
      <c r="A658" s="148" t="s">
        <v>623</v>
      </c>
      <c r="B658" s="148"/>
      <c r="C658" s="43"/>
      <c r="D658" s="35"/>
      <c r="E658" s="35"/>
      <c r="F658" s="35"/>
      <c r="G658" s="35"/>
      <c r="J658" s="38">
        <v>77</v>
      </c>
      <c r="K658" s="44" t="s">
        <v>204</v>
      </c>
      <c r="M658" s="41">
        <v>15.8</v>
      </c>
      <c r="N658" s="44" t="s">
        <v>274</v>
      </c>
      <c r="O658" s="35"/>
      <c r="P658" s="41">
        <v>16.100000000000001</v>
      </c>
      <c r="Q658" s="44" t="s">
        <v>274</v>
      </c>
    </row>
    <row r="659" spans="1:17" s="40" customFormat="1">
      <c r="A659" s="148" t="s">
        <v>624</v>
      </c>
      <c r="B659" s="148"/>
      <c r="C659" s="43"/>
      <c r="D659" s="35"/>
      <c r="E659" s="35"/>
      <c r="F659" s="35"/>
      <c r="G659" s="35"/>
      <c r="J659" s="38">
        <v>92</v>
      </c>
      <c r="K659" s="44" t="s">
        <v>204</v>
      </c>
      <c r="M659" s="41">
        <v>18.899999999999999</v>
      </c>
      <c r="N659" s="44" t="s">
        <v>274</v>
      </c>
      <c r="O659" s="35"/>
      <c r="P659" s="41">
        <v>19.2</v>
      </c>
      <c r="Q659" s="44" t="s">
        <v>274</v>
      </c>
    </row>
    <row r="660" spans="1:17" s="40" customFormat="1">
      <c r="A660" s="148" t="s">
        <v>625</v>
      </c>
      <c r="B660" s="148"/>
      <c r="C660" s="43"/>
      <c r="D660" s="35"/>
      <c r="E660" s="35"/>
      <c r="F660" s="35"/>
      <c r="G660" s="35"/>
      <c r="J660" s="38">
        <v>93</v>
      </c>
      <c r="K660" s="44" t="s">
        <v>204</v>
      </c>
      <c r="M660" s="41">
        <v>19.100000000000001</v>
      </c>
      <c r="N660" s="44" t="s">
        <v>274</v>
      </c>
      <c r="O660" s="35"/>
      <c r="P660" s="41">
        <v>19.399999999999999</v>
      </c>
      <c r="Q660" s="44" t="s">
        <v>274</v>
      </c>
    </row>
    <row r="661" spans="1:17" s="40" customFormat="1">
      <c r="A661" s="148" t="s">
        <v>626</v>
      </c>
      <c r="B661" s="148"/>
      <c r="C661" s="43"/>
      <c r="D661" s="35"/>
      <c r="E661" s="35"/>
      <c r="F661" s="35"/>
      <c r="G661" s="35"/>
      <c r="J661" s="38">
        <v>94</v>
      </c>
      <c r="K661" s="44" t="s">
        <v>204</v>
      </c>
      <c r="M661" s="41">
        <v>19.3</v>
      </c>
      <c r="N661" s="44" t="s">
        <v>274</v>
      </c>
      <c r="O661" s="35"/>
      <c r="P661" s="41">
        <v>19.600000000000001</v>
      </c>
      <c r="Q661" s="44" t="s">
        <v>274</v>
      </c>
    </row>
    <row r="662" spans="1:17" s="40" customFormat="1">
      <c r="A662" s="148" t="s">
        <v>627</v>
      </c>
      <c r="B662" s="148"/>
      <c r="C662" s="43"/>
      <c r="D662" s="35"/>
      <c r="E662" s="35"/>
      <c r="F662" s="35"/>
      <c r="G662" s="35"/>
      <c r="J662" s="38">
        <v>96</v>
      </c>
      <c r="K662" s="44" t="s">
        <v>204</v>
      </c>
      <c r="M662" s="41">
        <v>19.600000000000001</v>
      </c>
      <c r="N662" s="44" t="s">
        <v>274</v>
      </c>
      <c r="O662" s="35"/>
      <c r="P662" s="41">
        <v>19.899999999999999</v>
      </c>
      <c r="Q662" s="44" t="s">
        <v>274</v>
      </c>
    </row>
    <row r="663" spans="1:17" s="40" customFormat="1">
      <c r="A663" s="148" t="s">
        <v>628</v>
      </c>
      <c r="B663" s="148"/>
      <c r="C663" s="43"/>
      <c r="D663" s="35"/>
      <c r="E663" s="35"/>
      <c r="F663" s="35"/>
      <c r="G663" s="35"/>
      <c r="J663" s="38">
        <v>61</v>
      </c>
      <c r="K663" s="44" t="s">
        <v>204</v>
      </c>
      <c r="M663" s="41">
        <v>12.6</v>
      </c>
      <c r="N663" s="44" t="s">
        <v>274</v>
      </c>
      <c r="O663" s="35"/>
      <c r="P663" s="41">
        <v>12.9</v>
      </c>
      <c r="Q663" s="44" t="s">
        <v>274</v>
      </c>
    </row>
    <row r="664" spans="1:17" s="40" customFormat="1">
      <c r="A664" s="148"/>
      <c r="B664" s="148"/>
      <c r="C664" s="43"/>
      <c r="D664" s="35"/>
      <c r="E664" s="35"/>
      <c r="F664" s="35"/>
      <c r="G664" s="35"/>
      <c r="J664" s="38"/>
      <c r="K664" s="44"/>
      <c r="M664" s="41"/>
      <c r="N664" s="44"/>
      <c r="O664" s="35"/>
      <c r="P664" s="41"/>
      <c r="Q664" s="44"/>
    </row>
    <row r="665" spans="1:17" s="40" customFormat="1">
      <c r="A665" s="148"/>
      <c r="B665" s="148"/>
      <c r="C665" s="43"/>
      <c r="D665" s="35" t="s">
        <v>259</v>
      </c>
      <c r="E665" s="35"/>
      <c r="F665" s="35"/>
      <c r="G665" s="35"/>
      <c r="J665" s="38"/>
      <c r="K665" s="44"/>
      <c r="M665" s="41"/>
      <c r="N665" s="44"/>
      <c r="O665" s="35"/>
      <c r="P665" s="41"/>
      <c r="Q665" s="44"/>
    </row>
    <row r="666" spans="1:17" s="40" customFormat="1">
      <c r="A666" s="148"/>
      <c r="B666" s="148"/>
      <c r="C666" s="43"/>
      <c r="D666" s="35" t="s">
        <v>617</v>
      </c>
      <c r="E666" s="35"/>
      <c r="F666" s="35"/>
      <c r="G666" s="35"/>
      <c r="J666" s="38"/>
      <c r="K666" s="44"/>
      <c r="M666" s="41"/>
      <c r="N666" s="44"/>
      <c r="O666" s="35"/>
      <c r="P666" s="41"/>
      <c r="Q666" s="44"/>
    </row>
    <row r="667" spans="1:17" s="40" customFormat="1">
      <c r="A667" s="148" t="s">
        <v>629</v>
      </c>
      <c r="B667" s="148"/>
      <c r="C667" s="43"/>
      <c r="D667" s="35"/>
      <c r="E667" s="35"/>
      <c r="F667" s="35"/>
      <c r="G667" s="35"/>
      <c r="J667" s="38">
        <v>98</v>
      </c>
      <c r="K667" s="44" t="s">
        <v>204</v>
      </c>
      <c r="M667" s="41">
        <v>19.600000000000001</v>
      </c>
      <c r="N667" s="44" t="s">
        <v>274</v>
      </c>
      <c r="O667" s="35"/>
      <c r="P667" s="41">
        <v>19.899999999999999</v>
      </c>
      <c r="Q667" s="44" t="s">
        <v>274</v>
      </c>
    </row>
    <row r="668" spans="1:17" s="40" customFormat="1">
      <c r="A668" s="148" t="s">
        <v>630</v>
      </c>
      <c r="B668" s="148"/>
      <c r="C668" s="43"/>
      <c r="D668" s="35"/>
      <c r="E668" s="35"/>
      <c r="F668" s="35"/>
      <c r="G668" s="35"/>
      <c r="J668" s="38">
        <v>94</v>
      </c>
      <c r="K668" s="44" t="s">
        <v>204</v>
      </c>
      <c r="M668" s="41">
        <v>18.8</v>
      </c>
      <c r="N668" s="44" t="s">
        <v>274</v>
      </c>
      <c r="O668" s="35"/>
      <c r="P668" s="41">
        <v>19.100000000000001</v>
      </c>
      <c r="Q668" s="44" t="s">
        <v>274</v>
      </c>
    </row>
    <row r="669" spans="1:17" s="40" customFormat="1">
      <c r="A669" s="148" t="s">
        <v>631</v>
      </c>
      <c r="B669" s="148"/>
      <c r="C669" s="43"/>
      <c r="D669" s="35"/>
      <c r="E669" s="35"/>
      <c r="F669" s="35"/>
      <c r="G669" s="35"/>
      <c r="J669" s="38">
        <v>97</v>
      </c>
      <c r="K669" s="44" t="s">
        <v>204</v>
      </c>
      <c r="M669" s="41">
        <v>19.399999999999999</v>
      </c>
      <c r="N669" s="44" t="s">
        <v>274</v>
      </c>
      <c r="O669" s="35"/>
      <c r="P669" s="41">
        <v>19.7</v>
      </c>
      <c r="Q669" s="44" t="s">
        <v>274</v>
      </c>
    </row>
    <row r="670" spans="1:17" s="40" customFormat="1">
      <c r="A670" s="148" t="s">
        <v>632</v>
      </c>
      <c r="B670" s="148"/>
      <c r="C670" s="43"/>
      <c r="D670" s="35"/>
      <c r="E670" s="35"/>
      <c r="F670" s="35"/>
      <c r="G670" s="35"/>
      <c r="J670" s="38">
        <v>75</v>
      </c>
      <c r="K670" s="44" t="s">
        <v>204</v>
      </c>
      <c r="M670" s="41">
        <v>15</v>
      </c>
      <c r="N670" s="44" t="s">
        <v>274</v>
      </c>
      <c r="O670" s="35"/>
      <c r="P670" s="41">
        <v>15.3</v>
      </c>
      <c r="Q670" s="44" t="s">
        <v>274</v>
      </c>
    </row>
    <row r="671" spans="1:17" s="40" customFormat="1">
      <c r="A671" s="148" t="s">
        <v>633</v>
      </c>
      <c r="B671" s="148"/>
      <c r="C671" s="43"/>
      <c r="D671" s="35"/>
      <c r="E671" s="35"/>
      <c r="F671" s="35"/>
      <c r="G671" s="35"/>
      <c r="J671" s="38">
        <v>99</v>
      </c>
      <c r="K671" s="44" t="s">
        <v>204</v>
      </c>
      <c r="M671" s="41">
        <v>19.8</v>
      </c>
      <c r="N671" s="44" t="s">
        <v>274</v>
      </c>
      <c r="O671" s="35"/>
      <c r="P671" s="41">
        <v>20.100000000000001</v>
      </c>
      <c r="Q671" s="44" t="s">
        <v>274</v>
      </c>
    </row>
    <row r="672" spans="1:17" s="40" customFormat="1">
      <c r="A672" s="148" t="s">
        <v>634</v>
      </c>
      <c r="B672" s="148"/>
      <c r="C672" s="43"/>
      <c r="D672" s="35"/>
      <c r="E672" s="35"/>
      <c r="F672" s="35"/>
      <c r="G672" s="35"/>
      <c r="J672" s="38">
        <v>97</v>
      </c>
      <c r="K672" s="44" t="s">
        <v>204</v>
      </c>
      <c r="M672" s="41">
        <v>19.5</v>
      </c>
      <c r="N672" s="44" t="s">
        <v>274</v>
      </c>
      <c r="O672" s="35"/>
      <c r="P672" s="41">
        <v>19.8</v>
      </c>
      <c r="Q672" s="44" t="s">
        <v>274</v>
      </c>
    </row>
    <row r="673" spans="1:17" s="40" customFormat="1">
      <c r="A673" s="148" t="s">
        <v>635</v>
      </c>
      <c r="B673" s="148"/>
      <c r="C673" s="43"/>
      <c r="D673" s="35"/>
      <c r="E673" s="35"/>
      <c r="F673" s="35"/>
      <c r="G673" s="35"/>
      <c r="J673" s="38">
        <v>95</v>
      </c>
      <c r="K673" s="44" t="s">
        <v>204</v>
      </c>
      <c r="M673" s="41">
        <v>19.100000000000001</v>
      </c>
      <c r="N673" s="44" t="s">
        <v>274</v>
      </c>
      <c r="O673" s="35"/>
      <c r="P673" s="41">
        <v>19.399999999999999</v>
      </c>
      <c r="Q673" s="44" t="s">
        <v>274</v>
      </c>
    </row>
    <row r="674" spans="1:17" s="40" customFormat="1">
      <c r="A674" s="148" t="s">
        <v>636</v>
      </c>
      <c r="B674" s="148"/>
      <c r="C674" s="43"/>
      <c r="D674" s="35"/>
      <c r="E674" s="35"/>
      <c r="F674" s="35"/>
      <c r="G674" s="35"/>
      <c r="J674" s="38">
        <v>91</v>
      </c>
      <c r="K674" s="44" t="s">
        <v>204</v>
      </c>
      <c r="M674" s="41">
        <v>18.2</v>
      </c>
      <c r="N674" s="44" t="s">
        <v>274</v>
      </c>
      <c r="O674" s="35"/>
      <c r="P674" s="41">
        <v>18.5</v>
      </c>
      <c r="Q674" s="44" t="s">
        <v>274</v>
      </c>
    </row>
    <row r="675" spans="1:17" s="40" customFormat="1">
      <c r="A675" s="148" t="s">
        <v>637</v>
      </c>
      <c r="B675" s="148"/>
      <c r="C675" s="43"/>
      <c r="D675" s="35"/>
      <c r="E675" s="35"/>
      <c r="F675" s="35"/>
      <c r="G675" s="35"/>
      <c r="J675" s="38">
        <v>96</v>
      </c>
      <c r="K675" s="44" t="s">
        <v>204</v>
      </c>
      <c r="M675" s="41">
        <v>19.2</v>
      </c>
      <c r="N675" s="44" t="s">
        <v>274</v>
      </c>
      <c r="O675" s="35"/>
      <c r="P675" s="41">
        <v>19.5</v>
      </c>
      <c r="Q675" s="44" t="s">
        <v>274</v>
      </c>
    </row>
    <row r="676" spans="1:17" s="40" customFormat="1">
      <c r="A676" s="148" t="s">
        <v>638</v>
      </c>
      <c r="B676" s="148"/>
      <c r="C676" s="43"/>
      <c r="D676" s="35"/>
      <c r="E676" s="35"/>
      <c r="F676" s="35"/>
      <c r="G676" s="35"/>
      <c r="J676" s="38">
        <v>93</v>
      </c>
      <c r="K676" s="44" t="s">
        <v>204</v>
      </c>
      <c r="M676" s="41">
        <v>18.600000000000001</v>
      </c>
      <c r="N676" s="44" t="s">
        <v>274</v>
      </c>
      <c r="O676" s="35"/>
      <c r="P676" s="41">
        <v>18.899999999999999</v>
      </c>
      <c r="Q676" s="44" t="s">
        <v>274</v>
      </c>
    </row>
    <row r="677" spans="1:17" s="40" customFormat="1">
      <c r="A677" s="148"/>
      <c r="B677" s="148"/>
      <c r="C677" s="43"/>
      <c r="D677" s="35"/>
      <c r="E677" s="35"/>
      <c r="F677" s="35"/>
      <c r="G677" s="35"/>
      <c r="J677" s="38"/>
      <c r="K677" s="44"/>
      <c r="M677" s="41"/>
      <c r="N677" s="44"/>
      <c r="O677" s="35"/>
      <c r="P677" s="41"/>
      <c r="Q677" s="44"/>
    </row>
    <row r="678" spans="1:17" s="40" customFormat="1">
      <c r="A678" s="148"/>
      <c r="B678" s="148"/>
      <c r="C678" s="43"/>
      <c r="D678" s="35" t="s">
        <v>246</v>
      </c>
      <c r="E678" s="35"/>
      <c r="F678" s="35"/>
      <c r="G678" s="35"/>
      <c r="J678" s="38"/>
      <c r="K678" s="44"/>
      <c r="M678" s="41"/>
      <c r="N678" s="44"/>
      <c r="O678" s="35"/>
      <c r="P678" s="41"/>
      <c r="Q678" s="44"/>
    </row>
    <row r="679" spans="1:17" s="40" customFormat="1">
      <c r="A679" s="148"/>
      <c r="B679" s="148"/>
      <c r="C679" s="43"/>
      <c r="D679" s="35" t="s">
        <v>617</v>
      </c>
      <c r="E679" s="35"/>
      <c r="F679" s="35"/>
      <c r="G679" s="35"/>
      <c r="J679" s="38"/>
      <c r="K679" s="44"/>
      <c r="M679" s="41"/>
      <c r="N679" s="44"/>
      <c r="O679" s="35"/>
      <c r="P679" s="41"/>
      <c r="Q679" s="44"/>
    </row>
    <row r="680" spans="1:17" s="40" customFormat="1">
      <c r="A680" s="148" t="s">
        <v>639</v>
      </c>
      <c r="B680" s="148"/>
      <c r="C680" s="43"/>
      <c r="D680" s="35"/>
      <c r="E680" s="35"/>
      <c r="F680" s="35"/>
      <c r="G680" s="35"/>
      <c r="J680" s="38">
        <v>93</v>
      </c>
      <c r="K680" s="44" t="s">
        <v>204</v>
      </c>
      <c r="M680" s="41">
        <v>18.899999999999999</v>
      </c>
      <c r="N680" s="44" t="s">
        <v>274</v>
      </c>
      <c r="O680" s="35"/>
      <c r="P680" s="41">
        <v>19.2</v>
      </c>
      <c r="Q680" s="44" t="s">
        <v>274</v>
      </c>
    </row>
    <row r="681" spans="1:17" s="40" customFormat="1">
      <c r="A681" s="148" t="s">
        <v>640</v>
      </c>
      <c r="B681" s="148"/>
      <c r="C681" s="43"/>
      <c r="D681" s="35"/>
      <c r="E681" s="35"/>
      <c r="F681" s="35"/>
      <c r="G681" s="35"/>
      <c r="J681" s="38">
        <v>94</v>
      </c>
      <c r="K681" s="44" t="s">
        <v>204</v>
      </c>
      <c r="M681" s="41">
        <v>19.100000000000001</v>
      </c>
      <c r="N681" s="44" t="s">
        <v>274</v>
      </c>
      <c r="O681" s="35"/>
      <c r="P681" s="41">
        <v>19.399999999999999</v>
      </c>
      <c r="Q681" s="44" t="s">
        <v>274</v>
      </c>
    </row>
    <row r="682" spans="1:17" s="40" customFormat="1">
      <c r="A682" s="148" t="s">
        <v>641</v>
      </c>
      <c r="B682" s="148"/>
      <c r="C682" s="43"/>
      <c r="D682" s="35"/>
      <c r="E682" s="35"/>
      <c r="F682" s="35"/>
      <c r="G682" s="35"/>
      <c r="J682" s="38">
        <v>85</v>
      </c>
      <c r="K682" s="44" t="s">
        <v>204</v>
      </c>
      <c r="M682" s="41">
        <v>17.2</v>
      </c>
      <c r="N682" s="44" t="s">
        <v>274</v>
      </c>
      <c r="O682" s="35"/>
      <c r="P682" s="41">
        <v>17.5</v>
      </c>
      <c r="Q682" s="44" t="s">
        <v>274</v>
      </c>
    </row>
    <row r="683" spans="1:17" s="40" customFormat="1">
      <c r="A683" s="148" t="s">
        <v>642</v>
      </c>
      <c r="B683" s="148"/>
      <c r="C683" s="43"/>
      <c r="D683" s="35"/>
      <c r="E683" s="35"/>
      <c r="F683" s="35"/>
      <c r="G683" s="35"/>
      <c r="J683" s="38">
        <v>97</v>
      </c>
      <c r="K683" s="44" t="s">
        <v>204</v>
      </c>
      <c r="M683" s="41">
        <v>19.600000000000001</v>
      </c>
      <c r="N683" s="44" t="s">
        <v>274</v>
      </c>
      <c r="O683" s="35"/>
      <c r="P683" s="41">
        <v>19.899999999999999</v>
      </c>
      <c r="Q683" s="44" t="s">
        <v>274</v>
      </c>
    </row>
    <row r="684" spans="1:17" s="40" customFormat="1">
      <c r="A684" s="148" t="s">
        <v>643</v>
      </c>
      <c r="B684" s="148"/>
      <c r="C684" s="43"/>
      <c r="D684" s="35"/>
      <c r="E684" s="35"/>
      <c r="F684" s="35"/>
      <c r="G684" s="35"/>
      <c r="J684" s="38">
        <v>95</v>
      </c>
      <c r="K684" s="44" t="s">
        <v>204</v>
      </c>
      <c r="M684" s="41">
        <v>19.3</v>
      </c>
      <c r="N684" s="44" t="s">
        <v>274</v>
      </c>
      <c r="O684" s="35"/>
      <c r="P684" s="41">
        <v>19.600000000000001</v>
      </c>
      <c r="Q684" s="44" t="s">
        <v>274</v>
      </c>
    </row>
    <row r="685" spans="1:17" s="40" customFormat="1">
      <c r="A685" s="148" t="s">
        <v>644</v>
      </c>
      <c r="B685" s="148"/>
      <c r="C685" s="43"/>
      <c r="D685" s="35"/>
      <c r="E685" s="35"/>
      <c r="F685" s="35"/>
      <c r="G685" s="35"/>
      <c r="J685" s="38">
        <v>92</v>
      </c>
      <c r="K685" s="44" t="s">
        <v>204</v>
      </c>
      <c r="M685" s="41">
        <v>18.600000000000001</v>
      </c>
      <c r="N685" s="44" t="s">
        <v>274</v>
      </c>
      <c r="O685" s="35"/>
      <c r="P685" s="41">
        <v>18.899999999999999</v>
      </c>
      <c r="Q685" s="44" t="s">
        <v>274</v>
      </c>
    </row>
    <row r="686" spans="1:17" s="40" customFormat="1">
      <c r="A686" s="148" t="s">
        <v>645</v>
      </c>
      <c r="B686" s="148"/>
      <c r="C686" s="43"/>
      <c r="D686" s="35"/>
      <c r="E686" s="35"/>
      <c r="F686" s="35"/>
      <c r="G686" s="35"/>
      <c r="J686" s="38">
        <v>89</v>
      </c>
      <c r="K686" s="44" t="s">
        <v>204</v>
      </c>
      <c r="M686" s="41">
        <v>18</v>
      </c>
      <c r="N686" s="44" t="s">
        <v>274</v>
      </c>
      <c r="O686" s="35"/>
      <c r="P686" s="41">
        <v>18.3</v>
      </c>
      <c r="Q686" s="44" t="s">
        <v>274</v>
      </c>
    </row>
    <row r="687" spans="1:17" s="40" customFormat="1">
      <c r="A687" s="148"/>
      <c r="B687" s="148"/>
      <c r="C687" s="43"/>
      <c r="D687" s="35"/>
      <c r="E687" s="35"/>
      <c r="F687" s="35"/>
      <c r="G687" s="35"/>
      <c r="J687" s="38"/>
      <c r="K687" s="44"/>
      <c r="M687" s="41"/>
      <c r="N687" s="44"/>
      <c r="O687" s="35"/>
      <c r="P687" s="41"/>
      <c r="Q687" s="44"/>
    </row>
    <row r="688" spans="1:17" s="40" customFormat="1">
      <c r="A688" s="148"/>
      <c r="B688" s="148"/>
      <c r="C688" s="43"/>
      <c r="D688" s="35" t="s">
        <v>260</v>
      </c>
      <c r="E688" s="35"/>
      <c r="F688" s="35"/>
      <c r="G688" s="35"/>
      <c r="J688" s="38"/>
      <c r="K688" s="44"/>
      <c r="M688" s="41"/>
      <c r="N688" s="44"/>
      <c r="O688" s="35"/>
      <c r="P688" s="41"/>
      <c r="Q688" s="44"/>
    </row>
    <row r="689" spans="1:17" s="40" customFormat="1">
      <c r="A689" s="148"/>
      <c r="B689" s="148"/>
      <c r="C689" s="43"/>
      <c r="D689" s="35" t="s">
        <v>617</v>
      </c>
      <c r="E689" s="35"/>
      <c r="F689" s="35"/>
      <c r="G689" s="35"/>
      <c r="J689" s="38"/>
      <c r="K689" s="44"/>
      <c r="M689" s="41"/>
      <c r="N689" s="44"/>
      <c r="O689" s="35"/>
      <c r="P689" s="41"/>
      <c r="Q689" s="44"/>
    </row>
    <row r="690" spans="1:17" s="40" customFormat="1">
      <c r="A690" s="148" t="s">
        <v>646</v>
      </c>
      <c r="B690" s="148"/>
      <c r="C690" s="43"/>
      <c r="D690" s="35"/>
      <c r="E690" s="35"/>
      <c r="F690" s="35"/>
      <c r="G690" s="35"/>
      <c r="J690" s="38">
        <v>97</v>
      </c>
      <c r="K690" s="44" t="s">
        <v>204</v>
      </c>
      <c r="M690" s="41">
        <v>19.899999999999999</v>
      </c>
      <c r="N690" s="44" t="s">
        <v>274</v>
      </c>
      <c r="O690" s="35"/>
      <c r="P690" s="41">
        <v>20.2</v>
      </c>
      <c r="Q690" s="44" t="s">
        <v>274</v>
      </c>
    </row>
    <row r="691" spans="1:17" s="40" customFormat="1">
      <c r="A691" s="148" t="s">
        <v>647</v>
      </c>
      <c r="B691" s="148"/>
      <c r="C691" s="43"/>
      <c r="D691" s="35"/>
      <c r="E691" s="35"/>
      <c r="F691" s="35"/>
      <c r="G691" s="35"/>
      <c r="J691" s="38">
        <v>95</v>
      </c>
      <c r="K691" s="44" t="s">
        <v>204</v>
      </c>
      <c r="M691" s="41">
        <v>19.5</v>
      </c>
      <c r="N691" s="44" t="s">
        <v>274</v>
      </c>
      <c r="O691" s="35"/>
      <c r="P691" s="41">
        <v>19.8</v>
      </c>
      <c r="Q691" s="44" t="s">
        <v>274</v>
      </c>
    </row>
    <row r="692" spans="1:17" s="40" customFormat="1">
      <c r="A692" s="148" t="s">
        <v>648</v>
      </c>
      <c r="B692" s="148"/>
      <c r="C692" s="43"/>
      <c r="D692" s="35"/>
      <c r="E692" s="35"/>
      <c r="F692" s="35"/>
      <c r="G692" s="35"/>
      <c r="J692" s="38">
        <v>83</v>
      </c>
      <c r="K692" s="44" t="s">
        <v>204</v>
      </c>
      <c r="M692" s="41">
        <v>16.899999999999999</v>
      </c>
      <c r="N692" s="44" t="s">
        <v>274</v>
      </c>
      <c r="O692" s="35"/>
      <c r="P692" s="41">
        <v>17.2</v>
      </c>
      <c r="Q692" s="44" t="s">
        <v>274</v>
      </c>
    </row>
    <row r="693" spans="1:17" s="40" customFormat="1">
      <c r="A693" s="148" t="s">
        <v>649</v>
      </c>
      <c r="B693" s="148"/>
      <c r="C693" s="43"/>
      <c r="D693" s="35"/>
      <c r="E693" s="35"/>
      <c r="F693" s="35"/>
      <c r="G693" s="35"/>
      <c r="J693" s="38">
        <v>97</v>
      </c>
      <c r="K693" s="44" t="s">
        <v>204</v>
      </c>
      <c r="M693" s="41">
        <v>19.899999999999999</v>
      </c>
      <c r="N693" s="44" t="s">
        <v>274</v>
      </c>
      <c r="O693" s="35"/>
      <c r="P693" s="41">
        <v>20.2</v>
      </c>
      <c r="Q693" s="44" t="s">
        <v>274</v>
      </c>
    </row>
    <row r="694" spans="1:17" s="40" customFormat="1">
      <c r="A694" s="148" t="s">
        <v>650</v>
      </c>
      <c r="B694" s="148"/>
      <c r="C694" s="43"/>
      <c r="D694" s="35"/>
      <c r="E694" s="35"/>
      <c r="F694" s="35"/>
      <c r="G694" s="35"/>
      <c r="J694" s="38">
        <v>95</v>
      </c>
      <c r="K694" s="44" t="s">
        <v>204</v>
      </c>
      <c r="M694" s="41">
        <v>19.3</v>
      </c>
      <c r="N694" s="44" t="s">
        <v>274</v>
      </c>
      <c r="O694" s="35"/>
      <c r="P694" s="41">
        <v>19.600000000000001</v>
      </c>
      <c r="Q694" s="44" t="s">
        <v>274</v>
      </c>
    </row>
    <row r="695" spans="1:17" s="40" customFormat="1">
      <c r="A695" s="148" t="s">
        <v>651</v>
      </c>
      <c r="B695" s="148"/>
      <c r="C695" s="43"/>
      <c r="D695" s="35"/>
      <c r="E695" s="35"/>
      <c r="F695" s="35"/>
      <c r="G695" s="35"/>
      <c r="J695" s="38">
        <v>92</v>
      </c>
      <c r="K695" s="44" t="s">
        <v>204</v>
      </c>
      <c r="M695" s="41">
        <v>18.8</v>
      </c>
      <c r="N695" s="44" t="s">
        <v>274</v>
      </c>
      <c r="O695" s="35"/>
      <c r="P695" s="41">
        <v>19.100000000000001</v>
      </c>
      <c r="Q695" s="44" t="s">
        <v>274</v>
      </c>
    </row>
    <row r="696" spans="1:17" s="40" customFormat="1">
      <c r="A696" s="148" t="s">
        <v>652</v>
      </c>
      <c r="B696" s="148"/>
      <c r="C696" s="43"/>
      <c r="D696" s="35"/>
      <c r="E696" s="35"/>
      <c r="F696" s="35"/>
      <c r="G696" s="35"/>
      <c r="J696" s="38">
        <v>98</v>
      </c>
      <c r="K696" s="44" t="s">
        <v>204</v>
      </c>
      <c r="M696" s="41">
        <v>20</v>
      </c>
      <c r="N696" s="44" t="s">
        <v>274</v>
      </c>
      <c r="O696" s="35"/>
      <c r="P696" s="41">
        <v>20.3</v>
      </c>
      <c r="Q696" s="44" t="s">
        <v>274</v>
      </c>
    </row>
    <row r="697" spans="1:17" s="40" customFormat="1">
      <c r="A697" s="148" t="s">
        <v>653</v>
      </c>
      <c r="B697" s="148"/>
      <c r="C697" s="43"/>
      <c r="D697" s="35"/>
      <c r="E697" s="35"/>
      <c r="F697" s="35"/>
      <c r="G697" s="35"/>
      <c r="J697" s="38">
        <v>97</v>
      </c>
      <c r="K697" s="44" t="s">
        <v>204</v>
      </c>
      <c r="M697" s="41">
        <v>19.899999999999999</v>
      </c>
      <c r="N697" s="44" t="s">
        <v>274</v>
      </c>
      <c r="O697" s="35"/>
      <c r="P697" s="41">
        <v>20.2</v>
      </c>
      <c r="Q697" s="44" t="s">
        <v>274</v>
      </c>
    </row>
    <row r="698" spans="1:17" s="40" customFormat="1">
      <c r="A698" s="148" t="s">
        <v>654</v>
      </c>
      <c r="B698" s="148"/>
      <c r="C698" s="43"/>
      <c r="D698" s="35"/>
      <c r="E698" s="35"/>
      <c r="F698" s="35"/>
      <c r="G698" s="35"/>
      <c r="J698" s="38">
        <v>97</v>
      </c>
      <c r="K698" s="44" t="s">
        <v>204</v>
      </c>
      <c r="M698" s="41">
        <v>19.899999999999999</v>
      </c>
      <c r="N698" s="44" t="s">
        <v>274</v>
      </c>
      <c r="O698" s="35"/>
      <c r="P698" s="41">
        <v>20.2</v>
      </c>
      <c r="Q698" s="44" t="s">
        <v>274</v>
      </c>
    </row>
    <row r="699" spans="1:17" s="40" customFormat="1">
      <c r="A699" s="148" t="s">
        <v>655</v>
      </c>
      <c r="B699" s="148"/>
      <c r="C699" s="43"/>
      <c r="D699" s="35"/>
      <c r="E699" s="35"/>
      <c r="F699" s="35"/>
      <c r="G699" s="35"/>
      <c r="J699" s="38">
        <v>92</v>
      </c>
      <c r="K699" s="44" t="s">
        <v>204</v>
      </c>
      <c r="M699" s="41">
        <v>18.7</v>
      </c>
      <c r="N699" s="44" t="s">
        <v>274</v>
      </c>
      <c r="O699" s="35"/>
      <c r="P699" s="41">
        <v>19</v>
      </c>
      <c r="Q699" s="44" t="s">
        <v>274</v>
      </c>
    </row>
    <row r="700" spans="1:17" s="40" customFormat="1">
      <c r="A700" s="148" t="s">
        <v>656</v>
      </c>
      <c r="B700" s="148"/>
      <c r="C700" s="43"/>
      <c r="D700" s="35"/>
      <c r="E700" s="35"/>
      <c r="F700" s="35"/>
      <c r="G700" s="35"/>
      <c r="J700" s="38">
        <v>86</v>
      </c>
      <c r="K700" s="44" t="s">
        <v>204</v>
      </c>
      <c r="M700" s="41">
        <v>17.399999999999999</v>
      </c>
      <c r="N700" s="44" t="s">
        <v>274</v>
      </c>
      <c r="O700" s="35"/>
      <c r="P700" s="41">
        <v>17.7</v>
      </c>
      <c r="Q700" s="44" t="s">
        <v>274</v>
      </c>
    </row>
    <row r="701" spans="1:17" s="40" customFormat="1">
      <c r="A701" s="148"/>
      <c r="B701" s="148"/>
      <c r="C701" s="43"/>
      <c r="D701" s="35"/>
      <c r="E701" s="35"/>
      <c r="F701" s="35"/>
      <c r="G701" s="35"/>
      <c r="J701" s="38"/>
      <c r="K701" s="44"/>
      <c r="M701" s="41"/>
      <c r="N701" s="44"/>
      <c r="O701" s="35"/>
      <c r="P701" s="41"/>
      <c r="Q701" s="44"/>
    </row>
    <row r="702" spans="1:17" s="40" customFormat="1">
      <c r="A702" s="148"/>
      <c r="B702" s="148"/>
      <c r="C702" s="43"/>
      <c r="D702" s="42" t="s">
        <v>210</v>
      </c>
      <c r="E702" s="35"/>
      <c r="F702" s="35"/>
      <c r="G702" s="35"/>
      <c r="J702" s="38"/>
      <c r="K702" s="44"/>
      <c r="M702" s="41"/>
      <c r="N702" s="44"/>
      <c r="O702" s="35"/>
      <c r="P702" s="41"/>
      <c r="Q702" s="44"/>
    </row>
    <row r="703" spans="1:17" s="40" customFormat="1">
      <c r="A703" s="148"/>
      <c r="B703" s="148"/>
      <c r="C703" s="43"/>
      <c r="D703" s="35" t="s">
        <v>219</v>
      </c>
      <c r="E703" s="35"/>
      <c r="F703" s="35"/>
      <c r="G703" s="35"/>
      <c r="J703" s="38"/>
      <c r="K703" s="44"/>
      <c r="M703" s="41"/>
      <c r="N703" s="44"/>
      <c r="O703" s="35"/>
      <c r="P703" s="41"/>
      <c r="Q703" s="44"/>
    </row>
    <row r="704" spans="1:17" s="40" customFormat="1">
      <c r="A704" s="148"/>
      <c r="B704" s="148"/>
      <c r="C704" s="43"/>
      <c r="D704" s="35" t="s">
        <v>617</v>
      </c>
      <c r="E704" s="35"/>
      <c r="F704" s="35"/>
      <c r="G704" s="35"/>
      <c r="J704" s="38"/>
      <c r="K704" s="44"/>
      <c r="M704" s="41"/>
      <c r="N704" s="44"/>
      <c r="O704" s="35"/>
      <c r="P704" s="41"/>
      <c r="Q704" s="44"/>
    </row>
    <row r="705" spans="1:17" s="40" customFormat="1">
      <c r="A705" s="148" t="s">
        <v>657</v>
      </c>
      <c r="B705" s="148"/>
      <c r="C705" s="43"/>
      <c r="D705" s="35"/>
      <c r="E705" s="35"/>
      <c r="F705" s="35"/>
      <c r="G705" s="35"/>
      <c r="J705" s="38">
        <v>5</v>
      </c>
      <c r="K705" s="44" t="s">
        <v>204</v>
      </c>
      <c r="M705" s="41">
        <v>1.1000000000000001</v>
      </c>
      <c r="N705" s="44" t="s">
        <v>274</v>
      </c>
      <c r="O705" s="35"/>
      <c r="P705" s="41">
        <v>1.4</v>
      </c>
      <c r="Q705" s="44" t="s">
        <v>274</v>
      </c>
    </row>
    <row r="706" spans="1:17" s="40" customFormat="1">
      <c r="A706" s="148"/>
      <c r="B706" s="148"/>
      <c r="C706" s="43"/>
      <c r="D706" s="35"/>
      <c r="E706" s="35"/>
      <c r="F706" s="35"/>
      <c r="G706" s="35"/>
      <c r="J706" s="38"/>
      <c r="K706" s="44"/>
      <c r="M706" s="41"/>
      <c r="N706" s="44"/>
      <c r="O706" s="35"/>
      <c r="P706" s="41"/>
      <c r="Q706" s="44"/>
    </row>
    <row r="707" spans="1:17" s="40" customFormat="1">
      <c r="A707" s="148"/>
      <c r="B707" s="148"/>
      <c r="C707" s="43"/>
      <c r="D707" s="35" t="s">
        <v>259</v>
      </c>
      <c r="E707" s="35"/>
      <c r="F707" s="35"/>
      <c r="G707" s="35"/>
      <c r="J707" s="38"/>
      <c r="K707" s="44"/>
      <c r="M707" s="41"/>
      <c r="N707" s="44"/>
      <c r="O707" s="35"/>
      <c r="P707" s="41"/>
      <c r="Q707" s="44"/>
    </row>
    <row r="708" spans="1:17" s="40" customFormat="1">
      <c r="A708" s="148"/>
      <c r="B708" s="148"/>
      <c r="C708" s="43"/>
      <c r="D708" s="35" t="s">
        <v>617</v>
      </c>
      <c r="E708" s="35"/>
      <c r="F708" s="35"/>
      <c r="G708" s="35"/>
      <c r="J708" s="38"/>
      <c r="K708" s="44"/>
      <c r="M708" s="41"/>
      <c r="N708" s="44"/>
      <c r="O708" s="35"/>
      <c r="P708" s="41"/>
      <c r="Q708" s="44"/>
    </row>
    <row r="709" spans="1:17" s="40" customFormat="1">
      <c r="A709" s="148" t="s">
        <v>658</v>
      </c>
      <c r="B709" s="148"/>
      <c r="C709" s="43"/>
      <c r="D709" s="35"/>
      <c r="E709" s="35"/>
      <c r="F709" s="35"/>
      <c r="G709" s="35"/>
      <c r="J709" s="38">
        <v>5</v>
      </c>
      <c r="K709" s="44" t="s">
        <v>204</v>
      </c>
      <c r="M709" s="41">
        <v>1.1000000000000001</v>
      </c>
      <c r="N709" s="44" t="s">
        <v>274</v>
      </c>
      <c r="O709" s="35"/>
      <c r="P709" s="41">
        <v>1.4</v>
      </c>
      <c r="Q709" s="44" t="s">
        <v>274</v>
      </c>
    </row>
    <row r="710" spans="1:17" s="40" customFormat="1">
      <c r="A710" s="148"/>
      <c r="B710" s="148"/>
      <c r="C710" s="43"/>
      <c r="D710" s="35"/>
      <c r="E710" s="35"/>
      <c r="F710" s="35"/>
      <c r="G710" s="35"/>
      <c r="J710" s="38"/>
      <c r="K710" s="44"/>
      <c r="M710" s="41"/>
      <c r="N710" s="44"/>
      <c r="O710" s="35"/>
      <c r="P710" s="41"/>
      <c r="Q710" s="44"/>
    </row>
    <row r="711" spans="1:17" s="40" customFormat="1">
      <c r="A711" s="148"/>
      <c r="B711" s="148"/>
      <c r="C711" s="43"/>
      <c r="D711" s="35" t="s">
        <v>246</v>
      </c>
      <c r="E711" s="35"/>
      <c r="F711" s="35"/>
      <c r="G711" s="35"/>
      <c r="J711" s="38"/>
      <c r="K711" s="44"/>
      <c r="M711" s="41"/>
      <c r="N711" s="44"/>
      <c r="O711" s="35"/>
      <c r="P711" s="41"/>
      <c r="Q711" s="44"/>
    </row>
    <row r="712" spans="1:17" s="40" customFormat="1">
      <c r="A712" s="148"/>
      <c r="B712" s="148"/>
      <c r="C712" s="43"/>
      <c r="D712" s="35" t="s">
        <v>617</v>
      </c>
      <c r="E712" s="35"/>
      <c r="F712" s="35"/>
      <c r="G712" s="35"/>
      <c r="J712" s="38"/>
      <c r="K712" s="44"/>
      <c r="M712" s="41"/>
      <c r="N712" s="44"/>
      <c r="O712" s="35"/>
      <c r="P712" s="41"/>
      <c r="Q712" s="44"/>
    </row>
    <row r="713" spans="1:17" s="40" customFormat="1">
      <c r="A713" s="148" t="s">
        <v>659</v>
      </c>
      <c r="B713" s="148"/>
      <c r="C713" s="43"/>
      <c r="D713" s="35"/>
      <c r="E713" s="35"/>
      <c r="F713" s="35"/>
      <c r="G713" s="35"/>
      <c r="J713" s="38">
        <v>5</v>
      </c>
      <c r="K713" s="44" t="s">
        <v>204</v>
      </c>
      <c r="M713" s="41">
        <v>1.1000000000000001</v>
      </c>
      <c r="N713" s="44" t="s">
        <v>274</v>
      </c>
      <c r="O713" s="35"/>
      <c r="P713" s="41">
        <v>1.4</v>
      </c>
      <c r="Q713" s="44" t="s">
        <v>274</v>
      </c>
    </row>
    <row r="714" spans="1:17" s="40" customFormat="1">
      <c r="A714" s="148"/>
      <c r="B714" s="148"/>
      <c r="C714" s="43"/>
      <c r="D714" s="35"/>
      <c r="E714" s="35"/>
      <c r="F714" s="35"/>
      <c r="G714" s="35"/>
      <c r="J714" s="38"/>
      <c r="K714" s="44"/>
      <c r="M714" s="41"/>
      <c r="N714" s="44"/>
      <c r="O714" s="35"/>
      <c r="P714" s="41"/>
      <c r="Q714" s="44"/>
    </row>
    <row r="715" spans="1:17" s="40" customFormat="1">
      <c r="A715" s="148"/>
      <c r="B715" s="148"/>
      <c r="C715" s="43"/>
      <c r="D715" s="35" t="s">
        <v>260</v>
      </c>
      <c r="E715" s="35"/>
      <c r="F715" s="35"/>
      <c r="G715" s="35"/>
      <c r="J715" s="38"/>
      <c r="K715" s="44"/>
      <c r="M715" s="41"/>
      <c r="N715" s="44"/>
      <c r="O715" s="35"/>
      <c r="P715" s="41"/>
      <c r="Q715" s="44"/>
    </row>
    <row r="716" spans="1:17" s="40" customFormat="1">
      <c r="A716" s="148"/>
      <c r="B716" s="148"/>
      <c r="C716" s="43"/>
      <c r="D716" s="35" t="s">
        <v>617</v>
      </c>
      <c r="E716" s="35"/>
      <c r="F716" s="35"/>
      <c r="G716" s="35"/>
      <c r="J716" s="38"/>
      <c r="K716" s="44"/>
      <c r="M716" s="41"/>
      <c r="N716" s="44"/>
      <c r="O716" s="35"/>
      <c r="P716" s="41"/>
      <c r="Q716" s="44"/>
    </row>
    <row r="717" spans="1:17" s="40" customFormat="1">
      <c r="A717" s="148" t="s">
        <v>660</v>
      </c>
      <c r="B717" s="148"/>
      <c r="C717" s="43"/>
      <c r="D717" s="35"/>
      <c r="E717" s="35"/>
      <c r="F717" s="35"/>
      <c r="G717" s="35"/>
      <c r="J717" s="38">
        <v>5</v>
      </c>
      <c r="K717" s="44" t="s">
        <v>204</v>
      </c>
      <c r="M717" s="41">
        <v>1.1000000000000001</v>
      </c>
      <c r="N717" s="44" t="s">
        <v>274</v>
      </c>
      <c r="O717" s="35"/>
      <c r="P717" s="41">
        <v>1.4</v>
      </c>
      <c r="Q717" s="44" t="s">
        <v>274</v>
      </c>
    </row>
    <row r="718" spans="1:17" s="40" customFormat="1">
      <c r="A718" s="148"/>
      <c r="B718" s="148"/>
      <c r="C718" s="43"/>
      <c r="D718" s="35"/>
      <c r="E718" s="35"/>
      <c r="F718" s="35"/>
      <c r="G718" s="35"/>
      <c r="J718" s="38"/>
      <c r="K718" s="44"/>
      <c r="M718" s="41"/>
      <c r="N718" s="44"/>
      <c r="O718" s="35"/>
      <c r="P718" s="41"/>
      <c r="Q718" s="44"/>
    </row>
    <row r="719" spans="1:17" s="40" customFormat="1">
      <c r="A719" s="148"/>
      <c r="B719" s="148"/>
      <c r="C719" s="43"/>
      <c r="D719" s="35" t="s">
        <v>261</v>
      </c>
      <c r="E719" s="35"/>
      <c r="F719" s="35"/>
      <c r="G719" s="35"/>
      <c r="J719" s="38"/>
      <c r="K719" s="44"/>
      <c r="M719" s="41"/>
      <c r="N719" s="44"/>
      <c r="O719" s="35"/>
      <c r="P719" s="41"/>
      <c r="Q719" s="44"/>
    </row>
    <row r="720" spans="1:17" s="40" customFormat="1">
      <c r="A720" s="148"/>
      <c r="B720" s="148"/>
      <c r="C720" s="43"/>
      <c r="D720" s="35" t="s">
        <v>257</v>
      </c>
      <c r="E720" s="35"/>
      <c r="F720" s="35"/>
      <c r="G720" s="35"/>
      <c r="J720" s="38"/>
      <c r="K720" s="44"/>
      <c r="M720" s="41"/>
      <c r="N720" s="44"/>
      <c r="O720" s="35"/>
      <c r="P720" s="41"/>
      <c r="Q720" s="44"/>
    </row>
    <row r="721" spans="1:17" s="40" customFormat="1">
      <c r="A721" s="148"/>
      <c r="B721" s="148"/>
      <c r="C721" s="43"/>
      <c r="D721" s="35" t="s">
        <v>258</v>
      </c>
      <c r="E721" s="35"/>
      <c r="F721" s="35"/>
      <c r="G721" s="35"/>
      <c r="J721" s="38"/>
      <c r="K721" s="44"/>
      <c r="M721" s="41"/>
      <c r="N721" s="44"/>
      <c r="O721" s="35"/>
      <c r="P721" s="41"/>
      <c r="Q721" s="44"/>
    </row>
    <row r="722" spans="1:17" s="40" customFormat="1">
      <c r="A722" s="148"/>
      <c r="B722" s="148"/>
      <c r="C722" s="43"/>
      <c r="D722" s="35" t="s">
        <v>239</v>
      </c>
      <c r="E722" s="35"/>
      <c r="F722" s="35"/>
      <c r="G722" s="35"/>
      <c r="J722" s="38"/>
      <c r="K722" s="44"/>
      <c r="M722" s="41"/>
      <c r="N722" s="44"/>
      <c r="O722" s="35"/>
      <c r="P722" s="41"/>
      <c r="Q722" s="44"/>
    </row>
    <row r="723" spans="1:17" s="40" customFormat="1">
      <c r="A723" s="148"/>
      <c r="B723" s="148"/>
      <c r="C723" s="43"/>
      <c r="D723" s="35" t="s">
        <v>661</v>
      </c>
      <c r="E723" s="35"/>
      <c r="F723" s="35"/>
      <c r="G723" s="35"/>
      <c r="J723" s="38"/>
      <c r="K723" s="44"/>
      <c r="M723" s="41"/>
      <c r="N723" s="44"/>
      <c r="O723" s="35"/>
      <c r="P723" s="41"/>
      <c r="Q723" s="44"/>
    </row>
    <row r="724" spans="1:17" s="40" customFormat="1">
      <c r="A724" s="148" t="s">
        <v>662</v>
      </c>
      <c r="B724" s="148"/>
      <c r="C724" s="43"/>
      <c r="D724" s="35"/>
      <c r="E724" s="35"/>
      <c r="F724" s="35"/>
      <c r="G724" s="35"/>
      <c r="J724" s="38">
        <v>89</v>
      </c>
      <c r="K724" s="44" t="s">
        <v>204</v>
      </c>
      <c r="M724" s="41">
        <v>18.5</v>
      </c>
      <c r="N724" s="44" t="s">
        <v>274</v>
      </c>
      <c r="O724" s="35"/>
      <c r="P724" s="41">
        <v>18.8</v>
      </c>
      <c r="Q724" s="44" t="s">
        <v>274</v>
      </c>
    </row>
    <row r="725" spans="1:17" s="40" customFormat="1">
      <c r="A725" s="148" t="s">
        <v>663</v>
      </c>
      <c r="B725" s="148"/>
      <c r="C725" s="43"/>
      <c r="D725" s="35"/>
      <c r="E725" s="35"/>
      <c r="F725" s="35"/>
      <c r="G725" s="35"/>
      <c r="J725" s="38">
        <v>84</v>
      </c>
      <c r="K725" s="44" t="s">
        <v>204</v>
      </c>
      <c r="M725" s="41">
        <v>17.399999999999999</v>
      </c>
      <c r="N725" s="44" t="s">
        <v>274</v>
      </c>
      <c r="O725" s="35"/>
      <c r="P725" s="41">
        <v>17.7</v>
      </c>
      <c r="Q725" s="44" t="s">
        <v>274</v>
      </c>
    </row>
    <row r="726" spans="1:17" s="40" customFormat="1">
      <c r="A726" s="148" t="s">
        <v>664</v>
      </c>
      <c r="B726" s="148"/>
      <c r="C726" s="43"/>
      <c r="D726" s="35"/>
      <c r="E726" s="35"/>
      <c r="F726" s="35"/>
      <c r="G726" s="35"/>
      <c r="J726" s="38">
        <v>90</v>
      </c>
      <c r="K726" s="44" t="s">
        <v>204</v>
      </c>
      <c r="M726" s="41">
        <v>18.7</v>
      </c>
      <c r="N726" s="44" t="s">
        <v>274</v>
      </c>
      <c r="O726" s="35"/>
      <c r="P726" s="41">
        <v>19</v>
      </c>
      <c r="Q726" s="44" t="s">
        <v>274</v>
      </c>
    </row>
    <row r="727" spans="1:17" s="40" customFormat="1">
      <c r="A727" s="148" t="s">
        <v>665</v>
      </c>
      <c r="B727" s="148"/>
      <c r="C727" s="43"/>
      <c r="D727" s="35"/>
      <c r="E727" s="35"/>
      <c r="F727" s="35"/>
      <c r="G727" s="35"/>
      <c r="J727" s="38">
        <v>90</v>
      </c>
      <c r="K727" s="44" t="s">
        <v>204</v>
      </c>
      <c r="M727" s="41">
        <v>18.8</v>
      </c>
      <c r="N727" s="44" t="s">
        <v>274</v>
      </c>
      <c r="O727" s="35"/>
      <c r="P727" s="41">
        <v>19.100000000000001</v>
      </c>
      <c r="Q727" s="44" t="s">
        <v>274</v>
      </c>
    </row>
    <row r="728" spans="1:17" s="40" customFormat="1">
      <c r="A728" s="148" t="s">
        <v>666</v>
      </c>
      <c r="B728" s="148"/>
      <c r="C728" s="43"/>
      <c r="D728" s="35"/>
      <c r="E728" s="35"/>
      <c r="F728" s="35"/>
      <c r="G728" s="35"/>
      <c r="J728" s="38">
        <v>87</v>
      </c>
      <c r="K728" s="44" t="s">
        <v>204</v>
      </c>
      <c r="M728" s="41">
        <v>18.100000000000001</v>
      </c>
      <c r="N728" s="44" t="s">
        <v>274</v>
      </c>
      <c r="O728" s="35"/>
      <c r="P728" s="41">
        <v>18.399999999999999</v>
      </c>
      <c r="Q728" s="44" t="s">
        <v>274</v>
      </c>
    </row>
    <row r="729" spans="1:17" s="40" customFormat="1">
      <c r="A729" s="148" t="s">
        <v>667</v>
      </c>
      <c r="B729" s="148"/>
      <c r="C729" s="43"/>
      <c r="D729" s="35"/>
      <c r="E729" s="35"/>
      <c r="F729" s="35"/>
      <c r="G729" s="35"/>
      <c r="J729" s="38">
        <v>86</v>
      </c>
      <c r="K729" s="44" t="s">
        <v>204</v>
      </c>
      <c r="M729" s="41">
        <v>17.899999999999999</v>
      </c>
      <c r="N729" s="44" t="s">
        <v>274</v>
      </c>
      <c r="O729" s="35"/>
      <c r="P729" s="41">
        <v>18.2</v>
      </c>
      <c r="Q729" s="44" t="s">
        <v>274</v>
      </c>
    </row>
    <row r="730" spans="1:17" s="40" customFormat="1">
      <c r="A730" s="148" t="s">
        <v>668</v>
      </c>
      <c r="B730" s="148"/>
      <c r="C730" s="43"/>
      <c r="D730" s="35"/>
      <c r="E730" s="35"/>
      <c r="F730" s="35"/>
      <c r="G730" s="35"/>
      <c r="J730" s="38">
        <v>76</v>
      </c>
      <c r="K730" s="44" t="s">
        <v>204</v>
      </c>
      <c r="M730" s="41">
        <v>15.9</v>
      </c>
      <c r="N730" s="44" t="s">
        <v>274</v>
      </c>
      <c r="O730" s="35"/>
      <c r="P730" s="41">
        <v>16.2</v>
      </c>
      <c r="Q730" s="44" t="s">
        <v>274</v>
      </c>
    </row>
    <row r="731" spans="1:17" s="40" customFormat="1">
      <c r="A731" s="148"/>
      <c r="B731" s="148"/>
      <c r="C731" s="43"/>
      <c r="D731" s="35"/>
      <c r="E731" s="35"/>
      <c r="F731" s="35"/>
      <c r="G731" s="35"/>
      <c r="J731" s="38"/>
      <c r="K731" s="44"/>
      <c r="M731" s="41"/>
      <c r="N731" s="44"/>
      <c r="O731" s="35"/>
      <c r="P731" s="41"/>
      <c r="Q731" s="44"/>
    </row>
    <row r="732" spans="1:17" s="40" customFormat="1">
      <c r="A732" s="148"/>
      <c r="B732" s="148"/>
      <c r="C732" s="43"/>
      <c r="D732" s="42" t="s">
        <v>210</v>
      </c>
      <c r="E732" s="35"/>
      <c r="F732" s="35"/>
      <c r="G732" s="35"/>
      <c r="J732" s="38"/>
      <c r="K732" s="44"/>
      <c r="M732" s="41"/>
      <c r="N732" s="44"/>
      <c r="O732" s="35"/>
      <c r="P732" s="41"/>
      <c r="Q732" s="44"/>
    </row>
    <row r="733" spans="1:17" s="40" customFormat="1">
      <c r="A733" s="148"/>
      <c r="B733" s="148"/>
      <c r="C733" s="43"/>
      <c r="D733" s="35" t="s">
        <v>239</v>
      </c>
      <c r="E733" s="35"/>
      <c r="F733" s="35"/>
      <c r="G733" s="35"/>
      <c r="J733" s="38"/>
      <c r="K733" s="44"/>
      <c r="M733" s="41"/>
      <c r="N733" s="44"/>
      <c r="O733" s="35"/>
      <c r="P733" s="41"/>
      <c r="Q733" s="44"/>
    </row>
    <row r="734" spans="1:17" s="40" customFormat="1">
      <c r="A734" s="148"/>
      <c r="B734" s="148"/>
      <c r="C734" s="43"/>
      <c r="D734" s="35" t="s">
        <v>661</v>
      </c>
      <c r="E734" s="35"/>
      <c r="F734" s="35"/>
      <c r="G734" s="35"/>
      <c r="J734" s="38"/>
      <c r="K734" s="44"/>
      <c r="M734" s="41"/>
      <c r="N734" s="44"/>
      <c r="O734" s="35"/>
      <c r="P734" s="41"/>
      <c r="Q734" s="44"/>
    </row>
    <row r="735" spans="1:17" s="40" customFormat="1">
      <c r="A735" s="148" t="s">
        <v>669</v>
      </c>
      <c r="B735" s="148"/>
      <c r="C735" s="43"/>
      <c r="D735" s="35"/>
      <c r="E735" s="35"/>
      <c r="F735" s="35"/>
      <c r="G735" s="35"/>
      <c r="J735" s="38">
        <v>10</v>
      </c>
      <c r="K735" s="44" t="s">
        <v>204</v>
      </c>
      <c r="M735" s="41">
        <v>2</v>
      </c>
      <c r="N735" s="44" t="s">
        <v>274</v>
      </c>
      <c r="O735" s="35"/>
      <c r="P735" s="41">
        <v>2.2999999999999998</v>
      </c>
      <c r="Q735" s="44" t="s">
        <v>274</v>
      </c>
    </row>
    <row r="736" spans="1:17" s="40" customFormat="1">
      <c r="A736" s="148"/>
      <c r="B736" s="148"/>
      <c r="C736" s="43"/>
      <c r="D736" s="35"/>
      <c r="E736" s="35"/>
      <c r="F736" s="35"/>
      <c r="G736" s="35"/>
      <c r="J736" s="38"/>
      <c r="K736" s="44"/>
      <c r="M736" s="41"/>
      <c r="N736" s="44"/>
      <c r="O736" s="35"/>
      <c r="P736" s="41"/>
      <c r="Q736" s="44"/>
    </row>
    <row r="737" spans="1:17" s="40" customFormat="1">
      <c r="A737" s="148"/>
      <c r="B737" s="148"/>
      <c r="C737" s="43"/>
      <c r="D737" s="35"/>
      <c r="E737" s="35"/>
      <c r="F737" s="35"/>
      <c r="G737" s="35"/>
      <c r="J737" s="38"/>
      <c r="K737" s="44"/>
      <c r="M737" s="41"/>
      <c r="N737" s="44"/>
      <c r="O737" s="35"/>
      <c r="P737" s="41"/>
      <c r="Q737" s="44"/>
    </row>
    <row r="738" spans="1:17" s="40" customFormat="1">
      <c r="A738" s="148"/>
      <c r="B738" s="148"/>
      <c r="C738" s="43"/>
      <c r="D738" s="35" t="s">
        <v>262</v>
      </c>
      <c r="E738" s="35"/>
      <c r="F738" s="35"/>
      <c r="G738" s="35"/>
      <c r="J738" s="38"/>
      <c r="K738" s="44"/>
      <c r="M738" s="41"/>
      <c r="N738" s="44"/>
      <c r="O738" s="35"/>
      <c r="P738" s="41"/>
      <c r="Q738" s="44"/>
    </row>
    <row r="739" spans="1:17" s="40" customFormat="1">
      <c r="A739" s="148"/>
      <c r="B739" s="148"/>
      <c r="C739" s="43"/>
      <c r="D739" s="42" t="s">
        <v>263</v>
      </c>
      <c r="E739" s="35"/>
      <c r="F739" s="35"/>
      <c r="G739" s="35"/>
      <c r="J739" s="38"/>
      <c r="K739" s="44"/>
      <c r="M739" s="41"/>
      <c r="N739" s="44"/>
      <c r="O739" s="35"/>
      <c r="P739" s="41"/>
      <c r="Q739" s="44"/>
    </row>
    <row r="740" spans="1:17" s="40" customFormat="1">
      <c r="A740" s="148"/>
      <c r="B740" s="148"/>
      <c r="C740" s="43"/>
      <c r="D740" s="35" t="s">
        <v>264</v>
      </c>
      <c r="E740" s="35"/>
      <c r="F740" s="35"/>
      <c r="G740" s="35"/>
      <c r="J740" s="38"/>
      <c r="K740" s="44"/>
      <c r="M740" s="41"/>
      <c r="N740" s="44"/>
      <c r="O740" s="35"/>
      <c r="P740" s="41"/>
      <c r="Q740" s="44"/>
    </row>
    <row r="741" spans="1:17" s="40" customFormat="1">
      <c r="A741" s="148"/>
      <c r="B741" s="148"/>
      <c r="C741" s="43"/>
      <c r="D741" s="35" t="s">
        <v>265</v>
      </c>
      <c r="E741" s="35"/>
      <c r="F741" s="35"/>
      <c r="G741" s="35"/>
      <c r="J741" s="38"/>
      <c r="K741" s="44"/>
      <c r="M741" s="41"/>
      <c r="N741" s="44"/>
      <c r="O741" s="35"/>
      <c r="P741" s="41"/>
      <c r="Q741" s="44"/>
    </row>
    <row r="742" spans="1:17" s="40" customFormat="1">
      <c r="A742" s="148"/>
      <c r="B742" s="148"/>
      <c r="C742" s="43"/>
      <c r="D742" s="35" t="s">
        <v>266</v>
      </c>
      <c r="E742" s="35"/>
      <c r="F742" s="35"/>
      <c r="G742" s="35"/>
      <c r="J742" s="38"/>
      <c r="K742" s="44"/>
      <c r="M742" s="41"/>
      <c r="N742" s="44"/>
      <c r="O742" s="35"/>
      <c r="P742" s="41"/>
      <c r="Q742" s="44"/>
    </row>
    <row r="743" spans="1:17" s="40" customFormat="1">
      <c r="A743" s="148"/>
      <c r="B743" s="148"/>
      <c r="C743" s="43"/>
      <c r="D743" s="35" t="s">
        <v>267</v>
      </c>
      <c r="E743" s="35"/>
      <c r="F743" s="35"/>
      <c r="G743" s="35"/>
      <c r="J743" s="38"/>
      <c r="K743" s="44"/>
      <c r="M743" s="41"/>
      <c r="N743" s="44"/>
      <c r="O743" s="35"/>
      <c r="P743" s="41"/>
      <c r="Q743" s="44"/>
    </row>
    <row r="744" spans="1:17" s="40" customFormat="1">
      <c r="A744" s="148"/>
      <c r="B744" s="148"/>
      <c r="C744" s="43"/>
      <c r="D744" s="35" t="s">
        <v>268</v>
      </c>
      <c r="E744" s="35"/>
      <c r="F744" s="35"/>
      <c r="G744" s="35"/>
      <c r="J744" s="38"/>
      <c r="K744" s="44"/>
      <c r="M744" s="41"/>
      <c r="N744" s="44"/>
      <c r="O744" s="35"/>
      <c r="P744" s="41"/>
      <c r="Q744" s="44"/>
    </row>
    <row r="745" spans="1:17" s="40" customFormat="1">
      <c r="A745" s="148"/>
      <c r="B745" s="148"/>
      <c r="C745" s="43"/>
      <c r="D745" s="35" t="s">
        <v>433</v>
      </c>
      <c r="E745" s="35"/>
      <c r="F745" s="35"/>
      <c r="G745" s="35"/>
      <c r="J745" s="38"/>
      <c r="K745" s="44"/>
      <c r="M745" s="41"/>
      <c r="N745" s="44"/>
      <c r="O745" s="35"/>
      <c r="P745" s="41"/>
      <c r="Q745" s="44"/>
    </row>
    <row r="746" spans="1:17" s="40" customFormat="1">
      <c r="A746" s="148" t="s">
        <v>670</v>
      </c>
      <c r="B746" s="148"/>
      <c r="C746" s="43"/>
      <c r="D746" s="35"/>
      <c r="E746" s="35"/>
      <c r="F746" s="35"/>
      <c r="G746" s="35"/>
      <c r="J746" s="38">
        <v>58</v>
      </c>
      <c r="K746" s="44" t="s">
        <v>204</v>
      </c>
      <c r="M746" s="41">
        <v>11.4</v>
      </c>
      <c r="N746" s="44" t="s">
        <v>274</v>
      </c>
      <c r="O746" s="35"/>
      <c r="P746" s="41">
        <v>11.7</v>
      </c>
      <c r="Q746" s="44" t="s">
        <v>274</v>
      </c>
    </row>
    <row r="747" spans="1:17" s="40" customFormat="1">
      <c r="A747" s="148" t="s">
        <v>671</v>
      </c>
      <c r="B747" s="148"/>
      <c r="C747" s="43"/>
      <c r="D747" s="35"/>
      <c r="E747" s="35"/>
      <c r="F747" s="35"/>
      <c r="G747" s="35"/>
      <c r="J747" s="38">
        <v>97</v>
      </c>
      <c r="K747" s="44" t="s">
        <v>204</v>
      </c>
      <c r="M747" s="41">
        <v>19</v>
      </c>
      <c r="N747" s="44" t="s">
        <v>274</v>
      </c>
      <c r="O747" s="35"/>
      <c r="P747" s="41">
        <v>19.3</v>
      </c>
      <c r="Q747" s="44" t="s">
        <v>274</v>
      </c>
    </row>
    <row r="748" spans="1:17" s="40" customFormat="1">
      <c r="A748" s="148" t="s">
        <v>672</v>
      </c>
      <c r="B748" s="148"/>
      <c r="C748" s="43"/>
      <c r="D748" s="35"/>
      <c r="E748" s="35"/>
      <c r="F748" s="35"/>
      <c r="G748" s="35"/>
      <c r="J748" s="38">
        <v>83</v>
      </c>
      <c r="K748" s="44" t="s">
        <v>204</v>
      </c>
      <c r="M748" s="41">
        <v>16.2</v>
      </c>
      <c r="N748" s="44" t="s">
        <v>274</v>
      </c>
      <c r="O748" s="35"/>
      <c r="P748" s="41">
        <v>16.5</v>
      </c>
      <c r="Q748" s="44" t="s">
        <v>274</v>
      </c>
    </row>
    <row r="749" spans="1:17" s="40" customFormat="1">
      <c r="A749" s="148" t="s">
        <v>673</v>
      </c>
      <c r="B749" s="148"/>
      <c r="C749" s="43"/>
      <c r="D749" s="35"/>
      <c r="E749" s="35"/>
      <c r="F749" s="35"/>
      <c r="G749" s="35"/>
      <c r="J749" s="38">
        <v>97</v>
      </c>
      <c r="K749" s="44" t="s">
        <v>204</v>
      </c>
      <c r="M749" s="41">
        <v>18.899999999999999</v>
      </c>
      <c r="N749" s="44" t="s">
        <v>274</v>
      </c>
      <c r="O749" s="35"/>
      <c r="P749" s="41">
        <v>19.2</v>
      </c>
      <c r="Q749" s="44" t="s">
        <v>274</v>
      </c>
    </row>
    <row r="750" spans="1:17" s="40" customFormat="1">
      <c r="A750" s="148" t="s">
        <v>674</v>
      </c>
      <c r="B750" s="148"/>
      <c r="C750" s="43"/>
      <c r="D750" s="35"/>
      <c r="E750" s="35"/>
      <c r="F750" s="35"/>
      <c r="G750" s="35"/>
      <c r="J750" s="38">
        <v>96</v>
      </c>
      <c r="K750" s="44" t="s">
        <v>204</v>
      </c>
      <c r="M750" s="41">
        <v>18.7</v>
      </c>
      <c r="N750" s="44" t="s">
        <v>274</v>
      </c>
      <c r="O750" s="35"/>
      <c r="P750" s="41">
        <v>19</v>
      </c>
      <c r="Q750" s="44" t="s">
        <v>274</v>
      </c>
    </row>
    <row r="751" spans="1:17" s="40" customFormat="1">
      <c r="A751" s="148" t="s">
        <v>675</v>
      </c>
      <c r="B751" s="148"/>
      <c r="C751" s="43"/>
      <c r="D751" s="35"/>
      <c r="E751" s="35"/>
      <c r="F751" s="35"/>
      <c r="G751" s="35"/>
      <c r="J751" s="38">
        <v>97</v>
      </c>
      <c r="K751" s="44" t="s">
        <v>204</v>
      </c>
      <c r="M751" s="41">
        <v>19</v>
      </c>
      <c r="N751" s="44" t="s">
        <v>274</v>
      </c>
      <c r="O751" s="35"/>
      <c r="P751" s="41">
        <v>19.3</v>
      </c>
      <c r="Q751" s="44" t="s">
        <v>274</v>
      </c>
    </row>
    <row r="752" spans="1:17" s="40" customFormat="1">
      <c r="A752" s="148" t="s">
        <v>676</v>
      </c>
      <c r="B752" s="148"/>
      <c r="C752" s="43"/>
      <c r="D752" s="35"/>
      <c r="E752" s="35"/>
      <c r="F752" s="35"/>
      <c r="G752" s="35"/>
      <c r="J752" s="38">
        <v>96</v>
      </c>
      <c r="K752" s="44" t="s">
        <v>204</v>
      </c>
      <c r="M752" s="41">
        <v>18.7</v>
      </c>
      <c r="N752" s="44" t="s">
        <v>274</v>
      </c>
      <c r="O752" s="35"/>
      <c r="P752" s="41">
        <v>19</v>
      </c>
      <c r="Q752" s="44" t="s">
        <v>274</v>
      </c>
    </row>
    <row r="753" spans="1:17" s="40" customFormat="1">
      <c r="A753" s="148"/>
      <c r="B753" s="148"/>
      <c r="C753" s="43"/>
      <c r="D753" s="35"/>
      <c r="E753" s="35"/>
      <c r="F753" s="35"/>
      <c r="G753" s="35"/>
      <c r="J753" s="38"/>
      <c r="K753" s="44"/>
      <c r="M753" s="41"/>
      <c r="N753" s="44"/>
      <c r="O753" s="35"/>
      <c r="P753" s="41"/>
      <c r="Q753" s="44"/>
    </row>
    <row r="754" spans="1:17" s="40" customFormat="1">
      <c r="A754" s="148"/>
      <c r="B754" s="148"/>
      <c r="C754" s="43"/>
      <c r="D754" s="35" t="s">
        <v>237</v>
      </c>
      <c r="E754" s="35"/>
      <c r="F754" s="35"/>
      <c r="G754" s="35"/>
      <c r="J754" s="38"/>
      <c r="K754" s="44"/>
      <c r="M754" s="41"/>
      <c r="N754" s="44"/>
      <c r="O754" s="35"/>
      <c r="P754" s="41"/>
      <c r="Q754" s="44"/>
    </row>
    <row r="755" spans="1:17" s="40" customFormat="1">
      <c r="A755" s="148"/>
      <c r="B755" s="148"/>
      <c r="C755" s="43"/>
      <c r="D755" s="35" t="s">
        <v>677</v>
      </c>
      <c r="E755" s="35"/>
      <c r="F755" s="35"/>
      <c r="G755" s="35"/>
      <c r="J755" s="38"/>
      <c r="K755" s="44"/>
      <c r="M755" s="41"/>
      <c r="N755" s="44"/>
      <c r="O755" s="35"/>
      <c r="P755" s="41"/>
      <c r="Q755" s="44"/>
    </row>
    <row r="756" spans="1:17" s="40" customFormat="1">
      <c r="A756" s="148" t="s">
        <v>678</v>
      </c>
      <c r="B756" s="148"/>
      <c r="C756" s="43"/>
      <c r="D756" s="35"/>
      <c r="E756" s="35"/>
      <c r="F756" s="35"/>
      <c r="G756" s="35"/>
      <c r="J756" s="38">
        <v>85</v>
      </c>
      <c r="K756" s="44" t="s">
        <v>204</v>
      </c>
      <c r="M756" s="41">
        <v>16.399999999999999</v>
      </c>
      <c r="N756" s="44" t="s">
        <v>274</v>
      </c>
      <c r="O756" s="35"/>
      <c r="P756" s="41">
        <v>16.7</v>
      </c>
      <c r="Q756" s="44" t="s">
        <v>274</v>
      </c>
    </row>
    <row r="757" spans="1:17" s="40" customFormat="1">
      <c r="A757" s="148" t="s">
        <v>679</v>
      </c>
      <c r="B757" s="148"/>
      <c r="C757" s="43"/>
      <c r="D757" s="35"/>
      <c r="E757" s="35"/>
      <c r="F757" s="35"/>
      <c r="G757" s="35"/>
      <c r="J757" s="38">
        <v>91</v>
      </c>
      <c r="K757" s="44" t="s">
        <v>204</v>
      </c>
      <c r="M757" s="41">
        <v>17.600000000000001</v>
      </c>
      <c r="N757" s="44" t="s">
        <v>274</v>
      </c>
      <c r="O757" s="35"/>
      <c r="P757" s="41">
        <v>17.899999999999999</v>
      </c>
      <c r="Q757" s="44" t="s">
        <v>274</v>
      </c>
    </row>
    <row r="758" spans="1:17" s="40" customFormat="1">
      <c r="A758" s="148" t="s">
        <v>680</v>
      </c>
      <c r="B758" s="148"/>
      <c r="C758" s="43"/>
      <c r="D758" s="35"/>
      <c r="E758" s="35"/>
      <c r="F758" s="35"/>
      <c r="G758" s="35"/>
      <c r="J758" s="38">
        <v>83</v>
      </c>
      <c r="K758" s="44" t="s">
        <v>204</v>
      </c>
      <c r="M758" s="41">
        <v>16.2</v>
      </c>
      <c r="N758" s="44" t="s">
        <v>274</v>
      </c>
      <c r="O758" s="35"/>
      <c r="P758" s="41">
        <v>16.5</v>
      </c>
      <c r="Q758" s="44" t="s">
        <v>274</v>
      </c>
    </row>
    <row r="759" spans="1:17" s="40" customFormat="1">
      <c r="A759" s="148" t="s">
        <v>681</v>
      </c>
      <c r="B759" s="148"/>
      <c r="C759" s="43"/>
      <c r="D759" s="35"/>
      <c r="E759" s="35"/>
      <c r="F759" s="35"/>
      <c r="G759" s="35"/>
      <c r="J759" s="38">
        <v>94</v>
      </c>
      <c r="K759" s="44" t="s">
        <v>204</v>
      </c>
      <c r="M759" s="41">
        <v>18.5</v>
      </c>
      <c r="N759" s="44" t="s">
        <v>274</v>
      </c>
      <c r="O759" s="35"/>
      <c r="P759" s="41">
        <v>18.8</v>
      </c>
      <c r="Q759" s="44" t="s">
        <v>274</v>
      </c>
    </row>
    <row r="760" spans="1:17" s="40" customFormat="1">
      <c r="A760" s="148"/>
      <c r="B760" s="148"/>
      <c r="C760" s="43"/>
      <c r="D760" s="35" t="s">
        <v>682</v>
      </c>
      <c r="E760" s="35"/>
      <c r="F760" s="35"/>
      <c r="G760" s="35"/>
      <c r="J760" s="38"/>
      <c r="K760" s="44"/>
      <c r="M760" s="41"/>
      <c r="N760" s="44"/>
      <c r="O760" s="35"/>
      <c r="P760" s="41"/>
      <c r="Q760" s="44"/>
    </row>
    <row r="761" spans="1:17" s="40" customFormat="1">
      <c r="A761" s="148" t="s">
        <v>683</v>
      </c>
      <c r="B761" s="148"/>
      <c r="C761" s="43"/>
      <c r="D761" s="35"/>
      <c r="E761" s="35"/>
      <c r="F761" s="35"/>
      <c r="G761" s="35"/>
      <c r="J761" s="38">
        <v>93</v>
      </c>
      <c r="K761" s="44" t="s">
        <v>204</v>
      </c>
      <c r="M761" s="41">
        <v>18.7</v>
      </c>
      <c r="N761" s="44" t="s">
        <v>274</v>
      </c>
      <c r="O761" s="35"/>
      <c r="P761" s="41">
        <v>19</v>
      </c>
      <c r="Q761" s="44" t="s">
        <v>274</v>
      </c>
    </row>
    <row r="762" spans="1:17" s="40" customFormat="1">
      <c r="A762" s="148" t="s">
        <v>684</v>
      </c>
      <c r="B762" s="148"/>
      <c r="C762" s="43"/>
      <c r="D762" s="35"/>
      <c r="E762" s="35"/>
      <c r="F762" s="35"/>
      <c r="G762" s="35"/>
      <c r="J762" s="38">
        <v>79</v>
      </c>
      <c r="K762" s="44" t="s">
        <v>204</v>
      </c>
      <c r="M762" s="41">
        <v>15.9</v>
      </c>
      <c r="N762" s="44" t="s">
        <v>274</v>
      </c>
      <c r="O762" s="35"/>
      <c r="P762" s="41">
        <v>16.2</v>
      </c>
      <c r="Q762" s="44" t="s">
        <v>274</v>
      </c>
    </row>
    <row r="763" spans="1:17" s="40" customFormat="1">
      <c r="A763" s="148" t="s">
        <v>685</v>
      </c>
      <c r="B763" s="148"/>
      <c r="C763" s="43"/>
      <c r="D763" s="35"/>
      <c r="E763" s="35"/>
      <c r="F763" s="35"/>
      <c r="G763" s="35"/>
      <c r="J763" s="38">
        <v>93</v>
      </c>
      <c r="K763" s="44" t="s">
        <v>204</v>
      </c>
      <c r="M763" s="41">
        <v>18.7</v>
      </c>
      <c r="N763" s="44" t="s">
        <v>274</v>
      </c>
      <c r="O763" s="35"/>
      <c r="P763" s="41">
        <v>19</v>
      </c>
      <c r="Q763" s="44" t="s">
        <v>274</v>
      </c>
    </row>
    <row r="764" spans="1:17" s="40" customFormat="1">
      <c r="A764" s="148" t="s">
        <v>686</v>
      </c>
      <c r="B764" s="148"/>
      <c r="C764" s="43"/>
      <c r="D764" s="35"/>
      <c r="E764" s="35"/>
      <c r="F764" s="35"/>
      <c r="G764" s="35"/>
      <c r="J764" s="38">
        <v>94</v>
      </c>
      <c r="K764" s="44" t="s">
        <v>204</v>
      </c>
      <c r="M764" s="41">
        <v>18.8</v>
      </c>
      <c r="N764" s="44" t="s">
        <v>274</v>
      </c>
      <c r="O764" s="35"/>
      <c r="P764" s="41">
        <v>19.100000000000001</v>
      </c>
      <c r="Q764" s="44" t="s">
        <v>274</v>
      </c>
    </row>
    <row r="765" spans="1:17" s="40" customFormat="1">
      <c r="A765" s="148" t="s">
        <v>687</v>
      </c>
      <c r="B765" s="148"/>
      <c r="C765" s="43"/>
      <c r="D765" s="35"/>
      <c r="E765" s="35"/>
      <c r="F765" s="35"/>
      <c r="G765" s="35"/>
      <c r="J765" s="38">
        <v>92</v>
      </c>
      <c r="K765" s="44" t="s">
        <v>204</v>
      </c>
      <c r="M765" s="41">
        <v>18.399999999999999</v>
      </c>
      <c r="N765" s="44" t="s">
        <v>274</v>
      </c>
      <c r="O765" s="35"/>
      <c r="P765" s="41">
        <v>18.7</v>
      </c>
      <c r="Q765" s="44" t="s">
        <v>274</v>
      </c>
    </row>
    <row r="766" spans="1:17" s="40" customFormat="1">
      <c r="A766" s="148" t="s">
        <v>688</v>
      </c>
      <c r="B766" s="148"/>
      <c r="C766" s="43"/>
      <c r="D766" s="35"/>
      <c r="E766" s="35"/>
      <c r="F766" s="35"/>
      <c r="G766" s="35"/>
      <c r="J766" s="38">
        <v>93</v>
      </c>
      <c r="K766" s="44" t="s">
        <v>204</v>
      </c>
      <c r="M766" s="41">
        <v>18.600000000000001</v>
      </c>
      <c r="N766" s="44" t="s">
        <v>274</v>
      </c>
      <c r="O766" s="35"/>
      <c r="P766" s="41">
        <v>18.899999999999999</v>
      </c>
      <c r="Q766" s="44" t="s">
        <v>274</v>
      </c>
    </row>
    <row r="767" spans="1:17" s="40" customFormat="1">
      <c r="A767" s="148" t="s">
        <v>689</v>
      </c>
      <c r="B767" s="148"/>
      <c r="C767" s="43"/>
      <c r="D767" s="35"/>
      <c r="E767" s="35"/>
      <c r="F767" s="35"/>
      <c r="G767" s="35"/>
      <c r="J767" s="38">
        <v>93</v>
      </c>
      <c r="K767" s="44" t="s">
        <v>204</v>
      </c>
      <c r="M767" s="41">
        <v>18.600000000000001</v>
      </c>
      <c r="N767" s="44" t="s">
        <v>274</v>
      </c>
      <c r="O767" s="35"/>
      <c r="P767" s="41">
        <v>18.899999999999999</v>
      </c>
      <c r="Q767" s="44" t="s">
        <v>274</v>
      </c>
    </row>
    <row r="768" spans="1:17" s="40" customFormat="1">
      <c r="A768" s="148" t="s">
        <v>690</v>
      </c>
      <c r="B768" s="148"/>
      <c r="C768" s="43"/>
      <c r="D768" s="35"/>
      <c r="E768" s="35"/>
      <c r="F768" s="35"/>
      <c r="G768" s="35"/>
      <c r="J768" s="38">
        <v>73</v>
      </c>
      <c r="K768" s="44" t="s">
        <v>204</v>
      </c>
      <c r="M768" s="41">
        <v>14.6</v>
      </c>
      <c r="N768" s="44" t="s">
        <v>274</v>
      </c>
      <c r="O768" s="35"/>
      <c r="P768" s="41">
        <v>14.9</v>
      </c>
      <c r="Q768" s="44" t="s">
        <v>274</v>
      </c>
    </row>
    <row r="769" spans="1:17" s="40" customFormat="1">
      <c r="A769" s="148" t="s">
        <v>691</v>
      </c>
      <c r="B769" s="148"/>
      <c r="C769" s="43"/>
      <c r="D769" s="35"/>
      <c r="E769" s="35"/>
      <c r="F769" s="35"/>
      <c r="G769" s="35"/>
      <c r="J769" s="38">
        <v>91</v>
      </c>
      <c r="K769" s="44" t="s">
        <v>204</v>
      </c>
      <c r="M769" s="41">
        <v>18.2</v>
      </c>
      <c r="N769" s="44" t="s">
        <v>274</v>
      </c>
      <c r="O769" s="35"/>
      <c r="P769" s="41">
        <v>18.5</v>
      </c>
      <c r="Q769" s="44" t="s">
        <v>274</v>
      </c>
    </row>
    <row r="770" spans="1:17" s="40" customFormat="1">
      <c r="A770" s="148" t="s">
        <v>692</v>
      </c>
      <c r="B770" s="148"/>
      <c r="C770" s="43"/>
      <c r="D770" s="35"/>
      <c r="E770" s="35"/>
      <c r="F770" s="35"/>
      <c r="G770" s="35"/>
      <c r="J770" s="38">
        <v>93</v>
      </c>
      <c r="K770" s="44" t="s">
        <v>204</v>
      </c>
      <c r="M770" s="41">
        <v>18.7</v>
      </c>
      <c r="N770" s="44" t="s">
        <v>274</v>
      </c>
      <c r="O770" s="35"/>
      <c r="P770" s="41">
        <v>19</v>
      </c>
      <c r="Q770" s="44" t="s">
        <v>274</v>
      </c>
    </row>
    <row r="771" spans="1:17" s="40" customFormat="1">
      <c r="A771" s="148" t="s">
        <v>693</v>
      </c>
      <c r="B771" s="148"/>
      <c r="C771" s="43"/>
      <c r="D771" s="35"/>
      <c r="E771" s="35"/>
      <c r="F771" s="35"/>
      <c r="G771" s="35"/>
      <c r="J771" s="38">
        <v>93</v>
      </c>
      <c r="K771" s="44" t="s">
        <v>204</v>
      </c>
      <c r="M771" s="41">
        <v>18.7</v>
      </c>
      <c r="N771" s="44" t="s">
        <v>274</v>
      </c>
      <c r="O771" s="35"/>
      <c r="P771" s="41">
        <v>19</v>
      </c>
      <c r="Q771" s="44" t="s">
        <v>274</v>
      </c>
    </row>
    <row r="772" spans="1:17" s="40" customFormat="1">
      <c r="A772" s="148" t="s">
        <v>694</v>
      </c>
      <c r="B772" s="148"/>
      <c r="C772" s="43"/>
      <c r="D772" s="35"/>
      <c r="E772" s="35"/>
      <c r="F772" s="35"/>
      <c r="G772" s="35"/>
      <c r="J772" s="38">
        <v>94</v>
      </c>
      <c r="K772" s="44" t="s">
        <v>204</v>
      </c>
      <c r="M772" s="41">
        <v>18.8</v>
      </c>
      <c r="N772" s="44" t="s">
        <v>274</v>
      </c>
      <c r="O772" s="35"/>
      <c r="P772" s="41">
        <v>19.100000000000001</v>
      </c>
      <c r="Q772" s="44" t="s">
        <v>274</v>
      </c>
    </row>
    <row r="773" spans="1:17" s="40" customFormat="1">
      <c r="A773" s="148"/>
      <c r="B773" s="148"/>
      <c r="C773" s="43"/>
      <c r="D773" s="35" t="s">
        <v>695</v>
      </c>
      <c r="E773" s="35"/>
      <c r="F773" s="35"/>
      <c r="G773" s="35"/>
      <c r="J773" s="38"/>
      <c r="K773" s="44"/>
      <c r="M773" s="41"/>
      <c r="N773" s="44"/>
      <c r="O773" s="35"/>
      <c r="P773" s="41"/>
      <c r="Q773" s="44"/>
    </row>
    <row r="774" spans="1:17" s="40" customFormat="1">
      <c r="A774" s="148" t="s">
        <v>696</v>
      </c>
      <c r="B774" s="148"/>
      <c r="C774" s="43"/>
      <c r="D774" s="35"/>
      <c r="E774" s="35"/>
      <c r="F774" s="35"/>
      <c r="G774" s="35"/>
      <c r="J774" s="38">
        <v>92</v>
      </c>
      <c r="K774" s="44" t="s">
        <v>204</v>
      </c>
      <c r="M774" s="41">
        <v>18.100000000000001</v>
      </c>
      <c r="N774" s="44" t="s">
        <v>274</v>
      </c>
      <c r="O774" s="35"/>
      <c r="P774" s="41">
        <v>18.399999999999999</v>
      </c>
      <c r="Q774" s="44" t="s">
        <v>274</v>
      </c>
    </row>
    <row r="775" spans="1:17" s="40" customFormat="1">
      <c r="A775" s="148" t="s">
        <v>697</v>
      </c>
      <c r="B775" s="148"/>
      <c r="C775" s="43"/>
      <c r="D775" s="35"/>
      <c r="E775" s="35"/>
      <c r="F775" s="35"/>
      <c r="G775" s="35"/>
      <c r="J775" s="38">
        <v>92</v>
      </c>
      <c r="K775" s="44" t="s">
        <v>204</v>
      </c>
      <c r="M775" s="41">
        <v>18.2</v>
      </c>
      <c r="N775" s="44" t="s">
        <v>274</v>
      </c>
      <c r="O775" s="35"/>
      <c r="P775" s="41">
        <v>18.5</v>
      </c>
      <c r="Q775" s="44" t="s">
        <v>274</v>
      </c>
    </row>
    <row r="776" spans="1:17" s="40" customFormat="1">
      <c r="A776" s="148" t="s">
        <v>698</v>
      </c>
      <c r="B776" s="148"/>
      <c r="C776" s="43"/>
      <c r="D776" s="35"/>
      <c r="E776" s="35"/>
      <c r="F776" s="35"/>
      <c r="G776" s="35"/>
      <c r="J776" s="38">
        <v>95</v>
      </c>
      <c r="K776" s="44" t="s">
        <v>204</v>
      </c>
      <c r="M776" s="41">
        <v>18.7</v>
      </c>
      <c r="N776" s="44" t="s">
        <v>274</v>
      </c>
      <c r="O776" s="35"/>
      <c r="P776" s="41">
        <v>19</v>
      </c>
      <c r="Q776" s="44" t="s">
        <v>274</v>
      </c>
    </row>
    <row r="777" spans="1:17" s="40" customFormat="1">
      <c r="A777" s="148" t="s">
        <v>699</v>
      </c>
      <c r="B777" s="148"/>
      <c r="C777" s="43"/>
      <c r="D777" s="35"/>
      <c r="E777" s="35"/>
      <c r="F777" s="35"/>
      <c r="G777" s="35"/>
      <c r="J777" s="38">
        <v>91</v>
      </c>
      <c r="K777" s="44" t="s">
        <v>204</v>
      </c>
      <c r="M777" s="41">
        <v>18</v>
      </c>
      <c r="N777" s="44" t="s">
        <v>274</v>
      </c>
      <c r="O777" s="35"/>
      <c r="P777" s="41">
        <v>18.3</v>
      </c>
      <c r="Q777" s="44" t="s">
        <v>274</v>
      </c>
    </row>
    <row r="778" spans="1:17" s="40" customFormat="1">
      <c r="A778" s="148" t="s">
        <v>700</v>
      </c>
      <c r="B778" s="148"/>
      <c r="C778" s="43"/>
      <c r="D778" s="35"/>
      <c r="E778" s="35"/>
      <c r="F778" s="35"/>
      <c r="G778" s="35"/>
      <c r="J778" s="38">
        <v>94</v>
      </c>
      <c r="K778" s="44" t="s">
        <v>204</v>
      </c>
      <c r="M778" s="41">
        <v>18.600000000000001</v>
      </c>
      <c r="N778" s="44" t="s">
        <v>274</v>
      </c>
      <c r="O778" s="35"/>
      <c r="P778" s="41">
        <v>18.899999999999999</v>
      </c>
      <c r="Q778" s="44" t="s">
        <v>274</v>
      </c>
    </row>
    <row r="779" spans="1:17" s="40" customFormat="1">
      <c r="A779" s="148" t="s">
        <v>701</v>
      </c>
      <c r="B779" s="148"/>
      <c r="C779" s="43"/>
      <c r="D779" s="35"/>
      <c r="E779" s="35"/>
      <c r="F779" s="35"/>
      <c r="G779" s="35"/>
      <c r="J779" s="38">
        <v>91</v>
      </c>
      <c r="K779" s="44" t="s">
        <v>204</v>
      </c>
      <c r="M779" s="41">
        <v>18</v>
      </c>
      <c r="N779" s="44" t="s">
        <v>274</v>
      </c>
      <c r="O779" s="35"/>
      <c r="P779" s="41">
        <v>18.3</v>
      </c>
      <c r="Q779" s="44" t="s">
        <v>274</v>
      </c>
    </row>
    <row r="780" spans="1:17" s="40" customFormat="1">
      <c r="A780" s="148" t="s">
        <v>702</v>
      </c>
      <c r="B780" s="148"/>
      <c r="C780" s="43"/>
      <c r="D780" s="35"/>
      <c r="E780" s="35"/>
      <c r="F780" s="35"/>
      <c r="G780" s="35"/>
      <c r="J780" s="38">
        <v>85</v>
      </c>
      <c r="K780" s="44" t="s">
        <v>204</v>
      </c>
      <c r="M780" s="41">
        <v>16.7</v>
      </c>
      <c r="N780" s="44" t="s">
        <v>274</v>
      </c>
      <c r="O780" s="35"/>
      <c r="P780" s="41">
        <v>17</v>
      </c>
      <c r="Q780" s="44" t="s">
        <v>274</v>
      </c>
    </row>
    <row r="781" spans="1:17" s="40" customFormat="1">
      <c r="A781" s="148" t="s">
        <v>703</v>
      </c>
      <c r="B781" s="148"/>
      <c r="C781" s="43"/>
      <c r="D781" s="35"/>
      <c r="E781" s="35"/>
      <c r="F781" s="35"/>
      <c r="G781" s="35"/>
      <c r="J781" s="38">
        <v>96</v>
      </c>
      <c r="K781" s="44" t="s">
        <v>204</v>
      </c>
      <c r="M781" s="41">
        <v>18.899999999999999</v>
      </c>
      <c r="N781" s="44" t="s">
        <v>274</v>
      </c>
      <c r="O781" s="35"/>
      <c r="P781" s="41">
        <v>19.2</v>
      </c>
      <c r="Q781" s="44" t="s">
        <v>274</v>
      </c>
    </row>
    <row r="782" spans="1:17" s="40" customFormat="1">
      <c r="A782" s="148" t="s">
        <v>704</v>
      </c>
      <c r="B782" s="148"/>
      <c r="C782" s="43"/>
      <c r="D782" s="35"/>
      <c r="E782" s="35"/>
      <c r="F782" s="35"/>
      <c r="G782" s="35"/>
      <c r="J782" s="38">
        <v>54</v>
      </c>
      <c r="K782" s="44" t="s">
        <v>204</v>
      </c>
      <c r="M782" s="41">
        <v>10.6</v>
      </c>
      <c r="N782" s="44" t="s">
        <v>274</v>
      </c>
      <c r="O782" s="35"/>
      <c r="P782" s="41">
        <v>10.9</v>
      </c>
      <c r="Q782" s="44" t="s">
        <v>274</v>
      </c>
    </row>
    <row r="783" spans="1:17" s="40" customFormat="1">
      <c r="A783" s="148"/>
      <c r="B783" s="148"/>
      <c r="C783" s="43"/>
      <c r="D783" s="35" t="s">
        <v>705</v>
      </c>
      <c r="E783" s="35"/>
      <c r="F783" s="35"/>
      <c r="G783" s="35"/>
      <c r="J783" s="38"/>
      <c r="K783" s="44"/>
      <c r="M783" s="41"/>
      <c r="N783" s="44"/>
      <c r="O783" s="35"/>
      <c r="P783" s="41"/>
      <c r="Q783" s="44"/>
    </row>
    <row r="784" spans="1:17" s="40" customFormat="1">
      <c r="A784" s="148" t="s">
        <v>706</v>
      </c>
      <c r="B784" s="148"/>
      <c r="C784" s="43"/>
      <c r="D784" s="35"/>
      <c r="E784" s="35"/>
      <c r="F784" s="35"/>
      <c r="G784" s="35"/>
      <c r="J784" s="38">
        <v>89</v>
      </c>
      <c r="K784" s="44" t="s">
        <v>204</v>
      </c>
      <c r="M784" s="41">
        <v>18.399999999999999</v>
      </c>
      <c r="N784" s="44" t="s">
        <v>274</v>
      </c>
      <c r="O784" s="35"/>
      <c r="P784" s="41">
        <v>18.7</v>
      </c>
      <c r="Q784" s="44" t="s">
        <v>274</v>
      </c>
    </row>
    <row r="785" spans="1:17" s="40" customFormat="1">
      <c r="A785" s="148" t="s">
        <v>707</v>
      </c>
      <c r="B785" s="148"/>
      <c r="C785" s="43"/>
      <c r="D785" s="35"/>
      <c r="E785" s="35"/>
      <c r="F785" s="35"/>
      <c r="G785" s="35"/>
      <c r="J785" s="38">
        <v>85</v>
      </c>
      <c r="K785" s="44" t="s">
        <v>204</v>
      </c>
      <c r="M785" s="41">
        <v>17.600000000000001</v>
      </c>
      <c r="N785" s="44" t="s">
        <v>274</v>
      </c>
      <c r="O785" s="35"/>
      <c r="P785" s="41">
        <v>17.899999999999999</v>
      </c>
      <c r="Q785" s="44" t="s">
        <v>274</v>
      </c>
    </row>
    <row r="786" spans="1:17" s="40" customFormat="1">
      <c r="A786" s="148" t="s">
        <v>708</v>
      </c>
      <c r="B786" s="148"/>
      <c r="C786" s="43"/>
      <c r="D786" s="35"/>
      <c r="E786" s="35"/>
      <c r="F786" s="35"/>
      <c r="G786" s="35"/>
      <c r="J786" s="38">
        <v>91</v>
      </c>
      <c r="K786" s="44" t="s">
        <v>204</v>
      </c>
      <c r="M786" s="41">
        <v>18.7</v>
      </c>
      <c r="N786" s="44" t="s">
        <v>274</v>
      </c>
      <c r="O786" s="35"/>
      <c r="P786" s="41">
        <v>19</v>
      </c>
      <c r="Q786" s="44" t="s">
        <v>274</v>
      </c>
    </row>
    <row r="787" spans="1:17" s="40" customFormat="1">
      <c r="A787" s="148" t="s">
        <v>709</v>
      </c>
      <c r="B787" s="148"/>
      <c r="C787" s="43"/>
      <c r="D787" s="35"/>
      <c r="E787" s="35"/>
      <c r="F787" s="35"/>
      <c r="G787" s="35"/>
      <c r="J787" s="38">
        <v>67</v>
      </c>
      <c r="K787" s="44" t="s">
        <v>204</v>
      </c>
      <c r="M787" s="41">
        <v>13.9</v>
      </c>
      <c r="N787" s="44" t="s">
        <v>274</v>
      </c>
      <c r="O787" s="35"/>
      <c r="P787" s="41">
        <v>14.2</v>
      </c>
      <c r="Q787" s="44" t="s">
        <v>274</v>
      </c>
    </row>
    <row r="788" spans="1:17" s="40" customFormat="1">
      <c r="A788" s="148" t="s">
        <v>710</v>
      </c>
      <c r="B788" s="148"/>
      <c r="C788" s="43"/>
      <c r="D788" s="35"/>
      <c r="E788" s="35"/>
      <c r="F788" s="35"/>
      <c r="G788" s="35"/>
      <c r="J788" s="38">
        <v>91</v>
      </c>
      <c r="K788" s="44" t="s">
        <v>204</v>
      </c>
      <c r="M788" s="41">
        <v>18.8</v>
      </c>
      <c r="N788" s="44" t="s">
        <v>274</v>
      </c>
      <c r="O788" s="35"/>
      <c r="P788" s="41">
        <v>19.100000000000001</v>
      </c>
      <c r="Q788" s="44" t="s">
        <v>274</v>
      </c>
    </row>
    <row r="789" spans="1:17" s="40" customFormat="1">
      <c r="A789" s="148" t="s">
        <v>711</v>
      </c>
      <c r="B789" s="148"/>
      <c r="C789" s="43"/>
      <c r="D789" s="35"/>
      <c r="E789" s="35"/>
      <c r="F789" s="35"/>
      <c r="G789" s="35"/>
      <c r="J789" s="38">
        <v>89</v>
      </c>
      <c r="K789" s="44" t="s">
        <v>204</v>
      </c>
      <c r="M789" s="41">
        <v>18.399999999999999</v>
      </c>
      <c r="N789" s="44" t="s">
        <v>274</v>
      </c>
      <c r="O789" s="35"/>
      <c r="P789" s="41">
        <v>18.7</v>
      </c>
      <c r="Q789" s="44" t="s">
        <v>274</v>
      </c>
    </row>
    <row r="790" spans="1:17" s="40" customFormat="1">
      <c r="A790" s="148" t="s">
        <v>712</v>
      </c>
      <c r="B790" s="148"/>
      <c r="C790" s="43"/>
      <c r="D790" s="35"/>
      <c r="E790" s="35"/>
      <c r="F790" s="35"/>
      <c r="G790" s="35"/>
      <c r="J790" s="38">
        <v>92</v>
      </c>
      <c r="K790" s="44" t="s">
        <v>204</v>
      </c>
      <c r="M790" s="41">
        <v>18.899999999999999</v>
      </c>
      <c r="N790" s="44" t="s">
        <v>274</v>
      </c>
      <c r="O790" s="35"/>
      <c r="P790" s="41">
        <v>19.2</v>
      </c>
      <c r="Q790" s="44" t="s">
        <v>274</v>
      </c>
    </row>
    <row r="791" spans="1:17" s="40" customFormat="1">
      <c r="A791" s="148" t="s">
        <v>713</v>
      </c>
      <c r="B791" s="148"/>
      <c r="C791" s="43"/>
      <c r="D791" s="35"/>
      <c r="E791" s="35"/>
      <c r="F791" s="35"/>
      <c r="G791" s="35"/>
      <c r="J791" s="38">
        <v>85</v>
      </c>
      <c r="K791" s="44" t="s">
        <v>204</v>
      </c>
      <c r="M791" s="41">
        <v>17.600000000000001</v>
      </c>
      <c r="N791" s="44" t="s">
        <v>274</v>
      </c>
      <c r="O791" s="35"/>
      <c r="P791" s="41">
        <v>17.899999999999999</v>
      </c>
      <c r="Q791" s="44" t="s">
        <v>274</v>
      </c>
    </row>
    <row r="792" spans="1:17" s="40" customFormat="1">
      <c r="A792" s="148" t="s">
        <v>714</v>
      </c>
      <c r="B792" s="148"/>
      <c r="C792" s="43"/>
      <c r="D792" s="35"/>
      <c r="E792" s="35"/>
      <c r="F792" s="35"/>
      <c r="G792" s="35"/>
      <c r="J792" s="38">
        <v>92</v>
      </c>
      <c r="K792" s="44" t="s">
        <v>204</v>
      </c>
      <c r="M792" s="41">
        <v>19</v>
      </c>
      <c r="N792" s="44" t="s">
        <v>274</v>
      </c>
      <c r="O792" s="35"/>
      <c r="P792" s="41">
        <v>19.3</v>
      </c>
      <c r="Q792" s="44" t="s">
        <v>274</v>
      </c>
    </row>
    <row r="793" spans="1:17" s="40" customFormat="1">
      <c r="A793" s="148" t="s">
        <v>715</v>
      </c>
      <c r="B793" s="148"/>
      <c r="C793" s="43"/>
      <c r="D793" s="35"/>
      <c r="E793" s="35"/>
      <c r="F793" s="35"/>
      <c r="G793" s="35"/>
      <c r="J793" s="38">
        <v>92</v>
      </c>
      <c r="K793" s="44" t="s">
        <v>204</v>
      </c>
      <c r="M793" s="41">
        <v>19</v>
      </c>
      <c r="N793" s="44" t="s">
        <v>274</v>
      </c>
      <c r="O793" s="35"/>
      <c r="P793" s="41">
        <v>19.3</v>
      </c>
      <c r="Q793" s="44" t="s">
        <v>274</v>
      </c>
    </row>
    <row r="794" spans="1:17" s="40" customFormat="1">
      <c r="A794" s="148" t="s">
        <v>716</v>
      </c>
      <c r="B794" s="148"/>
      <c r="C794" s="43"/>
      <c r="D794" s="35"/>
      <c r="E794" s="35"/>
      <c r="F794" s="35"/>
      <c r="G794" s="35"/>
      <c r="J794" s="38">
        <v>80</v>
      </c>
      <c r="K794" s="44" t="s">
        <v>204</v>
      </c>
      <c r="M794" s="41">
        <v>16.5</v>
      </c>
      <c r="N794" s="44" t="s">
        <v>274</v>
      </c>
      <c r="O794" s="35"/>
      <c r="P794" s="41">
        <v>16.8</v>
      </c>
      <c r="Q794" s="44" t="s">
        <v>274</v>
      </c>
    </row>
    <row r="795" spans="1:17" s="40" customFormat="1">
      <c r="A795" s="148" t="s">
        <v>717</v>
      </c>
      <c r="B795" s="148"/>
      <c r="C795" s="43"/>
      <c r="D795" s="35"/>
      <c r="E795" s="35"/>
      <c r="F795" s="35"/>
      <c r="G795" s="35"/>
      <c r="J795" s="38">
        <v>91</v>
      </c>
      <c r="K795" s="44" t="s">
        <v>204</v>
      </c>
      <c r="M795" s="41">
        <v>18.8</v>
      </c>
      <c r="N795" s="44" t="s">
        <v>274</v>
      </c>
      <c r="O795" s="35"/>
      <c r="P795" s="41">
        <v>19.100000000000001</v>
      </c>
      <c r="Q795" s="44" t="s">
        <v>274</v>
      </c>
    </row>
    <row r="796" spans="1:17" s="40" customFormat="1">
      <c r="A796" s="148" t="s">
        <v>718</v>
      </c>
      <c r="B796" s="148"/>
      <c r="C796" s="43"/>
      <c r="D796" s="35"/>
      <c r="E796" s="35"/>
      <c r="F796" s="35"/>
      <c r="G796" s="35"/>
      <c r="J796" s="38">
        <v>90</v>
      </c>
      <c r="K796" s="44" t="s">
        <v>204</v>
      </c>
      <c r="M796" s="41">
        <v>18.600000000000001</v>
      </c>
      <c r="N796" s="44" t="s">
        <v>274</v>
      </c>
      <c r="O796" s="35"/>
      <c r="P796" s="41">
        <v>18.899999999999999</v>
      </c>
      <c r="Q796" s="44" t="s">
        <v>274</v>
      </c>
    </row>
    <row r="797" spans="1:17" s="40" customFormat="1">
      <c r="A797" s="148" t="s">
        <v>719</v>
      </c>
      <c r="B797" s="148"/>
      <c r="C797" s="43"/>
      <c r="D797" s="35"/>
      <c r="E797" s="35"/>
      <c r="F797" s="35"/>
      <c r="G797" s="35"/>
      <c r="J797" s="38">
        <v>92</v>
      </c>
      <c r="K797" s="44" t="s">
        <v>204</v>
      </c>
      <c r="M797" s="41">
        <v>19</v>
      </c>
      <c r="N797" s="44" t="s">
        <v>274</v>
      </c>
      <c r="O797" s="35"/>
      <c r="P797" s="41">
        <v>19.3</v>
      </c>
      <c r="Q797" s="44" t="s">
        <v>274</v>
      </c>
    </row>
    <row r="798" spans="1:17" s="40" customFormat="1">
      <c r="A798" s="148" t="s">
        <v>720</v>
      </c>
      <c r="B798" s="148"/>
      <c r="C798" s="43"/>
      <c r="D798" s="35"/>
      <c r="E798" s="35"/>
      <c r="F798" s="35"/>
      <c r="G798" s="35"/>
      <c r="J798" s="38">
        <v>90</v>
      </c>
      <c r="K798" s="44" t="s">
        <v>204</v>
      </c>
      <c r="M798" s="41">
        <v>18.5</v>
      </c>
      <c r="N798" s="44" t="s">
        <v>274</v>
      </c>
      <c r="O798" s="35"/>
      <c r="P798" s="41">
        <v>18.8</v>
      </c>
      <c r="Q798" s="44" t="s">
        <v>274</v>
      </c>
    </row>
    <row r="799" spans="1:17" s="40" customFormat="1">
      <c r="A799" s="148" t="s">
        <v>721</v>
      </c>
      <c r="B799" s="148"/>
      <c r="C799" s="43"/>
      <c r="D799" s="35"/>
      <c r="E799" s="35"/>
      <c r="F799" s="35"/>
      <c r="G799" s="35"/>
      <c r="J799" s="38">
        <v>91</v>
      </c>
      <c r="K799" s="44" t="s">
        <v>204</v>
      </c>
      <c r="M799" s="41">
        <v>18.8</v>
      </c>
      <c r="N799" s="44" t="s">
        <v>274</v>
      </c>
      <c r="O799" s="35"/>
      <c r="P799" s="41">
        <v>19.100000000000001</v>
      </c>
      <c r="Q799" s="44" t="s">
        <v>274</v>
      </c>
    </row>
    <row r="800" spans="1:17" s="40" customFormat="1">
      <c r="A800" s="148"/>
      <c r="B800" s="148"/>
      <c r="C800" s="43"/>
      <c r="D800" s="35" t="s">
        <v>722</v>
      </c>
      <c r="E800" s="35"/>
      <c r="F800" s="35"/>
      <c r="G800" s="35"/>
      <c r="J800" s="38"/>
      <c r="K800" s="44"/>
      <c r="M800" s="41"/>
      <c r="N800" s="44"/>
      <c r="O800" s="35"/>
      <c r="P800" s="41"/>
      <c r="Q800" s="44"/>
    </row>
    <row r="801" spans="1:17" s="40" customFormat="1">
      <c r="A801" s="148" t="s">
        <v>723</v>
      </c>
      <c r="B801" s="148"/>
      <c r="C801" s="43"/>
      <c r="D801" s="35"/>
      <c r="E801" s="35"/>
      <c r="F801" s="35"/>
      <c r="G801" s="35"/>
      <c r="J801" s="38">
        <v>83</v>
      </c>
      <c r="K801" s="44" t="s">
        <v>204</v>
      </c>
      <c r="M801" s="41">
        <v>16.7</v>
      </c>
      <c r="N801" s="44" t="s">
        <v>274</v>
      </c>
      <c r="O801" s="35"/>
      <c r="P801" s="41">
        <v>17</v>
      </c>
      <c r="Q801" s="44" t="s">
        <v>274</v>
      </c>
    </row>
    <row r="802" spans="1:17" s="40" customFormat="1">
      <c r="A802" s="148" t="s">
        <v>724</v>
      </c>
      <c r="B802" s="148"/>
      <c r="C802" s="43"/>
      <c r="D802" s="35"/>
      <c r="E802" s="35"/>
      <c r="F802" s="35"/>
      <c r="G802" s="35"/>
      <c r="J802" s="38">
        <v>91</v>
      </c>
      <c r="K802" s="44" t="s">
        <v>204</v>
      </c>
      <c r="M802" s="41">
        <v>18.399999999999999</v>
      </c>
      <c r="N802" s="44" t="s">
        <v>274</v>
      </c>
      <c r="O802" s="35"/>
      <c r="P802" s="41">
        <v>18.7</v>
      </c>
      <c r="Q802" s="44" t="s">
        <v>274</v>
      </c>
    </row>
    <row r="803" spans="1:17" s="40" customFormat="1">
      <c r="A803" s="148" t="s">
        <v>725</v>
      </c>
      <c r="B803" s="148"/>
      <c r="C803" s="43"/>
      <c r="D803" s="35"/>
      <c r="E803" s="35"/>
      <c r="F803" s="35"/>
      <c r="G803" s="35"/>
      <c r="J803" s="38">
        <v>89</v>
      </c>
      <c r="K803" s="44" t="s">
        <v>204</v>
      </c>
      <c r="M803" s="41">
        <v>18</v>
      </c>
      <c r="N803" s="44" t="s">
        <v>274</v>
      </c>
      <c r="O803" s="35"/>
      <c r="P803" s="41">
        <v>18.3</v>
      </c>
      <c r="Q803" s="44" t="s">
        <v>274</v>
      </c>
    </row>
    <row r="804" spans="1:17" s="40" customFormat="1">
      <c r="A804" s="148" t="s">
        <v>726</v>
      </c>
      <c r="B804" s="148"/>
      <c r="C804" s="43"/>
      <c r="D804" s="35"/>
      <c r="E804" s="35"/>
      <c r="F804" s="35"/>
      <c r="G804" s="35"/>
      <c r="J804" s="38">
        <v>93</v>
      </c>
      <c r="K804" s="44" t="s">
        <v>204</v>
      </c>
      <c r="M804" s="41">
        <v>18.8</v>
      </c>
      <c r="N804" s="44" t="s">
        <v>274</v>
      </c>
      <c r="O804" s="35"/>
      <c r="P804" s="41">
        <v>19.100000000000001</v>
      </c>
      <c r="Q804" s="44" t="s">
        <v>274</v>
      </c>
    </row>
    <row r="805" spans="1:17" s="40" customFormat="1">
      <c r="A805" s="148" t="s">
        <v>727</v>
      </c>
      <c r="B805" s="148"/>
      <c r="C805" s="43"/>
      <c r="D805" s="35"/>
      <c r="E805" s="35"/>
      <c r="F805" s="35"/>
      <c r="G805" s="35"/>
      <c r="J805" s="38">
        <v>89</v>
      </c>
      <c r="K805" s="44" t="s">
        <v>204</v>
      </c>
      <c r="M805" s="41">
        <v>18</v>
      </c>
      <c r="N805" s="44" t="s">
        <v>274</v>
      </c>
      <c r="O805" s="35"/>
      <c r="P805" s="41">
        <v>18.3</v>
      </c>
      <c r="Q805" s="44" t="s">
        <v>274</v>
      </c>
    </row>
    <row r="806" spans="1:17" s="40" customFormat="1">
      <c r="A806" s="148" t="s">
        <v>728</v>
      </c>
      <c r="B806" s="148"/>
      <c r="C806" s="43"/>
      <c r="D806" s="35"/>
      <c r="E806" s="35"/>
      <c r="F806" s="35"/>
      <c r="G806" s="35"/>
      <c r="J806" s="38">
        <v>77</v>
      </c>
      <c r="K806" s="44" t="s">
        <v>204</v>
      </c>
      <c r="M806" s="41">
        <v>15.4</v>
      </c>
      <c r="N806" s="44" t="s">
        <v>274</v>
      </c>
      <c r="O806" s="35"/>
      <c r="P806" s="41">
        <v>15.7</v>
      </c>
      <c r="Q806" s="44" t="s">
        <v>274</v>
      </c>
    </row>
    <row r="807" spans="1:17" s="40" customFormat="1">
      <c r="A807" s="148" t="s">
        <v>729</v>
      </c>
      <c r="B807" s="148"/>
      <c r="C807" s="43"/>
      <c r="D807" s="35"/>
      <c r="E807" s="35"/>
      <c r="F807" s="35"/>
      <c r="G807" s="35"/>
      <c r="J807" s="38">
        <v>89</v>
      </c>
      <c r="K807" s="44" t="s">
        <v>204</v>
      </c>
      <c r="M807" s="41">
        <v>18</v>
      </c>
      <c r="N807" s="44" t="s">
        <v>274</v>
      </c>
      <c r="O807" s="35"/>
      <c r="P807" s="41">
        <v>18.3</v>
      </c>
      <c r="Q807" s="44" t="s">
        <v>274</v>
      </c>
    </row>
    <row r="808" spans="1:17" s="40" customFormat="1">
      <c r="A808" s="148" t="s">
        <v>730</v>
      </c>
      <c r="B808" s="148"/>
      <c r="C808" s="43"/>
      <c r="D808" s="35"/>
      <c r="E808" s="35"/>
      <c r="F808" s="35"/>
      <c r="G808" s="35"/>
      <c r="J808" s="38">
        <v>94</v>
      </c>
      <c r="K808" s="44" t="s">
        <v>204</v>
      </c>
      <c r="M808" s="41">
        <v>18.899999999999999</v>
      </c>
      <c r="N808" s="44" t="s">
        <v>274</v>
      </c>
      <c r="O808" s="35"/>
      <c r="P808" s="41">
        <v>19.2</v>
      </c>
      <c r="Q808" s="44" t="s">
        <v>274</v>
      </c>
    </row>
    <row r="809" spans="1:17" s="40" customFormat="1">
      <c r="A809" s="148" t="s">
        <v>731</v>
      </c>
      <c r="B809" s="148"/>
      <c r="C809" s="43"/>
      <c r="D809" s="35"/>
      <c r="E809" s="35"/>
      <c r="F809" s="35"/>
      <c r="G809" s="35"/>
      <c r="J809" s="38">
        <v>93</v>
      </c>
      <c r="K809" s="44" t="s">
        <v>204</v>
      </c>
      <c r="M809" s="41">
        <v>18.8</v>
      </c>
      <c r="N809" s="44" t="s">
        <v>274</v>
      </c>
      <c r="O809" s="35"/>
      <c r="P809" s="41">
        <v>19.100000000000001</v>
      </c>
      <c r="Q809" s="44" t="s">
        <v>274</v>
      </c>
    </row>
    <row r="810" spans="1:17" s="40" customFormat="1">
      <c r="A810" s="148" t="s">
        <v>732</v>
      </c>
      <c r="B810" s="148"/>
      <c r="C810" s="43"/>
      <c r="D810" s="35"/>
      <c r="E810" s="35"/>
      <c r="F810" s="35"/>
      <c r="G810" s="35"/>
      <c r="J810" s="38">
        <v>94</v>
      </c>
      <c r="K810" s="44" t="s">
        <v>204</v>
      </c>
      <c r="M810" s="41">
        <v>18.899999999999999</v>
      </c>
      <c r="N810" s="44" t="s">
        <v>274</v>
      </c>
      <c r="O810" s="35"/>
      <c r="P810" s="41">
        <v>19.2</v>
      </c>
      <c r="Q810" s="44" t="s">
        <v>274</v>
      </c>
    </row>
    <row r="811" spans="1:17" s="40" customFormat="1">
      <c r="A811" s="148" t="s">
        <v>733</v>
      </c>
      <c r="B811" s="148"/>
      <c r="C811" s="43"/>
      <c r="D811" s="35"/>
      <c r="E811" s="35"/>
      <c r="F811" s="35"/>
      <c r="G811" s="35"/>
      <c r="J811" s="38">
        <v>93</v>
      </c>
      <c r="K811" s="44" t="s">
        <v>204</v>
      </c>
      <c r="M811" s="41">
        <v>18.7</v>
      </c>
      <c r="N811" s="44" t="s">
        <v>274</v>
      </c>
      <c r="O811" s="35"/>
      <c r="P811" s="41">
        <v>19</v>
      </c>
      <c r="Q811" s="44" t="s">
        <v>274</v>
      </c>
    </row>
    <row r="812" spans="1:17" s="40" customFormat="1">
      <c r="A812" s="148" t="s">
        <v>734</v>
      </c>
      <c r="B812" s="148"/>
      <c r="C812" s="43"/>
      <c r="D812" s="35"/>
      <c r="E812" s="35"/>
      <c r="F812" s="35"/>
      <c r="G812" s="35"/>
      <c r="J812" s="38">
        <v>85</v>
      </c>
      <c r="K812" s="44" t="s">
        <v>204</v>
      </c>
      <c r="M812" s="41">
        <v>17.2</v>
      </c>
      <c r="N812" s="44" t="s">
        <v>274</v>
      </c>
      <c r="O812" s="35"/>
      <c r="P812" s="41">
        <v>17.5</v>
      </c>
      <c r="Q812" s="44" t="s">
        <v>274</v>
      </c>
    </row>
    <row r="813" spans="1:17" s="40" customFormat="1">
      <c r="A813" s="148" t="s">
        <v>735</v>
      </c>
      <c r="B813" s="148"/>
      <c r="C813" s="43"/>
      <c r="D813" s="35"/>
      <c r="E813" s="35"/>
      <c r="F813" s="35"/>
      <c r="G813" s="35"/>
      <c r="J813" s="38">
        <v>93</v>
      </c>
      <c r="K813" s="44" t="s">
        <v>204</v>
      </c>
      <c r="M813" s="41">
        <v>18.8</v>
      </c>
      <c r="N813" s="44" t="s">
        <v>274</v>
      </c>
      <c r="O813" s="35"/>
      <c r="P813" s="41">
        <v>19.100000000000001</v>
      </c>
      <c r="Q813" s="44" t="s">
        <v>274</v>
      </c>
    </row>
    <row r="814" spans="1:17" s="40" customFormat="1">
      <c r="A814" s="148" t="s">
        <v>736</v>
      </c>
      <c r="B814" s="148"/>
      <c r="C814" s="43"/>
      <c r="D814" s="35"/>
      <c r="E814" s="35"/>
      <c r="F814" s="35"/>
      <c r="G814" s="35"/>
      <c r="J814" s="38">
        <v>93</v>
      </c>
      <c r="K814" s="44" t="s">
        <v>204</v>
      </c>
      <c r="M814" s="41">
        <v>18.8</v>
      </c>
      <c r="N814" s="44" t="s">
        <v>274</v>
      </c>
      <c r="O814" s="35"/>
      <c r="P814" s="41">
        <v>19.100000000000001</v>
      </c>
      <c r="Q814" s="44" t="s">
        <v>274</v>
      </c>
    </row>
    <row r="815" spans="1:17" s="40" customFormat="1">
      <c r="A815" s="148" t="s">
        <v>737</v>
      </c>
      <c r="B815" s="148"/>
      <c r="C815" s="43"/>
      <c r="D815" s="35"/>
      <c r="E815" s="35"/>
      <c r="F815" s="35"/>
      <c r="G815" s="35"/>
      <c r="J815" s="38">
        <v>92</v>
      </c>
      <c r="K815" s="44" t="s">
        <v>204</v>
      </c>
      <c r="M815" s="41">
        <v>18.5</v>
      </c>
      <c r="N815" s="44" t="s">
        <v>274</v>
      </c>
      <c r="O815" s="35"/>
      <c r="P815" s="41">
        <v>18.8</v>
      </c>
      <c r="Q815" s="44" t="s">
        <v>274</v>
      </c>
    </row>
    <row r="816" spans="1:17" s="40" customFormat="1">
      <c r="A816" s="148" t="s">
        <v>738</v>
      </c>
      <c r="B816" s="148"/>
      <c r="C816" s="43"/>
      <c r="D816" s="35"/>
      <c r="E816" s="35"/>
      <c r="F816" s="35"/>
      <c r="G816" s="35"/>
      <c r="J816" s="38">
        <v>94</v>
      </c>
      <c r="K816" s="44" t="s">
        <v>204</v>
      </c>
      <c r="M816" s="41">
        <v>19</v>
      </c>
      <c r="N816" s="44" t="s">
        <v>274</v>
      </c>
      <c r="O816" s="35"/>
      <c r="P816" s="41">
        <v>19.3</v>
      </c>
      <c r="Q816" s="44" t="s">
        <v>274</v>
      </c>
    </row>
    <row r="817" spans="1:17" s="40" customFormat="1">
      <c r="A817" s="148"/>
      <c r="B817" s="148"/>
      <c r="C817" s="43"/>
      <c r="D817" s="35" t="s">
        <v>739</v>
      </c>
      <c r="E817" s="35"/>
      <c r="F817" s="35"/>
      <c r="G817" s="35"/>
      <c r="J817" s="38"/>
      <c r="K817" s="44"/>
      <c r="M817" s="41"/>
      <c r="N817" s="44"/>
      <c r="O817" s="35"/>
      <c r="P817" s="41"/>
      <c r="Q817" s="44"/>
    </row>
    <row r="818" spans="1:17" s="40" customFormat="1">
      <c r="A818" s="148" t="s">
        <v>740</v>
      </c>
      <c r="B818" s="148"/>
      <c r="C818" s="43"/>
      <c r="D818" s="35"/>
      <c r="E818" s="35"/>
      <c r="F818" s="35"/>
      <c r="G818" s="35"/>
      <c r="J818" s="38">
        <v>78</v>
      </c>
      <c r="K818" s="44" t="s">
        <v>204</v>
      </c>
      <c r="M818" s="41">
        <v>15.4</v>
      </c>
      <c r="N818" s="44" t="s">
        <v>274</v>
      </c>
      <c r="O818" s="35"/>
      <c r="P818" s="41">
        <v>15.7</v>
      </c>
      <c r="Q818" s="44" t="s">
        <v>274</v>
      </c>
    </row>
    <row r="819" spans="1:17" s="40" customFormat="1">
      <c r="A819" s="148" t="s">
        <v>741</v>
      </c>
      <c r="B819" s="148"/>
      <c r="C819" s="43"/>
      <c r="D819" s="35"/>
      <c r="E819" s="35"/>
      <c r="F819" s="35"/>
      <c r="G819" s="35"/>
      <c r="J819" s="38">
        <v>83</v>
      </c>
      <c r="K819" s="44" t="s">
        <v>204</v>
      </c>
      <c r="M819" s="41">
        <v>16.5</v>
      </c>
      <c r="N819" s="44" t="s">
        <v>274</v>
      </c>
      <c r="O819" s="35"/>
      <c r="P819" s="41">
        <v>16.8</v>
      </c>
      <c r="Q819" s="44" t="s">
        <v>274</v>
      </c>
    </row>
    <row r="820" spans="1:17" s="40" customFormat="1">
      <c r="A820" s="148" t="s">
        <v>742</v>
      </c>
      <c r="B820" s="148"/>
      <c r="C820" s="43"/>
      <c r="D820" s="35"/>
      <c r="E820" s="35"/>
      <c r="F820" s="35"/>
      <c r="G820" s="35"/>
      <c r="J820" s="38">
        <v>90</v>
      </c>
      <c r="K820" s="44" t="s">
        <v>204</v>
      </c>
      <c r="M820" s="41">
        <v>17.8</v>
      </c>
      <c r="N820" s="44" t="s">
        <v>274</v>
      </c>
      <c r="O820" s="35"/>
      <c r="P820" s="41">
        <v>18.100000000000001</v>
      </c>
      <c r="Q820" s="44" t="s">
        <v>274</v>
      </c>
    </row>
    <row r="821" spans="1:17" s="40" customFormat="1">
      <c r="A821" s="148" t="s">
        <v>743</v>
      </c>
      <c r="B821" s="148"/>
      <c r="C821" s="43"/>
      <c r="D821" s="35"/>
      <c r="E821" s="35"/>
      <c r="F821" s="35"/>
      <c r="G821" s="35"/>
      <c r="J821" s="38">
        <v>95</v>
      </c>
      <c r="K821" s="44" t="s">
        <v>204</v>
      </c>
      <c r="M821" s="41">
        <v>18.899999999999999</v>
      </c>
      <c r="N821" s="44" t="s">
        <v>274</v>
      </c>
      <c r="O821" s="35"/>
      <c r="P821" s="41">
        <v>19.2</v>
      </c>
      <c r="Q821" s="44" t="s">
        <v>274</v>
      </c>
    </row>
    <row r="822" spans="1:17" s="40" customFormat="1">
      <c r="A822" s="148" t="s">
        <v>744</v>
      </c>
      <c r="B822" s="148"/>
      <c r="C822" s="43"/>
      <c r="D822" s="35"/>
      <c r="E822" s="35"/>
      <c r="F822" s="35"/>
      <c r="G822" s="35"/>
      <c r="J822" s="38">
        <v>94</v>
      </c>
      <c r="K822" s="44" t="s">
        <v>204</v>
      </c>
      <c r="M822" s="41">
        <v>18.600000000000001</v>
      </c>
      <c r="N822" s="44" t="s">
        <v>274</v>
      </c>
      <c r="O822" s="35"/>
      <c r="P822" s="41">
        <v>18.899999999999999</v>
      </c>
      <c r="Q822" s="44" t="s">
        <v>274</v>
      </c>
    </row>
    <row r="823" spans="1:17" s="40" customFormat="1">
      <c r="A823" s="148" t="s">
        <v>745</v>
      </c>
      <c r="B823" s="148"/>
      <c r="C823" s="43"/>
      <c r="D823" s="35"/>
      <c r="E823" s="35"/>
      <c r="F823" s="35"/>
      <c r="G823" s="35"/>
      <c r="J823" s="38">
        <v>93</v>
      </c>
      <c r="K823" s="44" t="s">
        <v>204</v>
      </c>
      <c r="M823" s="41">
        <v>18.399999999999999</v>
      </c>
      <c r="N823" s="44" t="s">
        <v>274</v>
      </c>
      <c r="O823" s="35"/>
      <c r="P823" s="41">
        <v>18.7</v>
      </c>
      <c r="Q823" s="44" t="s">
        <v>274</v>
      </c>
    </row>
    <row r="824" spans="1:17" s="40" customFormat="1">
      <c r="A824" s="148" t="s">
        <v>746</v>
      </c>
      <c r="B824" s="148"/>
      <c r="C824" s="43"/>
      <c r="D824" s="35"/>
      <c r="E824" s="35"/>
      <c r="F824" s="35"/>
      <c r="G824" s="35"/>
      <c r="J824" s="38">
        <v>63</v>
      </c>
      <c r="K824" s="44" t="s">
        <v>204</v>
      </c>
      <c r="M824" s="41">
        <v>12.4</v>
      </c>
      <c r="N824" s="44" t="s">
        <v>274</v>
      </c>
      <c r="O824" s="35"/>
      <c r="P824" s="41">
        <v>12.7</v>
      </c>
      <c r="Q824" s="44" t="s">
        <v>274</v>
      </c>
    </row>
    <row r="825" spans="1:17" s="40" customFormat="1">
      <c r="A825" s="148" t="s">
        <v>747</v>
      </c>
      <c r="B825" s="148"/>
      <c r="C825" s="43"/>
      <c r="D825" s="35"/>
      <c r="E825" s="35"/>
      <c r="F825" s="35"/>
      <c r="G825" s="35"/>
      <c r="J825" s="38">
        <v>92</v>
      </c>
      <c r="K825" s="44" t="s">
        <v>204</v>
      </c>
      <c r="M825" s="41">
        <v>18.3</v>
      </c>
      <c r="N825" s="44" t="s">
        <v>274</v>
      </c>
      <c r="O825" s="35"/>
      <c r="P825" s="41">
        <v>18.600000000000001</v>
      </c>
      <c r="Q825" s="44" t="s">
        <v>274</v>
      </c>
    </row>
    <row r="826" spans="1:17" s="40" customFormat="1">
      <c r="A826" s="148" t="s">
        <v>748</v>
      </c>
      <c r="B826" s="148"/>
      <c r="C826" s="43"/>
      <c r="D826" s="35"/>
      <c r="E826" s="35"/>
      <c r="F826" s="35"/>
      <c r="G826" s="35"/>
      <c r="J826" s="38">
        <v>91</v>
      </c>
      <c r="K826" s="44" t="s">
        <v>204</v>
      </c>
      <c r="M826" s="41">
        <v>18</v>
      </c>
      <c r="N826" s="44" t="s">
        <v>274</v>
      </c>
      <c r="O826" s="35"/>
      <c r="P826" s="41">
        <v>18.3</v>
      </c>
      <c r="Q826" s="44" t="s">
        <v>274</v>
      </c>
    </row>
    <row r="827" spans="1:17" s="40" customFormat="1">
      <c r="A827" s="148" t="s">
        <v>749</v>
      </c>
      <c r="B827" s="148"/>
      <c r="C827" s="43"/>
      <c r="D827" s="35"/>
      <c r="E827" s="35"/>
      <c r="F827" s="35"/>
      <c r="G827" s="35"/>
      <c r="J827" s="38">
        <v>87</v>
      </c>
      <c r="K827" s="44" t="s">
        <v>204</v>
      </c>
      <c r="M827" s="41">
        <v>17.2</v>
      </c>
      <c r="N827" s="44" t="s">
        <v>274</v>
      </c>
      <c r="O827" s="35"/>
      <c r="P827" s="41">
        <v>17.5</v>
      </c>
      <c r="Q827" s="44" t="s">
        <v>274</v>
      </c>
    </row>
    <row r="828" spans="1:17" s="40" customFormat="1">
      <c r="A828" s="148" t="s">
        <v>750</v>
      </c>
      <c r="B828" s="148"/>
      <c r="C828" s="43"/>
      <c r="D828" s="35"/>
      <c r="E828" s="35"/>
      <c r="F828" s="35"/>
      <c r="G828" s="35"/>
      <c r="J828" s="38">
        <v>87</v>
      </c>
      <c r="K828" s="44" t="s">
        <v>204</v>
      </c>
      <c r="M828" s="41">
        <v>17.2</v>
      </c>
      <c r="N828" s="44" t="s">
        <v>274</v>
      </c>
      <c r="O828" s="35"/>
      <c r="P828" s="41">
        <v>17.5</v>
      </c>
      <c r="Q828" s="44" t="s">
        <v>274</v>
      </c>
    </row>
    <row r="829" spans="1:17" s="40" customFormat="1">
      <c r="A829" s="148"/>
      <c r="B829" s="148"/>
      <c r="C829" s="43"/>
      <c r="D829" s="35"/>
      <c r="E829" s="35"/>
      <c r="F829" s="35"/>
      <c r="G829" s="35"/>
      <c r="J829" s="38"/>
      <c r="K829" s="44"/>
      <c r="M829" s="41"/>
      <c r="N829" s="44"/>
      <c r="O829" s="35"/>
      <c r="P829" s="41"/>
      <c r="Q829" s="44"/>
    </row>
    <row r="830" spans="1:17" s="40" customFormat="1">
      <c r="A830" s="148"/>
      <c r="B830" s="148"/>
      <c r="C830" s="43"/>
      <c r="D830" s="35" t="s">
        <v>269</v>
      </c>
      <c r="E830" s="35"/>
      <c r="F830" s="35"/>
      <c r="G830" s="35"/>
      <c r="J830" s="38"/>
      <c r="K830" s="44"/>
      <c r="M830" s="41"/>
      <c r="N830" s="44"/>
      <c r="O830" s="35"/>
      <c r="P830" s="41"/>
      <c r="Q830" s="44"/>
    </row>
    <row r="831" spans="1:17" s="40" customFormat="1">
      <c r="A831" s="148"/>
      <c r="B831" s="148"/>
      <c r="C831" s="43"/>
      <c r="D831" s="35" t="s">
        <v>383</v>
      </c>
      <c r="E831" s="35"/>
      <c r="F831" s="35"/>
      <c r="G831" s="35"/>
      <c r="J831" s="38"/>
      <c r="K831" s="44"/>
      <c r="M831" s="41"/>
      <c r="N831" s="44"/>
      <c r="O831" s="35"/>
      <c r="P831" s="41"/>
      <c r="Q831" s="44"/>
    </row>
    <row r="832" spans="1:17" s="40" customFormat="1">
      <c r="A832" s="148" t="s">
        <v>751</v>
      </c>
      <c r="B832" s="148"/>
      <c r="C832" s="43"/>
      <c r="D832" s="35"/>
      <c r="E832" s="35"/>
      <c r="F832" s="35"/>
      <c r="G832" s="35"/>
      <c r="J832" s="38">
        <v>92</v>
      </c>
      <c r="K832" s="44" t="s">
        <v>204</v>
      </c>
      <c r="M832" s="41">
        <v>18.100000000000001</v>
      </c>
      <c r="N832" s="44" t="s">
        <v>274</v>
      </c>
      <c r="O832" s="35"/>
      <c r="P832" s="41">
        <v>18.399999999999999</v>
      </c>
      <c r="Q832" s="44" t="s">
        <v>274</v>
      </c>
    </row>
    <row r="833" spans="1:17" s="40" customFormat="1">
      <c r="A833" s="148" t="s">
        <v>752</v>
      </c>
      <c r="B833" s="148"/>
      <c r="C833" s="43"/>
      <c r="D833" s="35"/>
      <c r="E833" s="35"/>
      <c r="F833" s="35"/>
      <c r="G833" s="35"/>
      <c r="J833" s="38">
        <v>93</v>
      </c>
      <c r="K833" s="44" t="s">
        <v>204</v>
      </c>
      <c r="M833" s="41">
        <v>18.399999999999999</v>
      </c>
      <c r="N833" s="44" t="s">
        <v>274</v>
      </c>
      <c r="O833" s="35"/>
      <c r="P833" s="41">
        <v>18.7</v>
      </c>
      <c r="Q833" s="44" t="s">
        <v>274</v>
      </c>
    </row>
    <row r="834" spans="1:17" s="40" customFormat="1">
      <c r="A834" s="148" t="s">
        <v>753</v>
      </c>
      <c r="B834" s="148"/>
      <c r="C834" s="43"/>
      <c r="D834" s="35"/>
      <c r="E834" s="35"/>
      <c r="F834" s="35"/>
      <c r="G834" s="35"/>
      <c r="J834" s="38">
        <v>70</v>
      </c>
      <c r="K834" s="44" t="s">
        <v>204</v>
      </c>
      <c r="M834" s="41">
        <v>13.8</v>
      </c>
      <c r="N834" s="44" t="s">
        <v>274</v>
      </c>
      <c r="O834" s="35"/>
      <c r="P834" s="41">
        <v>14.1</v>
      </c>
      <c r="Q834" s="44" t="s">
        <v>274</v>
      </c>
    </row>
    <row r="835" spans="1:17" s="40" customFormat="1">
      <c r="A835" s="148" t="s">
        <v>754</v>
      </c>
      <c r="B835" s="148"/>
      <c r="C835" s="43"/>
      <c r="D835" s="35"/>
      <c r="E835" s="35"/>
      <c r="F835" s="35"/>
      <c r="G835" s="35"/>
      <c r="J835" s="38">
        <v>116</v>
      </c>
      <c r="K835" s="44" t="s">
        <v>204</v>
      </c>
      <c r="M835" s="41">
        <v>22.9</v>
      </c>
      <c r="N835" s="44" t="s">
        <v>274</v>
      </c>
      <c r="O835" s="35"/>
      <c r="P835" s="41">
        <v>23.2</v>
      </c>
      <c r="Q835" s="44" t="s">
        <v>274</v>
      </c>
    </row>
    <row r="836" spans="1:17" s="40" customFormat="1">
      <c r="A836" s="148" t="s">
        <v>755</v>
      </c>
      <c r="B836" s="148"/>
      <c r="C836" s="43"/>
      <c r="D836" s="35"/>
      <c r="E836" s="35"/>
      <c r="F836" s="35"/>
      <c r="G836" s="35"/>
      <c r="J836" s="38">
        <v>53</v>
      </c>
      <c r="K836" s="44" t="s">
        <v>204</v>
      </c>
      <c r="M836" s="41">
        <v>10.5</v>
      </c>
      <c r="N836" s="44" t="s">
        <v>274</v>
      </c>
      <c r="O836" s="35"/>
      <c r="P836" s="41">
        <v>10.8</v>
      </c>
      <c r="Q836" s="44" t="s">
        <v>274</v>
      </c>
    </row>
    <row r="837" spans="1:17" s="40" customFormat="1">
      <c r="A837" s="148" t="s">
        <v>756</v>
      </c>
      <c r="B837" s="148"/>
      <c r="C837" s="43"/>
      <c r="D837" s="35"/>
      <c r="E837" s="35"/>
      <c r="F837" s="35"/>
      <c r="G837" s="35"/>
      <c r="J837" s="38">
        <v>36</v>
      </c>
      <c r="K837" s="44" t="s">
        <v>204</v>
      </c>
      <c r="M837" s="41">
        <v>7.2</v>
      </c>
      <c r="N837" s="44" t="s">
        <v>274</v>
      </c>
      <c r="O837" s="35"/>
      <c r="P837" s="41">
        <v>7.5</v>
      </c>
      <c r="Q837" s="44" t="s">
        <v>274</v>
      </c>
    </row>
    <row r="838" spans="1:17" s="40" customFormat="1">
      <c r="A838" s="148" t="s">
        <v>757</v>
      </c>
      <c r="B838" s="148"/>
      <c r="C838" s="43"/>
      <c r="D838" s="35"/>
      <c r="E838" s="35"/>
      <c r="F838" s="35"/>
      <c r="G838" s="35"/>
      <c r="J838" s="38">
        <v>104</v>
      </c>
      <c r="K838" s="44" t="s">
        <v>204</v>
      </c>
      <c r="M838" s="41">
        <v>20.5</v>
      </c>
      <c r="N838" s="44" t="s">
        <v>274</v>
      </c>
      <c r="O838" s="35"/>
      <c r="P838" s="41">
        <v>20.8</v>
      </c>
      <c r="Q838" s="44" t="s">
        <v>274</v>
      </c>
    </row>
    <row r="839" spans="1:17" s="40" customFormat="1">
      <c r="A839" s="148" t="s">
        <v>758</v>
      </c>
      <c r="B839" s="148"/>
      <c r="C839" s="43"/>
      <c r="D839" s="35"/>
      <c r="E839" s="35"/>
      <c r="F839" s="35"/>
      <c r="G839" s="35"/>
      <c r="J839" s="38">
        <v>90</v>
      </c>
      <c r="K839" s="44" t="s">
        <v>204</v>
      </c>
      <c r="M839" s="41">
        <v>17.8</v>
      </c>
      <c r="N839" s="44" t="s">
        <v>274</v>
      </c>
      <c r="O839" s="35"/>
      <c r="P839" s="41">
        <v>18.100000000000001</v>
      </c>
      <c r="Q839" s="44" t="s">
        <v>274</v>
      </c>
    </row>
    <row r="840" spans="1:17" s="40" customFormat="1">
      <c r="A840" s="148" t="s">
        <v>759</v>
      </c>
      <c r="B840" s="148"/>
      <c r="C840" s="43"/>
      <c r="D840" s="35"/>
      <c r="E840" s="35"/>
      <c r="F840" s="35"/>
      <c r="G840" s="35"/>
      <c r="J840" s="38">
        <v>86</v>
      </c>
      <c r="K840" s="44" t="s">
        <v>204</v>
      </c>
      <c r="M840" s="41">
        <v>17</v>
      </c>
      <c r="N840" s="44" t="s">
        <v>274</v>
      </c>
      <c r="O840" s="35"/>
      <c r="P840" s="41">
        <v>17.3</v>
      </c>
      <c r="Q840" s="44" t="s">
        <v>274</v>
      </c>
    </row>
    <row r="841" spans="1:17" s="40" customFormat="1">
      <c r="A841" s="148" t="s">
        <v>760</v>
      </c>
      <c r="B841" s="148"/>
      <c r="C841" s="43"/>
      <c r="D841" s="35"/>
      <c r="E841" s="35"/>
      <c r="F841" s="35"/>
      <c r="G841" s="35"/>
      <c r="J841" s="38">
        <v>92</v>
      </c>
      <c r="K841" s="44" t="s">
        <v>204</v>
      </c>
      <c r="M841" s="41">
        <v>18.2</v>
      </c>
      <c r="N841" s="44" t="s">
        <v>274</v>
      </c>
      <c r="O841" s="35"/>
      <c r="P841" s="41">
        <v>18.5</v>
      </c>
      <c r="Q841" s="44" t="s">
        <v>274</v>
      </c>
    </row>
    <row r="842" spans="1:17" s="40" customFormat="1">
      <c r="A842" s="148" t="s">
        <v>761</v>
      </c>
      <c r="B842" s="148"/>
      <c r="C842" s="43"/>
      <c r="D842" s="35"/>
      <c r="E842" s="35"/>
      <c r="F842" s="35"/>
      <c r="G842" s="35"/>
      <c r="J842" s="38">
        <v>94</v>
      </c>
      <c r="K842" s="44" t="s">
        <v>204</v>
      </c>
      <c r="M842" s="41">
        <v>18.5</v>
      </c>
      <c r="N842" s="44" t="s">
        <v>274</v>
      </c>
      <c r="O842" s="35"/>
      <c r="P842" s="41">
        <v>18.8</v>
      </c>
      <c r="Q842" s="44" t="s">
        <v>274</v>
      </c>
    </row>
    <row r="843" spans="1:17" s="40" customFormat="1">
      <c r="A843" s="148" t="s">
        <v>762</v>
      </c>
      <c r="B843" s="148"/>
      <c r="C843" s="43"/>
      <c r="D843" s="35"/>
      <c r="E843" s="35"/>
      <c r="F843" s="35"/>
      <c r="G843" s="35"/>
      <c r="J843" s="38">
        <v>93</v>
      </c>
      <c r="K843" s="44" t="s">
        <v>204</v>
      </c>
      <c r="M843" s="41">
        <v>18.3</v>
      </c>
      <c r="N843" s="44" t="s">
        <v>274</v>
      </c>
      <c r="O843" s="35"/>
      <c r="P843" s="41">
        <v>18.600000000000001</v>
      </c>
      <c r="Q843" s="44" t="s">
        <v>274</v>
      </c>
    </row>
    <row r="844" spans="1:17" s="40" customFormat="1">
      <c r="A844" s="148"/>
      <c r="B844" s="148"/>
      <c r="C844" s="43"/>
      <c r="D844" s="35" t="s">
        <v>488</v>
      </c>
      <c r="E844" s="35"/>
      <c r="F844" s="35"/>
      <c r="G844" s="35"/>
      <c r="J844" s="38"/>
      <c r="K844" s="44"/>
      <c r="M844" s="41"/>
      <c r="N844" s="44"/>
      <c r="O844" s="35"/>
      <c r="P844" s="41"/>
      <c r="Q844" s="44"/>
    </row>
    <row r="845" spans="1:17" s="40" customFormat="1">
      <c r="A845" s="148" t="s">
        <v>763</v>
      </c>
      <c r="B845" s="148"/>
      <c r="C845" s="43"/>
      <c r="D845" s="35"/>
      <c r="E845" s="35"/>
      <c r="F845" s="35"/>
      <c r="G845" s="35"/>
      <c r="J845" s="38">
        <v>83</v>
      </c>
      <c r="K845" s="44" t="s">
        <v>204</v>
      </c>
      <c r="M845" s="41">
        <v>16.3</v>
      </c>
      <c r="N845" s="44" t="s">
        <v>274</v>
      </c>
      <c r="O845" s="35"/>
      <c r="P845" s="41">
        <v>16.600000000000001</v>
      </c>
      <c r="Q845" s="44" t="s">
        <v>274</v>
      </c>
    </row>
    <row r="846" spans="1:17" s="40" customFormat="1">
      <c r="A846" s="148" t="s">
        <v>764</v>
      </c>
      <c r="B846" s="148"/>
      <c r="C846" s="43"/>
      <c r="D846" s="35"/>
      <c r="E846" s="35"/>
      <c r="F846" s="35"/>
      <c r="G846" s="35"/>
      <c r="J846" s="38">
        <v>91</v>
      </c>
      <c r="K846" s="44" t="s">
        <v>204</v>
      </c>
      <c r="M846" s="41">
        <v>17.899999999999999</v>
      </c>
      <c r="N846" s="44" t="s">
        <v>274</v>
      </c>
      <c r="O846" s="35"/>
      <c r="P846" s="41">
        <v>18.2</v>
      </c>
      <c r="Q846" s="44" t="s">
        <v>274</v>
      </c>
    </row>
    <row r="847" spans="1:17" s="40" customFormat="1">
      <c r="A847" s="148" t="s">
        <v>765</v>
      </c>
      <c r="B847" s="148"/>
      <c r="C847" s="43"/>
      <c r="D847" s="35"/>
      <c r="E847" s="35"/>
      <c r="F847" s="35"/>
      <c r="G847" s="35"/>
      <c r="J847" s="38">
        <v>85</v>
      </c>
      <c r="K847" s="44" t="s">
        <v>204</v>
      </c>
      <c r="M847" s="41">
        <v>16.7</v>
      </c>
      <c r="N847" s="44" t="s">
        <v>274</v>
      </c>
      <c r="O847" s="35"/>
      <c r="P847" s="41">
        <v>17</v>
      </c>
      <c r="Q847" s="44" t="s">
        <v>274</v>
      </c>
    </row>
    <row r="848" spans="1:17" s="40" customFormat="1">
      <c r="A848" s="148" t="s">
        <v>766</v>
      </c>
      <c r="B848" s="148"/>
      <c r="C848" s="43"/>
      <c r="D848" s="35"/>
      <c r="E848" s="35"/>
      <c r="F848" s="35"/>
      <c r="G848" s="35"/>
      <c r="J848" s="38">
        <v>92</v>
      </c>
      <c r="K848" s="44" t="s">
        <v>204</v>
      </c>
      <c r="M848" s="41">
        <v>18.100000000000001</v>
      </c>
      <c r="N848" s="44" t="s">
        <v>274</v>
      </c>
      <c r="O848" s="35"/>
      <c r="P848" s="41">
        <v>18.399999999999999</v>
      </c>
      <c r="Q848" s="44" t="s">
        <v>274</v>
      </c>
    </row>
    <row r="849" spans="1:17" s="40" customFormat="1">
      <c r="A849" s="148" t="s">
        <v>767</v>
      </c>
      <c r="B849" s="148"/>
      <c r="C849" s="43"/>
      <c r="D849" s="35"/>
      <c r="E849" s="35"/>
      <c r="F849" s="35"/>
      <c r="G849" s="35"/>
      <c r="J849" s="38">
        <v>93</v>
      </c>
      <c r="K849" s="44" t="s">
        <v>204</v>
      </c>
      <c r="M849" s="41">
        <v>18.3</v>
      </c>
      <c r="N849" s="44" t="s">
        <v>274</v>
      </c>
      <c r="O849" s="35"/>
      <c r="P849" s="41">
        <v>18.600000000000001</v>
      </c>
      <c r="Q849" s="44" t="s">
        <v>274</v>
      </c>
    </row>
    <row r="850" spans="1:17" s="40" customFormat="1">
      <c r="A850" s="148" t="s">
        <v>768</v>
      </c>
      <c r="B850" s="148"/>
      <c r="C850" s="43"/>
      <c r="D850" s="35"/>
      <c r="E850" s="35"/>
      <c r="F850" s="35"/>
      <c r="G850" s="35"/>
      <c r="J850" s="38">
        <v>93</v>
      </c>
      <c r="K850" s="44" t="s">
        <v>204</v>
      </c>
      <c r="M850" s="41">
        <v>18.3</v>
      </c>
      <c r="N850" s="44" t="s">
        <v>274</v>
      </c>
      <c r="O850" s="35"/>
      <c r="P850" s="41">
        <v>18.600000000000001</v>
      </c>
      <c r="Q850" s="44" t="s">
        <v>274</v>
      </c>
    </row>
    <row r="851" spans="1:17" s="40" customFormat="1">
      <c r="A851" s="148" t="s">
        <v>769</v>
      </c>
      <c r="B851" s="148"/>
      <c r="C851" s="43"/>
      <c r="D851" s="35"/>
      <c r="E851" s="35"/>
      <c r="F851" s="35"/>
      <c r="G851" s="35"/>
      <c r="J851" s="38">
        <v>73</v>
      </c>
      <c r="K851" s="44" t="s">
        <v>204</v>
      </c>
      <c r="M851" s="41">
        <v>14.4</v>
      </c>
      <c r="N851" s="44" t="s">
        <v>274</v>
      </c>
      <c r="O851" s="35"/>
      <c r="P851" s="41">
        <v>14.7</v>
      </c>
      <c r="Q851" s="44" t="s">
        <v>274</v>
      </c>
    </row>
    <row r="852" spans="1:17" s="40" customFormat="1">
      <c r="A852" s="148" t="s">
        <v>770</v>
      </c>
      <c r="B852" s="148"/>
      <c r="C852" s="43"/>
      <c r="D852" s="35"/>
      <c r="E852" s="35"/>
      <c r="F852" s="35"/>
      <c r="G852" s="35"/>
      <c r="J852" s="38">
        <v>94</v>
      </c>
      <c r="K852" s="44" t="s">
        <v>204</v>
      </c>
      <c r="M852" s="41">
        <v>18.5</v>
      </c>
      <c r="N852" s="44" t="s">
        <v>274</v>
      </c>
      <c r="O852" s="35"/>
      <c r="P852" s="41">
        <v>18.8</v>
      </c>
      <c r="Q852" s="44" t="s">
        <v>274</v>
      </c>
    </row>
    <row r="853" spans="1:17" s="40" customFormat="1">
      <c r="A853" s="148" t="s">
        <v>771</v>
      </c>
      <c r="B853" s="148"/>
      <c r="C853" s="43"/>
      <c r="D853" s="35"/>
      <c r="E853" s="35"/>
      <c r="F853" s="35"/>
      <c r="G853" s="35"/>
      <c r="J853" s="38">
        <v>95</v>
      </c>
      <c r="K853" s="44" t="s">
        <v>204</v>
      </c>
      <c r="M853" s="41">
        <v>18.600000000000001</v>
      </c>
      <c r="N853" s="44" t="s">
        <v>274</v>
      </c>
      <c r="O853" s="35"/>
      <c r="P853" s="41">
        <v>18.899999999999999</v>
      </c>
      <c r="Q853" s="44" t="s">
        <v>274</v>
      </c>
    </row>
    <row r="854" spans="1:17" s="40" customFormat="1">
      <c r="A854" s="148" t="s">
        <v>772</v>
      </c>
      <c r="B854" s="148"/>
      <c r="C854" s="43"/>
      <c r="D854" s="35"/>
      <c r="E854" s="35"/>
      <c r="F854" s="35"/>
      <c r="G854" s="35"/>
      <c r="J854" s="38">
        <v>94</v>
      </c>
      <c r="K854" s="44" t="s">
        <v>204</v>
      </c>
      <c r="M854" s="41">
        <v>18.399999999999999</v>
      </c>
      <c r="N854" s="44" t="s">
        <v>274</v>
      </c>
      <c r="O854" s="35"/>
      <c r="P854" s="41">
        <v>18.7</v>
      </c>
      <c r="Q854" s="44" t="s">
        <v>274</v>
      </c>
    </row>
    <row r="855" spans="1:17" s="40" customFormat="1">
      <c r="A855" s="148" t="s">
        <v>773</v>
      </c>
      <c r="B855" s="148"/>
      <c r="C855" s="43"/>
      <c r="D855" s="35"/>
      <c r="E855" s="35"/>
      <c r="F855" s="35"/>
      <c r="G855" s="35"/>
      <c r="J855" s="38">
        <v>96</v>
      </c>
      <c r="K855" s="44" t="s">
        <v>204</v>
      </c>
      <c r="M855" s="41">
        <v>18.8</v>
      </c>
      <c r="N855" s="44" t="s">
        <v>274</v>
      </c>
      <c r="O855" s="35"/>
      <c r="P855" s="41">
        <v>19.100000000000001</v>
      </c>
      <c r="Q855" s="44" t="s">
        <v>274</v>
      </c>
    </row>
    <row r="856" spans="1:17" s="40" customFormat="1">
      <c r="A856" s="148" t="s">
        <v>774</v>
      </c>
      <c r="B856" s="148"/>
      <c r="C856" s="43"/>
      <c r="D856" s="35"/>
      <c r="E856" s="35"/>
      <c r="F856" s="35"/>
      <c r="G856" s="35"/>
      <c r="J856" s="38">
        <v>88</v>
      </c>
      <c r="K856" s="44" t="s">
        <v>204</v>
      </c>
      <c r="M856" s="41">
        <v>17.3</v>
      </c>
      <c r="N856" s="44" t="s">
        <v>274</v>
      </c>
      <c r="O856" s="35"/>
      <c r="P856" s="41">
        <v>17.600000000000001</v>
      </c>
      <c r="Q856" s="44" t="s">
        <v>274</v>
      </c>
    </row>
    <row r="857" spans="1:17" s="40" customFormat="1">
      <c r="A857" s="148"/>
      <c r="B857" s="148"/>
      <c r="C857" s="43"/>
      <c r="D857" s="35"/>
      <c r="E857" s="35"/>
      <c r="F857" s="35"/>
      <c r="G857" s="35"/>
      <c r="J857" s="38"/>
      <c r="K857" s="44"/>
      <c r="M857" s="41"/>
      <c r="N857" s="44"/>
      <c r="O857" s="35"/>
      <c r="P857" s="41"/>
      <c r="Q857" s="44"/>
    </row>
    <row r="858" spans="1:17" s="40" customFormat="1">
      <c r="A858" s="148"/>
      <c r="B858" s="148"/>
      <c r="C858" s="43"/>
      <c r="D858" s="35" t="s">
        <v>270</v>
      </c>
      <c r="E858" s="35"/>
      <c r="F858" s="35"/>
      <c r="G858" s="35"/>
      <c r="J858" s="38"/>
      <c r="K858" s="44"/>
      <c r="M858" s="41"/>
      <c r="N858" s="44"/>
      <c r="O858" s="35"/>
      <c r="P858" s="41"/>
      <c r="Q858" s="44"/>
    </row>
    <row r="859" spans="1:17" s="40" customFormat="1">
      <c r="A859" s="148"/>
      <c r="B859" s="148"/>
      <c r="C859" s="43"/>
      <c r="D859" s="35" t="s">
        <v>383</v>
      </c>
      <c r="E859" s="35"/>
      <c r="F859" s="35"/>
      <c r="G859" s="35"/>
      <c r="J859" s="38"/>
      <c r="K859" s="44"/>
      <c r="M859" s="41"/>
      <c r="N859" s="44"/>
      <c r="O859" s="35"/>
      <c r="P859" s="41"/>
      <c r="Q859" s="44"/>
    </row>
    <row r="860" spans="1:17" s="40" customFormat="1">
      <c r="A860" s="148" t="s">
        <v>775</v>
      </c>
      <c r="B860" s="148"/>
      <c r="C860" s="43"/>
      <c r="D860" s="35"/>
      <c r="E860" s="35"/>
      <c r="F860" s="35"/>
      <c r="G860" s="35"/>
      <c r="J860" s="38">
        <v>93</v>
      </c>
      <c r="K860" s="44" t="s">
        <v>204</v>
      </c>
      <c r="M860" s="41">
        <v>18.8</v>
      </c>
      <c r="N860" s="44" t="s">
        <v>274</v>
      </c>
      <c r="O860" s="35"/>
      <c r="P860" s="41">
        <v>19.100000000000001</v>
      </c>
      <c r="Q860" s="44" t="s">
        <v>274</v>
      </c>
    </row>
    <row r="861" spans="1:17" s="40" customFormat="1">
      <c r="A861" s="148" t="s">
        <v>776</v>
      </c>
      <c r="B861" s="148"/>
      <c r="C861" s="43"/>
      <c r="D861" s="35"/>
      <c r="E861" s="35"/>
      <c r="F861" s="35"/>
      <c r="G861" s="35"/>
      <c r="J861" s="38">
        <v>92</v>
      </c>
      <c r="K861" s="44" t="s">
        <v>204</v>
      </c>
      <c r="M861" s="41">
        <v>18.600000000000001</v>
      </c>
      <c r="N861" s="44" t="s">
        <v>274</v>
      </c>
      <c r="O861" s="35"/>
      <c r="P861" s="41">
        <v>18.899999999999999</v>
      </c>
      <c r="Q861" s="44" t="s">
        <v>274</v>
      </c>
    </row>
    <row r="862" spans="1:17" s="40" customFormat="1">
      <c r="A862" s="148" t="s">
        <v>777</v>
      </c>
      <c r="B862" s="148"/>
      <c r="C862" s="43"/>
      <c r="D862" s="35"/>
      <c r="E862" s="35"/>
      <c r="F862" s="35"/>
      <c r="G862" s="35"/>
      <c r="J862" s="38">
        <v>88</v>
      </c>
      <c r="K862" s="44" t="s">
        <v>204</v>
      </c>
      <c r="M862" s="41">
        <v>17.8</v>
      </c>
      <c r="N862" s="44" t="s">
        <v>274</v>
      </c>
      <c r="O862" s="35"/>
      <c r="P862" s="41">
        <v>18.100000000000001</v>
      </c>
      <c r="Q862" s="44" t="s">
        <v>274</v>
      </c>
    </row>
    <row r="863" spans="1:17" s="40" customFormat="1">
      <c r="A863" s="148" t="s">
        <v>778</v>
      </c>
      <c r="B863" s="148"/>
      <c r="C863" s="43"/>
      <c r="D863" s="35"/>
      <c r="E863" s="35"/>
      <c r="F863" s="35"/>
      <c r="G863" s="35"/>
      <c r="J863" s="38">
        <v>85</v>
      </c>
      <c r="K863" s="44" t="s">
        <v>204</v>
      </c>
      <c r="M863" s="41">
        <v>17.3</v>
      </c>
      <c r="N863" s="44" t="s">
        <v>274</v>
      </c>
      <c r="O863" s="35"/>
      <c r="P863" s="41">
        <v>17.600000000000001</v>
      </c>
      <c r="Q863" s="44" t="s">
        <v>274</v>
      </c>
    </row>
    <row r="864" spans="1:17" s="40" customFormat="1">
      <c r="A864" s="148" t="s">
        <v>779</v>
      </c>
      <c r="B864" s="148"/>
      <c r="C864" s="43"/>
      <c r="D864" s="35"/>
      <c r="E864" s="35"/>
      <c r="F864" s="35"/>
      <c r="G864" s="35"/>
      <c r="J864" s="38">
        <v>87</v>
      </c>
      <c r="K864" s="44" t="s">
        <v>204</v>
      </c>
      <c r="M864" s="41">
        <v>17.600000000000001</v>
      </c>
      <c r="N864" s="44" t="s">
        <v>274</v>
      </c>
      <c r="O864" s="35"/>
      <c r="P864" s="41">
        <v>17.899999999999999</v>
      </c>
      <c r="Q864" s="44" t="s">
        <v>274</v>
      </c>
    </row>
    <row r="865" spans="1:17" s="40" customFormat="1">
      <c r="A865" s="148" t="s">
        <v>780</v>
      </c>
      <c r="B865" s="148"/>
      <c r="C865" s="43"/>
      <c r="D865" s="35"/>
      <c r="E865" s="35"/>
      <c r="F865" s="35"/>
      <c r="G865" s="35"/>
      <c r="J865" s="38">
        <v>89</v>
      </c>
      <c r="K865" s="44" t="s">
        <v>204</v>
      </c>
      <c r="M865" s="41">
        <v>18.100000000000001</v>
      </c>
      <c r="N865" s="44" t="s">
        <v>274</v>
      </c>
      <c r="O865" s="35"/>
      <c r="P865" s="41">
        <v>18.399999999999999</v>
      </c>
      <c r="Q865" s="44" t="s">
        <v>274</v>
      </c>
    </row>
    <row r="866" spans="1:17" s="40" customFormat="1">
      <c r="A866" s="148" t="s">
        <v>781</v>
      </c>
      <c r="B866" s="148"/>
      <c r="C866" s="43"/>
      <c r="D866" s="35"/>
      <c r="E866" s="35"/>
      <c r="F866" s="35"/>
      <c r="G866" s="35"/>
      <c r="J866" s="38">
        <v>91</v>
      </c>
      <c r="K866" s="44" t="s">
        <v>204</v>
      </c>
      <c r="M866" s="41">
        <v>18.5</v>
      </c>
      <c r="N866" s="44" t="s">
        <v>274</v>
      </c>
      <c r="O866" s="35"/>
      <c r="P866" s="41">
        <v>18.8</v>
      </c>
      <c r="Q866" s="44" t="s">
        <v>274</v>
      </c>
    </row>
    <row r="867" spans="1:17" s="40" customFormat="1">
      <c r="A867" s="148" t="s">
        <v>782</v>
      </c>
      <c r="B867" s="148"/>
      <c r="C867" s="43"/>
      <c r="D867" s="35"/>
      <c r="E867" s="35"/>
      <c r="F867" s="35"/>
      <c r="G867" s="35"/>
      <c r="J867" s="38">
        <v>88</v>
      </c>
      <c r="K867" s="44" t="s">
        <v>204</v>
      </c>
      <c r="M867" s="41">
        <v>17.8</v>
      </c>
      <c r="N867" s="44" t="s">
        <v>274</v>
      </c>
      <c r="O867" s="35"/>
      <c r="P867" s="41">
        <v>18.100000000000001</v>
      </c>
      <c r="Q867" s="44" t="s">
        <v>274</v>
      </c>
    </row>
    <row r="868" spans="1:17" s="40" customFormat="1">
      <c r="A868" s="148" t="s">
        <v>783</v>
      </c>
      <c r="B868" s="148"/>
      <c r="C868" s="43"/>
      <c r="D868" s="35"/>
      <c r="E868" s="35"/>
      <c r="F868" s="35"/>
      <c r="G868" s="35"/>
      <c r="J868" s="38">
        <v>89</v>
      </c>
      <c r="K868" s="44" t="s">
        <v>204</v>
      </c>
      <c r="M868" s="41">
        <v>18.100000000000001</v>
      </c>
      <c r="N868" s="44" t="s">
        <v>274</v>
      </c>
      <c r="O868" s="35"/>
      <c r="P868" s="41">
        <v>18.399999999999999</v>
      </c>
      <c r="Q868" s="44" t="s">
        <v>274</v>
      </c>
    </row>
    <row r="869" spans="1:17" s="40" customFormat="1">
      <c r="A869" s="148" t="s">
        <v>784</v>
      </c>
      <c r="B869" s="148"/>
      <c r="C869" s="43"/>
      <c r="D869" s="35"/>
      <c r="E869" s="35"/>
      <c r="F869" s="35"/>
      <c r="G869" s="35"/>
      <c r="J869" s="38">
        <v>89</v>
      </c>
      <c r="K869" s="44" t="s">
        <v>204</v>
      </c>
      <c r="M869" s="41">
        <v>18</v>
      </c>
      <c r="N869" s="44" t="s">
        <v>274</v>
      </c>
      <c r="O869" s="35"/>
      <c r="P869" s="41">
        <v>18.3</v>
      </c>
      <c r="Q869" s="44" t="s">
        <v>274</v>
      </c>
    </row>
    <row r="870" spans="1:17" s="40" customFormat="1">
      <c r="A870" s="148" t="s">
        <v>785</v>
      </c>
      <c r="B870" s="148"/>
      <c r="C870" s="43"/>
      <c r="D870" s="35"/>
      <c r="E870" s="35"/>
      <c r="F870" s="35"/>
      <c r="G870" s="35"/>
      <c r="J870" s="38">
        <v>89</v>
      </c>
      <c r="K870" s="44" t="s">
        <v>204</v>
      </c>
      <c r="M870" s="41">
        <v>18</v>
      </c>
      <c r="N870" s="44" t="s">
        <v>274</v>
      </c>
      <c r="O870" s="35"/>
      <c r="P870" s="41">
        <v>18.3</v>
      </c>
      <c r="Q870" s="44" t="s">
        <v>274</v>
      </c>
    </row>
    <row r="871" spans="1:17" s="40" customFormat="1">
      <c r="A871" s="148" t="s">
        <v>786</v>
      </c>
      <c r="B871" s="148"/>
      <c r="C871" s="43"/>
      <c r="D871" s="35"/>
      <c r="E871" s="35"/>
      <c r="F871" s="35"/>
      <c r="G871" s="35"/>
      <c r="J871" s="38">
        <v>89</v>
      </c>
      <c r="K871" s="44" t="s">
        <v>204</v>
      </c>
      <c r="M871" s="41">
        <v>18</v>
      </c>
      <c r="N871" s="44" t="s">
        <v>274</v>
      </c>
      <c r="O871" s="35"/>
      <c r="P871" s="41">
        <v>18.3</v>
      </c>
      <c r="Q871" s="44" t="s">
        <v>274</v>
      </c>
    </row>
    <row r="872" spans="1:17" s="40" customFormat="1">
      <c r="A872" s="148" t="s">
        <v>787</v>
      </c>
      <c r="B872" s="148"/>
      <c r="C872" s="43"/>
      <c r="D872" s="35"/>
      <c r="E872" s="35"/>
      <c r="F872" s="35"/>
      <c r="G872" s="35"/>
      <c r="J872" s="38">
        <v>92</v>
      </c>
      <c r="K872" s="44" t="s">
        <v>204</v>
      </c>
      <c r="M872" s="41">
        <v>18.7</v>
      </c>
      <c r="N872" s="44" t="s">
        <v>274</v>
      </c>
      <c r="O872" s="35"/>
      <c r="P872" s="41">
        <v>19</v>
      </c>
      <c r="Q872" s="44" t="s">
        <v>274</v>
      </c>
    </row>
    <row r="873" spans="1:17" s="40" customFormat="1">
      <c r="A873" s="148" t="s">
        <v>788</v>
      </c>
      <c r="B873" s="148"/>
      <c r="C873" s="43"/>
      <c r="D873" s="35"/>
      <c r="E873" s="35"/>
      <c r="F873" s="35"/>
      <c r="G873" s="35"/>
      <c r="J873" s="38">
        <v>89</v>
      </c>
      <c r="K873" s="44" t="s">
        <v>204</v>
      </c>
      <c r="M873" s="41">
        <v>18.100000000000001</v>
      </c>
      <c r="N873" s="44" t="s">
        <v>274</v>
      </c>
      <c r="O873" s="35"/>
      <c r="P873" s="41">
        <v>18.399999999999999</v>
      </c>
      <c r="Q873" s="44" t="s">
        <v>274</v>
      </c>
    </row>
    <row r="874" spans="1:17" s="40" customFormat="1">
      <c r="A874" s="148" t="s">
        <v>789</v>
      </c>
      <c r="B874" s="148"/>
      <c r="C874" s="43"/>
      <c r="D874" s="35"/>
      <c r="E874" s="35"/>
      <c r="F874" s="35"/>
      <c r="G874" s="35"/>
      <c r="J874" s="38">
        <v>92</v>
      </c>
      <c r="K874" s="44" t="s">
        <v>204</v>
      </c>
      <c r="M874" s="41">
        <v>18.7</v>
      </c>
      <c r="N874" s="44" t="s">
        <v>274</v>
      </c>
      <c r="O874" s="35"/>
      <c r="P874" s="41">
        <v>19</v>
      </c>
      <c r="Q874" s="44" t="s">
        <v>274</v>
      </c>
    </row>
    <row r="875" spans="1:17" s="40" customFormat="1">
      <c r="A875" s="148" t="s">
        <v>790</v>
      </c>
      <c r="B875" s="148"/>
      <c r="C875" s="43"/>
      <c r="D875" s="35"/>
      <c r="E875" s="35"/>
      <c r="F875" s="35"/>
      <c r="G875" s="35"/>
      <c r="J875" s="38">
        <v>90</v>
      </c>
      <c r="K875" s="44" t="s">
        <v>204</v>
      </c>
      <c r="M875" s="41">
        <v>18.2</v>
      </c>
      <c r="N875" s="44" t="s">
        <v>274</v>
      </c>
      <c r="O875" s="35"/>
      <c r="P875" s="41">
        <v>18.5</v>
      </c>
      <c r="Q875" s="44" t="s">
        <v>274</v>
      </c>
    </row>
    <row r="876" spans="1:17" s="40" customFormat="1">
      <c r="A876" s="148"/>
      <c r="B876" s="148"/>
      <c r="C876" s="43"/>
      <c r="D876" s="35" t="s">
        <v>488</v>
      </c>
      <c r="E876" s="35"/>
      <c r="F876" s="35"/>
      <c r="G876" s="35"/>
      <c r="J876" s="38"/>
      <c r="K876" s="44"/>
      <c r="M876" s="41"/>
      <c r="N876" s="44"/>
      <c r="O876" s="35"/>
      <c r="P876" s="41"/>
      <c r="Q876" s="44"/>
    </row>
    <row r="877" spans="1:17" s="40" customFormat="1">
      <c r="A877" s="148" t="s">
        <v>791</v>
      </c>
      <c r="B877" s="148"/>
      <c r="C877" s="43"/>
      <c r="D877" s="35"/>
      <c r="E877" s="35"/>
      <c r="F877" s="35"/>
      <c r="G877" s="35"/>
      <c r="J877" s="38">
        <v>91</v>
      </c>
      <c r="K877" s="44" t="s">
        <v>204</v>
      </c>
      <c r="M877" s="41">
        <v>18</v>
      </c>
      <c r="N877" s="44" t="s">
        <v>274</v>
      </c>
      <c r="O877" s="35"/>
      <c r="P877" s="41">
        <v>18.3</v>
      </c>
      <c r="Q877" s="44" t="s">
        <v>274</v>
      </c>
    </row>
    <row r="878" spans="1:17" s="40" customFormat="1">
      <c r="A878" s="148" t="s">
        <v>792</v>
      </c>
      <c r="B878" s="148"/>
      <c r="C878" s="43"/>
      <c r="D878" s="35"/>
      <c r="E878" s="35"/>
      <c r="F878" s="35"/>
      <c r="G878" s="35"/>
      <c r="J878" s="38">
        <v>84</v>
      </c>
      <c r="K878" s="44" t="s">
        <v>204</v>
      </c>
      <c r="M878" s="41">
        <v>16.5</v>
      </c>
      <c r="N878" s="44" t="s">
        <v>274</v>
      </c>
      <c r="O878" s="35"/>
      <c r="P878" s="41">
        <v>16.8</v>
      </c>
      <c r="Q878" s="44" t="s">
        <v>274</v>
      </c>
    </row>
    <row r="879" spans="1:17" s="40" customFormat="1">
      <c r="A879" s="148" t="s">
        <v>793</v>
      </c>
      <c r="B879" s="148"/>
      <c r="C879" s="43"/>
      <c r="D879" s="35"/>
      <c r="E879" s="35"/>
      <c r="F879" s="35"/>
      <c r="G879" s="35"/>
      <c r="J879" s="38">
        <v>78</v>
      </c>
      <c r="K879" s="44" t="s">
        <v>204</v>
      </c>
      <c r="M879" s="41">
        <v>15.4</v>
      </c>
      <c r="N879" s="44" t="s">
        <v>274</v>
      </c>
      <c r="O879" s="35"/>
      <c r="P879" s="41">
        <v>15.7</v>
      </c>
      <c r="Q879" s="44" t="s">
        <v>274</v>
      </c>
    </row>
    <row r="880" spans="1:17" s="40" customFormat="1">
      <c r="A880" s="148" t="s">
        <v>794</v>
      </c>
      <c r="B880" s="148"/>
      <c r="C880" s="43"/>
      <c r="D880" s="35"/>
      <c r="E880" s="35"/>
      <c r="F880" s="35"/>
      <c r="G880" s="35"/>
      <c r="J880" s="38">
        <v>93</v>
      </c>
      <c r="K880" s="44" t="s">
        <v>204</v>
      </c>
      <c r="M880" s="41">
        <v>18.399999999999999</v>
      </c>
      <c r="N880" s="44" t="s">
        <v>274</v>
      </c>
      <c r="O880" s="35"/>
      <c r="P880" s="41">
        <v>18.7</v>
      </c>
      <c r="Q880" s="44" t="s">
        <v>274</v>
      </c>
    </row>
    <row r="881" spans="1:17" s="40" customFormat="1">
      <c r="A881" s="148" t="s">
        <v>795</v>
      </c>
      <c r="B881" s="148"/>
      <c r="C881" s="43"/>
      <c r="D881" s="35"/>
      <c r="E881" s="35"/>
      <c r="F881" s="35"/>
      <c r="G881" s="35"/>
      <c r="J881" s="38">
        <v>93</v>
      </c>
      <c r="K881" s="44" t="s">
        <v>204</v>
      </c>
      <c r="M881" s="41">
        <v>18.399999999999999</v>
      </c>
      <c r="N881" s="44" t="s">
        <v>274</v>
      </c>
      <c r="O881" s="35"/>
      <c r="P881" s="41">
        <v>18.7</v>
      </c>
      <c r="Q881" s="44" t="s">
        <v>274</v>
      </c>
    </row>
    <row r="882" spans="1:17" s="40" customFormat="1">
      <c r="A882" s="148" t="s">
        <v>796</v>
      </c>
      <c r="B882" s="148"/>
      <c r="C882" s="43"/>
      <c r="D882" s="35"/>
      <c r="E882" s="35"/>
      <c r="F882" s="35"/>
      <c r="G882" s="35"/>
      <c r="J882" s="38">
        <v>84</v>
      </c>
      <c r="K882" s="44" t="s">
        <v>204</v>
      </c>
      <c r="M882" s="41">
        <v>16.5</v>
      </c>
      <c r="N882" s="44" t="s">
        <v>274</v>
      </c>
      <c r="O882" s="35"/>
      <c r="P882" s="41">
        <v>16.8</v>
      </c>
      <c r="Q882" s="44" t="s">
        <v>274</v>
      </c>
    </row>
    <row r="883" spans="1:17" s="40" customFormat="1">
      <c r="A883" s="148" t="s">
        <v>797</v>
      </c>
      <c r="B883" s="148"/>
      <c r="C883" s="43"/>
      <c r="D883" s="35"/>
      <c r="E883" s="35"/>
      <c r="F883" s="35"/>
      <c r="G883" s="35"/>
      <c r="J883" s="38">
        <v>95</v>
      </c>
      <c r="K883" s="44" t="s">
        <v>204</v>
      </c>
      <c r="M883" s="41">
        <v>18.8</v>
      </c>
      <c r="N883" s="44" t="s">
        <v>274</v>
      </c>
      <c r="O883" s="35"/>
      <c r="P883" s="41">
        <v>19.100000000000001</v>
      </c>
      <c r="Q883" s="44" t="s">
        <v>274</v>
      </c>
    </row>
    <row r="884" spans="1:17" s="40" customFormat="1">
      <c r="A884" s="148" t="s">
        <v>798</v>
      </c>
      <c r="B884" s="148"/>
      <c r="C884" s="43"/>
      <c r="D884" s="35"/>
      <c r="E884" s="35"/>
      <c r="F884" s="35"/>
      <c r="G884" s="35"/>
      <c r="J884" s="38">
        <v>95</v>
      </c>
      <c r="K884" s="44" t="s">
        <v>204</v>
      </c>
      <c r="M884" s="41">
        <v>18.8</v>
      </c>
      <c r="N884" s="44" t="s">
        <v>274</v>
      </c>
      <c r="O884" s="35"/>
      <c r="P884" s="41">
        <v>19.100000000000001</v>
      </c>
      <c r="Q884" s="44" t="s">
        <v>274</v>
      </c>
    </row>
    <row r="885" spans="1:17" s="40" customFormat="1">
      <c r="A885" s="148" t="s">
        <v>799</v>
      </c>
      <c r="B885" s="148"/>
      <c r="C885" s="43"/>
      <c r="D885" s="35"/>
      <c r="E885" s="35"/>
      <c r="F885" s="35"/>
      <c r="G885" s="35"/>
      <c r="J885" s="38">
        <v>92</v>
      </c>
      <c r="K885" s="44" t="s">
        <v>204</v>
      </c>
      <c r="M885" s="41">
        <v>18.100000000000001</v>
      </c>
      <c r="N885" s="44" t="s">
        <v>274</v>
      </c>
      <c r="O885" s="35"/>
      <c r="P885" s="41">
        <v>18.399999999999999</v>
      </c>
      <c r="Q885" s="44" t="s">
        <v>274</v>
      </c>
    </row>
    <row r="886" spans="1:17" s="40" customFormat="1">
      <c r="A886" s="148" t="s">
        <v>800</v>
      </c>
      <c r="B886" s="148"/>
      <c r="C886" s="43"/>
      <c r="D886" s="35"/>
      <c r="E886" s="35"/>
      <c r="F886" s="35"/>
      <c r="G886" s="35"/>
      <c r="J886" s="38">
        <v>96</v>
      </c>
      <c r="K886" s="44" t="s">
        <v>204</v>
      </c>
      <c r="M886" s="41">
        <v>18.899999999999999</v>
      </c>
      <c r="N886" s="44" t="s">
        <v>274</v>
      </c>
      <c r="O886" s="35"/>
      <c r="P886" s="41">
        <v>19.2</v>
      </c>
      <c r="Q886" s="44" t="s">
        <v>274</v>
      </c>
    </row>
    <row r="887" spans="1:17" s="40" customFormat="1">
      <c r="A887" s="148" t="s">
        <v>801</v>
      </c>
      <c r="B887" s="148"/>
      <c r="C887" s="43"/>
      <c r="D887" s="35"/>
      <c r="E887" s="35"/>
      <c r="F887" s="35"/>
      <c r="G887" s="35"/>
      <c r="J887" s="38">
        <v>96</v>
      </c>
      <c r="K887" s="44" t="s">
        <v>204</v>
      </c>
      <c r="M887" s="41">
        <v>19</v>
      </c>
      <c r="N887" s="44" t="s">
        <v>274</v>
      </c>
      <c r="O887" s="35"/>
      <c r="P887" s="41">
        <v>19.3</v>
      </c>
      <c r="Q887" s="44" t="s">
        <v>274</v>
      </c>
    </row>
    <row r="888" spans="1:17" s="40" customFormat="1">
      <c r="A888" s="148" t="s">
        <v>802</v>
      </c>
      <c r="B888" s="148"/>
      <c r="C888" s="43"/>
      <c r="D888" s="35"/>
      <c r="E888" s="35"/>
      <c r="F888" s="35"/>
      <c r="G888" s="35"/>
      <c r="J888" s="38">
        <v>93</v>
      </c>
      <c r="K888" s="44" t="s">
        <v>204</v>
      </c>
      <c r="M888" s="41">
        <v>18.3</v>
      </c>
      <c r="N888" s="44" t="s">
        <v>274</v>
      </c>
      <c r="O888" s="35"/>
      <c r="P888" s="41">
        <v>18.600000000000001</v>
      </c>
      <c r="Q888" s="44" t="s">
        <v>274</v>
      </c>
    </row>
    <row r="889" spans="1:17" s="40" customFormat="1">
      <c r="A889" s="148" t="s">
        <v>803</v>
      </c>
      <c r="B889" s="148"/>
      <c r="C889" s="43"/>
      <c r="D889" s="35"/>
      <c r="E889" s="35"/>
      <c r="F889" s="35"/>
      <c r="G889" s="35"/>
      <c r="J889" s="38">
        <v>92</v>
      </c>
      <c r="K889" s="44" t="s">
        <v>204</v>
      </c>
      <c r="M889" s="41">
        <v>18.2</v>
      </c>
      <c r="N889" s="44" t="s">
        <v>274</v>
      </c>
      <c r="O889" s="35"/>
      <c r="P889" s="41">
        <v>18.5</v>
      </c>
      <c r="Q889" s="44" t="s">
        <v>274</v>
      </c>
    </row>
    <row r="890" spans="1:17" s="40" customFormat="1">
      <c r="A890" s="148" t="s">
        <v>804</v>
      </c>
      <c r="B890" s="148"/>
      <c r="C890" s="43"/>
      <c r="D890" s="35"/>
      <c r="E890" s="35"/>
      <c r="F890" s="35"/>
      <c r="G890" s="35"/>
      <c r="J890" s="38">
        <v>88</v>
      </c>
      <c r="K890" s="44" t="s">
        <v>204</v>
      </c>
      <c r="M890" s="41">
        <v>17.399999999999999</v>
      </c>
      <c r="N890" s="44" t="s">
        <v>274</v>
      </c>
      <c r="O890" s="35"/>
      <c r="P890" s="41">
        <v>17.7</v>
      </c>
      <c r="Q890" s="44" t="s">
        <v>274</v>
      </c>
    </row>
    <row r="891" spans="1:17" s="40" customFormat="1">
      <c r="A891" s="148" t="s">
        <v>805</v>
      </c>
      <c r="B891" s="148"/>
      <c r="C891" s="43"/>
      <c r="D891" s="35"/>
      <c r="E891" s="35"/>
      <c r="F891" s="35"/>
      <c r="G891" s="35"/>
      <c r="J891" s="38">
        <v>94</v>
      </c>
      <c r="K891" s="44" t="s">
        <v>204</v>
      </c>
      <c r="M891" s="41">
        <v>18.600000000000001</v>
      </c>
      <c r="N891" s="44" t="s">
        <v>274</v>
      </c>
      <c r="O891" s="35"/>
      <c r="P891" s="41">
        <v>18.899999999999999</v>
      </c>
      <c r="Q891" s="44" t="s">
        <v>274</v>
      </c>
    </row>
    <row r="892" spans="1:17" s="40" customFormat="1">
      <c r="A892" s="148" t="s">
        <v>806</v>
      </c>
      <c r="B892" s="148"/>
      <c r="C892" s="43"/>
      <c r="D892" s="35"/>
      <c r="E892" s="35"/>
      <c r="F892" s="35"/>
      <c r="G892" s="35"/>
      <c r="J892" s="38">
        <v>90</v>
      </c>
      <c r="K892" s="44" t="s">
        <v>204</v>
      </c>
      <c r="M892" s="41">
        <v>17.8</v>
      </c>
      <c r="N892" s="44" t="s">
        <v>274</v>
      </c>
      <c r="O892" s="35"/>
      <c r="P892" s="41">
        <v>18.100000000000001</v>
      </c>
      <c r="Q892" s="44" t="s">
        <v>274</v>
      </c>
    </row>
    <row r="893" spans="1:17" s="40" customFormat="1">
      <c r="A893" s="148"/>
      <c r="B893" s="148"/>
      <c r="C893" s="43"/>
      <c r="D893" s="35" t="s">
        <v>807</v>
      </c>
      <c r="E893" s="35"/>
      <c r="F893" s="35"/>
      <c r="G893" s="35"/>
      <c r="J893" s="38"/>
      <c r="K893" s="44"/>
      <c r="M893" s="41"/>
      <c r="N893" s="44"/>
      <c r="O893" s="35"/>
      <c r="P893" s="41"/>
      <c r="Q893" s="44"/>
    </row>
    <row r="894" spans="1:17" s="40" customFormat="1">
      <c r="A894" s="148" t="s">
        <v>808</v>
      </c>
      <c r="B894" s="148"/>
      <c r="C894" s="43"/>
      <c r="D894" s="35"/>
      <c r="E894" s="35"/>
      <c r="F894" s="35"/>
      <c r="G894" s="35"/>
      <c r="J894" s="38">
        <v>118</v>
      </c>
      <c r="K894" s="44" t="s">
        <v>204</v>
      </c>
      <c r="M894" s="41">
        <v>22.8</v>
      </c>
      <c r="N894" s="44" t="s">
        <v>274</v>
      </c>
      <c r="O894" s="35"/>
      <c r="P894" s="41">
        <v>23.1</v>
      </c>
      <c r="Q894" s="44" t="s">
        <v>274</v>
      </c>
    </row>
    <row r="895" spans="1:17" s="40" customFormat="1">
      <c r="A895" s="148" t="s">
        <v>809</v>
      </c>
      <c r="B895" s="148"/>
      <c r="C895" s="43"/>
      <c r="D895" s="35"/>
      <c r="E895" s="35"/>
      <c r="F895" s="35"/>
      <c r="G895" s="35"/>
      <c r="J895" s="38">
        <v>88</v>
      </c>
      <c r="K895" s="44" t="s">
        <v>204</v>
      </c>
      <c r="M895" s="41">
        <v>16.899999999999999</v>
      </c>
      <c r="N895" s="44" t="s">
        <v>274</v>
      </c>
      <c r="O895" s="35"/>
      <c r="P895" s="41">
        <v>17.2</v>
      </c>
      <c r="Q895" s="44" t="s">
        <v>274</v>
      </c>
    </row>
    <row r="896" spans="1:17" s="40" customFormat="1">
      <c r="A896" s="148" t="s">
        <v>810</v>
      </c>
      <c r="B896" s="148"/>
      <c r="C896" s="43"/>
      <c r="D896" s="35"/>
      <c r="E896" s="35"/>
      <c r="F896" s="35"/>
      <c r="G896" s="35"/>
      <c r="J896" s="38">
        <v>84</v>
      </c>
      <c r="K896" s="44" t="s">
        <v>204</v>
      </c>
      <c r="M896" s="41">
        <v>16.3</v>
      </c>
      <c r="N896" s="44" t="s">
        <v>274</v>
      </c>
      <c r="O896" s="35"/>
      <c r="P896" s="41">
        <v>16.600000000000001</v>
      </c>
      <c r="Q896" s="44" t="s">
        <v>274</v>
      </c>
    </row>
    <row r="897" spans="1:17" s="40" customFormat="1">
      <c r="A897" s="148" t="s">
        <v>811</v>
      </c>
      <c r="B897" s="148"/>
      <c r="C897" s="43"/>
      <c r="D897" s="35"/>
      <c r="E897" s="35"/>
      <c r="F897" s="35"/>
      <c r="G897" s="35"/>
      <c r="J897" s="38">
        <v>90</v>
      </c>
      <c r="K897" s="44" t="s">
        <v>204</v>
      </c>
      <c r="M897" s="41">
        <v>17.3</v>
      </c>
      <c r="N897" s="44" t="s">
        <v>274</v>
      </c>
      <c r="O897" s="35"/>
      <c r="P897" s="41">
        <v>17.600000000000001</v>
      </c>
      <c r="Q897" s="44" t="s">
        <v>274</v>
      </c>
    </row>
    <row r="898" spans="1:17" s="40" customFormat="1">
      <c r="A898" s="148" t="s">
        <v>812</v>
      </c>
      <c r="B898" s="148"/>
      <c r="C898" s="43"/>
      <c r="D898" s="35"/>
      <c r="E898" s="35"/>
      <c r="F898" s="35"/>
      <c r="G898" s="35"/>
      <c r="J898" s="38">
        <v>92</v>
      </c>
      <c r="K898" s="44" t="s">
        <v>204</v>
      </c>
      <c r="M898" s="41">
        <v>18.100000000000001</v>
      </c>
      <c r="N898" s="44" t="s">
        <v>274</v>
      </c>
      <c r="O898" s="35"/>
      <c r="P898" s="41">
        <v>18.399999999999999</v>
      </c>
      <c r="Q898" s="44" t="s">
        <v>274</v>
      </c>
    </row>
    <row r="899" spans="1:17" s="40" customFormat="1">
      <c r="A899" s="148" t="s">
        <v>813</v>
      </c>
      <c r="B899" s="148"/>
      <c r="C899" s="43"/>
      <c r="D899" s="35"/>
      <c r="E899" s="35"/>
      <c r="F899" s="35"/>
      <c r="G899" s="35"/>
      <c r="J899" s="38">
        <v>66</v>
      </c>
      <c r="K899" s="44" t="s">
        <v>204</v>
      </c>
      <c r="M899" s="41">
        <v>12.9</v>
      </c>
      <c r="N899" s="44" t="s">
        <v>274</v>
      </c>
      <c r="O899" s="35"/>
      <c r="P899" s="41">
        <v>13.2</v>
      </c>
      <c r="Q899" s="44" t="s">
        <v>274</v>
      </c>
    </row>
    <row r="900" spans="1:17" s="40" customFormat="1">
      <c r="A900" s="148" t="s">
        <v>814</v>
      </c>
      <c r="B900" s="148"/>
      <c r="C900" s="43"/>
      <c r="D900" s="35"/>
      <c r="E900" s="35"/>
      <c r="F900" s="35"/>
      <c r="G900" s="35"/>
      <c r="J900" s="38">
        <v>97</v>
      </c>
      <c r="K900" s="44" t="s">
        <v>204</v>
      </c>
      <c r="M900" s="41">
        <v>19.100000000000001</v>
      </c>
      <c r="N900" s="44" t="s">
        <v>274</v>
      </c>
      <c r="O900" s="35"/>
      <c r="P900" s="41">
        <v>19.399999999999999</v>
      </c>
      <c r="Q900" s="44" t="s">
        <v>274</v>
      </c>
    </row>
    <row r="901" spans="1:17" s="40" customFormat="1">
      <c r="A901" s="148" t="s">
        <v>815</v>
      </c>
      <c r="B901" s="148"/>
      <c r="C901" s="43"/>
      <c r="D901" s="35"/>
      <c r="E901" s="35"/>
      <c r="F901" s="35"/>
      <c r="G901" s="35"/>
      <c r="J901" s="38">
        <v>96</v>
      </c>
      <c r="K901" s="44" t="s">
        <v>204</v>
      </c>
      <c r="M901" s="41">
        <v>18.899999999999999</v>
      </c>
      <c r="N901" s="44" t="s">
        <v>274</v>
      </c>
      <c r="O901" s="35"/>
      <c r="P901" s="41">
        <v>19.2</v>
      </c>
      <c r="Q901" s="44" t="s">
        <v>274</v>
      </c>
    </row>
    <row r="902" spans="1:17" s="40" customFormat="1">
      <c r="A902" s="148" t="s">
        <v>816</v>
      </c>
      <c r="B902" s="148"/>
      <c r="C902" s="43"/>
      <c r="D902" s="35"/>
      <c r="E902" s="35"/>
      <c r="F902" s="35"/>
      <c r="G902" s="35"/>
      <c r="J902" s="38">
        <v>96</v>
      </c>
      <c r="K902" s="44" t="s">
        <v>204</v>
      </c>
      <c r="M902" s="41">
        <v>18.8</v>
      </c>
      <c r="N902" s="44" t="s">
        <v>274</v>
      </c>
      <c r="O902" s="35"/>
      <c r="P902" s="41">
        <v>19.100000000000001</v>
      </c>
      <c r="Q902" s="44" t="s">
        <v>274</v>
      </c>
    </row>
    <row r="903" spans="1:17" s="40" customFormat="1">
      <c r="A903" s="148" t="s">
        <v>817</v>
      </c>
      <c r="B903" s="148"/>
      <c r="C903" s="43"/>
      <c r="D903" s="35"/>
      <c r="E903" s="35"/>
      <c r="F903" s="35"/>
      <c r="G903" s="35"/>
      <c r="J903" s="38">
        <v>97</v>
      </c>
      <c r="K903" s="44" t="s">
        <v>204</v>
      </c>
      <c r="M903" s="41">
        <v>19</v>
      </c>
      <c r="N903" s="44" t="s">
        <v>274</v>
      </c>
      <c r="O903" s="35"/>
      <c r="P903" s="41">
        <v>19.3</v>
      </c>
      <c r="Q903" s="44" t="s">
        <v>274</v>
      </c>
    </row>
    <row r="904" spans="1:17" s="40" customFormat="1">
      <c r="A904" s="148" t="s">
        <v>818</v>
      </c>
      <c r="B904" s="148"/>
      <c r="C904" s="43"/>
      <c r="D904" s="35"/>
      <c r="E904" s="35"/>
      <c r="F904" s="35"/>
      <c r="G904" s="35"/>
      <c r="J904" s="38">
        <v>95</v>
      </c>
      <c r="K904" s="44" t="s">
        <v>204</v>
      </c>
      <c r="M904" s="41">
        <v>18.600000000000001</v>
      </c>
      <c r="N904" s="44" t="s">
        <v>274</v>
      </c>
      <c r="O904" s="35"/>
      <c r="P904" s="41">
        <v>18.899999999999999</v>
      </c>
      <c r="Q904" s="44" t="s">
        <v>274</v>
      </c>
    </row>
    <row r="905" spans="1:17" s="40" customFormat="1">
      <c r="A905" s="148" t="s">
        <v>819</v>
      </c>
      <c r="B905" s="148"/>
      <c r="C905" s="43"/>
      <c r="D905" s="35"/>
      <c r="E905" s="35"/>
      <c r="F905" s="35"/>
      <c r="G905" s="35"/>
      <c r="J905" s="38">
        <v>97</v>
      </c>
      <c r="K905" s="44" t="s">
        <v>204</v>
      </c>
      <c r="M905" s="41">
        <v>19.100000000000001</v>
      </c>
      <c r="N905" s="44" t="s">
        <v>274</v>
      </c>
      <c r="O905" s="35"/>
      <c r="P905" s="41">
        <v>19.399999999999999</v>
      </c>
      <c r="Q905" s="44" t="s">
        <v>274</v>
      </c>
    </row>
    <row r="906" spans="1:17" s="40" customFormat="1">
      <c r="A906" s="148" t="s">
        <v>820</v>
      </c>
      <c r="B906" s="148"/>
      <c r="C906" s="43"/>
      <c r="D906" s="35"/>
      <c r="E906" s="35"/>
      <c r="F906" s="35"/>
      <c r="G906" s="35"/>
      <c r="J906" s="38">
        <v>54</v>
      </c>
      <c r="K906" s="44" t="s">
        <v>204</v>
      </c>
      <c r="M906" s="41">
        <v>10.6</v>
      </c>
      <c r="N906" s="44" t="s">
        <v>274</v>
      </c>
      <c r="O906" s="35"/>
      <c r="P906" s="41">
        <v>10.9</v>
      </c>
      <c r="Q906" s="44" t="s">
        <v>274</v>
      </c>
    </row>
    <row r="907" spans="1:17" s="40" customFormat="1">
      <c r="A907" s="148" t="s">
        <v>821</v>
      </c>
      <c r="B907" s="148"/>
      <c r="C907" s="43"/>
      <c r="D907" s="35"/>
      <c r="E907" s="35"/>
      <c r="F907" s="35"/>
      <c r="G907" s="35"/>
      <c r="J907" s="38">
        <v>37</v>
      </c>
      <c r="K907" s="44" t="s">
        <v>204</v>
      </c>
      <c r="M907" s="41">
        <v>7.2</v>
      </c>
      <c r="N907" s="44" t="s">
        <v>274</v>
      </c>
      <c r="O907" s="35"/>
      <c r="P907" s="41">
        <v>7.5</v>
      </c>
      <c r="Q907" s="44" t="s">
        <v>274</v>
      </c>
    </row>
    <row r="908" spans="1:17" s="40" customFormat="1">
      <c r="A908" s="148" t="s">
        <v>822</v>
      </c>
      <c r="B908" s="148"/>
      <c r="C908" s="43"/>
      <c r="D908" s="35"/>
      <c r="E908" s="35"/>
      <c r="F908" s="35"/>
      <c r="G908" s="35"/>
      <c r="J908" s="38">
        <v>94</v>
      </c>
      <c r="K908" s="44" t="s">
        <v>204</v>
      </c>
      <c r="M908" s="41">
        <v>18.399999999999999</v>
      </c>
      <c r="N908" s="44" t="s">
        <v>274</v>
      </c>
      <c r="O908" s="35"/>
      <c r="P908" s="41">
        <v>18.7</v>
      </c>
      <c r="Q908" s="44" t="s">
        <v>274</v>
      </c>
    </row>
    <row r="909" spans="1:17" s="40" customFormat="1">
      <c r="A909" s="148" t="s">
        <v>823</v>
      </c>
      <c r="B909" s="148"/>
      <c r="C909" s="43"/>
      <c r="D909" s="35"/>
      <c r="E909" s="35"/>
      <c r="F909" s="35"/>
      <c r="G909" s="35"/>
      <c r="J909" s="38">
        <v>96</v>
      </c>
      <c r="K909" s="44" t="s">
        <v>204</v>
      </c>
      <c r="M909" s="41">
        <v>18.899999999999999</v>
      </c>
      <c r="N909" s="44" t="s">
        <v>274</v>
      </c>
      <c r="O909" s="35"/>
      <c r="P909" s="41">
        <v>19.2</v>
      </c>
      <c r="Q909" s="44" t="s">
        <v>274</v>
      </c>
    </row>
    <row r="910" spans="1:17" s="40" customFormat="1">
      <c r="A910" s="148" t="s">
        <v>824</v>
      </c>
      <c r="B910" s="148"/>
      <c r="C910" s="43"/>
      <c r="D910" s="35"/>
      <c r="E910" s="35"/>
      <c r="F910" s="35"/>
      <c r="G910" s="35"/>
      <c r="J910" s="38">
        <v>84</v>
      </c>
      <c r="K910" s="44" t="s">
        <v>204</v>
      </c>
      <c r="M910" s="41">
        <v>16.5</v>
      </c>
      <c r="N910" s="44" t="s">
        <v>274</v>
      </c>
      <c r="O910" s="35"/>
      <c r="P910" s="41">
        <v>16.8</v>
      </c>
      <c r="Q910" s="44" t="s">
        <v>274</v>
      </c>
    </row>
    <row r="911" spans="1:17" s="40" customFormat="1">
      <c r="A911" s="148" t="s">
        <v>825</v>
      </c>
      <c r="B911" s="148"/>
      <c r="C911" s="43"/>
      <c r="D911" s="35"/>
      <c r="E911" s="35"/>
      <c r="F911" s="35"/>
      <c r="G911" s="35"/>
      <c r="J911" s="38">
        <v>92</v>
      </c>
      <c r="K911" s="44" t="s">
        <v>204</v>
      </c>
      <c r="M911" s="41">
        <v>18</v>
      </c>
      <c r="N911" s="44" t="s">
        <v>274</v>
      </c>
      <c r="O911" s="35"/>
      <c r="P911" s="41">
        <v>18.3</v>
      </c>
      <c r="Q911" s="44" t="s">
        <v>274</v>
      </c>
    </row>
    <row r="912" spans="1:17" s="40" customFormat="1">
      <c r="A912" s="148" t="s">
        <v>826</v>
      </c>
      <c r="B912" s="148"/>
      <c r="C912" s="43"/>
      <c r="D912" s="35"/>
      <c r="E912" s="35"/>
      <c r="F912" s="35"/>
      <c r="G912" s="35"/>
      <c r="J912" s="38">
        <v>97</v>
      </c>
      <c r="K912" s="44" t="s">
        <v>204</v>
      </c>
      <c r="M912" s="41">
        <v>19</v>
      </c>
      <c r="N912" s="44" t="s">
        <v>274</v>
      </c>
      <c r="O912" s="35"/>
      <c r="P912" s="41">
        <v>19.3</v>
      </c>
      <c r="Q912" s="44" t="s">
        <v>274</v>
      </c>
    </row>
    <row r="913" spans="1:17" s="40" customFormat="1">
      <c r="A913" s="148"/>
      <c r="B913" s="148"/>
      <c r="C913" s="43"/>
      <c r="D913" s="35"/>
      <c r="E913" s="35"/>
      <c r="F913" s="35"/>
      <c r="G913" s="35"/>
      <c r="J913" s="38"/>
      <c r="K913" s="44"/>
      <c r="M913" s="41"/>
      <c r="N913" s="44"/>
      <c r="O913" s="35"/>
      <c r="P913" s="41"/>
      <c r="Q913" s="44"/>
    </row>
    <row r="914" spans="1:17" s="40" customFormat="1">
      <c r="A914" s="148"/>
      <c r="B914" s="148"/>
      <c r="C914" s="43"/>
      <c r="D914" s="35" t="s">
        <v>219</v>
      </c>
      <c r="E914" s="35"/>
      <c r="F914" s="35"/>
      <c r="G914" s="35"/>
      <c r="J914" s="38"/>
      <c r="K914" s="44"/>
      <c r="M914" s="41"/>
      <c r="N914" s="44"/>
      <c r="O914" s="35"/>
      <c r="P914" s="41"/>
      <c r="Q914" s="44"/>
    </row>
    <row r="915" spans="1:17" s="40" customFormat="1">
      <c r="A915" s="148"/>
      <c r="B915" s="148"/>
      <c r="C915" s="43"/>
      <c r="D915" s="35" t="s">
        <v>827</v>
      </c>
      <c r="E915" s="35"/>
      <c r="F915" s="35"/>
      <c r="G915" s="35"/>
      <c r="J915" s="38"/>
      <c r="K915" s="44"/>
      <c r="M915" s="41"/>
      <c r="N915" s="44"/>
      <c r="O915" s="35"/>
      <c r="P915" s="41"/>
      <c r="Q915" s="44"/>
    </row>
    <row r="916" spans="1:17" s="40" customFormat="1">
      <c r="A916" s="148" t="s">
        <v>828</v>
      </c>
      <c r="B916" s="148"/>
      <c r="C916" s="43"/>
      <c r="D916" s="35"/>
      <c r="E916" s="35"/>
      <c r="F916" s="35"/>
      <c r="G916" s="35"/>
      <c r="J916" s="38">
        <v>85</v>
      </c>
      <c r="K916" s="44" t="s">
        <v>204</v>
      </c>
      <c r="M916" s="41">
        <v>16.399999999999999</v>
      </c>
      <c r="N916" s="44" t="s">
        <v>274</v>
      </c>
      <c r="O916" s="35"/>
      <c r="P916" s="41">
        <v>16.7</v>
      </c>
      <c r="Q916" s="44" t="s">
        <v>274</v>
      </c>
    </row>
    <row r="917" spans="1:17" s="40" customFormat="1">
      <c r="A917" s="148" t="s">
        <v>829</v>
      </c>
      <c r="B917" s="148"/>
      <c r="C917" s="43"/>
      <c r="D917" s="35"/>
      <c r="E917" s="35"/>
      <c r="F917" s="35"/>
      <c r="G917" s="35"/>
      <c r="J917" s="38">
        <v>113</v>
      </c>
      <c r="K917" s="44" t="s">
        <v>204</v>
      </c>
      <c r="M917" s="41">
        <v>22.1</v>
      </c>
      <c r="N917" s="44" t="s">
        <v>274</v>
      </c>
      <c r="O917" s="35"/>
      <c r="P917" s="41">
        <v>22.4</v>
      </c>
      <c r="Q917" s="44" t="s">
        <v>274</v>
      </c>
    </row>
    <row r="918" spans="1:17" s="40" customFormat="1">
      <c r="A918" s="148" t="s">
        <v>830</v>
      </c>
      <c r="B918" s="148"/>
      <c r="C918" s="43"/>
      <c r="D918" s="35"/>
      <c r="E918" s="35"/>
      <c r="F918" s="35"/>
      <c r="G918" s="35"/>
      <c r="J918" s="38">
        <v>67</v>
      </c>
      <c r="K918" s="44" t="s">
        <v>204</v>
      </c>
      <c r="M918" s="41">
        <v>13.1</v>
      </c>
      <c r="N918" s="44" t="s">
        <v>274</v>
      </c>
      <c r="O918" s="35"/>
      <c r="P918" s="41">
        <v>13.4</v>
      </c>
      <c r="Q918" s="44" t="s">
        <v>274</v>
      </c>
    </row>
    <row r="919" spans="1:17" s="40" customFormat="1">
      <c r="A919" s="148" t="s">
        <v>831</v>
      </c>
      <c r="B919" s="148"/>
      <c r="C919" s="43"/>
      <c r="D919" s="35"/>
      <c r="E919" s="35"/>
      <c r="F919" s="35"/>
      <c r="G919" s="35"/>
      <c r="J919" s="38">
        <v>96</v>
      </c>
      <c r="K919" s="44" t="s">
        <v>204</v>
      </c>
      <c r="M919" s="41">
        <v>18.899999999999999</v>
      </c>
      <c r="N919" s="44" t="s">
        <v>274</v>
      </c>
      <c r="O919" s="35"/>
      <c r="P919" s="41">
        <v>19.2</v>
      </c>
      <c r="Q919" s="44" t="s">
        <v>274</v>
      </c>
    </row>
    <row r="920" spans="1:17" s="40" customFormat="1">
      <c r="A920" s="148" t="s">
        <v>832</v>
      </c>
      <c r="B920" s="148"/>
      <c r="C920" s="43"/>
      <c r="D920" s="35"/>
      <c r="E920" s="35"/>
      <c r="F920" s="35"/>
      <c r="G920" s="35"/>
      <c r="J920" s="38">
        <v>91</v>
      </c>
      <c r="K920" s="44" t="s">
        <v>204</v>
      </c>
      <c r="M920" s="41">
        <v>17.899999999999999</v>
      </c>
      <c r="N920" s="44" t="s">
        <v>274</v>
      </c>
      <c r="O920" s="35"/>
      <c r="P920" s="41">
        <v>18.2</v>
      </c>
      <c r="Q920" s="44" t="s">
        <v>274</v>
      </c>
    </row>
    <row r="921" spans="1:17" s="40" customFormat="1">
      <c r="A921" s="148" t="s">
        <v>833</v>
      </c>
      <c r="B921" s="148"/>
      <c r="C921" s="43"/>
      <c r="D921" s="35"/>
      <c r="E921" s="35"/>
      <c r="F921" s="35"/>
      <c r="G921" s="35"/>
      <c r="J921" s="38">
        <v>51</v>
      </c>
      <c r="K921" s="44" t="s">
        <v>204</v>
      </c>
      <c r="M921" s="41">
        <v>10</v>
      </c>
      <c r="N921" s="44" t="s">
        <v>274</v>
      </c>
      <c r="O921" s="35"/>
      <c r="P921" s="41">
        <v>10.3</v>
      </c>
      <c r="Q921" s="44" t="s">
        <v>274</v>
      </c>
    </row>
    <row r="922" spans="1:17" s="40" customFormat="1">
      <c r="A922" s="148" t="s">
        <v>834</v>
      </c>
      <c r="B922" s="148"/>
      <c r="C922" s="43"/>
      <c r="D922" s="35"/>
      <c r="E922" s="35"/>
      <c r="F922" s="35"/>
      <c r="G922" s="35"/>
      <c r="J922" s="38">
        <v>43</v>
      </c>
      <c r="K922" s="44" t="s">
        <v>204</v>
      </c>
      <c r="M922" s="41">
        <v>8.4</v>
      </c>
      <c r="N922" s="44" t="s">
        <v>274</v>
      </c>
      <c r="O922" s="35"/>
      <c r="P922" s="41">
        <v>8.6999999999999993</v>
      </c>
      <c r="Q922" s="44" t="s">
        <v>274</v>
      </c>
    </row>
    <row r="923" spans="1:17" s="40" customFormat="1">
      <c r="A923" s="148"/>
      <c r="B923" s="148"/>
      <c r="C923" s="43"/>
      <c r="D923" s="35" t="s">
        <v>835</v>
      </c>
      <c r="E923" s="35"/>
      <c r="F923" s="35"/>
      <c r="G923" s="35"/>
      <c r="J923" s="38"/>
      <c r="K923" s="44"/>
      <c r="M923" s="41"/>
      <c r="N923" s="44"/>
      <c r="O923" s="35"/>
      <c r="P923" s="41"/>
      <c r="Q923" s="44"/>
    </row>
    <row r="924" spans="1:17" s="40" customFormat="1">
      <c r="A924" s="148" t="s">
        <v>836</v>
      </c>
      <c r="B924" s="148"/>
      <c r="C924" s="43"/>
      <c r="D924" s="35"/>
      <c r="E924" s="35"/>
      <c r="F924" s="35"/>
      <c r="G924" s="35"/>
      <c r="J924" s="38">
        <v>89</v>
      </c>
      <c r="K924" s="44" t="s">
        <v>204</v>
      </c>
      <c r="M924" s="41">
        <v>17.8</v>
      </c>
      <c r="N924" s="44" t="s">
        <v>274</v>
      </c>
      <c r="O924" s="35"/>
      <c r="P924" s="41">
        <v>18.100000000000001</v>
      </c>
      <c r="Q924" s="44" t="s">
        <v>274</v>
      </c>
    </row>
    <row r="925" spans="1:17" s="40" customFormat="1">
      <c r="A925" s="148" t="s">
        <v>837</v>
      </c>
      <c r="B925" s="148"/>
      <c r="C925" s="43"/>
      <c r="D925" s="35"/>
      <c r="E925" s="35"/>
      <c r="F925" s="35"/>
      <c r="G925" s="35"/>
      <c r="J925" s="38">
        <v>91</v>
      </c>
      <c r="K925" s="44" t="s">
        <v>204</v>
      </c>
      <c r="M925" s="41">
        <v>18.2</v>
      </c>
      <c r="N925" s="44" t="s">
        <v>274</v>
      </c>
      <c r="O925" s="35"/>
      <c r="P925" s="41">
        <v>18.5</v>
      </c>
      <c r="Q925" s="44" t="s">
        <v>274</v>
      </c>
    </row>
    <row r="926" spans="1:17" s="40" customFormat="1">
      <c r="A926" s="148" t="s">
        <v>838</v>
      </c>
      <c r="B926" s="148"/>
      <c r="C926" s="43"/>
      <c r="D926" s="35"/>
      <c r="E926" s="35"/>
      <c r="F926" s="35"/>
      <c r="G926" s="35"/>
      <c r="J926" s="38">
        <v>38</v>
      </c>
      <c r="K926" s="44" t="s">
        <v>204</v>
      </c>
      <c r="M926" s="41">
        <v>7.5</v>
      </c>
      <c r="N926" s="44" t="s">
        <v>274</v>
      </c>
      <c r="O926" s="35"/>
      <c r="P926" s="41">
        <v>7.8</v>
      </c>
      <c r="Q926" s="44" t="s">
        <v>274</v>
      </c>
    </row>
    <row r="927" spans="1:17" s="40" customFormat="1">
      <c r="A927" s="148" t="s">
        <v>839</v>
      </c>
      <c r="B927" s="148"/>
      <c r="C927" s="43"/>
      <c r="D927" s="35"/>
      <c r="E927" s="35"/>
      <c r="F927" s="35"/>
      <c r="G927" s="35"/>
      <c r="J927" s="38">
        <v>80</v>
      </c>
      <c r="K927" s="44" t="s">
        <v>204</v>
      </c>
      <c r="M927" s="41">
        <v>16</v>
      </c>
      <c r="N927" s="44" t="s">
        <v>274</v>
      </c>
      <c r="O927" s="35"/>
      <c r="P927" s="41">
        <v>16.3</v>
      </c>
      <c r="Q927" s="44" t="s">
        <v>274</v>
      </c>
    </row>
    <row r="928" spans="1:17" s="40" customFormat="1">
      <c r="A928" s="148" t="s">
        <v>840</v>
      </c>
      <c r="B928" s="148"/>
      <c r="C928" s="43"/>
      <c r="D928" s="35"/>
      <c r="E928" s="35"/>
      <c r="F928" s="35"/>
      <c r="G928" s="35"/>
      <c r="J928" s="38">
        <v>54</v>
      </c>
      <c r="K928" s="44" t="s">
        <v>204</v>
      </c>
      <c r="M928" s="41">
        <v>10.8</v>
      </c>
      <c r="N928" s="44" t="s">
        <v>274</v>
      </c>
      <c r="O928" s="35"/>
      <c r="P928" s="41">
        <v>11.1</v>
      </c>
      <c r="Q928" s="44" t="s">
        <v>274</v>
      </c>
    </row>
    <row r="929" spans="1:17" s="40" customFormat="1">
      <c r="A929" s="148" t="s">
        <v>841</v>
      </c>
      <c r="B929" s="148"/>
      <c r="C929" s="43"/>
      <c r="D929" s="35"/>
      <c r="E929" s="35"/>
      <c r="F929" s="35"/>
      <c r="G929" s="35"/>
      <c r="J929" s="38">
        <v>95</v>
      </c>
      <c r="K929" s="44" t="s">
        <v>204</v>
      </c>
      <c r="M929" s="41">
        <v>19</v>
      </c>
      <c r="N929" s="44" t="s">
        <v>274</v>
      </c>
      <c r="O929" s="35"/>
      <c r="P929" s="41">
        <v>19.3</v>
      </c>
      <c r="Q929" s="44" t="s">
        <v>274</v>
      </c>
    </row>
    <row r="930" spans="1:17" s="40" customFormat="1">
      <c r="A930" s="148" t="s">
        <v>842</v>
      </c>
      <c r="B930" s="148"/>
      <c r="C930" s="43"/>
      <c r="D930" s="35"/>
      <c r="E930" s="35"/>
      <c r="F930" s="35"/>
      <c r="G930" s="35"/>
      <c r="J930" s="38">
        <v>92</v>
      </c>
      <c r="K930" s="44" t="s">
        <v>204</v>
      </c>
      <c r="M930" s="41">
        <v>18.399999999999999</v>
      </c>
      <c r="N930" s="44" t="s">
        <v>274</v>
      </c>
      <c r="O930" s="35"/>
      <c r="P930" s="41">
        <v>18.7</v>
      </c>
      <c r="Q930" s="44" t="s">
        <v>274</v>
      </c>
    </row>
    <row r="931" spans="1:17" s="40" customFormat="1">
      <c r="A931" s="148" t="s">
        <v>843</v>
      </c>
      <c r="B931" s="148"/>
      <c r="C931" s="43"/>
      <c r="D931" s="35"/>
      <c r="E931" s="35"/>
      <c r="F931" s="35"/>
      <c r="G931" s="35"/>
      <c r="J931" s="38">
        <v>83</v>
      </c>
      <c r="K931" s="44" t="s">
        <v>204</v>
      </c>
      <c r="M931" s="41">
        <v>16.5</v>
      </c>
      <c r="N931" s="44" t="s">
        <v>274</v>
      </c>
      <c r="O931" s="35"/>
      <c r="P931" s="41">
        <v>16.8</v>
      </c>
      <c r="Q931" s="44" t="s">
        <v>274</v>
      </c>
    </row>
    <row r="932" spans="1:17" s="40" customFormat="1">
      <c r="A932" s="148" t="s">
        <v>844</v>
      </c>
      <c r="B932" s="148"/>
      <c r="C932" s="43"/>
      <c r="D932" s="35"/>
      <c r="E932" s="35"/>
      <c r="F932" s="35"/>
      <c r="G932" s="35"/>
      <c r="J932" s="38">
        <v>95</v>
      </c>
      <c r="K932" s="44" t="s">
        <v>204</v>
      </c>
      <c r="M932" s="41">
        <v>18.899999999999999</v>
      </c>
      <c r="N932" s="44" t="s">
        <v>274</v>
      </c>
      <c r="O932" s="35"/>
      <c r="P932" s="41">
        <v>19.2</v>
      </c>
      <c r="Q932" s="44" t="s">
        <v>274</v>
      </c>
    </row>
    <row r="933" spans="1:17" s="40" customFormat="1">
      <c r="A933" s="148" t="s">
        <v>845</v>
      </c>
      <c r="B933" s="148"/>
      <c r="C933" s="43"/>
      <c r="D933" s="35"/>
      <c r="E933" s="35"/>
      <c r="F933" s="35"/>
      <c r="G933" s="35"/>
      <c r="J933" s="38">
        <v>96</v>
      </c>
      <c r="K933" s="44" t="s">
        <v>204</v>
      </c>
      <c r="M933" s="41">
        <v>19.100000000000001</v>
      </c>
      <c r="N933" s="44" t="s">
        <v>274</v>
      </c>
      <c r="O933" s="35"/>
      <c r="P933" s="41">
        <v>19.399999999999999</v>
      </c>
      <c r="Q933" s="44" t="s">
        <v>274</v>
      </c>
    </row>
    <row r="934" spans="1:17" s="40" customFormat="1">
      <c r="A934" s="148" t="s">
        <v>846</v>
      </c>
      <c r="B934" s="148"/>
      <c r="C934" s="43"/>
      <c r="D934" s="35"/>
      <c r="E934" s="35"/>
      <c r="F934" s="35"/>
      <c r="G934" s="35"/>
      <c r="J934" s="38">
        <v>94</v>
      </c>
      <c r="K934" s="44" t="s">
        <v>204</v>
      </c>
      <c r="M934" s="41">
        <v>18.7</v>
      </c>
      <c r="N934" s="44" t="s">
        <v>274</v>
      </c>
      <c r="O934" s="35"/>
      <c r="P934" s="41">
        <v>19</v>
      </c>
      <c r="Q934" s="44" t="s">
        <v>274</v>
      </c>
    </row>
    <row r="935" spans="1:17" s="40" customFormat="1">
      <c r="A935" s="148"/>
      <c r="B935" s="148"/>
      <c r="C935" s="43"/>
      <c r="D935" s="35" t="s">
        <v>847</v>
      </c>
      <c r="E935" s="35"/>
      <c r="F935" s="35"/>
      <c r="G935" s="35"/>
      <c r="J935" s="38"/>
      <c r="K935" s="44"/>
      <c r="M935" s="41"/>
      <c r="N935" s="44"/>
      <c r="O935" s="35"/>
      <c r="P935" s="41"/>
      <c r="Q935" s="44"/>
    </row>
    <row r="936" spans="1:17" s="40" customFormat="1">
      <c r="A936" s="148" t="s">
        <v>848</v>
      </c>
      <c r="B936" s="148"/>
      <c r="C936" s="43"/>
      <c r="D936" s="35"/>
      <c r="E936" s="35"/>
      <c r="F936" s="35"/>
      <c r="G936" s="35"/>
      <c r="J936" s="38">
        <v>96</v>
      </c>
      <c r="K936" s="44" t="s">
        <v>204</v>
      </c>
      <c r="M936" s="41">
        <v>19</v>
      </c>
      <c r="N936" s="44" t="s">
        <v>274</v>
      </c>
      <c r="O936" s="35"/>
      <c r="P936" s="41">
        <v>19.3</v>
      </c>
      <c r="Q936" s="44" t="s">
        <v>274</v>
      </c>
    </row>
    <row r="937" spans="1:17" s="40" customFormat="1">
      <c r="A937" s="148" t="s">
        <v>849</v>
      </c>
      <c r="B937" s="148"/>
      <c r="C937" s="43"/>
      <c r="D937" s="35"/>
      <c r="E937" s="35"/>
      <c r="F937" s="35"/>
      <c r="G937" s="35"/>
      <c r="J937" s="38">
        <v>90</v>
      </c>
      <c r="K937" s="44" t="s">
        <v>204</v>
      </c>
      <c r="M937" s="41">
        <v>17.899999999999999</v>
      </c>
      <c r="N937" s="44" t="s">
        <v>274</v>
      </c>
      <c r="O937" s="35"/>
      <c r="P937" s="41">
        <v>18.2</v>
      </c>
      <c r="Q937" s="44" t="s">
        <v>274</v>
      </c>
    </row>
    <row r="938" spans="1:17" s="40" customFormat="1">
      <c r="A938" s="148" t="s">
        <v>850</v>
      </c>
      <c r="B938" s="148"/>
      <c r="C938" s="43"/>
      <c r="D938" s="35"/>
      <c r="E938" s="35"/>
      <c r="F938" s="35"/>
      <c r="G938" s="35"/>
      <c r="J938" s="38">
        <v>90</v>
      </c>
      <c r="K938" s="44" t="s">
        <v>204</v>
      </c>
      <c r="M938" s="41">
        <v>17.899999999999999</v>
      </c>
      <c r="N938" s="44" t="s">
        <v>274</v>
      </c>
      <c r="O938" s="35"/>
      <c r="P938" s="41">
        <v>18.2</v>
      </c>
      <c r="Q938" s="44" t="s">
        <v>274</v>
      </c>
    </row>
    <row r="939" spans="1:17" s="40" customFormat="1">
      <c r="A939" s="148" t="s">
        <v>851</v>
      </c>
      <c r="B939" s="148"/>
      <c r="C939" s="43"/>
      <c r="D939" s="35"/>
      <c r="E939" s="35"/>
      <c r="F939" s="35"/>
      <c r="G939" s="35"/>
      <c r="J939" s="38">
        <v>74</v>
      </c>
      <c r="K939" s="44" t="s">
        <v>204</v>
      </c>
      <c r="M939" s="41">
        <v>14.6</v>
      </c>
      <c r="N939" s="44" t="s">
        <v>274</v>
      </c>
      <c r="O939" s="35"/>
      <c r="P939" s="41">
        <v>14.9</v>
      </c>
      <c r="Q939" s="44" t="s">
        <v>274</v>
      </c>
    </row>
    <row r="940" spans="1:17" s="40" customFormat="1">
      <c r="A940" s="148" t="s">
        <v>852</v>
      </c>
      <c r="B940" s="148"/>
      <c r="C940" s="43"/>
      <c r="D940" s="35"/>
      <c r="E940" s="35"/>
      <c r="F940" s="35"/>
      <c r="G940" s="35"/>
      <c r="J940" s="38">
        <v>99</v>
      </c>
      <c r="K940" s="44" t="s">
        <v>204</v>
      </c>
      <c r="M940" s="41">
        <v>19.600000000000001</v>
      </c>
      <c r="N940" s="44" t="s">
        <v>274</v>
      </c>
      <c r="O940" s="35"/>
      <c r="P940" s="41">
        <v>19.899999999999999</v>
      </c>
      <c r="Q940" s="44" t="s">
        <v>274</v>
      </c>
    </row>
    <row r="941" spans="1:17" s="40" customFormat="1">
      <c r="A941" s="148" t="s">
        <v>853</v>
      </c>
      <c r="B941" s="148"/>
      <c r="C941" s="43"/>
      <c r="D941" s="35"/>
      <c r="E941" s="35"/>
      <c r="F941" s="35"/>
      <c r="G941" s="35"/>
      <c r="J941" s="38">
        <v>90</v>
      </c>
      <c r="K941" s="44" t="s">
        <v>204</v>
      </c>
      <c r="M941" s="41">
        <v>17.8</v>
      </c>
      <c r="N941" s="44" t="s">
        <v>274</v>
      </c>
      <c r="O941" s="35"/>
      <c r="P941" s="41">
        <v>18.100000000000001</v>
      </c>
      <c r="Q941" s="44" t="s">
        <v>274</v>
      </c>
    </row>
    <row r="942" spans="1:17" s="40" customFormat="1">
      <c r="A942" s="148" t="s">
        <v>854</v>
      </c>
      <c r="B942" s="148"/>
      <c r="C942" s="43"/>
      <c r="D942" s="35"/>
      <c r="E942" s="35"/>
      <c r="F942" s="35"/>
      <c r="G942" s="35"/>
      <c r="J942" s="38">
        <v>93</v>
      </c>
      <c r="K942" s="44" t="s">
        <v>204</v>
      </c>
      <c r="M942" s="41">
        <v>18.5</v>
      </c>
      <c r="N942" s="44" t="s">
        <v>274</v>
      </c>
      <c r="O942" s="35"/>
      <c r="P942" s="41">
        <v>18.8</v>
      </c>
      <c r="Q942" s="44" t="s">
        <v>274</v>
      </c>
    </row>
    <row r="943" spans="1:17" s="40" customFormat="1">
      <c r="A943" s="148" t="s">
        <v>855</v>
      </c>
      <c r="B943" s="148"/>
      <c r="C943" s="43"/>
      <c r="D943" s="35"/>
      <c r="E943" s="35"/>
      <c r="F943" s="35"/>
      <c r="G943" s="35"/>
      <c r="J943" s="38">
        <v>96</v>
      </c>
      <c r="K943" s="44" t="s">
        <v>204</v>
      </c>
      <c r="M943" s="41">
        <v>19</v>
      </c>
      <c r="N943" s="44" t="s">
        <v>274</v>
      </c>
      <c r="O943" s="35"/>
      <c r="P943" s="41">
        <v>19.3</v>
      </c>
      <c r="Q943" s="44" t="s">
        <v>274</v>
      </c>
    </row>
    <row r="944" spans="1:17" s="40" customFormat="1">
      <c r="A944" s="148" t="s">
        <v>856</v>
      </c>
      <c r="B944" s="148"/>
      <c r="C944" s="43"/>
      <c r="D944" s="35"/>
      <c r="E944" s="35"/>
      <c r="F944" s="35"/>
      <c r="G944" s="35"/>
      <c r="J944" s="38">
        <v>97</v>
      </c>
      <c r="K944" s="44" t="s">
        <v>204</v>
      </c>
      <c r="M944" s="41">
        <v>19.2</v>
      </c>
      <c r="N944" s="44" t="s">
        <v>274</v>
      </c>
      <c r="O944" s="35"/>
      <c r="P944" s="41">
        <v>19.5</v>
      </c>
      <c r="Q944" s="44" t="s">
        <v>274</v>
      </c>
    </row>
    <row r="945" spans="1:17" s="40" customFormat="1">
      <c r="A945" s="148" t="s">
        <v>857</v>
      </c>
      <c r="B945" s="148"/>
      <c r="C945" s="43"/>
      <c r="D945" s="35"/>
      <c r="E945" s="35"/>
      <c r="F945" s="35"/>
      <c r="G945" s="35"/>
      <c r="J945" s="38">
        <v>100</v>
      </c>
      <c r="K945" s="44" t="s">
        <v>204</v>
      </c>
      <c r="M945" s="41">
        <v>19.8</v>
      </c>
      <c r="N945" s="44" t="s">
        <v>274</v>
      </c>
      <c r="O945" s="35"/>
      <c r="P945" s="41">
        <v>20.100000000000001</v>
      </c>
      <c r="Q945" s="44" t="s">
        <v>274</v>
      </c>
    </row>
    <row r="946" spans="1:17" s="40" customFormat="1">
      <c r="A946" s="148" t="s">
        <v>858</v>
      </c>
      <c r="B946" s="148"/>
      <c r="C946" s="43"/>
      <c r="D946" s="35"/>
      <c r="E946" s="35"/>
      <c r="F946" s="35"/>
      <c r="G946" s="35"/>
      <c r="J946" s="38">
        <v>66</v>
      </c>
      <c r="K946" s="44" t="s">
        <v>204</v>
      </c>
      <c r="M946" s="41">
        <v>13.1</v>
      </c>
      <c r="N946" s="44" t="s">
        <v>274</v>
      </c>
      <c r="O946" s="35"/>
      <c r="P946" s="41">
        <v>13.4</v>
      </c>
      <c r="Q946" s="44" t="s">
        <v>274</v>
      </c>
    </row>
    <row r="947" spans="1:17" s="40" customFormat="1">
      <c r="A947" s="148" t="s">
        <v>859</v>
      </c>
      <c r="B947" s="148"/>
      <c r="C947" s="43"/>
      <c r="D947" s="35"/>
      <c r="E947" s="35"/>
      <c r="F947" s="35"/>
      <c r="G947" s="35"/>
      <c r="J947" s="38">
        <v>97</v>
      </c>
      <c r="K947" s="44" t="s">
        <v>204</v>
      </c>
      <c r="M947" s="41">
        <v>19.2</v>
      </c>
      <c r="N947" s="44" t="s">
        <v>274</v>
      </c>
      <c r="O947" s="35"/>
      <c r="P947" s="41">
        <v>19.5</v>
      </c>
      <c r="Q947" s="44" t="s">
        <v>274</v>
      </c>
    </row>
    <row r="948" spans="1:17" s="40" customFormat="1">
      <c r="A948" s="148" t="s">
        <v>860</v>
      </c>
      <c r="B948" s="148"/>
      <c r="C948" s="43"/>
      <c r="D948" s="35"/>
      <c r="E948" s="35"/>
      <c r="F948" s="35"/>
      <c r="G948" s="35"/>
      <c r="J948" s="38">
        <v>104</v>
      </c>
      <c r="K948" s="44" t="s">
        <v>204</v>
      </c>
      <c r="M948" s="41">
        <v>20.7</v>
      </c>
      <c r="N948" s="44" t="s">
        <v>274</v>
      </c>
      <c r="O948" s="35"/>
      <c r="P948" s="41">
        <v>21</v>
      </c>
      <c r="Q948" s="44" t="s">
        <v>274</v>
      </c>
    </row>
    <row r="949" spans="1:17" s="40" customFormat="1">
      <c r="A949" s="148" t="s">
        <v>861</v>
      </c>
      <c r="B949" s="148"/>
      <c r="C949" s="43"/>
      <c r="D949" s="35"/>
      <c r="E949" s="35"/>
      <c r="F949" s="35"/>
      <c r="G949" s="35"/>
      <c r="J949" s="38">
        <v>79</v>
      </c>
      <c r="K949" s="44" t="s">
        <v>204</v>
      </c>
      <c r="M949" s="41">
        <v>15.6</v>
      </c>
      <c r="N949" s="44" t="s">
        <v>274</v>
      </c>
      <c r="O949" s="35"/>
      <c r="P949" s="41">
        <v>15.9</v>
      </c>
      <c r="Q949" s="44" t="s">
        <v>274</v>
      </c>
    </row>
    <row r="950" spans="1:17" s="40" customFormat="1">
      <c r="A950" s="148" t="s">
        <v>862</v>
      </c>
      <c r="B950" s="148"/>
      <c r="C950" s="43"/>
      <c r="D950" s="35"/>
      <c r="E950" s="35"/>
      <c r="F950" s="35"/>
      <c r="G950" s="35"/>
      <c r="J950" s="38">
        <v>93</v>
      </c>
      <c r="K950" s="44" t="s">
        <v>204</v>
      </c>
      <c r="M950" s="41">
        <v>18.399999999999999</v>
      </c>
      <c r="N950" s="44" t="s">
        <v>274</v>
      </c>
      <c r="O950" s="35"/>
      <c r="P950" s="41">
        <v>18.7</v>
      </c>
      <c r="Q950" s="44" t="s">
        <v>274</v>
      </c>
    </row>
    <row r="951" spans="1:17" s="40" customFormat="1">
      <c r="A951" s="148"/>
      <c r="B951" s="148"/>
      <c r="C951" s="43"/>
      <c r="D951" s="35" t="s">
        <v>863</v>
      </c>
      <c r="E951" s="35"/>
      <c r="F951" s="35"/>
      <c r="G951" s="35"/>
      <c r="J951" s="38"/>
      <c r="K951" s="44"/>
      <c r="M951" s="41"/>
      <c r="N951" s="44"/>
      <c r="O951" s="35"/>
      <c r="P951" s="41"/>
      <c r="Q951" s="44"/>
    </row>
    <row r="952" spans="1:17" s="40" customFormat="1">
      <c r="A952" s="148" t="s">
        <v>864</v>
      </c>
      <c r="B952" s="148"/>
      <c r="C952" s="43"/>
      <c r="D952" s="35"/>
      <c r="E952" s="35"/>
      <c r="F952" s="35"/>
      <c r="G952" s="35"/>
      <c r="J952" s="38">
        <v>92</v>
      </c>
      <c r="K952" s="44" t="s">
        <v>204</v>
      </c>
      <c r="M952" s="41">
        <v>19.7</v>
      </c>
      <c r="N952" s="44" t="s">
        <v>274</v>
      </c>
      <c r="O952" s="35"/>
      <c r="P952" s="41">
        <v>20</v>
      </c>
      <c r="Q952" s="44" t="s">
        <v>274</v>
      </c>
    </row>
    <row r="953" spans="1:17" s="40" customFormat="1">
      <c r="A953" s="148" t="s">
        <v>865</v>
      </c>
      <c r="B953" s="148"/>
      <c r="C953" s="43"/>
      <c r="D953" s="35"/>
      <c r="E953" s="35"/>
      <c r="F953" s="35"/>
      <c r="G953" s="35"/>
      <c r="J953" s="38">
        <v>87</v>
      </c>
      <c r="K953" s="44" t="s">
        <v>204</v>
      </c>
      <c r="M953" s="41">
        <v>18.5</v>
      </c>
      <c r="N953" s="44" t="s">
        <v>274</v>
      </c>
      <c r="O953" s="35"/>
      <c r="P953" s="41">
        <v>18.8</v>
      </c>
      <c r="Q953" s="44" t="s">
        <v>274</v>
      </c>
    </row>
    <row r="954" spans="1:17" s="40" customFormat="1">
      <c r="A954" s="148" t="s">
        <v>866</v>
      </c>
      <c r="B954" s="148"/>
      <c r="C954" s="43"/>
      <c r="D954" s="35"/>
      <c r="E954" s="35"/>
      <c r="F954" s="35"/>
      <c r="G954" s="35"/>
      <c r="J954" s="38">
        <v>91</v>
      </c>
      <c r="K954" s="44" t="s">
        <v>204</v>
      </c>
      <c r="M954" s="41">
        <v>19.3</v>
      </c>
      <c r="N954" s="44" t="s">
        <v>274</v>
      </c>
      <c r="O954" s="35"/>
      <c r="P954" s="41">
        <v>19.600000000000001</v>
      </c>
      <c r="Q954" s="44" t="s">
        <v>274</v>
      </c>
    </row>
    <row r="955" spans="1:17" s="40" customFormat="1">
      <c r="A955" s="148" t="s">
        <v>867</v>
      </c>
      <c r="B955" s="148"/>
      <c r="C955" s="43"/>
      <c r="D955" s="35"/>
      <c r="E955" s="35"/>
      <c r="F955" s="35"/>
      <c r="G955" s="35"/>
      <c r="J955" s="38">
        <v>92</v>
      </c>
      <c r="K955" s="44" t="s">
        <v>204</v>
      </c>
      <c r="M955" s="41">
        <v>19.7</v>
      </c>
      <c r="N955" s="44" t="s">
        <v>274</v>
      </c>
      <c r="O955" s="35"/>
      <c r="P955" s="41">
        <v>20</v>
      </c>
      <c r="Q955" s="44" t="s">
        <v>274</v>
      </c>
    </row>
    <row r="956" spans="1:17" s="40" customFormat="1">
      <c r="A956" s="148" t="s">
        <v>868</v>
      </c>
      <c r="B956" s="148"/>
      <c r="C956" s="43"/>
      <c r="D956" s="35"/>
      <c r="E956" s="35"/>
      <c r="F956" s="35"/>
      <c r="G956" s="35"/>
      <c r="J956" s="38">
        <v>74</v>
      </c>
      <c r="K956" s="44" t="s">
        <v>204</v>
      </c>
      <c r="M956" s="41">
        <v>15.8</v>
      </c>
      <c r="N956" s="44" t="s">
        <v>274</v>
      </c>
      <c r="O956" s="35"/>
      <c r="P956" s="41">
        <v>16.100000000000001</v>
      </c>
      <c r="Q956" s="44" t="s">
        <v>274</v>
      </c>
    </row>
    <row r="957" spans="1:17" s="40" customFormat="1">
      <c r="A957" s="148" t="s">
        <v>869</v>
      </c>
      <c r="B957" s="148"/>
      <c r="C957" s="43"/>
      <c r="D957" s="35"/>
      <c r="E957" s="35"/>
      <c r="F957" s="35"/>
      <c r="G957" s="35"/>
      <c r="J957" s="38">
        <v>56</v>
      </c>
      <c r="K957" s="44" t="s">
        <v>204</v>
      </c>
      <c r="M957" s="41">
        <v>12</v>
      </c>
      <c r="N957" s="44" t="s">
        <v>274</v>
      </c>
      <c r="O957" s="35"/>
      <c r="P957" s="41">
        <v>12.3</v>
      </c>
      <c r="Q957" s="44" t="s">
        <v>274</v>
      </c>
    </row>
    <row r="958" spans="1:17" s="40" customFormat="1">
      <c r="A958" s="148" t="s">
        <v>870</v>
      </c>
      <c r="B958" s="148"/>
      <c r="C958" s="43"/>
      <c r="D958" s="35"/>
      <c r="E958" s="35"/>
      <c r="F958" s="35"/>
      <c r="G958" s="35"/>
      <c r="J958" s="38">
        <v>89</v>
      </c>
      <c r="K958" s="44" t="s">
        <v>204</v>
      </c>
      <c r="M958" s="41">
        <v>19</v>
      </c>
      <c r="N958" s="44" t="s">
        <v>274</v>
      </c>
      <c r="O958" s="35"/>
      <c r="P958" s="41">
        <v>19.3</v>
      </c>
      <c r="Q958" s="44" t="s">
        <v>274</v>
      </c>
    </row>
    <row r="959" spans="1:17" s="40" customFormat="1">
      <c r="A959" s="148" t="s">
        <v>871</v>
      </c>
      <c r="B959" s="148"/>
      <c r="C959" s="43"/>
      <c r="D959" s="35"/>
      <c r="E959" s="35"/>
      <c r="F959" s="35"/>
      <c r="G959" s="35"/>
      <c r="J959" s="38">
        <v>84</v>
      </c>
      <c r="K959" s="44" t="s">
        <v>204</v>
      </c>
      <c r="M959" s="41">
        <v>17.899999999999999</v>
      </c>
      <c r="N959" s="44" t="s">
        <v>274</v>
      </c>
      <c r="O959" s="35"/>
      <c r="P959" s="41">
        <v>18.2</v>
      </c>
      <c r="Q959" s="44" t="s">
        <v>274</v>
      </c>
    </row>
    <row r="960" spans="1:17" s="40" customFormat="1">
      <c r="A960" s="148" t="s">
        <v>872</v>
      </c>
      <c r="B960" s="148"/>
      <c r="C960" s="43"/>
      <c r="D960" s="35"/>
      <c r="E960" s="35"/>
      <c r="F960" s="35"/>
      <c r="G960" s="35"/>
      <c r="J960" s="38">
        <v>97</v>
      </c>
      <c r="K960" s="44" t="s">
        <v>204</v>
      </c>
      <c r="M960" s="41">
        <v>20.7</v>
      </c>
      <c r="N960" s="44" t="s">
        <v>274</v>
      </c>
      <c r="O960" s="35"/>
      <c r="P960" s="41">
        <v>21</v>
      </c>
      <c r="Q960" s="44" t="s">
        <v>274</v>
      </c>
    </row>
    <row r="961" spans="1:17" s="40" customFormat="1">
      <c r="A961" s="148" t="s">
        <v>873</v>
      </c>
      <c r="B961" s="148"/>
      <c r="C961" s="43"/>
      <c r="D961" s="35"/>
      <c r="E961" s="35"/>
      <c r="F961" s="35"/>
      <c r="G961" s="35"/>
      <c r="J961" s="38">
        <v>68</v>
      </c>
      <c r="K961" s="44" t="s">
        <v>204</v>
      </c>
      <c r="M961" s="41">
        <v>14.5</v>
      </c>
      <c r="N961" s="44" t="s">
        <v>274</v>
      </c>
      <c r="O961" s="35"/>
      <c r="P961" s="41">
        <v>14.8</v>
      </c>
      <c r="Q961" s="44" t="s">
        <v>274</v>
      </c>
    </row>
    <row r="962" spans="1:17" s="40" customFormat="1">
      <c r="A962" s="148" t="s">
        <v>874</v>
      </c>
      <c r="B962" s="148"/>
      <c r="C962" s="43"/>
      <c r="D962" s="35"/>
      <c r="E962" s="35"/>
      <c r="F962" s="35"/>
      <c r="G962" s="35"/>
      <c r="J962" s="38">
        <v>88</v>
      </c>
      <c r="K962" s="44" t="s">
        <v>204</v>
      </c>
      <c r="M962" s="41">
        <v>18.7</v>
      </c>
      <c r="N962" s="44" t="s">
        <v>274</v>
      </c>
      <c r="O962" s="35"/>
      <c r="P962" s="41">
        <v>19</v>
      </c>
      <c r="Q962" s="44" t="s">
        <v>274</v>
      </c>
    </row>
    <row r="963" spans="1:17" s="40" customFormat="1">
      <c r="A963" s="148" t="s">
        <v>875</v>
      </c>
      <c r="B963" s="148"/>
      <c r="C963" s="43"/>
      <c r="D963" s="35"/>
      <c r="E963" s="35"/>
      <c r="F963" s="35"/>
      <c r="G963" s="35"/>
      <c r="J963" s="38">
        <v>58</v>
      </c>
      <c r="K963" s="44" t="s">
        <v>204</v>
      </c>
      <c r="M963" s="41">
        <v>12.4</v>
      </c>
      <c r="N963" s="44" t="s">
        <v>274</v>
      </c>
      <c r="O963" s="35"/>
      <c r="P963" s="41">
        <v>12.7</v>
      </c>
      <c r="Q963" s="44" t="s">
        <v>274</v>
      </c>
    </row>
    <row r="964" spans="1:17" s="40" customFormat="1">
      <c r="A964" s="148" t="s">
        <v>876</v>
      </c>
      <c r="B964" s="148"/>
      <c r="C964" s="43"/>
      <c r="D964" s="35"/>
      <c r="E964" s="35"/>
      <c r="F964" s="35"/>
      <c r="G964" s="35"/>
      <c r="J964" s="38">
        <v>93</v>
      </c>
      <c r="K964" s="44" t="s">
        <v>204</v>
      </c>
      <c r="M964" s="41">
        <v>19.899999999999999</v>
      </c>
      <c r="N964" s="44" t="s">
        <v>274</v>
      </c>
      <c r="O964" s="35"/>
      <c r="P964" s="41">
        <v>20.2</v>
      </c>
      <c r="Q964" s="44" t="s">
        <v>274</v>
      </c>
    </row>
    <row r="965" spans="1:17" s="40" customFormat="1">
      <c r="A965" s="148" t="s">
        <v>877</v>
      </c>
      <c r="B965" s="148"/>
      <c r="C965" s="43"/>
      <c r="D965" s="35"/>
      <c r="E965" s="35"/>
      <c r="F965" s="35"/>
      <c r="G965" s="35"/>
      <c r="J965" s="38">
        <v>86</v>
      </c>
      <c r="K965" s="44" t="s">
        <v>204</v>
      </c>
      <c r="M965" s="41">
        <v>18.3</v>
      </c>
      <c r="N965" s="44" t="s">
        <v>274</v>
      </c>
      <c r="O965" s="35"/>
      <c r="P965" s="41">
        <v>18.600000000000001</v>
      </c>
      <c r="Q965" s="44" t="s">
        <v>274</v>
      </c>
    </row>
    <row r="966" spans="1:17" s="40" customFormat="1">
      <c r="A966" s="148" t="s">
        <v>878</v>
      </c>
      <c r="B966" s="148"/>
      <c r="C966" s="43"/>
      <c r="D966" s="35"/>
      <c r="E966" s="35"/>
      <c r="F966" s="35"/>
      <c r="G966" s="35"/>
      <c r="J966" s="38">
        <v>66</v>
      </c>
      <c r="K966" s="44" t="s">
        <v>204</v>
      </c>
      <c r="M966" s="41">
        <v>14.1</v>
      </c>
      <c r="N966" s="44" t="s">
        <v>274</v>
      </c>
      <c r="O966" s="35"/>
      <c r="P966" s="41">
        <v>14.4</v>
      </c>
      <c r="Q966" s="44" t="s">
        <v>274</v>
      </c>
    </row>
    <row r="967" spans="1:17" s="40" customFormat="1">
      <c r="A967" s="148" t="s">
        <v>879</v>
      </c>
      <c r="B967" s="148"/>
      <c r="C967" s="43"/>
      <c r="D967" s="35"/>
      <c r="E967" s="35"/>
      <c r="F967" s="35"/>
      <c r="G967" s="35"/>
      <c r="J967" s="38">
        <v>90</v>
      </c>
      <c r="K967" s="44" t="s">
        <v>204</v>
      </c>
      <c r="M967" s="41">
        <v>19.3</v>
      </c>
      <c r="N967" s="44" t="s">
        <v>274</v>
      </c>
      <c r="O967" s="35"/>
      <c r="P967" s="41">
        <v>19.600000000000001</v>
      </c>
      <c r="Q967" s="44" t="s">
        <v>274</v>
      </c>
    </row>
    <row r="968" spans="1:17" s="40" customFormat="1">
      <c r="A968" s="148" t="s">
        <v>880</v>
      </c>
      <c r="B968" s="148"/>
      <c r="C968" s="43"/>
      <c r="D968" s="35"/>
      <c r="E968" s="35"/>
      <c r="F968" s="35"/>
      <c r="G968" s="35"/>
      <c r="J968" s="38">
        <v>90</v>
      </c>
      <c r="K968" s="44" t="s">
        <v>204</v>
      </c>
      <c r="M968" s="41">
        <v>19.3</v>
      </c>
      <c r="N968" s="44" t="s">
        <v>274</v>
      </c>
      <c r="O968" s="35"/>
      <c r="P968" s="41">
        <v>19.600000000000001</v>
      </c>
      <c r="Q968" s="44" t="s">
        <v>274</v>
      </c>
    </row>
    <row r="969" spans="1:17" s="40" customFormat="1">
      <c r="A969" s="148"/>
      <c r="B969" s="148"/>
      <c r="C969" s="43"/>
      <c r="D969" s="35" t="s">
        <v>881</v>
      </c>
      <c r="E969" s="35"/>
      <c r="F969" s="35"/>
      <c r="G969" s="35"/>
      <c r="J969" s="38"/>
      <c r="K969" s="44"/>
      <c r="M969" s="41"/>
      <c r="N969" s="44"/>
      <c r="O969" s="35"/>
      <c r="P969" s="41"/>
      <c r="Q969" s="44"/>
    </row>
    <row r="970" spans="1:17" s="40" customFormat="1">
      <c r="A970" s="148" t="s">
        <v>882</v>
      </c>
      <c r="B970" s="148"/>
      <c r="C970" s="43"/>
      <c r="D970" s="35"/>
      <c r="E970" s="35"/>
      <c r="F970" s="35"/>
      <c r="G970" s="35"/>
      <c r="J970" s="38">
        <v>77</v>
      </c>
      <c r="K970" s="44" t="s">
        <v>204</v>
      </c>
      <c r="M970" s="41">
        <v>14.7</v>
      </c>
      <c r="N970" s="44" t="s">
        <v>274</v>
      </c>
      <c r="O970" s="35"/>
      <c r="P970" s="41">
        <v>15</v>
      </c>
      <c r="Q970" s="44" t="s">
        <v>274</v>
      </c>
    </row>
    <row r="971" spans="1:17" s="40" customFormat="1">
      <c r="A971" s="148" t="s">
        <v>883</v>
      </c>
      <c r="B971" s="148"/>
      <c r="C971" s="43"/>
      <c r="D971" s="35"/>
      <c r="E971" s="35"/>
      <c r="F971" s="35"/>
      <c r="G971" s="35"/>
      <c r="J971" s="38">
        <v>85</v>
      </c>
      <c r="K971" s="44" t="s">
        <v>204</v>
      </c>
      <c r="M971" s="41">
        <v>16.7</v>
      </c>
      <c r="N971" s="44" t="s">
        <v>274</v>
      </c>
      <c r="O971" s="35"/>
      <c r="P971" s="41">
        <v>17</v>
      </c>
      <c r="Q971" s="44" t="s">
        <v>274</v>
      </c>
    </row>
    <row r="972" spans="1:17" s="40" customFormat="1">
      <c r="A972" s="148" t="s">
        <v>884</v>
      </c>
      <c r="B972" s="148"/>
      <c r="C972" s="43"/>
      <c r="D972" s="35"/>
      <c r="E972" s="35"/>
      <c r="F972" s="35"/>
      <c r="G972" s="35"/>
      <c r="J972" s="38">
        <v>71</v>
      </c>
      <c r="K972" s="44" t="s">
        <v>204</v>
      </c>
      <c r="M972" s="41">
        <v>13.9</v>
      </c>
      <c r="N972" s="44" t="s">
        <v>274</v>
      </c>
      <c r="O972" s="35"/>
      <c r="P972" s="41">
        <v>14.2</v>
      </c>
      <c r="Q972" s="44" t="s">
        <v>274</v>
      </c>
    </row>
    <row r="973" spans="1:17" s="40" customFormat="1">
      <c r="A973" s="148" t="s">
        <v>885</v>
      </c>
      <c r="B973" s="148"/>
      <c r="C973" s="43"/>
      <c r="D973" s="35"/>
      <c r="E973" s="35"/>
      <c r="F973" s="35"/>
      <c r="G973" s="35"/>
      <c r="J973" s="38">
        <v>76</v>
      </c>
      <c r="K973" s="44" t="s">
        <v>204</v>
      </c>
      <c r="M973" s="41">
        <v>14.8</v>
      </c>
      <c r="N973" s="44" t="s">
        <v>274</v>
      </c>
      <c r="O973" s="35"/>
      <c r="P973" s="41">
        <v>15.1</v>
      </c>
      <c r="Q973" s="44" t="s">
        <v>274</v>
      </c>
    </row>
    <row r="974" spans="1:17" s="40" customFormat="1">
      <c r="A974" s="148"/>
      <c r="B974" s="148"/>
      <c r="C974" s="43"/>
      <c r="D974" s="35" t="s">
        <v>886</v>
      </c>
      <c r="E974" s="35"/>
      <c r="F974" s="35"/>
      <c r="G974" s="35"/>
      <c r="J974" s="38"/>
      <c r="K974" s="44"/>
      <c r="M974" s="41"/>
      <c r="N974" s="44"/>
      <c r="O974" s="35"/>
      <c r="P974" s="41"/>
      <c r="Q974" s="44"/>
    </row>
    <row r="975" spans="1:17" s="40" customFormat="1">
      <c r="A975" s="148" t="s">
        <v>887</v>
      </c>
      <c r="B975" s="148"/>
      <c r="C975" s="43"/>
      <c r="D975" s="35"/>
      <c r="E975" s="35"/>
      <c r="F975" s="35"/>
      <c r="G975" s="35"/>
      <c r="J975" s="38">
        <v>75</v>
      </c>
      <c r="K975" s="44" t="s">
        <v>204</v>
      </c>
      <c r="M975" s="41">
        <v>14.9</v>
      </c>
      <c r="N975" s="44" t="s">
        <v>274</v>
      </c>
      <c r="O975" s="35"/>
      <c r="P975" s="41">
        <v>15.2</v>
      </c>
      <c r="Q975" s="44" t="s">
        <v>274</v>
      </c>
    </row>
    <row r="976" spans="1:17" s="40" customFormat="1">
      <c r="A976" s="148" t="s">
        <v>888</v>
      </c>
      <c r="B976" s="148"/>
      <c r="C976" s="43"/>
      <c r="D976" s="35"/>
      <c r="E976" s="35"/>
      <c r="F976" s="35"/>
      <c r="G976" s="35"/>
      <c r="J976" s="38">
        <v>86</v>
      </c>
      <c r="K976" s="44" t="s">
        <v>204</v>
      </c>
      <c r="M976" s="41">
        <v>17</v>
      </c>
      <c r="N976" s="44" t="s">
        <v>274</v>
      </c>
      <c r="O976" s="35"/>
      <c r="P976" s="41">
        <v>17.3</v>
      </c>
      <c r="Q976" s="44" t="s">
        <v>274</v>
      </c>
    </row>
    <row r="977" spans="1:17" s="40" customFormat="1">
      <c r="A977" s="148" t="s">
        <v>889</v>
      </c>
      <c r="B977" s="148"/>
      <c r="C977" s="43"/>
      <c r="D977" s="35"/>
      <c r="E977" s="35"/>
      <c r="F977" s="35"/>
      <c r="G977" s="35"/>
      <c r="J977" s="38">
        <v>30</v>
      </c>
      <c r="K977" s="44" t="s">
        <v>204</v>
      </c>
      <c r="M977" s="41">
        <v>6</v>
      </c>
      <c r="N977" s="44" t="s">
        <v>274</v>
      </c>
      <c r="O977" s="35"/>
      <c r="P977" s="41">
        <v>6.3</v>
      </c>
      <c r="Q977" s="44" t="s">
        <v>274</v>
      </c>
    </row>
    <row r="978" spans="1:17" s="40" customFormat="1">
      <c r="A978" s="148"/>
      <c r="B978" s="148"/>
      <c r="C978" s="43"/>
      <c r="D978" s="35"/>
      <c r="E978" s="35"/>
      <c r="F978" s="35"/>
      <c r="G978" s="35"/>
      <c r="J978" s="38"/>
      <c r="K978" s="44"/>
      <c r="M978" s="41"/>
      <c r="N978" s="44"/>
      <c r="O978" s="35"/>
      <c r="P978" s="41"/>
      <c r="Q978" s="44"/>
    </row>
    <row r="979" spans="1:17" s="40" customFormat="1">
      <c r="A979" s="148"/>
      <c r="B979" s="148"/>
      <c r="C979" s="43"/>
      <c r="D979" s="35" t="s">
        <v>259</v>
      </c>
      <c r="E979" s="35"/>
      <c r="F979" s="35"/>
      <c r="G979" s="35"/>
      <c r="J979" s="38"/>
      <c r="K979" s="44"/>
      <c r="M979" s="41"/>
      <c r="N979" s="44"/>
      <c r="O979" s="35"/>
      <c r="P979" s="41"/>
      <c r="Q979" s="44"/>
    </row>
    <row r="980" spans="1:17" s="40" customFormat="1">
      <c r="A980" s="148"/>
      <c r="B980" s="148"/>
      <c r="C980" s="43"/>
      <c r="D980" s="35" t="s">
        <v>705</v>
      </c>
      <c r="E980" s="35"/>
      <c r="F980" s="35"/>
      <c r="G980" s="35"/>
      <c r="J980" s="38"/>
      <c r="K980" s="44"/>
      <c r="M980" s="41"/>
      <c r="N980" s="44"/>
      <c r="O980" s="35"/>
      <c r="P980" s="41"/>
      <c r="Q980" s="44"/>
    </row>
    <row r="981" spans="1:17" s="40" customFormat="1">
      <c r="A981" s="148" t="s">
        <v>890</v>
      </c>
      <c r="B981" s="148"/>
      <c r="C981" s="43"/>
      <c r="D981" s="35"/>
      <c r="E981" s="35"/>
      <c r="F981" s="35"/>
      <c r="G981" s="35"/>
      <c r="J981" s="38">
        <v>91</v>
      </c>
      <c r="K981" s="44" t="s">
        <v>204</v>
      </c>
      <c r="M981" s="41">
        <v>18.5</v>
      </c>
      <c r="N981" s="44" t="s">
        <v>274</v>
      </c>
      <c r="O981" s="35"/>
      <c r="P981" s="41">
        <v>18.8</v>
      </c>
      <c r="Q981" s="44" t="s">
        <v>274</v>
      </c>
    </row>
    <row r="982" spans="1:17" s="40" customFormat="1">
      <c r="A982" s="148" t="s">
        <v>891</v>
      </c>
      <c r="B982" s="148"/>
      <c r="C982" s="43"/>
      <c r="D982" s="35"/>
      <c r="E982" s="35"/>
      <c r="F982" s="35"/>
      <c r="G982" s="35"/>
      <c r="J982" s="38">
        <v>86</v>
      </c>
      <c r="K982" s="44" t="s">
        <v>204</v>
      </c>
      <c r="M982" s="41">
        <v>17.399999999999999</v>
      </c>
      <c r="N982" s="44" t="s">
        <v>274</v>
      </c>
      <c r="O982" s="35"/>
      <c r="P982" s="41">
        <v>17.7</v>
      </c>
      <c r="Q982" s="44" t="s">
        <v>274</v>
      </c>
    </row>
    <row r="983" spans="1:17" s="40" customFormat="1">
      <c r="A983" s="148" t="s">
        <v>892</v>
      </c>
      <c r="B983" s="148"/>
      <c r="C983" s="43"/>
      <c r="D983" s="35"/>
      <c r="E983" s="35"/>
      <c r="F983" s="35"/>
      <c r="G983" s="35"/>
      <c r="J983" s="38">
        <v>85</v>
      </c>
      <c r="K983" s="44" t="s">
        <v>204</v>
      </c>
      <c r="M983" s="41">
        <v>17.2</v>
      </c>
      <c r="N983" s="44" t="s">
        <v>274</v>
      </c>
      <c r="O983" s="35"/>
      <c r="P983" s="41">
        <v>17.5</v>
      </c>
      <c r="Q983" s="44" t="s">
        <v>274</v>
      </c>
    </row>
    <row r="984" spans="1:17" s="40" customFormat="1">
      <c r="A984" s="148" t="s">
        <v>893</v>
      </c>
      <c r="B984" s="148"/>
      <c r="C984" s="43"/>
      <c r="D984" s="35"/>
      <c r="E984" s="35"/>
      <c r="F984" s="35"/>
      <c r="G984" s="35"/>
      <c r="J984" s="38">
        <v>92</v>
      </c>
      <c r="K984" s="44" t="s">
        <v>204</v>
      </c>
      <c r="M984" s="41">
        <v>18.600000000000001</v>
      </c>
      <c r="N984" s="44" t="s">
        <v>274</v>
      </c>
      <c r="O984" s="35"/>
      <c r="P984" s="41">
        <v>18.899999999999999</v>
      </c>
      <c r="Q984" s="44" t="s">
        <v>274</v>
      </c>
    </row>
    <row r="985" spans="1:17" s="40" customFormat="1">
      <c r="A985" s="148" t="s">
        <v>894</v>
      </c>
      <c r="B985" s="148"/>
      <c r="C985" s="43"/>
      <c r="D985" s="35"/>
      <c r="E985" s="35"/>
      <c r="F985" s="35"/>
      <c r="G985" s="35"/>
      <c r="J985" s="38">
        <v>91</v>
      </c>
      <c r="K985" s="44" t="s">
        <v>204</v>
      </c>
      <c r="M985" s="41">
        <v>18.399999999999999</v>
      </c>
      <c r="N985" s="44" t="s">
        <v>274</v>
      </c>
      <c r="O985" s="35"/>
      <c r="P985" s="41">
        <v>18.7</v>
      </c>
      <c r="Q985" s="44" t="s">
        <v>274</v>
      </c>
    </row>
    <row r="986" spans="1:17" s="40" customFormat="1">
      <c r="A986" s="148" t="s">
        <v>895</v>
      </c>
      <c r="B986" s="148"/>
      <c r="C986" s="43"/>
      <c r="D986" s="35"/>
      <c r="E986" s="35"/>
      <c r="F986" s="35"/>
      <c r="G986" s="35"/>
      <c r="J986" s="38">
        <v>89</v>
      </c>
      <c r="K986" s="44" t="s">
        <v>204</v>
      </c>
      <c r="M986" s="41">
        <v>18.100000000000001</v>
      </c>
      <c r="N986" s="44" t="s">
        <v>274</v>
      </c>
      <c r="O986" s="35"/>
      <c r="P986" s="41">
        <v>18.399999999999999</v>
      </c>
      <c r="Q986" s="44" t="s">
        <v>274</v>
      </c>
    </row>
    <row r="987" spans="1:17" s="40" customFormat="1">
      <c r="A987" s="148" t="s">
        <v>896</v>
      </c>
      <c r="B987" s="148"/>
      <c r="C987" s="43"/>
      <c r="D987" s="35"/>
      <c r="E987" s="35"/>
      <c r="F987" s="35"/>
      <c r="G987" s="35"/>
      <c r="J987" s="38">
        <v>87</v>
      </c>
      <c r="K987" s="44" t="s">
        <v>204</v>
      </c>
      <c r="M987" s="41">
        <v>17.600000000000001</v>
      </c>
      <c r="N987" s="44" t="s">
        <v>274</v>
      </c>
      <c r="O987" s="35"/>
      <c r="P987" s="41">
        <v>17.899999999999999</v>
      </c>
      <c r="Q987" s="44" t="s">
        <v>274</v>
      </c>
    </row>
    <row r="988" spans="1:17" s="40" customFormat="1">
      <c r="A988" s="148" t="s">
        <v>897</v>
      </c>
      <c r="B988" s="148"/>
      <c r="C988" s="43"/>
      <c r="D988" s="35"/>
      <c r="E988" s="35"/>
      <c r="F988" s="35"/>
      <c r="G988" s="35"/>
      <c r="J988" s="38">
        <v>90</v>
      </c>
      <c r="K988" s="44" t="s">
        <v>204</v>
      </c>
      <c r="M988" s="41">
        <v>18.3</v>
      </c>
      <c r="N988" s="44" t="s">
        <v>274</v>
      </c>
      <c r="O988" s="35"/>
      <c r="P988" s="41">
        <v>18.600000000000001</v>
      </c>
      <c r="Q988" s="44" t="s">
        <v>274</v>
      </c>
    </row>
    <row r="989" spans="1:17" s="40" customFormat="1">
      <c r="A989" s="148" t="s">
        <v>898</v>
      </c>
      <c r="B989" s="148"/>
      <c r="C989" s="43"/>
      <c r="D989" s="35"/>
      <c r="E989" s="35"/>
      <c r="F989" s="35"/>
      <c r="G989" s="35"/>
      <c r="J989" s="38">
        <v>92</v>
      </c>
      <c r="K989" s="44" t="s">
        <v>204</v>
      </c>
      <c r="M989" s="41">
        <v>18.600000000000001</v>
      </c>
      <c r="N989" s="44" t="s">
        <v>274</v>
      </c>
      <c r="O989" s="35"/>
      <c r="P989" s="41">
        <v>18.899999999999999</v>
      </c>
      <c r="Q989" s="44" t="s">
        <v>274</v>
      </c>
    </row>
    <row r="990" spans="1:17" s="40" customFormat="1">
      <c r="A990" s="148" t="s">
        <v>899</v>
      </c>
      <c r="B990" s="148"/>
      <c r="C990" s="43"/>
      <c r="D990" s="35"/>
      <c r="E990" s="35"/>
      <c r="F990" s="35"/>
      <c r="G990" s="35"/>
      <c r="J990" s="38">
        <v>89</v>
      </c>
      <c r="K990" s="44" t="s">
        <v>204</v>
      </c>
      <c r="M990" s="41">
        <v>18.100000000000001</v>
      </c>
      <c r="N990" s="44" t="s">
        <v>274</v>
      </c>
      <c r="O990" s="35"/>
      <c r="P990" s="41">
        <v>18.399999999999999</v>
      </c>
      <c r="Q990" s="44" t="s">
        <v>274</v>
      </c>
    </row>
    <row r="991" spans="1:17" s="40" customFormat="1">
      <c r="A991" s="148" t="s">
        <v>900</v>
      </c>
      <c r="B991" s="148"/>
      <c r="C991" s="43"/>
      <c r="D991" s="35"/>
      <c r="E991" s="35"/>
      <c r="F991" s="35"/>
      <c r="G991" s="35"/>
      <c r="J991" s="38">
        <v>92</v>
      </c>
      <c r="K991" s="44" t="s">
        <v>204</v>
      </c>
      <c r="M991" s="41">
        <v>18.7</v>
      </c>
      <c r="N991" s="44" t="s">
        <v>274</v>
      </c>
      <c r="O991" s="35"/>
      <c r="P991" s="41">
        <v>19</v>
      </c>
      <c r="Q991" s="44" t="s">
        <v>274</v>
      </c>
    </row>
    <row r="992" spans="1:17" s="40" customFormat="1">
      <c r="A992" s="148" t="s">
        <v>901</v>
      </c>
      <c r="B992" s="148"/>
      <c r="C992" s="43"/>
      <c r="D992" s="35"/>
      <c r="E992" s="35"/>
      <c r="F992" s="35"/>
      <c r="G992" s="35"/>
      <c r="J992" s="38">
        <v>92</v>
      </c>
      <c r="K992" s="44" t="s">
        <v>204</v>
      </c>
      <c r="M992" s="41">
        <v>18.600000000000001</v>
      </c>
      <c r="N992" s="44" t="s">
        <v>274</v>
      </c>
      <c r="O992" s="35"/>
      <c r="P992" s="41">
        <v>18.899999999999999</v>
      </c>
      <c r="Q992" s="44" t="s">
        <v>274</v>
      </c>
    </row>
    <row r="993" spans="1:17" s="40" customFormat="1">
      <c r="A993" s="148" t="s">
        <v>902</v>
      </c>
      <c r="B993" s="148"/>
      <c r="C993" s="43"/>
      <c r="D993" s="35"/>
      <c r="E993" s="35"/>
      <c r="F993" s="35"/>
      <c r="G993" s="35"/>
      <c r="J993" s="38">
        <v>92</v>
      </c>
      <c r="K993" s="44" t="s">
        <v>204</v>
      </c>
      <c r="M993" s="41">
        <v>18.7</v>
      </c>
      <c r="N993" s="44" t="s">
        <v>274</v>
      </c>
      <c r="O993" s="35"/>
      <c r="P993" s="41">
        <v>19</v>
      </c>
      <c r="Q993" s="44" t="s">
        <v>274</v>
      </c>
    </row>
    <row r="994" spans="1:17" s="40" customFormat="1">
      <c r="A994" s="148" t="s">
        <v>903</v>
      </c>
      <c r="B994" s="148"/>
      <c r="C994" s="43"/>
      <c r="D994" s="35"/>
      <c r="E994" s="35"/>
      <c r="F994" s="35"/>
      <c r="G994" s="35"/>
      <c r="J994" s="38">
        <v>90</v>
      </c>
      <c r="K994" s="44" t="s">
        <v>204</v>
      </c>
      <c r="M994" s="41">
        <v>18.2</v>
      </c>
      <c r="N994" s="44" t="s">
        <v>274</v>
      </c>
      <c r="O994" s="35"/>
      <c r="P994" s="41">
        <v>18.5</v>
      </c>
      <c r="Q994" s="44" t="s">
        <v>274</v>
      </c>
    </row>
    <row r="995" spans="1:17" s="40" customFormat="1">
      <c r="A995" s="148" t="s">
        <v>904</v>
      </c>
      <c r="B995" s="148"/>
      <c r="C995" s="43"/>
      <c r="D995" s="35"/>
      <c r="E995" s="35"/>
      <c r="F995" s="35"/>
      <c r="G995" s="35"/>
      <c r="J995" s="38">
        <v>91</v>
      </c>
      <c r="K995" s="44" t="s">
        <v>204</v>
      </c>
      <c r="M995" s="41">
        <v>18.5</v>
      </c>
      <c r="N995" s="44" t="s">
        <v>274</v>
      </c>
      <c r="O995" s="35"/>
      <c r="P995" s="41">
        <v>18.8</v>
      </c>
      <c r="Q995" s="44" t="s">
        <v>274</v>
      </c>
    </row>
    <row r="996" spans="1:17" s="40" customFormat="1">
      <c r="A996" s="148" t="s">
        <v>905</v>
      </c>
      <c r="B996" s="148"/>
      <c r="C996" s="43"/>
      <c r="D996" s="35"/>
      <c r="E996" s="35"/>
      <c r="F996" s="35"/>
      <c r="G996" s="35"/>
      <c r="J996" s="38">
        <v>91</v>
      </c>
      <c r="K996" s="44" t="s">
        <v>204</v>
      </c>
      <c r="M996" s="41">
        <v>18.5</v>
      </c>
      <c r="N996" s="44" t="s">
        <v>274</v>
      </c>
      <c r="O996" s="35"/>
      <c r="P996" s="41">
        <v>18.8</v>
      </c>
      <c r="Q996" s="44" t="s">
        <v>274</v>
      </c>
    </row>
    <row r="997" spans="1:17" s="40" customFormat="1">
      <c r="A997" s="148"/>
      <c r="B997" s="148"/>
      <c r="C997" s="43"/>
      <c r="D997" s="35" t="s">
        <v>722</v>
      </c>
      <c r="E997" s="35"/>
      <c r="F997" s="35"/>
      <c r="G997" s="35"/>
      <c r="J997" s="38"/>
      <c r="K997" s="44"/>
      <c r="M997" s="41"/>
      <c r="N997" s="44"/>
      <c r="O997" s="35"/>
      <c r="P997" s="41"/>
      <c r="Q997" s="44"/>
    </row>
    <row r="998" spans="1:17" s="40" customFormat="1">
      <c r="A998" s="148" t="s">
        <v>906</v>
      </c>
      <c r="B998" s="148"/>
      <c r="C998" s="43"/>
      <c r="D998" s="35"/>
      <c r="E998" s="35"/>
      <c r="F998" s="35"/>
      <c r="G998" s="35"/>
      <c r="J998" s="38">
        <v>93</v>
      </c>
      <c r="K998" s="44" t="s">
        <v>204</v>
      </c>
      <c r="M998" s="41">
        <v>18.399999999999999</v>
      </c>
      <c r="N998" s="44" t="s">
        <v>274</v>
      </c>
      <c r="O998" s="35"/>
      <c r="P998" s="41">
        <v>18.7</v>
      </c>
      <c r="Q998" s="44" t="s">
        <v>274</v>
      </c>
    </row>
    <row r="999" spans="1:17" s="40" customFormat="1">
      <c r="A999" s="148" t="s">
        <v>907</v>
      </c>
      <c r="B999" s="148"/>
      <c r="C999" s="43"/>
      <c r="D999" s="35"/>
      <c r="E999" s="35"/>
      <c r="F999" s="35"/>
      <c r="G999" s="35"/>
      <c r="J999" s="38">
        <v>93</v>
      </c>
      <c r="K999" s="44" t="s">
        <v>204</v>
      </c>
      <c r="M999" s="41">
        <v>18.399999999999999</v>
      </c>
      <c r="N999" s="44" t="s">
        <v>274</v>
      </c>
      <c r="O999" s="35"/>
      <c r="P999" s="41">
        <v>18.7</v>
      </c>
      <c r="Q999" s="44" t="s">
        <v>274</v>
      </c>
    </row>
    <row r="1000" spans="1:17" s="40" customFormat="1">
      <c r="A1000" s="148" t="s">
        <v>908</v>
      </c>
      <c r="B1000" s="148"/>
      <c r="C1000" s="43"/>
      <c r="D1000" s="35"/>
      <c r="E1000" s="35"/>
      <c r="F1000" s="35"/>
      <c r="G1000" s="35"/>
      <c r="J1000" s="38">
        <v>89</v>
      </c>
      <c r="K1000" s="44" t="s">
        <v>204</v>
      </c>
      <c r="M1000" s="41">
        <v>17.600000000000001</v>
      </c>
      <c r="N1000" s="44" t="s">
        <v>274</v>
      </c>
      <c r="O1000" s="35"/>
      <c r="P1000" s="41">
        <v>17.899999999999999</v>
      </c>
      <c r="Q1000" s="44" t="s">
        <v>274</v>
      </c>
    </row>
    <row r="1001" spans="1:17" s="40" customFormat="1">
      <c r="A1001" s="148" t="s">
        <v>909</v>
      </c>
      <c r="B1001" s="148"/>
      <c r="C1001" s="43"/>
      <c r="D1001" s="35"/>
      <c r="E1001" s="35"/>
      <c r="F1001" s="35"/>
      <c r="G1001" s="35"/>
      <c r="J1001" s="38">
        <v>91</v>
      </c>
      <c r="K1001" s="44" t="s">
        <v>204</v>
      </c>
      <c r="M1001" s="41">
        <v>17.899999999999999</v>
      </c>
      <c r="N1001" s="44" t="s">
        <v>274</v>
      </c>
      <c r="O1001" s="35"/>
      <c r="P1001" s="41">
        <v>18.2</v>
      </c>
      <c r="Q1001" s="44" t="s">
        <v>274</v>
      </c>
    </row>
    <row r="1002" spans="1:17" s="40" customFormat="1">
      <c r="A1002" s="148" t="s">
        <v>910</v>
      </c>
      <c r="B1002" s="148"/>
      <c r="C1002" s="43"/>
      <c r="D1002" s="35"/>
      <c r="E1002" s="35"/>
      <c r="F1002" s="35"/>
      <c r="G1002" s="35"/>
      <c r="J1002" s="38">
        <v>91</v>
      </c>
      <c r="K1002" s="44" t="s">
        <v>204</v>
      </c>
      <c r="M1002" s="41">
        <v>17.899999999999999</v>
      </c>
      <c r="N1002" s="44" t="s">
        <v>274</v>
      </c>
      <c r="O1002" s="35"/>
      <c r="P1002" s="41">
        <v>18.2</v>
      </c>
      <c r="Q1002" s="44" t="s">
        <v>274</v>
      </c>
    </row>
    <row r="1003" spans="1:17" s="40" customFormat="1">
      <c r="A1003" s="148" t="s">
        <v>911</v>
      </c>
      <c r="B1003" s="148"/>
      <c r="C1003" s="43"/>
      <c r="D1003" s="35"/>
      <c r="E1003" s="35"/>
      <c r="F1003" s="35"/>
      <c r="G1003" s="35"/>
      <c r="J1003" s="38">
        <v>94</v>
      </c>
      <c r="K1003" s="44" t="s">
        <v>204</v>
      </c>
      <c r="M1003" s="41">
        <v>18.5</v>
      </c>
      <c r="N1003" s="44" t="s">
        <v>274</v>
      </c>
      <c r="O1003" s="35"/>
      <c r="P1003" s="41">
        <v>18.8</v>
      </c>
      <c r="Q1003" s="44" t="s">
        <v>274</v>
      </c>
    </row>
    <row r="1004" spans="1:17" s="40" customFormat="1">
      <c r="A1004" s="148" t="s">
        <v>912</v>
      </c>
      <c r="B1004" s="148"/>
      <c r="C1004" s="43"/>
      <c r="D1004" s="35"/>
      <c r="E1004" s="35"/>
      <c r="F1004" s="35"/>
      <c r="G1004" s="35"/>
      <c r="J1004" s="38">
        <v>77</v>
      </c>
      <c r="K1004" s="44" t="s">
        <v>204</v>
      </c>
      <c r="M1004" s="41">
        <v>15.1</v>
      </c>
      <c r="N1004" s="44" t="s">
        <v>274</v>
      </c>
      <c r="O1004" s="35"/>
      <c r="P1004" s="41">
        <v>15.4</v>
      </c>
      <c r="Q1004" s="44" t="s">
        <v>274</v>
      </c>
    </row>
    <row r="1005" spans="1:17" s="40" customFormat="1">
      <c r="A1005" s="148" t="s">
        <v>913</v>
      </c>
      <c r="B1005" s="148"/>
      <c r="C1005" s="43"/>
      <c r="D1005" s="35"/>
      <c r="E1005" s="35"/>
      <c r="F1005" s="35"/>
      <c r="G1005" s="35"/>
      <c r="J1005" s="38">
        <v>108</v>
      </c>
      <c r="K1005" s="44" t="s">
        <v>204</v>
      </c>
      <c r="M1005" s="41">
        <v>21.3</v>
      </c>
      <c r="N1005" s="44" t="s">
        <v>274</v>
      </c>
      <c r="O1005" s="35"/>
      <c r="P1005" s="41">
        <v>21.6</v>
      </c>
      <c r="Q1005" s="44" t="s">
        <v>274</v>
      </c>
    </row>
    <row r="1006" spans="1:17" s="40" customFormat="1">
      <c r="A1006" s="148" t="s">
        <v>914</v>
      </c>
      <c r="B1006" s="148"/>
      <c r="C1006" s="43"/>
      <c r="D1006" s="35"/>
      <c r="E1006" s="35"/>
      <c r="F1006" s="35"/>
      <c r="G1006" s="35"/>
      <c r="J1006" s="38">
        <v>94</v>
      </c>
      <c r="K1006" s="44" t="s">
        <v>204</v>
      </c>
      <c r="M1006" s="41">
        <v>18.600000000000001</v>
      </c>
      <c r="N1006" s="44" t="s">
        <v>274</v>
      </c>
      <c r="O1006" s="35"/>
      <c r="P1006" s="41">
        <v>18.899999999999999</v>
      </c>
      <c r="Q1006" s="44" t="s">
        <v>274</v>
      </c>
    </row>
    <row r="1007" spans="1:17" s="40" customFormat="1">
      <c r="A1007" s="148" t="s">
        <v>915</v>
      </c>
      <c r="B1007" s="148"/>
      <c r="C1007" s="43"/>
      <c r="D1007" s="35"/>
      <c r="E1007" s="35"/>
      <c r="F1007" s="35"/>
      <c r="G1007" s="35"/>
      <c r="J1007" s="38">
        <v>79</v>
      </c>
      <c r="K1007" s="44" t="s">
        <v>204</v>
      </c>
      <c r="M1007" s="41">
        <v>15.6</v>
      </c>
      <c r="N1007" s="44" t="s">
        <v>274</v>
      </c>
      <c r="O1007" s="35"/>
      <c r="P1007" s="41">
        <v>15.9</v>
      </c>
      <c r="Q1007" s="44" t="s">
        <v>274</v>
      </c>
    </row>
    <row r="1008" spans="1:17" s="40" customFormat="1">
      <c r="A1008" s="148" t="s">
        <v>916</v>
      </c>
      <c r="B1008" s="148"/>
      <c r="C1008" s="43"/>
      <c r="D1008" s="35"/>
      <c r="E1008" s="35"/>
      <c r="F1008" s="35"/>
      <c r="G1008" s="35"/>
      <c r="J1008" s="38">
        <v>84</v>
      </c>
      <c r="K1008" s="44" t="s">
        <v>204</v>
      </c>
      <c r="M1008" s="41">
        <v>16.5</v>
      </c>
      <c r="N1008" s="44" t="s">
        <v>274</v>
      </c>
      <c r="O1008" s="35"/>
      <c r="P1008" s="41">
        <v>16.8</v>
      </c>
      <c r="Q1008" s="44" t="s">
        <v>274</v>
      </c>
    </row>
    <row r="1009" spans="1:17" s="40" customFormat="1">
      <c r="A1009" s="148" t="s">
        <v>917</v>
      </c>
      <c r="B1009" s="148"/>
      <c r="C1009" s="43"/>
      <c r="D1009" s="35"/>
      <c r="E1009" s="35"/>
      <c r="F1009" s="35"/>
      <c r="G1009" s="35"/>
      <c r="J1009" s="38">
        <v>95</v>
      </c>
      <c r="K1009" s="44" t="s">
        <v>204</v>
      </c>
      <c r="M1009" s="41">
        <v>18.7</v>
      </c>
      <c r="N1009" s="44" t="s">
        <v>274</v>
      </c>
      <c r="O1009" s="35"/>
      <c r="P1009" s="41">
        <v>19</v>
      </c>
      <c r="Q1009" s="44" t="s">
        <v>274</v>
      </c>
    </row>
    <row r="1010" spans="1:17" s="40" customFormat="1">
      <c r="A1010" s="148" t="s">
        <v>918</v>
      </c>
      <c r="B1010" s="148"/>
      <c r="C1010" s="43"/>
      <c r="D1010" s="35"/>
      <c r="E1010" s="35"/>
      <c r="F1010" s="35"/>
      <c r="G1010" s="35"/>
      <c r="J1010" s="38">
        <v>90</v>
      </c>
      <c r="K1010" s="44" t="s">
        <v>204</v>
      </c>
      <c r="M1010" s="41">
        <v>17.7</v>
      </c>
      <c r="N1010" s="44" t="s">
        <v>274</v>
      </c>
      <c r="O1010" s="35"/>
      <c r="P1010" s="41">
        <v>18</v>
      </c>
      <c r="Q1010" s="44" t="s">
        <v>274</v>
      </c>
    </row>
    <row r="1011" spans="1:17" s="40" customFormat="1">
      <c r="A1011" s="148" t="s">
        <v>919</v>
      </c>
      <c r="B1011" s="148"/>
      <c r="C1011" s="43"/>
      <c r="D1011" s="35"/>
      <c r="E1011" s="35"/>
      <c r="F1011" s="35"/>
      <c r="G1011" s="35"/>
      <c r="J1011" s="38">
        <v>94</v>
      </c>
      <c r="K1011" s="44" t="s">
        <v>204</v>
      </c>
      <c r="M1011" s="41">
        <v>18.5</v>
      </c>
      <c r="N1011" s="44" t="s">
        <v>274</v>
      </c>
      <c r="O1011" s="35"/>
      <c r="P1011" s="41">
        <v>18.8</v>
      </c>
      <c r="Q1011" s="44" t="s">
        <v>274</v>
      </c>
    </row>
    <row r="1012" spans="1:17" s="40" customFormat="1">
      <c r="A1012" s="148" t="s">
        <v>920</v>
      </c>
      <c r="B1012" s="148"/>
      <c r="C1012" s="43"/>
      <c r="D1012" s="35"/>
      <c r="E1012" s="35"/>
      <c r="F1012" s="35"/>
      <c r="G1012" s="35"/>
      <c r="J1012" s="38">
        <v>95</v>
      </c>
      <c r="K1012" s="44" t="s">
        <v>204</v>
      </c>
      <c r="M1012" s="41">
        <v>18.7</v>
      </c>
      <c r="N1012" s="44" t="s">
        <v>274</v>
      </c>
      <c r="O1012" s="35"/>
      <c r="P1012" s="41">
        <v>19</v>
      </c>
      <c r="Q1012" s="44" t="s">
        <v>274</v>
      </c>
    </row>
    <row r="1013" spans="1:17" s="40" customFormat="1">
      <c r="A1013" s="148" t="s">
        <v>921</v>
      </c>
      <c r="B1013" s="148"/>
      <c r="C1013" s="43"/>
      <c r="D1013" s="35"/>
      <c r="E1013" s="35"/>
      <c r="F1013" s="35"/>
      <c r="G1013" s="35"/>
      <c r="J1013" s="38">
        <v>94</v>
      </c>
      <c r="K1013" s="44" t="s">
        <v>204</v>
      </c>
      <c r="M1013" s="41">
        <v>18.600000000000001</v>
      </c>
      <c r="N1013" s="44" t="s">
        <v>274</v>
      </c>
      <c r="O1013" s="35"/>
      <c r="P1013" s="41">
        <v>18.899999999999999</v>
      </c>
      <c r="Q1013" s="44" t="s">
        <v>274</v>
      </c>
    </row>
    <row r="1014" spans="1:17" s="40" customFormat="1">
      <c r="A1014" s="148"/>
      <c r="B1014" s="148"/>
      <c r="C1014" s="43"/>
      <c r="D1014" s="35" t="s">
        <v>922</v>
      </c>
      <c r="E1014" s="35"/>
      <c r="F1014" s="35"/>
      <c r="G1014" s="35"/>
      <c r="J1014" s="38"/>
      <c r="K1014" s="44"/>
      <c r="M1014" s="41"/>
      <c r="N1014" s="44"/>
      <c r="O1014" s="35"/>
      <c r="P1014" s="41"/>
      <c r="Q1014" s="44"/>
    </row>
    <row r="1015" spans="1:17" s="40" customFormat="1">
      <c r="A1015" s="148" t="s">
        <v>923</v>
      </c>
      <c r="B1015" s="148"/>
      <c r="C1015" s="43"/>
      <c r="D1015" s="35"/>
      <c r="E1015" s="35"/>
      <c r="F1015" s="35"/>
      <c r="G1015" s="35"/>
      <c r="J1015" s="38">
        <v>90</v>
      </c>
      <c r="K1015" s="44" t="s">
        <v>204</v>
      </c>
      <c r="M1015" s="41">
        <v>17.600000000000001</v>
      </c>
      <c r="N1015" s="44" t="s">
        <v>274</v>
      </c>
      <c r="O1015" s="35"/>
      <c r="P1015" s="41">
        <v>17.899999999999999</v>
      </c>
      <c r="Q1015" s="44" t="s">
        <v>274</v>
      </c>
    </row>
    <row r="1016" spans="1:17" s="40" customFormat="1">
      <c r="A1016" s="148" t="s">
        <v>924</v>
      </c>
      <c r="B1016" s="148"/>
      <c r="C1016" s="43"/>
      <c r="D1016" s="35"/>
      <c r="E1016" s="35"/>
      <c r="F1016" s="35"/>
      <c r="G1016" s="35"/>
      <c r="J1016" s="38">
        <v>82</v>
      </c>
      <c r="K1016" s="44" t="s">
        <v>204</v>
      </c>
      <c r="M1016" s="41">
        <v>16.100000000000001</v>
      </c>
      <c r="N1016" s="44" t="s">
        <v>274</v>
      </c>
      <c r="O1016" s="35"/>
      <c r="P1016" s="41">
        <v>16.399999999999999</v>
      </c>
      <c r="Q1016" s="44" t="s">
        <v>274</v>
      </c>
    </row>
    <row r="1017" spans="1:17" s="40" customFormat="1">
      <c r="A1017" s="148" t="s">
        <v>925</v>
      </c>
      <c r="B1017" s="148"/>
      <c r="C1017" s="43"/>
      <c r="D1017" s="35"/>
      <c r="E1017" s="35"/>
      <c r="F1017" s="35"/>
      <c r="G1017" s="35"/>
      <c r="J1017" s="38">
        <v>95</v>
      </c>
      <c r="K1017" s="44" t="s">
        <v>204</v>
      </c>
      <c r="M1017" s="41">
        <v>18.600000000000001</v>
      </c>
      <c r="N1017" s="44" t="s">
        <v>274</v>
      </c>
      <c r="O1017" s="35"/>
      <c r="P1017" s="41">
        <v>18.899999999999999</v>
      </c>
      <c r="Q1017" s="44" t="s">
        <v>274</v>
      </c>
    </row>
    <row r="1018" spans="1:17" s="40" customFormat="1">
      <c r="A1018" s="148" t="s">
        <v>926</v>
      </c>
      <c r="B1018" s="148"/>
      <c r="C1018" s="43"/>
      <c r="D1018" s="35"/>
      <c r="E1018" s="35"/>
      <c r="F1018" s="35"/>
      <c r="G1018" s="35"/>
      <c r="J1018" s="38">
        <v>94</v>
      </c>
      <c r="K1018" s="44" t="s">
        <v>204</v>
      </c>
      <c r="M1018" s="41">
        <v>18.399999999999999</v>
      </c>
      <c r="N1018" s="44" t="s">
        <v>274</v>
      </c>
      <c r="O1018" s="35"/>
      <c r="P1018" s="41">
        <v>18.7</v>
      </c>
      <c r="Q1018" s="44" t="s">
        <v>274</v>
      </c>
    </row>
    <row r="1019" spans="1:17" s="40" customFormat="1">
      <c r="A1019" s="148" t="s">
        <v>927</v>
      </c>
      <c r="B1019" s="148"/>
      <c r="C1019" s="43"/>
      <c r="D1019" s="35"/>
      <c r="E1019" s="35"/>
      <c r="F1019" s="35"/>
      <c r="G1019" s="35"/>
      <c r="J1019" s="38">
        <v>102</v>
      </c>
      <c r="K1019" s="44" t="s">
        <v>204</v>
      </c>
      <c r="M1019" s="41">
        <v>19.899999999999999</v>
      </c>
      <c r="N1019" s="44" t="s">
        <v>274</v>
      </c>
      <c r="O1019" s="35"/>
      <c r="P1019" s="41">
        <v>20.2</v>
      </c>
      <c r="Q1019" s="44" t="s">
        <v>274</v>
      </c>
    </row>
    <row r="1020" spans="1:17" s="40" customFormat="1">
      <c r="A1020" s="148" t="s">
        <v>928</v>
      </c>
      <c r="B1020" s="148"/>
      <c r="C1020" s="43"/>
      <c r="D1020" s="35"/>
      <c r="E1020" s="35"/>
      <c r="F1020" s="35"/>
      <c r="G1020" s="35"/>
      <c r="J1020" s="38">
        <v>90</v>
      </c>
      <c r="K1020" s="44" t="s">
        <v>204</v>
      </c>
      <c r="M1020" s="41">
        <v>17.600000000000001</v>
      </c>
      <c r="N1020" s="44" t="s">
        <v>274</v>
      </c>
      <c r="O1020" s="35"/>
      <c r="P1020" s="41">
        <v>17.899999999999999</v>
      </c>
      <c r="Q1020" s="44" t="s">
        <v>274</v>
      </c>
    </row>
    <row r="1021" spans="1:17" s="40" customFormat="1">
      <c r="A1021" s="148" t="s">
        <v>929</v>
      </c>
      <c r="B1021" s="148"/>
      <c r="C1021" s="43"/>
      <c r="D1021" s="35"/>
      <c r="E1021" s="35"/>
      <c r="F1021" s="35"/>
      <c r="G1021" s="35"/>
      <c r="J1021" s="38">
        <v>88</v>
      </c>
      <c r="K1021" s="44" t="s">
        <v>204</v>
      </c>
      <c r="M1021" s="41">
        <v>17.2</v>
      </c>
      <c r="N1021" s="44" t="s">
        <v>274</v>
      </c>
      <c r="O1021" s="35"/>
      <c r="P1021" s="41">
        <v>17.5</v>
      </c>
      <c r="Q1021" s="44" t="s">
        <v>274</v>
      </c>
    </row>
    <row r="1022" spans="1:17" s="40" customFormat="1">
      <c r="A1022" s="148" t="s">
        <v>930</v>
      </c>
      <c r="B1022" s="148"/>
      <c r="C1022" s="43"/>
      <c r="D1022" s="35"/>
      <c r="E1022" s="35"/>
      <c r="F1022" s="35"/>
      <c r="G1022" s="35"/>
      <c r="J1022" s="38">
        <v>95</v>
      </c>
      <c r="K1022" s="44" t="s">
        <v>204</v>
      </c>
      <c r="M1022" s="41">
        <v>18.600000000000001</v>
      </c>
      <c r="N1022" s="44" t="s">
        <v>274</v>
      </c>
      <c r="O1022" s="35"/>
      <c r="P1022" s="41">
        <v>18.899999999999999</v>
      </c>
      <c r="Q1022" s="44" t="s">
        <v>274</v>
      </c>
    </row>
    <row r="1023" spans="1:17" s="40" customFormat="1">
      <c r="A1023" s="148" t="s">
        <v>931</v>
      </c>
      <c r="B1023" s="148"/>
      <c r="C1023" s="43"/>
      <c r="D1023" s="35"/>
      <c r="E1023" s="35"/>
      <c r="F1023" s="35"/>
      <c r="G1023" s="35"/>
      <c r="J1023" s="38">
        <v>94</v>
      </c>
      <c r="K1023" s="44" t="s">
        <v>204</v>
      </c>
      <c r="M1023" s="41">
        <v>18.399999999999999</v>
      </c>
      <c r="N1023" s="44" t="s">
        <v>274</v>
      </c>
      <c r="O1023" s="35"/>
      <c r="P1023" s="41">
        <v>18.7</v>
      </c>
      <c r="Q1023" s="44" t="s">
        <v>274</v>
      </c>
    </row>
    <row r="1024" spans="1:17" s="40" customFormat="1">
      <c r="A1024" s="148" t="s">
        <v>932</v>
      </c>
      <c r="B1024" s="148"/>
      <c r="C1024" s="43"/>
      <c r="D1024" s="35"/>
      <c r="E1024" s="35"/>
      <c r="F1024" s="35"/>
      <c r="G1024" s="35"/>
      <c r="J1024" s="38">
        <v>96</v>
      </c>
      <c r="K1024" s="44" t="s">
        <v>204</v>
      </c>
      <c r="M1024" s="41">
        <v>18.7</v>
      </c>
      <c r="N1024" s="44" t="s">
        <v>274</v>
      </c>
      <c r="O1024" s="35"/>
      <c r="P1024" s="41">
        <v>19</v>
      </c>
      <c r="Q1024" s="44" t="s">
        <v>274</v>
      </c>
    </row>
    <row r="1025" spans="1:17" s="40" customFormat="1">
      <c r="A1025" s="148" t="s">
        <v>933</v>
      </c>
      <c r="B1025" s="148"/>
      <c r="C1025" s="43"/>
      <c r="D1025" s="35"/>
      <c r="E1025" s="35"/>
      <c r="F1025" s="35"/>
      <c r="G1025" s="35"/>
      <c r="J1025" s="38">
        <v>94</v>
      </c>
      <c r="K1025" s="44" t="s">
        <v>204</v>
      </c>
      <c r="M1025" s="41">
        <v>18.3</v>
      </c>
      <c r="N1025" s="44" t="s">
        <v>274</v>
      </c>
      <c r="O1025" s="35"/>
      <c r="P1025" s="41">
        <v>18.600000000000001</v>
      </c>
      <c r="Q1025" s="44" t="s">
        <v>274</v>
      </c>
    </row>
    <row r="1026" spans="1:17" s="40" customFormat="1">
      <c r="A1026" s="148" t="s">
        <v>934</v>
      </c>
      <c r="B1026" s="148"/>
      <c r="C1026" s="43"/>
      <c r="D1026" s="35"/>
      <c r="E1026" s="35"/>
      <c r="F1026" s="35"/>
      <c r="G1026" s="35"/>
      <c r="J1026" s="38">
        <v>92</v>
      </c>
      <c r="K1026" s="44" t="s">
        <v>204</v>
      </c>
      <c r="M1026" s="41">
        <v>18</v>
      </c>
      <c r="N1026" s="44" t="s">
        <v>274</v>
      </c>
      <c r="O1026" s="35"/>
      <c r="P1026" s="41">
        <v>18.3</v>
      </c>
      <c r="Q1026" s="44" t="s">
        <v>274</v>
      </c>
    </row>
    <row r="1027" spans="1:17" s="40" customFormat="1">
      <c r="A1027" s="148" t="s">
        <v>935</v>
      </c>
      <c r="B1027" s="148"/>
      <c r="C1027" s="43"/>
      <c r="D1027" s="35"/>
      <c r="E1027" s="35"/>
      <c r="F1027" s="35"/>
      <c r="G1027" s="35"/>
      <c r="J1027" s="38">
        <v>93</v>
      </c>
      <c r="K1027" s="44" t="s">
        <v>204</v>
      </c>
      <c r="M1027" s="41">
        <v>18.2</v>
      </c>
      <c r="N1027" s="44" t="s">
        <v>274</v>
      </c>
      <c r="O1027" s="35"/>
      <c r="P1027" s="41">
        <v>18.5</v>
      </c>
      <c r="Q1027" s="44" t="s">
        <v>274</v>
      </c>
    </row>
    <row r="1028" spans="1:17" s="40" customFormat="1">
      <c r="A1028" s="148" t="s">
        <v>936</v>
      </c>
      <c r="B1028" s="148"/>
      <c r="C1028" s="43"/>
      <c r="D1028" s="35"/>
      <c r="E1028" s="35"/>
      <c r="F1028" s="35"/>
      <c r="G1028" s="35"/>
      <c r="J1028" s="38">
        <v>65</v>
      </c>
      <c r="K1028" s="44" t="s">
        <v>204</v>
      </c>
      <c r="M1028" s="41">
        <v>12.6</v>
      </c>
      <c r="N1028" s="44" t="s">
        <v>274</v>
      </c>
      <c r="O1028" s="35"/>
      <c r="P1028" s="41">
        <v>12.9</v>
      </c>
      <c r="Q1028" s="44" t="s">
        <v>274</v>
      </c>
    </row>
    <row r="1029" spans="1:17" s="40" customFormat="1">
      <c r="A1029" s="148" t="s">
        <v>937</v>
      </c>
      <c r="B1029" s="148"/>
      <c r="C1029" s="43"/>
      <c r="D1029" s="35"/>
      <c r="E1029" s="35"/>
      <c r="F1029" s="35"/>
      <c r="G1029" s="35"/>
      <c r="J1029" s="38">
        <v>93</v>
      </c>
      <c r="K1029" s="44" t="s">
        <v>204</v>
      </c>
      <c r="M1029" s="41">
        <v>18.100000000000001</v>
      </c>
      <c r="N1029" s="44" t="s">
        <v>274</v>
      </c>
      <c r="O1029" s="35"/>
      <c r="P1029" s="41">
        <v>18.399999999999999</v>
      </c>
      <c r="Q1029" s="44" t="s">
        <v>274</v>
      </c>
    </row>
    <row r="1030" spans="1:17" s="40" customFormat="1">
      <c r="A1030" s="148"/>
      <c r="B1030" s="148"/>
      <c r="C1030" s="43"/>
      <c r="D1030" s="35" t="s">
        <v>739</v>
      </c>
      <c r="E1030" s="35"/>
      <c r="F1030" s="35"/>
      <c r="G1030" s="35"/>
      <c r="J1030" s="38"/>
      <c r="K1030" s="44"/>
      <c r="M1030" s="41"/>
      <c r="N1030" s="44"/>
      <c r="O1030" s="35"/>
      <c r="P1030" s="41"/>
      <c r="Q1030" s="44"/>
    </row>
    <row r="1031" spans="1:17" s="40" customFormat="1">
      <c r="A1031" s="148" t="s">
        <v>938</v>
      </c>
      <c r="B1031" s="148"/>
      <c r="C1031" s="43"/>
      <c r="D1031" s="35"/>
      <c r="E1031" s="35"/>
      <c r="F1031" s="35"/>
      <c r="G1031" s="35"/>
      <c r="J1031" s="38">
        <v>91</v>
      </c>
      <c r="K1031" s="44" t="s">
        <v>204</v>
      </c>
      <c r="M1031" s="41">
        <v>18.3</v>
      </c>
      <c r="N1031" s="44" t="s">
        <v>274</v>
      </c>
      <c r="O1031" s="35"/>
      <c r="P1031" s="41">
        <v>18.600000000000001</v>
      </c>
      <c r="Q1031" s="44" t="s">
        <v>274</v>
      </c>
    </row>
    <row r="1032" spans="1:17" s="40" customFormat="1">
      <c r="A1032" s="148" t="s">
        <v>939</v>
      </c>
      <c r="B1032" s="148"/>
      <c r="C1032" s="43"/>
      <c r="D1032" s="35"/>
      <c r="E1032" s="35"/>
      <c r="F1032" s="35"/>
      <c r="G1032" s="35"/>
      <c r="J1032" s="38">
        <v>90</v>
      </c>
      <c r="K1032" s="44" t="s">
        <v>204</v>
      </c>
      <c r="M1032" s="41">
        <v>18.2</v>
      </c>
      <c r="N1032" s="44" t="s">
        <v>274</v>
      </c>
      <c r="O1032" s="35"/>
      <c r="P1032" s="41">
        <v>18.5</v>
      </c>
      <c r="Q1032" s="44" t="s">
        <v>274</v>
      </c>
    </row>
    <row r="1033" spans="1:17" s="40" customFormat="1">
      <c r="A1033" s="148" t="s">
        <v>940</v>
      </c>
      <c r="B1033" s="148"/>
      <c r="C1033" s="43"/>
      <c r="D1033" s="35"/>
      <c r="E1033" s="35"/>
      <c r="F1033" s="35"/>
      <c r="G1033" s="35"/>
      <c r="J1033" s="38">
        <v>92</v>
      </c>
      <c r="K1033" s="44" t="s">
        <v>204</v>
      </c>
      <c r="M1033" s="41">
        <v>18.600000000000001</v>
      </c>
      <c r="N1033" s="44" t="s">
        <v>274</v>
      </c>
      <c r="O1033" s="35"/>
      <c r="P1033" s="41">
        <v>18.899999999999999</v>
      </c>
      <c r="Q1033" s="44" t="s">
        <v>274</v>
      </c>
    </row>
    <row r="1034" spans="1:17" s="40" customFormat="1">
      <c r="A1034" s="148" t="s">
        <v>941</v>
      </c>
      <c r="B1034" s="148"/>
      <c r="C1034" s="43"/>
      <c r="D1034" s="35"/>
      <c r="E1034" s="35"/>
      <c r="F1034" s="35"/>
      <c r="G1034" s="35"/>
      <c r="J1034" s="38">
        <v>92</v>
      </c>
      <c r="K1034" s="44" t="s">
        <v>204</v>
      </c>
      <c r="M1034" s="41">
        <v>18.600000000000001</v>
      </c>
      <c r="N1034" s="44" t="s">
        <v>274</v>
      </c>
      <c r="O1034" s="35"/>
      <c r="P1034" s="41">
        <v>18.899999999999999</v>
      </c>
      <c r="Q1034" s="44" t="s">
        <v>274</v>
      </c>
    </row>
    <row r="1035" spans="1:17" s="40" customFormat="1">
      <c r="A1035" s="148" t="s">
        <v>942</v>
      </c>
      <c r="B1035" s="148"/>
      <c r="C1035" s="43"/>
      <c r="D1035" s="35"/>
      <c r="E1035" s="35"/>
      <c r="F1035" s="35"/>
      <c r="G1035" s="35"/>
      <c r="J1035" s="38">
        <v>85</v>
      </c>
      <c r="K1035" s="44" t="s">
        <v>204</v>
      </c>
      <c r="M1035" s="41">
        <v>17.100000000000001</v>
      </c>
      <c r="N1035" s="44" t="s">
        <v>274</v>
      </c>
      <c r="O1035" s="35"/>
      <c r="P1035" s="41">
        <v>17.399999999999999</v>
      </c>
      <c r="Q1035" s="44" t="s">
        <v>274</v>
      </c>
    </row>
    <row r="1036" spans="1:17" s="40" customFormat="1">
      <c r="A1036" s="148" t="s">
        <v>943</v>
      </c>
      <c r="B1036" s="148"/>
      <c r="C1036" s="43"/>
      <c r="D1036" s="35"/>
      <c r="E1036" s="35"/>
      <c r="F1036" s="35"/>
      <c r="G1036" s="35"/>
      <c r="J1036" s="38">
        <v>91</v>
      </c>
      <c r="K1036" s="44" t="s">
        <v>204</v>
      </c>
      <c r="M1036" s="41">
        <v>18.3</v>
      </c>
      <c r="N1036" s="44" t="s">
        <v>274</v>
      </c>
      <c r="O1036" s="35"/>
      <c r="P1036" s="41">
        <v>18.600000000000001</v>
      </c>
      <c r="Q1036" s="44" t="s">
        <v>274</v>
      </c>
    </row>
    <row r="1037" spans="1:17" s="40" customFormat="1">
      <c r="A1037" s="148" t="s">
        <v>944</v>
      </c>
      <c r="B1037" s="148"/>
      <c r="C1037" s="43"/>
      <c r="D1037" s="35"/>
      <c r="E1037" s="35"/>
      <c r="F1037" s="35"/>
      <c r="G1037" s="35"/>
      <c r="J1037" s="38">
        <v>81</v>
      </c>
      <c r="K1037" s="44" t="s">
        <v>204</v>
      </c>
      <c r="M1037" s="41">
        <v>16.3</v>
      </c>
      <c r="N1037" s="44" t="s">
        <v>274</v>
      </c>
      <c r="O1037" s="35"/>
      <c r="P1037" s="41">
        <v>16.600000000000001</v>
      </c>
      <c r="Q1037" s="44" t="s">
        <v>274</v>
      </c>
    </row>
    <row r="1038" spans="1:17" s="40" customFormat="1">
      <c r="A1038" s="148" t="s">
        <v>945</v>
      </c>
      <c r="B1038" s="148"/>
      <c r="C1038" s="43"/>
      <c r="D1038" s="35"/>
      <c r="E1038" s="35"/>
      <c r="F1038" s="35"/>
      <c r="G1038" s="35"/>
      <c r="J1038" s="38">
        <v>92</v>
      </c>
      <c r="K1038" s="44" t="s">
        <v>204</v>
      </c>
      <c r="M1038" s="41">
        <v>18.5</v>
      </c>
      <c r="N1038" s="44" t="s">
        <v>274</v>
      </c>
      <c r="O1038" s="35"/>
      <c r="P1038" s="41">
        <v>18.8</v>
      </c>
      <c r="Q1038" s="44" t="s">
        <v>274</v>
      </c>
    </row>
    <row r="1039" spans="1:17" s="40" customFormat="1">
      <c r="A1039" s="148" t="s">
        <v>946</v>
      </c>
      <c r="B1039" s="148"/>
      <c r="C1039" s="43"/>
      <c r="D1039" s="35"/>
      <c r="E1039" s="35"/>
      <c r="F1039" s="35"/>
      <c r="G1039" s="35"/>
      <c r="J1039" s="38">
        <v>89</v>
      </c>
      <c r="K1039" s="44" t="s">
        <v>204</v>
      </c>
      <c r="M1039" s="41">
        <v>18</v>
      </c>
      <c r="N1039" s="44" t="s">
        <v>274</v>
      </c>
      <c r="O1039" s="35"/>
      <c r="P1039" s="41">
        <v>18.3</v>
      </c>
      <c r="Q1039" s="44" t="s">
        <v>274</v>
      </c>
    </row>
    <row r="1040" spans="1:17" s="40" customFormat="1">
      <c r="A1040" s="148" t="s">
        <v>947</v>
      </c>
      <c r="B1040" s="148"/>
      <c r="C1040" s="43"/>
      <c r="D1040" s="35"/>
      <c r="E1040" s="35"/>
      <c r="F1040" s="35"/>
      <c r="G1040" s="35"/>
      <c r="J1040" s="38">
        <v>92</v>
      </c>
      <c r="K1040" s="44" t="s">
        <v>204</v>
      </c>
      <c r="M1040" s="41">
        <v>18.5</v>
      </c>
      <c r="N1040" s="44" t="s">
        <v>274</v>
      </c>
      <c r="O1040" s="35"/>
      <c r="P1040" s="41">
        <v>18.8</v>
      </c>
      <c r="Q1040" s="44" t="s">
        <v>274</v>
      </c>
    </row>
    <row r="1041" spans="1:17" s="40" customFormat="1">
      <c r="A1041" s="148" t="s">
        <v>948</v>
      </c>
      <c r="B1041" s="148"/>
      <c r="C1041" s="43"/>
      <c r="D1041" s="35"/>
      <c r="E1041" s="35"/>
      <c r="F1041" s="35"/>
      <c r="G1041" s="35"/>
      <c r="J1041" s="38">
        <v>90</v>
      </c>
      <c r="K1041" s="44" t="s">
        <v>204</v>
      </c>
      <c r="M1041" s="41">
        <v>18.2</v>
      </c>
      <c r="N1041" s="44" t="s">
        <v>274</v>
      </c>
      <c r="O1041" s="35"/>
      <c r="P1041" s="41">
        <v>18.5</v>
      </c>
      <c r="Q1041" s="44" t="s">
        <v>274</v>
      </c>
    </row>
    <row r="1042" spans="1:17" s="40" customFormat="1">
      <c r="A1042" s="148" t="s">
        <v>949</v>
      </c>
      <c r="B1042" s="148"/>
      <c r="C1042" s="43"/>
      <c r="D1042" s="35"/>
      <c r="E1042" s="35"/>
      <c r="F1042" s="35"/>
      <c r="G1042" s="35"/>
      <c r="J1042" s="38">
        <v>91</v>
      </c>
      <c r="K1042" s="44" t="s">
        <v>204</v>
      </c>
      <c r="M1042" s="41">
        <v>18.399999999999999</v>
      </c>
      <c r="N1042" s="44" t="s">
        <v>274</v>
      </c>
      <c r="O1042" s="35"/>
      <c r="P1042" s="41">
        <v>18.7</v>
      </c>
      <c r="Q1042" s="44" t="s">
        <v>274</v>
      </c>
    </row>
    <row r="1043" spans="1:17" s="40" customFormat="1">
      <c r="A1043" s="148" t="s">
        <v>950</v>
      </c>
      <c r="B1043" s="148"/>
      <c r="C1043" s="43"/>
      <c r="D1043" s="35"/>
      <c r="E1043" s="35"/>
      <c r="F1043" s="35"/>
      <c r="G1043" s="35"/>
      <c r="J1043" s="38">
        <v>91</v>
      </c>
      <c r="K1043" s="44" t="s">
        <v>204</v>
      </c>
      <c r="M1043" s="41">
        <v>18.399999999999999</v>
      </c>
      <c r="N1043" s="44" t="s">
        <v>274</v>
      </c>
      <c r="O1043" s="35"/>
      <c r="P1043" s="41">
        <v>18.7</v>
      </c>
      <c r="Q1043" s="44" t="s">
        <v>274</v>
      </c>
    </row>
    <row r="1044" spans="1:17" s="40" customFormat="1">
      <c r="A1044" s="148"/>
      <c r="B1044" s="148"/>
      <c r="C1044" s="43"/>
      <c r="D1044" s="35" t="s">
        <v>951</v>
      </c>
      <c r="E1044" s="35"/>
      <c r="F1044" s="35"/>
      <c r="G1044" s="35"/>
      <c r="J1044" s="38"/>
      <c r="K1044" s="44"/>
      <c r="M1044" s="41"/>
      <c r="N1044" s="44"/>
      <c r="O1044" s="35"/>
      <c r="P1044" s="41"/>
      <c r="Q1044" s="44"/>
    </row>
    <row r="1045" spans="1:17" s="40" customFormat="1">
      <c r="A1045" s="148" t="s">
        <v>952</v>
      </c>
      <c r="B1045" s="148"/>
      <c r="C1045" s="43"/>
      <c r="D1045" s="35"/>
      <c r="E1045" s="35"/>
      <c r="F1045" s="35"/>
      <c r="G1045" s="35"/>
      <c r="J1045" s="38">
        <v>82</v>
      </c>
      <c r="K1045" s="44" t="s">
        <v>204</v>
      </c>
      <c r="M1045" s="41">
        <v>16.3</v>
      </c>
      <c r="N1045" s="44" t="s">
        <v>274</v>
      </c>
      <c r="O1045" s="35"/>
      <c r="P1045" s="41">
        <v>16.600000000000001</v>
      </c>
      <c r="Q1045" s="44" t="s">
        <v>274</v>
      </c>
    </row>
    <row r="1046" spans="1:17" s="40" customFormat="1">
      <c r="A1046" s="148" t="s">
        <v>953</v>
      </c>
      <c r="B1046" s="148"/>
      <c r="C1046" s="43"/>
      <c r="D1046" s="35"/>
      <c r="E1046" s="35"/>
      <c r="F1046" s="35"/>
      <c r="G1046" s="35"/>
      <c r="J1046" s="38">
        <v>91</v>
      </c>
      <c r="K1046" s="44" t="s">
        <v>204</v>
      </c>
      <c r="M1046" s="41">
        <v>18.2</v>
      </c>
      <c r="N1046" s="44" t="s">
        <v>274</v>
      </c>
      <c r="O1046" s="35"/>
      <c r="P1046" s="41">
        <v>18.5</v>
      </c>
      <c r="Q1046" s="44" t="s">
        <v>274</v>
      </c>
    </row>
    <row r="1047" spans="1:17" s="40" customFormat="1">
      <c r="A1047" s="148" t="s">
        <v>954</v>
      </c>
      <c r="B1047" s="148"/>
      <c r="C1047" s="43"/>
      <c r="D1047" s="35"/>
      <c r="E1047" s="35"/>
      <c r="F1047" s="35"/>
      <c r="G1047" s="35"/>
      <c r="J1047" s="38">
        <v>95</v>
      </c>
      <c r="K1047" s="44" t="s">
        <v>204</v>
      </c>
      <c r="M1047" s="41">
        <v>18.899999999999999</v>
      </c>
      <c r="N1047" s="44" t="s">
        <v>274</v>
      </c>
      <c r="O1047" s="35"/>
      <c r="P1047" s="41">
        <v>19.2</v>
      </c>
      <c r="Q1047" s="44" t="s">
        <v>274</v>
      </c>
    </row>
    <row r="1048" spans="1:17" s="40" customFormat="1">
      <c r="A1048" s="148"/>
      <c r="B1048" s="148"/>
      <c r="C1048" s="43"/>
      <c r="D1048" s="35" t="s">
        <v>955</v>
      </c>
      <c r="E1048" s="35"/>
      <c r="F1048" s="35"/>
      <c r="G1048" s="35"/>
      <c r="J1048" s="38"/>
      <c r="K1048" s="44"/>
      <c r="M1048" s="41"/>
      <c r="N1048" s="44"/>
      <c r="O1048" s="35"/>
      <c r="P1048" s="41"/>
      <c r="Q1048" s="44"/>
    </row>
    <row r="1049" spans="1:17" s="40" customFormat="1">
      <c r="A1049" s="148" t="s">
        <v>956</v>
      </c>
      <c r="B1049" s="148"/>
      <c r="C1049" s="43"/>
      <c r="D1049" s="35"/>
      <c r="E1049" s="35"/>
      <c r="F1049" s="35"/>
      <c r="G1049" s="35"/>
      <c r="J1049" s="38">
        <v>91</v>
      </c>
      <c r="K1049" s="44" t="s">
        <v>204</v>
      </c>
      <c r="M1049" s="41">
        <v>18</v>
      </c>
      <c r="N1049" s="44" t="s">
        <v>274</v>
      </c>
      <c r="O1049" s="35"/>
      <c r="P1049" s="41">
        <v>18.3</v>
      </c>
      <c r="Q1049" s="44" t="s">
        <v>274</v>
      </c>
    </row>
    <row r="1050" spans="1:17" s="40" customFormat="1">
      <c r="A1050" s="148" t="s">
        <v>957</v>
      </c>
      <c r="B1050" s="148"/>
      <c r="C1050" s="43"/>
      <c r="D1050" s="35"/>
      <c r="E1050" s="35"/>
      <c r="F1050" s="35"/>
      <c r="G1050" s="35"/>
      <c r="J1050" s="38">
        <v>91</v>
      </c>
      <c r="K1050" s="44" t="s">
        <v>204</v>
      </c>
      <c r="M1050" s="41">
        <v>18</v>
      </c>
      <c r="N1050" s="44" t="s">
        <v>274</v>
      </c>
      <c r="O1050" s="35"/>
      <c r="P1050" s="41">
        <v>18.3</v>
      </c>
      <c r="Q1050" s="44" t="s">
        <v>274</v>
      </c>
    </row>
    <row r="1051" spans="1:17" s="40" customFormat="1">
      <c r="A1051" s="148" t="s">
        <v>958</v>
      </c>
      <c r="B1051" s="148"/>
      <c r="C1051" s="43"/>
      <c r="D1051" s="35"/>
      <c r="E1051" s="35"/>
      <c r="F1051" s="35"/>
      <c r="G1051" s="35"/>
      <c r="J1051" s="38">
        <v>91</v>
      </c>
      <c r="K1051" s="44" t="s">
        <v>204</v>
      </c>
      <c r="M1051" s="41">
        <v>18</v>
      </c>
      <c r="N1051" s="44" t="s">
        <v>274</v>
      </c>
      <c r="O1051" s="35"/>
      <c r="P1051" s="41">
        <v>18.3</v>
      </c>
      <c r="Q1051" s="44" t="s">
        <v>274</v>
      </c>
    </row>
    <row r="1052" spans="1:17" s="40" customFormat="1">
      <c r="A1052" s="148" t="s">
        <v>959</v>
      </c>
      <c r="B1052" s="148"/>
      <c r="C1052" s="43"/>
      <c r="D1052" s="35"/>
      <c r="E1052" s="35"/>
      <c r="F1052" s="35"/>
      <c r="G1052" s="35"/>
      <c r="J1052" s="38">
        <v>90</v>
      </c>
      <c r="K1052" s="44" t="s">
        <v>204</v>
      </c>
      <c r="M1052" s="41">
        <v>17.8</v>
      </c>
      <c r="N1052" s="44" t="s">
        <v>274</v>
      </c>
      <c r="O1052" s="35"/>
      <c r="P1052" s="41">
        <v>18.100000000000001</v>
      </c>
      <c r="Q1052" s="44" t="s">
        <v>274</v>
      </c>
    </row>
    <row r="1053" spans="1:17" s="40" customFormat="1">
      <c r="A1053" s="148" t="s">
        <v>960</v>
      </c>
      <c r="B1053" s="148"/>
      <c r="C1053" s="43"/>
      <c r="D1053" s="35"/>
      <c r="E1053" s="35"/>
      <c r="F1053" s="35"/>
      <c r="G1053" s="35"/>
      <c r="J1053" s="38">
        <v>87</v>
      </c>
      <c r="K1053" s="44" t="s">
        <v>204</v>
      </c>
      <c r="M1053" s="41">
        <v>17.2</v>
      </c>
      <c r="N1053" s="44" t="s">
        <v>274</v>
      </c>
      <c r="O1053" s="35"/>
      <c r="P1053" s="41">
        <v>17.5</v>
      </c>
      <c r="Q1053" s="44" t="s">
        <v>274</v>
      </c>
    </row>
    <row r="1054" spans="1:17" s="40" customFormat="1">
      <c r="A1054" s="148" t="s">
        <v>961</v>
      </c>
      <c r="B1054" s="148"/>
      <c r="C1054" s="43"/>
      <c r="D1054" s="35"/>
      <c r="E1054" s="35"/>
      <c r="F1054" s="35"/>
      <c r="G1054" s="35"/>
      <c r="J1054" s="38">
        <v>94</v>
      </c>
      <c r="K1054" s="44" t="s">
        <v>204</v>
      </c>
      <c r="M1054" s="41">
        <v>18.7</v>
      </c>
      <c r="N1054" s="44" t="s">
        <v>274</v>
      </c>
      <c r="O1054" s="35"/>
      <c r="P1054" s="41">
        <v>19</v>
      </c>
      <c r="Q1054" s="44" t="s">
        <v>274</v>
      </c>
    </row>
    <row r="1055" spans="1:17" s="40" customFormat="1">
      <c r="A1055" s="148" t="s">
        <v>962</v>
      </c>
      <c r="B1055" s="148"/>
      <c r="C1055" s="43"/>
      <c r="D1055" s="35"/>
      <c r="E1055" s="35"/>
      <c r="F1055" s="35"/>
      <c r="G1055" s="35"/>
      <c r="J1055" s="38">
        <v>94</v>
      </c>
      <c r="K1055" s="44" t="s">
        <v>204</v>
      </c>
      <c r="M1055" s="41">
        <v>18.600000000000001</v>
      </c>
      <c r="N1055" s="44" t="s">
        <v>274</v>
      </c>
      <c r="O1055" s="35"/>
      <c r="P1055" s="41">
        <v>18.899999999999999</v>
      </c>
      <c r="Q1055" s="44" t="s">
        <v>274</v>
      </c>
    </row>
    <row r="1056" spans="1:17" s="40" customFormat="1">
      <c r="A1056" s="148" t="s">
        <v>963</v>
      </c>
      <c r="B1056" s="148"/>
      <c r="C1056" s="43"/>
      <c r="D1056" s="35"/>
      <c r="E1056" s="35"/>
      <c r="F1056" s="35"/>
      <c r="G1056" s="35"/>
      <c r="J1056" s="38">
        <v>85</v>
      </c>
      <c r="K1056" s="44" t="s">
        <v>204</v>
      </c>
      <c r="M1056" s="41">
        <v>16.8</v>
      </c>
      <c r="N1056" s="44" t="s">
        <v>274</v>
      </c>
      <c r="O1056" s="35"/>
      <c r="P1056" s="41">
        <v>17.100000000000001</v>
      </c>
      <c r="Q1056" s="44" t="s">
        <v>274</v>
      </c>
    </row>
    <row r="1057" spans="1:17" s="40" customFormat="1">
      <c r="A1057" s="148" t="s">
        <v>964</v>
      </c>
      <c r="B1057" s="148"/>
      <c r="C1057" s="43"/>
      <c r="D1057" s="35"/>
      <c r="E1057" s="35"/>
      <c r="F1057" s="35"/>
      <c r="G1057" s="35"/>
      <c r="J1057" s="38">
        <v>84</v>
      </c>
      <c r="K1057" s="44" t="s">
        <v>204</v>
      </c>
      <c r="M1057" s="41">
        <v>16.600000000000001</v>
      </c>
      <c r="N1057" s="44" t="s">
        <v>274</v>
      </c>
      <c r="O1057" s="35"/>
      <c r="P1057" s="41">
        <v>16.899999999999999</v>
      </c>
      <c r="Q1057" s="44" t="s">
        <v>274</v>
      </c>
    </row>
    <row r="1058" spans="1:17" s="40" customFormat="1">
      <c r="A1058" s="148" t="s">
        <v>965</v>
      </c>
      <c r="B1058" s="148"/>
      <c r="C1058" s="43"/>
      <c r="D1058" s="35"/>
      <c r="E1058" s="35"/>
      <c r="F1058" s="35"/>
      <c r="G1058" s="35"/>
      <c r="J1058" s="38">
        <v>90</v>
      </c>
      <c r="K1058" s="44" t="s">
        <v>204</v>
      </c>
      <c r="M1058" s="41">
        <v>17.899999999999999</v>
      </c>
      <c r="N1058" s="44" t="s">
        <v>274</v>
      </c>
      <c r="O1058" s="35"/>
      <c r="P1058" s="41">
        <v>18.2</v>
      </c>
      <c r="Q1058" s="44" t="s">
        <v>274</v>
      </c>
    </row>
    <row r="1059" spans="1:17" s="40" customFormat="1">
      <c r="A1059" s="148" t="s">
        <v>966</v>
      </c>
      <c r="B1059" s="148"/>
      <c r="C1059" s="43"/>
      <c r="D1059" s="35"/>
      <c r="E1059" s="35"/>
      <c r="F1059" s="35"/>
      <c r="G1059" s="35"/>
      <c r="J1059" s="38">
        <v>92</v>
      </c>
      <c r="K1059" s="44" t="s">
        <v>204</v>
      </c>
      <c r="M1059" s="41">
        <v>18.2</v>
      </c>
      <c r="N1059" s="44" t="s">
        <v>274</v>
      </c>
      <c r="O1059" s="35"/>
      <c r="P1059" s="41">
        <v>18.5</v>
      </c>
      <c r="Q1059" s="44" t="s">
        <v>274</v>
      </c>
    </row>
    <row r="1060" spans="1:17" s="40" customFormat="1">
      <c r="A1060" s="148" t="s">
        <v>967</v>
      </c>
      <c r="B1060" s="148"/>
      <c r="C1060" s="43"/>
      <c r="D1060" s="35"/>
      <c r="E1060" s="35"/>
      <c r="F1060" s="35"/>
      <c r="G1060" s="35"/>
      <c r="J1060" s="38">
        <v>73</v>
      </c>
      <c r="K1060" s="44" t="s">
        <v>204</v>
      </c>
      <c r="M1060" s="41">
        <v>14.5</v>
      </c>
      <c r="N1060" s="44" t="s">
        <v>274</v>
      </c>
      <c r="O1060" s="35"/>
      <c r="P1060" s="41">
        <v>14.8</v>
      </c>
      <c r="Q1060" s="44" t="s">
        <v>274</v>
      </c>
    </row>
    <row r="1061" spans="1:17" s="40" customFormat="1">
      <c r="A1061" s="148" t="s">
        <v>968</v>
      </c>
      <c r="B1061" s="148"/>
      <c r="C1061" s="43"/>
      <c r="D1061" s="35"/>
      <c r="E1061" s="35"/>
      <c r="F1061" s="35"/>
      <c r="G1061" s="35"/>
      <c r="J1061" s="38">
        <v>92</v>
      </c>
      <c r="K1061" s="44" t="s">
        <v>204</v>
      </c>
      <c r="M1061" s="41">
        <v>18.2</v>
      </c>
      <c r="N1061" s="44" t="s">
        <v>274</v>
      </c>
      <c r="O1061" s="35"/>
      <c r="P1061" s="41">
        <v>18.5</v>
      </c>
      <c r="Q1061" s="44" t="s">
        <v>274</v>
      </c>
    </row>
    <row r="1062" spans="1:17" s="40" customFormat="1">
      <c r="A1062" s="148" t="s">
        <v>969</v>
      </c>
      <c r="B1062" s="148"/>
      <c r="C1062" s="43"/>
      <c r="D1062" s="35"/>
      <c r="E1062" s="35"/>
      <c r="F1062" s="35"/>
      <c r="G1062" s="35"/>
      <c r="J1062" s="38">
        <v>89</v>
      </c>
      <c r="K1062" s="44" t="s">
        <v>204</v>
      </c>
      <c r="M1062" s="41">
        <v>17.7</v>
      </c>
      <c r="N1062" s="44" t="s">
        <v>274</v>
      </c>
      <c r="O1062" s="35"/>
      <c r="P1062" s="41">
        <v>18</v>
      </c>
      <c r="Q1062" s="44" t="s">
        <v>274</v>
      </c>
    </row>
    <row r="1063" spans="1:17" s="40" customFormat="1">
      <c r="A1063" s="148" t="s">
        <v>970</v>
      </c>
      <c r="B1063" s="148"/>
      <c r="C1063" s="43"/>
      <c r="D1063" s="35"/>
      <c r="E1063" s="35"/>
      <c r="F1063" s="35"/>
      <c r="G1063" s="35"/>
      <c r="J1063" s="38">
        <v>109</v>
      </c>
      <c r="K1063" s="44" t="s">
        <v>204</v>
      </c>
      <c r="M1063" s="41">
        <v>21.7</v>
      </c>
      <c r="N1063" s="44" t="s">
        <v>274</v>
      </c>
      <c r="O1063" s="35"/>
      <c r="P1063" s="41">
        <v>22</v>
      </c>
      <c r="Q1063" s="44" t="s">
        <v>274</v>
      </c>
    </row>
    <row r="1064" spans="1:17" s="40" customFormat="1">
      <c r="A1064" s="148" t="s">
        <v>971</v>
      </c>
      <c r="B1064" s="148"/>
      <c r="C1064" s="43"/>
      <c r="D1064" s="35"/>
      <c r="E1064" s="35"/>
      <c r="F1064" s="35"/>
      <c r="G1064" s="35"/>
      <c r="J1064" s="38">
        <v>89</v>
      </c>
      <c r="K1064" s="44" t="s">
        <v>204</v>
      </c>
      <c r="M1064" s="41">
        <v>17.600000000000001</v>
      </c>
      <c r="N1064" s="44" t="s">
        <v>274</v>
      </c>
      <c r="O1064" s="35"/>
      <c r="P1064" s="41">
        <v>17.899999999999999</v>
      </c>
      <c r="Q1064" s="44" t="s">
        <v>274</v>
      </c>
    </row>
    <row r="1065" spans="1:17" s="40" customFormat="1">
      <c r="A1065" s="148"/>
      <c r="B1065" s="148"/>
      <c r="C1065" s="43"/>
      <c r="D1065" s="35" t="s">
        <v>972</v>
      </c>
      <c r="E1065" s="35"/>
      <c r="F1065" s="35"/>
      <c r="G1065" s="35"/>
      <c r="J1065" s="38"/>
      <c r="K1065" s="44"/>
      <c r="M1065" s="41"/>
      <c r="N1065" s="44"/>
      <c r="O1065" s="35"/>
      <c r="P1065" s="41"/>
      <c r="Q1065" s="44"/>
    </row>
    <row r="1066" spans="1:17" s="40" customFormat="1">
      <c r="A1066" s="148" t="s">
        <v>973</v>
      </c>
      <c r="B1066" s="148"/>
      <c r="C1066" s="43"/>
      <c r="D1066" s="35"/>
      <c r="E1066" s="35"/>
      <c r="F1066" s="35"/>
      <c r="G1066" s="35"/>
      <c r="J1066" s="38">
        <v>92</v>
      </c>
      <c r="K1066" s="44" t="s">
        <v>204</v>
      </c>
      <c r="M1066" s="41">
        <v>18.5</v>
      </c>
      <c r="N1066" s="44" t="s">
        <v>274</v>
      </c>
      <c r="O1066" s="35"/>
      <c r="P1066" s="41">
        <v>18.8</v>
      </c>
      <c r="Q1066" s="44" t="s">
        <v>274</v>
      </c>
    </row>
    <row r="1067" spans="1:17" s="40" customFormat="1">
      <c r="A1067" s="148" t="s">
        <v>974</v>
      </c>
      <c r="B1067" s="148"/>
      <c r="C1067" s="43"/>
      <c r="D1067" s="35"/>
      <c r="E1067" s="35"/>
      <c r="F1067" s="35"/>
      <c r="G1067" s="35"/>
      <c r="J1067" s="38">
        <v>77</v>
      </c>
      <c r="K1067" s="44" t="s">
        <v>204</v>
      </c>
      <c r="M1067" s="41">
        <v>15.4</v>
      </c>
      <c r="N1067" s="44" t="s">
        <v>274</v>
      </c>
      <c r="O1067" s="35"/>
      <c r="P1067" s="41">
        <v>15.7</v>
      </c>
      <c r="Q1067" s="44" t="s">
        <v>274</v>
      </c>
    </row>
    <row r="1068" spans="1:17" s="40" customFormat="1">
      <c r="A1068" s="148" t="s">
        <v>975</v>
      </c>
      <c r="B1068" s="148"/>
      <c r="C1068" s="43"/>
      <c r="D1068" s="35"/>
      <c r="E1068" s="35"/>
      <c r="F1068" s="35"/>
      <c r="G1068" s="35"/>
      <c r="J1068" s="38">
        <v>92</v>
      </c>
      <c r="K1068" s="44" t="s">
        <v>204</v>
      </c>
      <c r="M1068" s="41">
        <v>18.5</v>
      </c>
      <c r="N1068" s="44" t="s">
        <v>274</v>
      </c>
      <c r="O1068" s="35"/>
      <c r="P1068" s="41">
        <v>18.8</v>
      </c>
      <c r="Q1068" s="44" t="s">
        <v>274</v>
      </c>
    </row>
    <row r="1069" spans="1:17" s="40" customFormat="1">
      <c r="A1069" s="148" t="s">
        <v>976</v>
      </c>
      <c r="B1069" s="148"/>
      <c r="C1069" s="43"/>
      <c r="D1069" s="35"/>
      <c r="E1069" s="35"/>
      <c r="F1069" s="35"/>
      <c r="G1069" s="35"/>
      <c r="J1069" s="38">
        <v>86</v>
      </c>
      <c r="K1069" s="44" t="s">
        <v>204</v>
      </c>
      <c r="M1069" s="41">
        <v>17.2</v>
      </c>
      <c r="N1069" s="44" t="s">
        <v>274</v>
      </c>
      <c r="O1069" s="35"/>
      <c r="P1069" s="41">
        <v>17.5</v>
      </c>
      <c r="Q1069" s="44" t="s">
        <v>274</v>
      </c>
    </row>
    <row r="1070" spans="1:17" s="40" customFormat="1">
      <c r="A1070" s="148" t="s">
        <v>977</v>
      </c>
      <c r="B1070" s="148"/>
      <c r="C1070" s="43"/>
      <c r="D1070" s="35"/>
      <c r="E1070" s="35"/>
      <c r="F1070" s="35"/>
      <c r="G1070" s="35"/>
      <c r="J1070" s="38">
        <v>93</v>
      </c>
      <c r="K1070" s="44" t="s">
        <v>204</v>
      </c>
      <c r="M1070" s="41">
        <v>18.7</v>
      </c>
      <c r="N1070" s="44" t="s">
        <v>274</v>
      </c>
      <c r="O1070" s="35"/>
      <c r="P1070" s="41">
        <v>19</v>
      </c>
      <c r="Q1070" s="44" t="s">
        <v>274</v>
      </c>
    </row>
    <row r="1071" spans="1:17" s="40" customFormat="1">
      <c r="A1071" s="148" t="s">
        <v>978</v>
      </c>
      <c r="B1071" s="148"/>
      <c r="C1071" s="43"/>
      <c r="D1071" s="35"/>
      <c r="E1071" s="35"/>
      <c r="F1071" s="35"/>
      <c r="G1071" s="35"/>
      <c r="J1071" s="38">
        <v>93</v>
      </c>
      <c r="K1071" s="44" t="s">
        <v>204</v>
      </c>
      <c r="M1071" s="41">
        <v>18.600000000000001</v>
      </c>
      <c r="N1071" s="44" t="s">
        <v>274</v>
      </c>
      <c r="O1071" s="35"/>
      <c r="P1071" s="41">
        <v>18.899999999999999</v>
      </c>
      <c r="Q1071" s="44" t="s">
        <v>274</v>
      </c>
    </row>
    <row r="1072" spans="1:17" s="40" customFormat="1">
      <c r="A1072" s="148" t="s">
        <v>979</v>
      </c>
      <c r="B1072" s="148"/>
      <c r="C1072" s="43"/>
      <c r="D1072" s="35"/>
      <c r="E1072" s="35"/>
      <c r="F1072" s="35"/>
      <c r="G1072" s="35"/>
      <c r="J1072" s="38">
        <v>73</v>
      </c>
      <c r="K1072" s="44" t="s">
        <v>204</v>
      </c>
      <c r="M1072" s="41">
        <v>14.7</v>
      </c>
      <c r="N1072" s="44" t="s">
        <v>274</v>
      </c>
      <c r="O1072" s="35"/>
      <c r="P1072" s="41">
        <v>15</v>
      </c>
      <c r="Q1072" s="44" t="s">
        <v>274</v>
      </c>
    </row>
    <row r="1073" spans="1:17" s="40" customFormat="1">
      <c r="A1073" s="148" t="s">
        <v>980</v>
      </c>
      <c r="B1073" s="148"/>
      <c r="C1073" s="43"/>
      <c r="D1073" s="35"/>
      <c r="E1073" s="35"/>
      <c r="F1073" s="35"/>
      <c r="G1073" s="35"/>
      <c r="J1073" s="38">
        <v>93</v>
      </c>
      <c r="K1073" s="44" t="s">
        <v>204</v>
      </c>
      <c r="M1073" s="41">
        <v>18.600000000000001</v>
      </c>
      <c r="N1073" s="44" t="s">
        <v>274</v>
      </c>
      <c r="O1073" s="35"/>
      <c r="P1073" s="41">
        <v>18.899999999999999</v>
      </c>
      <c r="Q1073" s="44" t="s">
        <v>274</v>
      </c>
    </row>
    <row r="1074" spans="1:17" s="40" customFormat="1">
      <c r="A1074" s="148" t="s">
        <v>981</v>
      </c>
      <c r="B1074" s="148"/>
      <c r="C1074" s="43"/>
      <c r="D1074" s="35"/>
      <c r="E1074" s="35"/>
      <c r="F1074" s="35"/>
      <c r="G1074" s="35"/>
      <c r="J1074" s="38">
        <v>53</v>
      </c>
      <c r="K1074" s="44" t="s">
        <v>204</v>
      </c>
      <c r="M1074" s="41">
        <v>10.6</v>
      </c>
      <c r="N1074" s="44" t="s">
        <v>274</v>
      </c>
      <c r="O1074" s="35"/>
      <c r="P1074" s="41">
        <v>10.9</v>
      </c>
      <c r="Q1074" s="44" t="s">
        <v>274</v>
      </c>
    </row>
    <row r="1075" spans="1:17" s="40" customFormat="1">
      <c r="A1075" s="148"/>
      <c r="B1075" s="148"/>
      <c r="C1075" s="43"/>
      <c r="D1075" s="35" t="s">
        <v>982</v>
      </c>
      <c r="E1075" s="35"/>
      <c r="F1075" s="35"/>
      <c r="G1075" s="35"/>
      <c r="J1075" s="38"/>
      <c r="K1075" s="44"/>
      <c r="M1075" s="41"/>
      <c r="N1075" s="44"/>
      <c r="O1075" s="35"/>
      <c r="P1075" s="41"/>
      <c r="Q1075" s="44"/>
    </row>
    <row r="1076" spans="1:17" s="40" customFormat="1">
      <c r="A1076" s="148" t="s">
        <v>983</v>
      </c>
      <c r="B1076" s="148"/>
      <c r="C1076" s="43"/>
      <c r="D1076" s="35"/>
      <c r="E1076" s="35"/>
      <c r="F1076" s="35"/>
      <c r="G1076" s="35"/>
      <c r="J1076" s="38">
        <v>78</v>
      </c>
      <c r="K1076" s="44" t="s">
        <v>204</v>
      </c>
      <c r="M1076" s="41">
        <v>16</v>
      </c>
      <c r="N1076" s="44" t="s">
        <v>274</v>
      </c>
      <c r="O1076" s="35"/>
      <c r="P1076" s="41">
        <v>16.3</v>
      </c>
      <c r="Q1076" s="44" t="s">
        <v>274</v>
      </c>
    </row>
    <row r="1077" spans="1:17" s="40" customFormat="1">
      <c r="A1077" s="148" t="s">
        <v>984</v>
      </c>
      <c r="B1077" s="148"/>
      <c r="C1077" s="43"/>
      <c r="D1077" s="35"/>
      <c r="E1077" s="35"/>
      <c r="F1077" s="35"/>
      <c r="G1077" s="35"/>
      <c r="J1077" s="38">
        <v>90</v>
      </c>
      <c r="K1077" s="44" t="s">
        <v>204</v>
      </c>
      <c r="M1077" s="41">
        <v>18.3</v>
      </c>
      <c r="N1077" s="44" t="s">
        <v>274</v>
      </c>
      <c r="O1077" s="35"/>
      <c r="P1077" s="41">
        <v>18.600000000000001</v>
      </c>
      <c r="Q1077" s="44" t="s">
        <v>274</v>
      </c>
    </row>
    <row r="1078" spans="1:17" s="40" customFormat="1">
      <c r="A1078" s="148" t="s">
        <v>985</v>
      </c>
      <c r="B1078" s="148"/>
      <c r="C1078" s="43"/>
      <c r="D1078" s="35"/>
      <c r="E1078" s="35"/>
      <c r="F1078" s="35"/>
      <c r="G1078" s="35"/>
      <c r="J1078" s="38">
        <v>79</v>
      </c>
      <c r="K1078" s="44" t="s">
        <v>204</v>
      </c>
      <c r="M1078" s="41">
        <v>16.2</v>
      </c>
      <c r="N1078" s="44" t="s">
        <v>274</v>
      </c>
      <c r="O1078" s="35"/>
      <c r="P1078" s="41">
        <v>16.5</v>
      </c>
      <c r="Q1078" s="44" t="s">
        <v>274</v>
      </c>
    </row>
    <row r="1079" spans="1:17" s="40" customFormat="1">
      <c r="A1079" s="148" t="s">
        <v>986</v>
      </c>
      <c r="B1079" s="148"/>
      <c r="C1079" s="43"/>
      <c r="D1079" s="35"/>
      <c r="E1079" s="35"/>
      <c r="F1079" s="35"/>
      <c r="G1079" s="35"/>
      <c r="J1079" s="38">
        <v>91</v>
      </c>
      <c r="K1079" s="44" t="s">
        <v>204</v>
      </c>
      <c r="M1079" s="41">
        <v>18.5</v>
      </c>
      <c r="N1079" s="44" t="s">
        <v>274</v>
      </c>
      <c r="O1079" s="35"/>
      <c r="P1079" s="41">
        <v>18.8</v>
      </c>
      <c r="Q1079" s="44" t="s">
        <v>274</v>
      </c>
    </row>
    <row r="1080" spans="1:17" s="40" customFormat="1">
      <c r="A1080" s="148" t="s">
        <v>987</v>
      </c>
      <c r="B1080" s="148"/>
      <c r="C1080" s="43"/>
      <c r="D1080" s="35"/>
      <c r="E1080" s="35"/>
      <c r="F1080" s="35"/>
      <c r="G1080" s="35"/>
      <c r="J1080" s="38">
        <v>89</v>
      </c>
      <c r="K1080" s="44" t="s">
        <v>204</v>
      </c>
      <c r="M1080" s="41">
        <v>18.100000000000001</v>
      </c>
      <c r="N1080" s="44" t="s">
        <v>274</v>
      </c>
      <c r="O1080" s="35"/>
      <c r="P1080" s="41">
        <v>18.399999999999999</v>
      </c>
      <c r="Q1080" s="44" t="s">
        <v>274</v>
      </c>
    </row>
    <row r="1081" spans="1:17" s="40" customFormat="1">
      <c r="A1081" s="148" t="s">
        <v>988</v>
      </c>
      <c r="B1081" s="148"/>
      <c r="C1081" s="43"/>
      <c r="D1081" s="35"/>
      <c r="E1081" s="35"/>
      <c r="F1081" s="35"/>
      <c r="G1081" s="35"/>
      <c r="J1081" s="38">
        <v>88</v>
      </c>
      <c r="K1081" s="44" t="s">
        <v>204</v>
      </c>
      <c r="M1081" s="41">
        <v>18</v>
      </c>
      <c r="N1081" s="44" t="s">
        <v>274</v>
      </c>
      <c r="O1081" s="35"/>
      <c r="P1081" s="41">
        <v>18.3</v>
      </c>
      <c r="Q1081" s="44" t="s">
        <v>274</v>
      </c>
    </row>
    <row r="1082" spans="1:17" s="40" customFormat="1">
      <c r="A1082" s="148" t="s">
        <v>989</v>
      </c>
      <c r="B1082" s="148"/>
      <c r="C1082" s="43"/>
      <c r="D1082" s="35"/>
      <c r="E1082" s="35"/>
      <c r="F1082" s="35"/>
      <c r="G1082" s="35"/>
      <c r="J1082" s="38">
        <v>92</v>
      </c>
      <c r="K1082" s="44" t="s">
        <v>204</v>
      </c>
      <c r="M1082" s="41">
        <v>18.7</v>
      </c>
      <c r="N1082" s="44" t="s">
        <v>274</v>
      </c>
      <c r="O1082" s="35"/>
      <c r="P1082" s="41">
        <v>19</v>
      </c>
      <c r="Q1082" s="44" t="s">
        <v>274</v>
      </c>
    </row>
    <row r="1083" spans="1:17" s="40" customFormat="1">
      <c r="A1083" s="148" t="s">
        <v>990</v>
      </c>
      <c r="B1083" s="148"/>
      <c r="C1083" s="43"/>
      <c r="D1083" s="35"/>
      <c r="E1083" s="35"/>
      <c r="F1083" s="35"/>
      <c r="G1083" s="35"/>
      <c r="J1083" s="38">
        <v>86</v>
      </c>
      <c r="K1083" s="44" t="s">
        <v>204</v>
      </c>
      <c r="M1083" s="41">
        <v>17.600000000000001</v>
      </c>
      <c r="N1083" s="44" t="s">
        <v>274</v>
      </c>
      <c r="O1083" s="35"/>
      <c r="P1083" s="41">
        <v>17.899999999999999</v>
      </c>
      <c r="Q1083" s="44" t="s">
        <v>274</v>
      </c>
    </row>
    <row r="1084" spans="1:17" s="40" customFormat="1">
      <c r="A1084" s="148" t="s">
        <v>991</v>
      </c>
      <c r="B1084" s="148"/>
      <c r="C1084" s="43"/>
      <c r="D1084" s="35"/>
      <c r="E1084" s="35"/>
      <c r="F1084" s="35"/>
      <c r="G1084" s="35"/>
      <c r="J1084" s="38">
        <v>85</v>
      </c>
      <c r="K1084" s="44" t="s">
        <v>204</v>
      </c>
      <c r="M1084" s="41">
        <v>17.399999999999999</v>
      </c>
      <c r="N1084" s="44" t="s">
        <v>274</v>
      </c>
      <c r="O1084" s="35"/>
      <c r="P1084" s="41">
        <v>17.7</v>
      </c>
      <c r="Q1084" s="44" t="s">
        <v>274</v>
      </c>
    </row>
    <row r="1085" spans="1:17" s="40" customFormat="1">
      <c r="A1085" s="148" t="s">
        <v>992</v>
      </c>
      <c r="B1085" s="148"/>
      <c r="C1085" s="43"/>
      <c r="D1085" s="35"/>
      <c r="E1085" s="35"/>
      <c r="F1085" s="35"/>
      <c r="G1085" s="35"/>
      <c r="J1085" s="38">
        <v>91</v>
      </c>
      <c r="K1085" s="44" t="s">
        <v>204</v>
      </c>
      <c r="M1085" s="41">
        <v>18.600000000000001</v>
      </c>
      <c r="N1085" s="44" t="s">
        <v>274</v>
      </c>
      <c r="O1085" s="35"/>
      <c r="P1085" s="41">
        <v>18.899999999999999</v>
      </c>
      <c r="Q1085" s="44" t="s">
        <v>274</v>
      </c>
    </row>
    <row r="1086" spans="1:17" s="40" customFormat="1">
      <c r="A1086" s="148" t="s">
        <v>993</v>
      </c>
      <c r="B1086" s="148"/>
      <c r="C1086" s="43"/>
      <c r="D1086" s="35"/>
      <c r="E1086" s="35"/>
      <c r="F1086" s="35"/>
      <c r="G1086" s="35"/>
      <c r="J1086" s="38">
        <v>91</v>
      </c>
      <c r="K1086" s="44" t="s">
        <v>204</v>
      </c>
      <c r="M1086" s="41">
        <v>18.600000000000001</v>
      </c>
      <c r="N1086" s="44" t="s">
        <v>274</v>
      </c>
      <c r="O1086" s="35"/>
      <c r="P1086" s="41">
        <v>18.899999999999999</v>
      </c>
      <c r="Q1086" s="44" t="s">
        <v>274</v>
      </c>
    </row>
    <row r="1087" spans="1:17" s="40" customFormat="1">
      <c r="A1087" s="148" t="s">
        <v>994</v>
      </c>
      <c r="B1087" s="148"/>
      <c r="C1087" s="43"/>
      <c r="D1087" s="35"/>
      <c r="E1087" s="35"/>
      <c r="F1087" s="35"/>
      <c r="G1087" s="35"/>
      <c r="J1087" s="38">
        <v>88</v>
      </c>
      <c r="K1087" s="44" t="s">
        <v>204</v>
      </c>
      <c r="M1087" s="41">
        <v>17.899999999999999</v>
      </c>
      <c r="N1087" s="44" t="s">
        <v>274</v>
      </c>
      <c r="O1087" s="35"/>
      <c r="P1087" s="41">
        <v>18.2</v>
      </c>
      <c r="Q1087" s="44" t="s">
        <v>274</v>
      </c>
    </row>
    <row r="1088" spans="1:17" s="40" customFormat="1">
      <c r="A1088" s="148" t="s">
        <v>995</v>
      </c>
      <c r="B1088" s="148"/>
      <c r="C1088" s="43"/>
      <c r="D1088" s="35"/>
      <c r="E1088" s="35"/>
      <c r="F1088" s="35"/>
      <c r="G1088" s="35"/>
      <c r="J1088" s="38">
        <v>84</v>
      </c>
      <c r="K1088" s="44" t="s">
        <v>204</v>
      </c>
      <c r="M1088" s="41">
        <v>17.100000000000001</v>
      </c>
      <c r="N1088" s="44" t="s">
        <v>274</v>
      </c>
      <c r="O1088" s="35"/>
      <c r="P1088" s="41">
        <v>17.399999999999999</v>
      </c>
      <c r="Q1088" s="44" t="s">
        <v>274</v>
      </c>
    </row>
    <row r="1089" spans="1:17" s="40" customFormat="1">
      <c r="A1089" s="148" t="s">
        <v>996</v>
      </c>
      <c r="B1089" s="148"/>
      <c r="C1089" s="43"/>
      <c r="D1089" s="35"/>
      <c r="E1089" s="35"/>
      <c r="F1089" s="35"/>
      <c r="G1089" s="35"/>
      <c r="J1089" s="38">
        <v>92</v>
      </c>
      <c r="K1089" s="44" t="s">
        <v>204</v>
      </c>
      <c r="M1089" s="41">
        <v>18.7</v>
      </c>
      <c r="N1089" s="44" t="s">
        <v>274</v>
      </c>
      <c r="O1089" s="35"/>
      <c r="P1089" s="41">
        <v>19</v>
      </c>
      <c r="Q1089" s="44" t="s">
        <v>274</v>
      </c>
    </row>
    <row r="1090" spans="1:17" s="40" customFormat="1">
      <c r="A1090" s="148" t="s">
        <v>997</v>
      </c>
      <c r="B1090" s="148"/>
      <c r="C1090" s="43"/>
      <c r="D1090" s="35"/>
      <c r="E1090" s="35"/>
      <c r="F1090" s="35"/>
      <c r="G1090" s="35"/>
      <c r="J1090" s="38">
        <v>91</v>
      </c>
      <c r="K1090" s="44" t="s">
        <v>204</v>
      </c>
      <c r="M1090" s="41">
        <v>18.600000000000001</v>
      </c>
      <c r="N1090" s="44" t="s">
        <v>274</v>
      </c>
      <c r="O1090" s="35"/>
      <c r="P1090" s="41">
        <v>18.899999999999999</v>
      </c>
      <c r="Q1090" s="44" t="s">
        <v>274</v>
      </c>
    </row>
    <row r="1091" spans="1:17" s="40" customFormat="1">
      <c r="A1091" s="148" t="s">
        <v>998</v>
      </c>
      <c r="B1091" s="148"/>
      <c r="C1091" s="43"/>
      <c r="D1091" s="35"/>
      <c r="E1091" s="35"/>
      <c r="F1091" s="35"/>
      <c r="G1091" s="35"/>
      <c r="J1091" s="38">
        <v>92</v>
      </c>
      <c r="K1091" s="44" t="s">
        <v>204</v>
      </c>
      <c r="M1091" s="41">
        <v>18.7</v>
      </c>
      <c r="N1091" s="44" t="s">
        <v>274</v>
      </c>
      <c r="O1091" s="35"/>
      <c r="P1091" s="41">
        <v>19</v>
      </c>
      <c r="Q1091" s="44" t="s">
        <v>274</v>
      </c>
    </row>
    <row r="1092" spans="1:17" s="40" customFormat="1">
      <c r="A1092" s="148"/>
      <c r="B1092" s="148"/>
      <c r="C1092" s="43"/>
      <c r="D1092" s="35"/>
      <c r="E1092" s="35"/>
      <c r="F1092" s="35"/>
      <c r="G1092" s="35"/>
      <c r="J1092" s="38"/>
      <c r="K1092" s="44"/>
      <c r="M1092" s="41"/>
      <c r="N1092" s="44"/>
      <c r="O1092" s="35"/>
      <c r="P1092" s="41"/>
      <c r="Q1092" s="44"/>
    </row>
    <row r="1093" spans="1:17" s="40" customFormat="1">
      <c r="A1093" s="148"/>
      <c r="B1093" s="148"/>
      <c r="C1093" s="43"/>
      <c r="D1093" s="42" t="s">
        <v>210</v>
      </c>
      <c r="E1093" s="35"/>
      <c r="F1093" s="35"/>
      <c r="G1093" s="35"/>
      <c r="J1093" s="38"/>
      <c r="K1093" s="44"/>
      <c r="M1093" s="41"/>
      <c r="N1093" s="44"/>
      <c r="O1093" s="35"/>
      <c r="P1093" s="41"/>
      <c r="Q1093" s="44"/>
    </row>
    <row r="1094" spans="1:17" s="40" customFormat="1">
      <c r="A1094" s="148"/>
      <c r="B1094" s="148"/>
      <c r="C1094" s="43"/>
      <c r="D1094" s="35" t="s">
        <v>268</v>
      </c>
      <c r="E1094" s="35"/>
      <c r="F1094" s="35"/>
      <c r="G1094" s="35"/>
      <c r="J1094" s="38"/>
      <c r="K1094" s="44"/>
      <c r="M1094" s="41"/>
      <c r="N1094" s="44"/>
      <c r="O1094" s="35"/>
      <c r="P1094" s="41"/>
      <c r="Q1094" s="44"/>
    </row>
    <row r="1095" spans="1:17" s="40" customFormat="1">
      <c r="A1095" s="148"/>
      <c r="B1095" s="148"/>
      <c r="C1095" s="43"/>
      <c r="D1095" s="35" t="s">
        <v>433</v>
      </c>
      <c r="E1095" s="35"/>
      <c r="F1095" s="35"/>
      <c r="G1095" s="35"/>
      <c r="J1095" s="38"/>
      <c r="K1095" s="44"/>
      <c r="M1095" s="41"/>
      <c r="N1095" s="44"/>
      <c r="O1095" s="35"/>
      <c r="P1095" s="41"/>
      <c r="Q1095" s="44"/>
    </row>
    <row r="1096" spans="1:17" s="40" customFormat="1">
      <c r="A1096" s="148" t="s">
        <v>999</v>
      </c>
      <c r="B1096" s="148"/>
      <c r="C1096" s="43"/>
      <c r="D1096" s="35"/>
      <c r="E1096" s="35"/>
      <c r="F1096" s="35"/>
      <c r="G1096" s="35"/>
      <c r="J1096" s="38">
        <v>10</v>
      </c>
      <c r="K1096" s="44" t="s">
        <v>204</v>
      </c>
      <c r="M1096" s="41">
        <v>2</v>
      </c>
      <c r="N1096" s="44" t="s">
        <v>274</v>
      </c>
      <c r="O1096" s="35"/>
      <c r="P1096" s="41">
        <v>2.2999999999999998</v>
      </c>
      <c r="Q1096" s="44" t="s">
        <v>274</v>
      </c>
    </row>
    <row r="1097" spans="1:17" s="40" customFormat="1">
      <c r="A1097" s="148"/>
      <c r="B1097" s="148"/>
      <c r="C1097" s="43"/>
      <c r="D1097" s="35"/>
      <c r="E1097" s="35"/>
      <c r="F1097" s="35"/>
      <c r="G1097" s="35"/>
      <c r="J1097" s="38"/>
      <c r="K1097" s="44"/>
      <c r="M1097" s="41"/>
      <c r="N1097" s="44"/>
      <c r="O1097" s="35"/>
      <c r="P1097" s="41"/>
      <c r="Q1097" s="44"/>
    </row>
    <row r="1098" spans="1:17" s="40" customFormat="1">
      <c r="A1098" s="148"/>
      <c r="B1098" s="148"/>
      <c r="C1098" s="43"/>
      <c r="D1098" s="35" t="s">
        <v>237</v>
      </c>
      <c r="E1098" s="35"/>
      <c r="F1098" s="35"/>
      <c r="G1098" s="35"/>
      <c r="J1098" s="38"/>
      <c r="K1098" s="44"/>
      <c r="M1098" s="41"/>
      <c r="N1098" s="44"/>
      <c r="O1098" s="35"/>
      <c r="P1098" s="41"/>
      <c r="Q1098" s="44"/>
    </row>
    <row r="1099" spans="1:17" s="40" customFormat="1">
      <c r="A1099" s="148"/>
      <c r="B1099" s="148"/>
      <c r="C1099" s="43"/>
      <c r="D1099" s="35" t="s">
        <v>682</v>
      </c>
      <c r="E1099" s="35"/>
      <c r="F1099" s="35"/>
      <c r="G1099" s="35"/>
      <c r="J1099" s="38"/>
      <c r="K1099" s="44"/>
      <c r="M1099" s="41"/>
      <c r="N1099" s="44"/>
      <c r="O1099" s="35"/>
      <c r="P1099" s="41"/>
      <c r="Q1099" s="44"/>
    </row>
    <row r="1100" spans="1:17" s="40" customFormat="1">
      <c r="A1100" s="148" t="s">
        <v>1000</v>
      </c>
      <c r="B1100" s="148"/>
      <c r="C1100" s="43"/>
      <c r="D1100" s="35"/>
      <c r="E1100" s="35"/>
      <c r="F1100" s="35"/>
      <c r="G1100" s="35"/>
      <c r="J1100" s="38">
        <v>10</v>
      </c>
      <c r="K1100" s="44" t="s">
        <v>204</v>
      </c>
      <c r="M1100" s="41">
        <v>2.2999999999999998</v>
      </c>
      <c r="N1100" s="44" t="s">
        <v>274</v>
      </c>
      <c r="O1100" s="35"/>
      <c r="P1100" s="41">
        <v>2.6</v>
      </c>
      <c r="Q1100" s="44" t="s">
        <v>274</v>
      </c>
    </row>
    <row r="1101" spans="1:17" s="40" customFormat="1">
      <c r="A1101" s="148"/>
      <c r="B1101" s="148"/>
      <c r="C1101" s="43"/>
      <c r="D1101" s="35"/>
      <c r="E1101" s="35"/>
      <c r="F1101" s="35"/>
      <c r="G1101" s="35"/>
      <c r="J1101" s="38"/>
      <c r="K1101" s="44"/>
      <c r="M1101" s="41"/>
      <c r="N1101" s="44"/>
      <c r="O1101" s="35"/>
      <c r="P1101" s="41"/>
      <c r="Q1101" s="44"/>
    </row>
    <row r="1102" spans="1:17" s="40" customFormat="1">
      <c r="A1102" s="148"/>
      <c r="B1102" s="148"/>
      <c r="C1102" s="43"/>
      <c r="D1102" s="35" t="s">
        <v>269</v>
      </c>
      <c r="E1102" s="35"/>
      <c r="F1102" s="35"/>
      <c r="G1102" s="35"/>
      <c r="J1102" s="38"/>
      <c r="K1102" s="44"/>
      <c r="M1102" s="41"/>
      <c r="N1102" s="44"/>
      <c r="O1102" s="35"/>
      <c r="P1102" s="41"/>
      <c r="Q1102" s="44"/>
    </row>
    <row r="1103" spans="1:17" s="40" customFormat="1">
      <c r="A1103" s="148"/>
      <c r="B1103" s="148"/>
      <c r="C1103" s="43"/>
      <c r="D1103" s="35" t="s">
        <v>488</v>
      </c>
      <c r="E1103" s="35"/>
      <c r="F1103" s="35"/>
      <c r="G1103" s="35"/>
      <c r="J1103" s="38"/>
      <c r="K1103" s="44"/>
      <c r="M1103" s="41"/>
      <c r="N1103" s="44"/>
      <c r="O1103" s="35"/>
      <c r="P1103" s="41"/>
      <c r="Q1103" s="44"/>
    </row>
    <row r="1104" spans="1:17" s="40" customFormat="1">
      <c r="A1104" s="148" t="s">
        <v>1001</v>
      </c>
      <c r="B1104" s="148"/>
      <c r="C1104" s="43"/>
      <c r="D1104" s="35"/>
      <c r="E1104" s="35"/>
      <c r="F1104" s="35"/>
      <c r="G1104" s="35"/>
      <c r="J1104" s="38">
        <v>10</v>
      </c>
      <c r="K1104" s="44" t="s">
        <v>204</v>
      </c>
      <c r="M1104" s="41">
        <v>2</v>
      </c>
      <c r="N1104" s="44" t="s">
        <v>274</v>
      </c>
      <c r="O1104" s="35"/>
      <c r="P1104" s="41">
        <v>2.2999999999999998</v>
      </c>
      <c r="Q1104" s="44" t="s">
        <v>274</v>
      </c>
    </row>
    <row r="1105" spans="1:17" s="40" customFormat="1">
      <c r="A1105" s="148"/>
      <c r="B1105" s="148"/>
      <c r="C1105" s="43"/>
      <c r="D1105" s="35"/>
      <c r="E1105" s="35"/>
      <c r="F1105" s="35"/>
      <c r="G1105" s="35"/>
      <c r="J1105" s="38"/>
      <c r="K1105" s="44"/>
      <c r="M1105" s="41"/>
      <c r="N1105" s="44"/>
      <c r="O1105" s="35"/>
      <c r="P1105" s="41"/>
      <c r="Q1105" s="44"/>
    </row>
    <row r="1106" spans="1:17" s="40" customFormat="1">
      <c r="A1106" s="148"/>
      <c r="B1106" s="148"/>
      <c r="C1106" s="43"/>
      <c r="D1106" s="35" t="s">
        <v>270</v>
      </c>
      <c r="E1106" s="35"/>
      <c r="F1106" s="35"/>
      <c r="G1106" s="35"/>
      <c r="J1106" s="38"/>
      <c r="K1106" s="44"/>
      <c r="M1106" s="41"/>
      <c r="N1106" s="44"/>
      <c r="O1106" s="35"/>
      <c r="P1106" s="41"/>
      <c r="Q1106" s="44"/>
    </row>
    <row r="1107" spans="1:17" s="40" customFormat="1">
      <c r="A1107" s="148"/>
      <c r="B1107" s="148"/>
      <c r="C1107" s="43"/>
      <c r="D1107" s="35" t="s">
        <v>807</v>
      </c>
      <c r="E1107" s="35"/>
      <c r="F1107" s="35"/>
      <c r="G1107" s="35"/>
      <c r="J1107" s="38"/>
      <c r="K1107" s="44"/>
      <c r="M1107" s="41"/>
      <c r="N1107" s="44"/>
      <c r="O1107" s="35"/>
      <c r="P1107" s="41"/>
      <c r="Q1107" s="44"/>
    </row>
    <row r="1108" spans="1:17" s="40" customFormat="1">
      <c r="A1108" s="148" t="s">
        <v>1002</v>
      </c>
      <c r="B1108" s="148"/>
      <c r="C1108" s="43"/>
      <c r="D1108" s="35"/>
      <c r="E1108" s="35"/>
      <c r="F1108" s="35"/>
      <c r="G1108" s="35"/>
      <c r="J1108" s="38">
        <v>10</v>
      </c>
      <c r="K1108" s="44" t="s">
        <v>204</v>
      </c>
      <c r="M1108" s="41">
        <v>2</v>
      </c>
      <c r="N1108" s="44" t="s">
        <v>274</v>
      </c>
      <c r="O1108" s="35"/>
      <c r="P1108" s="41">
        <v>2.2999999999999998</v>
      </c>
      <c r="Q1108" s="44" t="s">
        <v>274</v>
      </c>
    </row>
    <row r="1109" spans="1:17" s="40" customFormat="1">
      <c r="A1109" s="148"/>
      <c r="B1109" s="148"/>
      <c r="C1109" s="43"/>
      <c r="D1109" s="35"/>
      <c r="E1109" s="35"/>
      <c r="F1109" s="35"/>
      <c r="G1109" s="35"/>
      <c r="J1109" s="38"/>
      <c r="K1109" s="44"/>
      <c r="M1109" s="41"/>
      <c r="N1109" s="44"/>
      <c r="O1109" s="35"/>
      <c r="P1109" s="41"/>
      <c r="Q1109" s="44"/>
    </row>
    <row r="1110" spans="1:17" s="40" customFormat="1">
      <c r="A1110" s="148"/>
      <c r="B1110" s="148"/>
      <c r="C1110" s="43"/>
      <c r="D1110" s="35" t="s">
        <v>219</v>
      </c>
      <c r="E1110" s="35"/>
      <c r="F1110" s="35"/>
      <c r="G1110" s="35"/>
      <c r="J1110" s="38"/>
      <c r="K1110" s="44"/>
      <c r="M1110" s="41"/>
      <c r="N1110" s="44"/>
      <c r="O1110" s="35"/>
      <c r="P1110" s="41"/>
      <c r="Q1110" s="44"/>
    </row>
    <row r="1111" spans="1:17" s="40" customFormat="1">
      <c r="A1111" s="148"/>
      <c r="B1111" s="148"/>
      <c r="C1111" s="43"/>
      <c r="D1111" s="35" t="s">
        <v>847</v>
      </c>
      <c r="E1111" s="35"/>
      <c r="F1111" s="35"/>
      <c r="G1111" s="35"/>
      <c r="J1111" s="38"/>
      <c r="K1111" s="44"/>
      <c r="M1111" s="41"/>
      <c r="N1111" s="44"/>
      <c r="O1111" s="35"/>
      <c r="P1111" s="41"/>
      <c r="Q1111" s="44"/>
    </row>
    <row r="1112" spans="1:17" s="40" customFormat="1">
      <c r="A1112" s="148" t="s">
        <v>1003</v>
      </c>
      <c r="B1112" s="148"/>
      <c r="C1112" s="43"/>
      <c r="D1112" s="35"/>
      <c r="E1112" s="35"/>
      <c r="F1112" s="35"/>
      <c r="G1112" s="35"/>
      <c r="J1112" s="38">
        <v>10</v>
      </c>
      <c r="K1112" s="44" t="s">
        <v>204</v>
      </c>
      <c r="M1112" s="41">
        <v>2.1</v>
      </c>
      <c r="N1112" s="44" t="s">
        <v>274</v>
      </c>
      <c r="O1112" s="35"/>
      <c r="P1112" s="41">
        <v>2.4</v>
      </c>
      <c r="Q1112" s="44" t="s">
        <v>274</v>
      </c>
    </row>
    <row r="1113" spans="1:17" s="40" customFormat="1">
      <c r="A1113" s="148"/>
      <c r="B1113" s="148"/>
      <c r="C1113" s="43"/>
      <c r="D1113" s="35"/>
      <c r="E1113" s="35"/>
      <c r="F1113" s="35"/>
      <c r="G1113" s="35"/>
      <c r="J1113" s="38"/>
      <c r="K1113" s="44"/>
      <c r="M1113" s="41"/>
      <c r="N1113" s="44"/>
      <c r="O1113" s="35"/>
      <c r="P1113" s="41"/>
      <c r="Q1113" s="44"/>
    </row>
    <row r="1114" spans="1:17" s="40" customFormat="1">
      <c r="A1114" s="148"/>
      <c r="B1114" s="148"/>
      <c r="C1114" s="43"/>
      <c r="D1114" s="35" t="s">
        <v>259</v>
      </c>
      <c r="E1114" s="35"/>
      <c r="F1114" s="35"/>
      <c r="G1114" s="35"/>
      <c r="J1114" s="38"/>
      <c r="K1114" s="44"/>
      <c r="M1114" s="41"/>
      <c r="N1114" s="44"/>
      <c r="O1114" s="35"/>
      <c r="P1114" s="41"/>
      <c r="Q1114" s="44"/>
    </row>
    <row r="1115" spans="1:17" s="40" customFormat="1">
      <c r="A1115" s="148"/>
      <c r="B1115" s="148"/>
      <c r="C1115" s="43"/>
      <c r="D1115" s="35" t="s">
        <v>922</v>
      </c>
      <c r="E1115" s="35"/>
      <c r="F1115" s="35"/>
      <c r="G1115" s="35"/>
      <c r="J1115" s="38"/>
      <c r="K1115" s="44"/>
      <c r="M1115" s="41"/>
      <c r="N1115" s="44"/>
      <c r="O1115" s="35"/>
      <c r="P1115" s="41"/>
      <c r="Q1115" s="44"/>
    </row>
    <row r="1116" spans="1:17" s="40" customFormat="1">
      <c r="A1116" s="148" t="s">
        <v>1004</v>
      </c>
      <c r="B1116" s="148"/>
      <c r="C1116" s="43"/>
      <c r="D1116" s="35"/>
      <c r="E1116" s="35"/>
      <c r="F1116" s="35"/>
      <c r="G1116" s="35"/>
      <c r="J1116" s="38">
        <v>10</v>
      </c>
      <c r="K1116" s="44" t="s">
        <v>204</v>
      </c>
      <c r="M1116" s="41">
        <v>2.1</v>
      </c>
      <c r="N1116" s="44" t="s">
        <v>274</v>
      </c>
      <c r="O1116" s="35"/>
      <c r="P1116" s="41">
        <v>2.4</v>
      </c>
      <c r="Q1116" s="44" t="s">
        <v>274</v>
      </c>
    </row>
    <row r="1117" spans="1:17" s="40" customFormat="1">
      <c r="A1117" s="148"/>
      <c r="B1117" s="148"/>
      <c r="C1117" s="43"/>
      <c r="D1117" s="35"/>
      <c r="E1117" s="35"/>
      <c r="F1117" s="35"/>
      <c r="G1117" s="35"/>
      <c r="J1117" s="38"/>
      <c r="K1117" s="44"/>
      <c r="M1117" s="41"/>
      <c r="N1117" s="44"/>
      <c r="O1117" s="35"/>
      <c r="P1117" s="41"/>
      <c r="Q1117" s="44"/>
    </row>
    <row r="1118" spans="1:17" s="40" customFormat="1">
      <c r="A1118" s="148"/>
      <c r="B1118" s="148"/>
      <c r="C1118" s="43"/>
      <c r="D1118" s="35" t="s">
        <v>271</v>
      </c>
      <c r="E1118" s="35"/>
      <c r="F1118" s="35"/>
      <c r="G1118" s="35"/>
      <c r="J1118" s="38"/>
      <c r="K1118" s="44"/>
      <c r="M1118" s="41"/>
      <c r="N1118" s="44"/>
      <c r="O1118" s="35"/>
      <c r="P1118" s="41"/>
      <c r="Q1118" s="44"/>
    </row>
    <row r="1119" spans="1:17" s="40" customFormat="1">
      <c r="A1119" s="148"/>
      <c r="B1119" s="148"/>
      <c r="C1119" s="43"/>
      <c r="D1119" s="35" t="s">
        <v>266</v>
      </c>
      <c r="E1119" s="35"/>
      <c r="F1119" s="35"/>
      <c r="G1119" s="35"/>
      <c r="J1119" s="38"/>
      <c r="K1119" s="44"/>
      <c r="M1119" s="41"/>
      <c r="N1119" s="44"/>
      <c r="O1119" s="35"/>
      <c r="P1119" s="41"/>
      <c r="Q1119" s="44"/>
    </row>
    <row r="1120" spans="1:17" s="40" customFormat="1">
      <c r="A1120" s="148"/>
      <c r="B1120" s="148"/>
      <c r="C1120" s="43"/>
      <c r="D1120" s="35" t="s">
        <v>267</v>
      </c>
      <c r="E1120" s="35"/>
      <c r="F1120" s="35"/>
      <c r="G1120" s="35"/>
      <c r="J1120" s="38"/>
      <c r="K1120" s="44"/>
      <c r="M1120" s="41"/>
      <c r="N1120" s="44"/>
      <c r="O1120" s="35"/>
      <c r="P1120" s="41"/>
      <c r="Q1120" s="44"/>
    </row>
    <row r="1121" spans="1:17" s="40" customFormat="1">
      <c r="A1121" s="148"/>
      <c r="B1121" s="148"/>
      <c r="C1121" s="43"/>
      <c r="D1121" s="35" t="s">
        <v>239</v>
      </c>
      <c r="E1121" s="35"/>
      <c r="F1121" s="35"/>
      <c r="G1121" s="35"/>
      <c r="J1121" s="38"/>
      <c r="K1121" s="44"/>
      <c r="M1121" s="41"/>
      <c r="N1121" s="44"/>
      <c r="O1121" s="35"/>
      <c r="P1121" s="41"/>
      <c r="Q1121" s="44"/>
    </row>
    <row r="1122" spans="1:17" s="40" customFormat="1">
      <c r="A1122" s="148"/>
      <c r="B1122" s="148"/>
      <c r="C1122" s="43"/>
      <c r="D1122" s="35" t="s">
        <v>1005</v>
      </c>
      <c r="E1122" s="35"/>
      <c r="F1122" s="35"/>
      <c r="G1122" s="35"/>
      <c r="J1122" s="38"/>
      <c r="K1122" s="44"/>
      <c r="M1122" s="41"/>
      <c r="N1122" s="44"/>
      <c r="O1122" s="35"/>
      <c r="P1122" s="41"/>
      <c r="Q1122" s="44"/>
    </row>
    <row r="1123" spans="1:17" s="40" customFormat="1">
      <c r="A1123" s="148" t="s">
        <v>1006</v>
      </c>
      <c r="B1123" s="148"/>
      <c r="C1123" s="43"/>
      <c r="D1123" s="35"/>
      <c r="E1123" s="35"/>
      <c r="F1123" s="35"/>
      <c r="G1123" s="35"/>
      <c r="J1123" s="38">
        <v>91</v>
      </c>
      <c r="K1123" s="44" t="s">
        <v>204</v>
      </c>
      <c r="M1123" s="41">
        <v>18.5</v>
      </c>
      <c r="N1123" s="44" t="s">
        <v>274</v>
      </c>
      <c r="O1123" s="35"/>
      <c r="P1123" s="41">
        <v>18.8</v>
      </c>
      <c r="Q1123" s="44" t="s">
        <v>274</v>
      </c>
    </row>
    <row r="1124" spans="1:17" s="40" customFormat="1">
      <c r="A1124" s="148" t="s">
        <v>1007</v>
      </c>
      <c r="B1124" s="148"/>
      <c r="C1124" s="43"/>
      <c r="D1124" s="35"/>
      <c r="E1124" s="35"/>
      <c r="F1124" s="35"/>
      <c r="G1124" s="35"/>
      <c r="J1124" s="38">
        <v>101</v>
      </c>
      <c r="K1124" s="44" t="s">
        <v>204</v>
      </c>
      <c r="M1124" s="41">
        <v>20.7</v>
      </c>
      <c r="N1124" s="44" t="s">
        <v>274</v>
      </c>
      <c r="O1124" s="35"/>
      <c r="P1124" s="41">
        <v>21</v>
      </c>
      <c r="Q1124" s="44" t="s">
        <v>274</v>
      </c>
    </row>
    <row r="1125" spans="1:17" s="40" customFormat="1">
      <c r="A1125" s="148" t="s">
        <v>1008</v>
      </c>
      <c r="B1125" s="148"/>
      <c r="C1125" s="43"/>
      <c r="D1125" s="35"/>
      <c r="E1125" s="35"/>
      <c r="F1125" s="35"/>
      <c r="G1125" s="35"/>
      <c r="J1125" s="38">
        <v>90</v>
      </c>
      <c r="K1125" s="44" t="s">
        <v>204</v>
      </c>
      <c r="M1125" s="41">
        <v>18.3</v>
      </c>
      <c r="N1125" s="44" t="s">
        <v>274</v>
      </c>
      <c r="O1125" s="35"/>
      <c r="P1125" s="41">
        <v>18.600000000000001</v>
      </c>
      <c r="Q1125" s="44" t="s">
        <v>274</v>
      </c>
    </row>
    <row r="1126" spans="1:17" s="40" customFormat="1">
      <c r="A1126" s="148" t="s">
        <v>1009</v>
      </c>
      <c r="B1126" s="148"/>
      <c r="C1126" s="43"/>
      <c r="D1126" s="35"/>
      <c r="E1126" s="35"/>
      <c r="F1126" s="35"/>
      <c r="G1126" s="35"/>
      <c r="J1126" s="38">
        <v>71</v>
      </c>
      <c r="K1126" s="44" t="s">
        <v>204</v>
      </c>
      <c r="M1126" s="41">
        <v>14.6</v>
      </c>
      <c r="N1126" s="44" t="s">
        <v>274</v>
      </c>
      <c r="O1126" s="35"/>
      <c r="P1126" s="41">
        <v>14.9</v>
      </c>
      <c r="Q1126" s="44" t="s">
        <v>274</v>
      </c>
    </row>
    <row r="1127" spans="1:17" s="40" customFormat="1">
      <c r="A1127" s="148" t="s">
        <v>1010</v>
      </c>
      <c r="B1127" s="148"/>
      <c r="C1127" s="43"/>
      <c r="D1127" s="35"/>
      <c r="E1127" s="35"/>
      <c r="F1127" s="35"/>
      <c r="G1127" s="35"/>
      <c r="J1127" s="38">
        <v>91</v>
      </c>
      <c r="K1127" s="44" t="s">
        <v>204</v>
      </c>
      <c r="M1127" s="41">
        <v>18.5</v>
      </c>
      <c r="N1127" s="44" t="s">
        <v>274</v>
      </c>
      <c r="O1127" s="35"/>
      <c r="P1127" s="41">
        <v>18.8</v>
      </c>
      <c r="Q1127" s="44" t="s">
        <v>274</v>
      </c>
    </row>
    <row r="1128" spans="1:17" s="40" customFormat="1">
      <c r="A1128" s="148" t="s">
        <v>1011</v>
      </c>
      <c r="B1128" s="148"/>
      <c r="C1128" s="43"/>
      <c r="D1128" s="35"/>
      <c r="E1128" s="35"/>
      <c r="F1128" s="35"/>
      <c r="G1128" s="35"/>
      <c r="J1128" s="38">
        <v>80</v>
      </c>
      <c r="K1128" s="44" t="s">
        <v>204</v>
      </c>
      <c r="M1128" s="41">
        <v>16.3</v>
      </c>
      <c r="N1128" s="44" t="s">
        <v>274</v>
      </c>
      <c r="O1128" s="35"/>
      <c r="P1128" s="41">
        <v>16.600000000000001</v>
      </c>
      <c r="Q1128" s="44" t="s">
        <v>274</v>
      </c>
    </row>
    <row r="1129" spans="1:17" s="40" customFormat="1">
      <c r="A1129" s="148" t="s">
        <v>1012</v>
      </c>
      <c r="B1129" s="148"/>
      <c r="C1129" s="43"/>
      <c r="D1129" s="35"/>
      <c r="E1129" s="35"/>
      <c r="F1129" s="35"/>
      <c r="G1129" s="35"/>
      <c r="J1129" s="38">
        <v>91</v>
      </c>
      <c r="K1129" s="44" t="s">
        <v>204</v>
      </c>
      <c r="M1129" s="41">
        <v>18.5</v>
      </c>
      <c r="N1129" s="44" t="s">
        <v>274</v>
      </c>
      <c r="O1129" s="35"/>
      <c r="P1129" s="41">
        <v>18.8</v>
      </c>
      <c r="Q1129" s="44" t="s">
        <v>274</v>
      </c>
    </row>
    <row r="1130" spans="1:17" s="40" customFormat="1">
      <c r="A1130" s="148" t="s">
        <v>1013</v>
      </c>
      <c r="B1130" s="148"/>
      <c r="C1130" s="43"/>
      <c r="D1130" s="35"/>
      <c r="E1130" s="35"/>
      <c r="F1130" s="35"/>
      <c r="G1130" s="35"/>
      <c r="J1130" s="38">
        <v>67</v>
      </c>
      <c r="K1130" s="44" t="s">
        <v>204</v>
      </c>
      <c r="M1130" s="41">
        <v>13.7</v>
      </c>
      <c r="N1130" s="44" t="s">
        <v>274</v>
      </c>
      <c r="O1130" s="35"/>
      <c r="P1130" s="41">
        <v>14</v>
      </c>
      <c r="Q1130" s="44" t="s">
        <v>274</v>
      </c>
    </row>
    <row r="1131" spans="1:17" s="40" customFormat="1">
      <c r="A1131" s="148"/>
      <c r="B1131" s="148"/>
      <c r="C1131" s="43"/>
      <c r="D1131" s="35"/>
      <c r="E1131" s="35"/>
      <c r="F1131" s="35"/>
      <c r="G1131" s="35"/>
      <c r="J1131" s="38"/>
      <c r="K1131" s="44"/>
      <c r="N1131" s="35"/>
      <c r="O1131" s="35"/>
      <c r="P1131" s="41"/>
      <c r="Q1131" s="44"/>
    </row>
    <row r="1132" spans="1:17" s="40" customFormat="1">
      <c r="A1132" s="148"/>
      <c r="B1132" s="148"/>
      <c r="C1132" s="43"/>
      <c r="D1132" s="42" t="s">
        <v>210</v>
      </c>
      <c r="E1132" s="35"/>
      <c r="F1132" s="35"/>
      <c r="G1132" s="35"/>
      <c r="J1132" s="38"/>
      <c r="K1132" s="44"/>
      <c r="N1132" s="35"/>
      <c r="O1132" s="35"/>
      <c r="P1132" s="41"/>
      <c r="Q1132" s="44"/>
    </row>
    <row r="1133" spans="1:17" s="40" customFormat="1">
      <c r="A1133" s="148"/>
      <c r="B1133" s="148"/>
      <c r="C1133" s="43"/>
      <c r="D1133" s="35" t="s">
        <v>239</v>
      </c>
      <c r="E1133" s="35"/>
      <c r="F1133" s="35"/>
      <c r="G1133" s="35"/>
      <c r="J1133" s="38"/>
      <c r="K1133" s="44"/>
      <c r="N1133" s="35"/>
      <c r="O1133" s="35"/>
      <c r="P1133" s="41"/>
      <c r="Q1133" s="44"/>
    </row>
    <row r="1134" spans="1:17" s="40" customFormat="1">
      <c r="A1134" s="148"/>
      <c r="B1134" s="148"/>
      <c r="C1134" s="43"/>
      <c r="D1134" s="35" t="s">
        <v>1005</v>
      </c>
      <c r="E1134" s="35"/>
      <c r="F1134" s="35"/>
      <c r="G1134" s="35"/>
      <c r="J1134" s="38"/>
      <c r="K1134" s="44"/>
      <c r="N1134" s="35"/>
      <c r="O1134" s="35"/>
      <c r="P1134" s="41"/>
      <c r="Q1134" s="44"/>
    </row>
    <row r="1135" spans="1:17" s="40" customFormat="1">
      <c r="A1135" s="148" t="s">
        <v>1014</v>
      </c>
      <c r="B1135" s="148"/>
      <c r="C1135" s="43"/>
      <c r="D1135" s="35"/>
      <c r="E1135" s="35"/>
      <c r="F1135" s="35"/>
      <c r="G1135" s="35"/>
      <c r="J1135" s="38">
        <v>10</v>
      </c>
      <c r="K1135" s="44" t="s">
        <v>204</v>
      </c>
      <c r="M1135" s="41">
        <v>2</v>
      </c>
      <c r="N1135" s="44" t="s">
        <v>274</v>
      </c>
      <c r="O1135" s="35"/>
      <c r="P1135" s="41">
        <v>2.2999999999999998</v>
      </c>
      <c r="Q1135" s="44" t="s">
        <v>274</v>
      </c>
    </row>
    <row r="1136" spans="1:17">
      <c r="A1136" s="12" t="s">
        <v>1016</v>
      </c>
    </row>
    <row r="1138" spans="1:17" ht="16.5">
      <c r="A1138" s="18" t="s">
        <v>158</v>
      </c>
    </row>
    <row r="1139" spans="1:17">
      <c r="A1139" s="30">
        <v>646</v>
      </c>
      <c r="B1139" s="12" t="s">
        <v>159</v>
      </c>
      <c r="J1139" s="26">
        <f>SUM(J29:J1135)</f>
        <v>109301</v>
      </c>
      <c r="K1139" s="12" t="s">
        <v>33</v>
      </c>
      <c r="M1139" s="34">
        <f>SUM(M29:M1138)</f>
        <v>25163.999999999996</v>
      </c>
      <c r="N1139" s="12" t="s">
        <v>114</v>
      </c>
      <c r="P1139" s="34">
        <f>SUM(P29:P1138)</f>
        <v>25523.82</v>
      </c>
      <c r="Q1139" s="12" t="s">
        <v>114</v>
      </c>
    </row>
    <row r="1140" spans="1:17">
      <c r="A1140" s="30">
        <f>8+702</f>
        <v>710</v>
      </c>
      <c r="B1140" s="12" t="s">
        <v>183</v>
      </c>
      <c r="J1140" s="26">
        <f>J109+J110+J114+J111+J112+J113</f>
        <v>1400</v>
      </c>
      <c r="K1140" s="12" t="s">
        <v>168</v>
      </c>
      <c r="M1140" s="20"/>
      <c r="P1140" s="20"/>
    </row>
    <row r="1141" spans="1:17">
      <c r="A1141" s="20" t="s">
        <v>87</v>
      </c>
      <c r="B1141" s="12" t="s">
        <v>85</v>
      </c>
      <c r="J1141" s="20" t="s">
        <v>85</v>
      </c>
      <c r="K1141" s="12" t="s">
        <v>86</v>
      </c>
      <c r="M1141" s="20" t="s">
        <v>88</v>
      </c>
      <c r="N1141" s="12" t="s">
        <v>86</v>
      </c>
      <c r="P1141" s="20" t="s">
        <v>88</v>
      </c>
      <c r="Q1141" s="12" t="s">
        <v>86</v>
      </c>
    </row>
    <row r="1142" spans="1:17">
      <c r="A1142" s="118" t="s">
        <v>2080</v>
      </c>
      <c r="B1142" s="118"/>
      <c r="C1142" s="118"/>
      <c r="D1142" s="118"/>
      <c r="J1142" s="20"/>
      <c r="M1142" s="20"/>
      <c r="P1142" s="20"/>
    </row>
    <row r="1143" spans="1:17">
      <c r="D1143" s="12" t="s">
        <v>1018</v>
      </c>
    </row>
    <row r="1145" spans="1:17">
      <c r="A1145" s="2" t="s">
        <v>89</v>
      </c>
      <c r="B1145" s="1"/>
      <c r="C1145" s="1"/>
      <c r="D1145" s="1"/>
      <c r="E1145" s="1"/>
    </row>
    <row r="1146" spans="1:17">
      <c r="A1146" s="1" t="s">
        <v>90</v>
      </c>
      <c r="B1146" s="1"/>
      <c r="C1146" s="1"/>
      <c r="D1146" s="1"/>
      <c r="E1146" s="1"/>
    </row>
    <row r="1147" spans="1:17">
      <c r="A1147" s="1" t="s">
        <v>91</v>
      </c>
      <c r="B1147" s="1"/>
      <c r="C1147" s="1"/>
      <c r="D1147" s="1"/>
      <c r="E1147" s="1"/>
    </row>
    <row r="1148" spans="1:17">
      <c r="A1148" s="1" t="s">
        <v>92</v>
      </c>
      <c r="B1148" s="1"/>
      <c r="C1148" s="1"/>
      <c r="D1148" s="1"/>
      <c r="E1148" s="1"/>
    </row>
    <row r="1149" spans="1:17">
      <c r="A1149" s="1" t="s">
        <v>93</v>
      </c>
      <c r="B1149" s="1"/>
      <c r="C1149" s="1"/>
      <c r="D1149" s="1"/>
      <c r="E1149" s="1"/>
    </row>
    <row r="1150" spans="1:17">
      <c r="A1150" s="1" t="s">
        <v>94</v>
      </c>
      <c r="B1150" s="1"/>
      <c r="C1150" s="1"/>
      <c r="D1150" s="1"/>
      <c r="E1150" s="1"/>
    </row>
    <row r="1151" spans="1:17">
      <c r="A1151" s="1" t="s">
        <v>95</v>
      </c>
      <c r="B1151" s="1"/>
      <c r="C1151" s="1"/>
      <c r="D1151" s="1"/>
      <c r="E1151" s="1"/>
    </row>
    <row r="1152" spans="1:17">
      <c r="A1152" s="1" t="s">
        <v>96</v>
      </c>
      <c r="B1152" s="1"/>
      <c r="C1152" s="1"/>
      <c r="D1152" s="1"/>
      <c r="E1152" s="1"/>
    </row>
    <row r="1153" spans="1:5">
      <c r="A1153" s="1" t="s">
        <v>97</v>
      </c>
      <c r="B1153" s="1"/>
      <c r="C1153" s="1"/>
      <c r="D1153" s="1"/>
      <c r="E1153" s="1"/>
    </row>
    <row r="1154" spans="1:5">
      <c r="A1154" s="1" t="s">
        <v>98</v>
      </c>
      <c r="B1154" s="1"/>
      <c r="C1154" s="1"/>
      <c r="D1154" s="1"/>
      <c r="E1154" s="1"/>
    </row>
    <row r="1155" spans="1:5">
      <c r="A1155" s="1" t="s">
        <v>99</v>
      </c>
      <c r="B1155" s="1"/>
      <c r="C1155" s="1"/>
      <c r="D1155" s="1"/>
      <c r="E1155" s="1"/>
    </row>
    <row r="1156" spans="1:5">
      <c r="A1156" s="1" t="s">
        <v>100</v>
      </c>
      <c r="B1156" s="1"/>
      <c r="C1156" s="1"/>
      <c r="D1156" s="1"/>
      <c r="E1156" s="1"/>
    </row>
    <row r="1157" spans="1:5">
      <c r="A1157" s="1" t="s">
        <v>101</v>
      </c>
      <c r="B1157" s="1"/>
      <c r="C1157" s="1"/>
      <c r="D1157" s="1"/>
      <c r="E1157" s="1"/>
    </row>
    <row r="1158" spans="1:5">
      <c r="A1158" s="1"/>
      <c r="B1158" s="1"/>
      <c r="C1158" s="1"/>
      <c r="D1158" s="1"/>
      <c r="E1158" s="1"/>
    </row>
    <row r="1159" spans="1:5">
      <c r="A1159" s="1"/>
      <c r="B1159" s="1"/>
      <c r="C1159" s="1"/>
      <c r="D1159" s="1"/>
      <c r="E1159" s="1"/>
    </row>
    <row r="1160" spans="1:5">
      <c r="A1160" s="1" t="s">
        <v>90</v>
      </c>
      <c r="B1160" s="1"/>
      <c r="C1160" s="1"/>
      <c r="D1160" s="1"/>
      <c r="E1160" s="1"/>
    </row>
    <row r="1161" spans="1:5">
      <c r="A1161" s="1" t="s">
        <v>1057</v>
      </c>
      <c r="B1161" s="1"/>
      <c r="C1161" s="1"/>
      <c r="D1161" s="1"/>
      <c r="E1161" s="1"/>
    </row>
    <row r="1162" spans="1:5">
      <c r="A1162" s="1" t="s">
        <v>92</v>
      </c>
      <c r="B1162" s="1"/>
      <c r="C1162" s="1"/>
      <c r="D1162" s="1"/>
      <c r="E1162" s="1"/>
    </row>
    <row r="1163" spans="1:5">
      <c r="A1163" s="1" t="s">
        <v>93</v>
      </c>
      <c r="B1163" s="1"/>
      <c r="C1163" s="1"/>
      <c r="D1163" s="1"/>
      <c r="E1163" s="1"/>
    </row>
    <row r="1164" spans="1:5">
      <c r="A1164" s="1" t="s">
        <v>94</v>
      </c>
      <c r="B1164" s="1"/>
      <c r="C1164" s="1"/>
      <c r="D1164" s="1"/>
      <c r="E1164" s="1"/>
    </row>
    <row r="1165" spans="1:5">
      <c r="A1165" s="1" t="s">
        <v>95</v>
      </c>
      <c r="B1165" s="1"/>
      <c r="C1165" s="1"/>
      <c r="D1165" s="1"/>
      <c r="E1165" s="1"/>
    </row>
    <row r="1166" spans="1:5">
      <c r="A1166" s="1" t="s">
        <v>96</v>
      </c>
      <c r="B1166" s="1"/>
      <c r="C1166" s="1"/>
      <c r="D1166" s="1"/>
      <c r="E1166" s="1"/>
    </row>
    <row r="1167" spans="1:5">
      <c r="A1167" s="1" t="s">
        <v>97</v>
      </c>
      <c r="B1167" s="1"/>
      <c r="C1167" s="1"/>
      <c r="D1167" s="1"/>
      <c r="E1167" s="1"/>
    </row>
    <row r="1168" spans="1:5">
      <c r="A1168" s="1" t="s">
        <v>98</v>
      </c>
      <c r="B1168" s="1"/>
      <c r="C1168" s="1"/>
      <c r="D1168" s="1"/>
      <c r="E1168" s="1"/>
    </row>
    <row r="1169" spans="1:5">
      <c r="A1169" s="1" t="s">
        <v>99</v>
      </c>
      <c r="B1169" s="1"/>
      <c r="C1169" s="1"/>
      <c r="D1169" s="1"/>
      <c r="E1169" s="1"/>
    </row>
    <row r="1170" spans="1:5">
      <c r="A1170" s="1" t="s">
        <v>100</v>
      </c>
      <c r="B1170" s="1"/>
      <c r="C1170" s="1"/>
      <c r="D1170" s="1"/>
      <c r="E1170" s="1"/>
    </row>
    <row r="1171" spans="1:5">
      <c r="A1171" s="1" t="s">
        <v>101</v>
      </c>
      <c r="B1171" s="1"/>
      <c r="C1171" s="1"/>
      <c r="D1171" s="1"/>
      <c r="E1171" s="1"/>
    </row>
    <row r="1172" spans="1:5">
      <c r="A1172" s="35"/>
      <c r="B1172" s="1"/>
      <c r="C1172" s="1"/>
      <c r="D1172" s="1"/>
      <c r="E1172" s="1"/>
    </row>
    <row r="1173" spans="1:5">
      <c r="A1173" s="35" t="s">
        <v>1033</v>
      </c>
      <c r="B1173" s="1"/>
      <c r="C1173" s="1"/>
      <c r="D1173" s="1"/>
      <c r="E1173" s="1"/>
    </row>
    <row r="1174" spans="1:5">
      <c r="A1174" s="35" t="s">
        <v>1034</v>
      </c>
      <c r="B1174" s="1"/>
      <c r="C1174" s="1"/>
      <c r="D1174" s="1"/>
      <c r="E1174" s="1"/>
    </row>
    <row r="1175" spans="1:5">
      <c r="A1175" s="35" t="s">
        <v>1035</v>
      </c>
      <c r="B1175" s="1"/>
      <c r="C1175" s="1"/>
      <c r="D1175" s="1"/>
      <c r="E1175" s="1"/>
    </row>
    <row r="1176" spans="1:5">
      <c r="A1176" s="35" t="s">
        <v>1036</v>
      </c>
      <c r="B1176" s="1"/>
      <c r="C1176" s="1"/>
      <c r="D1176" s="1"/>
      <c r="E1176" s="1"/>
    </row>
    <row r="1177" spans="1:5">
      <c r="A1177" s="35" t="s">
        <v>1037</v>
      </c>
      <c r="B1177" s="1"/>
      <c r="C1177" s="1"/>
      <c r="D1177" s="1"/>
      <c r="E1177" s="1"/>
    </row>
    <row r="1178" spans="1:5">
      <c r="A1178" s="35" t="s">
        <v>1038</v>
      </c>
      <c r="B1178" s="1"/>
      <c r="C1178" s="1"/>
      <c r="D1178" s="1"/>
      <c r="E1178" s="1"/>
    </row>
    <row r="1179" spans="1:5">
      <c r="A1179" s="35" t="s">
        <v>1039</v>
      </c>
      <c r="B1179" s="1"/>
      <c r="C1179" s="1"/>
      <c r="D1179" s="1"/>
      <c r="E1179" s="1"/>
    </row>
    <row r="1180" spans="1:5">
      <c r="A1180" s="35" t="s">
        <v>1040</v>
      </c>
      <c r="B1180" s="1"/>
      <c r="C1180" s="1"/>
      <c r="D1180" s="1"/>
      <c r="E1180" s="1"/>
    </row>
    <row r="1181" spans="1:5">
      <c r="A1181" s="35"/>
      <c r="B1181" s="1"/>
      <c r="C1181" s="1"/>
      <c r="D1181" s="1"/>
      <c r="E1181" s="1"/>
    </row>
    <row r="1182" spans="1:5">
      <c r="A1182" s="35" t="s">
        <v>1033</v>
      </c>
      <c r="B1182" s="1"/>
      <c r="C1182" s="1"/>
      <c r="D1182" s="1"/>
      <c r="E1182" s="1"/>
    </row>
    <row r="1183" spans="1:5">
      <c r="A1183" s="35" t="s">
        <v>1047</v>
      </c>
      <c r="B1183" s="1"/>
      <c r="C1183" s="1"/>
      <c r="D1183" s="1"/>
      <c r="E1183" s="1"/>
    </row>
    <row r="1184" spans="1:5">
      <c r="A1184" s="35" t="s">
        <v>1041</v>
      </c>
      <c r="B1184" s="1"/>
      <c r="C1184" s="1"/>
      <c r="D1184" s="1"/>
      <c r="E1184" s="1"/>
    </row>
    <row r="1185" spans="1:5">
      <c r="A1185" s="35" t="s">
        <v>1042</v>
      </c>
      <c r="B1185" s="1"/>
      <c r="C1185" s="1"/>
      <c r="D1185" s="1"/>
      <c r="E1185" s="1"/>
    </row>
    <row r="1186" spans="1:5">
      <c r="A1186" s="35" t="s">
        <v>1043</v>
      </c>
      <c r="B1186" s="1"/>
      <c r="C1186" s="1"/>
      <c r="D1186" s="1"/>
      <c r="E1186" s="1"/>
    </row>
    <row r="1187" spans="1:5">
      <c r="A1187" s="35" t="s">
        <v>1044</v>
      </c>
      <c r="B1187" s="1"/>
      <c r="C1187" s="1"/>
      <c r="D1187" s="1"/>
      <c r="E1187" s="1"/>
    </row>
    <row r="1188" spans="1:5">
      <c r="A1188" s="35" t="s">
        <v>1039</v>
      </c>
      <c r="B1188" s="1"/>
      <c r="C1188" s="1"/>
      <c r="D1188" s="1"/>
      <c r="E1188" s="1"/>
    </row>
    <row r="1189" spans="1:5">
      <c r="A1189" s="35" t="s">
        <v>1045</v>
      </c>
      <c r="B1189" s="1"/>
      <c r="C1189" s="1"/>
      <c r="D1189" s="1"/>
      <c r="E1189" s="1"/>
    </row>
    <row r="1190" spans="1:5">
      <c r="A1190" s="1" t="s">
        <v>1046</v>
      </c>
      <c r="B1190" s="1"/>
      <c r="C1190" s="1"/>
      <c r="D1190" s="1"/>
      <c r="E1190" s="1"/>
    </row>
    <row r="1191" spans="1:5">
      <c r="A1191" s="1"/>
      <c r="B1191" s="1"/>
      <c r="C1191" s="1"/>
      <c r="D1191" s="1"/>
      <c r="E1191" s="1"/>
    </row>
    <row r="1192" spans="1:5">
      <c r="A1192" s="35" t="s">
        <v>1033</v>
      </c>
      <c r="B1192" s="1"/>
      <c r="C1192" s="1"/>
      <c r="D1192" s="1"/>
      <c r="E1192" s="1"/>
    </row>
    <row r="1193" spans="1:5">
      <c r="A1193" s="35" t="s">
        <v>1048</v>
      </c>
      <c r="B1193" s="1"/>
      <c r="C1193" s="1"/>
      <c r="D1193" s="1"/>
      <c r="E1193" s="1"/>
    </row>
    <row r="1194" spans="1:5">
      <c r="A1194" s="35" t="s">
        <v>1049</v>
      </c>
      <c r="B1194" s="1"/>
      <c r="C1194" s="1"/>
      <c r="D1194" s="1"/>
      <c r="E1194" s="1"/>
    </row>
    <row r="1195" spans="1:5">
      <c r="A1195" s="35" t="s">
        <v>1050</v>
      </c>
      <c r="B1195" s="1"/>
      <c r="C1195" s="1"/>
      <c r="D1195" s="1"/>
      <c r="E1195" s="1"/>
    </row>
    <row r="1196" spans="1:5">
      <c r="A1196" s="35" t="s">
        <v>1051</v>
      </c>
      <c r="B1196" s="1"/>
      <c r="C1196" s="1"/>
      <c r="D1196" s="1"/>
      <c r="E1196" s="1"/>
    </row>
    <row r="1197" spans="1:5">
      <c r="A1197" s="35" t="s">
        <v>1052</v>
      </c>
      <c r="B1197" s="1"/>
      <c r="C1197" s="1"/>
      <c r="D1197" s="1"/>
      <c r="E1197" s="1"/>
    </row>
    <row r="1198" spans="1:5">
      <c r="A1198" s="35" t="s">
        <v>1053</v>
      </c>
      <c r="B1198" s="1"/>
      <c r="C1198" s="1"/>
      <c r="D1198" s="1"/>
      <c r="E1198" s="1"/>
    </row>
    <row r="1199" spans="1:5">
      <c r="A1199" s="35" t="s">
        <v>1054</v>
      </c>
      <c r="B1199" s="1"/>
      <c r="C1199" s="1"/>
      <c r="D1199" s="1"/>
      <c r="E1199" s="1"/>
    </row>
    <row r="1200" spans="1:5">
      <c r="A1200" s="35" t="s">
        <v>1055</v>
      </c>
      <c r="B1200" s="1"/>
      <c r="C1200" s="1"/>
      <c r="D1200" s="1"/>
      <c r="E1200" s="1"/>
    </row>
    <row r="1201" spans="1:5">
      <c r="A1201" s="1" t="s">
        <v>1056</v>
      </c>
      <c r="B1201" s="1"/>
      <c r="C1201" s="1"/>
      <c r="D1201" s="1"/>
      <c r="E1201" s="1"/>
    </row>
    <row r="1202" spans="1:5">
      <c r="A1202" s="1"/>
      <c r="B1202" s="1"/>
      <c r="C1202" s="1"/>
      <c r="D1202" s="1"/>
      <c r="E1202" s="1"/>
    </row>
    <row r="1203" spans="1:5">
      <c r="A1203" s="35" t="s">
        <v>184</v>
      </c>
      <c r="B1203" s="1"/>
      <c r="C1203" s="1"/>
      <c r="D1203" s="1"/>
      <c r="E1203" s="1"/>
    </row>
    <row r="1204" spans="1:5">
      <c r="A1204" s="35" t="s">
        <v>186</v>
      </c>
      <c r="B1204" s="1"/>
      <c r="C1204" s="1"/>
      <c r="D1204" s="1"/>
      <c r="E1204" s="1"/>
    </row>
    <row r="1205" spans="1:5">
      <c r="A1205" s="35" t="s">
        <v>188</v>
      </c>
      <c r="B1205" s="1"/>
      <c r="C1205" s="1"/>
      <c r="D1205" s="1"/>
      <c r="E1205" s="1"/>
    </row>
    <row r="1206" spans="1:5">
      <c r="A1206" s="35" t="s">
        <v>190</v>
      </c>
      <c r="B1206" s="1"/>
      <c r="C1206" s="1"/>
      <c r="D1206" s="1"/>
      <c r="E1206" s="1"/>
    </row>
    <row r="1207" spans="1:5">
      <c r="A1207" s="35" t="s">
        <v>192</v>
      </c>
      <c r="B1207" s="1"/>
      <c r="C1207" s="1"/>
      <c r="D1207" s="1"/>
      <c r="E1207" s="1"/>
    </row>
    <row r="1208" spans="1:5">
      <c r="A1208" s="35" t="s">
        <v>194</v>
      </c>
      <c r="B1208" s="1"/>
      <c r="C1208" s="1"/>
      <c r="D1208" s="1"/>
      <c r="E1208" s="1"/>
    </row>
    <row r="1209" spans="1:5">
      <c r="A1209" s="35" t="s">
        <v>196</v>
      </c>
      <c r="B1209" s="1"/>
      <c r="C1209" s="1"/>
      <c r="D1209" s="1"/>
      <c r="E1209" s="1"/>
    </row>
    <row r="1210" spans="1:5">
      <c r="A1210" s="35" t="s">
        <v>198</v>
      </c>
      <c r="B1210" s="1"/>
      <c r="C1210" s="1"/>
      <c r="D1210" s="1"/>
      <c r="E1210" s="1"/>
    </row>
    <row r="1211" spans="1:5">
      <c r="A1211" s="35" t="s">
        <v>200</v>
      </c>
      <c r="B1211" s="1"/>
      <c r="C1211" s="1"/>
      <c r="D1211" s="1"/>
      <c r="E1211" s="1"/>
    </row>
    <row r="1212" spans="1:5">
      <c r="A1212" s="35" t="s">
        <v>202</v>
      </c>
      <c r="B1212" s="1"/>
      <c r="C1212" s="1"/>
      <c r="D1212" s="1"/>
      <c r="E1212" s="1"/>
    </row>
    <row r="1213" spans="1:5">
      <c r="A1213" s="35" t="s">
        <v>205</v>
      </c>
      <c r="B1213" s="1"/>
      <c r="C1213" s="1"/>
      <c r="D1213" s="1"/>
      <c r="E1213" s="1"/>
    </row>
    <row r="1214" spans="1:5">
      <c r="A1214" s="35" t="s">
        <v>207</v>
      </c>
      <c r="B1214" s="1"/>
      <c r="C1214" s="1"/>
      <c r="D1214" s="1"/>
      <c r="E1214" s="1"/>
    </row>
    <row r="1215" spans="1:5">
      <c r="A1215" s="35" t="s">
        <v>93</v>
      </c>
      <c r="B1215" s="1"/>
      <c r="C1215" s="1"/>
      <c r="D1215" s="1"/>
      <c r="E1215" s="1"/>
    </row>
    <row r="1216" spans="1:5">
      <c r="A1216" s="1"/>
      <c r="B1216" s="1"/>
      <c r="C1216" s="1"/>
      <c r="D1216" s="1"/>
      <c r="E1216" s="1"/>
    </row>
  </sheetData>
  <mergeCells count="1051">
    <mergeCell ref="A1131:B1131"/>
    <mergeCell ref="A1132:B1132"/>
    <mergeCell ref="A1133:B1133"/>
    <mergeCell ref="A1134:B1134"/>
    <mergeCell ref="A1135:B1135"/>
    <mergeCell ref="A1126:B1126"/>
    <mergeCell ref="A1127:B1127"/>
    <mergeCell ref="A1128:B1128"/>
    <mergeCell ref="A1129:B1129"/>
    <mergeCell ref="A1130:B1130"/>
    <mergeCell ref="A1121:B1121"/>
    <mergeCell ref="A1122:B1122"/>
    <mergeCell ref="A1123:B1123"/>
    <mergeCell ref="A1124:B1124"/>
    <mergeCell ref="A1125:B1125"/>
    <mergeCell ref="A1116:B1116"/>
    <mergeCell ref="A1117:B1117"/>
    <mergeCell ref="A1118:B1118"/>
    <mergeCell ref="A1119:B1119"/>
    <mergeCell ref="A1120:B1120"/>
    <mergeCell ref="A1111:B1111"/>
    <mergeCell ref="A1112:B1112"/>
    <mergeCell ref="A1113:B1113"/>
    <mergeCell ref="A1114:B1114"/>
    <mergeCell ref="A1115:B1115"/>
    <mergeCell ref="A1106:B1106"/>
    <mergeCell ref="A1107:B1107"/>
    <mergeCell ref="A1108:B1108"/>
    <mergeCell ref="A1109:B1109"/>
    <mergeCell ref="A1110:B1110"/>
    <mergeCell ref="A1101:B1101"/>
    <mergeCell ref="A1102:B1102"/>
    <mergeCell ref="A1103:B1103"/>
    <mergeCell ref="A1104:B1104"/>
    <mergeCell ref="A1105:B1105"/>
    <mergeCell ref="A1096:B1096"/>
    <mergeCell ref="A1097:B1097"/>
    <mergeCell ref="A1098:B1098"/>
    <mergeCell ref="A1099:B1099"/>
    <mergeCell ref="A1100:B1100"/>
    <mergeCell ref="A1091:B1091"/>
    <mergeCell ref="A1092:B1092"/>
    <mergeCell ref="A1093:B1093"/>
    <mergeCell ref="A1094:B1094"/>
    <mergeCell ref="A1095:B1095"/>
    <mergeCell ref="A1086:B1086"/>
    <mergeCell ref="A1087:B1087"/>
    <mergeCell ref="A1088:B1088"/>
    <mergeCell ref="A1089:B1089"/>
    <mergeCell ref="A1090:B1090"/>
    <mergeCell ref="A1081:B1081"/>
    <mergeCell ref="A1082:B1082"/>
    <mergeCell ref="A1083:B1083"/>
    <mergeCell ref="A1084:B1084"/>
    <mergeCell ref="A1085:B1085"/>
    <mergeCell ref="A1076:B1076"/>
    <mergeCell ref="A1077:B1077"/>
    <mergeCell ref="A1078:B1078"/>
    <mergeCell ref="A1079:B1079"/>
    <mergeCell ref="A1080:B1080"/>
    <mergeCell ref="A1071:B1071"/>
    <mergeCell ref="A1072:B1072"/>
    <mergeCell ref="A1073:B1073"/>
    <mergeCell ref="A1074:B1074"/>
    <mergeCell ref="A1075:B1075"/>
    <mergeCell ref="A1066:B1066"/>
    <mergeCell ref="A1067:B1067"/>
    <mergeCell ref="A1068:B1068"/>
    <mergeCell ref="A1069:B1069"/>
    <mergeCell ref="A1070:B1070"/>
    <mergeCell ref="A1061:B1061"/>
    <mergeCell ref="A1062:B1062"/>
    <mergeCell ref="A1063:B1063"/>
    <mergeCell ref="A1064:B1064"/>
    <mergeCell ref="A1065:B1065"/>
    <mergeCell ref="A1056:B1056"/>
    <mergeCell ref="A1057:B1057"/>
    <mergeCell ref="A1058:B1058"/>
    <mergeCell ref="A1059:B1059"/>
    <mergeCell ref="A1060:B1060"/>
    <mergeCell ref="A1051:B1051"/>
    <mergeCell ref="A1052:B1052"/>
    <mergeCell ref="A1053:B1053"/>
    <mergeCell ref="A1054:B1054"/>
    <mergeCell ref="A1055:B1055"/>
    <mergeCell ref="A1046:B1046"/>
    <mergeCell ref="A1047:B1047"/>
    <mergeCell ref="A1048:B1048"/>
    <mergeCell ref="A1049:B1049"/>
    <mergeCell ref="A1050:B1050"/>
    <mergeCell ref="A1041:B1041"/>
    <mergeCell ref="A1042:B1042"/>
    <mergeCell ref="A1043:B1043"/>
    <mergeCell ref="A1044:B1044"/>
    <mergeCell ref="A1045:B1045"/>
    <mergeCell ref="A1036:B1036"/>
    <mergeCell ref="A1037:B1037"/>
    <mergeCell ref="A1038:B1038"/>
    <mergeCell ref="A1039:B1039"/>
    <mergeCell ref="A1040:B1040"/>
    <mergeCell ref="A1031:B1031"/>
    <mergeCell ref="A1032:B1032"/>
    <mergeCell ref="A1033:B1033"/>
    <mergeCell ref="A1034:B1034"/>
    <mergeCell ref="A1035:B1035"/>
    <mergeCell ref="A1026:B1026"/>
    <mergeCell ref="A1027:B1027"/>
    <mergeCell ref="A1028:B1028"/>
    <mergeCell ref="A1029:B1029"/>
    <mergeCell ref="A1030:B1030"/>
    <mergeCell ref="A1021:B1021"/>
    <mergeCell ref="A1022:B1022"/>
    <mergeCell ref="A1023:B1023"/>
    <mergeCell ref="A1024:B1024"/>
    <mergeCell ref="A1025:B1025"/>
    <mergeCell ref="A1016:B1016"/>
    <mergeCell ref="A1017:B1017"/>
    <mergeCell ref="A1018:B1018"/>
    <mergeCell ref="A1019:B1019"/>
    <mergeCell ref="A1020:B1020"/>
    <mergeCell ref="A1011:B1011"/>
    <mergeCell ref="A1012:B1012"/>
    <mergeCell ref="A1013:B1013"/>
    <mergeCell ref="A1014:B1014"/>
    <mergeCell ref="A1015:B1015"/>
    <mergeCell ref="A1006:B1006"/>
    <mergeCell ref="A1007:B1007"/>
    <mergeCell ref="A1008:B1008"/>
    <mergeCell ref="A1009:B1009"/>
    <mergeCell ref="A1010:B1010"/>
    <mergeCell ref="A1001:B1001"/>
    <mergeCell ref="A1002:B1002"/>
    <mergeCell ref="A1003:B1003"/>
    <mergeCell ref="A1004:B1004"/>
    <mergeCell ref="A1005:B1005"/>
    <mergeCell ref="A996:B996"/>
    <mergeCell ref="A997:B997"/>
    <mergeCell ref="A998:B998"/>
    <mergeCell ref="A999:B999"/>
    <mergeCell ref="A1000:B1000"/>
    <mergeCell ref="A991:B991"/>
    <mergeCell ref="A992:B992"/>
    <mergeCell ref="A993:B993"/>
    <mergeCell ref="A994:B994"/>
    <mergeCell ref="A995:B995"/>
    <mergeCell ref="A986:B986"/>
    <mergeCell ref="A987:B987"/>
    <mergeCell ref="A988:B988"/>
    <mergeCell ref="A989:B989"/>
    <mergeCell ref="A990:B990"/>
    <mergeCell ref="A981:B981"/>
    <mergeCell ref="A982:B982"/>
    <mergeCell ref="A983:B983"/>
    <mergeCell ref="A984:B984"/>
    <mergeCell ref="A985:B985"/>
    <mergeCell ref="A976:B976"/>
    <mergeCell ref="A977:B977"/>
    <mergeCell ref="A978:B978"/>
    <mergeCell ref="A979:B979"/>
    <mergeCell ref="A980:B980"/>
    <mergeCell ref="A971:B971"/>
    <mergeCell ref="A972:B972"/>
    <mergeCell ref="A973:B973"/>
    <mergeCell ref="A974:B974"/>
    <mergeCell ref="A975:B975"/>
    <mergeCell ref="A966:B966"/>
    <mergeCell ref="A967:B967"/>
    <mergeCell ref="A968:B968"/>
    <mergeCell ref="A969:B969"/>
    <mergeCell ref="A970:B970"/>
    <mergeCell ref="A961:B961"/>
    <mergeCell ref="A962:B962"/>
    <mergeCell ref="A963:B963"/>
    <mergeCell ref="A964:B964"/>
    <mergeCell ref="A965:B965"/>
    <mergeCell ref="A956:B956"/>
    <mergeCell ref="A957:B957"/>
    <mergeCell ref="A958:B958"/>
    <mergeCell ref="A959:B959"/>
    <mergeCell ref="A960:B960"/>
    <mergeCell ref="A951:B951"/>
    <mergeCell ref="A952:B952"/>
    <mergeCell ref="A953:B953"/>
    <mergeCell ref="A954:B954"/>
    <mergeCell ref="A955:B955"/>
    <mergeCell ref="A946:B946"/>
    <mergeCell ref="A947:B947"/>
    <mergeCell ref="A948:B948"/>
    <mergeCell ref="A949:B949"/>
    <mergeCell ref="A950:B950"/>
    <mergeCell ref="A941:B941"/>
    <mergeCell ref="A942:B942"/>
    <mergeCell ref="A943:B943"/>
    <mergeCell ref="A944:B944"/>
    <mergeCell ref="A945:B945"/>
    <mergeCell ref="A936:B936"/>
    <mergeCell ref="A937:B937"/>
    <mergeCell ref="A938:B938"/>
    <mergeCell ref="A939:B939"/>
    <mergeCell ref="A940:B940"/>
    <mergeCell ref="A931:B931"/>
    <mergeCell ref="A932:B932"/>
    <mergeCell ref="A933:B933"/>
    <mergeCell ref="A934:B934"/>
    <mergeCell ref="A935:B935"/>
    <mergeCell ref="A926:B926"/>
    <mergeCell ref="A927:B927"/>
    <mergeCell ref="A928:B928"/>
    <mergeCell ref="A929:B929"/>
    <mergeCell ref="A930:B930"/>
    <mergeCell ref="A921:B921"/>
    <mergeCell ref="A922:B922"/>
    <mergeCell ref="A923:B923"/>
    <mergeCell ref="A924:B924"/>
    <mergeCell ref="A925:B925"/>
    <mergeCell ref="A916:B916"/>
    <mergeCell ref="A917:B917"/>
    <mergeCell ref="A918:B918"/>
    <mergeCell ref="A919:B919"/>
    <mergeCell ref="A920:B920"/>
    <mergeCell ref="A911:B911"/>
    <mergeCell ref="A912:B912"/>
    <mergeCell ref="A913:B913"/>
    <mergeCell ref="A914:B914"/>
    <mergeCell ref="A915:B915"/>
    <mergeCell ref="A906:B906"/>
    <mergeCell ref="A907:B907"/>
    <mergeCell ref="A908:B908"/>
    <mergeCell ref="A909:B909"/>
    <mergeCell ref="A910:B910"/>
    <mergeCell ref="A901:B901"/>
    <mergeCell ref="A902:B902"/>
    <mergeCell ref="A903:B903"/>
    <mergeCell ref="A904:B904"/>
    <mergeCell ref="A905:B905"/>
    <mergeCell ref="A896:B896"/>
    <mergeCell ref="A897:B897"/>
    <mergeCell ref="A898:B898"/>
    <mergeCell ref="A899:B899"/>
    <mergeCell ref="A900:B900"/>
    <mergeCell ref="A891:B891"/>
    <mergeCell ref="A892:B892"/>
    <mergeCell ref="A893:B893"/>
    <mergeCell ref="A894:B894"/>
    <mergeCell ref="A895:B895"/>
    <mergeCell ref="A886:B886"/>
    <mergeCell ref="A887:B887"/>
    <mergeCell ref="A888:B888"/>
    <mergeCell ref="A889:B889"/>
    <mergeCell ref="A890:B890"/>
    <mergeCell ref="A881:B881"/>
    <mergeCell ref="A882:B882"/>
    <mergeCell ref="A883:B883"/>
    <mergeCell ref="A884:B884"/>
    <mergeCell ref="A885:B885"/>
    <mergeCell ref="A876:B876"/>
    <mergeCell ref="A877:B877"/>
    <mergeCell ref="A878:B878"/>
    <mergeCell ref="A879:B879"/>
    <mergeCell ref="A880:B880"/>
    <mergeCell ref="A871:B871"/>
    <mergeCell ref="A872:B872"/>
    <mergeCell ref="A873:B873"/>
    <mergeCell ref="A874:B874"/>
    <mergeCell ref="A875:B875"/>
    <mergeCell ref="A866:B866"/>
    <mergeCell ref="A867:B867"/>
    <mergeCell ref="A868:B868"/>
    <mergeCell ref="A869:B869"/>
    <mergeCell ref="A870:B870"/>
    <mergeCell ref="A861:B861"/>
    <mergeCell ref="A862:B862"/>
    <mergeCell ref="A863:B863"/>
    <mergeCell ref="A864:B864"/>
    <mergeCell ref="A865:B865"/>
    <mergeCell ref="A856:B856"/>
    <mergeCell ref="A857:B857"/>
    <mergeCell ref="A858:B858"/>
    <mergeCell ref="A859:B859"/>
    <mergeCell ref="A860:B860"/>
    <mergeCell ref="A851:B851"/>
    <mergeCell ref="A852:B852"/>
    <mergeCell ref="A853:B853"/>
    <mergeCell ref="A854:B854"/>
    <mergeCell ref="A855:B855"/>
    <mergeCell ref="A846:B846"/>
    <mergeCell ref="A847:B847"/>
    <mergeCell ref="A848:B848"/>
    <mergeCell ref="A849:B849"/>
    <mergeCell ref="A850:B850"/>
    <mergeCell ref="A841:B841"/>
    <mergeCell ref="A842:B842"/>
    <mergeCell ref="A843:B843"/>
    <mergeCell ref="A844:B844"/>
    <mergeCell ref="A845:B845"/>
    <mergeCell ref="A836:B836"/>
    <mergeCell ref="A837:B837"/>
    <mergeCell ref="A838:B838"/>
    <mergeCell ref="A839:B839"/>
    <mergeCell ref="A840:B840"/>
    <mergeCell ref="A831:B831"/>
    <mergeCell ref="A832:B832"/>
    <mergeCell ref="A833:B833"/>
    <mergeCell ref="A834:B834"/>
    <mergeCell ref="A835:B835"/>
    <mergeCell ref="A826:B826"/>
    <mergeCell ref="A827:B827"/>
    <mergeCell ref="A828:B828"/>
    <mergeCell ref="A829:B829"/>
    <mergeCell ref="A830:B830"/>
    <mergeCell ref="A821:B821"/>
    <mergeCell ref="A822:B822"/>
    <mergeCell ref="A823:B823"/>
    <mergeCell ref="A824:B824"/>
    <mergeCell ref="A825:B825"/>
    <mergeCell ref="A816:B816"/>
    <mergeCell ref="A817:B817"/>
    <mergeCell ref="A818:B818"/>
    <mergeCell ref="A819:B819"/>
    <mergeCell ref="A820:B820"/>
    <mergeCell ref="A811:B811"/>
    <mergeCell ref="A812:B812"/>
    <mergeCell ref="A813:B813"/>
    <mergeCell ref="A814:B814"/>
    <mergeCell ref="A815:B815"/>
    <mergeCell ref="A806:B806"/>
    <mergeCell ref="A807:B807"/>
    <mergeCell ref="A808:B808"/>
    <mergeCell ref="A809:B809"/>
    <mergeCell ref="A810:B810"/>
    <mergeCell ref="A801:B801"/>
    <mergeCell ref="A802:B802"/>
    <mergeCell ref="A803:B803"/>
    <mergeCell ref="A804:B804"/>
    <mergeCell ref="A805:B805"/>
    <mergeCell ref="A796:B796"/>
    <mergeCell ref="A797:B797"/>
    <mergeCell ref="A798:B798"/>
    <mergeCell ref="A799:B799"/>
    <mergeCell ref="A800:B800"/>
    <mergeCell ref="A791:B791"/>
    <mergeCell ref="A792:B792"/>
    <mergeCell ref="A793:B793"/>
    <mergeCell ref="A794:B794"/>
    <mergeCell ref="A795:B795"/>
    <mergeCell ref="A786:B786"/>
    <mergeCell ref="A787:B787"/>
    <mergeCell ref="A788:B788"/>
    <mergeCell ref="A789:B789"/>
    <mergeCell ref="A790:B790"/>
    <mergeCell ref="A781:B781"/>
    <mergeCell ref="A782:B782"/>
    <mergeCell ref="A783:B783"/>
    <mergeCell ref="A784:B784"/>
    <mergeCell ref="A785:B785"/>
    <mergeCell ref="A776:B776"/>
    <mergeCell ref="A777:B777"/>
    <mergeCell ref="A778:B778"/>
    <mergeCell ref="A779:B779"/>
    <mergeCell ref="A780:B780"/>
    <mergeCell ref="A771:B771"/>
    <mergeCell ref="A772:B772"/>
    <mergeCell ref="A773:B773"/>
    <mergeCell ref="A774:B774"/>
    <mergeCell ref="A775:B775"/>
    <mergeCell ref="A766:B766"/>
    <mergeCell ref="A767:B767"/>
    <mergeCell ref="A768:B768"/>
    <mergeCell ref="A769:B769"/>
    <mergeCell ref="A770:B770"/>
    <mergeCell ref="A761:B761"/>
    <mergeCell ref="A762:B762"/>
    <mergeCell ref="A763:B763"/>
    <mergeCell ref="A764:B764"/>
    <mergeCell ref="A765:B765"/>
    <mergeCell ref="A756:B756"/>
    <mergeCell ref="A757:B757"/>
    <mergeCell ref="A758:B758"/>
    <mergeCell ref="A759:B759"/>
    <mergeCell ref="A760:B760"/>
    <mergeCell ref="A751:B751"/>
    <mergeCell ref="A752:B752"/>
    <mergeCell ref="A753:B753"/>
    <mergeCell ref="A754:B754"/>
    <mergeCell ref="A755:B755"/>
    <mergeCell ref="A746:B746"/>
    <mergeCell ref="A747:B747"/>
    <mergeCell ref="A748:B748"/>
    <mergeCell ref="A749:B749"/>
    <mergeCell ref="A750:B750"/>
    <mergeCell ref="A741:B741"/>
    <mergeCell ref="A742:B742"/>
    <mergeCell ref="A743:B743"/>
    <mergeCell ref="A744:B744"/>
    <mergeCell ref="A745:B745"/>
    <mergeCell ref="A736:B736"/>
    <mergeCell ref="A737:B737"/>
    <mergeCell ref="A738:B738"/>
    <mergeCell ref="A739:B739"/>
    <mergeCell ref="A740:B740"/>
    <mergeCell ref="A731:B731"/>
    <mergeCell ref="A732:B732"/>
    <mergeCell ref="A733:B733"/>
    <mergeCell ref="A734:B734"/>
    <mergeCell ref="A735:B735"/>
    <mergeCell ref="A726:B726"/>
    <mergeCell ref="A727:B727"/>
    <mergeCell ref="A728:B728"/>
    <mergeCell ref="A729:B729"/>
    <mergeCell ref="A730:B730"/>
    <mergeCell ref="A721:B721"/>
    <mergeCell ref="A722:B722"/>
    <mergeCell ref="A723:B723"/>
    <mergeCell ref="A724:B724"/>
    <mergeCell ref="A725:B725"/>
    <mergeCell ref="A716:B716"/>
    <mergeCell ref="A717:B717"/>
    <mergeCell ref="A718:B718"/>
    <mergeCell ref="A719:B719"/>
    <mergeCell ref="A720:B720"/>
    <mergeCell ref="A711:B711"/>
    <mergeCell ref="A712:B712"/>
    <mergeCell ref="A713:B713"/>
    <mergeCell ref="A714:B714"/>
    <mergeCell ref="A715:B715"/>
    <mergeCell ref="A706:B706"/>
    <mergeCell ref="A707:B707"/>
    <mergeCell ref="A708:B708"/>
    <mergeCell ref="A709:B709"/>
    <mergeCell ref="A710:B710"/>
    <mergeCell ref="A701:B701"/>
    <mergeCell ref="A702:B702"/>
    <mergeCell ref="A703:B703"/>
    <mergeCell ref="A704:B704"/>
    <mergeCell ref="A705:B705"/>
    <mergeCell ref="A696:B696"/>
    <mergeCell ref="A697:B697"/>
    <mergeCell ref="A698:B698"/>
    <mergeCell ref="A699:B699"/>
    <mergeCell ref="A700:B700"/>
    <mergeCell ref="A691:B691"/>
    <mergeCell ref="A692:B692"/>
    <mergeCell ref="A693:B693"/>
    <mergeCell ref="A694:B694"/>
    <mergeCell ref="A695:B695"/>
    <mergeCell ref="A686:B686"/>
    <mergeCell ref="A687:B687"/>
    <mergeCell ref="A688:B688"/>
    <mergeCell ref="A689:B689"/>
    <mergeCell ref="A690:B690"/>
    <mergeCell ref="A681:B681"/>
    <mergeCell ref="A682:B682"/>
    <mergeCell ref="A683:B683"/>
    <mergeCell ref="A684:B684"/>
    <mergeCell ref="A685:B685"/>
    <mergeCell ref="A676:B676"/>
    <mergeCell ref="A677:B677"/>
    <mergeCell ref="A678:B678"/>
    <mergeCell ref="A679:B679"/>
    <mergeCell ref="A680:B680"/>
    <mergeCell ref="A671:B671"/>
    <mergeCell ref="A672:B672"/>
    <mergeCell ref="A673:B673"/>
    <mergeCell ref="A674:B674"/>
    <mergeCell ref="A675:B675"/>
    <mergeCell ref="A666:B666"/>
    <mergeCell ref="A667:B667"/>
    <mergeCell ref="A668:B668"/>
    <mergeCell ref="A669:B669"/>
    <mergeCell ref="A670:B670"/>
    <mergeCell ref="A661:B661"/>
    <mergeCell ref="A662:B662"/>
    <mergeCell ref="A663:B663"/>
    <mergeCell ref="A664:B664"/>
    <mergeCell ref="A665:B665"/>
    <mergeCell ref="A656:B656"/>
    <mergeCell ref="A657:B657"/>
    <mergeCell ref="A658:B658"/>
    <mergeCell ref="A659:B659"/>
    <mergeCell ref="A660:B660"/>
    <mergeCell ref="A651:B651"/>
    <mergeCell ref="A652:B652"/>
    <mergeCell ref="A653:B653"/>
    <mergeCell ref="A654:B654"/>
    <mergeCell ref="A655:B655"/>
    <mergeCell ref="A646:B646"/>
    <mergeCell ref="A647:B647"/>
    <mergeCell ref="A648:B648"/>
    <mergeCell ref="A649:B649"/>
    <mergeCell ref="A650:B650"/>
    <mergeCell ref="A641:B641"/>
    <mergeCell ref="A642:B642"/>
    <mergeCell ref="A643:B643"/>
    <mergeCell ref="A644:B644"/>
    <mergeCell ref="A645:B645"/>
    <mergeCell ref="A636:B636"/>
    <mergeCell ref="A637:B637"/>
    <mergeCell ref="A638:B638"/>
    <mergeCell ref="A639:B639"/>
    <mergeCell ref="A640:B640"/>
    <mergeCell ref="A631:B631"/>
    <mergeCell ref="A632:B632"/>
    <mergeCell ref="A633:B633"/>
    <mergeCell ref="A634:B634"/>
    <mergeCell ref="A635:B635"/>
    <mergeCell ref="A626:B626"/>
    <mergeCell ref="A627:B627"/>
    <mergeCell ref="A628:B628"/>
    <mergeCell ref="A629:B629"/>
    <mergeCell ref="A630:B630"/>
    <mergeCell ref="A621:B621"/>
    <mergeCell ref="A622:B622"/>
    <mergeCell ref="A623:B623"/>
    <mergeCell ref="A624:B624"/>
    <mergeCell ref="A625:B625"/>
    <mergeCell ref="A616:B616"/>
    <mergeCell ref="A617:B617"/>
    <mergeCell ref="A618:B618"/>
    <mergeCell ref="A619:B619"/>
    <mergeCell ref="A620:B620"/>
    <mergeCell ref="A611:B611"/>
    <mergeCell ref="A612:B612"/>
    <mergeCell ref="A613:B613"/>
    <mergeCell ref="A614:B614"/>
    <mergeCell ref="A615:B615"/>
    <mergeCell ref="A606:B606"/>
    <mergeCell ref="A607:B607"/>
    <mergeCell ref="A608:B608"/>
    <mergeCell ref="A609:B609"/>
    <mergeCell ref="A610:B610"/>
    <mergeCell ref="A601:B601"/>
    <mergeCell ref="A602:B602"/>
    <mergeCell ref="A603:B603"/>
    <mergeCell ref="A604:B604"/>
    <mergeCell ref="A605:B605"/>
    <mergeCell ref="A596:B596"/>
    <mergeCell ref="A597:B597"/>
    <mergeCell ref="A598:B598"/>
    <mergeCell ref="A599:B599"/>
    <mergeCell ref="A600:B600"/>
    <mergeCell ref="A591:B591"/>
    <mergeCell ref="A592:B592"/>
    <mergeCell ref="A593:B593"/>
    <mergeCell ref="A594:B594"/>
    <mergeCell ref="A595:B595"/>
    <mergeCell ref="A586:B586"/>
    <mergeCell ref="A587:B587"/>
    <mergeCell ref="A588:B588"/>
    <mergeCell ref="A589:B589"/>
    <mergeCell ref="A590:B590"/>
    <mergeCell ref="A581:B581"/>
    <mergeCell ref="A582:B582"/>
    <mergeCell ref="A583:B583"/>
    <mergeCell ref="A584:B584"/>
    <mergeCell ref="A585:B585"/>
    <mergeCell ref="A576:B576"/>
    <mergeCell ref="A577:B577"/>
    <mergeCell ref="A578:B578"/>
    <mergeCell ref="A579:B579"/>
    <mergeCell ref="A580:B580"/>
    <mergeCell ref="A571:B571"/>
    <mergeCell ref="A572:B572"/>
    <mergeCell ref="A573:B573"/>
    <mergeCell ref="A574:B574"/>
    <mergeCell ref="A575:B575"/>
    <mergeCell ref="A566:B566"/>
    <mergeCell ref="A567:B567"/>
    <mergeCell ref="A568:B568"/>
    <mergeCell ref="A569:B569"/>
    <mergeCell ref="A570:B570"/>
    <mergeCell ref="A561:B561"/>
    <mergeCell ref="A562:B562"/>
    <mergeCell ref="A563:B563"/>
    <mergeCell ref="A564:B564"/>
    <mergeCell ref="A565:B565"/>
    <mergeCell ref="A556:B556"/>
    <mergeCell ref="A557:B557"/>
    <mergeCell ref="A558:B558"/>
    <mergeCell ref="A559:B559"/>
    <mergeCell ref="A560:B560"/>
    <mergeCell ref="A551:B551"/>
    <mergeCell ref="A552:B552"/>
    <mergeCell ref="A553:B553"/>
    <mergeCell ref="A554:B554"/>
    <mergeCell ref="A555:B555"/>
    <mergeCell ref="A546:B546"/>
    <mergeCell ref="A547:B547"/>
    <mergeCell ref="A548:B548"/>
    <mergeCell ref="A549:B549"/>
    <mergeCell ref="A550:B550"/>
    <mergeCell ref="A541:B541"/>
    <mergeCell ref="A542:B542"/>
    <mergeCell ref="A543:B543"/>
    <mergeCell ref="A544:B544"/>
    <mergeCell ref="A545:B545"/>
    <mergeCell ref="A536:B536"/>
    <mergeCell ref="A537:B537"/>
    <mergeCell ref="A538:B538"/>
    <mergeCell ref="A539:B539"/>
    <mergeCell ref="A540:B540"/>
    <mergeCell ref="A531:B531"/>
    <mergeCell ref="A532:B532"/>
    <mergeCell ref="A533:B533"/>
    <mergeCell ref="A534:B534"/>
    <mergeCell ref="A535:B535"/>
    <mergeCell ref="A526:B526"/>
    <mergeCell ref="A527:B527"/>
    <mergeCell ref="A528:B528"/>
    <mergeCell ref="A529:B529"/>
    <mergeCell ref="A530:B530"/>
    <mergeCell ref="A521:B521"/>
    <mergeCell ref="A522:B522"/>
    <mergeCell ref="A523:B523"/>
    <mergeCell ref="A524:B524"/>
    <mergeCell ref="A525:B525"/>
    <mergeCell ref="A516:B516"/>
    <mergeCell ref="A517:B517"/>
    <mergeCell ref="A518:B518"/>
    <mergeCell ref="A519:B519"/>
    <mergeCell ref="A520:B520"/>
    <mergeCell ref="A511:B511"/>
    <mergeCell ref="A512:B512"/>
    <mergeCell ref="A513:B513"/>
    <mergeCell ref="A514:B514"/>
    <mergeCell ref="A515:B515"/>
    <mergeCell ref="A506:B506"/>
    <mergeCell ref="A507:B507"/>
    <mergeCell ref="A508:B508"/>
    <mergeCell ref="A509:B509"/>
    <mergeCell ref="A510:B510"/>
    <mergeCell ref="A501:B501"/>
    <mergeCell ref="A502:B502"/>
    <mergeCell ref="A503:B503"/>
    <mergeCell ref="A504:B504"/>
    <mergeCell ref="A505:B505"/>
    <mergeCell ref="A496:B496"/>
    <mergeCell ref="A497:B497"/>
    <mergeCell ref="A498:B498"/>
    <mergeCell ref="A499:B499"/>
    <mergeCell ref="A500:B500"/>
    <mergeCell ref="A491:B491"/>
    <mergeCell ref="A492:B492"/>
    <mergeCell ref="A493:B493"/>
    <mergeCell ref="A494:B494"/>
    <mergeCell ref="A495:B495"/>
    <mergeCell ref="A486:B486"/>
    <mergeCell ref="A487:B487"/>
    <mergeCell ref="A488:B488"/>
    <mergeCell ref="A489:B489"/>
    <mergeCell ref="A490:B490"/>
    <mergeCell ref="A481:B481"/>
    <mergeCell ref="A482:B482"/>
    <mergeCell ref="A483:B483"/>
    <mergeCell ref="A484:B484"/>
    <mergeCell ref="A485:B485"/>
    <mergeCell ref="A476:B476"/>
    <mergeCell ref="A477:B477"/>
    <mergeCell ref="A478:B478"/>
    <mergeCell ref="A479:B479"/>
    <mergeCell ref="A480:B480"/>
    <mergeCell ref="A471:B471"/>
    <mergeCell ref="A472:B472"/>
    <mergeCell ref="A473:B473"/>
    <mergeCell ref="A474:B474"/>
    <mergeCell ref="A475:B475"/>
    <mergeCell ref="A466:B466"/>
    <mergeCell ref="A467:B467"/>
    <mergeCell ref="A468:B468"/>
    <mergeCell ref="A469:B469"/>
    <mergeCell ref="A470:B470"/>
    <mergeCell ref="A461:B461"/>
    <mergeCell ref="A462:B462"/>
    <mergeCell ref="A463:B463"/>
    <mergeCell ref="A464:B464"/>
    <mergeCell ref="A465:B465"/>
    <mergeCell ref="A456:B456"/>
    <mergeCell ref="A457:B457"/>
    <mergeCell ref="A458:B458"/>
    <mergeCell ref="A459:B459"/>
    <mergeCell ref="A460:B460"/>
    <mergeCell ref="A451:B451"/>
    <mergeCell ref="A452:B452"/>
    <mergeCell ref="A453:B453"/>
    <mergeCell ref="A454:B454"/>
    <mergeCell ref="A455:B455"/>
    <mergeCell ref="A446:B446"/>
    <mergeCell ref="A447:B447"/>
    <mergeCell ref="A448:B448"/>
    <mergeCell ref="A449:B449"/>
    <mergeCell ref="A450:B450"/>
    <mergeCell ref="A441:B441"/>
    <mergeCell ref="A442:B442"/>
    <mergeCell ref="A443:B443"/>
    <mergeCell ref="A444:B444"/>
    <mergeCell ref="A445:B445"/>
    <mergeCell ref="A436:B436"/>
    <mergeCell ref="A437:B437"/>
    <mergeCell ref="A438:B438"/>
    <mergeCell ref="A439:B439"/>
    <mergeCell ref="A440:B440"/>
    <mergeCell ref="A431:B431"/>
    <mergeCell ref="A432:B432"/>
    <mergeCell ref="A433:B433"/>
    <mergeCell ref="A434:B434"/>
    <mergeCell ref="A435:B435"/>
    <mergeCell ref="A426:B426"/>
    <mergeCell ref="A427:B427"/>
    <mergeCell ref="A428:B428"/>
    <mergeCell ref="A429:B429"/>
    <mergeCell ref="A430:B430"/>
    <mergeCell ref="A421:B421"/>
    <mergeCell ref="A422:B422"/>
    <mergeCell ref="A423:B423"/>
    <mergeCell ref="A424:B424"/>
    <mergeCell ref="A425:B425"/>
    <mergeCell ref="A416:B416"/>
    <mergeCell ref="A417:B417"/>
    <mergeCell ref="A418:B418"/>
    <mergeCell ref="A419:B419"/>
    <mergeCell ref="A420:B420"/>
    <mergeCell ref="A411:B411"/>
    <mergeCell ref="A412:B412"/>
    <mergeCell ref="A413:B413"/>
    <mergeCell ref="A414:B414"/>
    <mergeCell ref="A415:B415"/>
    <mergeCell ref="A406:B406"/>
    <mergeCell ref="A407:B407"/>
    <mergeCell ref="A408:B408"/>
    <mergeCell ref="A409:B409"/>
    <mergeCell ref="A410:B410"/>
    <mergeCell ref="A401:B401"/>
    <mergeCell ref="A402:B402"/>
    <mergeCell ref="A403:B403"/>
    <mergeCell ref="A404:B404"/>
    <mergeCell ref="A405:B405"/>
    <mergeCell ref="A396:B396"/>
    <mergeCell ref="A397:B397"/>
    <mergeCell ref="A398:B398"/>
    <mergeCell ref="A399:B399"/>
    <mergeCell ref="A400:B400"/>
    <mergeCell ref="A391:B391"/>
    <mergeCell ref="A392:B392"/>
    <mergeCell ref="A393:B393"/>
    <mergeCell ref="A394:B394"/>
    <mergeCell ref="A395:B395"/>
    <mergeCell ref="A386:B386"/>
    <mergeCell ref="A387:B387"/>
    <mergeCell ref="A388:B388"/>
    <mergeCell ref="A389:B389"/>
    <mergeCell ref="A390:B390"/>
    <mergeCell ref="A381:B381"/>
    <mergeCell ref="A382:B382"/>
    <mergeCell ref="A383:B383"/>
    <mergeCell ref="A384:B384"/>
    <mergeCell ref="A385:B385"/>
    <mergeCell ref="A376:B376"/>
    <mergeCell ref="A377:B377"/>
    <mergeCell ref="A378:B378"/>
    <mergeCell ref="A379:B379"/>
    <mergeCell ref="A380:B380"/>
    <mergeCell ref="A371:B371"/>
    <mergeCell ref="A372:B372"/>
    <mergeCell ref="A373:B373"/>
    <mergeCell ref="A374:B374"/>
    <mergeCell ref="A375:B375"/>
    <mergeCell ref="A366:B366"/>
    <mergeCell ref="A367:B367"/>
    <mergeCell ref="A368:B368"/>
    <mergeCell ref="A369:B369"/>
    <mergeCell ref="A370:B370"/>
    <mergeCell ref="A361:B361"/>
    <mergeCell ref="A362:B362"/>
    <mergeCell ref="A363:B363"/>
    <mergeCell ref="A364:B364"/>
    <mergeCell ref="A365:B365"/>
    <mergeCell ref="A356:B356"/>
    <mergeCell ref="A357:B357"/>
    <mergeCell ref="A358:B358"/>
    <mergeCell ref="A359:B359"/>
    <mergeCell ref="A360:B360"/>
    <mergeCell ref="A351:B351"/>
    <mergeCell ref="A352:B352"/>
    <mergeCell ref="A353:B353"/>
    <mergeCell ref="A354:B354"/>
    <mergeCell ref="A355:B355"/>
    <mergeCell ref="A346:B346"/>
    <mergeCell ref="A347:B347"/>
    <mergeCell ref="A348:B348"/>
    <mergeCell ref="A349:B349"/>
    <mergeCell ref="A350:B350"/>
    <mergeCell ref="A341:B341"/>
    <mergeCell ref="A342:B342"/>
    <mergeCell ref="A343:B343"/>
    <mergeCell ref="A344:B344"/>
    <mergeCell ref="A345:B345"/>
    <mergeCell ref="A336:B336"/>
    <mergeCell ref="A337:B337"/>
    <mergeCell ref="A338:B338"/>
    <mergeCell ref="A339:B339"/>
    <mergeCell ref="A340:B340"/>
    <mergeCell ref="A331:B331"/>
    <mergeCell ref="A332:B332"/>
    <mergeCell ref="A333:B333"/>
    <mergeCell ref="A334:B334"/>
    <mergeCell ref="A335:B335"/>
    <mergeCell ref="A326:B326"/>
    <mergeCell ref="A327:B327"/>
    <mergeCell ref="A328:B328"/>
    <mergeCell ref="A329:B329"/>
    <mergeCell ref="A330:B330"/>
    <mergeCell ref="A321:B321"/>
    <mergeCell ref="A322:B322"/>
    <mergeCell ref="A323:B323"/>
    <mergeCell ref="A324:B324"/>
    <mergeCell ref="A325:B325"/>
    <mergeCell ref="A316:B316"/>
    <mergeCell ref="A317:B317"/>
    <mergeCell ref="A318:B318"/>
    <mergeCell ref="A319:B319"/>
    <mergeCell ref="A320:B320"/>
    <mergeCell ref="A311:B311"/>
    <mergeCell ref="A312:B312"/>
    <mergeCell ref="A313:B313"/>
    <mergeCell ref="A314:B314"/>
    <mergeCell ref="A315:B315"/>
    <mergeCell ref="A306:B306"/>
    <mergeCell ref="A307:B307"/>
    <mergeCell ref="A308:B308"/>
    <mergeCell ref="A309:B309"/>
    <mergeCell ref="A310:B310"/>
    <mergeCell ref="A301:B301"/>
    <mergeCell ref="A302:B302"/>
    <mergeCell ref="A303:B303"/>
    <mergeCell ref="A304:B304"/>
    <mergeCell ref="A305:B305"/>
    <mergeCell ref="A296:B296"/>
    <mergeCell ref="A297:B297"/>
    <mergeCell ref="A298:B298"/>
    <mergeCell ref="A299:B299"/>
    <mergeCell ref="A300:B300"/>
    <mergeCell ref="A291:B291"/>
    <mergeCell ref="A292:B292"/>
    <mergeCell ref="A293:B293"/>
    <mergeCell ref="A294:B294"/>
    <mergeCell ref="A295:B295"/>
    <mergeCell ref="A286:B286"/>
    <mergeCell ref="A287:B287"/>
    <mergeCell ref="A288:B288"/>
    <mergeCell ref="A289:B289"/>
    <mergeCell ref="A290:B290"/>
    <mergeCell ref="A281:B281"/>
    <mergeCell ref="A282:B282"/>
    <mergeCell ref="A283:B283"/>
    <mergeCell ref="A284:B284"/>
    <mergeCell ref="A285:B285"/>
    <mergeCell ref="A276:B276"/>
    <mergeCell ref="A277:B277"/>
    <mergeCell ref="A278:B278"/>
    <mergeCell ref="A279:B279"/>
    <mergeCell ref="A280:B280"/>
    <mergeCell ref="A271:B271"/>
    <mergeCell ref="A272:B272"/>
    <mergeCell ref="A273:B273"/>
    <mergeCell ref="A274:B274"/>
    <mergeCell ref="A275:B275"/>
    <mergeCell ref="A266:B266"/>
    <mergeCell ref="A267:B267"/>
    <mergeCell ref="A268:B268"/>
    <mergeCell ref="A269:B269"/>
    <mergeCell ref="A270:B270"/>
    <mergeCell ref="A261:B261"/>
    <mergeCell ref="A262:B262"/>
    <mergeCell ref="A263:B263"/>
    <mergeCell ref="A264:B264"/>
    <mergeCell ref="A265:B265"/>
    <mergeCell ref="A256:B256"/>
    <mergeCell ref="A257:B257"/>
    <mergeCell ref="A258:B258"/>
    <mergeCell ref="A259:B259"/>
    <mergeCell ref="A260:B260"/>
    <mergeCell ref="A251:B251"/>
    <mergeCell ref="A252:B252"/>
    <mergeCell ref="A253:B253"/>
    <mergeCell ref="A254:B254"/>
    <mergeCell ref="A255:B255"/>
    <mergeCell ref="A246:B246"/>
    <mergeCell ref="A247:B247"/>
    <mergeCell ref="A248:B248"/>
    <mergeCell ref="A249:B249"/>
    <mergeCell ref="A250:B250"/>
    <mergeCell ref="A241:B241"/>
    <mergeCell ref="A242:B242"/>
    <mergeCell ref="A243:B243"/>
    <mergeCell ref="A244:B244"/>
    <mergeCell ref="A245:B245"/>
    <mergeCell ref="A236:B236"/>
    <mergeCell ref="A237:B237"/>
    <mergeCell ref="A238:B238"/>
    <mergeCell ref="A239:B239"/>
    <mergeCell ref="A240:B240"/>
    <mergeCell ref="A231:B231"/>
    <mergeCell ref="A232:B232"/>
    <mergeCell ref="A233:B233"/>
    <mergeCell ref="A234:B234"/>
    <mergeCell ref="A235:B235"/>
    <mergeCell ref="A226:B226"/>
    <mergeCell ref="A227:B227"/>
    <mergeCell ref="A228:B228"/>
    <mergeCell ref="A229:B229"/>
    <mergeCell ref="A230:B230"/>
    <mergeCell ref="A221:B221"/>
    <mergeCell ref="A222:B222"/>
    <mergeCell ref="A223:B223"/>
    <mergeCell ref="A224:B224"/>
    <mergeCell ref="A225:B225"/>
    <mergeCell ref="A216:B216"/>
    <mergeCell ref="A217:B217"/>
    <mergeCell ref="A218:B218"/>
    <mergeCell ref="A219:B219"/>
    <mergeCell ref="A220:B220"/>
    <mergeCell ref="A211:B211"/>
    <mergeCell ref="A212:B212"/>
    <mergeCell ref="A213:B213"/>
    <mergeCell ref="A214:B214"/>
    <mergeCell ref="A215:B215"/>
    <mergeCell ref="A206:B206"/>
    <mergeCell ref="A207:B207"/>
    <mergeCell ref="A208:B208"/>
    <mergeCell ref="A209:B209"/>
    <mergeCell ref="A210:B210"/>
    <mergeCell ref="A201:B201"/>
    <mergeCell ref="A202:B202"/>
    <mergeCell ref="A203:B203"/>
    <mergeCell ref="A204:B204"/>
    <mergeCell ref="A205:B205"/>
    <mergeCell ref="A196:B196"/>
    <mergeCell ref="A197:B197"/>
    <mergeCell ref="A198:B198"/>
    <mergeCell ref="A199:B199"/>
    <mergeCell ref="A200:B200"/>
    <mergeCell ref="A191:B191"/>
    <mergeCell ref="A192:B192"/>
    <mergeCell ref="A193:B193"/>
    <mergeCell ref="A194:B194"/>
    <mergeCell ref="A195:B195"/>
    <mergeCell ref="A186:B186"/>
    <mergeCell ref="A187:B187"/>
    <mergeCell ref="A188:B188"/>
    <mergeCell ref="A189:B189"/>
    <mergeCell ref="A190:B190"/>
    <mergeCell ref="A181:B181"/>
    <mergeCell ref="A182:B182"/>
    <mergeCell ref="A183:B183"/>
    <mergeCell ref="A184:B184"/>
    <mergeCell ref="A185:B185"/>
    <mergeCell ref="A176:B176"/>
    <mergeCell ref="A177:B177"/>
    <mergeCell ref="A178:B178"/>
    <mergeCell ref="A179:B179"/>
    <mergeCell ref="A180:B180"/>
    <mergeCell ref="A171:B171"/>
    <mergeCell ref="A172:B172"/>
    <mergeCell ref="A173:B173"/>
    <mergeCell ref="A174:B174"/>
    <mergeCell ref="A175:B175"/>
    <mergeCell ref="A166:B166"/>
    <mergeCell ref="A167:B167"/>
    <mergeCell ref="A168:B168"/>
    <mergeCell ref="A169:B169"/>
    <mergeCell ref="A170:B170"/>
    <mergeCell ref="A161:B161"/>
    <mergeCell ref="A162:B162"/>
    <mergeCell ref="A163:B163"/>
    <mergeCell ref="A164:B164"/>
    <mergeCell ref="A165:B165"/>
    <mergeCell ref="A156:B156"/>
    <mergeCell ref="A157:B157"/>
    <mergeCell ref="A158:B158"/>
    <mergeCell ref="A159:B159"/>
    <mergeCell ref="A160:B160"/>
    <mergeCell ref="A151:B151"/>
    <mergeCell ref="A152:B152"/>
    <mergeCell ref="A153:B153"/>
    <mergeCell ref="A154:B154"/>
    <mergeCell ref="A155:B155"/>
    <mergeCell ref="A146:B146"/>
    <mergeCell ref="A147:B147"/>
    <mergeCell ref="A148:B148"/>
    <mergeCell ref="A149:B149"/>
    <mergeCell ref="A150:B150"/>
    <mergeCell ref="A141:B141"/>
    <mergeCell ref="A142:B142"/>
    <mergeCell ref="A143:B143"/>
    <mergeCell ref="A144:B144"/>
    <mergeCell ref="A145:B145"/>
    <mergeCell ref="A136:B136"/>
    <mergeCell ref="A137:B137"/>
    <mergeCell ref="A138:B138"/>
    <mergeCell ref="A139:B139"/>
    <mergeCell ref="A140:B140"/>
    <mergeCell ref="A132:B132"/>
    <mergeCell ref="A133:B133"/>
    <mergeCell ref="A134:B134"/>
    <mergeCell ref="A135:B135"/>
    <mergeCell ref="A126:B126"/>
    <mergeCell ref="A127:B127"/>
    <mergeCell ref="A128:B128"/>
    <mergeCell ref="A129:B129"/>
    <mergeCell ref="A130:B130"/>
    <mergeCell ref="A121:B121"/>
    <mergeCell ref="A122:B122"/>
    <mergeCell ref="A123:B123"/>
    <mergeCell ref="A124:B124"/>
    <mergeCell ref="A125:B125"/>
    <mergeCell ref="A116:B116"/>
    <mergeCell ref="A117:B117"/>
    <mergeCell ref="A118:B118"/>
    <mergeCell ref="A119:B119"/>
    <mergeCell ref="A120:B120"/>
    <mergeCell ref="A1142:D1142"/>
    <mergeCell ref="A1:T1"/>
    <mergeCell ref="A4:T4"/>
    <mergeCell ref="A2:T2"/>
    <mergeCell ref="J3:T3"/>
    <mergeCell ref="B6:F6"/>
    <mergeCell ref="A3:I3"/>
    <mergeCell ref="N6:T6"/>
    <mergeCell ref="A12:P12"/>
    <mergeCell ref="A14:D14"/>
    <mergeCell ref="E14:M14"/>
    <mergeCell ref="C13:M13"/>
    <mergeCell ref="A13:B13"/>
    <mergeCell ref="R17:T17"/>
    <mergeCell ref="N13:T16"/>
    <mergeCell ref="I17:K17"/>
    <mergeCell ref="H15:M15"/>
    <mergeCell ref="D17:H17"/>
    <mergeCell ref="O17:Q17"/>
    <mergeCell ref="L17:N17"/>
    <mergeCell ref="C15:F15"/>
    <mergeCell ref="A17:C17"/>
    <mergeCell ref="A15:B15"/>
    <mergeCell ref="A7:D7"/>
    <mergeCell ref="E7:M7"/>
    <mergeCell ref="A11:P11"/>
    <mergeCell ref="A10:N10"/>
    <mergeCell ref="G8:P8"/>
    <mergeCell ref="A9:P9"/>
    <mergeCell ref="A8:F8"/>
    <mergeCell ref="N7:T7"/>
    <mergeCell ref="A131:B131"/>
  </mergeCells>
  <phoneticPr fontId="3" type="noConversion"/>
  <printOptions horizontalCentered="1"/>
  <pageMargins left="0.19685039370078741" right="0.19685039370078741" top="0.39370078740157483" bottom="0.39370078740157483" header="0" footer="0"/>
  <pageSetup paperSize="9" orientation="portrait" horizontalDpi="180" verticalDpi="180" r:id="rId1"/>
  <headerFooter alignWithMargins="0">
    <oddFooter>&amp;C&amp;"Times New Roman,標準"PAGE: &amp;P</oddFooter>
  </headerFooter>
  <rowBreaks count="1" manualBreakCount="1">
    <brk id="1191" max="17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16EBE-BFF8-4BE6-AEFB-4C6D1F3BC6F7}">
  <sheetPr>
    <pageSetUpPr autoPageBreaks="0"/>
  </sheetPr>
  <dimension ref="A1:P622"/>
  <sheetViews>
    <sheetView topLeftCell="G601" workbookViewId="0">
      <selection activeCell="N627" sqref="N627"/>
    </sheetView>
  </sheetViews>
  <sheetFormatPr defaultRowHeight="16.5" customHeight="1"/>
  <cols>
    <col min="1" max="1" width="13.125" style="49" customWidth="1"/>
    <col min="2" max="3" width="14.25" style="49" customWidth="1"/>
    <col min="4" max="4" width="28.25" style="49" bestFit="1" customWidth="1"/>
    <col min="5" max="6" width="11.75" style="49" customWidth="1"/>
    <col min="7" max="7" width="14.875" style="49" bestFit="1" customWidth="1"/>
    <col min="8" max="8" width="13.625" style="49" customWidth="1"/>
    <col min="9" max="9" width="13.125" style="49" bestFit="1" customWidth="1"/>
    <col min="10" max="11" width="10.875" style="49" customWidth="1"/>
    <col min="12" max="12" width="10.875" style="49" hidden="1" customWidth="1"/>
    <col min="13" max="14" width="10.875" style="49" customWidth="1"/>
    <col min="15" max="15" width="16.5" style="49" bestFit="1" customWidth="1"/>
    <col min="16" max="16" width="7.875" style="49" hidden="1" customWidth="1"/>
    <col min="17" max="17" width="7.875" style="49" customWidth="1"/>
    <col min="18" max="256" width="9" style="49"/>
    <col min="257" max="257" width="13.125" style="49" customWidth="1"/>
    <col min="258" max="259" width="14.25" style="49" customWidth="1"/>
    <col min="260" max="260" width="28.25" style="49" bestFit="1" customWidth="1"/>
    <col min="261" max="262" width="11.75" style="49" customWidth="1"/>
    <col min="263" max="263" width="14.875" style="49" bestFit="1" customWidth="1"/>
    <col min="264" max="264" width="13.625" style="49" customWidth="1"/>
    <col min="265" max="265" width="13.125" style="49" bestFit="1" customWidth="1"/>
    <col min="266" max="267" width="10.875" style="49" customWidth="1"/>
    <col min="268" max="268" width="0" style="49" hidden="1" customWidth="1"/>
    <col min="269" max="270" width="10.875" style="49" customWidth="1"/>
    <col min="271" max="271" width="16.5" style="49" bestFit="1" customWidth="1"/>
    <col min="272" max="272" width="0" style="49" hidden="1" customWidth="1"/>
    <col min="273" max="273" width="7.875" style="49" customWidth="1"/>
    <col min="274" max="512" width="9" style="49"/>
    <col min="513" max="513" width="13.125" style="49" customWidth="1"/>
    <col min="514" max="515" width="14.25" style="49" customWidth="1"/>
    <col min="516" max="516" width="28.25" style="49" bestFit="1" customWidth="1"/>
    <col min="517" max="518" width="11.75" style="49" customWidth="1"/>
    <col min="519" max="519" width="14.875" style="49" bestFit="1" customWidth="1"/>
    <col min="520" max="520" width="13.625" style="49" customWidth="1"/>
    <col min="521" max="521" width="13.125" style="49" bestFit="1" customWidth="1"/>
    <col min="522" max="523" width="10.875" style="49" customWidth="1"/>
    <col min="524" max="524" width="0" style="49" hidden="1" customWidth="1"/>
    <col min="525" max="526" width="10.875" style="49" customWidth="1"/>
    <col min="527" max="527" width="16.5" style="49" bestFit="1" customWidth="1"/>
    <col min="528" max="528" width="0" style="49" hidden="1" customWidth="1"/>
    <col min="529" max="529" width="7.875" style="49" customWidth="1"/>
    <col min="530" max="768" width="9" style="49"/>
    <col min="769" max="769" width="13.125" style="49" customWidth="1"/>
    <col min="770" max="771" width="14.25" style="49" customWidth="1"/>
    <col min="772" max="772" width="28.25" style="49" bestFit="1" customWidth="1"/>
    <col min="773" max="774" width="11.75" style="49" customWidth="1"/>
    <col min="775" max="775" width="14.875" style="49" bestFit="1" customWidth="1"/>
    <col min="776" max="776" width="13.625" style="49" customWidth="1"/>
    <col min="777" max="777" width="13.125" style="49" bestFit="1" customWidth="1"/>
    <col min="778" max="779" width="10.875" style="49" customWidth="1"/>
    <col min="780" max="780" width="0" style="49" hidden="1" customWidth="1"/>
    <col min="781" max="782" width="10.875" style="49" customWidth="1"/>
    <col min="783" max="783" width="16.5" style="49" bestFit="1" customWidth="1"/>
    <col min="784" max="784" width="0" style="49" hidden="1" customWidth="1"/>
    <col min="785" max="785" width="7.875" style="49" customWidth="1"/>
    <col min="786" max="1024" width="9" style="49"/>
    <col min="1025" max="1025" width="13.125" style="49" customWidth="1"/>
    <col min="1026" max="1027" width="14.25" style="49" customWidth="1"/>
    <col min="1028" max="1028" width="28.25" style="49" bestFit="1" customWidth="1"/>
    <col min="1029" max="1030" width="11.75" style="49" customWidth="1"/>
    <col min="1031" max="1031" width="14.875" style="49" bestFit="1" customWidth="1"/>
    <col min="1032" max="1032" width="13.625" style="49" customWidth="1"/>
    <col min="1033" max="1033" width="13.125" style="49" bestFit="1" customWidth="1"/>
    <col min="1034" max="1035" width="10.875" style="49" customWidth="1"/>
    <col min="1036" max="1036" width="0" style="49" hidden="1" customWidth="1"/>
    <col min="1037" max="1038" width="10.875" style="49" customWidth="1"/>
    <col min="1039" max="1039" width="16.5" style="49" bestFit="1" customWidth="1"/>
    <col min="1040" max="1040" width="0" style="49" hidden="1" customWidth="1"/>
    <col min="1041" max="1041" width="7.875" style="49" customWidth="1"/>
    <col min="1042" max="1280" width="9" style="49"/>
    <col min="1281" max="1281" width="13.125" style="49" customWidth="1"/>
    <col min="1282" max="1283" width="14.25" style="49" customWidth="1"/>
    <col min="1284" max="1284" width="28.25" style="49" bestFit="1" customWidth="1"/>
    <col min="1285" max="1286" width="11.75" style="49" customWidth="1"/>
    <col min="1287" max="1287" width="14.875" style="49" bestFit="1" customWidth="1"/>
    <col min="1288" max="1288" width="13.625" style="49" customWidth="1"/>
    <col min="1289" max="1289" width="13.125" style="49" bestFit="1" customWidth="1"/>
    <col min="1290" max="1291" width="10.875" style="49" customWidth="1"/>
    <col min="1292" max="1292" width="0" style="49" hidden="1" customWidth="1"/>
    <col min="1293" max="1294" width="10.875" style="49" customWidth="1"/>
    <col min="1295" max="1295" width="16.5" style="49" bestFit="1" customWidth="1"/>
    <col min="1296" max="1296" width="0" style="49" hidden="1" customWidth="1"/>
    <col min="1297" max="1297" width="7.875" style="49" customWidth="1"/>
    <col min="1298" max="1536" width="9" style="49"/>
    <col min="1537" max="1537" width="13.125" style="49" customWidth="1"/>
    <col min="1538" max="1539" width="14.25" style="49" customWidth="1"/>
    <col min="1540" max="1540" width="28.25" style="49" bestFit="1" customWidth="1"/>
    <col min="1541" max="1542" width="11.75" style="49" customWidth="1"/>
    <col min="1543" max="1543" width="14.875" style="49" bestFit="1" customWidth="1"/>
    <col min="1544" max="1544" width="13.625" style="49" customWidth="1"/>
    <col min="1545" max="1545" width="13.125" style="49" bestFit="1" customWidth="1"/>
    <col min="1546" max="1547" width="10.875" style="49" customWidth="1"/>
    <col min="1548" max="1548" width="0" style="49" hidden="1" customWidth="1"/>
    <col min="1549" max="1550" width="10.875" style="49" customWidth="1"/>
    <col min="1551" max="1551" width="16.5" style="49" bestFit="1" customWidth="1"/>
    <col min="1552" max="1552" width="0" style="49" hidden="1" customWidth="1"/>
    <col min="1553" max="1553" width="7.875" style="49" customWidth="1"/>
    <col min="1554" max="1792" width="9" style="49"/>
    <col min="1793" max="1793" width="13.125" style="49" customWidth="1"/>
    <col min="1794" max="1795" width="14.25" style="49" customWidth="1"/>
    <col min="1796" max="1796" width="28.25" style="49" bestFit="1" customWidth="1"/>
    <col min="1797" max="1798" width="11.75" style="49" customWidth="1"/>
    <col min="1799" max="1799" width="14.875" style="49" bestFit="1" customWidth="1"/>
    <col min="1800" max="1800" width="13.625" style="49" customWidth="1"/>
    <col min="1801" max="1801" width="13.125" style="49" bestFit="1" customWidth="1"/>
    <col min="1802" max="1803" width="10.875" style="49" customWidth="1"/>
    <col min="1804" max="1804" width="0" style="49" hidden="1" customWidth="1"/>
    <col min="1805" max="1806" width="10.875" style="49" customWidth="1"/>
    <col min="1807" max="1807" width="16.5" style="49" bestFit="1" customWidth="1"/>
    <col min="1808" max="1808" width="0" style="49" hidden="1" customWidth="1"/>
    <col min="1809" max="1809" width="7.875" style="49" customWidth="1"/>
    <col min="1810" max="2048" width="9" style="49"/>
    <col min="2049" max="2049" width="13.125" style="49" customWidth="1"/>
    <col min="2050" max="2051" width="14.25" style="49" customWidth="1"/>
    <col min="2052" max="2052" width="28.25" style="49" bestFit="1" customWidth="1"/>
    <col min="2053" max="2054" width="11.75" style="49" customWidth="1"/>
    <col min="2055" max="2055" width="14.875" style="49" bestFit="1" customWidth="1"/>
    <col min="2056" max="2056" width="13.625" style="49" customWidth="1"/>
    <col min="2057" max="2057" width="13.125" style="49" bestFit="1" customWidth="1"/>
    <col min="2058" max="2059" width="10.875" style="49" customWidth="1"/>
    <col min="2060" max="2060" width="0" style="49" hidden="1" customWidth="1"/>
    <col min="2061" max="2062" width="10.875" style="49" customWidth="1"/>
    <col min="2063" max="2063" width="16.5" style="49" bestFit="1" customWidth="1"/>
    <col min="2064" max="2064" width="0" style="49" hidden="1" customWidth="1"/>
    <col min="2065" max="2065" width="7.875" style="49" customWidth="1"/>
    <col min="2066" max="2304" width="9" style="49"/>
    <col min="2305" max="2305" width="13.125" style="49" customWidth="1"/>
    <col min="2306" max="2307" width="14.25" style="49" customWidth="1"/>
    <col min="2308" max="2308" width="28.25" style="49" bestFit="1" customWidth="1"/>
    <col min="2309" max="2310" width="11.75" style="49" customWidth="1"/>
    <col min="2311" max="2311" width="14.875" style="49" bestFit="1" customWidth="1"/>
    <col min="2312" max="2312" width="13.625" style="49" customWidth="1"/>
    <col min="2313" max="2313" width="13.125" style="49" bestFit="1" customWidth="1"/>
    <col min="2314" max="2315" width="10.875" style="49" customWidth="1"/>
    <col min="2316" max="2316" width="0" style="49" hidden="1" customWidth="1"/>
    <col min="2317" max="2318" width="10.875" style="49" customWidth="1"/>
    <col min="2319" max="2319" width="16.5" style="49" bestFit="1" customWidth="1"/>
    <col min="2320" max="2320" width="0" style="49" hidden="1" customWidth="1"/>
    <col min="2321" max="2321" width="7.875" style="49" customWidth="1"/>
    <col min="2322" max="2560" width="9" style="49"/>
    <col min="2561" max="2561" width="13.125" style="49" customWidth="1"/>
    <col min="2562" max="2563" width="14.25" style="49" customWidth="1"/>
    <col min="2564" max="2564" width="28.25" style="49" bestFit="1" customWidth="1"/>
    <col min="2565" max="2566" width="11.75" style="49" customWidth="1"/>
    <col min="2567" max="2567" width="14.875" style="49" bestFit="1" customWidth="1"/>
    <col min="2568" max="2568" width="13.625" style="49" customWidth="1"/>
    <col min="2569" max="2569" width="13.125" style="49" bestFit="1" customWidth="1"/>
    <col min="2570" max="2571" width="10.875" style="49" customWidth="1"/>
    <col min="2572" max="2572" width="0" style="49" hidden="1" customWidth="1"/>
    <col min="2573" max="2574" width="10.875" style="49" customWidth="1"/>
    <col min="2575" max="2575" width="16.5" style="49" bestFit="1" customWidth="1"/>
    <col min="2576" max="2576" width="0" style="49" hidden="1" customWidth="1"/>
    <col min="2577" max="2577" width="7.875" style="49" customWidth="1"/>
    <col min="2578" max="2816" width="9" style="49"/>
    <col min="2817" max="2817" width="13.125" style="49" customWidth="1"/>
    <col min="2818" max="2819" width="14.25" style="49" customWidth="1"/>
    <col min="2820" max="2820" width="28.25" style="49" bestFit="1" customWidth="1"/>
    <col min="2821" max="2822" width="11.75" style="49" customWidth="1"/>
    <col min="2823" max="2823" width="14.875" style="49" bestFit="1" customWidth="1"/>
    <col min="2824" max="2824" width="13.625" style="49" customWidth="1"/>
    <col min="2825" max="2825" width="13.125" style="49" bestFit="1" customWidth="1"/>
    <col min="2826" max="2827" width="10.875" style="49" customWidth="1"/>
    <col min="2828" max="2828" width="0" style="49" hidden="1" customWidth="1"/>
    <col min="2829" max="2830" width="10.875" style="49" customWidth="1"/>
    <col min="2831" max="2831" width="16.5" style="49" bestFit="1" customWidth="1"/>
    <col min="2832" max="2832" width="0" style="49" hidden="1" customWidth="1"/>
    <col min="2833" max="2833" width="7.875" style="49" customWidth="1"/>
    <col min="2834" max="3072" width="9" style="49"/>
    <col min="3073" max="3073" width="13.125" style="49" customWidth="1"/>
    <col min="3074" max="3075" width="14.25" style="49" customWidth="1"/>
    <col min="3076" max="3076" width="28.25" style="49" bestFit="1" customWidth="1"/>
    <col min="3077" max="3078" width="11.75" style="49" customWidth="1"/>
    <col min="3079" max="3079" width="14.875" style="49" bestFit="1" customWidth="1"/>
    <col min="3080" max="3080" width="13.625" style="49" customWidth="1"/>
    <col min="3081" max="3081" width="13.125" style="49" bestFit="1" customWidth="1"/>
    <col min="3082" max="3083" width="10.875" style="49" customWidth="1"/>
    <col min="3084" max="3084" width="0" style="49" hidden="1" customWidth="1"/>
    <col min="3085" max="3086" width="10.875" style="49" customWidth="1"/>
    <col min="3087" max="3087" width="16.5" style="49" bestFit="1" customWidth="1"/>
    <col min="3088" max="3088" width="0" style="49" hidden="1" customWidth="1"/>
    <col min="3089" max="3089" width="7.875" style="49" customWidth="1"/>
    <col min="3090" max="3328" width="9" style="49"/>
    <col min="3329" max="3329" width="13.125" style="49" customWidth="1"/>
    <col min="3330" max="3331" width="14.25" style="49" customWidth="1"/>
    <col min="3332" max="3332" width="28.25" style="49" bestFit="1" customWidth="1"/>
    <col min="3333" max="3334" width="11.75" style="49" customWidth="1"/>
    <col min="3335" max="3335" width="14.875" style="49" bestFit="1" customWidth="1"/>
    <col min="3336" max="3336" width="13.625" style="49" customWidth="1"/>
    <col min="3337" max="3337" width="13.125" style="49" bestFit="1" customWidth="1"/>
    <col min="3338" max="3339" width="10.875" style="49" customWidth="1"/>
    <col min="3340" max="3340" width="0" style="49" hidden="1" customWidth="1"/>
    <col min="3341" max="3342" width="10.875" style="49" customWidth="1"/>
    <col min="3343" max="3343" width="16.5" style="49" bestFit="1" customWidth="1"/>
    <col min="3344" max="3344" width="0" style="49" hidden="1" customWidth="1"/>
    <col min="3345" max="3345" width="7.875" style="49" customWidth="1"/>
    <col min="3346" max="3584" width="9" style="49"/>
    <col min="3585" max="3585" width="13.125" style="49" customWidth="1"/>
    <col min="3586" max="3587" width="14.25" style="49" customWidth="1"/>
    <col min="3588" max="3588" width="28.25" style="49" bestFit="1" customWidth="1"/>
    <col min="3589" max="3590" width="11.75" style="49" customWidth="1"/>
    <col min="3591" max="3591" width="14.875" style="49" bestFit="1" customWidth="1"/>
    <col min="3592" max="3592" width="13.625" style="49" customWidth="1"/>
    <col min="3593" max="3593" width="13.125" style="49" bestFit="1" customWidth="1"/>
    <col min="3594" max="3595" width="10.875" style="49" customWidth="1"/>
    <col min="3596" max="3596" width="0" style="49" hidden="1" customWidth="1"/>
    <col min="3597" max="3598" width="10.875" style="49" customWidth="1"/>
    <col min="3599" max="3599" width="16.5" style="49" bestFit="1" customWidth="1"/>
    <col min="3600" max="3600" width="0" style="49" hidden="1" customWidth="1"/>
    <col min="3601" max="3601" width="7.875" style="49" customWidth="1"/>
    <col min="3602" max="3840" width="9" style="49"/>
    <col min="3841" max="3841" width="13.125" style="49" customWidth="1"/>
    <col min="3842" max="3843" width="14.25" style="49" customWidth="1"/>
    <col min="3844" max="3844" width="28.25" style="49" bestFit="1" customWidth="1"/>
    <col min="3845" max="3846" width="11.75" style="49" customWidth="1"/>
    <col min="3847" max="3847" width="14.875" style="49" bestFit="1" customWidth="1"/>
    <col min="3848" max="3848" width="13.625" style="49" customWidth="1"/>
    <col min="3849" max="3849" width="13.125" style="49" bestFit="1" customWidth="1"/>
    <col min="3850" max="3851" width="10.875" style="49" customWidth="1"/>
    <col min="3852" max="3852" width="0" style="49" hidden="1" customWidth="1"/>
    <col min="3853" max="3854" width="10.875" style="49" customWidth="1"/>
    <col min="3855" max="3855" width="16.5" style="49" bestFit="1" customWidth="1"/>
    <col min="3856" max="3856" width="0" style="49" hidden="1" customWidth="1"/>
    <col min="3857" max="3857" width="7.875" style="49" customWidth="1"/>
    <col min="3858" max="4096" width="9" style="49"/>
    <col min="4097" max="4097" width="13.125" style="49" customWidth="1"/>
    <col min="4098" max="4099" width="14.25" style="49" customWidth="1"/>
    <col min="4100" max="4100" width="28.25" style="49" bestFit="1" customWidth="1"/>
    <col min="4101" max="4102" width="11.75" style="49" customWidth="1"/>
    <col min="4103" max="4103" width="14.875" style="49" bestFit="1" customWidth="1"/>
    <col min="4104" max="4104" width="13.625" style="49" customWidth="1"/>
    <col min="4105" max="4105" width="13.125" style="49" bestFit="1" customWidth="1"/>
    <col min="4106" max="4107" width="10.875" style="49" customWidth="1"/>
    <col min="4108" max="4108" width="0" style="49" hidden="1" customWidth="1"/>
    <col min="4109" max="4110" width="10.875" style="49" customWidth="1"/>
    <col min="4111" max="4111" width="16.5" style="49" bestFit="1" customWidth="1"/>
    <col min="4112" max="4112" width="0" style="49" hidden="1" customWidth="1"/>
    <col min="4113" max="4113" width="7.875" style="49" customWidth="1"/>
    <col min="4114" max="4352" width="9" style="49"/>
    <col min="4353" max="4353" width="13.125" style="49" customWidth="1"/>
    <col min="4354" max="4355" width="14.25" style="49" customWidth="1"/>
    <col min="4356" max="4356" width="28.25" style="49" bestFit="1" customWidth="1"/>
    <col min="4357" max="4358" width="11.75" style="49" customWidth="1"/>
    <col min="4359" max="4359" width="14.875" style="49" bestFit="1" customWidth="1"/>
    <col min="4360" max="4360" width="13.625" style="49" customWidth="1"/>
    <col min="4361" max="4361" width="13.125" style="49" bestFit="1" customWidth="1"/>
    <col min="4362" max="4363" width="10.875" style="49" customWidth="1"/>
    <col min="4364" max="4364" width="0" style="49" hidden="1" customWidth="1"/>
    <col min="4365" max="4366" width="10.875" style="49" customWidth="1"/>
    <col min="4367" max="4367" width="16.5" style="49" bestFit="1" customWidth="1"/>
    <col min="4368" max="4368" width="0" style="49" hidden="1" customWidth="1"/>
    <col min="4369" max="4369" width="7.875" style="49" customWidth="1"/>
    <col min="4370" max="4608" width="9" style="49"/>
    <col min="4609" max="4609" width="13.125" style="49" customWidth="1"/>
    <col min="4610" max="4611" width="14.25" style="49" customWidth="1"/>
    <col min="4612" max="4612" width="28.25" style="49" bestFit="1" customWidth="1"/>
    <col min="4613" max="4614" width="11.75" style="49" customWidth="1"/>
    <col min="4615" max="4615" width="14.875" style="49" bestFit="1" customWidth="1"/>
    <col min="4616" max="4616" width="13.625" style="49" customWidth="1"/>
    <col min="4617" max="4617" width="13.125" style="49" bestFit="1" customWidth="1"/>
    <col min="4618" max="4619" width="10.875" style="49" customWidth="1"/>
    <col min="4620" max="4620" width="0" style="49" hidden="1" customWidth="1"/>
    <col min="4621" max="4622" width="10.875" style="49" customWidth="1"/>
    <col min="4623" max="4623" width="16.5" style="49" bestFit="1" customWidth="1"/>
    <col min="4624" max="4624" width="0" style="49" hidden="1" customWidth="1"/>
    <col min="4625" max="4625" width="7.875" style="49" customWidth="1"/>
    <col min="4626" max="4864" width="9" style="49"/>
    <col min="4865" max="4865" width="13.125" style="49" customWidth="1"/>
    <col min="4866" max="4867" width="14.25" style="49" customWidth="1"/>
    <col min="4868" max="4868" width="28.25" style="49" bestFit="1" customWidth="1"/>
    <col min="4869" max="4870" width="11.75" style="49" customWidth="1"/>
    <col min="4871" max="4871" width="14.875" style="49" bestFit="1" customWidth="1"/>
    <col min="4872" max="4872" width="13.625" style="49" customWidth="1"/>
    <col min="4873" max="4873" width="13.125" style="49" bestFit="1" customWidth="1"/>
    <col min="4874" max="4875" width="10.875" style="49" customWidth="1"/>
    <col min="4876" max="4876" width="0" style="49" hidden="1" customWidth="1"/>
    <col min="4877" max="4878" width="10.875" style="49" customWidth="1"/>
    <col min="4879" max="4879" width="16.5" style="49" bestFit="1" customWidth="1"/>
    <col min="4880" max="4880" width="0" style="49" hidden="1" customWidth="1"/>
    <col min="4881" max="4881" width="7.875" style="49" customWidth="1"/>
    <col min="4882" max="5120" width="9" style="49"/>
    <col min="5121" max="5121" width="13.125" style="49" customWidth="1"/>
    <col min="5122" max="5123" width="14.25" style="49" customWidth="1"/>
    <col min="5124" max="5124" width="28.25" style="49" bestFit="1" customWidth="1"/>
    <col min="5125" max="5126" width="11.75" style="49" customWidth="1"/>
    <col min="5127" max="5127" width="14.875" style="49" bestFit="1" customWidth="1"/>
    <col min="5128" max="5128" width="13.625" style="49" customWidth="1"/>
    <col min="5129" max="5129" width="13.125" style="49" bestFit="1" customWidth="1"/>
    <col min="5130" max="5131" width="10.875" style="49" customWidth="1"/>
    <col min="5132" max="5132" width="0" style="49" hidden="1" customWidth="1"/>
    <col min="5133" max="5134" width="10.875" style="49" customWidth="1"/>
    <col min="5135" max="5135" width="16.5" style="49" bestFit="1" customWidth="1"/>
    <col min="5136" max="5136" width="0" style="49" hidden="1" customWidth="1"/>
    <col min="5137" max="5137" width="7.875" style="49" customWidth="1"/>
    <col min="5138" max="5376" width="9" style="49"/>
    <col min="5377" max="5377" width="13.125" style="49" customWidth="1"/>
    <col min="5378" max="5379" width="14.25" style="49" customWidth="1"/>
    <col min="5380" max="5380" width="28.25" style="49" bestFit="1" customWidth="1"/>
    <col min="5381" max="5382" width="11.75" style="49" customWidth="1"/>
    <col min="5383" max="5383" width="14.875" style="49" bestFit="1" customWidth="1"/>
    <col min="5384" max="5384" width="13.625" style="49" customWidth="1"/>
    <col min="5385" max="5385" width="13.125" style="49" bestFit="1" customWidth="1"/>
    <col min="5386" max="5387" width="10.875" style="49" customWidth="1"/>
    <col min="5388" max="5388" width="0" style="49" hidden="1" customWidth="1"/>
    <col min="5389" max="5390" width="10.875" style="49" customWidth="1"/>
    <col min="5391" max="5391" width="16.5" style="49" bestFit="1" customWidth="1"/>
    <col min="5392" max="5392" width="0" style="49" hidden="1" customWidth="1"/>
    <col min="5393" max="5393" width="7.875" style="49" customWidth="1"/>
    <col min="5394" max="5632" width="9" style="49"/>
    <col min="5633" max="5633" width="13.125" style="49" customWidth="1"/>
    <col min="5634" max="5635" width="14.25" style="49" customWidth="1"/>
    <col min="5636" max="5636" width="28.25" style="49" bestFit="1" customWidth="1"/>
    <col min="5637" max="5638" width="11.75" style="49" customWidth="1"/>
    <col min="5639" max="5639" width="14.875" style="49" bestFit="1" customWidth="1"/>
    <col min="5640" max="5640" width="13.625" style="49" customWidth="1"/>
    <col min="5641" max="5641" width="13.125" style="49" bestFit="1" customWidth="1"/>
    <col min="5642" max="5643" width="10.875" style="49" customWidth="1"/>
    <col min="5644" max="5644" width="0" style="49" hidden="1" customWidth="1"/>
    <col min="5645" max="5646" width="10.875" style="49" customWidth="1"/>
    <col min="5647" max="5647" width="16.5" style="49" bestFit="1" customWidth="1"/>
    <col min="5648" max="5648" width="0" style="49" hidden="1" customWidth="1"/>
    <col min="5649" max="5649" width="7.875" style="49" customWidth="1"/>
    <col min="5650" max="5888" width="9" style="49"/>
    <col min="5889" max="5889" width="13.125" style="49" customWidth="1"/>
    <col min="5890" max="5891" width="14.25" style="49" customWidth="1"/>
    <col min="5892" max="5892" width="28.25" style="49" bestFit="1" customWidth="1"/>
    <col min="5893" max="5894" width="11.75" style="49" customWidth="1"/>
    <col min="5895" max="5895" width="14.875" style="49" bestFit="1" customWidth="1"/>
    <col min="5896" max="5896" width="13.625" style="49" customWidth="1"/>
    <col min="5897" max="5897" width="13.125" style="49" bestFit="1" customWidth="1"/>
    <col min="5898" max="5899" width="10.875" style="49" customWidth="1"/>
    <col min="5900" max="5900" width="0" style="49" hidden="1" customWidth="1"/>
    <col min="5901" max="5902" width="10.875" style="49" customWidth="1"/>
    <col min="5903" max="5903" width="16.5" style="49" bestFit="1" customWidth="1"/>
    <col min="5904" max="5904" width="0" style="49" hidden="1" customWidth="1"/>
    <col min="5905" max="5905" width="7.875" style="49" customWidth="1"/>
    <col min="5906" max="6144" width="9" style="49"/>
    <col min="6145" max="6145" width="13.125" style="49" customWidth="1"/>
    <col min="6146" max="6147" width="14.25" style="49" customWidth="1"/>
    <col min="6148" max="6148" width="28.25" style="49" bestFit="1" customWidth="1"/>
    <col min="6149" max="6150" width="11.75" style="49" customWidth="1"/>
    <col min="6151" max="6151" width="14.875" style="49" bestFit="1" customWidth="1"/>
    <col min="6152" max="6152" width="13.625" style="49" customWidth="1"/>
    <col min="6153" max="6153" width="13.125" style="49" bestFit="1" customWidth="1"/>
    <col min="6154" max="6155" width="10.875" style="49" customWidth="1"/>
    <col min="6156" max="6156" width="0" style="49" hidden="1" customWidth="1"/>
    <col min="6157" max="6158" width="10.875" style="49" customWidth="1"/>
    <col min="6159" max="6159" width="16.5" style="49" bestFit="1" customWidth="1"/>
    <col min="6160" max="6160" width="0" style="49" hidden="1" customWidth="1"/>
    <col min="6161" max="6161" width="7.875" style="49" customWidth="1"/>
    <col min="6162" max="6400" width="9" style="49"/>
    <col min="6401" max="6401" width="13.125" style="49" customWidth="1"/>
    <col min="6402" max="6403" width="14.25" style="49" customWidth="1"/>
    <col min="6404" max="6404" width="28.25" style="49" bestFit="1" customWidth="1"/>
    <col min="6405" max="6406" width="11.75" style="49" customWidth="1"/>
    <col min="6407" max="6407" width="14.875" style="49" bestFit="1" customWidth="1"/>
    <col min="6408" max="6408" width="13.625" style="49" customWidth="1"/>
    <col min="6409" max="6409" width="13.125" style="49" bestFit="1" customWidth="1"/>
    <col min="6410" max="6411" width="10.875" style="49" customWidth="1"/>
    <col min="6412" max="6412" width="0" style="49" hidden="1" customWidth="1"/>
    <col min="6413" max="6414" width="10.875" style="49" customWidth="1"/>
    <col min="6415" max="6415" width="16.5" style="49" bestFit="1" customWidth="1"/>
    <col min="6416" max="6416" width="0" style="49" hidden="1" customWidth="1"/>
    <col min="6417" max="6417" width="7.875" style="49" customWidth="1"/>
    <col min="6418" max="6656" width="9" style="49"/>
    <col min="6657" max="6657" width="13.125" style="49" customWidth="1"/>
    <col min="6658" max="6659" width="14.25" style="49" customWidth="1"/>
    <col min="6660" max="6660" width="28.25" style="49" bestFit="1" customWidth="1"/>
    <col min="6661" max="6662" width="11.75" style="49" customWidth="1"/>
    <col min="6663" max="6663" width="14.875" style="49" bestFit="1" customWidth="1"/>
    <col min="6664" max="6664" width="13.625" style="49" customWidth="1"/>
    <col min="6665" max="6665" width="13.125" style="49" bestFit="1" customWidth="1"/>
    <col min="6666" max="6667" width="10.875" style="49" customWidth="1"/>
    <col min="6668" max="6668" width="0" style="49" hidden="1" customWidth="1"/>
    <col min="6669" max="6670" width="10.875" style="49" customWidth="1"/>
    <col min="6671" max="6671" width="16.5" style="49" bestFit="1" customWidth="1"/>
    <col min="6672" max="6672" width="0" style="49" hidden="1" customWidth="1"/>
    <col min="6673" max="6673" width="7.875" style="49" customWidth="1"/>
    <col min="6674" max="6912" width="9" style="49"/>
    <col min="6913" max="6913" width="13.125" style="49" customWidth="1"/>
    <col min="6914" max="6915" width="14.25" style="49" customWidth="1"/>
    <col min="6916" max="6916" width="28.25" style="49" bestFit="1" customWidth="1"/>
    <col min="6917" max="6918" width="11.75" style="49" customWidth="1"/>
    <col min="6919" max="6919" width="14.875" style="49" bestFit="1" customWidth="1"/>
    <col min="6920" max="6920" width="13.625" style="49" customWidth="1"/>
    <col min="6921" max="6921" width="13.125" style="49" bestFit="1" customWidth="1"/>
    <col min="6922" max="6923" width="10.875" style="49" customWidth="1"/>
    <col min="6924" max="6924" width="0" style="49" hidden="1" customWidth="1"/>
    <col min="6925" max="6926" width="10.875" style="49" customWidth="1"/>
    <col min="6927" max="6927" width="16.5" style="49" bestFit="1" customWidth="1"/>
    <col min="6928" max="6928" width="0" style="49" hidden="1" customWidth="1"/>
    <col min="6929" max="6929" width="7.875" style="49" customWidth="1"/>
    <col min="6930" max="7168" width="9" style="49"/>
    <col min="7169" max="7169" width="13.125" style="49" customWidth="1"/>
    <col min="7170" max="7171" width="14.25" style="49" customWidth="1"/>
    <col min="7172" max="7172" width="28.25" style="49" bestFit="1" customWidth="1"/>
    <col min="7173" max="7174" width="11.75" style="49" customWidth="1"/>
    <col min="7175" max="7175" width="14.875" style="49" bestFit="1" customWidth="1"/>
    <col min="7176" max="7176" width="13.625" style="49" customWidth="1"/>
    <col min="7177" max="7177" width="13.125" style="49" bestFit="1" customWidth="1"/>
    <col min="7178" max="7179" width="10.875" style="49" customWidth="1"/>
    <col min="7180" max="7180" width="0" style="49" hidden="1" customWidth="1"/>
    <col min="7181" max="7182" width="10.875" style="49" customWidth="1"/>
    <col min="7183" max="7183" width="16.5" style="49" bestFit="1" customWidth="1"/>
    <col min="7184" max="7184" width="0" style="49" hidden="1" customWidth="1"/>
    <col min="7185" max="7185" width="7.875" style="49" customWidth="1"/>
    <col min="7186" max="7424" width="9" style="49"/>
    <col min="7425" max="7425" width="13.125" style="49" customWidth="1"/>
    <col min="7426" max="7427" width="14.25" style="49" customWidth="1"/>
    <col min="7428" max="7428" width="28.25" style="49" bestFit="1" customWidth="1"/>
    <col min="7429" max="7430" width="11.75" style="49" customWidth="1"/>
    <col min="7431" max="7431" width="14.875" style="49" bestFit="1" customWidth="1"/>
    <col min="7432" max="7432" width="13.625" style="49" customWidth="1"/>
    <col min="7433" max="7433" width="13.125" style="49" bestFit="1" customWidth="1"/>
    <col min="7434" max="7435" width="10.875" style="49" customWidth="1"/>
    <col min="7436" max="7436" width="0" style="49" hidden="1" customWidth="1"/>
    <col min="7437" max="7438" width="10.875" style="49" customWidth="1"/>
    <col min="7439" max="7439" width="16.5" style="49" bestFit="1" customWidth="1"/>
    <col min="7440" max="7440" width="0" style="49" hidden="1" customWidth="1"/>
    <col min="7441" max="7441" width="7.875" style="49" customWidth="1"/>
    <col min="7442" max="7680" width="9" style="49"/>
    <col min="7681" max="7681" width="13.125" style="49" customWidth="1"/>
    <col min="7682" max="7683" width="14.25" style="49" customWidth="1"/>
    <col min="7684" max="7684" width="28.25" style="49" bestFit="1" customWidth="1"/>
    <col min="7685" max="7686" width="11.75" style="49" customWidth="1"/>
    <col min="7687" max="7687" width="14.875" style="49" bestFit="1" customWidth="1"/>
    <col min="7688" max="7688" width="13.625" style="49" customWidth="1"/>
    <col min="7689" max="7689" width="13.125" style="49" bestFit="1" customWidth="1"/>
    <col min="7690" max="7691" width="10.875" style="49" customWidth="1"/>
    <col min="7692" max="7692" width="0" style="49" hidden="1" customWidth="1"/>
    <col min="7693" max="7694" width="10.875" style="49" customWidth="1"/>
    <col min="7695" max="7695" width="16.5" style="49" bestFit="1" customWidth="1"/>
    <col min="7696" max="7696" width="0" style="49" hidden="1" customWidth="1"/>
    <col min="7697" max="7697" width="7.875" style="49" customWidth="1"/>
    <col min="7698" max="7936" width="9" style="49"/>
    <col min="7937" max="7937" width="13.125" style="49" customWidth="1"/>
    <col min="7938" max="7939" width="14.25" style="49" customWidth="1"/>
    <col min="7940" max="7940" width="28.25" style="49" bestFit="1" customWidth="1"/>
    <col min="7941" max="7942" width="11.75" style="49" customWidth="1"/>
    <col min="7943" max="7943" width="14.875" style="49" bestFit="1" customWidth="1"/>
    <col min="7944" max="7944" width="13.625" style="49" customWidth="1"/>
    <col min="7945" max="7945" width="13.125" style="49" bestFit="1" customWidth="1"/>
    <col min="7946" max="7947" width="10.875" style="49" customWidth="1"/>
    <col min="7948" max="7948" width="0" style="49" hidden="1" customWidth="1"/>
    <col min="7949" max="7950" width="10.875" style="49" customWidth="1"/>
    <col min="7951" max="7951" width="16.5" style="49" bestFit="1" customWidth="1"/>
    <col min="7952" max="7952" width="0" style="49" hidden="1" customWidth="1"/>
    <col min="7953" max="7953" width="7.875" style="49" customWidth="1"/>
    <col min="7954" max="8192" width="9" style="49"/>
    <col min="8193" max="8193" width="13.125" style="49" customWidth="1"/>
    <col min="8194" max="8195" width="14.25" style="49" customWidth="1"/>
    <col min="8196" max="8196" width="28.25" style="49" bestFit="1" customWidth="1"/>
    <col min="8197" max="8198" width="11.75" style="49" customWidth="1"/>
    <col min="8199" max="8199" width="14.875" style="49" bestFit="1" customWidth="1"/>
    <col min="8200" max="8200" width="13.625" style="49" customWidth="1"/>
    <col min="8201" max="8201" width="13.125" style="49" bestFit="1" customWidth="1"/>
    <col min="8202" max="8203" width="10.875" style="49" customWidth="1"/>
    <col min="8204" max="8204" width="0" style="49" hidden="1" customWidth="1"/>
    <col min="8205" max="8206" width="10.875" style="49" customWidth="1"/>
    <col min="8207" max="8207" width="16.5" style="49" bestFit="1" customWidth="1"/>
    <col min="8208" max="8208" width="0" style="49" hidden="1" customWidth="1"/>
    <col min="8209" max="8209" width="7.875" style="49" customWidth="1"/>
    <col min="8210" max="8448" width="9" style="49"/>
    <col min="8449" max="8449" width="13.125" style="49" customWidth="1"/>
    <col min="8450" max="8451" width="14.25" style="49" customWidth="1"/>
    <col min="8452" max="8452" width="28.25" style="49" bestFit="1" customWidth="1"/>
    <col min="8453" max="8454" width="11.75" style="49" customWidth="1"/>
    <col min="8455" max="8455" width="14.875" style="49" bestFit="1" customWidth="1"/>
    <col min="8456" max="8456" width="13.625" style="49" customWidth="1"/>
    <col min="8457" max="8457" width="13.125" style="49" bestFit="1" customWidth="1"/>
    <col min="8458" max="8459" width="10.875" style="49" customWidth="1"/>
    <col min="8460" max="8460" width="0" style="49" hidden="1" customWidth="1"/>
    <col min="8461" max="8462" width="10.875" style="49" customWidth="1"/>
    <col min="8463" max="8463" width="16.5" style="49" bestFit="1" customWidth="1"/>
    <col min="8464" max="8464" width="0" style="49" hidden="1" customWidth="1"/>
    <col min="8465" max="8465" width="7.875" style="49" customWidth="1"/>
    <col min="8466" max="8704" width="9" style="49"/>
    <col min="8705" max="8705" width="13.125" style="49" customWidth="1"/>
    <col min="8706" max="8707" width="14.25" style="49" customWidth="1"/>
    <col min="8708" max="8708" width="28.25" style="49" bestFit="1" customWidth="1"/>
    <col min="8709" max="8710" width="11.75" style="49" customWidth="1"/>
    <col min="8711" max="8711" width="14.875" style="49" bestFit="1" customWidth="1"/>
    <col min="8712" max="8712" width="13.625" style="49" customWidth="1"/>
    <col min="8713" max="8713" width="13.125" style="49" bestFit="1" customWidth="1"/>
    <col min="8714" max="8715" width="10.875" style="49" customWidth="1"/>
    <col min="8716" max="8716" width="0" style="49" hidden="1" customWidth="1"/>
    <col min="8717" max="8718" width="10.875" style="49" customWidth="1"/>
    <col min="8719" max="8719" width="16.5" style="49" bestFit="1" customWidth="1"/>
    <col min="8720" max="8720" width="0" style="49" hidden="1" customWidth="1"/>
    <col min="8721" max="8721" width="7.875" style="49" customWidth="1"/>
    <col min="8722" max="8960" width="9" style="49"/>
    <col min="8961" max="8961" width="13.125" style="49" customWidth="1"/>
    <col min="8962" max="8963" width="14.25" style="49" customWidth="1"/>
    <col min="8964" max="8964" width="28.25" style="49" bestFit="1" customWidth="1"/>
    <col min="8965" max="8966" width="11.75" style="49" customWidth="1"/>
    <col min="8967" max="8967" width="14.875" style="49" bestFit="1" customWidth="1"/>
    <col min="8968" max="8968" width="13.625" style="49" customWidth="1"/>
    <col min="8969" max="8969" width="13.125" style="49" bestFit="1" customWidth="1"/>
    <col min="8970" max="8971" width="10.875" style="49" customWidth="1"/>
    <col min="8972" max="8972" width="0" style="49" hidden="1" customWidth="1"/>
    <col min="8973" max="8974" width="10.875" style="49" customWidth="1"/>
    <col min="8975" max="8975" width="16.5" style="49" bestFit="1" customWidth="1"/>
    <col min="8976" max="8976" width="0" style="49" hidden="1" customWidth="1"/>
    <col min="8977" max="8977" width="7.875" style="49" customWidth="1"/>
    <col min="8978" max="9216" width="9" style="49"/>
    <col min="9217" max="9217" width="13.125" style="49" customWidth="1"/>
    <col min="9218" max="9219" width="14.25" style="49" customWidth="1"/>
    <col min="9220" max="9220" width="28.25" style="49" bestFit="1" customWidth="1"/>
    <col min="9221" max="9222" width="11.75" style="49" customWidth="1"/>
    <col min="9223" max="9223" width="14.875" style="49" bestFit="1" customWidth="1"/>
    <col min="9224" max="9224" width="13.625" style="49" customWidth="1"/>
    <col min="9225" max="9225" width="13.125" style="49" bestFit="1" customWidth="1"/>
    <col min="9226" max="9227" width="10.875" style="49" customWidth="1"/>
    <col min="9228" max="9228" width="0" style="49" hidden="1" customWidth="1"/>
    <col min="9229" max="9230" width="10.875" style="49" customWidth="1"/>
    <col min="9231" max="9231" width="16.5" style="49" bestFit="1" customWidth="1"/>
    <col min="9232" max="9232" width="0" style="49" hidden="1" customWidth="1"/>
    <col min="9233" max="9233" width="7.875" style="49" customWidth="1"/>
    <col min="9234" max="9472" width="9" style="49"/>
    <col min="9473" max="9473" width="13.125" style="49" customWidth="1"/>
    <col min="9474" max="9475" width="14.25" style="49" customWidth="1"/>
    <col min="9476" max="9476" width="28.25" style="49" bestFit="1" customWidth="1"/>
    <col min="9477" max="9478" width="11.75" style="49" customWidth="1"/>
    <col min="9479" max="9479" width="14.875" style="49" bestFit="1" customWidth="1"/>
    <col min="9480" max="9480" width="13.625" style="49" customWidth="1"/>
    <col min="9481" max="9481" width="13.125" style="49" bestFit="1" customWidth="1"/>
    <col min="9482" max="9483" width="10.875" style="49" customWidth="1"/>
    <col min="9484" max="9484" width="0" style="49" hidden="1" customWidth="1"/>
    <col min="9485" max="9486" width="10.875" style="49" customWidth="1"/>
    <col min="9487" max="9487" width="16.5" style="49" bestFit="1" customWidth="1"/>
    <col min="9488" max="9488" width="0" style="49" hidden="1" customWidth="1"/>
    <col min="9489" max="9489" width="7.875" style="49" customWidth="1"/>
    <col min="9490" max="9728" width="9" style="49"/>
    <col min="9729" max="9729" width="13.125" style="49" customWidth="1"/>
    <col min="9730" max="9731" width="14.25" style="49" customWidth="1"/>
    <col min="9732" max="9732" width="28.25" style="49" bestFit="1" customWidth="1"/>
    <col min="9733" max="9734" width="11.75" style="49" customWidth="1"/>
    <col min="9735" max="9735" width="14.875" style="49" bestFit="1" customWidth="1"/>
    <col min="9736" max="9736" width="13.625" style="49" customWidth="1"/>
    <col min="9737" max="9737" width="13.125" style="49" bestFit="1" customWidth="1"/>
    <col min="9738" max="9739" width="10.875" style="49" customWidth="1"/>
    <col min="9740" max="9740" width="0" style="49" hidden="1" customWidth="1"/>
    <col min="9741" max="9742" width="10.875" style="49" customWidth="1"/>
    <col min="9743" max="9743" width="16.5" style="49" bestFit="1" customWidth="1"/>
    <col min="9744" max="9744" width="0" style="49" hidden="1" customWidth="1"/>
    <col min="9745" max="9745" width="7.875" style="49" customWidth="1"/>
    <col min="9746" max="9984" width="9" style="49"/>
    <col min="9985" max="9985" width="13.125" style="49" customWidth="1"/>
    <col min="9986" max="9987" width="14.25" style="49" customWidth="1"/>
    <col min="9988" max="9988" width="28.25" style="49" bestFit="1" customWidth="1"/>
    <col min="9989" max="9990" width="11.75" style="49" customWidth="1"/>
    <col min="9991" max="9991" width="14.875" style="49" bestFit="1" customWidth="1"/>
    <col min="9992" max="9992" width="13.625" style="49" customWidth="1"/>
    <col min="9993" max="9993" width="13.125" style="49" bestFit="1" customWidth="1"/>
    <col min="9994" max="9995" width="10.875" style="49" customWidth="1"/>
    <col min="9996" max="9996" width="0" style="49" hidden="1" customWidth="1"/>
    <col min="9997" max="9998" width="10.875" style="49" customWidth="1"/>
    <col min="9999" max="9999" width="16.5" style="49" bestFit="1" customWidth="1"/>
    <col min="10000" max="10000" width="0" style="49" hidden="1" customWidth="1"/>
    <col min="10001" max="10001" width="7.875" style="49" customWidth="1"/>
    <col min="10002" max="10240" width="9" style="49"/>
    <col min="10241" max="10241" width="13.125" style="49" customWidth="1"/>
    <col min="10242" max="10243" width="14.25" style="49" customWidth="1"/>
    <col min="10244" max="10244" width="28.25" style="49" bestFit="1" customWidth="1"/>
    <col min="10245" max="10246" width="11.75" style="49" customWidth="1"/>
    <col min="10247" max="10247" width="14.875" style="49" bestFit="1" customWidth="1"/>
    <col min="10248" max="10248" width="13.625" style="49" customWidth="1"/>
    <col min="10249" max="10249" width="13.125" style="49" bestFit="1" customWidth="1"/>
    <col min="10250" max="10251" width="10.875" style="49" customWidth="1"/>
    <col min="10252" max="10252" width="0" style="49" hidden="1" customWidth="1"/>
    <col min="10253" max="10254" width="10.875" style="49" customWidth="1"/>
    <col min="10255" max="10255" width="16.5" style="49" bestFit="1" customWidth="1"/>
    <col min="10256" max="10256" width="0" style="49" hidden="1" customWidth="1"/>
    <col min="10257" max="10257" width="7.875" style="49" customWidth="1"/>
    <col min="10258" max="10496" width="9" style="49"/>
    <col min="10497" max="10497" width="13.125" style="49" customWidth="1"/>
    <col min="10498" max="10499" width="14.25" style="49" customWidth="1"/>
    <col min="10500" max="10500" width="28.25" style="49" bestFit="1" customWidth="1"/>
    <col min="10501" max="10502" width="11.75" style="49" customWidth="1"/>
    <col min="10503" max="10503" width="14.875" style="49" bestFit="1" customWidth="1"/>
    <col min="10504" max="10504" width="13.625" style="49" customWidth="1"/>
    <col min="10505" max="10505" width="13.125" style="49" bestFit="1" customWidth="1"/>
    <col min="10506" max="10507" width="10.875" style="49" customWidth="1"/>
    <col min="10508" max="10508" width="0" style="49" hidden="1" customWidth="1"/>
    <col min="10509" max="10510" width="10.875" style="49" customWidth="1"/>
    <col min="10511" max="10511" width="16.5" style="49" bestFit="1" customWidth="1"/>
    <col min="10512" max="10512" width="0" style="49" hidden="1" customWidth="1"/>
    <col min="10513" max="10513" width="7.875" style="49" customWidth="1"/>
    <col min="10514" max="10752" width="9" style="49"/>
    <col min="10753" max="10753" width="13.125" style="49" customWidth="1"/>
    <col min="10754" max="10755" width="14.25" style="49" customWidth="1"/>
    <col min="10756" max="10756" width="28.25" style="49" bestFit="1" customWidth="1"/>
    <col min="10757" max="10758" width="11.75" style="49" customWidth="1"/>
    <col min="10759" max="10759" width="14.875" style="49" bestFit="1" customWidth="1"/>
    <col min="10760" max="10760" width="13.625" style="49" customWidth="1"/>
    <col min="10761" max="10761" width="13.125" style="49" bestFit="1" customWidth="1"/>
    <col min="10762" max="10763" width="10.875" style="49" customWidth="1"/>
    <col min="10764" max="10764" width="0" style="49" hidden="1" customWidth="1"/>
    <col min="10765" max="10766" width="10.875" style="49" customWidth="1"/>
    <col min="10767" max="10767" width="16.5" style="49" bestFit="1" customWidth="1"/>
    <col min="10768" max="10768" width="0" style="49" hidden="1" customWidth="1"/>
    <col min="10769" max="10769" width="7.875" style="49" customWidth="1"/>
    <col min="10770" max="11008" width="9" style="49"/>
    <col min="11009" max="11009" width="13.125" style="49" customWidth="1"/>
    <col min="11010" max="11011" width="14.25" style="49" customWidth="1"/>
    <col min="11012" max="11012" width="28.25" style="49" bestFit="1" customWidth="1"/>
    <col min="11013" max="11014" width="11.75" style="49" customWidth="1"/>
    <col min="11015" max="11015" width="14.875" style="49" bestFit="1" customWidth="1"/>
    <col min="11016" max="11016" width="13.625" style="49" customWidth="1"/>
    <col min="11017" max="11017" width="13.125" style="49" bestFit="1" customWidth="1"/>
    <col min="11018" max="11019" width="10.875" style="49" customWidth="1"/>
    <col min="11020" max="11020" width="0" style="49" hidden="1" customWidth="1"/>
    <col min="11021" max="11022" width="10.875" style="49" customWidth="1"/>
    <col min="11023" max="11023" width="16.5" style="49" bestFit="1" customWidth="1"/>
    <col min="11024" max="11024" width="0" style="49" hidden="1" customWidth="1"/>
    <col min="11025" max="11025" width="7.875" style="49" customWidth="1"/>
    <col min="11026" max="11264" width="9" style="49"/>
    <col min="11265" max="11265" width="13.125" style="49" customWidth="1"/>
    <col min="11266" max="11267" width="14.25" style="49" customWidth="1"/>
    <col min="11268" max="11268" width="28.25" style="49" bestFit="1" customWidth="1"/>
    <col min="11269" max="11270" width="11.75" style="49" customWidth="1"/>
    <col min="11271" max="11271" width="14.875" style="49" bestFit="1" customWidth="1"/>
    <col min="11272" max="11272" width="13.625" style="49" customWidth="1"/>
    <col min="11273" max="11273" width="13.125" style="49" bestFit="1" customWidth="1"/>
    <col min="11274" max="11275" width="10.875" style="49" customWidth="1"/>
    <col min="11276" max="11276" width="0" style="49" hidden="1" customWidth="1"/>
    <col min="11277" max="11278" width="10.875" style="49" customWidth="1"/>
    <col min="11279" max="11279" width="16.5" style="49" bestFit="1" customWidth="1"/>
    <col min="11280" max="11280" width="0" style="49" hidden="1" customWidth="1"/>
    <col min="11281" max="11281" width="7.875" style="49" customWidth="1"/>
    <col min="11282" max="11520" width="9" style="49"/>
    <col min="11521" max="11521" width="13.125" style="49" customWidth="1"/>
    <col min="11522" max="11523" width="14.25" style="49" customWidth="1"/>
    <col min="11524" max="11524" width="28.25" style="49" bestFit="1" customWidth="1"/>
    <col min="11525" max="11526" width="11.75" style="49" customWidth="1"/>
    <col min="11527" max="11527" width="14.875" style="49" bestFit="1" customWidth="1"/>
    <col min="11528" max="11528" width="13.625" style="49" customWidth="1"/>
    <col min="11529" max="11529" width="13.125" style="49" bestFit="1" customWidth="1"/>
    <col min="11530" max="11531" width="10.875" style="49" customWidth="1"/>
    <col min="11532" max="11532" width="0" style="49" hidden="1" customWidth="1"/>
    <col min="11533" max="11534" width="10.875" style="49" customWidth="1"/>
    <col min="11535" max="11535" width="16.5" style="49" bestFit="1" customWidth="1"/>
    <col min="11536" max="11536" width="0" style="49" hidden="1" customWidth="1"/>
    <col min="11537" max="11537" width="7.875" style="49" customWidth="1"/>
    <col min="11538" max="11776" width="9" style="49"/>
    <col min="11777" max="11777" width="13.125" style="49" customWidth="1"/>
    <col min="11778" max="11779" width="14.25" style="49" customWidth="1"/>
    <col min="11780" max="11780" width="28.25" style="49" bestFit="1" customWidth="1"/>
    <col min="11781" max="11782" width="11.75" style="49" customWidth="1"/>
    <col min="11783" max="11783" width="14.875" style="49" bestFit="1" customWidth="1"/>
    <col min="11784" max="11784" width="13.625" style="49" customWidth="1"/>
    <col min="11785" max="11785" width="13.125" style="49" bestFit="1" customWidth="1"/>
    <col min="11786" max="11787" width="10.875" style="49" customWidth="1"/>
    <col min="11788" max="11788" width="0" style="49" hidden="1" customWidth="1"/>
    <col min="11789" max="11790" width="10.875" style="49" customWidth="1"/>
    <col min="11791" max="11791" width="16.5" style="49" bestFit="1" customWidth="1"/>
    <col min="11792" max="11792" width="0" style="49" hidden="1" customWidth="1"/>
    <col min="11793" max="11793" width="7.875" style="49" customWidth="1"/>
    <col min="11794" max="12032" width="9" style="49"/>
    <col min="12033" max="12033" width="13.125" style="49" customWidth="1"/>
    <col min="12034" max="12035" width="14.25" style="49" customWidth="1"/>
    <col min="12036" max="12036" width="28.25" style="49" bestFit="1" customWidth="1"/>
    <col min="12037" max="12038" width="11.75" style="49" customWidth="1"/>
    <col min="12039" max="12039" width="14.875" style="49" bestFit="1" customWidth="1"/>
    <col min="12040" max="12040" width="13.625" style="49" customWidth="1"/>
    <col min="12041" max="12041" width="13.125" style="49" bestFit="1" customWidth="1"/>
    <col min="12042" max="12043" width="10.875" style="49" customWidth="1"/>
    <col min="12044" max="12044" width="0" style="49" hidden="1" customWidth="1"/>
    <col min="12045" max="12046" width="10.875" style="49" customWidth="1"/>
    <col min="12047" max="12047" width="16.5" style="49" bestFit="1" customWidth="1"/>
    <col min="12048" max="12048" width="0" style="49" hidden="1" customWidth="1"/>
    <col min="12049" max="12049" width="7.875" style="49" customWidth="1"/>
    <col min="12050" max="12288" width="9" style="49"/>
    <col min="12289" max="12289" width="13.125" style="49" customWidth="1"/>
    <col min="12290" max="12291" width="14.25" style="49" customWidth="1"/>
    <col min="12292" max="12292" width="28.25" style="49" bestFit="1" customWidth="1"/>
    <col min="12293" max="12294" width="11.75" style="49" customWidth="1"/>
    <col min="12295" max="12295" width="14.875" style="49" bestFit="1" customWidth="1"/>
    <col min="12296" max="12296" width="13.625" style="49" customWidth="1"/>
    <col min="12297" max="12297" width="13.125" style="49" bestFit="1" customWidth="1"/>
    <col min="12298" max="12299" width="10.875" style="49" customWidth="1"/>
    <col min="12300" max="12300" width="0" style="49" hidden="1" customWidth="1"/>
    <col min="12301" max="12302" width="10.875" style="49" customWidth="1"/>
    <col min="12303" max="12303" width="16.5" style="49" bestFit="1" customWidth="1"/>
    <col min="12304" max="12304" width="0" style="49" hidden="1" customWidth="1"/>
    <col min="12305" max="12305" width="7.875" style="49" customWidth="1"/>
    <col min="12306" max="12544" width="9" style="49"/>
    <col min="12545" max="12545" width="13.125" style="49" customWidth="1"/>
    <col min="12546" max="12547" width="14.25" style="49" customWidth="1"/>
    <col min="12548" max="12548" width="28.25" style="49" bestFit="1" customWidth="1"/>
    <col min="12549" max="12550" width="11.75" style="49" customWidth="1"/>
    <col min="12551" max="12551" width="14.875" style="49" bestFit="1" customWidth="1"/>
    <col min="12552" max="12552" width="13.625" style="49" customWidth="1"/>
    <col min="12553" max="12553" width="13.125" style="49" bestFit="1" customWidth="1"/>
    <col min="12554" max="12555" width="10.875" style="49" customWidth="1"/>
    <col min="12556" max="12556" width="0" style="49" hidden="1" customWidth="1"/>
    <col min="12557" max="12558" width="10.875" style="49" customWidth="1"/>
    <col min="12559" max="12559" width="16.5" style="49" bestFit="1" customWidth="1"/>
    <col min="12560" max="12560" width="0" style="49" hidden="1" customWidth="1"/>
    <col min="12561" max="12561" width="7.875" style="49" customWidth="1"/>
    <col min="12562" max="12800" width="9" style="49"/>
    <col min="12801" max="12801" width="13.125" style="49" customWidth="1"/>
    <col min="12802" max="12803" width="14.25" style="49" customWidth="1"/>
    <col min="12804" max="12804" width="28.25" style="49" bestFit="1" customWidth="1"/>
    <col min="12805" max="12806" width="11.75" style="49" customWidth="1"/>
    <col min="12807" max="12807" width="14.875" style="49" bestFit="1" customWidth="1"/>
    <col min="12808" max="12808" width="13.625" style="49" customWidth="1"/>
    <col min="12809" max="12809" width="13.125" style="49" bestFit="1" customWidth="1"/>
    <col min="12810" max="12811" width="10.875" style="49" customWidth="1"/>
    <col min="12812" max="12812" width="0" style="49" hidden="1" customWidth="1"/>
    <col min="12813" max="12814" width="10.875" style="49" customWidth="1"/>
    <col min="12815" max="12815" width="16.5" style="49" bestFit="1" customWidth="1"/>
    <col min="12816" max="12816" width="0" style="49" hidden="1" customWidth="1"/>
    <col min="12817" max="12817" width="7.875" style="49" customWidth="1"/>
    <col min="12818" max="13056" width="9" style="49"/>
    <col min="13057" max="13057" width="13.125" style="49" customWidth="1"/>
    <col min="13058" max="13059" width="14.25" style="49" customWidth="1"/>
    <col min="13060" max="13060" width="28.25" style="49" bestFit="1" customWidth="1"/>
    <col min="13061" max="13062" width="11.75" style="49" customWidth="1"/>
    <col min="13063" max="13063" width="14.875" style="49" bestFit="1" customWidth="1"/>
    <col min="13064" max="13064" width="13.625" style="49" customWidth="1"/>
    <col min="13065" max="13065" width="13.125" style="49" bestFit="1" customWidth="1"/>
    <col min="13066" max="13067" width="10.875" style="49" customWidth="1"/>
    <col min="13068" max="13068" width="0" style="49" hidden="1" customWidth="1"/>
    <col min="13069" max="13070" width="10.875" style="49" customWidth="1"/>
    <col min="13071" max="13071" width="16.5" style="49" bestFit="1" customWidth="1"/>
    <col min="13072" max="13072" width="0" style="49" hidden="1" customWidth="1"/>
    <col min="13073" max="13073" width="7.875" style="49" customWidth="1"/>
    <col min="13074" max="13312" width="9" style="49"/>
    <col min="13313" max="13313" width="13.125" style="49" customWidth="1"/>
    <col min="13314" max="13315" width="14.25" style="49" customWidth="1"/>
    <col min="13316" max="13316" width="28.25" style="49" bestFit="1" customWidth="1"/>
    <col min="13317" max="13318" width="11.75" style="49" customWidth="1"/>
    <col min="13319" max="13319" width="14.875" style="49" bestFit="1" customWidth="1"/>
    <col min="13320" max="13320" width="13.625" style="49" customWidth="1"/>
    <col min="13321" max="13321" width="13.125" style="49" bestFit="1" customWidth="1"/>
    <col min="13322" max="13323" width="10.875" style="49" customWidth="1"/>
    <col min="13324" max="13324" width="0" style="49" hidden="1" customWidth="1"/>
    <col min="13325" max="13326" width="10.875" style="49" customWidth="1"/>
    <col min="13327" max="13327" width="16.5" style="49" bestFit="1" customWidth="1"/>
    <col min="13328" max="13328" width="0" style="49" hidden="1" customWidth="1"/>
    <col min="13329" max="13329" width="7.875" style="49" customWidth="1"/>
    <col min="13330" max="13568" width="9" style="49"/>
    <col min="13569" max="13569" width="13.125" style="49" customWidth="1"/>
    <col min="13570" max="13571" width="14.25" style="49" customWidth="1"/>
    <col min="13572" max="13572" width="28.25" style="49" bestFit="1" customWidth="1"/>
    <col min="13573" max="13574" width="11.75" style="49" customWidth="1"/>
    <col min="13575" max="13575" width="14.875" style="49" bestFit="1" customWidth="1"/>
    <col min="13576" max="13576" width="13.625" style="49" customWidth="1"/>
    <col min="13577" max="13577" width="13.125" style="49" bestFit="1" customWidth="1"/>
    <col min="13578" max="13579" width="10.875" style="49" customWidth="1"/>
    <col min="13580" max="13580" width="0" style="49" hidden="1" customWidth="1"/>
    <col min="13581" max="13582" width="10.875" style="49" customWidth="1"/>
    <col min="13583" max="13583" width="16.5" style="49" bestFit="1" customWidth="1"/>
    <col min="13584" max="13584" width="0" style="49" hidden="1" customWidth="1"/>
    <col min="13585" max="13585" width="7.875" style="49" customWidth="1"/>
    <col min="13586" max="13824" width="9" style="49"/>
    <col min="13825" max="13825" width="13.125" style="49" customWidth="1"/>
    <col min="13826" max="13827" width="14.25" style="49" customWidth="1"/>
    <col min="13828" max="13828" width="28.25" style="49" bestFit="1" customWidth="1"/>
    <col min="13829" max="13830" width="11.75" style="49" customWidth="1"/>
    <col min="13831" max="13831" width="14.875" style="49" bestFit="1" customWidth="1"/>
    <col min="13832" max="13832" width="13.625" style="49" customWidth="1"/>
    <col min="13833" max="13833" width="13.125" style="49" bestFit="1" customWidth="1"/>
    <col min="13834" max="13835" width="10.875" style="49" customWidth="1"/>
    <col min="13836" max="13836" width="0" style="49" hidden="1" customWidth="1"/>
    <col min="13837" max="13838" width="10.875" style="49" customWidth="1"/>
    <col min="13839" max="13839" width="16.5" style="49" bestFit="1" customWidth="1"/>
    <col min="13840" max="13840" width="0" style="49" hidden="1" customWidth="1"/>
    <col min="13841" max="13841" width="7.875" style="49" customWidth="1"/>
    <col min="13842" max="14080" width="9" style="49"/>
    <col min="14081" max="14081" width="13.125" style="49" customWidth="1"/>
    <col min="14082" max="14083" width="14.25" style="49" customWidth="1"/>
    <col min="14084" max="14084" width="28.25" style="49" bestFit="1" customWidth="1"/>
    <col min="14085" max="14086" width="11.75" style="49" customWidth="1"/>
    <col min="14087" max="14087" width="14.875" style="49" bestFit="1" customWidth="1"/>
    <col min="14088" max="14088" width="13.625" style="49" customWidth="1"/>
    <col min="14089" max="14089" width="13.125" style="49" bestFit="1" customWidth="1"/>
    <col min="14090" max="14091" width="10.875" style="49" customWidth="1"/>
    <col min="14092" max="14092" width="0" style="49" hidden="1" customWidth="1"/>
    <col min="14093" max="14094" width="10.875" style="49" customWidth="1"/>
    <col min="14095" max="14095" width="16.5" style="49" bestFit="1" customWidth="1"/>
    <col min="14096" max="14096" width="0" style="49" hidden="1" customWidth="1"/>
    <col min="14097" max="14097" width="7.875" style="49" customWidth="1"/>
    <col min="14098" max="14336" width="9" style="49"/>
    <col min="14337" max="14337" width="13.125" style="49" customWidth="1"/>
    <col min="14338" max="14339" width="14.25" style="49" customWidth="1"/>
    <col min="14340" max="14340" width="28.25" style="49" bestFit="1" customWidth="1"/>
    <col min="14341" max="14342" width="11.75" style="49" customWidth="1"/>
    <col min="14343" max="14343" width="14.875" style="49" bestFit="1" customWidth="1"/>
    <col min="14344" max="14344" width="13.625" style="49" customWidth="1"/>
    <col min="14345" max="14345" width="13.125" style="49" bestFit="1" customWidth="1"/>
    <col min="14346" max="14347" width="10.875" style="49" customWidth="1"/>
    <col min="14348" max="14348" width="0" style="49" hidden="1" customWidth="1"/>
    <col min="14349" max="14350" width="10.875" style="49" customWidth="1"/>
    <col min="14351" max="14351" width="16.5" style="49" bestFit="1" customWidth="1"/>
    <col min="14352" max="14352" width="0" style="49" hidden="1" customWidth="1"/>
    <col min="14353" max="14353" width="7.875" style="49" customWidth="1"/>
    <col min="14354" max="14592" width="9" style="49"/>
    <col min="14593" max="14593" width="13.125" style="49" customWidth="1"/>
    <col min="14594" max="14595" width="14.25" style="49" customWidth="1"/>
    <col min="14596" max="14596" width="28.25" style="49" bestFit="1" customWidth="1"/>
    <col min="14597" max="14598" width="11.75" style="49" customWidth="1"/>
    <col min="14599" max="14599" width="14.875" style="49" bestFit="1" customWidth="1"/>
    <col min="14600" max="14600" width="13.625" style="49" customWidth="1"/>
    <col min="14601" max="14601" width="13.125" style="49" bestFit="1" customWidth="1"/>
    <col min="14602" max="14603" width="10.875" style="49" customWidth="1"/>
    <col min="14604" max="14604" width="0" style="49" hidden="1" customWidth="1"/>
    <col min="14605" max="14606" width="10.875" style="49" customWidth="1"/>
    <col min="14607" max="14607" width="16.5" style="49" bestFit="1" customWidth="1"/>
    <col min="14608" max="14608" width="0" style="49" hidden="1" customWidth="1"/>
    <col min="14609" max="14609" width="7.875" style="49" customWidth="1"/>
    <col min="14610" max="14848" width="9" style="49"/>
    <col min="14849" max="14849" width="13.125" style="49" customWidth="1"/>
    <col min="14850" max="14851" width="14.25" style="49" customWidth="1"/>
    <col min="14852" max="14852" width="28.25" style="49" bestFit="1" customWidth="1"/>
    <col min="14853" max="14854" width="11.75" style="49" customWidth="1"/>
    <col min="14855" max="14855" width="14.875" style="49" bestFit="1" customWidth="1"/>
    <col min="14856" max="14856" width="13.625" style="49" customWidth="1"/>
    <col min="14857" max="14857" width="13.125" style="49" bestFit="1" customWidth="1"/>
    <col min="14858" max="14859" width="10.875" style="49" customWidth="1"/>
    <col min="14860" max="14860" width="0" style="49" hidden="1" customWidth="1"/>
    <col min="14861" max="14862" width="10.875" style="49" customWidth="1"/>
    <col min="14863" max="14863" width="16.5" style="49" bestFit="1" customWidth="1"/>
    <col min="14864" max="14864" width="0" style="49" hidden="1" customWidth="1"/>
    <col min="14865" max="14865" width="7.875" style="49" customWidth="1"/>
    <col min="14866" max="15104" width="9" style="49"/>
    <col min="15105" max="15105" width="13.125" style="49" customWidth="1"/>
    <col min="15106" max="15107" width="14.25" style="49" customWidth="1"/>
    <col min="15108" max="15108" width="28.25" style="49" bestFit="1" customWidth="1"/>
    <col min="15109" max="15110" width="11.75" style="49" customWidth="1"/>
    <col min="15111" max="15111" width="14.875" style="49" bestFit="1" customWidth="1"/>
    <col min="15112" max="15112" width="13.625" style="49" customWidth="1"/>
    <col min="15113" max="15113" width="13.125" style="49" bestFit="1" customWidth="1"/>
    <col min="15114" max="15115" width="10.875" style="49" customWidth="1"/>
    <col min="15116" max="15116" width="0" style="49" hidden="1" customWidth="1"/>
    <col min="15117" max="15118" width="10.875" style="49" customWidth="1"/>
    <col min="15119" max="15119" width="16.5" style="49" bestFit="1" customWidth="1"/>
    <col min="15120" max="15120" width="0" style="49" hidden="1" customWidth="1"/>
    <col min="15121" max="15121" width="7.875" style="49" customWidth="1"/>
    <col min="15122" max="15360" width="9" style="49"/>
    <col min="15361" max="15361" width="13.125" style="49" customWidth="1"/>
    <col min="15362" max="15363" width="14.25" style="49" customWidth="1"/>
    <col min="15364" max="15364" width="28.25" style="49" bestFit="1" customWidth="1"/>
    <col min="15365" max="15366" width="11.75" style="49" customWidth="1"/>
    <col min="15367" max="15367" width="14.875" style="49" bestFit="1" customWidth="1"/>
    <col min="15368" max="15368" width="13.625" style="49" customWidth="1"/>
    <col min="15369" max="15369" width="13.125" style="49" bestFit="1" customWidth="1"/>
    <col min="15370" max="15371" width="10.875" style="49" customWidth="1"/>
    <col min="15372" max="15372" width="0" style="49" hidden="1" customWidth="1"/>
    <col min="15373" max="15374" width="10.875" style="49" customWidth="1"/>
    <col min="15375" max="15375" width="16.5" style="49" bestFit="1" customWidth="1"/>
    <col min="15376" max="15376" width="0" style="49" hidden="1" customWidth="1"/>
    <col min="15377" max="15377" width="7.875" style="49" customWidth="1"/>
    <col min="15378" max="15616" width="9" style="49"/>
    <col min="15617" max="15617" width="13.125" style="49" customWidth="1"/>
    <col min="15618" max="15619" width="14.25" style="49" customWidth="1"/>
    <col min="15620" max="15620" width="28.25" style="49" bestFit="1" customWidth="1"/>
    <col min="15621" max="15622" width="11.75" style="49" customWidth="1"/>
    <col min="15623" max="15623" width="14.875" style="49" bestFit="1" customWidth="1"/>
    <col min="15624" max="15624" width="13.625" style="49" customWidth="1"/>
    <col min="15625" max="15625" width="13.125" style="49" bestFit="1" customWidth="1"/>
    <col min="15626" max="15627" width="10.875" style="49" customWidth="1"/>
    <col min="15628" max="15628" width="0" style="49" hidden="1" customWidth="1"/>
    <col min="15629" max="15630" width="10.875" style="49" customWidth="1"/>
    <col min="15631" max="15631" width="16.5" style="49" bestFit="1" customWidth="1"/>
    <col min="15632" max="15632" width="0" style="49" hidden="1" customWidth="1"/>
    <col min="15633" max="15633" width="7.875" style="49" customWidth="1"/>
    <col min="15634" max="15872" width="9" style="49"/>
    <col min="15873" max="15873" width="13.125" style="49" customWidth="1"/>
    <col min="15874" max="15875" width="14.25" style="49" customWidth="1"/>
    <col min="15876" max="15876" width="28.25" style="49" bestFit="1" customWidth="1"/>
    <col min="15877" max="15878" width="11.75" style="49" customWidth="1"/>
    <col min="15879" max="15879" width="14.875" style="49" bestFit="1" customWidth="1"/>
    <col min="15880" max="15880" width="13.625" style="49" customWidth="1"/>
    <col min="15881" max="15881" width="13.125" style="49" bestFit="1" customWidth="1"/>
    <col min="15882" max="15883" width="10.875" style="49" customWidth="1"/>
    <col min="15884" max="15884" width="0" style="49" hidden="1" customWidth="1"/>
    <col min="15885" max="15886" width="10.875" style="49" customWidth="1"/>
    <col min="15887" max="15887" width="16.5" style="49" bestFit="1" customWidth="1"/>
    <col min="15888" max="15888" width="0" style="49" hidden="1" customWidth="1"/>
    <col min="15889" max="15889" width="7.875" style="49" customWidth="1"/>
    <col min="15890" max="16128" width="9" style="49"/>
    <col min="16129" max="16129" width="13.125" style="49" customWidth="1"/>
    <col min="16130" max="16131" width="14.25" style="49" customWidth="1"/>
    <col min="16132" max="16132" width="28.25" style="49" bestFit="1" customWidth="1"/>
    <col min="16133" max="16134" width="11.75" style="49" customWidth="1"/>
    <col min="16135" max="16135" width="14.875" style="49" bestFit="1" customWidth="1"/>
    <col min="16136" max="16136" width="13.625" style="49" customWidth="1"/>
    <col min="16137" max="16137" width="13.125" style="49" bestFit="1" customWidth="1"/>
    <col min="16138" max="16139" width="10.875" style="49" customWidth="1"/>
    <col min="16140" max="16140" width="0" style="49" hidden="1" customWidth="1"/>
    <col min="16141" max="16142" width="10.875" style="49" customWidth="1"/>
    <col min="16143" max="16143" width="16.5" style="49" bestFit="1" customWidth="1"/>
    <col min="16144" max="16144" width="0" style="49" hidden="1" customWidth="1"/>
    <col min="16145" max="16145" width="7.875" style="49" customWidth="1"/>
    <col min="16146" max="16384" width="9" style="49"/>
  </cols>
  <sheetData>
    <row r="1" spans="1:16" ht="16.5" customHeight="1">
      <c r="A1" s="151" t="s">
        <v>1059</v>
      </c>
      <c r="B1" s="151" t="s">
        <v>1060</v>
      </c>
      <c r="C1" s="152" t="s">
        <v>1061</v>
      </c>
      <c r="D1" s="151" t="s">
        <v>1062</v>
      </c>
      <c r="E1" s="151" t="s">
        <v>1063</v>
      </c>
      <c r="F1" s="151" t="s">
        <v>1064</v>
      </c>
      <c r="G1" s="151" t="s">
        <v>1065</v>
      </c>
      <c r="H1" s="151" t="s">
        <v>1066</v>
      </c>
      <c r="I1" s="151" t="s">
        <v>1067</v>
      </c>
      <c r="J1" s="151" t="s">
        <v>1068</v>
      </c>
      <c r="K1" s="151" t="s">
        <v>1069</v>
      </c>
      <c r="L1" s="149" t="s">
        <v>1070</v>
      </c>
      <c r="M1" s="149" t="s">
        <v>1070</v>
      </c>
      <c r="N1" s="149" t="s">
        <v>1071</v>
      </c>
      <c r="O1" s="151" t="s">
        <v>1072</v>
      </c>
      <c r="P1" s="152" t="s">
        <v>1073</v>
      </c>
    </row>
    <row r="2" spans="1:16" ht="15.75" customHeight="1">
      <c r="A2" s="151"/>
      <c r="B2" s="151"/>
      <c r="C2" s="153"/>
      <c r="D2" s="151"/>
      <c r="E2" s="151"/>
      <c r="F2" s="151"/>
      <c r="G2" s="151"/>
      <c r="H2" s="151"/>
      <c r="I2" s="151"/>
      <c r="J2" s="151"/>
      <c r="K2" s="151"/>
      <c r="L2" s="150"/>
      <c r="M2" s="150"/>
      <c r="N2" s="150"/>
      <c r="O2" s="151"/>
      <c r="P2" s="153"/>
    </row>
    <row r="3" spans="1:16" ht="16.5" customHeight="1">
      <c r="A3" s="50" t="s">
        <v>1074</v>
      </c>
      <c r="B3" s="50" t="s">
        <v>1075</v>
      </c>
      <c r="C3" s="50" t="s">
        <v>1076</v>
      </c>
      <c r="D3" s="50" t="s">
        <v>1077</v>
      </c>
      <c r="E3" s="50">
        <v>74418</v>
      </c>
      <c r="F3" s="50" t="s">
        <v>1078</v>
      </c>
      <c r="G3" s="50" t="s">
        <v>1079</v>
      </c>
      <c r="H3" s="50" t="s">
        <v>1080</v>
      </c>
      <c r="I3" s="51" t="s">
        <v>1081</v>
      </c>
      <c r="J3" s="51" t="s">
        <v>1082</v>
      </c>
      <c r="K3" s="51" t="s">
        <v>1083</v>
      </c>
      <c r="L3" s="52">
        <v>77</v>
      </c>
      <c r="M3" s="52">
        <f>L3+P3</f>
        <v>80</v>
      </c>
      <c r="N3" s="52">
        <v>20.9</v>
      </c>
      <c r="O3" s="52">
        <f>N3+0.2</f>
        <v>21.099999999999998</v>
      </c>
      <c r="P3" s="50">
        <v>3</v>
      </c>
    </row>
    <row r="4" spans="1:16" ht="16.5" customHeight="1">
      <c r="A4" s="50" t="s">
        <v>1074</v>
      </c>
      <c r="B4" s="50" t="s">
        <v>1075</v>
      </c>
      <c r="C4" s="50" t="s">
        <v>1076</v>
      </c>
      <c r="D4" s="50" t="s">
        <v>1077</v>
      </c>
      <c r="E4" s="50">
        <v>74418</v>
      </c>
      <c r="F4" s="50" t="s">
        <v>1078</v>
      </c>
      <c r="G4" s="50" t="s">
        <v>1079</v>
      </c>
      <c r="H4" s="50" t="s">
        <v>1080</v>
      </c>
      <c r="I4" s="51" t="s">
        <v>1081</v>
      </c>
      <c r="J4" s="51" t="s">
        <v>1084</v>
      </c>
      <c r="K4" s="51" t="s">
        <v>1085</v>
      </c>
      <c r="L4" s="52">
        <v>79</v>
      </c>
      <c r="M4" s="52">
        <f t="shared" ref="M4:M67" si="0">L4+P4</f>
        <v>82</v>
      </c>
      <c r="N4" s="52">
        <v>21.4</v>
      </c>
      <c r="O4" s="52">
        <f t="shared" ref="O4:O67" si="1">N4+0.2</f>
        <v>21.599999999999998</v>
      </c>
      <c r="P4" s="50">
        <v>3</v>
      </c>
    </row>
    <row r="5" spans="1:16" ht="16.5" customHeight="1">
      <c r="A5" s="50" t="s">
        <v>1074</v>
      </c>
      <c r="B5" s="50" t="s">
        <v>1075</v>
      </c>
      <c r="C5" s="50" t="s">
        <v>1076</v>
      </c>
      <c r="D5" s="50" t="s">
        <v>1077</v>
      </c>
      <c r="E5" s="50">
        <v>74418</v>
      </c>
      <c r="F5" s="50" t="s">
        <v>1078</v>
      </c>
      <c r="G5" s="50" t="s">
        <v>1079</v>
      </c>
      <c r="H5" s="50" t="s">
        <v>1080</v>
      </c>
      <c r="I5" s="51" t="s">
        <v>1081</v>
      </c>
      <c r="J5" s="51" t="s">
        <v>1086</v>
      </c>
      <c r="K5" s="51" t="s">
        <v>1087</v>
      </c>
      <c r="L5" s="52">
        <v>82</v>
      </c>
      <c r="M5" s="52">
        <f t="shared" si="0"/>
        <v>82</v>
      </c>
      <c r="N5" s="52">
        <v>21.3</v>
      </c>
      <c r="O5" s="52">
        <f t="shared" si="1"/>
        <v>21.5</v>
      </c>
      <c r="P5" s="50">
        <v>0</v>
      </c>
    </row>
    <row r="6" spans="1:16" ht="16.5" customHeight="1">
      <c r="A6" s="50" t="s">
        <v>1074</v>
      </c>
      <c r="B6" s="50" t="s">
        <v>1075</v>
      </c>
      <c r="C6" s="50" t="s">
        <v>1076</v>
      </c>
      <c r="D6" s="50" t="s">
        <v>1077</v>
      </c>
      <c r="E6" s="50">
        <v>74418</v>
      </c>
      <c r="F6" s="50" t="s">
        <v>1078</v>
      </c>
      <c r="G6" s="50" t="s">
        <v>1079</v>
      </c>
      <c r="H6" s="50" t="s">
        <v>1080</v>
      </c>
      <c r="I6" s="51" t="s">
        <v>1081</v>
      </c>
      <c r="J6" s="51" t="s">
        <v>1088</v>
      </c>
      <c r="K6" s="51" t="s">
        <v>1089</v>
      </c>
      <c r="L6" s="52">
        <v>81</v>
      </c>
      <c r="M6" s="52">
        <f t="shared" si="0"/>
        <v>81</v>
      </c>
      <c r="N6" s="52">
        <v>21.1</v>
      </c>
      <c r="O6" s="52">
        <f t="shared" si="1"/>
        <v>21.3</v>
      </c>
      <c r="P6" s="50">
        <v>0</v>
      </c>
    </row>
    <row r="7" spans="1:16" ht="16.5" customHeight="1">
      <c r="A7" s="50" t="s">
        <v>1074</v>
      </c>
      <c r="B7" s="50" t="s">
        <v>1075</v>
      </c>
      <c r="C7" s="50" t="s">
        <v>1076</v>
      </c>
      <c r="D7" s="50" t="s">
        <v>1090</v>
      </c>
      <c r="E7" s="50">
        <v>74418</v>
      </c>
      <c r="F7" s="50" t="s">
        <v>1078</v>
      </c>
      <c r="G7" s="50" t="s">
        <v>1079</v>
      </c>
      <c r="H7" s="50" t="s">
        <v>1080</v>
      </c>
      <c r="I7" s="51" t="s">
        <v>1081</v>
      </c>
      <c r="J7" s="51" t="s">
        <v>1091</v>
      </c>
      <c r="K7" s="51" t="s">
        <v>1092</v>
      </c>
      <c r="L7" s="52">
        <v>82</v>
      </c>
      <c r="M7" s="52">
        <f t="shared" si="0"/>
        <v>82</v>
      </c>
      <c r="N7" s="52">
        <v>21.3</v>
      </c>
      <c r="O7" s="52">
        <f t="shared" si="1"/>
        <v>21.5</v>
      </c>
      <c r="P7" s="50">
        <v>0</v>
      </c>
    </row>
    <row r="8" spans="1:16" ht="16.5" customHeight="1">
      <c r="A8" s="50" t="s">
        <v>1074</v>
      </c>
      <c r="B8" s="50" t="s">
        <v>1075</v>
      </c>
      <c r="C8" s="50" t="s">
        <v>1076</v>
      </c>
      <c r="D8" s="50" t="s">
        <v>1077</v>
      </c>
      <c r="E8" s="50">
        <v>74418</v>
      </c>
      <c r="F8" s="50" t="s">
        <v>1078</v>
      </c>
      <c r="G8" s="50" t="s">
        <v>1079</v>
      </c>
      <c r="H8" s="50" t="s">
        <v>1080</v>
      </c>
      <c r="I8" s="51" t="s">
        <v>1081</v>
      </c>
      <c r="J8" s="51" t="s">
        <v>1093</v>
      </c>
      <c r="K8" s="51" t="s">
        <v>1094</v>
      </c>
      <c r="L8" s="52">
        <v>70</v>
      </c>
      <c r="M8" s="52">
        <f t="shared" si="0"/>
        <v>75</v>
      </c>
      <c r="N8" s="52">
        <v>19.5</v>
      </c>
      <c r="O8" s="52">
        <f t="shared" si="1"/>
        <v>19.7</v>
      </c>
      <c r="P8" s="50">
        <v>5</v>
      </c>
    </row>
    <row r="9" spans="1:16" ht="16.5" customHeight="1">
      <c r="A9" s="50" t="s">
        <v>1074</v>
      </c>
      <c r="B9" s="50" t="s">
        <v>1075</v>
      </c>
      <c r="C9" s="50" t="s">
        <v>1076</v>
      </c>
      <c r="D9" s="50" t="s">
        <v>1077</v>
      </c>
      <c r="E9" s="50">
        <v>74418</v>
      </c>
      <c r="F9" s="50" t="s">
        <v>1078</v>
      </c>
      <c r="G9" s="50" t="s">
        <v>1079</v>
      </c>
      <c r="H9" s="50" t="s">
        <v>1080</v>
      </c>
      <c r="I9" s="51" t="s">
        <v>1081</v>
      </c>
      <c r="J9" s="51" t="s">
        <v>1095</v>
      </c>
      <c r="K9" s="51" t="s">
        <v>1096</v>
      </c>
      <c r="L9" s="52">
        <v>74</v>
      </c>
      <c r="M9" s="52">
        <f t="shared" si="0"/>
        <v>80</v>
      </c>
      <c r="N9" s="52">
        <v>20.9</v>
      </c>
      <c r="O9" s="52">
        <f t="shared" si="1"/>
        <v>21.099999999999998</v>
      </c>
      <c r="P9" s="50">
        <v>6</v>
      </c>
    </row>
    <row r="10" spans="1:16" ht="16.5" customHeight="1">
      <c r="A10" s="50" t="s">
        <v>1074</v>
      </c>
      <c r="B10" s="50" t="s">
        <v>1075</v>
      </c>
      <c r="C10" s="50" t="s">
        <v>1076</v>
      </c>
      <c r="D10" s="50" t="s">
        <v>1077</v>
      </c>
      <c r="E10" s="50">
        <v>74418</v>
      </c>
      <c r="F10" s="50" t="s">
        <v>1097</v>
      </c>
      <c r="G10" s="50" t="s">
        <v>1098</v>
      </c>
      <c r="H10" s="50" t="s">
        <v>1099</v>
      </c>
      <c r="I10" s="51" t="s">
        <v>1100</v>
      </c>
      <c r="J10" s="51" t="s">
        <v>1101</v>
      </c>
      <c r="K10" s="51" t="s">
        <v>1083</v>
      </c>
      <c r="L10" s="52">
        <v>82</v>
      </c>
      <c r="M10" s="52">
        <f t="shared" si="0"/>
        <v>82</v>
      </c>
      <c r="N10" s="52">
        <v>21.2</v>
      </c>
      <c r="O10" s="52">
        <f t="shared" si="1"/>
        <v>21.4</v>
      </c>
      <c r="P10" s="50">
        <v>0</v>
      </c>
    </row>
    <row r="11" spans="1:16" ht="16.5" customHeight="1">
      <c r="A11" s="50" t="s">
        <v>1074</v>
      </c>
      <c r="B11" s="50" t="s">
        <v>1075</v>
      </c>
      <c r="C11" s="50" t="s">
        <v>1076</v>
      </c>
      <c r="D11" s="50" t="s">
        <v>1077</v>
      </c>
      <c r="E11" s="50">
        <v>74418</v>
      </c>
      <c r="F11" s="50" t="s">
        <v>1097</v>
      </c>
      <c r="G11" s="50" t="s">
        <v>1098</v>
      </c>
      <c r="H11" s="50" t="s">
        <v>1099</v>
      </c>
      <c r="I11" s="51" t="s">
        <v>1100</v>
      </c>
      <c r="J11" s="51" t="s">
        <v>1102</v>
      </c>
      <c r="K11" s="51" t="s">
        <v>1085</v>
      </c>
      <c r="L11" s="52">
        <v>78</v>
      </c>
      <c r="M11" s="52">
        <f t="shared" si="0"/>
        <v>78</v>
      </c>
      <c r="N11" s="52">
        <v>20.2</v>
      </c>
      <c r="O11" s="52">
        <f t="shared" si="1"/>
        <v>20.399999999999999</v>
      </c>
      <c r="P11" s="50">
        <v>0</v>
      </c>
    </row>
    <row r="12" spans="1:16" ht="16.5" customHeight="1">
      <c r="A12" s="50" t="s">
        <v>1074</v>
      </c>
      <c r="B12" s="50" t="s">
        <v>1075</v>
      </c>
      <c r="C12" s="50" t="s">
        <v>1076</v>
      </c>
      <c r="D12" s="50" t="s">
        <v>1077</v>
      </c>
      <c r="E12" s="50">
        <v>74418</v>
      </c>
      <c r="F12" s="50" t="s">
        <v>1097</v>
      </c>
      <c r="G12" s="50" t="s">
        <v>1098</v>
      </c>
      <c r="H12" s="50" t="s">
        <v>1099</v>
      </c>
      <c r="I12" s="51" t="s">
        <v>1100</v>
      </c>
      <c r="J12" s="51" t="s">
        <v>1103</v>
      </c>
      <c r="K12" s="51" t="s">
        <v>1087</v>
      </c>
      <c r="L12" s="52">
        <v>83</v>
      </c>
      <c r="M12" s="52">
        <f t="shared" si="0"/>
        <v>83</v>
      </c>
      <c r="N12" s="52">
        <v>21.4</v>
      </c>
      <c r="O12" s="52">
        <f t="shared" si="1"/>
        <v>21.599999999999998</v>
      </c>
      <c r="P12" s="50">
        <v>0</v>
      </c>
    </row>
    <row r="13" spans="1:16" ht="16.5" customHeight="1">
      <c r="A13" s="50" t="s">
        <v>1074</v>
      </c>
      <c r="B13" s="50" t="s">
        <v>1075</v>
      </c>
      <c r="C13" s="50" t="s">
        <v>1076</v>
      </c>
      <c r="D13" s="50" t="s">
        <v>1077</v>
      </c>
      <c r="E13" s="50">
        <v>74418</v>
      </c>
      <c r="F13" s="50" t="s">
        <v>1097</v>
      </c>
      <c r="G13" s="50" t="s">
        <v>1098</v>
      </c>
      <c r="H13" s="50" t="s">
        <v>1099</v>
      </c>
      <c r="I13" s="51" t="s">
        <v>1100</v>
      </c>
      <c r="J13" s="51" t="s">
        <v>1104</v>
      </c>
      <c r="K13" s="51" t="s">
        <v>1089</v>
      </c>
      <c r="L13" s="52">
        <v>82</v>
      </c>
      <c r="M13" s="52">
        <f t="shared" si="0"/>
        <v>82</v>
      </c>
      <c r="N13" s="52">
        <v>21.2</v>
      </c>
      <c r="O13" s="52">
        <f t="shared" si="1"/>
        <v>21.4</v>
      </c>
      <c r="P13" s="50">
        <v>0</v>
      </c>
    </row>
    <row r="14" spans="1:16" ht="16.5" customHeight="1">
      <c r="A14" s="50" t="s">
        <v>1074</v>
      </c>
      <c r="B14" s="50" t="s">
        <v>1075</v>
      </c>
      <c r="C14" s="50" t="s">
        <v>1076</v>
      </c>
      <c r="D14" s="50" t="s">
        <v>1077</v>
      </c>
      <c r="E14" s="50">
        <v>74418</v>
      </c>
      <c r="F14" s="50" t="s">
        <v>1097</v>
      </c>
      <c r="G14" s="50" t="s">
        <v>1098</v>
      </c>
      <c r="H14" s="50" t="s">
        <v>1099</v>
      </c>
      <c r="I14" s="51" t="s">
        <v>1100</v>
      </c>
      <c r="J14" s="51" t="s">
        <v>1105</v>
      </c>
      <c r="K14" s="51" t="s">
        <v>1092</v>
      </c>
      <c r="L14" s="52">
        <v>83</v>
      </c>
      <c r="M14" s="52">
        <f t="shared" si="0"/>
        <v>83</v>
      </c>
      <c r="N14" s="52">
        <v>21.3</v>
      </c>
      <c r="O14" s="52">
        <f t="shared" si="1"/>
        <v>21.5</v>
      </c>
      <c r="P14" s="50">
        <v>0</v>
      </c>
    </row>
    <row r="15" spans="1:16" ht="16.5" customHeight="1">
      <c r="A15" s="50" t="s">
        <v>1074</v>
      </c>
      <c r="B15" s="50" t="s">
        <v>1075</v>
      </c>
      <c r="C15" s="50" t="s">
        <v>1076</v>
      </c>
      <c r="D15" s="50" t="s">
        <v>1077</v>
      </c>
      <c r="E15" s="50">
        <v>74418</v>
      </c>
      <c r="F15" s="50" t="s">
        <v>1097</v>
      </c>
      <c r="G15" s="50" t="s">
        <v>1098</v>
      </c>
      <c r="H15" s="50" t="s">
        <v>1099</v>
      </c>
      <c r="I15" s="51" t="s">
        <v>1100</v>
      </c>
      <c r="J15" s="51" t="s">
        <v>1106</v>
      </c>
      <c r="K15" s="51" t="s">
        <v>1094</v>
      </c>
      <c r="L15" s="52">
        <v>83</v>
      </c>
      <c r="M15" s="52">
        <f t="shared" si="0"/>
        <v>83</v>
      </c>
      <c r="N15" s="52">
        <v>21.4</v>
      </c>
      <c r="O15" s="52">
        <f t="shared" si="1"/>
        <v>21.599999999999998</v>
      </c>
      <c r="P15" s="50">
        <v>0</v>
      </c>
    </row>
    <row r="16" spans="1:16" ht="16.5" customHeight="1">
      <c r="A16" s="50" t="s">
        <v>1074</v>
      </c>
      <c r="B16" s="50" t="s">
        <v>1075</v>
      </c>
      <c r="C16" s="50" t="s">
        <v>1076</v>
      </c>
      <c r="D16" s="50" t="s">
        <v>1077</v>
      </c>
      <c r="E16" s="50">
        <v>74418</v>
      </c>
      <c r="F16" s="50" t="s">
        <v>1097</v>
      </c>
      <c r="G16" s="50" t="s">
        <v>1098</v>
      </c>
      <c r="H16" s="50" t="s">
        <v>1099</v>
      </c>
      <c r="I16" s="51" t="s">
        <v>1100</v>
      </c>
      <c r="J16" s="51" t="s">
        <v>1107</v>
      </c>
      <c r="K16" s="51" t="s">
        <v>1096</v>
      </c>
      <c r="L16" s="52">
        <v>83</v>
      </c>
      <c r="M16" s="52">
        <f t="shared" si="0"/>
        <v>83</v>
      </c>
      <c r="N16" s="52">
        <v>21.4</v>
      </c>
      <c r="O16" s="52">
        <f t="shared" si="1"/>
        <v>21.599999999999998</v>
      </c>
      <c r="P16" s="50">
        <v>0</v>
      </c>
    </row>
    <row r="17" spans="1:16" ht="16.5" customHeight="1">
      <c r="A17" s="50" t="s">
        <v>1074</v>
      </c>
      <c r="B17" s="50" t="s">
        <v>1075</v>
      </c>
      <c r="C17" s="50" t="s">
        <v>1076</v>
      </c>
      <c r="D17" s="50" t="s">
        <v>1077</v>
      </c>
      <c r="E17" s="50">
        <v>74418</v>
      </c>
      <c r="F17" s="50" t="s">
        <v>1097</v>
      </c>
      <c r="G17" s="50" t="s">
        <v>1098</v>
      </c>
      <c r="H17" s="50" t="s">
        <v>1099</v>
      </c>
      <c r="I17" s="51" t="s">
        <v>1100</v>
      </c>
      <c r="J17" s="51" t="s">
        <v>1108</v>
      </c>
      <c r="K17" s="51" t="s">
        <v>1109</v>
      </c>
      <c r="L17" s="52">
        <v>82</v>
      </c>
      <c r="M17" s="52">
        <f t="shared" si="0"/>
        <v>82</v>
      </c>
      <c r="N17" s="52">
        <v>21.2</v>
      </c>
      <c r="O17" s="52">
        <f t="shared" si="1"/>
        <v>21.4</v>
      </c>
      <c r="P17" s="50">
        <v>0</v>
      </c>
    </row>
    <row r="18" spans="1:16" ht="16.5" customHeight="1">
      <c r="A18" s="50" t="s">
        <v>1074</v>
      </c>
      <c r="B18" s="50" t="s">
        <v>1075</v>
      </c>
      <c r="C18" s="50" t="s">
        <v>1076</v>
      </c>
      <c r="D18" s="50" t="s">
        <v>1077</v>
      </c>
      <c r="E18" s="50">
        <v>74418</v>
      </c>
      <c r="F18" s="50" t="s">
        <v>1097</v>
      </c>
      <c r="G18" s="50" t="s">
        <v>1098</v>
      </c>
      <c r="H18" s="50" t="s">
        <v>1099</v>
      </c>
      <c r="I18" s="51" t="s">
        <v>1100</v>
      </c>
      <c r="J18" s="51" t="s">
        <v>1110</v>
      </c>
      <c r="K18" s="51" t="s">
        <v>1111</v>
      </c>
      <c r="L18" s="52">
        <v>80</v>
      </c>
      <c r="M18" s="52">
        <f t="shared" si="0"/>
        <v>80</v>
      </c>
      <c r="N18" s="52">
        <v>20.5</v>
      </c>
      <c r="O18" s="52">
        <f t="shared" si="1"/>
        <v>20.7</v>
      </c>
      <c r="P18" s="50">
        <v>0</v>
      </c>
    </row>
    <row r="19" spans="1:16" ht="16.5" customHeight="1">
      <c r="A19" s="50" t="s">
        <v>1074</v>
      </c>
      <c r="B19" s="50" t="s">
        <v>1075</v>
      </c>
      <c r="C19" s="50" t="s">
        <v>1076</v>
      </c>
      <c r="D19" s="50" t="s">
        <v>1077</v>
      </c>
      <c r="E19" s="50">
        <v>74418</v>
      </c>
      <c r="F19" s="50" t="s">
        <v>1097</v>
      </c>
      <c r="G19" s="50" t="s">
        <v>1098</v>
      </c>
      <c r="H19" s="50" t="s">
        <v>1099</v>
      </c>
      <c r="I19" s="51" t="s">
        <v>1100</v>
      </c>
      <c r="J19" s="51" t="s">
        <v>1112</v>
      </c>
      <c r="K19" s="51" t="s">
        <v>1113</v>
      </c>
      <c r="L19" s="52">
        <v>84</v>
      </c>
      <c r="M19" s="52">
        <f t="shared" si="0"/>
        <v>84</v>
      </c>
      <c r="N19" s="52">
        <v>21.7</v>
      </c>
      <c r="O19" s="52">
        <f t="shared" si="1"/>
        <v>21.9</v>
      </c>
      <c r="P19" s="50">
        <v>0</v>
      </c>
    </row>
    <row r="20" spans="1:16" ht="16.5" customHeight="1">
      <c r="A20" s="50" t="s">
        <v>1074</v>
      </c>
      <c r="B20" s="50" t="s">
        <v>1075</v>
      </c>
      <c r="C20" s="50" t="s">
        <v>1076</v>
      </c>
      <c r="D20" s="50" t="s">
        <v>1077</v>
      </c>
      <c r="E20" s="50">
        <v>74418</v>
      </c>
      <c r="F20" s="50" t="s">
        <v>1097</v>
      </c>
      <c r="G20" s="50" t="s">
        <v>1098</v>
      </c>
      <c r="H20" s="50" t="s">
        <v>1099</v>
      </c>
      <c r="I20" s="51" t="s">
        <v>1100</v>
      </c>
      <c r="J20" s="51" t="s">
        <v>1114</v>
      </c>
      <c r="K20" s="51" t="s">
        <v>1115</v>
      </c>
      <c r="L20" s="52">
        <v>83</v>
      </c>
      <c r="M20" s="52">
        <f t="shared" si="0"/>
        <v>83</v>
      </c>
      <c r="N20" s="52">
        <v>21.4</v>
      </c>
      <c r="O20" s="52">
        <f t="shared" si="1"/>
        <v>21.599999999999998</v>
      </c>
      <c r="P20" s="50">
        <v>0</v>
      </c>
    </row>
    <row r="21" spans="1:16" ht="16.5" customHeight="1">
      <c r="A21" s="50" t="s">
        <v>1074</v>
      </c>
      <c r="B21" s="50" t="s">
        <v>1075</v>
      </c>
      <c r="C21" s="50" t="s">
        <v>1076</v>
      </c>
      <c r="D21" s="50" t="s">
        <v>1077</v>
      </c>
      <c r="E21" s="50">
        <v>74418</v>
      </c>
      <c r="F21" s="50" t="s">
        <v>1097</v>
      </c>
      <c r="G21" s="50" t="s">
        <v>1098</v>
      </c>
      <c r="H21" s="50" t="s">
        <v>1099</v>
      </c>
      <c r="I21" s="51" t="s">
        <v>1100</v>
      </c>
      <c r="J21" s="51" t="s">
        <v>1116</v>
      </c>
      <c r="K21" s="51" t="s">
        <v>1117</v>
      </c>
      <c r="L21" s="52">
        <v>83</v>
      </c>
      <c r="M21" s="52">
        <f t="shared" si="0"/>
        <v>83</v>
      </c>
      <c r="N21" s="52">
        <v>21.3</v>
      </c>
      <c r="O21" s="52">
        <f t="shared" si="1"/>
        <v>21.5</v>
      </c>
      <c r="P21" s="50">
        <v>0</v>
      </c>
    </row>
    <row r="22" spans="1:16" ht="16.5" customHeight="1">
      <c r="A22" s="50" t="s">
        <v>1074</v>
      </c>
      <c r="B22" s="50" t="s">
        <v>1075</v>
      </c>
      <c r="C22" s="50" t="s">
        <v>1076</v>
      </c>
      <c r="D22" s="50" t="s">
        <v>1077</v>
      </c>
      <c r="E22" s="50">
        <v>74418</v>
      </c>
      <c r="F22" s="50" t="s">
        <v>1097</v>
      </c>
      <c r="G22" s="50" t="s">
        <v>1098</v>
      </c>
      <c r="H22" s="50" t="s">
        <v>1099</v>
      </c>
      <c r="I22" s="51" t="s">
        <v>1100</v>
      </c>
      <c r="J22" s="51" t="s">
        <v>1118</v>
      </c>
      <c r="K22" s="51" t="s">
        <v>1119</v>
      </c>
      <c r="L22" s="52">
        <v>82</v>
      </c>
      <c r="M22" s="52">
        <f t="shared" si="0"/>
        <v>82</v>
      </c>
      <c r="N22" s="52">
        <v>21.1</v>
      </c>
      <c r="O22" s="52">
        <f t="shared" si="1"/>
        <v>21.3</v>
      </c>
      <c r="P22" s="50">
        <v>0</v>
      </c>
    </row>
    <row r="23" spans="1:16" ht="16.5" customHeight="1">
      <c r="A23" s="50" t="s">
        <v>1074</v>
      </c>
      <c r="B23" s="50" t="s">
        <v>1075</v>
      </c>
      <c r="C23" s="50" t="s">
        <v>1076</v>
      </c>
      <c r="D23" s="50" t="s">
        <v>1077</v>
      </c>
      <c r="E23" s="50">
        <v>74418</v>
      </c>
      <c r="F23" s="50" t="s">
        <v>1097</v>
      </c>
      <c r="G23" s="50" t="s">
        <v>1098</v>
      </c>
      <c r="H23" s="50" t="s">
        <v>1099</v>
      </c>
      <c r="I23" s="51" t="s">
        <v>1100</v>
      </c>
      <c r="J23" s="51" t="s">
        <v>1120</v>
      </c>
      <c r="K23" s="51" t="s">
        <v>1121</v>
      </c>
      <c r="L23" s="52">
        <v>83</v>
      </c>
      <c r="M23" s="52">
        <f t="shared" si="0"/>
        <v>83</v>
      </c>
      <c r="N23" s="52">
        <v>21.4</v>
      </c>
      <c r="O23" s="52">
        <f t="shared" si="1"/>
        <v>21.599999999999998</v>
      </c>
      <c r="P23" s="50">
        <v>0</v>
      </c>
    </row>
    <row r="24" spans="1:16" ht="16.5" customHeight="1">
      <c r="A24" s="50" t="s">
        <v>1074</v>
      </c>
      <c r="B24" s="50" t="s">
        <v>1075</v>
      </c>
      <c r="C24" s="50" t="s">
        <v>1076</v>
      </c>
      <c r="D24" s="50" t="s">
        <v>1077</v>
      </c>
      <c r="E24" s="50">
        <v>74418</v>
      </c>
      <c r="F24" s="50" t="s">
        <v>1097</v>
      </c>
      <c r="G24" s="50" t="s">
        <v>1098</v>
      </c>
      <c r="H24" s="50" t="s">
        <v>1099</v>
      </c>
      <c r="I24" s="51" t="s">
        <v>1100</v>
      </c>
      <c r="J24" s="51" t="s">
        <v>1122</v>
      </c>
      <c r="K24" s="51" t="s">
        <v>1123</v>
      </c>
      <c r="L24" s="52">
        <v>82</v>
      </c>
      <c r="M24" s="52">
        <f t="shared" si="0"/>
        <v>82</v>
      </c>
      <c r="N24" s="52">
        <v>21.1</v>
      </c>
      <c r="O24" s="52">
        <f t="shared" si="1"/>
        <v>21.3</v>
      </c>
      <c r="P24" s="50">
        <v>0</v>
      </c>
    </row>
    <row r="25" spans="1:16" ht="16.5" customHeight="1">
      <c r="A25" s="50" t="s">
        <v>1074</v>
      </c>
      <c r="B25" s="50" t="s">
        <v>1075</v>
      </c>
      <c r="C25" s="50" t="s">
        <v>1076</v>
      </c>
      <c r="D25" s="50" t="s">
        <v>1077</v>
      </c>
      <c r="E25" s="50">
        <v>74418</v>
      </c>
      <c r="F25" s="50" t="s">
        <v>1097</v>
      </c>
      <c r="G25" s="50" t="s">
        <v>1098</v>
      </c>
      <c r="H25" s="50" t="s">
        <v>1099</v>
      </c>
      <c r="I25" s="51" t="s">
        <v>1100</v>
      </c>
      <c r="J25" s="51" t="s">
        <v>1124</v>
      </c>
      <c r="K25" s="51" t="s">
        <v>1125</v>
      </c>
      <c r="L25" s="52">
        <v>71</v>
      </c>
      <c r="M25" s="52">
        <f t="shared" si="0"/>
        <v>71</v>
      </c>
      <c r="N25" s="52">
        <v>18.2</v>
      </c>
      <c r="O25" s="52">
        <f t="shared" si="1"/>
        <v>18.399999999999999</v>
      </c>
      <c r="P25" s="50">
        <v>0</v>
      </c>
    </row>
    <row r="26" spans="1:16" ht="16.5" customHeight="1">
      <c r="A26" s="50" t="s">
        <v>1074</v>
      </c>
      <c r="B26" s="50" t="s">
        <v>1075</v>
      </c>
      <c r="C26" s="50" t="s">
        <v>1076</v>
      </c>
      <c r="D26" s="50" t="s">
        <v>1077</v>
      </c>
      <c r="E26" s="50">
        <v>74418</v>
      </c>
      <c r="F26" s="50" t="s">
        <v>1097</v>
      </c>
      <c r="G26" s="50" t="s">
        <v>1098</v>
      </c>
      <c r="H26" s="50" t="s">
        <v>1099</v>
      </c>
      <c r="I26" s="51" t="s">
        <v>1126</v>
      </c>
      <c r="J26" s="51" t="s">
        <v>1127</v>
      </c>
      <c r="K26" s="51" t="s">
        <v>1109</v>
      </c>
      <c r="L26" s="52">
        <v>84</v>
      </c>
      <c r="M26" s="52">
        <f t="shared" si="0"/>
        <v>84</v>
      </c>
      <c r="N26" s="52">
        <v>21.7</v>
      </c>
      <c r="O26" s="52">
        <f t="shared" si="1"/>
        <v>21.9</v>
      </c>
      <c r="P26" s="50">
        <v>0</v>
      </c>
    </row>
    <row r="27" spans="1:16" ht="16.5" customHeight="1">
      <c r="A27" s="50" t="s">
        <v>1074</v>
      </c>
      <c r="B27" s="50" t="s">
        <v>1075</v>
      </c>
      <c r="C27" s="50" t="s">
        <v>1076</v>
      </c>
      <c r="D27" s="50" t="s">
        <v>1077</v>
      </c>
      <c r="E27" s="50">
        <v>74418</v>
      </c>
      <c r="F27" s="50" t="s">
        <v>1097</v>
      </c>
      <c r="G27" s="50" t="s">
        <v>1098</v>
      </c>
      <c r="H27" s="50" t="s">
        <v>1099</v>
      </c>
      <c r="I27" s="51" t="s">
        <v>1126</v>
      </c>
      <c r="J27" s="51" t="s">
        <v>1128</v>
      </c>
      <c r="K27" s="51" t="s">
        <v>1111</v>
      </c>
      <c r="L27" s="52">
        <v>84</v>
      </c>
      <c r="M27" s="52">
        <f t="shared" si="0"/>
        <v>84</v>
      </c>
      <c r="N27" s="52">
        <v>21.7</v>
      </c>
      <c r="O27" s="52">
        <f t="shared" si="1"/>
        <v>21.9</v>
      </c>
      <c r="P27" s="50">
        <v>0</v>
      </c>
    </row>
    <row r="28" spans="1:16" ht="16.5" customHeight="1">
      <c r="A28" s="50" t="s">
        <v>1074</v>
      </c>
      <c r="B28" s="50" t="s">
        <v>1075</v>
      </c>
      <c r="C28" s="50" t="s">
        <v>1076</v>
      </c>
      <c r="D28" s="50" t="s">
        <v>1077</v>
      </c>
      <c r="E28" s="50">
        <v>74418</v>
      </c>
      <c r="F28" s="50" t="s">
        <v>1097</v>
      </c>
      <c r="G28" s="50" t="s">
        <v>1098</v>
      </c>
      <c r="H28" s="50" t="s">
        <v>1099</v>
      </c>
      <c r="I28" s="51" t="s">
        <v>1126</v>
      </c>
      <c r="J28" s="51" t="s">
        <v>1129</v>
      </c>
      <c r="K28" s="51" t="s">
        <v>1113</v>
      </c>
      <c r="L28" s="52">
        <v>82</v>
      </c>
      <c r="M28" s="52">
        <f t="shared" si="0"/>
        <v>82</v>
      </c>
      <c r="N28" s="52">
        <v>21.2</v>
      </c>
      <c r="O28" s="52">
        <f t="shared" si="1"/>
        <v>21.4</v>
      </c>
      <c r="P28" s="50">
        <v>0</v>
      </c>
    </row>
    <row r="29" spans="1:16" ht="16.5" customHeight="1">
      <c r="A29" s="50" t="s">
        <v>1074</v>
      </c>
      <c r="B29" s="50" t="s">
        <v>1075</v>
      </c>
      <c r="C29" s="50" t="s">
        <v>1076</v>
      </c>
      <c r="D29" s="50" t="s">
        <v>1077</v>
      </c>
      <c r="E29" s="50">
        <v>74418</v>
      </c>
      <c r="F29" s="50" t="s">
        <v>1097</v>
      </c>
      <c r="G29" s="50" t="s">
        <v>1098</v>
      </c>
      <c r="H29" s="50" t="s">
        <v>1099</v>
      </c>
      <c r="I29" s="51" t="s">
        <v>1126</v>
      </c>
      <c r="J29" s="51" t="s">
        <v>1130</v>
      </c>
      <c r="K29" s="51" t="s">
        <v>1115</v>
      </c>
      <c r="L29" s="52">
        <v>84</v>
      </c>
      <c r="M29" s="52">
        <f t="shared" si="0"/>
        <v>84</v>
      </c>
      <c r="N29" s="52">
        <v>21.6</v>
      </c>
      <c r="O29" s="52">
        <f t="shared" si="1"/>
        <v>21.8</v>
      </c>
      <c r="P29" s="50">
        <v>0</v>
      </c>
    </row>
    <row r="30" spans="1:16" ht="16.5" customHeight="1">
      <c r="A30" s="50" t="s">
        <v>1074</v>
      </c>
      <c r="B30" s="50" t="s">
        <v>1075</v>
      </c>
      <c r="C30" s="50" t="s">
        <v>1076</v>
      </c>
      <c r="D30" s="50" t="s">
        <v>1077</v>
      </c>
      <c r="E30" s="50">
        <v>74418</v>
      </c>
      <c r="F30" s="50" t="s">
        <v>1097</v>
      </c>
      <c r="G30" s="50" t="s">
        <v>1098</v>
      </c>
      <c r="H30" s="50" t="s">
        <v>1099</v>
      </c>
      <c r="I30" s="51" t="s">
        <v>1126</v>
      </c>
      <c r="J30" s="51" t="s">
        <v>1131</v>
      </c>
      <c r="K30" s="51" t="s">
        <v>1117</v>
      </c>
      <c r="L30" s="52">
        <v>84</v>
      </c>
      <c r="M30" s="52">
        <f t="shared" si="0"/>
        <v>84</v>
      </c>
      <c r="N30" s="52">
        <v>21.6</v>
      </c>
      <c r="O30" s="52">
        <f t="shared" si="1"/>
        <v>21.8</v>
      </c>
      <c r="P30" s="50">
        <v>0</v>
      </c>
    </row>
    <row r="31" spans="1:16" ht="16.5" customHeight="1">
      <c r="A31" s="50" t="s">
        <v>1074</v>
      </c>
      <c r="B31" s="50" t="s">
        <v>1075</v>
      </c>
      <c r="C31" s="50" t="s">
        <v>1076</v>
      </c>
      <c r="D31" s="50" t="s">
        <v>1077</v>
      </c>
      <c r="E31" s="50">
        <v>74418</v>
      </c>
      <c r="F31" s="50" t="s">
        <v>1097</v>
      </c>
      <c r="G31" s="50" t="s">
        <v>1098</v>
      </c>
      <c r="H31" s="50" t="s">
        <v>1099</v>
      </c>
      <c r="I31" s="51" t="s">
        <v>1126</v>
      </c>
      <c r="J31" s="51" t="s">
        <v>1132</v>
      </c>
      <c r="K31" s="51" t="s">
        <v>1119</v>
      </c>
      <c r="L31" s="52">
        <v>83</v>
      </c>
      <c r="M31" s="52">
        <f t="shared" si="0"/>
        <v>83</v>
      </c>
      <c r="N31" s="52">
        <v>21.5</v>
      </c>
      <c r="O31" s="52">
        <f t="shared" si="1"/>
        <v>21.7</v>
      </c>
      <c r="P31" s="50">
        <v>0</v>
      </c>
    </row>
    <row r="32" spans="1:16" ht="16.5" customHeight="1">
      <c r="A32" s="50" t="s">
        <v>1074</v>
      </c>
      <c r="B32" s="50" t="s">
        <v>1075</v>
      </c>
      <c r="C32" s="50" t="s">
        <v>1076</v>
      </c>
      <c r="D32" s="50" t="s">
        <v>1077</v>
      </c>
      <c r="E32" s="50">
        <v>74418</v>
      </c>
      <c r="F32" s="50" t="s">
        <v>1097</v>
      </c>
      <c r="G32" s="50" t="s">
        <v>1098</v>
      </c>
      <c r="H32" s="50" t="s">
        <v>1099</v>
      </c>
      <c r="I32" s="51" t="s">
        <v>1126</v>
      </c>
      <c r="J32" s="51" t="s">
        <v>1133</v>
      </c>
      <c r="K32" s="51" t="s">
        <v>1121</v>
      </c>
      <c r="L32" s="52">
        <v>78</v>
      </c>
      <c r="M32" s="52">
        <f t="shared" si="0"/>
        <v>78</v>
      </c>
      <c r="N32" s="52">
        <v>20</v>
      </c>
      <c r="O32" s="52">
        <f t="shared" si="1"/>
        <v>20.2</v>
      </c>
      <c r="P32" s="50">
        <v>0</v>
      </c>
    </row>
    <row r="33" spans="1:16" ht="16.5" customHeight="1">
      <c r="A33" s="50" t="s">
        <v>1074</v>
      </c>
      <c r="B33" s="50" t="s">
        <v>1075</v>
      </c>
      <c r="C33" s="50" t="s">
        <v>1076</v>
      </c>
      <c r="D33" s="50" t="s">
        <v>1077</v>
      </c>
      <c r="E33" s="50">
        <v>74418</v>
      </c>
      <c r="F33" s="50" t="s">
        <v>1097</v>
      </c>
      <c r="G33" s="50" t="s">
        <v>1098</v>
      </c>
      <c r="H33" s="50" t="s">
        <v>1099</v>
      </c>
      <c r="I33" s="51" t="s">
        <v>1126</v>
      </c>
      <c r="J33" s="51" t="s">
        <v>1134</v>
      </c>
      <c r="K33" s="51" t="s">
        <v>1123</v>
      </c>
      <c r="L33" s="52">
        <v>84</v>
      </c>
      <c r="M33" s="52">
        <f t="shared" si="0"/>
        <v>84</v>
      </c>
      <c r="N33" s="52">
        <v>21.6</v>
      </c>
      <c r="O33" s="52">
        <f t="shared" si="1"/>
        <v>21.8</v>
      </c>
      <c r="P33" s="50">
        <v>0</v>
      </c>
    </row>
    <row r="34" spans="1:16" ht="16.5" customHeight="1">
      <c r="A34" s="50" t="s">
        <v>1074</v>
      </c>
      <c r="B34" s="50" t="s">
        <v>1075</v>
      </c>
      <c r="C34" s="50" t="s">
        <v>1076</v>
      </c>
      <c r="D34" s="50" t="s">
        <v>1077</v>
      </c>
      <c r="E34" s="50">
        <v>74418</v>
      </c>
      <c r="F34" s="50" t="s">
        <v>1097</v>
      </c>
      <c r="G34" s="50" t="s">
        <v>1098</v>
      </c>
      <c r="H34" s="50" t="s">
        <v>1099</v>
      </c>
      <c r="I34" s="51" t="s">
        <v>1126</v>
      </c>
      <c r="J34" s="51" t="s">
        <v>1135</v>
      </c>
      <c r="K34" s="51" t="s">
        <v>1125</v>
      </c>
      <c r="L34" s="52">
        <v>87</v>
      </c>
      <c r="M34" s="52">
        <f t="shared" si="0"/>
        <v>87</v>
      </c>
      <c r="N34" s="52">
        <v>22.4</v>
      </c>
      <c r="O34" s="52">
        <f t="shared" si="1"/>
        <v>22.599999999999998</v>
      </c>
      <c r="P34" s="50">
        <v>0</v>
      </c>
    </row>
    <row r="35" spans="1:16" ht="16.5" customHeight="1">
      <c r="A35" s="50" t="s">
        <v>1074</v>
      </c>
      <c r="B35" s="50" t="s">
        <v>1075</v>
      </c>
      <c r="C35" s="50" t="s">
        <v>1076</v>
      </c>
      <c r="D35" s="50" t="s">
        <v>1077</v>
      </c>
      <c r="E35" s="50">
        <v>74418</v>
      </c>
      <c r="F35" s="50" t="s">
        <v>1097</v>
      </c>
      <c r="G35" s="50" t="s">
        <v>1098</v>
      </c>
      <c r="H35" s="50" t="s">
        <v>1099</v>
      </c>
      <c r="I35" s="51" t="s">
        <v>1126</v>
      </c>
      <c r="J35" s="51" t="s">
        <v>1136</v>
      </c>
      <c r="K35" s="51" t="s">
        <v>1137</v>
      </c>
      <c r="L35" s="52">
        <v>86</v>
      </c>
      <c r="M35" s="52">
        <f t="shared" si="0"/>
        <v>86</v>
      </c>
      <c r="N35" s="52">
        <v>22.1</v>
      </c>
      <c r="O35" s="52">
        <f t="shared" si="1"/>
        <v>22.3</v>
      </c>
      <c r="P35" s="50">
        <v>0</v>
      </c>
    </row>
    <row r="36" spans="1:16" ht="16.5" customHeight="1">
      <c r="A36" s="50" t="s">
        <v>1074</v>
      </c>
      <c r="B36" s="50" t="s">
        <v>1075</v>
      </c>
      <c r="C36" s="50" t="s">
        <v>1076</v>
      </c>
      <c r="D36" s="50" t="s">
        <v>1077</v>
      </c>
      <c r="E36" s="50">
        <v>74418</v>
      </c>
      <c r="F36" s="50" t="s">
        <v>1097</v>
      </c>
      <c r="G36" s="50" t="s">
        <v>1098</v>
      </c>
      <c r="H36" s="50" t="s">
        <v>1099</v>
      </c>
      <c r="I36" s="51" t="s">
        <v>1126</v>
      </c>
      <c r="J36" s="51" t="s">
        <v>1138</v>
      </c>
      <c r="K36" s="51" t="s">
        <v>1139</v>
      </c>
      <c r="L36" s="52">
        <v>84</v>
      </c>
      <c r="M36" s="52">
        <f t="shared" si="0"/>
        <v>84</v>
      </c>
      <c r="N36" s="52">
        <v>21.6</v>
      </c>
      <c r="O36" s="52">
        <f t="shared" si="1"/>
        <v>21.8</v>
      </c>
      <c r="P36" s="50">
        <v>0</v>
      </c>
    </row>
    <row r="37" spans="1:16" ht="16.5" customHeight="1">
      <c r="A37" s="50" t="s">
        <v>1074</v>
      </c>
      <c r="B37" s="50" t="s">
        <v>1075</v>
      </c>
      <c r="C37" s="50" t="s">
        <v>1076</v>
      </c>
      <c r="D37" s="50" t="s">
        <v>1077</v>
      </c>
      <c r="E37" s="50">
        <v>74418</v>
      </c>
      <c r="F37" s="50" t="s">
        <v>1097</v>
      </c>
      <c r="G37" s="50" t="s">
        <v>1098</v>
      </c>
      <c r="H37" s="50" t="s">
        <v>1099</v>
      </c>
      <c r="I37" s="51" t="s">
        <v>1126</v>
      </c>
      <c r="J37" s="51" t="s">
        <v>1140</v>
      </c>
      <c r="K37" s="51" t="s">
        <v>1141</v>
      </c>
      <c r="L37" s="52">
        <v>83</v>
      </c>
      <c r="M37" s="52">
        <f t="shared" si="0"/>
        <v>83</v>
      </c>
      <c r="N37" s="52">
        <v>21.5</v>
      </c>
      <c r="O37" s="52">
        <f t="shared" si="1"/>
        <v>21.7</v>
      </c>
      <c r="P37" s="50">
        <v>0</v>
      </c>
    </row>
    <row r="38" spans="1:16" ht="16.5" customHeight="1">
      <c r="A38" s="50" t="s">
        <v>1074</v>
      </c>
      <c r="B38" s="50" t="s">
        <v>1075</v>
      </c>
      <c r="C38" s="50" t="s">
        <v>1076</v>
      </c>
      <c r="D38" s="50" t="s">
        <v>1077</v>
      </c>
      <c r="E38" s="50">
        <v>74418</v>
      </c>
      <c r="F38" s="50" t="s">
        <v>1097</v>
      </c>
      <c r="G38" s="50" t="s">
        <v>1098</v>
      </c>
      <c r="H38" s="50" t="s">
        <v>1099</v>
      </c>
      <c r="I38" s="51" t="s">
        <v>1126</v>
      </c>
      <c r="J38" s="51" t="s">
        <v>1142</v>
      </c>
      <c r="K38" s="51" t="s">
        <v>1143</v>
      </c>
      <c r="L38" s="52">
        <v>87</v>
      </c>
      <c r="M38" s="52">
        <f t="shared" si="0"/>
        <v>87</v>
      </c>
      <c r="N38" s="52">
        <v>22.3</v>
      </c>
      <c r="O38" s="52">
        <f t="shared" si="1"/>
        <v>22.5</v>
      </c>
      <c r="P38" s="50">
        <v>0</v>
      </c>
    </row>
    <row r="39" spans="1:16" ht="16.5" customHeight="1">
      <c r="A39" s="50" t="s">
        <v>1074</v>
      </c>
      <c r="B39" s="50" t="s">
        <v>1075</v>
      </c>
      <c r="C39" s="50" t="s">
        <v>1076</v>
      </c>
      <c r="D39" s="50" t="s">
        <v>1077</v>
      </c>
      <c r="E39" s="50">
        <v>74418</v>
      </c>
      <c r="F39" s="50" t="s">
        <v>1097</v>
      </c>
      <c r="G39" s="50" t="s">
        <v>1098</v>
      </c>
      <c r="H39" s="50" t="s">
        <v>1099</v>
      </c>
      <c r="I39" s="51" t="s">
        <v>1126</v>
      </c>
      <c r="J39" s="51" t="s">
        <v>1144</v>
      </c>
      <c r="K39" s="51" t="s">
        <v>1145</v>
      </c>
      <c r="L39" s="52">
        <v>79</v>
      </c>
      <c r="M39" s="52">
        <f t="shared" si="0"/>
        <v>79</v>
      </c>
      <c r="N39" s="52">
        <v>20.3</v>
      </c>
      <c r="O39" s="52">
        <f t="shared" si="1"/>
        <v>20.5</v>
      </c>
      <c r="P39" s="50">
        <v>0</v>
      </c>
    </row>
    <row r="40" spans="1:16" ht="16.5" customHeight="1">
      <c r="A40" s="50" t="s">
        <v>1074</v>
      </c>
      <c r="B40" s="50" t="s">
        <v>1075</v>
      </c>
      <c r="C40" s="50" t="s">
        <v>1076</v>
      </c>
      <c r="D40" s="50" t="s">
        <v>1077</v>
      </c>
      <c r="E40" s="50">
        <v>74418</v>
      </c>
      <c r="F40" s="50" t="s">
        <v>1097</v>
      </c>
      <c r="G40" s="50" t="s">
        <v>1098</v>
      </c>
      <c r="H40" s="50" t="s">
        <v>1099</v>
      </c>
      <c r="I40" s="51" t="s">
        <v>1126</v>
      </c>
      <c r="J40" s="51" t="s">
        <v>1146</v>
      </c>
      <c r="K40" s="51" t="s">
        <v>1147</v>
      </c>
      <c r="L40" s="52">
        <v>84</v>
      </c>
      <c r="M40" s="52">
        <f t="shared" si="0"/>
        <v>84</v>
      </c>
      <c r="N40" s="52">
        <v>21.7</v>
      </c>
      <c r="O40" s="52">
        <f t="shared" si="1"/>
        <v>21.9</v>
      </c>
      <c r="P40" s="50">
        <v>0</v>
      </c>
    </row>
    <row r="41" spans="1:16" ht="16.5" customHeight="1">
      <c r="A41" s="50" t="s">
        <v>1074</v>
      </c>
      <c r="B41" s="50" t="s">
        <v>1075</v>
      </c>
      <c r="C41" s="50" t="s">
        <v>1076</v>
      </c>
      <c r="D41" s="50" t="s">
        <v>1077</v>
      </c>
      <c r="E41" s="50">
        <v>74418</v>
      </c>
      <c r="F41" s="50" t="s">
        <v>1097</v>
      </c>
      <c r="G41" s="50" t="s">
        <v>1098</v>
      </c>
      <c r="H41" s="50" t="s">
        <v>1099</v>
      </c>
      <c r="I41" s="51" t="s">
        <v>1126</v>
      </c>
      <c r="J41" s="51" t="s">
        <v>133</v>
      </c>
      <c r="K41" s="51" t="s">
        <v>1148</v>
      </c>
      <c r="L41" s="52">
        <v>84</v>
      </c>
      <c r="M41" s="52">
        <f t="shared" si="0"/>
        <v>84</v>
      </c>
      <c r="N41" s="52">
        <v>21.7</v>
      </c>
      <c r="O41" s="52">
        <f t="shared" si="1"/>
        <v>21.9</v>
      </c>
      <c r="P41" s="50">
        <v>0</v>
      </c>
    </row>
    <row r="42" spans="1:16" ht="16.5" customHeight="1">
      <c r="A42" s="50" t="s">
        <v>1074</v>
      </c>
      <c r="B42" s="50" t="s">
        <v>1075</v>
      </c>
      <c r="C42" s="50" t="s">
        <v>1076</v>
      </c>
      <c r="D42" s="50" t="s">
        <v>1077</v>
      </c>
      <c r="E42" s="50">
        <v>74418</v>
      </c>
      <c r="F42" s="50" t="s">
        <v>1149</v>
      </c>
      <c r="G42" s="50" t="s">
        <v>1150</v>
      </c>
      <c r="H42" s="50" t="s">
        <v>1151</v>
      </c>
      <c r="I42" s="51" t="s">
        <v>1152</v>
      </c>
      <c r="J42" s="51" t="s">
        <v>1153</v>
      </c>
      <c r="K42" s="51" t="s">
        <v>1083</v>
      </c>
      <c r="L42" s="52">
        <v>83</v>
      </c>
      <c r="M42" s="52">
        <f t="shared" si="0"/>
        <v>83</v>
      </c>
      <c r="N42" s="52">
        <v>21.5</v>
      </c>
      <c r="O42" s="52">
        <f t="shared" si="1"/>
        <v>21.7</v>
      </c>
      <c r="P42" s="50">
        <v>0</v>
      </c>
    </row>
    <row r="43" spans="1:16" ht="16.5" customHeight="1">
      <c r="A43" s="50" t="s">
        <v>1074</v>
      </c>
      <c r="B43" s="50" t="s">
        <v>1075</v>
      </c>
      <c r="C43" s="50" t="s">
        <v>1076</v>
      </c>
      <c r="D43" s="50" t="s">
        <v>1077</v>
      </c>
      <c r="E43" s="50">
        <v>74418</v>
      </c>
      <c r="F43" s="50" t="s">
        <v>1149</v>
      </c>
      <c r="G43" s="50" t="s">
        <v>1150</v>
      </c>
      <c r="H43" s="50" t="s">
        <v>1151</v>
      </c>
      <c r="I43" s="51" t="s">
        <v>1152</v>
      </c>
      <c r="J43" s="51" t="s">
        <v>1154</v>
      </c>
      <c r="K43" s="51" t="s">
        <v>1085</v>
      </c>
      <c r="L43" s="52">
        <v>77</v>
      </c>
      <c r="M43" s="52">
        <f t="shared" si="0"/>
        <v>77</v>
      </c>
      <c r="N43" s="52">
        <v>19.899999999999999</v>
      </c>
      <c r="O43" s="52">
        <f t="shared" si="1"/>
        <v>20.099999999999998</v>
      </c>
      <c r="P43" s="50">
        <v>0</v>
      </c>
    </row>
    <row r="44" spans="1:16" ht="16.5" customHeight="1">
      <c r="A44" s="50" t="s">
        <v>1074</v>
      </c>
      <c r="B44" s="50" t="s">
        <v>1075</v>
      </c>
      <c r="C44" s="50" t="s">
        <v>1076</v>
      </c>
      <c r="D44" s="50" t="s">
        <v>1077</v>
      </c>
      <c r="E44" s="50">
        <v>74418</v>
      </c>
      <c r="F44" s="50" t="s">
        <v>1155</v>
      </c>
      <c r="G44" s="50" t="s">
        <v>1156</v>
      </c>
      <c r="H44" s="50" t="s">
        <v>1157</v>
      </c>
      <c r="I44" s="51" t="s">
        <v>1158</v>
      </c>
      <c r="J44" s="51" t="s">
        <v>1159</v>
      </c>
      <c r="K44" s="51" t="s">
        <v>1083</v>
      </c>
      <c r="L44" s="52">
        <v>82</v>
      </c>
      <c r="M44" s="52">
        <f t="shared" si="0"/>
        <v>82</v>
      </c>
      <c r="N44" s="52">
        <v>21.2</v>
      </c>
      <c r="O44" s="52">
        <f t="shared" si="1"/>
        <v>21.4</v>
      </c>
      <c r="P44" s="50">
        <v>0</v>
      </c>
    </row>
    <row r="45" spans="1:16" ht="16.5" customHeight="1">
      <c r="A45" s="50" t="s">
        <v>1074</v>
      </c>
      <c r="B45" s="50" t="s">
        <v>1075</v>
      </c>
      <c r="C45" s="50" t="s">
        <v>1076</v>
      </c>
      <c r="D45" s="50" t="s">
        <v>1077</v>
      </c>
      <c r="E45" s="50">
        <v>74418</v>
      </c>
      <c r="F45" s="50" t="s">
        <v>1155</v>
      </c>
      <c r="G45" s="50" t="s">
        <v>1156</v>
      </c>
      <c r="H45" s="50" t="s">
        <v>1157</v>
      </c>
      <c r="I45" s="51" t="s">
        <v>1158</v>
      </c>
      <c r="J45" s="51" t="s">
        <v>1160</v>
      </c>
      <c r="K45" s="51" t="s">
        <v>1085</v>
      </c>
      <c r="L45" s="52">
        <v>82</v>
      </c>
      <c r="M45" s="52">
        <f t="shared" si="0"/>
        <v>82</v>
      </c>
      <c r="N45" s="52">
        <v>21.3</v>
      </c>
      <c r="O45" s="52">
        <f t="shared" si="1"/>
        <v>21.5</v>
      </c>
      <c r="P45" s="50">
        <v>0</v>
      </c>
    </row>
    <row r="46" spans="1:16" ht="16.5" customHeight="1">
      <c r="A46" s="50" t="s">
        <v>1074</v>
      </c>
      <c r="B46" s="50" t="s">
        <v>1075</v>
      </c>
      <c r="C46" s="50" t="s">
        <v>1076</v>
      </c>
      <c r="D46" s="50" t="s">
        <v>1077</v>
      </c>
      <c r="E46" s="50">
        <v>74418</v>
      </c>
      <c r="F46" s="50" t="s">
        <v>1155</v>
      </c>
      <c r="G46" s="50" t="s">
        <v>1156</v>
      </c>
      <c r="H46" s="50" t="s">
        <v>1157</v>
      </c>
      <c r="I46" s="51" t="s">
        <v>1158</v>
      </c>
      <c r="J46" s="51" t="s">
        <v>1161</v>
      </c>
      <c r="K46" s="51" t="s">
        <v>1089</v>
      </c>
      <c r="L46" s="52">
        <v>82</v>
      </c>
      <c r="M46" s="52">
        <f t="shared" si="0"/>
        <v>82</v>
      </c>
      <c r="N46" s="52">
        <v>21.3</v>
      </c>
      <c r="O46" s="52">
        <f t="shared" si="1"/>
        <v>21.5</v>
      </c>
      <c r="P46" s="50">
        <v>0</v>
      </c>
    </row>
    <row r="47" spans="1:16" ht="16.5" customHeight="1">
      <c r="A47" s="50" t="s">
        <v>1074</v>
      </c>
      <c r="B47" s="50" t="s">
        <v>1075</v>
      </c>
      <c r="C47" s="50" t="s">
        <v>1076</v>
      </c>
      <c r="D47" s="50" t="s">
        <v>1077</v>
      </c>
      <c r="E47" s="50">
        <v>74418</v>
      </c>
      <c r="F47" s="50" t="s">
        <v>1155</v>
      </c>
      <c r="G47" s="50" t="s">
        <v>1156</v>
      </c>
      <c r="H47" s="50" t="s">
        <v>1157</v>
      </c>
      <c r="I47" s="51" t="s">
        <v>1158</v>
      </c>
      <c r="J47" s="51" t="s">
        <v>1162</v>
      </c>
      <c r="K47" s="51" t="s">
        <v>1092</v>
      </c>
      <c r="L47" s="52">
        <v>82</v>
      </c>
      <c r="M47" s="52">
        <f t="shared" si="0"/>
        <v>82</v>
      </c>
      <c r="N47" s="52">
        <v>21.4</v>
      </c>
      <c r="O47" s="52">
        <f t="shared" si="1"/>
        <v>21.599999999999998</v>
      </c>
      <c r="P47" s="50">
        <v>0</v>
      </c>
    </row>
    <row r="48" spans="1:16" ht="16.5" customHeight="1">
      <c r="A48" s="50" t="s">
        <v>1074</v>
      </c>
      <c r="B48" s="50" t="s">
        <v>1075</v>
      </c>
      <c r="C48" s="50" t="s">
        <v>1076</v>
      </c>
      <c r="D48" s="50" t="s">
        <v>1077</v>
      </c>
      <c r="E48" s="50">
        <v>74418</v>
      </c>
      <c r="F48" s="50" t="s">
        <v>1155</v>
      </c>
      <c r="G48" s="50" t="s">
        <v>1156</v>
      </c>
      <c r="H48" s="50" t="s">
        <v>1157</v>
      </c>
      <c r="I48" s="51" t="s">
        <v>1158</v>
      </c>
      <c r="J48" s="51" t="s">
        <v>1163</v>
      </c>
      <c r="K48" s="51" t="s">
        <v>1094</v>
      </c>
      <c r="L48" s="52">
        <v>82</v>
      </c>
      <c r="M48" s="52">
        <f t="shared" si="0"/>
        <v>82</v>
      </c>
      <c r="N48" s="52">
        <v>21.3</v>
      </c>
      <c r="O48" s="52">
        <f t="shared" si="1"/>
        <v>21.5</v>
      </c>
      <c r="P48" s="50">
        <v>0</v>
      </c>
    </row>
    <row r="49" spans="1:16" ht="16.5" customHeight="1">
      <c r="A49" s="50" t="s">
        <v>1074</v>
      </c>
      <c r="B49" s="50" t="s">
        <v>1075</v>
      </c>
      <c r="C49" s="50" t="s">
        <v>1076</v>
      </c>
      <c r="D49" s="50" t="s">
        <v>1077</v>
      </c>
      <c r="E49" s="50">
        <v>74418</v>
      </c>
      <c r="F49" s="50" t="s">
        <v>1155</v>
      </c>
      <c r="G49" s="50" t="s">
        <v>1156</v>
      </c>
      <c r="H49" s="50" t="s">
        <v>1157</v>
      </c>
      <c r="I49" s="51" t="s">
        <v>1158</v>
      </c>
      <c r="J49" s="51" t="s">
        <v>1164</v>
      </c>
      <c r="K49" s="51" t="s">
        <v>1096</v>
      </c>
      <c r="L49" s="52">
        <v>80</v>
      </c>
      <c r="M49" s="52">
        <f t="shared" si="0"/>
        <v>80</v>
      </c>
      <c r="N49" s="52">
        <v>20.8</v>
      </c>
      <c r="O49" s="52">
        <f t="shared" si="1"/>
        <v>21</v>
      </c>
      <c r="P49" s="50">
        <v>0</v>
      </c>
    </row>
    <row r="50" spans="1:16" ht="16.5" customHeight="1">
      <c r="A50" s="50" t="s">
        <v>1074</v>
      </c>
      <c r="B50" s="50" t="s">
        <v>1075</v>
      </c>
      <c r="C50" s="50" t="s">
        <v>1076</v>
      </c>
      <c r="D50" s="50" t="s">
        <v>1077</v>
      </c>
      <c r="E50" s="50">
        <v>74418</v>
      </c>
      <c r="F50" s="50" t="s">
        <v>1155</v>
      </c>
      <c r="G50" s="50" t="s">
        <v>1156</v>
      </c>
      <c r="H50" s="50" t="s">
        <v>1157</v>
      </c>
      <c r="I50" s="51" t="s">
        <v>1158</v>
      </c>
      <c r="J50" s="51" t="s">
        <v>1165</v>
      </c>
      <c r="K50" s="51" t="s">
        <v>1109</v>
      </c>
      <c r="L50" s="52">
        <v>82</v>
      </c>
      <c r="M50" s="52">
        <f t="shared" si="0"/>
        <v>82</v>
      </c>
      <c r="N50" s="52">
        <v>21.3</v>
      </c>
      <c r="O50" s="52">
        <f t="shared" si="1"/>
        <v>21.5</v>
      </c>
      <c r="P50" s="50">
        <v>0</v>
      </c>
    </row>
    <row r="51" spans="1:16" ht="16.5" customHeight="1">
      <c r="A51" s="50" t="s">
        <v>1074</v>
      </c>
      <c r="B51" s="50" t="s">
        <v>1075</v>
      </c>
      <c r="C51" s="50" t="s">
        <v>1076</v>
      </c>
      <c r="D51" s="50" t="s">
        <v>1077</v>
      </c>
      <c r="E51" s="50">
        <v>74418</v>
      </c>
      <c r="F51" s="50" t="s">
        <v>1155</v>
      </c>
      <c r="G51" s="50" t="s">
        <v>1156</v>
      </c>
      <c r="H51" s="50" t="s">
        <v>1157</v>
      </c>
      <c r="I51" s="51" t="s">
        <v>1158</v>
      </c>
      <c r="J51" s="51" t="s">
        <v>1127</v>
      </c>
      <c r="K51" s="51" t="s">
        <v>1111</v>
      </c>
      <c r="L51" s="52">
        <v>82</v>
      </c>
      <c r="M51" s="52">
        <f t="shared" si="0"/>
        <v>82</v>
      </c>
      <c r="N51" s="52">
        <v>21.4</v>
      </c>
      <c r="O51" s="52">
        <f t="shared" si="1"/>
        <v>21.599999999999998</v>
      </c>
      <c r="P51" s="50">
        <v>0</v>
      </c>
    </row>
    <row r="52" spans="1:16" ht="16.5" customHeight="1">
      <c r="A52" s="50" t="s">
        <v>1074</v>
      </c>
      <c r="B52" s="50" t="s">
        <v>1075</v>
      </c>
      <c r="C52" s="50" t="s">
        <v>1076</v>
      </c>
      <c r="D52" s="50" t="s">
        <v>1077</v>
      </c>
      <c r="E52" s="50">
        <v>74418</v>
      </c>
      <c r="F52" s="50" t="s">
        <v>1155</v>
      </c>
      <c r="G52" s="50" t="s">
        <v>1156</v>
      </c>
      <c r="H52" s="50" t="s">
        <v>1157</v>
      </c>
      <c r="I52" s="51" t="s">
        <v>1158</v>
      </c>
      <c r="J52" s="51" t="s">
        <v>1128</v>
      </c>
      <c r="K52" s="51" t="s">
        <v>1113</v>
      </c>
      <c r="L52" s="52">
        <v>82</v>
      </c>
      <c r="M52" s="52">
        <f t="shared" si="0"/>
        <v>82</v>
      </c>
      <c r="N52" s="52">
        <v>21.4</v>
      </c>
      <c r="O52" s="52">
        <f t="shared" si="1"/>
        <v>21.599999999999998</v>
      </c>
      <c r="P52" s="50">
        <v>0</v>
      </c>
    </row>
    <row r="53" spans="1:16" ht="16.5" customHeight="1">
      <c r="A53" s="50" t="s">
        <v>1074</v>
      </c>
      <c r="B53" s="50" t="s">
        <v>1075</v>
      </c>
      <c r="C53" s="50" t="s">
        <v>1076</v>
      </c>
      <c r="D53" s="50" t="s">
        <v>1077</v>
      </c>
      <c r="E53" s="50">
        <v>74418</v>
      </c>
      <c r="F53" s="50" t="s">
        <v>1155</v>
      </c>
      <c r="G53" s="50" t="s">
        <v>1156</v>
      </c>
      <c r="H53" s="50" t="s">
        <v>1157</v>
      </c>
      <c r="I53" s="51" t="s">
        <v>1158</v>
      </c>
      <c r="J53" s="51" t="s">
        <v>1129</v>
      </c>
      <c r="K53" s="51" t="s">
        <v>1115</v>
      </c>
      <c r="L53" s="52">
        <v>80</v>
      </c>
      <c r="M53" s="52">
        <f t="shared" si="0"/>
        <v>80</v>
      </c>
      <c r="N53" s="52">
        <v>20.8</v>
      </c>
      <c r="O53" s="52">
        <f t="shared" si="1"/>
        <v>21</v>
      </c>
      <c r="P53" s="50">
        <v>0</v>
      </c>
    </row>
    <row r="54" spans="1:16" ht="16.5" customHeight="1">
      <c r="A54" s="50" t="s">
        <v>1074</v>
      </c>
      <c r="B54" s="50" t="s">
        <v>1075</v>
      </c>
      <c r="C54" s="50" t="s">
        <v>1076</v>
      </c>
      <c r="D54" s="50" t="s">
        <v>1077</v>
      </c>
      <c r="E54" s="50">
        <v>74418</v>
      </c>
      <c r="F54" s="50" t="s">
        <v>1155</v>
      </c>
      <c r="G54" s="50" t="s">
        <v>1156</v>
      </c>
      <c r="H54" s="50" t="s">
        <v>1157</v>
      </c>
      <c r="I54" s="51" t="s">
        <v>1158</v>
      </c>
      <c r="J54" s="51" t="s">
        <v>1130</v>
      </c>
      <c r="K54" s="51" t="s">
        <v>1117</v>
      </c>
      <c r="L54" s="52">
        <v>82</v>
      </c>
      <c r="M54" s="52">
        <f t="shared" si="0"/>
        <v>82</v>
      </c>
      <c r="N54" s="52">
        <v>21.2</v>
      </c>
      <c r="O54" s="52">
        <f t="shared" si="1"/>
        <v>21.4</v>
      </c>
      <c r="P54" s="50">
        <v>0</v>
      </c>
    </row>
    <row r="55" spans="1:16" ht="16.5" customHeight="1">
      <c r="A55" s="50" t="s">
        <v>1074</v>
      </c>
      <c r="B55" s="50" t="s">
        <v>1075</v>
      </c>
      <c r="C55" s="50" t="s">
        <v>1076</v>
      </c>
      <c r="D55" s="50" t="s">
        <v>1077</v>
      </c>
      <c r="E55" s="50">
        <v>74418</v>
      </c>
      <c r="F55" s="50" t="s">
        <v>1155</v>
      </c>
      <c r="G55" s="50" t="s">
        <v>1156</v>
      </c>
      <c r="H55" s="50" t="s">
        <v>1157</v>
      </c>
      <c r="I55" s="51" t="s">
        <v>1158</v>
      </c>
      <c r="J55" s="51" t="s">
        <v>1131</v>
      </c>
      <c r="K55" s="51" t="s">
        <v>1121</v>
      </c>
      <c r="L55" s="52">
        <v>79</v>
      </c>
      <c r="M55" s="52">
        <f t="shared" si="0"/>
        <v>83</v>
      </c>
      <c r="N55" s="52">
        <v>21.5</v>
      </c>
      <c r="O55" s="52">
        <f t="shared" si="1"/>
        <v>21.7</v>
      </c>
      <c r="P55" s="50">
        <v>4</v>
      </c>
    </row>
    <row r="56" spans="1:16" ht="16.5" customHeight="1">
      <c r="A56" s="50" t="s">
        <v>1074</v>
      </c>
      <c r="B56" s="50" t="s">
        <v>1075</v>
      </c>
      <c r="C56" s="50" t="s">
        <v>1076</v>
      </c>
      <c r="D56" s="50" t="s">
        <v>1077</v>
      </c>
      <c r="E56" s="50">
        <v>74418</v>
      </c>
      <c r="F56" s="50" t="s">
        <v>1155</v>
      </c>
      <c r="G56" s="50" t="s">
        <v>1156</v>
      </c>
      <c r="H56" s="50" t="s">
        <v>1157</v>
      </c>
      <c r="I56" s="51" t="s">
        <v>1158</v>
      </c>
      <c r="J56" s="51" t="s">
        <v>1132</v>
      </c>
      <c r="K56" s="51" t="s">
        <v>1123</v>
      </c>
      <c r="L56" s="52">
        <v>79</v>
      </c>
      <c r="M56" s="52">
        <f t="shared" si="0"/>
        <v>82</v>
      </c>
      <c r="N56" s="52">
        <v>21.4</v>
      </c>
      <c r="O56" s="52">
        <f t="shared" si="1"/>
        <v>21.599999999999998</v>
      </c>
      <c r="P56" s="50">
        <v>3</v>
      </c>
    </row>
    <row r="57" spans="1:16" ht="16.5" customHeight="1">
      <c r="A57" s="50" t="s">
        <v>1074</v>
      </c>
      <c r="B57" s="50" t="s">
        <v>1075</v>
      </c>
      <c r="C57" s="50" t="s">
        <v>1076</v>
      </c>
      <c r="D57" s="50" t="s">
        <v>1077</v>
      </c>
      <c r="E57" s="50">
        <v>74418</v>
      </c>
      <c r="F57" s="50" t="s">
        <v>1166</v>
      </c>
      <c r="G57" s="50" t="s">
        <v>1167</v>
      </c>
      <c r="H57" s="50" t="s">
        <v>1168</v>
      </c>
      <c r="I57" s="51" t="s">
        <v>1169</v>
      </c>
      <c r="J57" s="51" t="s">
        <v>1170</v>
      </c>
      <c r="K57" s="51" t="s">
        <v>1083</v>
      </c>
      <c r="L57" s="52">
        <v>83</v>
      </c>
      <c r="M57" s="52">
        <f t="shared" si="0"/>
        <v>83</v>
      </c>
      <c r="N57" s="52">
        <v>21.4</v>
      </c>
      <c r="O57" s="52">
        <f t="shared" si="1"/>
        <v>21.599999999999998</v>
      </c>
      <c r="P57" s="50">
        <v>0</v>
      </c>
    </row>
    <row r="58" spans="1:16" ht="16.5" customHeight="1">
      <c r="A58" s="50" t="s">
        <v>1074</v>
      </c>
      <c r="B58" s="50" t="s">
        <v>1075</v>
      </c>
      <c r="C58" s="50" t="s">
        <v>1076</v>
      </c>
      <c r="D58" s="50" t="s">
        <v>1077</v>
      </c>
      <c r="E58" s="50">
        <v>74418</v>
      </c>
      <c r="F58" s="50" t="s">
        <v>1166</v>
      </c>
      <c r="G58" s="50" t="s">
        <v>1167</v>
      </c>
      <c r="H58" s="50" t="s">
        <v>1168</v>
      </c>
      <c r="I58" s="51" t="s">
        <v>1169</v>
      </c>
      <c r="J58" s="51" t="s">
        <v>1171</v>
      </c>
      <c r="K58" s="51" t="s">
        <v>1085</v>
      </c>
      <c r="L58" s="52">
        <v>84</v>
      </c>
      <c r="M58" s="52">
        <f t="shared" si="0"/>
        <v>84</v>
      </c>
      <c r="N58" s="52">
        <v>21.6</v>
      </c>
      <c r="O58" s="52">
        <f t="shared" si="1"/>
        <v>21.8</v>
      </c>
      <c r="P58" s="50">
        <v>0</v>
      </c>
    </row>
    <row r="59" spans="1:16" ht="16.5" customHeight="1">
      <c r="A59" s="50" t="s">
        <v>1074</v>
      </c>
      <c r="B59" s="50" t="s">
        <v>1075</v>
      </c>
      <c r="C59" s="50" t="s">
        <v>1076</v>
      </c>
      <c r="D59" s="50" t="s">
        <v>1077</v>
      </c>
      <c r="E59" s="50">
        <v>74418</v>
      </c>
      <c r="F59" s="50" t="s">
        <v>1166</v>
      </c>
      <c r="G59" s="50" t="s">
        <v>1167</v>
      </c>
      <c r="H59" s="50" t="s">
        <v>1168</v>
      </c>
      <c r="I59" s="51" t="s">
        <v>1169</v>
      </c>
      <c r="J59" s="51" t="s">
        <v>1172</v>
      </c>
      <c r="K59" s="51" t="s">
        <v>1087</v>
      </c>
      <c r="L59" s="52">
        <v>84</v>
      </c>
      <c r="M59" s="52">
        <f t="shared" si="0"/>
        <v>84</v>
      </c>
      <c r="N59" s="52">
        <v>21.6</v>
      </c>
      <c r="O59" s="52">
        <f t="shared" si="1"/>
        <v>21.8</v>
      </c>
      <c r="P59" s="50">
        <v>0</v>
      </c>
    </row>
    <row r="60" spans="1:16" ht="16.5" customHeight="1">
      <c r="A60" s="50" t="s">
        <v>1074</v>
      </c>
      <c r="B60" s="50" t="s">
        <v>1075</v>
      </c>
      <c r="C60" s="50" t="s">
        <v>1076</v>
      </c>
      <c r="D60" s="50" t="s">
        <v>1077</v>
      </c>
      <c r="E60" s="50">
        <v>74418</v>
      </c>
      <c r="F60" s="50" t="s">
        <v>1166</v>
      </c>
      <c r="G60" s="50" t="s">
        <v>1167</v>
      </c>
      <c r="H60" s="50" t="s">
        <v>1168</v>
      </c>
      <c r="I60" s="51" t="s">
        <v>1169</v>
      </c>
      <c r="J60" s="51" t="s">
        <v>1173</v>
      </c>
      <c r="K60" s="51" t="s">
        <v>1089</v>
      </c>
      <c r="L60" s="52">
        <v>84</v>
      </c>
      <c r="M60" s="52">
        <f t="shared" si="0"/>
        <v>84</v>
      </c>
      <c r="N60" s="52">
        <v>21.6</v>
      </c>
      <c r="O60" s="52">
        <f t="shared" si="1"/>
        <v>21.8</v>
      </c>
      <c r="P60" s="50">
        <v>0</v>
      </c>
    </row>
    <row r="61" spans="1:16" ht="16.5" customHeight="1">
      <c r="A61" s="50" t="s">
        <v>1074</v>
      </c>
      <c r="B61" s="50" t="s">
        <v>1075</v>
      </c>
      <c r="C61" s="50" t="s">
        <v>1076</v>
      </c>
      <c r="D61" s="50" t="s">
        <v>1077</v>
      </c>
      <c r="E61" s="50">
        <v>74418</v>
      </c>
      <c r="F61" s="50" t="s">
        <v>1166</v>
      </c>
      <c r="G61" s="50" t="s">
        <v>1167</v>
      </c>
      <c r="H61" s="50" t="s">
        <v>1168</v>
      </c>
      <c r="I61" s="51" t="s">
        <v>1169</v>
      </c>
      <c r="J61" s="51" t="s">
        <v>1174</v>
      </c>
      <c r="K61" s="51" t="s">
        <v>1092</v>
      </c>
      <c r="L61" s="52">
        <v>84</v>
      </c>
      <c r="M61" s="52">
        <f t="shared" si="0"/>
        <v>84</v>
      </c>
      <c r="N61" s="52">
        <v>21.6</v>
      </c>
      <c r="O61" s="52">
        <f t="shared" si="1"/>
        <v>21.8</v>
      </c>
      <c r="P61" s="50">
        <v>0</v>
      </c>
    </row>
    <row r="62" spans="1:16" ht="16.5" customHeight="1">
      <c r="A62" s="50" t="s">
        <v>1074</v>
      </c>
      <c r="B62" s="50" t="s">
        <v>1075</v>
      </c>
      <c r="C62" s="50" t="s">
        <v>1076</v>
      </c>
      <c r="D62" s="50" t="s">
        <v>1077</v>
      </c>
      <c r="E62" s="50">
        <v>74418</v>
      </c>
      <c r="F62" s="50" t="s">
        <v>1166</v>
      </c>
      <c r="G62" s="50" t="s">
        <v>1167</v>
      </c>
      <c r="H62" s="50" t="s">
        <v>1168</v>
      </c>
      <c r="I62" s="51" t="s">
        <v>1169</v>
      </c>
      <c r="J62" s="51" t="s">
        <v>1175</v>
      </c>
      <c r="K62" s="51" t="s">
        <v>1094</v>
      </c>
      <c r="L62" s="52">
        <v>85</v>
      </c>
      <c r="M62" s="52">
        <f t="shared" si="0"/>
        <v>85</v>
      </c>
      <c r="N62" s="52">
        <v>22</v>
      </c>
      <c r="O62" s="52">
        <f t="shared" si="1"/>
        <v>22.2</v>
      </c>
      <c r="P62" s="50">
        <v>0</v>
      </c>
    </row>
    <row r="63" spans="1:16" ht="16.5" customHeight="1">
      <c r="A63" s="50" t="s">
        <v>1074</v>
      </c>
      <c r="B63" s="50" t="s">
        <v>1075</v>
      </c>
      <c r="C63" s="50" t="s">
        <v>1076</v>
      </c>
      <c r="D63" s="50" t="s">
        <v>1077</v>
      </c>
      <c r="E63" s="50">
        <v>74418</v>
      </c>
      <c r="F63" s="50" t="s">
        <v>1166</v>
      </c>
      <c r="G63" s="50" t="s">
        <v>1167</v>
      </c>
      <c r="H63" s="50" t="s">
        <v>1168</v>
      </c>
      <c r="I63" s="51" t="s">
        <v>1169</v>
      </c>
      <c r="J63" s="51" t="s">
        <v>1176</v>
      </c>
      <c r="K63" s="51" t="s">
        <v>1096</v>
      </c>
      <c r="L63" s="52">
        <v>81</v>
      </c>
      <c r="M63" s="52">
        <f t="shared" si="0"/>
        <v>81</v>
      </c>
      <c r="N63" s="52">
        <v>20.9</v>
      </c>
      <c r="O63" s="52">
        <f t="shared" si="1"/>
        <v>21.099999999999998</v>
      </c>
      <c r="P63" s="50">
        <v>0</v>
      </c>
    </row>
    <row r="64" spans="1:16" ht="16.5" customHeight="1">
      <c r="A64" s="50" t="s">
        <v>1074</v>
      </c>
      <c r="B64" s="50" t="s">
        <v>1075</v>
      </c>
      <c r="C64" s="50" t="s">
        <v>1076</v>
      </c>
      <c r="D64" s="50" t="s">
        <v>1077</v>
      </c>
      <c r="E64" s="50">
        <v>74418</v>
      </c>
      <c r="F64" s="50" t="s">
        <v>1166</v>
      </c>
      <c r="G64" s="50" t="s">
        <v>1167</v>
      </c>
      <c r="H64" s="50" t="s">
        <v>1168</v>
      </c>
      <c r="I64" s="51" t="s">
        <v>1169</v>
      </c>
      <c r="J64" s="51" t="s">
        <v>1177</v>
      </c>
      <c r="K64" s="51" t="s">
        <v>1109</v>
      </c>
      <c r="L64" s="52">
        <v>86</v>
      </c>
      <c r="M64" s="52">
        <f t="shared" si="0"/>
        <v>86</v>
      </c>
      <c r="N64" s="52">
        <v>22.2</v>
      </c>
      <c r="O64" s="52">
        <f t="shared" si="1"/>
        <v>22.4</v>
      </c>
      <c r="P64" s="50">
        <v>0</v>
      </c>
    </row>
    <row r="65" spans="1:16" ht="16.5" customHeight="1">
      <c r="A65" s="50" t="s">
        <v>1074</v>
      </c>
      <c r="B65" s="50" t="s">
        <v>1075</v>
      </c>
      <c r="C65" s="50" t="s">
        <v>1076</v>
      </c>
      <c r="D65" s="50" t="s">
        <v>1077</v>
      </c>
      <c r="E65" s="50">
        <v>74418</v>
      </c>
      <c r="F65" s="50" t="s">
        <v>1166</v>
      </c>
      <c r="G65" s="50" t="s">
        <v>1167</v>
      </c>
      <c r="H65" s="50" t="s">
        <v>1168</v>
      </c>
      <c r="I65" s="51" t="s">
        <v>1169</v>
      </c>
      <c r="J65" s="51" t="s">
        <v>1178</v>
      </c>
      <c r="K65" s="51" t="s">
        <v>1111</v>
      </c>
      <c r="L65" s="52">
        <v>84</v>
      </c>
      <c r="M65" s="52">
        <f t="shared" si="0"/>
        <v>84</v>
      </c>
      <c r="N65" s="52">
        <v>21.6</v>
      </c>
      <c r="O65" s="52">
        <f t="shared" si="1"/>
        <v>21.8</v>
      </c>
      <c r="P65" s="50">
        <v>0</v>
      </c>
    </row>
    <row r="66" spans="1:16" ht="16.5" customHeight="1">
      <c r="A66" s="50" t="s">
        <v>1074</v>
      </c>
      <c r="B66" s="50" t="s">
        <v>1075</v>
      </c>
      <c r="C66" s="50" t="s">
        <v>1076</v>
      </c>
      <c r="D66" s="50" t="s">
        <v>1077</v>
      </c>
      <c r="E66" s="50">
        <v>74418</v>
      </c>
      <c r="F66" s="50" t="s">
        <v>1166</v>
      </c>
      <c r="G66" s="50" t="s">
        <v>1167</v>
      </c>
      <c r="H66" s="50" t="s">
        <v>1168</v>
      </c>
      <c r="I66" s="51" t="s">
        <v>1169</v>
      </c>
      <c r="J66" s="51" t="s">
        <v>1179</v>
      </c>
      <c r="K66" s="51" t="s">
        <v>1113</v>
      </c>
      <c r="L66" s="52">
        <v>86</v>
      </c>
      <c r="M66" s="52">
        <f t="shared" si="0"/>
        <v>86</v>
      </c>
      <c r="N66" s="52">
        <v>22.1</v>
      </c>
      <c r="O66" s="52">
        <f t="shared" si="1"/>
        <v>22.3</v>
      </c>
      <c r="P66" s="50">
        <v>0</v>
      </c>
    </row>
    <row r="67" spans="1:16" ht="16.5" customHeight="1">
      <c r="A67" s="50" t="s">
        <v>1074</v>
      </c>
      <c r="B67" s="50" t="s">
        <v>1075</v>
      </c>
      <c r="C67" s="50" t="s">
        <v>1076</v>
      </c>
      <c r="D67" s="50" t="s">
        <v>1077</v>
      </c>
      <c r="E67" s="50">
        <v>74418</v>
      </c>
      <c r="F67" s="50" t="s">
        <v>1166</v>
      </c>
      <c r="G67" s="50" t="s">
        <v>1167</v>
      </c>
      <c r="H67" s="50" t="s">
        <v>1168</v>
      </c>
      <c r="I67" s="51" t="s">
        <v>1169</v>
      </c>
      <c r="J67" s="51" t="s">
        <v>1180</v>
      </c>
      <c r="K67" s="51" t="s">
        <v>1115</v>
      </c>
      <c r="L67" s="52">
        <v>82</v>
      </c>
      <c r="M67" s="52">
        <f t="shared" si="0"/>
        <v>82</v>
      </c>
      <c r="N67" s="52">
        <v>21</v>
      </c>
      <c r="O67" s="52">
        <f t="shared" si="1"/>
        <v>21.2</v>
      </c>
      <c r="P67" s="50">
        <v>0</v>
      </c>
    </row>
    <row r="68" spans="1:16" ht="16.5" customHeight="1">
      <c r="A68" s="50" t="s">
        <v>1074</v>
      </c>
      <c r="B68" s="50" t="s">
        <v>1075</v>
      </c>
      <c r="C68" s="50" t="s">
        <v>1076</v>
      </c>
      <c r="D68" s="50" t="s">
        <v>1077</v>
      </c>
      <c r="E68" s="50">
        <v>74418</v>
      </c>
      <c r="F68" s="50" t="s">
        <v>1166</v>
      </c>
      <c r="G68" s="50" t="s">
        <v>1167</v>
      </c>
      <c r="H68" s="50" t="s">
        <v>1168</v>
      </c>
      <c r="I68" s="51" t="s">
        <v>1169</v>
      </c>
      <c r="J68" s="51" t="s">
        <v>1181</v>
      </c>
      <c r="K68" s="51" t="s">
        <v>1117</v>
      </c>
      <c r="L68" s="52">
        <v>72</v>
      </c>
      <c r="M68" s="52">
        <f t="shared" ref="M68:M131" si="2">L68+P68</f>
        <v>72</v>
      </c>
      <c r="N68" s="52">
        <v>18.5</v>
      </c>
      <c r="O68" s="52">
        <f t="shared" ref="O68:O131" si="3">N68+0.2</f>
        <v>18.7</v>
      </c>
      <c r="P68" s="50">
        <v>0</v>
      </c>
    </row>
    <row r="69" spans="1:16" ht="16.5" customHeight="1">
      <c r="A69" s="50" t="s">
        <v>1074</v>
      </c>
      <c r="B69" s="50" t="s">
        <v>1075</v>
      </c>
      <c r="C69" s="50" t="s">
        <v>1076</v>
      </c>
      <c r="D69" s="50" t="s">
        <v>1077</v>
      </c>
      <c r="E69" s="50">
        <v>74418</v>
      </c>
      <c r="F69" s="50" t="s">
        <v>1166</v>
      </c>
      <c r="G69" s="50" t="s">
        <v>1167</v>
      </c>
      <c r="H69" s="50" t="s">
        <v>1168</v>
      </c>
      <c r="I69" s="51" t="s">
        <v>1169</v>
      </c>
      <c r="J69" s="51" t="s">
        <v>1182</v>
      </c>
      <c r="K69" s="51" t="s">
        <v>1119</v>
      </c>
      <c r="L69" s="52">
        <v>87</v>
      </c>
      <c r="M69" s="52">
        <f t="shared" si="2"/>
        <v>87</v>
      </c>
      <c r="N69" s="52">
        <v>22.4</v>
      </c>
      <c r="O69" s="52">
        <f t="shared" si="3"/>
        <v>22.599999999999998</v>
      </c>
      <c r="P69" s="50">
        <v>0</v>
      </c>
    </row>
    <row r="70" spans="1:16" ht="16.5" customHeight="1">
      <c r="A70" s="50" t="s">
        <v>1074</v>
      </c>
      <c r="B70" s="50" t="s">
        <v>1075</v>
      </c>
      <c r="C70" s="50" t="s">
        <v>1076</v>
      </c>
      <c r="D70" s="50" t="s">
        <v>1077</v>
      </c>
      <c r="E70" s="50">
        <v>74418</v>
      </c>
      <c r="F70" s="50" t="s">
        <v>1166</v>
      </c>
      <c r="G70" s="50" t="s">
        <v>1167</v>
      </c>
      <c r="H70" s="50" t="s">
        <v>1168</v>
      </c>
      <c r="I70" s="51" t="s">
        <v>1169</v>
      </c>
      <c r="J70" s="51" t="s">
        <v>1183</v>
      </c>
      <c r="K70" s="51" t="s">
        <v>1121</v>
      </c>
      <c r="L70" s="52">
        <v>86</v>
      </c>
      <c r="M70" s="52">
        <f t="shared" si="2"/>
        <v>86</v>
      </c>
      <c r="N70" s="52">
        <v>22.1</v>
      </c>
      <c r="O70" s="52">
        <f t="shared" si="3"/>
        <v>22.3</v>
      </c>
      <c r="P70" s="50">
        <v>0</v>
      </c>
    </row>
    <row r="71" spans="1:16" ht="16.5" customHeight="1">
      <c r="A71" s="50" t="s">
        <v>1074</v>
      </c>
      <c r="B71" s="50" t="s">
        <v>1075</v>
      </c>
      <c r="C71" s="50" t="s">
        <v>1076</v>
      </c>
      <c r="D71" s="50" t="s">
        <v>1077</v>
      </c>
      <c r="E71" s="50">
        <v>74418</v>
      </c>
      <c r="F71" s="50" t="s">
        <v>1166</v>
      </c>
      <c r="G71" s="50" t="s">
        <v>1167</v>
      </c>
      <c r="H71" s="50" t="s">
        <v>1168</v>
      </c>
      <c r="I71" s="51" t="s">
        <v>1169</v>
      </c>
      <c r="J71" s="51" t="s">
        <v>1184</v>
      </c>
      <c r="K71" s="51" t="s">
        <v>1123</v>
      </c>
      <c r="L71" s="52">
        <v>83</v>
      </c>
      <c r="M71" s="52">
        <f t="shared" si="2"/>
        <v>83</v>
      </c>
      <c r="N71" s="52">
        <v>21.5</v>
      </c>
      <c r="O71" s="52">
        <f t="shared" si="3"/>
        <v>21.7</v>
      </c>
      <c r="P71" s="50">
        <v>0</v>
      </c>
    </row>
    <row r="72" spans="1:16" ht="16.5" customHeight="1">
      <c r="A72" s="50" t="s">
        <v>1074</v>
      </c>
      <c r="B72" s="50" t="s">
        <v>1075</v>
      </c>
      <c r="C72" s="50" t="s">
        <v>1076</v>
      </c>
      <c r="D72" s="50" t="s">
        <v>1077</v>
      </c>
      <c r="E72" s="50">
        <v>74418</v>
      </c>
      <c r="F72" s="50" t="s">
        <v>1166</v>
      </c>
      <c r="G72" s="50" t="s">
        <v>1167</v>
      </c>
      <c r="H72" s="50" t="s">
        <v>1168</v>
      </c>
      <c r="I72" s="51" t="s">
        <v>1169</v>
      </c>
      <c r="J72" s="51" t="s">
        <v>1185</v>
      </c>
      <c r="K72" s="51" t="s">
        <v>1125</v>
      </c>
      <c r="L72" s="52">
        <v>83</v>
      </c>
      <c r="M72" s="52">
        <f t="shared" si="2"/>
        <v>83</v>
      </c>
      <c r="N72" s="52">
        <v>21.5</v>
      </c>
      <c r="O72" s="52">
        <f t="shared" si="3"/>
        <v>21.7</v>
      </c>
      <c r="P72" s="50">
        <v>0</v>
      </c>
    </row>
    <row r="73" spans="1:16" ht="16.5" customHeight="1">
      <c r="A73" s="50" t="s">
        <v>1074</v>
      </c>
      <c r="B73" s="50" t="s">
        <v>1075</v>
      </c>
      <c r="C73" s="50" t="s">
        <v>1076</v>
      </c>
      <c r="D73" s="50" t="s">
        <v>1077</v>
      </c>
      <c r="E73" s="50">
        <v>74418</v>
      </c>
      <c r="F73" s="50" t="s">
        <v>1166</v>
      </c>
      <c r="G73" s="50" t="s">
        <v>1167</v>
      </c>
      <c r="H73" s="50" t="s">
        <v>1168</v>
      </c>
      <c r="I73" s="51" t="s">
        <v>1169</v>
      </c>
      <c r="J73" s="51" t="s">
        <v>1186</v>
      </c>
      <c r="K73" s="51" t="s">
        <v>1137</v>
      </c>
      <c r="L73" s="52">
        <v>84</v>
      </c>
      <c r="M73" s="52">
        <f t="shared" si="2"/>
        <v>84</v>
      </c>
      <c r="N73" s="52">
        <v>21.6</v>
      </c>
      <c r="O73" s="52">
        <f t="shared" si="3"/>
        <v>21.8</v>
      </c>
      <c r="P73" s="50">
        <v>0</v>
      </c>
    </row>
    <row r="74" spans="1:16" ht="16.5" customHeight="1">
      <c r="A74" s="50" t="s">
        <v>1074</v>
      </c>
      <c r="B74" s="50" t="s">
        <v>1075</v>
      </c>
      <c r="C74" s="50" t="s">
        <v>1076</v>
      </c>
      <c r="D74" s="50" t="s">
        <v>1077</v>
      </c>
      <c r="E74" s="50">
        <v>74418</v>
      </c>
      <c r="F74" s="50" t="s">
        <v>1166</v>
      </c>
      <c r="G74" s="50" t="s">
        <v>1167</v>
      </c>
      <c r="H74" s="50" t="s">
        <v>1168</v>
      </c>
      <c r="I74" s="51" t="s">
        <v>1169</v>
      </c>
      <c r="J74" s="51" t="s">
        <v>1187</v>
      </c>
      <c r="K74" s="51" t="s">
        <v>1139</v>
      </c>
      <c r="L74" s="52">
        <v>86</v>
      </c>
      <c r="M74" s="52">
        <f t="shared" si="2"/>
        <v>86</v>
      </c>
      <c r="N74" s="52">
        <v>22.1</v>
      </c>
      <c r="O74" s="52">
        <f t="shared" si="3"/>
        <v>22.3</v>
      </c>
      <c r="P74" s="50">
        <v>0</v>
      </c>
    </row>
    <row r="75" spans="1:16" ht="16.5" customHeight="1">
      <c r="A75" s="50" t="s">
        <v>1074</v>
      </c>
      <c r="B75" s="50" t="s">
        <v>1075</v>
      </c>
      <c r="C75" s="50" t="s">
        <v>1076</v>
      </c>
      <c r="D75" s="50" t="s">
        <v>1077</v>
      </c>
      <c r="E75" s="50">
        <v>74418</v>
      </c>
      <c r="F75" s="50" t="s">
        <v>1166</v>
      </c>
      <c r="G75" s="50" t="s">
        <v>1167</v>
      </c>
      <c r="H75" s="50" t="s">
        <v>1168</v>
      </c>
      <c r="I75" s="51" t="s">
        <v>1169</v>
      </c>
      <c r="J75" s="51" t="s">
        <v>1188</v>
      </c>
      <c r="K75" s="51" t="s">
        <v>1141</v>
      </c>
      <c r="L75" s="52">
        <v>83</v>
      </c>
      <c r="M75" s="52">
        <f t="shared" si="2"/>
        <v>83</v>
      </c>
      <c r="N75" s="52">
        <v>21.5</v>
      </c>
      <c r="O75" s="52">
        <f t="shared" si="3"/>
        <v>21.7</v>
      </c>
      <c r="P75" s="50">
        <v>0</v>
      </c>
    </row>
    <row r="76" spans="1:16" ht="16.5" customHeight="1">
      <c r="A76" s="50" t="s">
        <v>1074</v>
      </c>
      <c r="B76" s="50" t="s">
        <v>1075</v>
      </c>
      <c r="C76" s="50" t="s">
        <v>1076</v>
      </c>
      <c r="D76" s="50" t="s">
        <v>1077</v>
      </c>
      <c r="E76" s="50">
        <v>74418</v>
      </c>
      <c r="F76" s="50" t="s">
        <v>1166</v>
      </c>
      <c r="G76" s="50" t="s">
        <v>1167</v>
      </c>
      <c r="H76" s="50" t="s">
        <v>1168</v>
      </c>
      <c r="I76" s="51" t="s">
        <v>1169</v>
      </c>
      <c r="J76" s="51" t="s">
        <v>1189</v>
      </c>
      <c r="K76" s="51" t="s">
        <v>1143</v>
      </c>
      <c r="L76" s="52">
        <v>84</v>
      </c>
      <c r="M76" s="52">
        <f t="shared" si="2"/>
        <v>84</v>
      </c>
      <c r="N76" s="52">
        <v>21.6</v>
      </c>
      <c r="O76" s="52">
        <f t="shared" si="3"/>
        <v>21.8</v>
      </c>
      <c r="P76" s="50">
        <v>0</v>
      </c>
    </row>
    <row r="77" spans="1:16" ht="16.5" customHeight="1">
      <c r="A77" s="50" t="s">
        <v>1074</v>
      </c>
      <c r="B77" s="50" t="s">
        <v>1075</v>
      </c>
      <c r="C77" s="50" t="s">
        <v>1076</v>
      </c>
      <c r="D77" s="50" t="s">
        <v>1077</v>
      </c>
      <c r="E77" s="50">
        <v>74418</v>
      </c>
      <c r="F77" s="50" t="s">
        <v>1166</v>
      </c>
      <c r="G77" s="50" t="s">
        <v>1167</v>
      </c>
      <c r="H77" s="50" t="s">
        <v>1168</v>
      </c>
      <c r="I77" s="51" t="s">
        <v>1169</v>
      </c>
      <c r="J77" s="51" t="s">
        <v>1190</v>
      </c>
      <c r="K77" s="51" t="s">
        <v>1145</v>
      </c>
      <c r="L77" s="52">
        <v>70</v>
      </c>
      <c r="M77" s="52">
        <f t="shared" si="2"/>
        <v>70</v>
      </c>
      <c r="N77" s="52">
        <v>18</v>
      </c>
      <c r="O77" s="52">
        <f t="shared" si="3"/>
        <v>18.2</v>
      </c>
      <c r="P77" s="50">
        <v>0</v>
      </c>
    </row>
    <row r="78" spans="1:16" ht="16.5" customHeight="1">
      <c r="A78" s="50" t="s">
        <v>1074</v>
      </c>
      <c r="B78" s="50" t="s">
        <v>1075</v>
      </c>
      <c r="C78" s="50" t="s">
        <v>1076</v>
      </c>
      <c r="D78" s="50" t="s">
        <v>1077</v>
      </c>
      <c r="E78" s="50">
        <v>74418</v>
      </c>
      <c r="F78" s="50" t="s">
        <v>1166</v>
      </c>
      <c r="G78" s="50" t="s">
        <v>1167</v>
      </c>
      <c r="H78" s="50" t="s">
        <v>1168</v>
      </c>
      <c r="I78" s="51" t="s">
        <v>1169</v>
      </c>
      <c r="J78" s="51" t="s">
        <v>1191</v>
      </c>
      <c r="K78" s="51" t="s">
        <v>1147</v>
      </c>
      <c r="L78" s="52">
        <v>84</v>
      </c>
      <c r="M78" s="52">
        <f t="shared" si="2"/>
        <v>84</v>
      </c>
      <c r="N78" s="52">
        <v>21.6</v>
      </c>
      <c r="O78" s="52">
        <f t="shared" si="3"/>
        <v>21.8</v>
      </c>
      <c r="P78" s="50">
        <v>0</v>
      </c>
    </row>
    <row r="79" spans="1:16" ht="16.5" customHeight="1">
      <c r="A79" s="50" t="s">
        <v>1074</v>
      </c>
      <c r="B79" s="50" t="s">
        <v>1075</v>
      </c>
      <c r="C79" s="50" t="s">
        <v>1076</v>
      </c>
      <c r="D79" s="50" t="s">
        <v>1077</v>
      </c>
      <c r="E79" s="50">
        <v>74418</v>
      </c>
      <c r="F79" s="50" t="s">
        <v>1166</v>
      </c>
      <c r="G79" s="50" t="s">
        <v>1167</v>
      </c>
      <c r="H79" s="50" t="s">
        <v>1168</v>
      </c>
      <c r="I79" s="51" t="s">
        <v>1169</v>
      </c>
      <c r="J79" s="51" t="s">
        <v>1192</v>
      </c>
      <c r="K79" s="51" t="s">
        <v>1148</v>
      </c>
      <c r="L79" s="52">
        <v>80</v>
      </c>
      <c r="M79" s="52">
        <f t="shared" si="2"/>
        <v>80</v>
      </c>
      <c r="N79" s="52">
        <v>20.6</v>
      </c>
      <c r="O79" s="52">
        <f t="shared" si="3"/>
        <v>20.8</v>
      </c>
      <c r="P79" s="50">
        <v>0</v>
      </c>
    </row>
    <row r="80" spans="1:16" ht="16.5" customHeight="1">
      <c r="A80" s="50" t="s">
        <v>1074</v>
      </c>
      <c r="B80" s="50" t="s">
        <v>1075</v>
      </c>
      <c r="C80" s="50" t="s">
        <v>1076</v>
      </c>
      <c r="D80" s="50" t="s">
        <v>1077</v>
      </c>
      <c r="E80" s="50">
        <v>74418</v>
      </c>
      <c r="F80" s="50" t="s">
        <v>1166</v>
      </c>
      <c r="G80" s="50" t="s">
        <v>1167</v>
      </c>
      <c r="H80" s="50" t="s">
        <v>1168</v>
      </c>
      <c r="I80" s="51" t="s">
        <v>1169</v>
      </c>
      <c r="J80" s="51" t="s">
        <v>1193</v>
      </c>
      <c r="K80" s="51" t="s">
        <v>1194</v>
      </c>
      <c r="L80" s="52">
        <v>79</v>
      </c>
      <c r="M80" s="52">
        <f t="shared" si="2"/>
        <v>79</v>
      </c>
      <c r="N80" s="52">
        <v>20.3</v>
      </c>
      <c r="O80" s="52">
        <f t="shared" si="3"/>
        <v>20.5</v>
      </c>
      <c r="P80" s="50">
        <v>0</v>
      </c>
    </row>
    <row r="81" spans="1:16" ht="16.5" customHeight="1">
      <c r="A81" s="50" t="s">
        <v>1074</v>
      </c>
      <c r="B81" s="50" t="s">
        <v>1075</v>
      </c>
      <c r="C81" s="50" t="s">
        <v>1076</v>
      </c>
      <c r="D81" s="50" t="s">
        <v>1077</v>
      </c>
      <c r="E81" s="50">
        <v>74418</v>
      </c>
      <c r="F81" s="50" t="s">
        <v>1166</v>
      </c>
      <c r="G81" s="50" t="s">
        <v>1167</v>
      </c>
      <c r="H81" s="50" t="s">
        <v>1168</v>
      </c>
      <c r="I81" s="51" t="s">
        <v>1195</v>
      </c>
      <c r="J81" s="51" t="s">
        <v>1196</v>
      </c>
      <c r="K81" s="51" t="s">
        <v>1197</v>
      </c>
      <c r="L81" s="52">
        <v>84</v>
      </c>
      <c r="M81" s="52">
        <f t="shared" si="2"/>
        <v>84</v>
      </c>
      <c r="N81" s="52">
        <v>21.6</v>
      </c>
      <c r="O81" s="52">
        <f t="shared" si="3"/>
        <v>21.8</v>
      </c>
      <c r="P81" s="50">
        <v>0</v>
      </c>
    </row>
    <row r="82" spans="1:16" ht="16.5" customHeight="1">
      <c r="A82" s="50" t="s">
        <v>1074</v>
      </c>
      <c r="B82" s="50" t="s">
        <v>1075</v>
      </c>
      <c r="C82" s="50" t="s">
        <v>1076</v>
      </c>
      <c r="D82" s="50" t="s">
        <v>1077</v>
      </c>
      <c r="E82" s="50">
        <v>74418</v>
      </c>
      <c r="F82" s="50" t="s">
        <v>1166</v>
      </c>
      <c r="G82" s="50" t="s">
        <v>1167</v>
      </c>
      <c r="H82" s="50" t="s">
        <v>1168</v>
      </c>
      <c r="I82" s="51" t="s">
        <v>1195</v>
      </c>
      <c r="J82" s="51" t="s">
        <v>1198</v>
      </c>
      <c r="K82" s="51" t="s">
        <v>1199</v>
      </c>
      <c r="L82" s="52">
        <v>83</v>
      </c>
      <c r="M82" s="52">
        <f t="shared" si="2"/>
        <v>83</v>
      </c>
      <c r="N82" s="52">
        <v>21.4</v>
      </c>
      <c r="O82" s="52">
        <f t="shared" si="3"/>
        <v>21.599999999999998</v>
      </c>
      <c r="P82" s="50">
        <v>0</v>
      </c>
    </row>
    <row r="83" spans="1:16" ht="16.5" customHeight="1">
      <c r="A83" s="50" t="s">
        <v>1074</v>
      </c>
      <c r="B83" s="50" t="s">
        <v>1075</v>
      </c>
      <c r="C83" s="50" t="s">
        <v>1076</v>
      </c>
      <c r="D83" s="50" t="s">
        <v>1077</v>
      </c>
      <c r="E83" s="50">
        <v>74418</v>
      </c>
      <c r="F83" s="50" t="s">
        <v>1166</v>
      </c>
      <c r="G83" s="50" t="s">
        <v>1167</v>
      </c>
      <c r="H83" s="50" t="s">
        <v>1168</v>
      </c>
      <c r="I83" s="51" t="s">
        <v>1195</v>
      </c>
      <c r="J83" s="51" t="s">
        <v>1200</v>
      </c>
      <c r="K83" s="51" t="s">
        <v>1201</v>
      </c>
      <c r="L83" s="52">
        <v>83</v>
      </c>
      <c r="M83" s="52">
        <f t="shared" si="2"/>
        <v>83</v>
      </c>
      <c r="N83" s="52">
        <v>21.5</v>
      </c>
      <c r="O83" s="52">
        <f t="shared" si="3"/>
        <v>21.7</v>
      </c>
      <c r="P83" s="50">
        <v>0</v>
      </c>
    </row>
    <row r="84" spans="1:16" ht="16.5" customHeight="1">
      <c r="A84" s="50" t="s">
        <v>1074</v>
      </c>
      <c r="B84" s="50" t="s">
        <v>1075</v>
      </c>
      <c r="C84" s="50" t="s">
        <v>1076</v>
      </c>
      <c r="D84" s="50" t="s">
        <v>1077</v>
      </c>
      <c r="E84" s="50">
        <v>74418</v>
      </c>
      <c r="F84" s="50" t="s">
        <v>1166</v>
      </c>
      <c r="G84" s="50" t="s">
        <v>1167</v>
      </c>
      <c r="H84" s="50" t="s">
        <v>1168</v>
      </c>
      <c r="I84" s="51" t="s">
        <v>1195</v>
      </c>
      <c r="J84" s="51" t="s">
        <v>1202</v>
      </c>
      <c r="K84" s="51" t="s">
        <v>1203</v>
      </c>
      <c r="L84" s="52">
        <v>83</v>
      </c>
      <c r="M84" s="52">
        <f t="shared" si="2"/>
        <v>83</v>
      </c>
      <c r="N84" s="52">
        <v>21.5</v>
      </c>
      <c r="O84" s="52">
        <f t="shared" si="3"/>
        <v>21.7</v>
      </c>
      <c r="P84" s="50">
        <v>0</v>
      </c>
    </row>
    <row r="85" spans="1:16" ht="16.5" customHeight="1">
      <c r="A85" s="50" t="s">
        <v>1074</v>
      </c>
      <c r="B85" s="50" t="s">
        <v>1075</v>
      </c>
      <c r="C85" s="50" t="s">
        <v>1076</v>
      </c>
      <c r="D85" s="50" t="s">
        <v>1077</v>
      </c>
      <c r="E85" s="50">
        <v>74418</v>
      </c>
      <c r="F85" s="50" t="s">
        <v>1166</v>
      </c>
      <c r="G85" s="50" t="s">
        <v>1167</v>
      </c>
      <c r="H85" s="50" t="s">
        <v>1168</v>
      </c>
      <c r="I85" s="51" t="s">
        <v>1195</v>
      </c>
      <c r="J85" s="51" t="s">
        <v>1204</v>
      </c>
      <c r="K85" s="51" t="s">
        <v>1205</v>
      </c>
      <c r="L85" s="52">
        <v>83</v>
      </c>
      <c r="M85" s="52">
        <f t="shared" si="2"/>
        <v>83</v>
      </c>
      <c r="N85" s="52">
        <v>21.4</v>
      </c>
      <c r="O85" s="52">
        <f t="shared" si="3"/>
        <v>21.599999999999998</v>
      </c>
      <c r="P85" s="50">
        <v>0</v>
      </c>
    </row>
    <row r="86" spans="1:16" ht="16.5" customHeight="1">
      <c r="A86" s="50" t="s">
        <v>1074</v>
      </c>
      <c r="B86" s="50" t="s">
        <v>1075</v>
      </c>
      <c r="C86" s="50" t="s">
        <v>1076</v>
      </c>
      <c r="D86" s="50" t="s">
        <v>1077</v>
      </c>
      <c r="E86" s="50">
        <v>74418</v>
      </c>
      <c r="F86" s="50" t="s">
        <v>1166</v>
      </c>
      <c r="G86" s="50" t="s">
        <v>1167</v>
      </c>
      <c r="H86" s="50" t="s">
        <v>1168</v>
      </c>
      <c r="I86" s="51" t="s">
        <v>1195</v>
      </c>
      <c r="J86" s="51" t="s">
        <v>1206</v>
      </c>
      <c r="K86" s="51" t="s">
        <v>1207</v>
      </c>
      <c r="L86" s="52">
        <v>82</v>
      </c>
      <c r="M86" s="52">
        <f t="shared" si="2"/>
        <v>82</v>
      </c>
      <c r="N86" s="52">
        <v>21.1</v>
      </c>
      <c r="O86" s="52">
        <f t="shared" si="3"/>
        <v>21.3</v>
      </c>
      <c r="P86" s="50">
        <v>0</v>
      </c>
    </row>
    <row r="87" spans="1:16" ht="16.5" customHeight="1">
      <c r="A87" s="50" t="s">
        <v>1074</v>
      </c>
      <c r="B87" s="50" t="s">
        <v>1075</v>
      </c>
      <c r="C87" s="50" t="s">
        <v>1076</v>
      </c>
      <c r="D87" s="50" t="s">
        <v>1077</v>
      </c>
      <c r="E87" s="50">
        <v>74418</v>
      </c>
      <c r="F87" s="50" t="s">
        <v>1166</v>
      </c>
      <c r="G87" s="50" t="s">
        <v>1167</v>
      </c>
      <c r="H87" s="50" t="s">
        <v>1168</v>
      </c>
      <c r="I87" s="51" t="s">
        <v>1195</v>
      </c>
      <c r="J87" s="51" t="s">
        <v>1208</v>
      </c>
      <c r="K87" s="51" t="s">
        <v>1209</v>
      </c>
      <c r="L87" s="52">
        <v>83</v>
      </c>
      <c r="M87" s="52">
        <f t="shared" si="2"/>
        <v>83</v>
      </c>
      <c r="N87" s="52">
        <v>21.5</v>
      </c>
      <c r="O87" s="52">
        <f t="shared" si="3"/>
        <v>21.7</v>
      </c>
      <c r="P87" s="50">
        <v>0</v>
      </c>
    </row>
    <row r="88" spans="1:16" ht="16.5" customHeight="1">
      <c r="A88" s="50" t="s">
        <v>1074</v>
      </c>
      <c r="B88" s="50" t="s">
        <v>1075</v>
      </c>
      <c r="C88" s="50" t="s">
        <v>1076</v>
      </c>
      <c r="D88" s="50" t="s">
        <v>1077</v>
      </c>
      <c r="E88" s="50">
        <v>74418</v>
      </c>
      <c r="F88" s="50" t="s">
        <v>1166</v>
      </c>
      <c r="G88" s="50" t="s">
        <v>1167</v>
      </c>
      <c r="H88" s="50" t="s">
        <v>1168</v>
      </c>
      <c r="I88" s="51" t="s">
        <v>1195</v>
      </c>
      <c r="J88" s="51" t="s">
        <v>1210</v>
      </c>
      <c r="K88" s="51" t="s">
        <v>1211</v>
      </c>
      <c r="L88" s="52">
        <v>83</v>
      </c>
      <c r="M88" s="52">
        <f t="shared" si="2"/>
        <v>83</v>
      </c>
      <c r="N88" s="52">
        <v>21.5</v>
      </c>
      <c r="O88" s="52">
        <f t="shared" si="3"/>
        <v>21.7</v>
      </c>
      <c r="P88" s="50">
        <v>0</v>
      </c>
    </row>
    <row r="89" spans="1:16" ht="16.5" customHeight="1">
      <c r="A89" s="50" t="s">
        <v>1074</v>
      </c>
      <c r="B89" s="50" t="s">
        <v>1075</v>
      </c>
      <c r="C89" s="50" t="s">
        <v>1076</v>
      </c>
      <c r="D89" s="50" t="s">
        <v>1077</v>
      </c>
      <c r="E89" s="50">
        <v>74418</v>
      </c>
      <c r="F89" s="50" t="s">
        <v>1166</v>
      </c>
      <c r="G89" s="50" t="s">
        <v>1167</v>
      </c>
      <c r="H89" s="50" t="s">
        <v>1168</v>
      </c>
      <c r="I89" s="51" t="s">
        <v>1195</v>
      </c>
      <c r="J89" s="51" t="s">
        <v>1212</v>
      </c>
      <c r="K89" s="51" t="s">
        <v>1213</v>
      </c>
      <c r="L89" s="52">
        <v>83</v>
      </c>
      <c r="M89" s="52">
        <f t="shared" si="2"/>
        <v>83</v>
      </c>
      <c r="N89" s="52">
        <v>21.5</v>
      </c>
      <c r="O89" s="52">
        <f t="shared" si="3"/>
        <v>21.7</v>
      </c>
      <c r="P89" s="50">
        <v>0</v>
      </c>
    </row>
    <row r="90" spans="1:16" ht="16.5" customHeight="1">
      <c r="A90" s="50" t="s">
        <v>1074</v>
      </c>
      <c r="B90" s="50" t="s">
        <v>1075</v>
      </c>
      <c r="C90" s="50" t="s">
        <v>1076</v>
      </c>
      <c r="D90" s="50" t="s">
        <v>1077</v>
      </c>
      <c r="E90" s="50">
        <v>74418</v>
      </c>
      <c r="F90" s="50" t="s">
        <v>1166</v>
      </c>
      <c r="G90" s="50" t="s">
        <v>1167</v>
      </c>
      <c r="H90" s="50" t="s">
        <v>1168</v>
      </c>
      <c r="I90" s="51" t="s">
        <v>1195</v>
      </c>
      <c r="J90" s="51" t="s">
        <v>1214</v>
      </c>
      <c r="K90" s="51" t="s">
        <v>1215</v>
      </c>
      <c r="L90" s="52">
        <v>83</v>
      </c>
      <c r="M90" s="52">
        <f t="shared" si="2"/>
        <v>83</v>
      </c>
      <c r="N90" s="52">
        <v>21.4</v>
      </c>
      <c r="O90" s="52">
        <f t="shared" si="3"/>
        <v>21.599999999999998</v>
      </c>
      <c r="P90" s="50">
        <v>0</v>
      </c>
    </row>
    <row r="91" spans="1:16" ht="16.5" customHeight="1">
      <c r="A91" s="50" t="s">
        <v>1074</v>
      </c>
      <c r="B91" s="50" t="s">
        <v>1075</v>
      </c>
      <c r="C91" s="50" t="s">
        <v>1076</v>
      </c>
      <c r="D91" s="50" t="s">
        <v>1077</v>
      </c>
      <c r="E91" s="50">
        <v>74418</v>
      </c>
      <c r="F91" s="50" t="s">
        <v>1166</v>
      </c>
      <c r="G91" s="50" t="s">
        <v>1167</v>
      </c>
      <c r="H91" s="50" t="s">
        <v>1168</v>
      </c>
      <c r="I91" s="51" t="s">
        <v>1195</v>
      </c>
      <c r="J91" s="51" t="s">
        <v>1216</v>
      </c>
      <c r="K91" s="51" t="s">
        <v>1217</v>
      </c>
      <c r="L91" s="52">
        <v>83</v>
      </c>
      <c r="M91" s="52">
        <f t="shared" si="2"/>
        <v>83</v>
      </c>
      <c r="N91" s="52">
        <v>21.3</v>
      </c>
      <c r="O91" s="52">
        <f t="shared" si="3"/>
        <v>21.5</v>
      </c>
      <c r="P91" s="50">
        <v>0</v>
      </c>
    </row>
    <row r="92" spans="1:16" ht="16.5" customHeight="1">
      <c r="A92" s="50" t="s">
        <v>1074</v>
      </c>
      <c r="B92" s="50" t="s">
        <v>1075</v>
      </c>
      <c r="C92" s="50" t="s">
        <v>1076</v>
      </c>
      <c r="D92" s="50" t="s">
        <v>1077</v>
      </c>
      <c r="E92" s="50">
        <v>74418</v>
      </c>
      <c r="F92" s="50" t="s">
        <v>1166</v>
      </c>
      <c r="G92" s="50" t="s">
        <v>1167</v>
      </c>
      <c r="H92" s="50" t="s">
        <v>1168</v>
      </c>
      <c r="I92" s="51" t="s">
        <v>1195</v>
      </c>
      <c r="J92" s="51" t="s">
        <v>1218</v>
      </c>
      <c r="K92" s="51" t="s">
        <v>1219</v>
      </c>
      <c r="L92" s="52">
        <v>83</v>
      </c>
      <c r="M92" s="52">
        <f t="shared" si="2"/>
        <v>83</v>
      </c>
      <c r="N92" s="52">
        <v>21.4</v>
      </c>
      <c r="O92" s="52">
        <f t="shared" si="3"/>
        <v>21.599999999999998</v>
      </c>
      <c r="P92" s="50">
        <v>0</v>
      </c>
    </row>
    <row r="93" spans="1:16" ht="16.5" customHeight="1">
      <c r="A93" s="50" t="s">
        <v>1074</v>
      </c>
      <c r="B93" s="50" t="s">
        <v>1075</v>
      </c>
      <c r="C93" s="50" t="s">
        <v>1076</v>
      </c>
      <c r="D93" s="50" t="s">
        <v>1077</v>
      </c>
      <c r="E93" s="50">
        <v>74418</v>
      </c>
      <c r="F93" s="50" t="s">
        <v>1166</v>
      </c>
      <c r="G93" s="50" t="s">
        <v>1167</v>
      </c>
      <c r="H93" s="50" t="s">
        <v>1168</v>
      </c>
      <c r="I93" s="51" t="s">
        <v>1195</v>
      </c>
      <c r="J93" s="51" t="s">
        <v>1220</v>
      </c>
      <c r="K93" s="51" t="s">
        <v>1221</v>
      </c>
      <c r="L93" s="52">
        <v>83</v>
      </c>
      <c r="M93" s="52">
        <f t="shared" si="2"/>
        <v>83</v>
      </c>
      <c r="N93" s="52">
        <v>21.5</v>
      </c>
      <c r="O93" s="52">
        <f t="shared" si="3"/>
        <v>21.7</v>
      </c>
      <c r="P93" s="50">
        <v>0</v>
      </c>
    </row>
    <row r="94" spans="1:16" ht="16.5" customHeight="1">
      <c r="A94" s="50" t="s">
        <v>1074</v>
      </c>
      <c r="B94" s="50" t="s">
        <v>1075</v>
      </c>
      <c r="C94" s="50" t="s">
        <v>1076</v>
      </c>
      <c r="D94" s="50" t="s">
        <v>1077</v>
      </c>
      <c r="E94" s="50">
        <v>74418</v>
      </c>
      <c r="F94" s="50" t="s">
        <v>1166</v>
      </c>
      <c r="G94" s="50" t="s">
        <v>1167</v>
      </c>
      <c r="H94" s="50" t="s">
        <v>1168</v>
      </c>
      <c r="I94" s="51" t="s">
        <v>1195</v>
      </c>
      <c r="J94" s="51" t="s">
        <v>1222</v>
      </c>
      <c r="K94" s="51" t="s">
        <v>1223</v>
      </c>
      <c r="L94" s="52">
        <v>83</v>
      </c>
      <c r="M94" s="52">
        <f t="shared" si="2"/>
        <v>83</v>
      </c>
      <c r="N94" s="52">
        <v>21.4</v>
      </c>
      <c r="O94" s="52">
        <f t="shared" si="3"/>
        <v>21.599999999999998</v>
      </c>
      <c r="P94" s="50">
        <v>0</v>
      </c>
    </row>
    <row r="95" spans="1:16" ht="16.5" customHeight="1">
      <c r="A95" s="50" t="s">
        <v>1074</v>
      </c>
      <c r="B95" s="50" t="s">
        <v>1075</v>
      </c>
      <c r="C95" s="50" t="s">
        <v>1076</v>
      </c>
      <c r="D95" s="50" t="s">
        <v>1077</v>
      </c>
      <c r="E95" s="50">
        <v>74418</v>
      </c>
      <c r="F95" s="50" t="s">
        <v>1166</v>
      </c>
      <c r="G95" s="50" t="s">
        <v>1167</v>
      </c>
      <c r="H95" s="50" t="s">
        <v>1168</v>
      </c>
      <c r="I95" s="51" t="s">
        <v>1195</v>
      </c>
      <c r="J95" s="51" t="s">
        <v>1224</v>
      </c>
      <c r="K95" s="51" t="s">
        <v>1225</v>
      </c>
      <c r="L95" s="52">
        <v>83</v>
      </c>
      <c r="M95" s="52">
        <f t="shared" si="2"/>
        <v>83</v>
      </c>
      <c r="N95" s="52">
        <v>21.4</v>
      </c>
      <c r="O95" s="52">
        <f t="shared" si="3"/>
        <v>21.599999999999998</v>
      </c>
      <c r="P95" s="50">
        <v>0</v>
      </c>
    </row>
    <row r="96" spans="1:16" ht="16.5" customHeight="1">
      <c r="A96" s="50" t="s">
        <v>1074</v>
      </c>
      <c r="B96" s="50" t="s">
        <v>1075</v>
      </c>
      <c r="C96" s="50" t="s">
        <v>1076</v>
      </c>
      <c r="D96" s="50" t="s">
        <v>1077</v>
      </c>
      <c r="E96" s="50">
        <v>74418</v>
      </c>
      <c r="F96" s="50" t="s">
        <v>1166</v>
      </c>
      <c r="G96" s="50" t="s">
        <v>1167</v>
      </c>
      <c r="H96" s="50" t="s">
        <v>1168</v>
      </c>
      <c r="I96" s="51" t="s">
        <v>1195</v>
      </c>
      <c r="J96" s="51" t="s">
        <v>1226</v>
      </c>
      <c r="K96" s="51" t="s">
        <v>1227</v>
      </c>
      <c r="L96" s="52">
        <v>83</v>
      </c>
      <c r="M96" s="52">
        <f t="shared" si="2"/>
        <v>83</v>
      </c>
      <c r="N96" s="52">
        <v>21.5</v>
      </c>
      <c r="O96" s="52">
        <f t="shared" si="3"/>
        <v>21.7</v>
      </c>
      <c r="P96" s="50">
        <v>0</v>
      </c>
    </row>
    <row r="97" spans="1:16" ht="16.5" customHeight="1">
      <c r="A97" s="50" t="s">
        <v>1074</v>
      </c>
      <c r="B97" s="50" t="s">
        <v>1075</v>
      </c>
      <c r="C97" s="50" t="s">
        <v>1076</v>
      </c>
      <c r="D97" s="50" t="s">
        <v>1077</v>
      </c>
      <c r="E97" s="50">
        <v>74418</v>
      </c>
      <c r="F97" s="50" t="s">
        <v>1166</v>
      </c>
      <c r="G97" s="50" t="s">
        <v>1167</v>
      </c>
      <c r="H97" s="50" t="s">
        <v>1168</v>
      </c>
      <c r="I97" s="51" t="s">
        <v>1195</v>
      </c>
      <c r="J97" s="51" t="s">
        <v>1228</v>
      </c>
      <c r="K97" s="51" t="s">
        <v>1229</v>
      </c>
      <c r="L97" s="52">
        <v>77</v>
      </c>
      <c r="M97" s="52">
        <f t="shared" si="2"/>
        <v>77</v>
      </c>
      <c r="N97" s="52">
        <v>19.899999999999999</v>
      </c>
      <c r="O97" s="52">
        <f t="shared" si="3"/>
        <v>20.099999999999998</v>
      </c>
      <c r="P97" s="50">
        <v>0</v>
      </c>
    </row>
    <row r="98" spans="1:16" ht="16.5" customHeight="1">
      <c r="A98" s="50" t="s">
        <v>1230</v>
      </c>
      <c r="B98" s="50" t="s">
        <v>1231</v>
      </c>
      <c r="C98" s="50" t="s">
        <v>1232</v>
      </c>
      <c r="D98" s="50" t="s">
        <v>1077</v>
      </c>
      <c r="E98" s="50">
        <v>102908</v>
      </c>
      <c r="F98" s="50" t="s">
        <v>1233</v>
      </c>
      <c r="G98" s="50" t="s">
        <v>1234</v>
      </c>
      <c r="H98" s="50" t="s">
        <v>1235</v>
      </c>
      <c r="I98" s="51" t="s">
        <v>1236</v>
      </c>
      <c r="J98" s="51" t="s">
        <v>1237</v>
      </c>
      <c r="K98" s="51" t="s">
        <v>1238</v>
      </c>
      <c r="L98" s="52">
        <v>101</v>
      </c>
      <c r="M98" s="52">
        <f t="shared" si="2"/>
        <v>101</v>
      </c>
      <c r="N98" s="52">
        <v>21.1</v>
      </c>
      <c r="O98" s="52">
        <f t="shared" si="3"/>
        <v>21.3</v>
      </c>
      <c r="P98" s="50">
        <v>0</v>
      </c>
    </row>
    <row r="99" spans="1:16" ht="16.5" customHeight="1">
      <c r="A99" s="50" t="s">
        <v>1230</v>
      </c>
      <c r="B99" s="50" t="s">
        <v>1231</v>
      </c>
      <c r="C99" s="50" t="s">
        <v>1232</v>
      </c>
      <c r="D99" s="50" t="s">
        <v>1077</v>
      </c>
      <c r="E99" s="50">
        <v>102908</v>
      </c>
      <c r="F99" s="50" t="s">
        <v>1233</v>
      </c>
      <c r="G99" s="50" t="s">
        <v>1234</v>
      </c>
      <c r="H99" s="50" t="s">
        <v>1235</v>
      </c>
      <c r="I99" s="51" t="s">
        <v>1236</v>
      </c>
      <c r="J99" s="51" t="s">
        <v>1239</v>
      </c>
      <c r="K99" s="51" t="s">
        <v>1240</v>
      </c>
      <c r="L99" s="52">
        <v>102</v>
      </c>
      <c r="M99" s="52">
        <f t="shared" si="2"/>
        <v>102</v>
      </c>
      <c r="N99" s="52">
        <v>21.2</v>
      </c>
      <c r="O99" s="52">
        <f t="shared" si="3"/>
        <v>21.4</v>
      </c>
      <c r="P99" s="50">
        <v>0</v>
      </c>
    </row>
    <row r="100" spans="1:16" ht="16.5" customHeight="1">
      <c r="A100" s="50" t="s">
        <v>1230</v>
      </c>
      <c r="B100" s="50" t="s">
        <v>1231</v>
      </c>
      <c r="C100" s="50" t="s">
        <v>1232</v>
      </c>
      <c r="D100" s="50" t="s">
        <v>1077</v>
      </c>
      <c r="E100" s="50">
        <v>102908</v>
      </c>
      <c r="F100" s="50" t="s">
        <v>1233</v>
      </c>
      <c r="G100" s="50" t="s">
        <v>1234</v>
      </c>
      <c r="H100" s="50" t="s">
        <v>1235</v>
      </c>
      <c r="I100" s="51" t="s">
        <v>1236</v>
      </c>
      <c r="J100" s="51" t="s">
        <v>1241</v>
      </c>
      <c r="K100" s="51" t="s">
        <v>1242</v>
      </c>
      <c r="L100" s="52">
        <v>95</v>
      </c>
      <c r="M100" s="52">
        <f t="shared" si="2"/>
        <v>95</v>
      </c>
      <c r="N100" s="52">
        <v>19.7</v>
      </c>
      <c r="O100" s="52">
        <f t="shared" si="3"/>
        <v>19.899999999999999</v>
      </c>
      <c r="P100" s="50">
        <v>0</v>
      </c>
    </row>
    <row r="101" spans="1:16" ht="16.5" customHeight="1">
      <c r="A101" s="50" t="s">
        <v>1230</v>
      </c>
      <c r="B101" s="50" t="s">
        <v>1231</v>
      </c>
      <c r="C101" s="50" t="s">
        <v>1232</v>
      </c>
      <c r="D101" s="50" t="s">
        <v>1077</v>
      </c>
      <c r="E101" s="50">
        <v>102908</v>
      </c>
      <c r="F101" s="50" t="s">
        <v>1233</v>
      </c>
      <c r="G101" s="50" t="s">
        <v>1234</v>
      </c>
      <c r="H101" s="50" t="s">
        <v>1235</v>
      </c>
      <c r="I101" s="51" t="s">
        <v>1236</v>
      </c>
      <c r="J101" s="51" t="s">
        <v>1243</v>
      </c>
      <c r="K101" s="51" t="s">
        <v>1244</v>
      </c>
      <c r="L101" s="52">
        <v>97</v>
      </c>
      <c r="M101" s="52">
        <f t="shared" si="2"/>
        <v>97</v>
      </c>
      <c r="N101" s="52">
        <v>20.100000000000001</v>
      </c>
      <c r="O101" s="52">
        <f t="shared" si="3"/>
        <v>20.3</v>
      </c>
      <c r="P101" s="50">
        <v>0</v>
      </c>
    </row>
    <row r="102" spans="1:16" ht="16.5" customHeight="1">
      <c r="A102" s="50" t="s">
        <v>1230</v>
      </c>
      <c r="B102" s="50" t="s">
        <v>1231</v>
      </c>
      <c r="C102" s="50" t="s">
        <v>1232</v>
      </c>
      <c r="D102" s="50" t="s">
        <v>1077</v>
      </c>
      <c r="E102" s="50">
        <v>102908</v>
      </c>
      <c r="F102" s="50" t="s">
        <v>1233</v>
      </c>
      <c r="G102" s="50" t="s">
        <v>1234</v>
      </c>
      <c r="H102" s="50" t="s">
        <v>1235</v>
      </c>
      <c r="I102" s="51" t="s">
        <v>1236</v>
      </c>
      <c r="J102" s="51" t="s">
        <v>1245</v>
      </c>
      <c r="K102" s="51" t="s">
        <v>1246</v>
      </c>
      <c r="L102" s="52">
        <v>99</v>
      </c>
      <c r="M102" s="52">
        <f t="shared" si="2"/>
        <v>99</v>
      </c>
      <c r="N102" s="52">
        <v>20.6</v>
      </c>
      <c r="O102" s="52">
        <f t="shared" si="3"/>
        <v>20.8</v>
      </c>
      <c r="P102" s="50">
        <v>0</v>
      </c>
    </row>
    <row r="103" spans="1:16" ht="16.5" customHeight="1">
      <c r="A103" s="50" t="s">
        <v>1230</v>
      </c>
      <c r="B103" s="50" t="s">
        <v>1231</v>
      </c>
      <c r="C103" s="50" t="s">
        <v>1232</v>
      </c>
      <c r="D103" s="50" t="s">
        <v>1077</v>
      </c>
      <c r="E103" s="50">
        <v>102908</v>
      </c>
      <c r="F103" s="50" t="s">
        <v>1233</v>
      </c>
      <c r="G103" s="50" t="s">
        <v>1234</v>
      </c>
      <c r="H103" s="50" t="s">
        <v>1235</v>
      </c>
      <c r="I103" s="51" t="s">
        <v>1236</v>
      </c>
      <c r="J103" s="51" t="s">
        <v>1247</v>
      </c>
      <c r="K103" s="51" t="s">
        <v>1248</v>
      </c>
      <c r="L103" s="52">
        <v>103</v>
      </c>
      <c r="M103" s="52">
        <f t="shared" si="2"/>
        <v>103</v>
      </c>
      <c r="N103" s="52">
        <v>21.5</v>
      </c>
      <c r="O103" s="52">
        <f t="shared" si="3"/>
        <v>21.7</v>
      </c>
      <c r="P103" s="50">
        <v>0</v>
      </c>
    </row>
    <row r="104" spans="1:16" ht="16.5" customHeight="1">
      <c r="A104" s="50" t="s">
        <v>1230</v>
      </c>
      <c r="B104" s="50" t="s">
        <v>1231</v>
      </c>
      <c r="C104" s="50" t="s">
        <v>1232</v>
      </c>
      <c r="D104" s="50" t="s">
        <v>1077</v>
      </c>
      <c r="E104" s="50">
        <v>102908</v>
      </c>
      <c r="F104" s="50" t="s">
        <v>1233</v>
      </c>
      <c r="G104" s="50" t="s">
        <v>1234</v>
      </c>
      <c r="H104" s="50" t="s">
        <v>1235</v>
      </c>
      <c r="I104" s="51" t="s">
        <v>1236</v>
      </c>
      <c r="J104" s="51" t="s">
        <v>1249</v>
      </c>
      <c r="K104" s="51" t="s">
        <v>1250</v>
      </c>
      <c r="L104" s="52">
        <v>103</v>
      </c>
      <c r="M104" s="52">
        <f t="shared" si="2"/>
        <v>103</v>
      </c>
      <c r="N104" s="52">
        <v>21.5</v>
      </c>
      <c r="O104" s="52">
        <f t="shared" si="3"/>
        <v>21.7</v>
      </c>
      <c r="P104" s="50">
        <v>0</v>
      </c>
    </row>
    <row r="105" spans="1:16" ht="16.5" customHeight="1">
      <c r="A105" s="50" t="s">
        <v>1230</v>
      </c>
      <c r="B105" s="50" t="s">
        <v>1231</v>
      </c>
      <c r="C105" s="50" t="s">
        <v>1232</v>
      </c>
      <c r="D105" s="50" t="s">
        <v>1077</v>
      </c>
      <c r="E105" s="50">
        <v>102908</v>
      </c>
      <c r="F105" s="50" t="s">
        <v>1233</v>
      </c>
      <c r="G105" s="50" t="s">
        <v>1234</v>
      </c>
      <c r="H105" s="50" t="s">
        <v>1235</v>
      </c>
      <c r="I105" s="51" t="s">
        <v>1236</v>
      </c>
      <c r="J105" s="51" t="s">
        <v>1251</v>
      </c>
      <c r="K105" s="51" t="s">
        <v>1252</v>
      </c>
      <c r="L105" s="52">
        <v>100</v>
      </c>
      <c r="M105" s="52">
        <f t="shared" si="2"/>
        <v>100</v>
      </c>
      <c r="N105" s="52">
        <v>20.8</v>
      </c>
      <c r="O105" s="52">
        <f t="shared" si="3"/>
        <v>21</v>
      </c>
      <c r="P105" s="50">
        <v>0</v>
      </c>
    </row>
    <row r="106" spans="1:16" ht="16.5" customHeight="1">
      <c r="A106" s="50" t="s">
        <v>1230</v>
      </c>
      <c r="B106" s="50" t="s">
        <v>1231</v>
      </c>
      <c r="C106" s="50" t="s">
        <v>1232</v>
      </c>
      <c r="D106" s="50" t="s">
        <v>1077</v>
      </c>
      <c r="E106" s="50">
        <v>102908</v>
      </c>
      <c r="F106" s="50" t="s">
        <v>1233</v>
      </c>
      <c r="G106" s="50" t="s">
        <v>1234</v>
      </c>
      <c r="H106" s="50" t="s">
        <v>1235</v>
      </c>
      <c r="I106" s="51" t="s">
        <v>1236</v>
      </c>
      <c r="J106" s="51" t="s">
        <v>1253</v>
      </c>
      <c r="K106" s="51" t="s">
        <v>1254</v>
      </c>
      <c r="L106" s="52">
        <v>98</v>
      </c>
      <c r="M106" s="52">
        <f t="shared" si="2"/>
        <v>98</v>
      </c>
      <c r="N106" s="52">
        <v>20.399999999999999</v>
      </c>
      <c r="O106" s="52">
        <f t="shared" si="3"/>
        <v>20.599999999999998</v>
      </c>
      <c r="P106" s="50">
        <v>0</v>
      </c>
    </row>
    <row r="107" spans="1:16" ht="16.5" customHeight="1">
      <c r="A107" s="50" t="s">
        <v>1230</v>
      </c>
      <c r="B107" s="50" t="s">
        <v>1231</v>
      </c>
      <c r="C107" s="50" t="s">
        <v>1232</v>
      </c>
      <c r="D107" s="50" t="s">
        <v>1077</v>
      </c>
      <c r="E107" s="50">
        <v>102908</v>
      </c>
      <c r="F107" s="50" t="s">
        <v>1233</v>
      </c>
      <c r="G107" s="50" t="s">
        <v>1234</v>
      </c>
      <c r="H107" s="50" t="s">
        <v>1235</v>
      </c>
      <c r="I107" s="51" t="s">
        <v>1236</v>
      </c>
      <c r="J107" s="51" t="s">
        <v>1255</v>
      </c>
      <c r="K107" s="51" t="s">
        <v>1256</v>
      </c>
      <c r="L107" s="52">
        <v>103</v>
      </c>
      <c r="M107" s="52">
        <f t="shared" si="2"/>
        <v>103</v>
      </c>
      <c r="N107" s="52">
        <v>21.4</v>
      </c>
      <c r="O107" s="52">
        <f t="shared" si="3"/>
        <v>21.599999999999998</v>
      </c>
      <c r="P107" s="50">
        <v>0</v>
      </c>
    </row>
    <row r="108" spans="1:16" ht="16.5" customHeight="1">
      <c r="A108" s="50" t="s">
        <v>1230</v>
      </c>
      <c r="B108" s="50" t="s">
        <v>1231</v>
      </c>
      <c r="C108" s="50" t="s">
        <v>1232</v>
      </c>
      <c r="D108" s="50" t="s">
        <v>1077</v>
      </c>
      <c r="E108" s="50">
        <v>102908</v>
      </c>
      <c r="F108" s="50" t="s">
        <v>1233</v>
      </c>
      <c r="G108" s="50" t="s">
        <v>1234</v>
      </c>
      <c r="H108" s="50" t="s">
        <v>1235</v>
      </c>
      <c r="I108" s="51" t="s">
        <v>1236</v>
      </c>
      <c r="J108" s="51" t="s">
        <v>1257</v>
      </c>
      <c r="K108" s="51" t="s">
        <v>1258</v>
      </c>
      <c r="L108" s="52">
        <v>100</v>
      </c>
      <c r="M108" s="52">
        <f t="shared" si="2"/>
        <v>100</v>
      </c>
      <c r="N108" s="52">
        <v>20.9</v>
      </c>
      <c r="O108" s="52">
        <f t="shared" si="3"/>
        <v>21.099999999999998</v>
      </c>
      <c r="P108" s="50">
        <v>0</v>
      </c>
    </row>
    <row r="109" spans="1:16" ht="16.5" customHeight="1">
      <c r="A109" s="50" t="s">
        <v>1230</v>
      </c>
      <c r="B109" s="50" t="s">
        <v>1231</v>
      </c>
      <c r="C109" s="50" t="s">
        <v>1232</v>
      </c>
      <c r="D109" s="50" t="s">
        <v>1077</v>
      </c>
      <c r="E109" s="50">
        <v>102908</v>
      </c>
      <c r="F109" s="50" t="s">
        <v>1233</v>
      </c>
      <c r="G109" s="50" t="s">
        <v>1234</v>
      </c>
      <c r="H109" s="50" t="s">
        <v>1235</v>
      </c>
      <c r="I109" s="51" t="s">
        <v>1236</v>
      </c>
      <c r="J109" s="51" t="s">
        <v>1259</v>
      </c>
      <c r="K109" s="51" t="s">
        <v>1260</v>
      </c>
      <c r="L109" s="52">
        <v>96</v>
      </c>
      <c r="M109" s="52">
        <f t="shared" si="2"/>
        <v>96</v>
      </c>
      <c r="N109" s="52">
        <v>19.899999999999999</v>
      </c>
      <c r="O109" s="52">
        <f t="shared" si="3"/>
        <v>20.099999999999998</v>
      </c>
      <c r="P109" s="50">
        <v>0</v>
      </c>
    </row>
    <row r="110" spans="1:16" ht="16.5" customHeight="1">
      <c r="A110" s="50" t="s">
        <v>1230</v>
      </c>
      <c r="B110" s="50" t="s">
        <v>1231</v>
      </c>
      <c r="C110" s="50" t="s">
        <v>1232</v>
      </c>
      <c r="D110" s="50" t="s">
        <v>1077</v>
      </c>
      <c r="E110" s="50">
        <v>102908</v>
      </c>
      <c r="F110" s="50" t="s">
        <v>1233</v>
      </c>
      <c r="G110" s="50" t="s">
        <v>1234</v>
      </c>
      <c r="H110" s="50" t="s">
        <v>1235</v>
      </c>
      <c r="I110" s="51" t="s">
        <v>1236</v>
      </c>
      <c r="J110" s="51" t="s">
        <v>1261</v>
      </c>
      <c r="K110" s="51" t="s">
        <v>1262</v>
      </c>
      <c r="L110" s="52">
        <v>102</v>
      </c>
      <c r="M110" s="52">
        <f t="shared" si="2"/>
        <v>102</v>
      </c>
      <c r="N110" s="52">
        <v>21.2</v>
      </c>
      <c r="O110" s="52">
        <f t="shared" si="3"/>
        <v>21.4</v>
      </c>
      <c r="P110" s="50">
        <v>0</v>
      </c>
    </row>
    <row r="111" spans="1:16" ht="16.5" customHeight="1">
      <c r="A111" s="50" t="s">
        <v>1230</v>
      </c>
      <c r="B111" s="50" t="s">
        <v>1231</v>
      </c>
      <c r="C111" s="50" t="s">
        <v>1232</v>
      </c>
      <c r="D111" s="50" t="s">
        <v>1077</v>
      </c>
      <c r="E111" s="50">
        <v>102908</v>
      </c>
      <c r="F111" s="50" t="s">
        <v>1233</v>
      </c>
      <c r="G111" s="50" t="s">
        <v>1234</v>
      </c>
      <c r="H111" s="50" t="s">
        <v>1235</v>
      </c>
      <c r="I111" s="51" t="s">
        <v>1236</v>
      </c>
      <c r="J111" s="51" t="s">
        <v>1263</v>
      </c>
      <c r="K111" s="51" t="s">
        <v>1264</v>
      </c>
      <c r="L111" s="52">
        <v>102</v>
      </c>
      <c r="M111" s="52">
        <f t="shared" si="2"/>
        <v>102</v>
      </c>
      <c r="N111" s="52">
        <v>21.3</v>
      </c>
      <c r="O111" s="52">
        <f t="shared" si="3"/>
        <v>21.5</v>
      </c>
      <c r="P111" s="50">
        <v>0</v>
      </c>
    </row>
    <row r="112" spans="1:16" ht="16.5" customHeight="1">
      <c r="A112" s="50" t="s">
        <v>1230</v>
      </c>
      <c r="B112" s="50" t="s">
        <v>1231</v>
      </c>
      <c r="C112" s="50" t="s">
        <v>1232</v>
      </c>
      <c r="D112" s="50" t="s">
        <v>1077</v>
      </c>
      <c r="E112" s="50">
        <v>102908</v>
      </c>
      <c r="F112" s="50" t="s">
        <v>1233</v>
      </c>
      <c r="G112" s="50" t="s">
        <v>1234</v>
      </c>
      <c r="H112" s="50" t="s">
        <v>1235</v>
      </c>
      <c r="I112" s="51" t="s">
        <v>1236</v>
      </c>
      <c r="J112" s="51" t="s">
        <v>1265</v>
      </c>
      <c r="K112" s="51" t="s">
        <v>1266</v>
      </c>
      <c r="L112" s="52">
        <v>92</v>
      </c>
      <c r="M112" s="52">
        <f t="shared" si="2"/>
        <v>92</v>
      </c>
      <c r="N112" s="52">
        <v>19.2</v>
      </c>
      <c r="O112" s="52">
        <f t="shared" si="3"/>
        <v>19.399999999999999</v>
      </c>
      <c r="P112" s="50">
        <v>0</v>
      </c>
    </row>
    <row r="113" spans="1:16" ht="16.5" customHeight="1">
      <c r="A113" s="50" t="s">
        <v>1230</v>
      </c>
      <c r="B113" s="50" t="s">
        <v>1231</v>
      </c>
      <c r="C113" s="50" t="s">
        <v>1232</v>
      </c>
      <c r="D113" s="50" t="s">
        <v>1077</v>
      </c>
      <c r="E113" s="50">
        <v>102908</v>
      </c>
      <c r="F113" s="50" t="s">
        <v>1233</v>
      </c>
      <c r="G113" s="50" t="s">
        <v>1234</v>
      </c>
      <c r="H113" s="50" t="s">
        <v>1235</v>
      </c>
      <c r="I113" s="51" t="s">
        <v>1236</v>
      </c>
      <c r="J113" s="51" t="s">
        <v>1267</v>
      </c>
      <c r="K113" s="51" t="s">
        <v>1268</v>
      </c>
      <c r="L113" s="52">
        <v>98</v>
      </c>
      <c r="M113" s="52">
        <f t="shared" si="2"/>
        <v>98</v>
      </c>
      <c r="N113" s="52">
        <v>20.3</v>
      </c>
      <c r="O113" s="52">
        <f t="shared" si="3"/>
        <v>20.5</v>
      </c>
      <c r="P113" s="50">
        <v>0</v>
      </c>
    </row>
    <row r="114" spans="1:16" ht="16.5" customHeight="1">
      <c r="A114" s="50" t="s">
        <v>1230</v>
      </c>
      <c r="B114" s="50" t="s">
        <v>1231</v>
      </c>
      <c r="C114" s="50" t="s">
        <v>1232</v>
      </c>
      <c r="D114" s="50" t="s">
        <v>1077</v>
      </c>
      <c r="E114" s="50">
        <v>102908</v>
      </c>
      <c r="F114" s="50" t="s">
        <v>1269</v>
      </c>
      <c r="G114" s="50" t="s">
        <v>1270</v>
      </c>
      <c r="H114" s="50" t="s">
        <v>1271</v>
      </c>
      <c r="I114" s="51" t="s">
        <v>1272</v>
      </c>
      <c r="J114" s="51" t="s">
        <v>1273</v>
      </c>
      <c r="K114" s="51" t="s">
        <v>1274</v>
      </c>
      <c r="L114" s="52">
        <v>105</v>
      </c>
      <c r="M114" s="52">
        <f t="shared" si="2"/>
        <v>105</v>
      </c>
      <c r="N114" s="52">
        <v>21.9</v>
      </c>
      <c r="O114" s="52">
        <f t="shared" si="3"/>
        <v>22.099999999999998</v>
      </c>
      <c r="P114" s="50">
        <v>0</v>
      </c>
    </row>
    <row r="115" spans="1:16" ht="16.5" customHeight="1">
      <c r="A115" s="50" t="s">
        <v>1230</v>
      </c>
      <c r="B115" s="50" t="s">
        <v>1231</v>
      </c>
      <c r="C115" s="50" t="s">
        <v>1232</v>
      </c>
      <c r="D115" s="50" t="s">
        <v>1077</v>
      </c>
      <c r="E115" s="50">
        <v>102908</v>
      </c>
      <c r="F115" s="50" t="s">
        <v>1269</v>
      </c>
      <c r="G115" s="50" t="s">
        <v>1270</v>
      </c>
      <c r="H115" s="50" t="s">
        <v>1271</v>
      </c>
      <c r="I115" s="51" t="s">
        <v>1272</v>
      </c>
      <c r="J115" s="51" t="s">
        <v>1275</v>
      </c>
      <c r="K115" s="51" t="s">
        <v>1276</v>
      </c>
      <c r="L115" s="52">
        <v>106</v>
      </c>
      <c r="M115" s="52">
        <f t="shared" si="2"/>
        <v>106</v>
      </c>
      <c r="N115" s="52">
        <v>22</v>
      </c>
      <c r="O115" s="52">
        <f t="shared" si="3"/>
        <v>22.2</v>
      </c>
      <c r="P115" s="50">
        <v>0</v>
      </c>
    </row>
    <row r="116" spans="1:16" ht="16.5" customHeight="1">
      <c r="A116" s="50" t="s">
        <v>1230</v>
      </c>
      <c r="B116" s="50" t="s">
        <v>1231</v>
      </c>
      <c r="C116" s="50" t="s">
        <v>1232</v>
      </c>
      <c r="D116" s="50" t="s">
        <v>1077</v>
      </c>
      <c r="E116" s="50">
        <v>102908</v>
      </c>
      <c r="F116" s="50" t="s">
        <v>1269</v>
      </c>
      <c r="G116" s="50" t="s">
        <v>1270</v>
      </c>
      <c r="H116" s="50" t="s">
        <v>1271</v>
      </c>
      <c r="I116" s="51" t="s">
        <v>1272</v>
      </c>
      <c r="J116" s="51" t="s">
        <v>1277</v>
      </c>
      <c r="K116" s="51" t="s">
        <v>1278</v>
      </c>
      <c r="L116" s="52">
        <v>101</v>
      </c>
      <c r="M116" s="52">
        <f t="shared" si="2"/>
        <v>101</v>
      </c>
      <c r="N116" s="52">
        <v>21</v>
      </c>
      <c r="O116" s="52">
        <f t="shared" si="3"/>
        <v>21.2</v>
      </c>
      <c r="P116" s="50">
        <v>0</v>
      </c>
    </row>
    <row r="117" spans="1:16" ht="16.5" customHeight="1">
      <c r="A117" s="50" t="s">
        <v>1230</v>
      </c>
      <c r="B117" s="50" t="s">
        <v>1231</v>
      </c>
      <c r="C117" s="50" t="s">
        <v>1232</v>
      </c>
      <c r="D117" s="50" t="s">
        <v>1077</v>
      </c>
      <c r="E117" s="50">
        <v>102908</v>
      </c>
      <c r="F117" s="50" t="s">
        <v>1269</v>
      </c>
      <c r="G117" s="50" t="s">
        <v>1270</v>
      </c>
      <c r="H117" s="50" t="s">
        <v>1271</v>
      </c>
      <c r="I117" s="51" t="s">
        <v>1272</v>
      </c>
      <c r="J117" s="51" t="s">
        <v>1279</v>
      </c>
      <c r="K117" s="51" t="s">
        <v>1280</v>
      </c>
      <c r="L117" s="52">
        <v>95</v>
      </c>
      <c r="M117" s="52">
        <f t="shared" si="2"/>
        <v>95</v>
      </c>
      <c r="N117" s="52">
        <v>19.8</v>
      </c>
      <c r="O117" s="52">
        <f t="shared" si="3"/>
        <v>20</v>
      </c>
      <c r="P117" s="50">
        <v>0</v>
      </c>
    </row>
    <row r="118" spans="1:16" ht="16.5" customHeight="1">
      <c r="A118" s="50" t="s">
        <v>1230</v>
      </c>
      <c r="B118" s="50" t="s">
        <v>1231</v>
      </c>
      <c r="C118" s="50" t="s">
        <v>1232</v>
      </c>
      <c r="D118" s="50" t="s">
        <v>1077</v>
      </c>
      <c r="E118" s="50">
        <v>102908</v>
      </c>
      <c r="F118" s="50" t="s">
        <v>1269</v>
      </c>
      <c r="G118" s="50" t="s">
        <v>1270</v>
      </c>
      <c r="H118" s="50" t="s">
        <v>1271</v>
      </c>
      <c r="I118" s="51" t="s">
        <v>1272</v>
      </c>
      <c r="J118" s="51" t="s">
        <v>1281</v>
      </c>
      <c r="K118" s="51" t="s">
        <v>1282</v>
      </c>
      <c r="L118" s="52">
        <v>101</v>
      </c>
      <c r="M118" s="52">
        <f t="shared" si="2"/>
        <v>101</v>
      </c>
      <c r="N118" s="52">
        <v>21</v>
      </c>
      <c r="O118" s="52">
        <f t="shared" si="3"/>
        <v>21.2</v>
      </c>
      <c r="P118" s="50">
        <v>0</v>
      </c>
    </row>
    <row r="119" spans="1:16" ht="16.5" customHeight="1">
      <c r="A119" s="50" t="s">
        <v>1230</v>
      </c>
      <c r="B119" s="50" t="s">
        <v>1231</v>
      </c>
      <c r="C119" s="50" t="s">
        <v>1232</v>
      </c>
      <c r="D119" s="50" t="s">
        <v>1077</v>
      </c>
      <c r="E119" s="50">
        <v>102908</v>
      </c>
      <c r="F119" s="50" t="s">
        <v>1269</v>
      </c>
      <c r="G119" s="50" t="s">
        <v>1270</v>
      </c>
      <c r="H119" s="50" t="s">
        <v>1271</v>
      </c>
      <c r="I119" s="51" t="s">
        <v>1272</v>
      </c>
      <c r="J119" s="51" t="s">
        <v>1283</v>
      </c>
      <c r="K119" s="51" t="s">
        <v>1284</v>
      </c>
      <c r="L119" s="52">
        <v>106</v>
      </c>
      <c r="M119" s="52">
        <f t="shared" si="2"/>
        <v>106</v>
      </c>
      <c r="N119" s="52">
        <v>22</v>
      </c>
      <c r="O119" s="52">
        <f t="shared" si="3"/>
        <v>22.2</v>
      </c>
      <c r="P119" s="50">
        <v>0</v>
      </c>
    </row>
    <row r="120" spans="1:16" ht="16.5" customHeight="1">
      <c r="A120" s="50" t="s">
        <v>1230</v>
      </c>
      <c r="B120" s="50" t="s">
        <v>1231</v>
      </c>
      <c r="C120" s="50" t="s">
        <v>1232</v>
      </c>
      <c r="D120" s="50" t="s">
        <v>1077</v>
      </c>
      <c r="E120" s="50">
        <v>102908</v>
      </c>
      <c r="F120" s="50" t="s">
        <v>1269</v>
      </c>
      <c r="G120" s="50" t="s">
        <v>1270</v>
      </c>
      <c r="H120" s="50" t="s">
        <v>1271</v>
      </c>
      <c r="I120" s="51" t="s">
        <v>1272</v>
      </c>
      <c r="J120" s="51" t="s">
        <v>1285</v>
      </c>
      <c r="K120" s="51" t="s">
        <v>1286</v>
      </c>
      <c r="L120" s="52">
        <v>98</v>
      </c>
      <c r="M120" s="52">
        <f t="shared" si="2"/>
        <v>98</v>
      </c>
      <c r="N120" s="52">
        <v>20.3</v>
      </c>
      <c r="O120" s="52">
        <f t="shared" si="3"/>
        <v>20.5</v>
      </c>
      <c r="P120" s="50">
        <v>0</v>
      </c>
    </row>
    <row r="121" spans="1:16" ht="16.5" customHeight="1">
      <c r="A121" s="50" t="s">
        <v>1230</v>
      </c>
      <c r="B121" s="50" t="s">
        <v>1231</v>
      </c>
      <c r="C121" s="50" t="s">
        <v>1232</v>
      </c>
      <c r="D121" s="50" t="s">
        <v>1077</v>
      </c>
      <c r="E121" s="50">
        <v>102908</v>
      </c>
      <c r="F121" s="50" t="s">
        <v>1269</v>
      </c>
      <c r="G121" s="50" t="s">
        <v>1270</v>
      </c>
      <c r="H121" s="50" t="s">
        <v>1271</v>
      </c>
      <c r="I121" s="51" t="s">
        <v>1287</v>
      </c>
      <c r="J121" s="51" t="s">
        <v>1083</v>
      </c>
      <c r="K121" s="51" t="s">
        <v>1083</v>
      </c>
      <c r="L121" s="52">
        <v>101</v>
      </c>
      <c r="M121" s="52">
        <f t="shared" si="2"/>
        <v>101</v>
      </c>
      <c r="N121" s="52">
        <v>21.4</v>
      </c>
      <c r="O121" s="52">
        <f t="shared" si="3"/>
        <v>21.599999999999998</v>
      </c>
      <c r="P121" s="50">
        <v>0</v>
      </c>
    </row>
    <row r="122" spans="1:16" ht="16.5" customHeight="1">
      <c r="A122" s="50" t="s">
        <v>1230</v>
      </c>
      <c r="B122" s="50" t="s">
        <v>1231</v>
      </c>
      <c r="C122" s="50" t="s">
        <v>1232</v>
      </c>
      <c r="D122" s="50" t="s">
        <v>1077</v>
      </c>
      <c r="E122" s="50">
        <v>102908</v>
      </c>
      <c r="F122" s="50" t="s">
        <v>1269</v>
      </c>
      <c r="G122" s="50" t="s">
        <v>1270</v>
      </c>
      <c r="H122" s="50" t="s">
        <v>1271</v>
      </c>
      <c r="I122" s="51" t="s">
        <v>1287</v>
      </c>
      <c r="J122" s="51" t="s">
        <v>1085</v>
      </c>
      <c r="K122" s="51" t="s">
        <v>1085</v>
      </c>
      <c r="L122" s="52">
        <v>99</v>
      </c>
      <c r="M122" s="52">
        <f t="shared" si="2"/>
        <v>99</v>
      </c>
      <c r="N122" s="52">
        <v>21.1</v>
      </c>
      <c r="O122" s="52">
        <f t="shared" si="3"/>
        <v>21.3</v>
      </c>
      <c r="P122" s="50">
        <v>0</v>
      </c>
    </row>
    <row r="123" spans="1:16" ht="16.5" customHeight="1">
      <c r="A123" s="50" t="s">
        <v>1230</v>
      </c>
      <c r="B123" s="50" t="s">
        <v>1231</v>
      </c>
      <c r="C123" s="50" t="s">
        <v>1232</v>
      </c>
      <c r="D123" s="50" t="s">
        <v>1077</v>
      </c>
      <c r="E123" s="50">
        <v>102908</v>
      </c>
      <c r="F123" s="50" t="s">
        <v>1269</v>
      </c>
      <c r="G123" s="50" t="s">
        <v>1270</v>
      </c>
      <c r="H123" s="50" t="s">
        <v>1271</v>
      </c>
      <c r="I123" s="51" t="s">
        <v>1287</v>
      </c>
      <c r="J123" s="51" t="s">
        <v>1087</v>
      </c>
      <c r="K123" s="51" t="s">
        <v>1087</v>
      </c>
      <c r="L123" s="52">
        <v>102</v>
      </c>
      <c r="M123" s="52">
        <f t="shared" si="2"/>
        <v>102</v>
      </c>
      <c r="N123" s="52">
        <v>21.6</v>
      </c>
      <c r="O123" s="52">
        <f t="shared" si="3"/>
        <v>21.8</v>
      </c>
      <c r="P123" s="50">
        <v>0</v>
      </c>
    </row>
    <row r="124" spans="1:16" ht="16.5" customHeight="1">
      <c r="A124" s="50" t="s">
        <v>1230</v>
      </c>
      <c r="B124" s="50" t="s">
        <v>1231</v>
      </c>
      <c r="C124" s="50" t="s">
        <v>1232</v>
      </c>
      <c r="D124" s="50" t="s">
        <v>1077</v>
      </c>
      <c r="E124" s="50">
        <v>102908</v>
      </c>
      <c r="F124" s="50" t="s">
        <v>1269</v>
      </c>
      <c r="G124" s="50" t="s">
        <v>1270</v>
      </c>
      <c r="H124" s="50" t="s">
        <v>1271</v>
      </c>
      <c r="I124" s="51" t="s">
        <v>1287</v>
      </c>
      <c r="J124" s="51" t="s">
        <v>1089</v>
      </c>
      <c r="K124" s="51" t="s">
        <v>1089</v>
      </c>
      <c r="L124" s="52">
        <v>99</v>
      </c>
      <c r="M124" s="52">
        <f t="shared" si="2"/>
        <v>99</v>
      </c>
      <c r="N124" s="52">
        <v>21.1</v>
      </c>
      <c r="O124" s="52">
        <f t="shared" si="3"/>
        <v>21.3</v>
      </c>
      <c r="P124" s="50">
        <v>0</v>
      </c>
    </row>
    <row r="125" spans="1:16" ht="16.5" customHeight="1">
      <c r="A125" s="50" t="s">
        <v>1230</v>
      </c>
      <c r="B125" s="50" t="s">
        <v>1231</v>
      </c>
      <c r="C125" s="50" t="s">
        <v>1232</v>
      </c>
      <c r="D125" s="50" t="s">
        <v>1077</v>
      </c>
      <c r="E125" s="50">
        <v>102908</v>
      </c>
      <c r="F125" s="50" t="s">
        <v>1269</v>
      </c>
      <c r="G125" s="50" t="s">
        <v>1270</v>
      </c>
      <c r="H125" s="50" t="s">
        <v>1271</v>
      </c>
      <c r="I125" s="51" t="s">
        <v>1287</v>
      </c>
      <c r="J125" s="51" t="s">
        <v>1092</v>
      </c>
      <c r="K125" s="51" t="s">
        <v>1092</v>
      </c>
      <c r="L125" s="52">
        <v>97</v>
      </c>
      <c r="M125" s="52">
        <f t="shared" si="2"/>
        <v>97</v>
      </c>
      <c r="N125" s="52">
        <v>20.6</v>
      </c>
      <c r="O125" s="52">
        <f t="shared" si="3"/>
        <v>20.8</v>
      </c>
      <c r="P125" s="50">
        <v>0</v>
      </c>
    </row>
    <row r="126" spans="1:16" ht="16.5" customHeight="1">
      <c r="A126" s="50" t="s">
        <v>1230</v>
      </c>
      <c r="B126" s="50" t="s">
        <v>1231</v>
      </c>
      <c r="C126" s="50" t="s">
        <v>1232</v>
      </c>
      <c r="D126" s="50" t="s">
        <v>1077</v>
      </c>
      <c r="E126" s="50">
        <v>102908</v>
      </c>
      <c r="F126" s="50" t="s">
        <v>1269</v>
      </c>
      <c r="G126" s="50" t="s">
        <v>1270</v>
      </c>
      <c r="H126" s="50" t="s">
        <v>1271</v>
      </c>
      <c r="I126" s="51" t="s">
        <v>1287</v>
      </c>
      <c r="J126" s="51" t="s">
        <v>1094</v>
      </c>
      <c r="K126" s="51" t="s">
        <v>1094</v>
      </c>
      <c r="L126" s="52">
        <v>88</v>
      </c>
      <c r="M126" s="52">
        <f t="shared" si="2"/>
        <v>88</v>
      </c>
      <c r="N126" s="52">
        <v>18.7</v>
      </c>
      <c r="O126" s="52">
        <f t="shared" si="3"/>
        <v>18.899999999999999</v>
      </c>
      <c r="P126" s="50">
        <v>0</v>
      </c>
    </row>
    <row r="127" spans="1:16" ht="16.5" customHeight="1">
      <c r="A127" s="50" t="s">
        <v>1230</v>
      </c>
      <c r="B127" s="50" t="s">
        <v>1231</v>
      </c>
      <c r="C127" s="50" t="s">
        <v>1232</v>
      </c>
      <c r="D127" s="50" t="s">
        <v>1077</v>
      </c>
      <c r="E127" s="50">
        <v>102908</v>
      </c>
      <c r="F127" s="50" t="s">
        <v>1269</v>
      </c>
      <c r="G127" s="50" t="s">
        <v>1270</v>
      </c>
      <c r="H127" s="50" t="s">
        <v>1271</v>
      </c>
      <c r="I127" s="51" t="s">
        <v>1287</v>
      </c>
      <c r="J127" s="51" t="s">
        <v>1288</v>
      </c>
      <c r="K127" s="51" t="s">
        <v>1276</v>
      </c>
      <c r="L127" s="52">
        <v>10</v>
      </c>
      <c r="M127" s="52">
        <f t="shared" si="2"/>
        <v>10</v>
      </c>
      <c r="N127" s="52">
        <v>2.1</v>
      </c>
      <c r="O127" s="52">
        <f t="shared" si="3"/>
        <v>2.3000000000000003</v>
      </c>
      <c r="P127" s="50">
        <v>0</v>
      </c>
    </row>
    <row r="128" spans="1:16" ht="16.5" customHeight="1">
      <c r="A128" s="50" t="s">
        <v>1230</v>
      </c>
      <c r="B128" s="50" t="s">
        <v>1231</v>
      </c>
      <c r="C128" s="50" t="s">
        <v>1232</v>
      </c>
      <c r="D128" s="50" t="s">
        <v>1077</v>
      </c>
      <c r="E128" s="50">
        <v>102908</v>
      </c>
      <c r="F128" s="50" t="s">
        <v>1269</v>
      </c>
      <c r="G128" s="50" t="s">
        <v>1270</v>
      </c>
      <c r="H128" s="50" t="s">
        <v>1271</v>
      </c>
      <c r="I128" s="51" t="s">
        <v>1289</v>
      </c>
      <c r="J128" s="51" t="s">
        <v>1290</v>
      </c>
      <c r="K128" s="51" t="s">
        <v>1291</v>
      </c>
      <c r="L128" s="52">
        <v>104</v>
      </c>
      <c r="M128" s="52">
        <f t="shared" si="2"/>
        <v>104</v>
      </c>
      <c r="N128" s="52">
        <v>21.6</v>
      </c>
      <c r="O128" s="52">
        <f t="shared" si="3"/>
        <v>21.8</v>
      </c>
      <c r="P128" s="50">
        <v>0</v>
      </c>
    </row>
    <row r="129" spans="1:16" ht="16.5" customHeight="1">
      <c r="A129" s="50" t="s">
        <v>1230</v>
      </c>
      <c r="B129" s="50" t="s">
        <v>1231</v>
      </c>
      <c r="C129" s="50" t="s">
        <v>1232</v>
      </c>
      <c r="D129" s="50" t="s">
        <v>1077</v>
      </c>
      <c r="E129" s="50">
        <v>102908</v>
      </c>
      <c r="F129" s="50" t="s">
        <v>1269</v>
      </c>
      <c r="G129" s="50" t="s">
        <v>1270</v>
      </c>
      <c r="H129" s="50" t="s">
        <v>1271</v>
      </c>
      <c r="I129" s="51" t="s">
        <v>1289</v>
      </c>
      <c r="J129" s="51" t="s">
        <v>1292</v>
      </c>
      <c r="K129" s="51" t="s">
        <v>1293</v>
      </c>
      <c r="L129" s="52">
        <v>105</v>
      </c>
      <c r="M129" s="52">
        <f t="shared" si="2"/>
        <v>105</v>
      </c>
      <c r="N129" s="52">
        <v>21.9</v>
      </c>
      <c r="O129" s="52">
        <f t="shared" si="3"/>
        <v>22.099999999999998</v>
      </c>
      <c r="P129" s="50">
        <v>0</v>
      </c>
    </row>
    <row r="130" spans="1:16" ht="16.5" customHeight="1">
      <c r="A130" s="50" t="s">
        <v>1230</v>
      </c>
      <c r="B130" s="50" t="s">
        <v>1231</v>
      </c>
      <c r="C130" s="50" t="s">
        <v>1232</v>
      </c>
      <c r="D130" s="50" t="s">
        <v>1077</v>
      </c>
      <c r="E130" s="50">
        <v>102908</v>
      </c>
      <c r="F130" s="50" t="s">
        <v>1269</v>
      </c>
      <c r="G130" s="50" t="s">
        <v>1270</v>
      </c>
      <c r="H130" s="50" t="s">
        <v>1271</v>
      </c>
      <c r="I130" s="51" t="s">
        <v>1289</v>
      </c>
      <c r="J130" s="51" t="s">
        <v>1294</v>
      </c>
      <c r="K130" s="51" t="s">
        <v>1295</v>
      </c>
      <c r="L130" s="52">
        <v>106</v>
      </c>
      <c r="M130" s="52">
        <f t="shared" si="2"/>
        <v>106</v>
      </c>
      <c r="N130" s="52">
        <v>22</v>
      </c>
      <c r="O130" s="52">
        <f t="shared" si="3"/>
        <v>22.2</v>
      </c>
      <c r="P130" s="50">
        <v>0</v>
      </c>
    </row>
    <row r="131" spans="1:16" ht="16.5" customHeight="1">
      <c r="A131" s="50" t="s">
        <v>1230</v>
      </c>
      <c r="B131" s="50" t="s">
        <v>1231</v>
      </c>
      <c r="C131" s="50" t="s">
        <v>1232</v>
      </c>
      <c r="D131" s="50" t="s">
        <v>1077</v>
      </c>
      <c r="E131" s="50">
        <v>102908</v>
      </c>
      <c r="F131" s="50" t="s">
        <v>1269</v>
      </c>
      <c r="G131" s="50" t="s">
        <v>1270</v>
      </c>
      <c r="H131" s="50" t="s">
        <v>1271</v>
      </c>
      <c r="I131" s="51" t="s">
        <v>1289</v>
      </c>
      <c r="J131" s="51" t="s">
        <v>1296</v>
      </c>
      <c r="K131" s="51" t="s">
        <v>1297</v>
      </c>
      <c r="L131" s="52">
        <v>105</v>
      </c>
      <c r="M131" s="52">
        <f t="shared" si="2"/>
        <v>105</v>
      </c>
      <c r="N131" s="52">
        <v>21.9</v>
      </c>
      <c r="O131" s="52">
        <f t="shared" si="3"/>
        <v>22.099999999999998</v>
      </c>
      <c r="P131" s="50">
        <v>0</v>
      </c>
    </row>
    <row r="132" spans="1:16" ht="16.5" customHeight="1">
      <c r="A132" s="50" t="s">
        <v>1230</v>
      </c>
      <c r="B132" s="50" t="s">
        <v>1231</v>
      </c>
      <c r="C132" s="50" t="s">
        <v>1232</v>
      </c>
      <c r="D132" s="50" t="s">
        <v>1077</v>
      </c>
      <c r="E132" s="50">
        <v>102908</v>
      </c>
      <c r="F132" s="50" t="s">
        <v>1269</v>
      </c>
      <c r="G132" s="50" t="s">
        <v>1270</v>
      </c>
      <c r="H132" s="50" t="s">
        <v>1271</v>
      </c>
      <c r="I132" s="51" t="s">
        <v>1289</v>
      </c>
      <c r="J132" s="51" t="s">
        <v>1298</v>
      </c>
      <c r="K132" s="51" t="s">
        <v>1299</v>
      </c>
      <c r="L132" s="52">
        <v>101</v>
      </c>
      <c r="M132" s="52">
        <f t="shared" ref="M132:M195" si="4">L132+P132</f>
        <v>101</v>
      </c>
      <c r="N132" s="52">
        <v>21.1</v>
      </c>
      <c r="O132" s="52">
        <f t="shared" ref="O132:O195" si="5">N132+0.2</f>
        <v>21.3</v>
      </c>
      <c r="P132" s="50">
        <v>0</v>
      </c>
    </row>
    <row r="133" spans="1:16" ht="16.5" customHeight="1">
      <c r="A133" s="50" t="s">
        <v>1230</v>
      </c>
      <c r="B133" s="50" t="s">
        <v>1231</v>
      </c>
      <c r="C133" s="50" t="s">
        <v>1232</v>
      </c>
      <c r="D133" s="50" t="s">
        <v>1077</v>
      </c>
      <c r="E133" s="50">
        <v>102908</v>
      </c>
      <c r="F133" s="50" t="s">
        <v>1269</v>
      </c>
      <c r="G133" s="50" t="s">
        <v>1270</v>
      </c>
      <c r="H133" s="50" t="s">
        <v>1271</v>
      </c>
      <c r="I133" s="51" t="s">
        <v>1289</v>
      </c>
      <c r="J133" s="51" t="s">
        <v>1300</v>
      </c>
      <c r="K133" s="51" t="s">
        <v>1301</v>
      </c>
      <c r="L133" s="52">
        <v>106</v>
      </c>
      <c r="M133" s="52">
        <f t="shared" si="4"/>
        <v>106</v>
      </c>
      <c r="N133" s="52">
        <v>22</v>
      </c>
      <c r="O133" s="52">
        <f t="shared" si="5"/>
        <v>22.2</v>
      </c>
      <c r="P133" s="50">
        <v>0</v>
      </c>
    </row>
    <row r="134" spans="1:16" ht="16.5" customHeight="1">
      <c r="A134" s="50" t="s">
        <v>1230</v>
      </c>
      <c r="B134" s="50" t="s">
        <v>1231</v>
      </c>
      <c r="C134" s="50" t="s">
        <v>1232</v>
      </c>
      <c r="D134" s="50" t="s">
        <v>1077</v>
      </c>
      <c r="E134" s="50">
        <v>102908</v>
      </c>
      <c r="F134" s="50" t="s">
        <v>1269</v>
      </c>
      <c r="G134" s="50" t="s">
        <v>1270</v>
      </c>
      <c r="H134" s="50" t="s">
        <v>1271</v>
      </c>
      <c r="I134" s="51" t="s">
        <v>1289</v>
      </c>
      <c r="J134" s="51" t="s">
        <v>1302</v>
      </c>
      <c r="K134" s="51" t="s">
        <v>1303</v>
      </c>
      <c r="L134" s="52">
        <v>105</v>
      </c>
      <c r="M134" s="52">
        <f t="shared" si="4"/>
        <v>105</v>
      </c>
      <c r="N134" s="52">
        <v>21.9</v>
      </c>
      <c r="O134" s="52">
        <f t="shared" si="5"/>
        <v>22.099999999999998</v>
      </c>
      <c r="P134" s="50">
        <v>0</v>
      </c>
    </row>
    <row r="135" spans="1:16" ht="16.5" customHeight="1">
      <c r="A135" s="50" t="s">
        <v>1230</v>
      </c>
      <c r="B135" s="50" t="s">
        <v>1231</v>
      </c>
      <c r="C135" s="50" t="s">
        <v>1232</v>
      </c>
      <c r="D135" s="50" t="s">
        <v>1077</v>
      </c>
      <c r="E135" s="50">
        <v>102908</v>
      </c>
      <c r="F135" s="50" t="s">
        <v>1269</v>
      </c>
      <c r="G135" s="50" t="s">
        <v>1270</v>
      </c>
      <c r="H135" s="50" t="s">
        <v>1271</v>
      </c>
      <c r="I135" s="51" t="s">
        <v>1289</v>
      </c>
      <c r="J135" s="51" t="s">
        <v>1304</v>
      </c>
      <c r="K135" s="51" t="s">
        <v>1305</v>
      </c>
      <c r="L135" s="52">
        <v>105</v>
      </c>
      <c r="M135" s="52">
        <f t="shared" si="4"/>
        <v>105</v>
      </c>
      <c r="N135" s="52">
        <v>21.8</v>
      </c>
      <c r="O135" s="52">
        <f t="shared" si="5"/>
        <v>22</v>
      </c>
      <c r="P135" s="50">
        <v>0</v>
      </c>
    </row>
    <row r="136" spans="1:16" ht="16.5" customHeight="1">
      <c r="A136" s="50" t="s">
        <v>1230</v>
      </c>
      <c r="B136" s="50" t="s">
        <v>1231</v>
      </c>
      <c r="C136" s="50" t="s">
        <v>1232</v>
      </c>
      <c r="D136" s="50" t="s">
        <v>1077</v>
      </c>
      <c r="E136" s="50">
        <v>102908</v>
      </c>
      <c r="F136" s="50" t="s">
        <v>1306</v>
      </c>
      <c r="G136" s="50" t="s">
        <v>1307</v>
      </c>
      <c r="H136" s="50" t="s">
        <v>1308</v>
      </c>
      <c r="I136" s="51" t="s">
        <v>1309</v>
      </c>
      <c r="J136" s="51" t="s">
        <v>1310</v>
      </c>
      <c r="K136" s="51" t="s">
        <v>1311</v>
      </c>
      <c r="L136" s="52">
        <v>107</v>
      </c>
      <c r="M136" s="52">
        <f t="shared" si="4"/>
        <v>107</v>
      </c>
      <c r="N136" s="52">
        <v>21.7</v>
      </c>
      <c r="O136" s="52">
        <f t="shared" si="5"/>
        <v>21.9</v>
      </c>
      <c r="P136" s="50">
        <v>0</v>
      </c>
    </row>
    <row r="137" spans="1:16" ht="16.5" customHeight="1">
      <c r="A137" s="50" t="s">
        <v>1230</v>
      </c>
      <c r="B137" s="50" t="s">
        <v>1231</v>
      </c>
      <c r="C137" s="50" t="s">
        <v>1232</v>
      </c>
      <c r="D137" s="50" t="s">
        <v>1077</v>
      </c>
      <c r="E137" s="50">
        <v>102908</v>
      </c>
      <c r="F137" s="50" t="s">
        <v>1306</v>
      </c>
      <c r="G137" s="50" t="s">
        <v>1307</v>
      </c>
      <c r="H137" s="50" t="s">
        <v>1308</v>
      </c>
      <c r="I137" s="51" t="s">
        <v>1309</v>
      </c>
      <c r="J137" s="51" t="s">
        <v>1312</v>
      </c>
      <c r="K137" s="51" t="s">
        <v>1313</v>
      </c>
      <c r="L137" s="52">
        <v>109</v>
      </c>
      <c r="M137" s="52">
        <f t="shared" si="4"/>
        <v>109</v>
      </c>
      <c r="N137" s="52">
        <v>22.2</v>
      </c>
      <c r="O137" s="52">
        <f t="shared" si="5"/>
        <v>22.4</v>
      </c>
      <c r="P137" s="50">
        <v>0</v>
      </c>
    </row>
    <row r="138" spans="1:16" ht="16.5" customHeight="1">
      <c r="A138" s="50" t="s">
        <v>1230</v>
      </c>
      <c r="B138" s="50" t="s">
        <v>1231</v>
      </c>
      <c r="C138" s="50" t="s">
        <v>1232</v>
      </c>
      <c r="D138" s="50" t="s">
        <v>1077</v>
      </c>
      <c r="E138" s="50">
        <v>102908</v>
      </c>
      <c r="F138" s="50" t="s">
        <v>1306</v>
      </c>
      <c r="G138" s="50" t="s">
        <v>1307</v>
      </c>
      <c r="H138" s="50" t="s">
        <v>1308</v>
      </c>
      <c r="I138" s="51" t="s">
        <v>1309</v>
      </c>
      <c r="J138" s="51" t="s">
        <v>1314</v>
      </c>
      <c r="K138" s="51" t="s">
        <v>1315</v>
      </c>
      <c r="L138" s="52">
        <v>105</v>
      </c>
      <c r="M138" s="52">
        <f t="shared" si="4"/>
        <v>105</v>
      </c>
      <c r="N138" s="52">
        <v>21.4</v>
      </c>
      <c r="O138" s="52">
        <f t="shared" si="5"/>
        <v>21.599999999999998</v>
      </c>
      <c r="P138" s="50">
        <v>0</v>
      </c>
    </row>
    <row r="139" spans="1:16" ht="16.5" customHeight="1">
      <c r="A139" s="50" t="s">
        <v>1230</v>
      </c>
      <c r="B139" s="50" t="s">
        <v>1231</v>
      </c>
      <c r="C139" s="50" t="s">
        <v>1232</v>
      </c>
      <c r="D139" s="50" t="s">
        <v>1077</v>
      </c>
      <c r="E139" s="50">
        <v>102908</v>
      </c>
      <c r="F139" s="50" t="s">
        <v>1306</v>
      </c>
      <c r="G139" s="50" t="s">
        <v>1307</v>
      </c>
      <c r="H139" s="50" t="s">
        <v>1308</v>
      </c>
      <c r="I139" s="51" t="s">
        <v>1309</v>
      </c>
      <c r="J139" s="51" t="s">
        <v>1316</v>
      </c>
      <c r="K139" s="51" t="s">
        <v>1317</v>
      </c>
      <c r="L139" s="52">
        <v>106</v>
      </c>
      <c r="M139" s="52">
        <f t="shared" si="4"/>
        <v>106</v>
      </c>
      <c r="N139" s="52">
        <v>21.6</v>
      </c>
      <c r="O139" s="52">
        <f t="shared" si="5"/>
        <v>21.8</v>
      </c>
      <c r="P139" s="50">
        <v>0</v>
      </c>
    </row>
    <row r="140" spans="1:16" ht="16.5" customHeight="1">
      <c r="A140" s="50" t="s">
        <v>1230</v>
      </c>
      <c r="B140" s="50" t="s">
        <v>1231</v>
      </c>
      <c r="C140" s="50" t="s">
        <v>1232</v>
      </c>
      <c r="D140" s="50" t="s">
        <v>1077</v>
      </c>
      <c r="E140" s="50">
        <v>102908</v>
      </c>
      <c r="F140" s="50" t="s">
        <v>1306</v>
      </c>
      <c r="G140" s="50" t="s">
        <v>1307</v>
      </c>
      <c r="H140" s="50" t="s">
        <v>1308</v>
      </c>
      <c r="I140" s="51" t="s">
        <v>1309</v>
      </c>
      <c r="J140" s="51" t="s">
        <v>1318</v>
      </c>
      <c r="K140" s="51" t="s">
        <v>1319</v>
      </c>
      <c r="L140" s="52">
        <v>107</v>
      </c>
      <c r="M140" s="52">
        <f t="shared" si="4"/>
        <v>107</v>
      </c>
      <c r="N140" s="52">
        <v>21.7</v>
      </c>
      <c r="O140" s="52">
        <f t="shared" si="5"/>
        <v>21.9</v>
      </c>
      <c r="P140" s="50">
        <v>0</v>
      </c>
    </row>
    <row r="141" spans="1:16" ht="16.5" customHeight="1">
      <c r="A141" s="50" t="s">
        <v>1230</v>
      </c>
      <c r="B141" s="50" t="s">
        <v>1231</v>
      </c>
      <c r="C141" s="50" t="s">
        <v>1232</v>
      </c>
      <c r="D141" s="50" t="s">
        <v>1077</v>
      </c>
      <c r="E141" s="50">
        <v>102908</v>
      </c>
      <c r="F141" s="50" t="s">
        <v>1306</v>
      </c>
      <c r="G141" s="50" t="s">
        <v>1307</v>
      </c>
      <c r="H141" s="50" t="s">
        <v>1308</v>
      </c>
      <c r="I141" s="51" t="s">
        <v>1309</v>
      </c>
      <c r="J141" s="51" t="s">
        <v>1320</v>
      </c>
      <c r="K141" s="51" t="s">
        <v>1321</v>
      </c>
      <c r="L141" s="52">
        <v>107</v>
      </c>
      <c r="M141" s="52">
        <f t="shared" si="4"/>
        <v>107</v>
      </c>
      <c r="N141" s="52">
        <v>21.7</v>
      </c>
      <c r="O141" s="52">
        <f t="shared" si="5"/>
        <v>21.9</v>
      </c>
      <c r="P141" s="50">
        <v>0</v>
      </c>
    </row>
    <row r="142" spans="1:16" ht="16.5" customHeight="1">
      <c r="A142" s="50" t="s">
        <v>1230</v>
      </c>
      <c r="B142" s="50" t="s">
        <v>1231</v>
      </c>
      <c r="C142" s="50" t="s">
        <v>1232</v>
      </c>
      <c r="D142" s="50" t="s">
        <v>1077</v>
      </c>
      <c r="E142" s="50">
        <v>102908</v>
      </c>
      <c r="F142" s="50" t="s">
        <v>1306</v>
      </c>
      <c r="G142" s="50" t="s">
        <v>1307</v>
      </c>
      <c r="H142" s="50" t="s">
        <v>1308</v>
      </c>
      <c r="I142" s="51" t="s">
        <v>1309</v>
      </c>
      <c r="J142" s="51" t="s">
        <v>1322</v>
      </c>
      <c r="K142" s="51" t="s">
        <v>1323</v>
      </c>
      <c r="L142" s="52">
        <v>107</v>
      </c>
      <c r="M142" s="52">
        <f t="shared" si="4"/>
        <v>107</v>
      </c>
      <c r="N142" s="52">
        <v>21.7</v>
      </c>
      <c r="O142" s="52">
        <f t="shared" si="5"/>
        <v>21.9</v>
      </c>
      <c r="P142" s="50">
        <v>0</v>
      </c>
    </row>
    <row r="143" spans="1:16" ht="16.5" customHeight="1">
      <c r="A143" s="50" t="s">
        <v>1230</v>
      </c>
      <c r="B143" s="50" t="s">
        <v>1231</v>
      </c>
      <c r="C143" s="50" t="s">
        <v>1232</v>
      </c>
      <c r="D143" s="50" t="s">
        <v>1077</v>
      </c>
      <c r="E143" s="50">
        <v>102908</v>
      </c>
      <c r="F143" s="50" t="s">
        <v>1306</v>
      </c>
      <c r="G143" s="50" t="s">
        <v>1307</v>
      </c>
      <c r="H143" s="50" t="s">
        <v>1308</v>
      </c>
      <c r="I143" s="51" t="s">
        <v>1309</v>
      </c>
      <c r="J143" s="51" t="s">
        <v>1324</v>
      </c>
      <c r="K143" s="51" t="s">
        <v>1325</v>
      </c>
      <c r="L143" s="52">
        <v>107</v>
      </c>
      <c r="M143" s="52">
        <f t="shared" si="4"/>
        <v>107</v>
      </c>
      <c r="N143" s="52">
        <v>21.7</v>
      </c>
      <c r="O143" s="52">
        <f t="shared" si="5"/>
        <v>21.9</v>
      </c>
      <c r="P143" s="50">
        <v>0</v>
      </c>
    </row>
    <row r="144" spans="1:16" ht="16.5" customHeight="1">
      <c r="A144" s="50" t="s">
        <v>1230</v>
      </c>
      <c r="B144" s="50" t="s">
        <v>1231</v>
      </c>
      <c r="C144" s="50" t="s">
        <v>1232</v>
      </c>
      <c r="D144" s="50" t="s">
        <v>1077</v>
      </c>
      <c r="E144" s="50">
        <v>102908</v>
      </c>
      <c r="F144" s="50" t="s">
        <v>1306</v>
      </c>
      <c r="G144" s="50" t="s">
        <v>1307</v>
      </c>
      <c r="H144" s="50" t="s">
        <v>1308</v>
      </c>
      <c r="I144" s="51" t="s">
        <v>1309</v>
      </c>
      <c r="J144" s="51" t="s">
        <v>1326</v>
      </c>
      <c r="K144" s="51" t="s">
        <v>1327</v>
      </c>
      <c r="L144" s="52">
        <v>106</v>
      </c>
      <c r="M144" s="52">
        <f t="shared" si="4"/>
        <v>106</v>
      </c>
      <c r="N144" s="52">
        <v>21.6</v>
      </c>
      <c r="O144" s="52">
        <f t="shared" si="5"/>
        <v>21.8</v>
      </c>
      <c r="P144" s="50">
        <v>0</v>
      </c>
    </row>
    <row r="145" spans="1:16" ht="16.5" customHeight="1">
      <c r="A145" s="50" t="s">
        <v>1230</v>
      </c>
      <c r="B145" s="50" t="s">
        <v>1231</v>
      </c>
      <c r="C145" s="50" t="s">
        <v>1232</v>
      </c>
      <c r="D145" s="50" t="s">
        <v>1077</v>
      </c>
      <c r="E145" s="50">
        <v>102908</v>
      </c>
      <c r="F145" s="50" t="s">
        <v>1306</v>
      </c>
      <c r="G145" s="50" t="s">
        <v>1307</v>
      </c>
      <c r="H145" s="50" t="s">
        <v>1308</v>
      </c>
      <c r="I145" s="51" t="s">
        <v>1309</v>
      </c>
      <c r="J145" s="51" t="s">
        <v>1328</v>
      </c>
      <c r="K145" s="51" t="s">
        <v>1329</v>
      </c>
      <c r="L145" s="52">
        <v>107</v>
      </c>
      <c r="M145" s="52">
        <f t="shared" si="4"/>
        <v>107</v>
      </c>
      <c r="N145" s="52">
        <v>21.7</v>
      </c>
      <c r="O145" s="52">
        <f t="shared" si="5"/>
        <v>21.9</v>
      </c>
      <c r="P145" s="50">
        <v>0</v>
      </c>
    </row>
    <row r="146" spans="1:16" ht="16.5" customHeight="1">
      <c r="A146" s="50" t="s">
        <v>1230</v>
      </c>
      <c r="B146" s="50" t="s">
        <v>1231</v>
      </c>
      <c r="C146" s="50" t="s">
        <v>1232</v>
      </c>
      <c r="D146" s="50" t="s">
        <v>1077</v>
      </c>
      <c r="E146" s="50">
        <v>102908</v>
      </c>
      <c r="F146" s="50" t="s">
        <v>1306</v>
      </c>
      <c r="G146" s="50" t="s">
        <v>1307</v>
      </c>
      <c r="H146" s="50" t="s">
        <v>1308</v>
      </c>
      <c r="I146" s="51" t="s">
        <v>1309</v>
      </c>
      <c r="J146" s="51" t="s">
        <v>1330</v>
      </c>
      <c r="K146" s="51" t="s">
        <v>1331</v>
      </c>
      <c r="L146" s="52">
        <v>106</v>
      </c>
      <c r="M146" s="52">
        <f t="shared" si="4"/>
        <v>106</v>
      </c>
      <c r="N146" s="52">
        <v>21.6</v>
      </c>
      <c r="O146" s="52">
        <f t="shared" si="5"/>
        <v>21.8</v>
      </c>
      <c r="P146" s="50">
        <v>0</v>
      </c>
    </row>
    <row r="147" spans="1:16" ht="16.5" customHeight="1">
      <c r="A147" s="50" t="s">
        <v>1230</v>
      </c>
      <c r="B147" s="50" t="s">
        <v>1231</v>
      </c>
      <c r="C147" s="50" t="s">
        <v>1232</v>
      </c>
      <c r="D147" s="50" t="s">
        <v>1077</v>
      </c>
      <c r="E147" s="50">
        <v>102908</v>
      </c>
      <c r="F147" s="50" t="s">
        <v>1306</v>
      </c>
      <c r="G147" s="50" t="s">
        <v>1307</v>
      </c>
      <c r="H147" s="50" t="s">
        <v>1308</v>
      </c>
      <c r="I147" s="51" t="s">
        <v>1309</v>
      </c>
      <c r="J147" s="51" t="s">
        <v>1332</v>
      </c>
      <c r="K147" s="51" t="s">
        <v>1333</v>
      </c>
      <c r="L147" s="52">
        <v>100</v>
      </c>
      <c r="M147" s="52">
        <f t="shared" si="4"/>
        <v>100</v>
      </c>
      <c r="N147" s="52">
        <v>20.399999999999999</v>
      </c>
      <c r="O147" s="52">
        <f t="shared" si="5"/>
        <v>20.599999999999998</v>
      </c>
      <c r="P147" s="50">
        <v>0</v>
      </c>
    </row>
    <row r="148" spans="1:16" ht="16.5" customHeight="1">
      <c r="A148" s="50" t="s">
        <v>1230</v>
      </c>
      <c r="B148" s="50" t="s">
        <v>1231</v>
      </c>
      <c r="C148" s="50" t="s">
        <v>1232</v>
      </c>
      <c r="D148" s="50" t="s">
        <v>1077</v>
      </c>
      <c r="E148" s="50">
        <v>102908</v>
      </c>
      <c r="F148" s="50" t="s">
        <v>1306</v>
      </c>
      <c r="G148" s="50" t="s">
        <v>1307</v>
      </c>
      <c r="H148" s="50" t="s">
        <v>1308</v>
      </c>
      <c r="I148" s="51" t="s">
        <v>1309</v>
      </c>
      <c r="J148" s="51" t="s">
        <v>1334</v>
      </c>
      <c r="K148" s="51" t="s">
        <v>1335</v>
      </c>
      <c r="L148" s="52">
        <v>101</v>
      </c>
      <c r="M148" s="52">
        <f t="shared" si="4"/>
        <v>101</v>
      </c>
      <c r="N148" s="52">
        <v>20.5</v>
      </c>
      <c r="O148" s="52">
        <f t="shared" si="5"/>
        <v>20.7</v>
      </c>
      <c r="P148" s="50">
        <v>0</v>
      </c>
    </row>
    <row r="149" spans="1:16" ht="16.5" customHeight="1">
      <c r="A149" s="50" t="s">
        <v>1230</v>
      </c>
      <c r="B149" s="50" t="s">
        <v>1231</v>
      </c>
      <c r="C149" s="50" t="s">
        <v>1232</v>
      </c>
      <c r="D149" s="50" t="s">
        <v>1077</v>
      </c>
      <c r="E149" s="50">
        <v>102908</v>
      </c>
      <c r="F149" s="50" t="s">
        <v>1306</v>
      </c>
      <c r="G149" s="50" t="s">
        <v>1307</v>
      </c>
      <c r="H149" s="50" t="s">
        <v>1308</v>
      </c>
      <c r="I149" s="51" t="s">
        <v>1309</v>
      </c>
      <c r="J149" s="51" t="s">
        <v>1336</v>
      </c>
      <c r="K149" s="51" t="s">
        <v>1337</v>
      </c>
      <c r="L149" s="52">
        <v>107</v>
      </c>
      <c r="M149" s="52">
        <f t="shared" si="4"/>
        <v>107</v>
      </c>
      <c r="N149" s="52">
        <v>21.7</v>
      </c>
      <c r="O149" s="52">
        <f t="shared" si="5"/>
        <v>21.9</v>
      </c>
      <c r="P149" s="50">
        <v>0</v>
      </c>
    </row>
    <row r="150" spans="1:16" ht="16.5" customHeight="1">
      <c r="A150" s="50" t="s">
        <v>1230</v>
      </c>
      <c r="B150" s="50" t="s">
        <v>1231</v>
      </c>
      <c r="C150" s="50" t="s">
        <v>1232</v>
      </c>
      <c r="D150" s="50" t="s">
        <v>1077</v>
      </c>
      <c r="E150" s="50">
        <v>102908</v>
      </c>
      <c r="F150" s="50" t="s">
        <v>1306</v>
      </c>
      <c r="G150" s="50" t="s">
        <v>1307</v>
      </c>
      <c r="H150" s="50" t="s">
        <v>1308</v>
      </c>
      <c r="I150" s="51" t="s">
        <v>1309</v>
      </c>
      <c r="J150" s="51" t="s">
        <v>1338</v>
      </c>
      <c r="K150" s="51" t="s">
        <v>1339</v>
      </c>
      <c r="L150" s="52">
        <v>107</v>
      </c>
      <c r="M150" s="52">
        <f t="shared" si="4"/>
        <v>107</v>
      </c>
      <c r="N150" s="52">
        <v>21.7</v>
      </c>
      <c r="O150" s="52">
        <f t="shared" si="5"/>
        <v>21.9</v>
      </c>
      <c r="P150" s="50">
        <v>0</v>
      </c>
    </row>
    <row r="151" spans="1:16" ht="16.5" customHeight="1">
      <c r="A151" s="50" t="s">
        <v>1230</v>
      </c>
      <c r="B151" s="50" t="s">
        <v>1231</v>
      </c>
      <c r="C151" s="50" t="s">
        <v>1232</v>
      </c>
      <c r="D151" s="50" t="s">
        <v>1077</v>
      </c>
      <c r="E151" s="50">
        <v>102908</v>
      </c>
      <c r="F151" s="50" t="s">
        <v>1306</v>
      </c>
      <c r="G151" s="50" t="s">
        <v>1307</v>
      </c>
      <c r="H151" s="50" t="s">
        <v>1308</v>
      </c>
      <c r="I151" s="51" t="s">
        <v>1309</v>
      </c>
      <c r="J151" s="51" t="s">
        <v>1340</v>
      </c>
      <c r="K151" s="51" t="s">
        <v>1341</v>
      </c>
      <c r="L151" s="52">
        <v>101</v>
      </c>
      <c r="M151" s="52">
        <f t="shared" si="4"/>
        <v>101</v>
      </c>
      <c r="N151" s="52">
        <v>20.6</v>
      </c>
      <c r="O151" s="52">
        <f t="shared" si="5"/>
        <v>20.8</v>
      </c>
      <c r="P151" s="50">
        <v>0</v>
      </c>
    </row>
    <row r="152" spans="1:16" ht="16.5" customHeight="1">
      <c r="A152" s="50" t="s">
        <v>1230</v>
      </c>
      <c r="B152" s="50" t="s">
        <v>1231</v>
      </c>
      <c r="C152" s="50" t="s">
        <v>1232</v>
      </c>
      <c r="D152" s="50" t="s">
        <v>1077</v>
      </c>
      <c r="E152" s="50">
        <v>102908</v>
      </c>
      <c r="F152" s="50" t="s">
        <v>1306</v>
      </c>
      <c r="G152" s="50" t="s">
        <v>1307</v>
      </c>
      <c r="H152" s="50" t="s">
        <v>1308</v>
      </c>
      <c r="I152" s="51" t="s">
        <v>1309</v>
      </c>
      <c r="J152" s="51" t="s">
        <v>1342</v>
      </c>
      <c r="K152" s="51" t="s">
        <v>1343</v>
      </c>
      <c r="L152" s="52">
        <v>106</v>
      </c>
      <c r="M152" s="52">
        <f t="shared" si="4"/>
        <v>106</v>
      </c>
      <c r="N152" s="52">
        <v>21.6</v>
      </c>
      <c r="O152" s="52">
        <f t="shared" si="5"/>
        <v>21.8</v>
      </c>
      <c r="P152" s="50">
        <v>0</v>
      </c>
    </row>
    <row r="153" spans="1:16" ht="16.5" customHeight="1">
      <c r="A153" s="50" t="s">
        <v>1230</v>
      </c>
      <c r="B153" s="50" t="s">
        <v>1231</v>
      </c>
      <c r="C153" s="50" t="s">
        <v>1232</v>
      </c>
      <c r="D153" s="50" t="s">
        <v>1077</v>
      </c>
      <c r="E153" s="50">
        <v>102908</v>
      </c>
      <c r="F153" s="50" t="s">
        <v>1344</v>
      </c>
      <c r="G153" s="50" t="s">
        <v>1345</v>
      </c>
      <c r="H153" s="50" t="s">
        <v>1346</v>
      </c>
      <c r="I153" s="51" t="s">
        <v>1347</v>
      </c>
      <c r="J153" s="51" t="s">
        <v>1348</v>
      </c>
      <c r="K153" s="51" t="s">
        <v>1349</v>
      </c>
      <c r="L153" s="52">
        <v>99</v>
      </c>
      <c r="M153" s="52">
        <f t="shared" si="4"/>
        <v>99</v>
      </c>
      <c r="N153" s="52">
        <v>20.9</v>
      </c>
      <c r="O153" s="52">
        <f t="shared" si="5"/>
        <v>21.099999999999998</v>
      </c>
      <c r="P153" s="50">
        <v>0</v>
      </c>
    </row>
    <row r="154" spans="1:16" ht="16.5" customHeight="1">
      <c r="A154" s="50" t="s">
        <v>1230</v>
      </c>
      <c r="B154" s="50" t="s">
        <v>1231</v>
      </c>
      <c r="C154" s="50" t="s">
        <v>1232</v>
      </c>
      <c r="D154" s="50" t="s">
        <v>1077</v>
      </c>
      <c r="E154" s="50">
        <v>102908</v>
      </c>
      <c r="F154" s="50" t="s">
        <v>1344</v>
      </c>
      <c r="G154" s="50" t="s">
        <v>1345</v>
      </c>
      <c r="H154" s="50" t="s">
        <v>1346</v>
      </c>
      <c r="I154" s="51" t="s">
        <v>1347</v>
      </c>
      <c r="J154" s="51" t="s">
        <v>1350</v>
      </c>
      <c r="K154" s="51" t="s">
        <v>1351</v>
      </c>
      <c r="L154" s="52">
        <v>97</v>
      </c>
      <c r="M154" s="52">
        <f t="shared" si="4"/>
        <v>97</v>
      </c>
      <c r="N154" s="52">
        <v>20.399999999999999</v>
      </c>
      <c r="O154" s="52">
        <f t="shared" si="5"/>
        <v>20.599999999999998</v>
      </c>
      <c r="P154" s="50">
        <v>0</v>
      </c>
    </row>
    <row r="155" spans="1:16" ht="16.5" customHeight="1">
      <c r="A155" s="50" t="s">
        <v>1230</v>
      </c>
      <c r="B155" s="50" t="s">
        <v>1231</v>
      </c>
      <c r="C155" s="50" t="s">
        <v>1232</v>
      </c>
      <c r="D155" s="50" t="s">
        <v>1077</v>
      </c>
      <c r="E155" s="50">
        <v>102908</v>
      </c>
      <c r="F155" s="50" t="s">
        <v>1344</v>
      </c>
      <c r="G155" s="50" t="s">
        <v>1345</v>
      </c>
      <c r="H155" s="50" t="s">
        <v>1346</v>
      </c>
      <c r="I155" s="51" t="s">
        <v>1347</v>
      </c>
      <c r="J155" s="51" t="s">
        <v>1352</v>
      </c>
      <c r="K155" s="51" t="s">
        <v>1353</v>
      </c>
      <c r="L155" s="52">
        <v>102</v>
      </c>
      <c r="M155" s="52">
        <f t="shared" si="4"/>
        <v>102</v>
      </c>
      <c r="N155" s="52">
        <v>21.5</v>
      </c>
      <c r="O155" s="52">
        <f t="shared" si="5"/>
        <v>21.7</v>
      </c>
      <c r="P155" s="50">
        <v>0</v>
      </c>
    </row>
    <row r="156" spans="1:16" ht="16.5" customHeight="1">
      <c r="A156" s="50" t="s">
        <v>1230</v>
      </c>
      <c r="B156" s="50" t="s">
        <v>1231</v>
      </c>
      <c r="C156" s="50" t="s">
        <v>1232</v>
      </c>
      <c r="D156" s="50" t="s">
        <v>1077</v>
      </c>
      <c r="E156" s="50">
        <v>102908</v>
      </c>
      <c r="F156" s="50" t="s">
        <v>1344</v>
      </c>
      <c r="G156" s="50" t="s">
        <v>1345</v>
      </c>
      <c r="H156" s="50" t="s">
        <v>1346</v>
      </c>
      <c r="I156" s="51" t="s">
        <v>1347</v>
      </c>
      <c r="J156" s="51" t="s">
        <v>1354</v>
      </c>
      <c r="K156" s="51" t="s">
        <v>1355</v>
      </c>
      <c r="L156" s="52">
        <v>102</v>
      </c>
      <c r="M156" s="52">
        <f t="shared" si="4"/>
        <v>102</v>
      </c>
      <c r="N156" s="52">
        <v>21.6</v>
      </c>
      <c r="O156" s="52">
        <f t="shared" si="5"/>
        <v>21.8</v>
      </c>
      <c r="P156" s="50">
        <v>0</v>
      </c>
    </row>
    <row r="157" spans="1:16" ht="16.5" customHeight="1">
      <c r="A157" s="50" t="s">
        <v>1230</v>
      </c>
      <c r="B157" s="50" t="s">
        <v>1231</v>
      </c>
      <c r="C157" s="50" t="s">
        <v>1232</v>
      </c>
      <c r="D157" s="50" t="s">
        <v>1077</v>
      </c>
      <c r="E157" s="50">
        <v>102908</v>
      </c>
      <c r="F157" s="50" t="s">
        <v>1344</v>
      </c>
      <c r="G157" s="50" t="s">
        <v>1345</v>
      </c>
      <c r="H157" s="50" t="s">
        <v>1346</v>
      </c>
      <c r="I157" s="51" t="s">
        <v>1347</v>
      </c>
      <c r="J157" s="51" t="s">
        <v>1356</v>
      </c>
      <c r="K157" s="51" t="s">
        <v>1357</v>
      </c>
      <c r="L157" s="52">
        <v>102</v>
      </c>
      <c r="M157" s="52">
        <f t="shared" si="4"/>
        <v>102</v>
      </c>
      <c r="N157" s="52">
        <v>21.6</v>
      </c>
      <c r="O157" s="52">
        <f t="shared" si="5"/>
        <v>21.8</v>
      </c>
      <c r="P157" s="50">
        <v>0</v>
      </c>
    </row>
    <row r="158" spans="1:16" ht="16.5" customHeight="1">
      <c r="A158" s="50" t="s">
        <v>1230</v>
      </c>
      <c r="B158" s="50" t="s">
        <v>1231</v>
      </c>
      <c r="C158" s="50" t="s">
        <v>1232</v>
      </c>
      <c r="D158" s="50" t="s">
        <v>1077</v>
      </c>
      <c r="E158" s="50">
        <v>102908</v>
      </c>
      <c r="F158" s="50" t="s">
        <v>1344</v>
      </c>
      <c r="G158" s="50" t="s">
        <v>1345</v>
      </c>
      <c r="H158" s="50" t="s">
        <v>1346</v>
      </c>
      <c r="I158" s="51" t="s">
        <v>1347</v>
      </c>
      <c r="J158" s="51" t="s">
        <v>1358</v>
      </c>
      <c r="K158" s="51" t="s">
        <v>1359</v>
      </c>
      <c r="L158" s="52">
        <v>102</v>
      </c>
      <c r="M158" s="52">
        <f t="shared" si="4"/>
        <v>102</v>
      </c>
      <c r="N158" s="52">
        <v>21.5</v>
      </c>
      <c r="O158" s="52">
        <f t="shared" si="5"/>
        <v>21.7</v>
      </c>
      <c r="P158" s="50">
        <v>0</v>
      </c>
    </row>
    <row r="159" spans="1:16" ht="16.5" customHeight="1">
      <c r="A159" s="50" t="s">
        <v>1230</v>
      </c>
      <c r="B159" s="50" t="s">
        <v>1231</v>
      </c>
      <c r="C159" s="50" t="s">
        <v>1232</v>
      </c>
      <c r="D159" s="50" t="s">
        <v>1077</v>
      </c>
      <c r="E159" s="50">
        <v>102908</v>
      </c>
      <c r="F159" s="50" t="s">
        <v>1344</v>
      </c>
      <c r="G159" s="50" t="s">
        <v>1345</v>
      </c>
      <c r="H159" s="50" t="s">
        <v>1346</v>
      </c>
      <c r="I159" s="51" t="s">
        <v>1347</v>
      </c>
      <c r="J159" s="51" t="s">
        <v>1360</v>
      </c>
      <c r="K159" s="51" t="s">
        <v>1361</v>
      </c>
      <c r="L159" s="52">
        <v>103</v>
      </c>
      <c r="M159" s="52">
        <f t="shared" si="4"/>
        <v>103</v>
      </c>
      <c r="N159" s="52">
        <v>21.8</v>
      </c>
      <c r="O159" s="52">
        <f t="shared" si="5"/>
        <v>22</v>
      </c>
      <c r="P159" s="50">
        <v>0</v>
      </c>
    </row>
    <row r="160" spans="1:16" ht="16.5" customHeight="1">
      <c r="A160" s="50" t="s">
        <v>1230</v>
      </c>
      <c r="B160" s="50" t="s">
        <v>1231</v>
      </c>
      <c r="C160" s="50" t="s">
        <v>1232</v>
      </c>
      <c r="D160" s="50" t="s">
        <v>1077</v>
      </c>
      <c r="E160" s="50">
        <v>102908</v>
      </c>
      <c r="F160" s="50" t="s">
        <v>1344</v>
      </c>
      <c r="G160" s="50" t="s">
        <v>1345</v>
      </c>
      <c r="H160" s="50" t="s">
        <v>1346</v>
      </c>
      <c r="I160" s="51" t="s">
        <v>1347</v>
      </c>
      <c r="J160" s="51" t="s">
        <v>1362</v>
      </c>
      <c r="K160" s="51" t="s">
        <v>1363</v>
      </c>
      <c r="L160" s="52">
        <v>103</v>
      </c>
      <c r="M160" s="52">
        <f t="shared" si="4"/>
        <v>103</v>
      </c>
      <c r="N160" s="52">
        <v>21.7</v>
      </c>
      <c r="O160" s="52">
        <f t="shared" si="5"/>
        <v>21.9</v>
      </c>
      <c r="P160" s="50">
        <v>0</v>
      </c>
    </row>
    <row r="161" spans="1:16" ht="16.5" customHeight="1">
      <c r="A161" s="50" t="s">
        <v>1230</v>
      </c>
      <c r="B161" s="50" t="s">
        <v>1231</v>
      </c>
      <c r="C161" s="50" t="s">
        <v>1232</v>
      </c>
      <c r="D161" s="50" t="s">
        <v>1077</v>
      </c>
      <c r="E161" s="50">
        <v>102908</v>
      </c>
      <c r="F161" s="50" t="s">
        <v>1344</v>
      </c>
      <c r="G161" s="50" t="s">
        <v>1345</v>
      </c>
      <c r="H161" s="50" t="s">
        <v>1346</v>
      </c>
      <c r="I161" s="51" t="s">
        <v>1347</v>
      </c>
      <c r="J161" s="51" t="s">
        <v>1364</v>
      </c>
      <c r="K161" s="51" t="s">
        <v>1365</v>
      </c>
      <c r="L161" s="52">
        <v>103</v>
      </c>
      <c r="M161" s="52">
        <f t="shared" si="4"/>
        <v>103</v>
      </c>
      <c r="N161" s="52">
        <v>21.8</v>
      </c>
      <c r="O161" s="52">
        <f t="shared" si="5"/>
        <v>22</v>
      </c>
      <c r="P161" s="50">
        <v>0</v>
      </c>
    </row>
    <row r="162" spans="1:16" ht="16.5" customHeight="1">
      <c r="A162" s="50" t="s">
        <v>1230</v>
      </c>
      <c r="B162" s="50" t="s">
        <v>1231</v>
      </c>
      <c r="C162" s="50" t="s">
        <v>1232</v>
      </c>
      <c r="D162" s="50" t="s">
        <v>1077</v>
      </c>
      <c r="E162" s="50">
        <v>102908</v>
      </c>
      <c r="F162" s="50" t="s">
        <v>1344</v>
      </c>
      <c r="G162" s="50" t="s">
        <v>1345</v>
      </c>
      <c r="H162" s="50" t="s">
        <v>1346</v>
      </c>
      <c r="I162" s="51" t="s">
        <v>1347</v>
      </c>
      <c r="J162" s="51" t="s">
        <v>1366</v>
      </c>
      <c r="K162" s="51" t="s">
        <v>1367</v>
      </c>
      <c r="L162" s="52">
        <v>103</v>
      </c>
      <c r="M162" s="52">
        <f t="shared" si="4"/>
        <v>103</v>
      </c>
      <c r="N162" s="52">
        <v>21.8</v>
      </c>
      <c r="O162" s="52">
        <f t="shared" si="5"/>
        <v>22</v>
      </c>
      <c r="P162" s="50">
        <v>0</v>
      </c>
    </row>
    <row r="163" spans="1:16" ht="16.5" customHeight="1">
      <c r="A163" s="50" t="s">
        <v>1230</v>
      </c>
      <c r="B163" s="50" t="s">
        <v>1231</v>
      </c>
      <c r="C163" s="50" t="s">
        <v>1232</v>
      </c>
      <c r="D163" s="50" t="s">
        <v>1077</v>
      </c>
      <c r="E163" s="50">
        <v>102908</v>
      </c>
      <c r="F163" s="50" t="s">
        <v>1344</v>
      </c>
      <c r="G163" s="50" t="s">
        <v>1345</v>
      </c>
      <c r="H163" s="50" t="s">
        <v>1346</v>
      </c>
      <c r="I163" s="51" t="s">
        <v>1347</v>
      </c>
      <c r="J163" s="51" t="s">
        <v>1368</v>
      </c>
      <c r="K163" s="51" t="s">
        <v>1369</v>
      </c>
      <c r="L163" s="52">
        <v>103</v>
      </c>
      <c r="M163" s="52">
        <f t="shared" si="4"/>
        <v>103</v>
      </c>
      <c r="N163" s="52">
        <v>21.8</v>
      </c>
      <c r="O163" s="52">
        <f t="shared" si="5"/>
        <v>22</v>
      </c>
      <c r="P163" s="50">
        <v>0</v>
      </c>
    </row>
    <row r="164" spans="1:16" ht="16.5" customHeight="1">
      <c r="A164" s="50" t="s">
        <v>1230</v>
      </c>
      <c r="B164" s="50" t="s">
        <v>1231</v>
      </c>
      <c r="C164" s="50" t="s">
        <v>1232</v>
      </c>
      <c r="D164" s="50" t="s">
        <v>1077</v>
      </c>
      <c r="E164" s="50">
        <v>102908</v>
      </c>
      <c r="F164" s="50" t="s">
        <v>1344</v>
      </c>
      <c r="G164" s="50" t="s">
        <v>1345</v>
      </c>
      <c r="H164" s="50" t="s">
        <v>1346</v>
      </c>
      <c r="I164" s="51" t="s">
        <v>1347</v>
      </c>
      <c r="J164" s="51" t="s">
        <v>1370</v>
      </c>
      <c r="K164" s="51" t="s">
        <v>1371</v>
      </c>
      <c r="L164" s="52">
        <v>102</v>
      </c>
      <c r="M164" s="52">
        <f t="shared" si="4"/>
        <v>102</v>
      </c>
      <c r="N164" s="52">
        <v>21.5</v>
      </c>
      <c r="O164" s="52">
        <f t="shared" si="5"/>
        <v>21.7</v>
      </c>
      <c r="P164" s="50">
        <v>0</v>
      </c>
    </row>
    <row r="165" spans="1:16" ht="16.5" customHeight="1">
      <c r="A165" s="50" t="s">
        <v>1230</v>
      </c>
      <c r="B165" s="50" t="s">
        <v>1231</v>
      </c>
      <c r="C165" s="50" t="s">
        <v>1232</v>
      </c>
      <c r="D165" s="50" t="s">
        <v>1077</v>
      </c>
      <c r="E165" s="50">
        <v>102908</v>
      </c>
      <c r="F165" s="50" t="s">
        <v>1344</v>
      </c>
      <c r="G165" s="50" t="s">
        <v>1345</v>
      </c>
      <c r="H165" s="50" t="s">
        <v>1346</v>
      </c>
      <c r="I165" s="51" t="s">
        <v>1347</v>
      </c>
      <c r="J165" s="51" t="s">
        <v>1372</v>
      </c>
      <c r="K165" s="51" t="s">
        <v>1373</v>
      </c>
      <c r="L165" s="52">
        <v>103</v>
      </c>
      <c r="M165" s="52">
        <f t="shared" si="4"/>
        <v>103</v>
      </c>
      <c r="N165" s="52">
        <v>21.7</v>
      </c>
      <c r="O165" s="52">
        <f t="shared" si="5"/>
        <v>21.9</v>
      </c>
      <c r="P165" s="50">
        <v>0</v>
      </c>
    </row>
    <row r="166" spans="1:16" ht="16.5" customHeight="1">
      <c r="A166" s="50" t="s">
        <v>1230</v>
      </c>
      <c r="B166" s="50" t="s">
        <v>1231</v>
      </c>
      <c r="C166" s="50" t="s">
        <v>1232</v>
      </c>
      <c r="D166" s="50" t="s">
        <v>1077</v>
      </c>
      <c r="E166" s="50">
        <v>102908</v>
      </c>
      <c r="F166" s="50" t="s">
        <v>1344</v>
      </c>
      <c r="G166" s="50" t="s">
        <v>1345</v>
      </c>
      <c r="H166" s="50" t="s">
        <v>1346</v>
      </c>
      <c r="I166" s="51" t="s">
        <v>1347</v>
      </c>
      <c r="J166" s="51" t="s">
        <v>1374</v>
      </c>
      <c r="K166" s="51" t="s">
        <v>1375</v>
      </c>
      <c r="L166" s="52">
        <v>93</v>
      </c>
      <c r="M166" s="52">
        <f t="shared" si="4"/>
        <v>93</v>
      </c>
      <c r="N166" s="52">
        <v>19.7</v>
      </c>
      <c r="O166" s="52">
        <f t="shared" si="5"/>
        <v>19.899999999999999</v>
      </c>
      <c r="P166" s="50">
        <v>0</v>
      </c>
    </row>
    <row r="167" spans="1:16" ht="16.5" customHeight="1">
      <c r="A167" s="50" t="s">
        <v>1230</v>
      </c>
      <c r="B167" s="50" t="s">
        <v>1231</v>
      </c>
      <c r="C167" s="50" t="s">
        <v>1232</v>
      </c>
      <c r="D167" s="50" t="s">
        <v>1077</v>
      </c>
      <c r="E167" s="50">
        <v>102908</v>
      </c>
      <c r="F167" s="50" t="s">
        <v>1344</v>
      </c>
      <c r="G167" s="50" t="s">
        <v>1345</v>
      </c>
      <c r="H167" s="50" t="s">
        <v>1346</v>
      </c>
      <c r="I167" s="51" t="s">
        <v>1347</v>
      </c>
      <c r="J167" s="51" t="s">
        <v>1376</v>
      </c>
      <c r="K167" s="51" t="s">
        <v>1377</v>
      </c>
      <c r="L167" s="52">
        <v>71</v>
      </c>
      <c r="M167" s="52">
        <f t="shared" si="4"/>
        <v>71</v>
      </c>
      <c r="N167" s="52">
        <v>15</v>
      </c>
      <c r="O167" s="52">
        <f t="shared" si="5"/>
        <v>15.2</v>
      </c>
      <c r="P167" s="50">
        <v>0</v>
      </c>
    </row>
    <row r="168" spans="1:16" ht="16.5" customHeight="1">
      <c r="A168" s="50" t="s">
        <v>1230</v>
      </c>
      <c r="B168" s="50" t="s">
        <v>1231</v>
      </c>
      <c r="C168" s="50" t="s">
        <v>1232</v>
      </c>
      <c r="D168" s="50" t="s">
        <v>1077</v>
      </c>
      <c r="E168" s="50">
        <v>102908</v>
      </c>
      <c r="F168" s="50" t="s">
        <v>1378</v>
      </c>
      <c r="G168" s="50" t="s">
        <v>1379</v>
      </c>
      <c r="H168" s="50" t="s">
        <v>1380</v>
      </c>
      <c r="I168" s="51" t="s">
        <v>1381</v>
      </c>
      <c r="J168" s="51" t="s">
        <v>1382</v>
      </c>
      <c r="K168" s="51" t="s">
        <v>1096</v>
      </c>
      <c r="L168" s="52">
        <v>106</v>
      </c>
      <c r="M168" s="52">
        <f t="shared" si="4"/>
        <v>106</v>
      </c>
      <c r="N168" s="52">
        <v>21.6</v>
      </c>
      <c r="O168" s="52">
        <f t="shared" si="5"/>
        <v>21.8</v>
      </c>
      <c r="P168" s="50">
        <v>0</v>
      </c>
    </row>
    <row r="169" spans="1:16" ht="16.5" customHeight="1">
      <c r="A169" s="50" t="s">
        <v>1230</v>
      </c>
      <c r="B169" s="50" t="s">
        <v>1231</v>
      </c>
      <c r="C169" s="50" t="s">
        <v>1232</v>
      </c>
      <c r="D169" s="50" t="s">
        <v>1077</v>
      </c>
      <c r="E169" s="50">
        <v>102908</v>
      </c>
      <c r="F169" s="50" t="s">
        <v>1378</v>
      </c>
      <c r="G169" s="50" t="s">
        <v>1379</v>
      </c>
      <c r="H169" s="50" t="s">
        <v>1380</v>
      </c>
      <c r="I169" s="51" t="s">
        <v>1381</v>
      </c>
      <c r="J169" s="51" t="s">
        <v>1383</v>
      </c>
      <c r="K169" s="51" t="s">
        <v>1109</v>
      </c>
      <c r="L169" s="52">
        <v>105</v>
      </c>
      <c r="M169" s="52">
        <f t="shared" si="4"/>
        <v>105</v>
      </c>
      <c r="N169" s="52">
        <v>21.3</v>
      </c>
      <c r="O169" s="52">
        <f t="shared" si="5"/>
        <v>21.5</v>
      </c>
      <c r="P169" s="50">
        <v>0</v>
      </c>
    </row>
    <row r="170" spans="1:16" ht="16.5" customHeight="1">
      <c r="A170" s="50" t="s">
        <v>1230</v>
      </c>
      <c r="B170" s="50" t="s">
        <v>1231</v>
      </c>
      <c r="C170" s="50" t="s">
        <v>1232</v>
      </c>
      <c r="D170" s="50" t="s">
        <v>1077</v>
      </c>
      <c r="E170" s="50">
        <v>102908</v>
      </c>
      <c r="F170" s="50" t="s">
        <v>1378</v>
      </c>
      <c r="G170" s="50" t="s">
        <v>1379</v>
      </c>
      <c r="H170" s="50" t="s">
        <v>1380</v>
      </c>
      <c r="I170" s="51" t="s">
        <v>1381</v>
      </c>
      <c r="J170" s="51" t="s">
        <v>1384</v>
      </c>
      <c r="K170" s="51" t="s">
        <v>1111</v>
      </c>
      <c r="L170" s="52">
        <v>104</v>
      </c>
      <c r="M170" s="52">
        <f t="shared" si="4"/>
        <v>104</v>
      </c>
      <c r="N170" s="52">
        <v>21.1</v>
      </c>
      <c r="O170" s="52">
        <f t="shared" si="5"/>
        <v>21.3</v>
      </c>
      <c r="P170" s="50">
        <v>0</v>
      </c>
    </row>
    <row r="171" spans="1:16" ht="16.5" customHeight="1">
      <c r="A171" s="50" t="s">
        <v>1230</v>
      </c>
      <c r="B171" s="50" t="s">
        <v>1231</v>
      </c>
      <c r="C171" s="50" t="s">
        <v>1232</v>
      </c>
      <c r="D171" s="50" t="s">
        <v>1077</v>
      </c>
      <c r="E171" s="50">
        <v>102908</v>
      </c>
      <c r="F171" s="50" t="s">
        <v>1378</v>
      </c>
      <c r="G171" s="50" t="s">
        <v>1379</v>
      </c>
      <c r="H171" s="50" t="s">
        <v>1380</v>
      </c>
      <c r="I171" s="51" t="s">
        <v>1381</v>
      </c>
      <c r="J171" s="51" t="s">
        <v>1385</v>
      </c>
      <c r="K171" s="51" t="s">
        <v>1115</v>
      </c>
      <c r="L171" s="52">
        <v>97</v>
      </c>
      <c r="M171" s="52">
        <f t="shared" si="4"/>
        <v>97</v>
      </c>
      <c r="N171" s="52">
        <v>19.600000000000001</v>
      </c>
      <c r="O171" s="52">
        <f t="shared" si="5"/>
        <v>19.8</v>
      </c>
      <c r="P171" s="50">
        <v>0</v>
      </c>
    </row>
    <row r="172" spans="1:16" ht="16.5" customHeight="1">
      <c r="A172" s="50" t="s">
        <v>1230</v>
      </c>
      <c r="B172" s="50" t="s">
        <v>1231</v>
      </c>
      <c r="C172" s="50" t="s">
        <v>1232</v>
      </c>
      <c r="D172" s="50" t="s">
        <v>1077</v>
      </c>
      <c r="E172" s="50">
        <v>102908</v>
      </c>
      <c r="F172" s="50" t="s">
        <v>1378</v>
      </c>
      <c r="G172" s="50" t="s">
        <v>1379</v>
      </c>
      <c r="H172" s="50" t="s">
        <v>1380</v>
      </c>
      <c r="I172" s="51" t="s">
        <v>1381</v>
      </c>
      <c r="J172" s="51" t="s">
        <v>1386</v>
      </c>
      <c r="K172" s="51" t="s">
        <v>1117</v>
      </c>
      <c r="L172" s="52">
        <v>104</v>
      </c>
      <c r="M172" s="52">
        <f t="shared" si="4"/>
        <v>104</v>
      </c>
      <c r="N172" s="52">
        <v>21.1</v>
      </c>
      <c r="O172" s="52">
        <f t="shared" si="5"/>
        <v>21.3</v>
      </c>
      <c r="P172" s="50">
        <v>0</v>
      </c>
    </row>
    <row r="173" spans="1:16" ht="16.5" customHeight="1">
      <c r="A173" s="50" t="s">
        <v>1230</v>
      </c>
      <c r="B173" s="50" t="s">
        <v>1231</v>
      </c>
      <c r="C173" s="50" t="s">
        <v>1232</v>
      </c>
      <c r="D173" s="50" t="s">
        <v>1077</v>
      </c>
      <c r="E173" s="50">
        <v>102908</v>
      </c>
      <c r="F173" s="50" t="s">
        <v>1378</v>
      </c>
      <c r="G173" s="50" t="s">
        <v>1379</v>
      </c>
      <c r="H173" s="50" t="s">
        <v>1380</v>
      </c>
      <c r="I173" s="51" t="s">
        <v>1381</v>
      </c>
      <c r="J173" s="51" t="s">
        <v>1387</v>
      </c>
      <c r="K173" s="51" t="s">
        <v>1119</v>
      </c>
      <c r="L173" s="52">
        <v>105</v>
      </c>
      <c r="M173" s="52">
        <f t="shared" si="4"/>
        <v>105</v>
      </c>
      <c r="N173" s="52">
        <v>21.3</v>
      </c>
      <c r="O173" s="52">
        <f t="shared" si="5"/>
        <v>21.5</v>
      </c>
      <c r="P173" s="50">
        <v>0</v>
      </c>
    </row>
    <row r="174" spans="1:16" ht="16.5" customHeight="1">
      <c r="A174" s="50" t="s">
        <v>1230</v>
      </c>
      <c r="B174" s="50" t="s">
        <v>1231</v>
      </c>
      <c r="C174" s="50" t="s">
        <v>1232</v>
      </c>
      <c r="D174" s="50" t="s">
        <v>1077</v>
      </c>
      <c r="E174" s="50">
        <v>102908</v>
      </c>
      <c r="F174" s="50" t="s">
        <v>1378</v>
      </c>
      <c r="G174" s="50" t="s">
        <v>1379</v>
      </c>
      <c r="H174" s="50" t="s">
        <v>1380</v>
      </c>
      <c r="I174" s="51" t="s">
        <v>1381</v>
      </c>
      <c r="J174" s="51" t="s">
        <v>1388</v>
      </c>
      <c r="K174" s="51" t="s">
        <v>1121</v>
      </c>
      <c r="L174" s="52">
        <v>101</v>
      </c>
      <c r="M174" s="52">
        <f t="shared" si="4"/>
        <v>101</v>
      </c>
      <c r="N174" s="52">
        <v>20.6</v>
      </c>
      <c r="O174" s="52">
        <f t="shared" si="5"/>
        <v>20.8</v>
      </c>
      <c r="P174" s="50">
        <v>0</v>
      </c>
    </row>
    <row r="175" spans="1:16" ht="16.5" customHeight="1">
      <c r="A175" s="50" t="s">
        <v>1230</v>
      </c>
      <c r="B175" s="50" t="s">
        <v>1231</v>
      </c>
      <c r="C175" s="50" t="s">
        <v>1232</v>
      </c>
      <c r="D175" s="50" t="s">
        <v>1077</v>
      </c>
      <c r="E175" s="50">
        <v>102908</v>
      </c>
      <c r="F175" s="50" t="s">
        <v>1378</v>
      </c>
      <c r="G175" s="50" t="s">
        <v>1379</v>
      </c>
      <c r="H175" s="50" t="s">
        <v>1380</v>
      </c>
      <c r="I175" s="51" t="s">
        <v>1381</v>
      </c>
      <c r="J175" s="51" t="s">
        <v>1389</v>
      </c>
      <c r="K175" s="51" t="s">
        <v>1123</v>
      </c>
      <c r="L175" s="52">
        <v>105</v>
      </c>
      <c r="M175" s="52">
        <f t="shared" si="4"/>
        <v>105</v>
      </c>
      <c r="N175" s="52">
        <v>21.3</v>
      </c>
      <c r="O175" s="52">
        <f t="shared" si="5"/>
        <v>21.5</v>
      </c>
      <c r="P175" s="50">
        <v>0</v>
      </c>
    </row>
    <row r="176" spans="1:16" ht="16.5" customHeight="1">
      <c r="A176" s="50" t="s">
        <v>1230</v>
      </c>
      <c r="B176" s="50" t="s">
        <v>1231</v>
      </c>
      <c r="C176" s="50" t="s">
        <v>1232</v>
      </c>
      <c r="D176" s="50" t="s">
        <v>1077</v>
      </c>
      <c r="E176" s="50">
        <v>102908</v>
      </c>
      <c r="F176" s="50" t="s">
        <v>1378</v>
      </c>
      <c r="G176" s="50" t="s">
        <v>1379</v>
      </c>
      <c r="H176" s="50" t="s">
        <v>1380</v>
      </c>
      <c r="I176" s="51" t="s">
        <v>1381</v>
      </c>
      <c r="J176" s="51" t="s">
        <v>1390</v>
      </c>
      <c r="K176" s="51" t="s">
        <v>1125</v>
      </c>
      <c r="L176" s="52">
        <v>105</v>
      </c>
      <c r="M176" s="52">
        <f t="shared" si="4"/>
        <v>105</v>
      </c>
      <c r="N176" s="52">
        <v>21.4</v>
      </c>
      <c r="O176" s="52">
        <f t="shared" si="5"/>
        <v>21.599999999999998</v>
      </c>
      <c r="P176" s="50">
        <v>0</v>
      </c>
    </row>
    <row r="177" spans="1:16" ht="16.5" customHeight="1">
      <c r="A177" s="50" t="s">
        <v>1230</v>
      </c>
      <c r="B177" s="50" t="s">
        <v>1231</v>
      </c>
      <c r="C177" s="50" t="s">
        <v>1232</v>
      </c>
      <c r="D177" s="50" t="s">
        <v>1077</v>
      </c>
      <c r="E177" s="50">
        <v>102908</v>
      </c>
      <c r="F177" s="50" t="s">
        <v>1378</v>
      </c>
      <c r="G177" s="50" t="s">
        <v>1379</v>
      </c>
      <c r="H177" s="50" t="s">
        <v>1380</v>
      </c>
      <c r="I177" s="51" t="s">
        <v>1381</v>
      </c>
      <c r="J177" s="51" t="s">
        <v>1391</v>
      </c>
      <c r="K177" s="51" t="s">
        <v>1137</v>
      </c>
      <c r="L177" s="52">
        <v>104</v>
      </c>
      <c r="M177" s="52">
        <f t="shared" si="4"/>
        <v>104</v>
      </c>
      <c r="N177" s="52">
        <v>21.2</v>
      </c>
      <c r="O177" s="52">
        <f t="shared" si="5"/>
        <v>21.4</v>
      </c>
      <c r="P177" s="50">
        <v>0</v>
      </c>
    </row>
    <row r="178" spans="1:16" ht="16.5" customHeight="1">
      <c r="A178" s="50" t="s">
        <v>1230</v>
      </c>
      <c r="B178" s="50" t="s">
        <v>1231</v>
      </c>
      <c r="C178" s="50" t="s">
        <v>1232</v>
      </c>
      <c r="D178" s="50" t="s">
        <v>1077</v>
      </c>
      <c r="E178" s="50">
        <v>102908</v>
      </c>
      <c r="F178" s="50" t="s">
        <v>1378</v>
      </c>
      <c r="G178" s="50" t="s">
        <v>1379</v>
      </c>
      <c r="H178" s="50" t="s">
        <v>1380</v>
      </c>
      <c r="I178" s="51" t="s">
        <v>1381</v>
      </c>
      <c r="J178" s="51" t="s">
        <v>1392</v>
      </c>
      <c r="K178" s="51" t="s">
        <v>1139</v>
      </c>
      <c r="L178" s="52">
        <v>97</v>
      </c>
      <c r="M178" s="52">
        <f t="shared" si="4"/>
        <v>97</v>
      </c>
      <c r="N178" s="52">
        <v>19.7</v>
      </c>
      <c r="O178" s="52">
        <f t="shared" si="5"/>
        <v>19.899999999999999</v>
      </c>
      <c r="P178" s="50">
        <v>0</v>
      </c>
    </row>
    <row r="179" spans="1:16" ht="16.5" customHeight="1">
      <c r="A179" s="50" t="s">
        <v>1230</v>
      </c>
      <c r="B179" s="50" t="s">
        <v>1231</v>
      </c>
      <c r="C179" s="50" t="s">
        <v>1232</v>
      </c>
      <c r="D179" s="50" t="s">
        <v>1077</v>
      </c>
      <c r="E179" s="50">
        <v>102908</v>
      </c>
      <c r="F179" s="50" t="s">
        <v>1378</v>
      </c>
      <c r="G179" s="50" t="s">
        <v>1379</v>
      </c>
      <c r="H179" s="50" t="s">
        <v>1380</v>
      </c>
      <c r="I179" s="51" t="s">
        <v>1381</v>
      </c>
      <c r="J179" s="51" t="s">
        <v>1393</v>
      </c>
      <c r="K179" s="51" t="s">
        <v>1141</v>
      </c>
      <c r="L179" s="52">
        <v>105</v>
      </c>
      <c r="M179" s="52">
        <f t="shared" si="4"/>
        <v>105</v>
      </c>
      <c r="N179" s="52">
        <v>21.4</v>
      </c>
      <c r="O179" s="52">
        <f t="shared" si="5"/>
        <v>21.599999999999998</v>
      </c>
      <c r="P179" s="50">
        <v>0</v>
      </c>
    </row>
    <row r="180" spans="1:16" ht="16.5" customHeight="1">
      <c r="A180" s="50" t="s">
        <v>1230</v>
      </c>
      <c r="B180" s="50" t="s">
        <v>1231</v>
      </c>
      <c r="C180" s="50" t="s">
        <v>1232</v>
      </c>
      <c r="D180" s="50" t="s">
        <v>1077</v>
      </c>
      <c r="E180" s="50">
        <v>102908</v>
      </c>
      <c r="F180" s="50" t="s">
        <v>1378</v>
      </c>
      <c r="G180" s="50" t="s">
        <v>1379</v>
      </c>
      <c r="H180" s="50" t="s">
        <v>1380</v>
      </c>
      <c r="I180" s="51" t="s">
        <v>1381</v>
      </c>
      <c r="J180" s="51" t="s">
        <v>1394</v>
      </c>
      <c r="K180" s="51" t="s">
        <v>1143</v>
      </c>
      <c r="L180" s="52">
        <v>103</v>
      </c>
      <c r="M180" s="52">
        <f t="shared" si="4"/>
        <v>103</v>
      </c>
      <c r="N180" s="52">
        <v>20.9</v>
      </c>
      <c r="O180" s="52">
        <f t="shared" si="5"/>
        <v>21.099999999999998</v>
      </c>
      <c r="P180" s="50">
        <v>0</v>
      </c>
    </row>
    <row r="181" spans="1:16" ht="16.5" customHeight="1">
      <c r="A181" s="50" t="s">
        <v>1230</v>
      </c>
      <c r="B181" s="50" t="s">
        <v>1231</v>
      </c>
      <c r="C181" s="50" t="s">
        <v>1232</v>
      </c>
      <c r="D181" s="50" t="s">
        <v>1077</v>
      </c>
      <c r="E181" s="50">
        <v>102908</v>
      </c>
      <c r="F181" s="50" t="s">
        <v>1395</v>
      </c>
      <c r="G181" s="50" t="s">
        <v>1396</v>
      </c>
      <c r="H181" s="50" t="s">
        <v>1397</v>
      </c>
      <c r="I181" s="51" t="s">
        <v>1398</v>
      </c>
      <c r="J181" s="51" t="s">
        <v>1399</v>
      </c>
      <c r="K181" s="51" t="s">
        <v>1400</v>
      </c>
      <c r="L181" s="52">
        <v>115</v>
      </c>
      <c r="M181" s="52">
        <f t="shared" si="4"/>
        <v>115</v>
      </c>
      <c r="N181" s="52">
        <v>23.4</v>
      </c>
      <c r="O181" s="52">
        <f t="shared" si="5"/>
        <v>23.599999999999998</v>
      </c>
      <c r="P181" s="50">
        <v>0</v>
      </c>
    </row>
    <row r="182" spans="1:16" ht="16.5" customHeight="1">
      <c r="A182" s="50" t="s">
        <v>1230</v>
      </c>
      <c r="B182" s="50" t="s">
        <v>1231</v>
      </c>
      <c r="C182" s="50" t="s">
        <v>1232</v>
      </c>
      <c r="D182" s="50" t="s">
        <v>1077</v>
      </c>
      <c r="E182" s="50">
        <v>102908</v>
      </c>
      <c r="F182" s="50" t="s">
        <v>1395</v>
      </c>
      <c r="G182" s="50" t="s">
        <v>1396</v>
      </c>
      <c r="H182" s="50" t="s">
        <v>1397</v>
      </c>
      <c r="I182" s="51" t="s">
        <v>1398</v>
      </c>
      <c r="J182" s="51" t="s">
        <v>1401</v>
      </c>
      <c r="K182" s="51" t="s">
        <v>1402</v>
      </c>
      <c r="L182" s="52">
        <v>115</v>
      </c>
      <c r="M182" s="52">
        <f t="shared" si="4"/>
        <v>115</v>
      </c>
      <c r="N182" s="52">
        <v>23.4</v>
      </c>
      <c r="O182" s="52">
        <f t="shared" si="5"/>
        <v>23.599999999999998</v>
      </c>
      <c r="P182" s="50">
        <v>0</v>
      </c>
    </row>
    <row r="183" spans="1:16" ht="16.5" customHeight="1">
      <c r="A183" s="50" t="s">
        <v>1230</v>
      </c>
      <c r="B183" s="50" t="s">
        <v>1231</v>
      </c>
      <c r="C183" s="50" t="s">
        <v>1232</v>
      </c>
      <c r="D183" s="50" t="s">
        <v>1077</v>
      </c>
      <c r="E183" s="50">
        <v>102908</v>
      </c>
      <c r="F183" s="50" t="s">
        <v>1395</v>
      </c>
      <c r="G183" s="50" t="s">
        <v>1396</v>
      </c>
      <c r="H183" s="50" t="s">
        <v>1397</v>
      </c>
      <c r="I183" s="51" t="s">
        <v>1398</v>
      </c>
      <c r="J183" s="51" t="s">
        <v>1403</v>
      </c>
      <c r="K183" s="51" t="s">
        <v>1404</v>
      </c>
      <c r="L183" s="52">
        <v>104</v>
      </c>
      <c r="M183" s="52">
        <f t="shared" si="4"/>
        <v>104</v>
      </c>
      <c r="N183" s="52">
        <v>21.1</v>
      </c>
      <c r="O183" s="52">
        <f t="shared" si="5"/>
        <v>21.3</v>
      </c>
      <c r="P183" s="50">
        <v>0</v>
      </c>
    </row>
    <row r="184" spans="1:16" ht="16.5" customHeight="1">
      <c r="A184" s="50" t="s">
        <v>1230</v>
      </c>
      <c r="B184" s="50" t="s">
        <v>1231</v>
      </c>
      <c r="C184" s="50" t="s">
        <v>1232</v>
      </c>
      <c r="D184" s="50" t="s">
        <v>1077</v>
      </c>
      <c r="E184" s="50">
        <v>102908</v>
      </c>
      <c r="F184" s="50" t="s">
        <v>1395</v>
      </c>
      <c r="G184" s="50" t="s">
        <v>1396</v>
      </c>
      <c r="H184" s="50" t="s">
        <v>1397</v>
      </c>
      <c r="I184" s="51" t="s">
        <v>1398</v>
      </c>
      <c r="J184" s="51" t="s">
        <v>1405</v>
      </c>
      <c r="K184" s="51" t="s">
        <v>1406</v>
      </c>
      <c r="L184" s="52">
        <v>93</v>
      </c>
      <c r="M184" s="52">
        <f t="shared" si="4"/>
        <v>93</v>
      </c>
      <c r="N184" s="52">
        <v>18.899999999999999</v>
      </c>
      <c r="O184" s="52">
        <f t="shared" si="5"/>
        <v>19.099999999999998</v>
      </c>
      <c r="P184" s="50">
        <v>0</v>
      </c>
    </row>
    <row r="185" spans="1:16" ht="16.5" customHeight="1">
      <c r="A185" s="50" t="s">
        <v>1230</v>
      </c>
      <c r="B185" s="50" t="s">
        <v>1231</v>
      </c>
      <c r="C185" s="50" t="s">
        <v>1232</v>
      </c>
      <c r="D185" s="50" t="s">
        <v>1077</v>
      </c>
      <c r="E185" s="50">
        <v>102908</v>
      </c>
      <c r="F185" s="50" t="s">
        <v>1395</v>
      </c>
      <c r="G185" s="50" t="s">
        <v>1396</v>
      </c>
      <c r="H185" s="50" t="s">
        <v>1397</v>
      </c>
      <c r="I185" s="51" t="s">
        <v>1398</v>
      </c>
      <c r="J185" s="51" t="s">
        <v>1407</v>
      </c>
      <c r="K185" s="51" t="s">
        <v>1408</v>
      </c>
      <c r="L185" s="52">
        <v>107</v>
      </c>
      <c r="M185" s="52">
        <f t="shared" si="4"/>
        <v>107</v>
      </c>
      <c r="N185" s="52">
        <v>21.7</v>
      </c>
      <c r="O185" s="52">
        <f t="shared" si="5"/>
        <v>21.9</v>
      </c>
      <c r="P185" s="50">
        <v>0</v>
      </c>
    </row>
    <row r="186" spans="1:16" ht="16.5" customHeight="1">
      <c r="A186" s="50" t="s">
        <v>1230</v>
      </c>
      <c r="B186" s="50" t="s">
        <v>1231</v>
      </c>
      <c r="C186" s="50" t="s">
        <v>1232</v>
      </c>
      <c r="D186" s="50" t="s">
        <v>1077</v>
      </c>
      <c r="E186" s="50">
        <v>102908</v>
      </c>
      <c r="F186" s="50" t="s">
        <v>1395</v>
      </c>
      <c r="G186" s="50" t="s">
        <v>1396</v>
      </c>
      <c r="H186" s="50" t="s">
        <v>1397</v>
      </c>
      <c r="I186" s="51" t="s">
        <v>1398</v>
      </c>
      <c r="J186" s="51" t="s">
        <v>1409</v>
      </c>
      <c r="K186" s="51" t="s">
        <v>1410</v>
      </c>
      <c r="L186" s="52">
        <v>83</v>
      </c>
      <c r="M186" s="52">
        <f t="shared" si="4"/>
        <v>83</v>
      </c>
      <c r="N186" s="52">
        <v>16.8</v>
      </c>
      <c r="O186" s="52">
        <f t="shared" si="5"/>
        <v>17</v>
      </c>
      <c r="P186" s="50">
        <v>0</v>
      </c>
    </row>
    <row r="187" spans="1:16" ht="16.5" customHeight="1">
      <c r="A187" s="50" t="s">
        <v>1230</v>
      </c>
      <c r="B187" s="50" t="s">
        <v>1231</v>
      </c>
      <c r="C187" s="50" t="s">
        <v>1232</v>
      </c>
      <c r="D187" s="50" t="s">
        <v>1077</v>
      </c>
      <c r="E187" s="50">
        <v>102908</v>
      </c>
      <c r="F187" s="50" t="s">
        <v>1395</v>
      </c>
      <c r="G187" s="50" t="s">
        <v>1396</v>
      </c>
      <c r="H187" s="50" t="s">
        <v>1397</v>
      </c>
      <c r="I187" s="51" t="s">
        <v>1398</v>
      </c>
      <c r="J187" s="51" t="s">
        <v>1411</v>
      </c>
      <c r="K187" s="51" t="s">
        <v>1412</v>
      </c>
      <c r="L187" s="52">
        <v>104</v>
      </c>
      <c r="M187" s="52">
        <f t="shared" si="4"/>
        <v>104</v>
      </c>
      <c r="N187" s="52">
        <v>21.2</v>
      </c>
      <c r="O187" s="52">
        <f t="shared" si="5"/>
        <v>21.4</v>
      </c>
      <c r="P187" s="50">
        <v>0</v>
      </c>
    </row>
    <row r="188" spans="1:16" ht="16.5" customHeight="1">
      <c r="A188" s="50" t="s">
        <v>1230</v>
      </c>
      <c r="B188" s="50" t="s">
        <v>1231</v>
      </c>
      <c r="C188" s="50" t="s">
        <v>1232</v>
      </c>
      <c r="D188" s="50" t="s">
        <v>1077</v>
      </c>
      <c r="E188" s="50">
        <v>102908</v>
      </c>
      <c r="F188" s="50" t="s">
        <v>1395</v>
      </c>
      <c r="G188" s="50" t="s">
        <v>1396</v>
      </c>
      <c r="H188" s="50" t="s">
        <v>1397</v>
      </c>
      <c r="I188" s="51" t="s">
        <v>1398</v>
      </c>
      <c r="J188" s="51" t="s">
        <v>1413</v>
      </c>
      <c r="K188" s="51" t="s">
        <v>1414</v>
      </c>
      <c r="L188" s="52">
        <v>104</v>
      </c>
      <c r="M188" s="52">
        <f t="shared" si="4"/>
        <v>104</v>
      </c>
      <c r="N188" s="52">
        <v>21.2</v>
      </c>
      <c r="O188" s="52">
        <f t="shared" si="5"/>
        <v>21.4</v>
      </c>
      <c r="P188" s="50">
        <v>0</v>
      </c>
    </row>
    <row r="189" spans="1:16" ht="16.5" customHeight="1">
      <c r="A189" s="50" t="s">
        <v>1230</v>
      </c>
      <c r="B189" s="50" t="s">
        <v>1231</v>
      </c>
      <c r="C189" s="50" t="s">
        <v>1232</v>
      </c>
      <c r="D189" s="50" t="s">
        <v>1077</v>
      </c>
      <c r="E189" s="50">
        <v>102908</v>
      </c>
      <c r="F189" s="50" t="s">
        <v>1395</v>
      </c>
      <c r="G189" s="50" t="s">
        <v>1396</v>
      </c>
      <c r="H189" s="50" t="s">
        <v>1397</v>
      </c>
      <c r="I189" s="51" t="s">
        <v>1398</v>
      </c>
      <c r="J189" s="51" t="s">
        <v>1415</v>
      </c>
      <c r="K189" s="51" t="s">
        <v>1416</v>
      </c>
      <c r="L189" s="52">
        <v>102</v>
      </c>
      <c r="M189" s="52">
        <f t="shared" si="4"/>
        <v>102</v>
      </c>
      <c r="N189" s="52">
        <v>20.8</v>
      </c>
      <c r="O189" s="52">
        <f t="shared" si="5"/>
        <v>21</v>
      </c>
      <c r="P189" s="50">
        <v>0</v>
      </c>
    </row>
    <row r="190" spans="1:16" ht="16.5" customHeight="1">
      <c r="A190" s="50" t="s">
        <v>1230</v>
      </c>
      <c r="B190" s="50" t="s">
        <v>1231</v>
      </c>
      <c r="C190" s="50" t="s">
        <v>1232</v>
      </c>
      <c r="D190" s="50" t="s">
        <v>1077</v>
      </c>
      <c r="E190" s="50">
        <v>102908</v>
      </c>
      <c r="F190" s="50" t="s">
        <v>1395</v>
      </c>
      <c r="G190" s="50" t="s">
        <v>1396</v>
      </c>
      <c r="H190" s="50" t="s">
        <v>1397</v>
      </c>
      <c r="I190" s="51" t="s">
        <v>1398</v>
      </c>
      <c r="J190" s="51" t="s">
        <v>1417</v>
      </c>
      <c r="K190" s="51" t="s">
        <v>1418</v>
      </c>
      <c r="L190" s="52">
        <v>85</v>
      </c>
      <c r="M190" s="52">
        <f t="shared" si="4"/>
        <v>85</v>
      </c>
      <c r="N190" s="52">
        <v>17.3</v>
      </c>
      <c r="O190" s="52">
        <f t="shared" si="5"/>
        <v>17.5</v>
      </c>
      <c r="P190" s="50">
        <v>0</v>
      </c>
    </row>
    <row r="191" spans="1:16" ht="16.5" customHeight="1">
      <c r="A191" s="50" t="s">
        <v>1230</v>
      </c>
      <c r="B191" s="50" t="s">
        <v>1231</v>
      </c>
      <c r="C191" s="50" t="s">
        <v>1232</v>
      </c>
      <c r="D191" s="50" t="s">
        <v>1077</v>
      </c>
      <c r="E191" s="50">
        <v>102908</v>
      </c>
      <c r="F191" s="50" t="s">
        <v>1166</v>
      </c>
      <c r="G191" s="50" t="s">
        <v>1167</v>
      </c>
      <c r="H191" s="50" t="s">
        <v>1168</v>
      </c>
      <c r="I191" s="51" t="s">
        <v>1419</v>
      </c>
      <c r="J191" s="51" t="s">
        <v>1420</v>
      </c>
      <c r="K191" s="51" t="s">
        <v>1421</v>
      </c>
      <c r="L191" s="52">
        <v>96</v>
      </c>
      <c r="M191" s="52">
        <f t="shared" si="4"/>
        <v>96</v>
      </c>
      <c r="N191" s="52">
        <v>19.899999999999999</v>
      </c>
      <c r="O191" s="52">
        <f t="shared" si="5"/>
        <v>20.099999999999998</v>
      </c>
      <c r="P191" s="50">
        <v>0</v>
      </c>
    </row>
    <row r="192" spans="1:16" ht="16.5" customHeight="1">
      <c r="A192" s="50" t="s">
        <v>1230</v>
      </c>
      <c r="B192" s="50" t="s">
        <v>1231</v>
      </c>
      <c r="C192" s="50" t="s">
        <v>1232</v>
      </c>
      <c r="D192" s="50" t="s">
        <v>1077</v>
      </c>
      <c r="E192" s="50">
        <v>102908</v>
      </c>
      <c r="F192" s="50" t="s">
        <v>1166</v>
      </c>
      <c r="G192" s="50" t="s">
        <v>1167</v>
      </c>
      <c r="H192" s="50" t="s">
        <v>1168</v>
      </c>
      <c r="I192" s="51" t="s">
        <v>1419</v>
      </c>
      <c r="J192" s="51" t="s">
        <v>1422</v>
      </c>
      <c r="K192" s="51" t="s">
        <v>1423</v>
      </c>
      <c r="L192" s="52">
        <v>102</v>
      </c>
      <c r="M192" s="52">
        <f t="shared" si="4"/>
        <v>102</v>
      </c>
      <c r="N192" s="52">
        <v>21.1</v>
      </c>
      <c r="O192" s="52">
        <f t="shared" si="5"/>
        <v>21.3</v>
      </c>
      <c r="P192" s="50">
        <v>0</v>
      </c>
    </row>
    <row r="193" spans="1:16" ht="16.5" customHeight="1">
      <c r="A193" s="50" t="s">
        <v>1230</v>
      </c>
      <c r="B193" s="50" t="s">
        <v>1231</v>
      </c>
      <c r="C193" s="50" t="s">
        <v>1232</v>
      </c>
      <c r="D193" s="50" t="s">
        <v>1077</v>
      </c>
      <c r="E193" s="50">
        <v>102908</v>
      </c>
      <c r="F193" s="50" t="s">
        <v>1166</v>
      </c>
      <c r="G193" s="50" t="s">
        <v>1167</v>
      </c>
      <c r="H193" s="50" t="s">
        <v>1168</v>
      </c>
      <c r="I193" s="51" t="s">
        <v>1419</v>
      </c>
      <c r="J193" s="51" t="s">
        <v>1424</v>
      </c>
      <c r="K193" s="51" t="s">
        <v>1425</v>
      </c>
      <c r="L193" s="52">
        <v>102</v>
      </c>
      <c r="M193" s="52">
        <f t="shared" si="4"/>
        <v>102</v>
      </c>
      <c r="N193" s="52">
        <v>21.2</v>
      </c>
      <c r="O193" s="52">
        <f t="shared" si="5"/>
        <v>21.4</v>
      </c>
      <c r="P193" s="50">
        <v>0</v>
      </c>
    </row>
    <row r="194" spans="1:16" ht="16.5" customHeight="1">
      <c r="A194" s="50" t="s">
        <v>1230</v>
      </c>
      <c r="B194" s="50" t="s">
        <v>1231</v>
      </c>
      <c r="C194" s="50" t="s">
        <v>1232</v>
      </c>
      <c r="D194" s="50" t="s">
        <v>1077</v>
      </c>
      <c r="E194" s="50">
        <v>102908</v>
      </c>
      <c r="F194" s="50" t="s">
        <v>1166</v>
      </c>
      <c r="G194" s="50" t="s">
        <v>1167</v>
      </c>
      <c r="H194" s="50" t="s">
        <v>1168</v>
      </c>
      <c r="I194" s="51" t="s">
        <v>1419</v>
      </c>
      <c r="J194" s="51" t="s">
        <v>1426</v>
      </c>
      <c r="K194" s="51" t="s">
        <v>1427</v>
      </c>
      <c r="L194" s="52">
        <v>102</v>
      </c>
      <c r="M194" s="52">
        <f t="shared" si="4"/>
        <v>102</v>
      </c>
      <c r="N194" s="52">
        <v>21.2</v>
      </c>
      <c r="O194" s="52">
        <f t="shared" si="5"/>
        <v>21.4</v>
      </c>
      <c r="P194" s="50">
        <v>0</v>
      </c>
    </row>
    <row r="195" spans="1:16" ht="16.5" customHeight="1">
      <c r="A195" s="50" t="s">
        <v>1230</v>
      </c>
      <c r="B195" s="50" t="s">
        <v>1231</v>
      </c>
      <c r="C195" s="50" t="s">
        <v>1232</v>
      </c>
      <c r="D195" s="50" t="s">
        <v>1077</v>
      </c>
      <c r="E195" s="50">
        <v>102908</v>
      </c>
      <c r="F195" s="50" t="s">
        <v>1166</v>
      </c>
      <c r="G195" s="50" t="s">
        <v>1167</v>
      </c>
      <c r="H195" s="50" t="s">
        <v>1168</v>
      </c>
      <c r="I195" s="51" t="s">
        <v>1419</v>
      </c>
      <c r="J195" s="51" t="s">
        <v>1428</v>
      </c>
      <c r="K195" s="51" t="s">
        <v>1429</v>
      </c>
      <c r="L195" s="52">
        <v>102</v>
      </c>
      <c r="M195" s="52">
        <f t="shared" si="4"/>
        <v>102</v>
      </c>
      <c r="N195" s="52">
        <v>21.1</v>
      </c>
      <c r="O195" s="52">
        <f t="shared" si="5"/>
        <v>21.3</v>
      </c>
      <c r="P195" s="50">
        <v>0</v>
      </c>
    </row>
    <row r="196" spans="1:16" ht="16.5" customHeight="1">
      <c r="A196" s="50" t="s">
        <v>1230</v>
      </c>
      <c r="B196" s="50" t="s">
        <v>1231</v>
      </c>
      <c r="C196" s="50" t="s">
        <v>1232</v>
      </c>
      <c r="D196" s="50" t="s">
        <v>1077</v>
      </c>
      <c r="E196" s="50">
        <v>102908</v>
      </c>
      <c r="F196" s="50" t="s">
        <v>1166</v>
      </c>
      <c r="G196" s="50" t="s">
        <v>1167</v>
      </c>
      <c r="H196" s="50" t="s">
        <v>1168</v>
      </c>
      <c r="I196" s="51" t="s">
        <v>1419</v>
      </c>
      <c r="J196" s="51" t="s">
        <v>1430</v>
      </c>
      <c r="K196" s="51" t="s">
        <v>1431</v>
      </c>
      <c r="L196" s="52">
        <v>102</v>
      </c>
      <c r="M196" s="52">
        <f t="shared" ref="M196:M259" si="6">L196+P196</f>
        <v>102</v>
      </c>
      <c r="N196" s="52">
        <v>21.1</v>
      </c>
      <c r="O196" s="52">
        <f t="shared" ref="O196:O259" si="7">N196+0.2</f>
        <v>21.3</v>
      </c>
      <c r="P196" s="50">
        <v>0</v>
      </c>
    </row>
    <row r="197" spans="1:16" ht="16.5" customHeight="1">
      <c r="A197" s="50" t="s">
        <v>1230</v>
      </c>
      <c r="B197" s="50" t="s">
        <v>1231</v>
      </c>
      <c r="C197" s="50" t="s">
        <v>1232</v>
      </c>
      <c r="D197" s="50" t="s">
        <v>1077</v>
      </c>
      <c r="E197" s="50">
        <v>102908</v>
      </c>
      <c r="F197" s="50" t="s">
        <v>1166</v>
      </c>
      <c r="G197" s="50" t="s">
        <v>1167</v>
      </c>
      <c r="H197" s="50" t="s">
        <v>1168</v>
      </c>
      <c r="I197" s="51" t="s">
        <v>1419</v>
      </c>
      <c r="J197" s="51" t="s">
        <v>1432</v>
      </c>
      <c r="K197" s="51" t="s">
        <v>1433</v>
      </c>
      <c r="L197" s="52">
        <v>102</v>
      </c>
      <c r="M197" s="52">
        <f t="shared" si="6"/>
        <v>102</v>
      </c>
      <c r="N197" s="52">
        <v>21.2</v>
      </c>
      <c r="O197" s="52">
        <f t="shared" si="7"/>
        <v>21.4</v>
      </c>
      <c r="P197" s="50">
        <v>0</v>
      </c>
    </row>
    <row r="198" spans="1:16" ht="16.5" customHeight="1">
      <c r="A198" s="50" t="s">
        <v>1230</v>
      </c>
      <c r="B198" s="50" t="s">
        <v>1231</v>
      </c>
      <c r="C198" s="50" t="s">
        <v>1232</v>
      </c>
      <c r="D198" s="50" t="s">
        <v>1077</v>
      </c>
      <c r="E198" s="50">
        <v>102908</v>
      </c>
      <c r="F198" s="50" t="s">
        <v>1166</v>
      </c>
      <c r="G198" s="50" t="s">
        <v>1167</v>
      </c>
      <c r="H198" s="50" t="s">
        <v>1168</v>
      </c>
      <c r="I198" s="51" t="s">
        <v>1419</v>
      </c>
      <c r="J198" s="51" t="s">
        <v>1434</v>
      </c>
      <c r="K198" s="51" t="s">
        <v>1435</v>
      </c>
      <c r="L198" s="52">
        <v>102</v>
      </c>
      <c r="M198" s="52">
        <f t="shared" si="6"/>
        <v>102</v>
      </c>
      <c r="N198" s="52">
        <v>21.2</v>
      </c>
      <c r="O198" s="52">
        <f t="shared" si="7"/>
        <v>21.4</v>
      </c>
      <c r="P198" s="50">
        <v>0</v>
      </c>
    </row>
    <row r="199" spans="1:16" ht="16.5" customHeight="1">
      <c r="A199" s="50" t="s">
        <v>1230</v>
      </c>
      <c r="B199" s="50" t="s">
        <v>1231</v>
      </c>
      <c r="C199" s="50" t="s">
        <v>1232</v>
      </c>
      <c r="D199" s="50" t="s">
        <v>1077</v>
      </c>
      <c r="E199" s="50">
        <v>102908</v>
      </c>
      <c r="F199" s="50" t="s">
        <v>1166</v>
      </c>
      <c r="G199" s="50" t="s">
        <v>1167</v>
      </c>
      <c r="H199" s="50" t="s">
        <v>1168</v>
      </c>
      <c r="I199" s="51" t="s">
        <v>1419</v>
      </c>
      <c r="J199" s="51" t="s">
        <v>1436</v>
      </c>
      <c r="K199" s="51" t="s">
        <v>1437</v>
      </c>
      <c r="L199" s="52">
        <v>102</v>
      </c>
      <c r="M199" s="52">
        <f t="shared" si="6"/>
        <v>102</v>
      </c>
      <c r="N199" s="52">
        <v>21.1</v>
      </c>
      <c r="O199" s="52">
        <f t="shared" si="7"/>
        <v>21.3</v>
      </c>
      <c r="P199" s="50">
        <v>0</v>
      </c>
    </row>
    <row r="200" spans="1:16" ht="16.5" customHeight="1">
      <c r="A200" s="50" t="s">
        <v>1230</v>
      </c>
      <c r="B200" s="50" t="s">
        <v>1231</v>
      </c>
      <c r="C200" s="50" t="s">
        <v>1232</v>
      </c>
      <c r="D200" s="50" t="s">
        <v>1077</v>
      </c>
      <c r="E200" s="50">
        <v>102908</v>
      </c>
      <c r="F200" s="50" t="s">
        <v>1166</v>
      </c>
      <c r="G200" s="50" t="s">
        <v>1167</v>
      </c>
      <c r="H200" s="50" t="s">
        <v>1168</v>
      </c>
      <c r="I200" s="51" t="s">
        <v>1419</v>
      </c>
      <c r="J200" s="51" t="s">
        <v>1438</v>
      </c>
      <c r="K200" s="51" t="s">
        <v>1439</v>
      </c>
      <c r="L200" s="52">
        <v>102</v>
      </c>
      <c r="M200" s="52">
        <f t="shared" si="6"/>
        <v>102</v>
      </c>
      <c r="N200" s="52">
        <v>21.1</v>
      </c>
      <c r="O200" s="52">
        <f t="shared" si="7"/>
        <v>21.3</v>
      </c>
      <c r="P200" s="50">
        <v>0</v>
      </c>
    </row>
    <row r="201" spans="1:16" ht="16.5" customHeight="1">
      <c r="A201" s="50" t="s">
        <v>1230</v>
      </c>
      <c r="B201" s="50" t="s">
        <v>1231</v>
      </c>
      <c r="C201" s="50" t="s">
        <v>1232</v>
      </c>
      <c r="D201" s="50" t="s">
        <v>1077</v>
      </c>
      <c r="E201" s="50">
        <v>102908</v>
      </c>
      <c r="F201" s="50" t="s">
        <v>1166</v>
      </c>
      <c r="G201" s="50" t="s">
        <v>1167</v>
      </c>
      <c r="H201" s="50" t="s">
        <v>1168</v>
      </c>
      <c r="I201" s="51" t="s">
        <v>1419</v>
      </c>
      <c r="J201" s="51" t="s">
        <v>1440</v>
      </c>
      <c r="K201" s="51" t="s">
        <v>1441</v>
      </c>
      <c r="L201" s="52">
        <v>102</v>
      </c>
      <c r="M201" s="52">
        <f t="shared" si="6"/>
        <v>102</v>
      </c>
      <c r="N201" s="52">
        <v>21.1</v>
      </c>
      <c r="O201" s="52">
        <f t="shared" si="7"/>
        <v>21.3</v>
      </c>
      <c r="P201" s="50">
        <v>0</v>
      </c>
    </row>
    <row r="202" spans="1:16" ht="16.5" customHeight="1">
      <c r="A202" s="50" t="s">
        <v>1230</v>
      </c>
      <c r="B202" s="50" t="s">
        <v>1231</v>
      </c>
      <c r="C202" s="50" t="s">
        <v>1232</v>
      </c>
      <c r="D202" s="50" t="s">
        <v>1077</v>
      </c>
      <c r="E202" s="50">
        <v>102908</v>
      </c>
      <c r="F202" s="50" t="s">
        <v>1166</v>
      </c>
      <c r="G202" s="50" t="s">
        <v>1167</v>
      </c>
      <c r="H202" s="50" t="s">
        <v>1168</v>
      </c>
      <c r="I202" s="51" t="s">
        <v>1419</v>
      </c>
      <c r="J202" s="51" t="s">
        <v>1442</v>
      </c>
      <c r="K202" s="51" t="s">
        <v>1443</v>
      </c>
      <c r="L202" s="52">
        <v>102</v>
      </c>
      <c r="M202" s="52">
        <f t="shared" si="6"/>
        <v>102</v>
      </c>
      <c r="N202" s="52">
        <v>21.1</v>
      </c>
      <c r="O202" s="52">
        <f t="shared" si="7"/>
        <v>21.3</v>
      </c>
      <c r="P202" s="50">
        <v>0</v>
      </c>
    </row>
    <row r="203" spans="1:16" ht="16.5" customHeight="1">
      <c r="A203" s="50" t="s">
        <v>1230</v>
      </c>
      <c r="B203" s="50" t="s">
        <v>1231</v>
      </c>
      <c r="C203" s="50" t="s">
        <v>1232</v>
      </c>
      <c r="D203" s="50" t="s">
        <v>1077</v>
      </c>
      <c r="E203" s="50">
        <v>102908</v>
      </c>
      <c r="F203" s="50" t="s">
        <v>1166</v>
      </c>
      <c r="G203" s="50" t="s">
        <v>1167</v>
      </c>
      <c r="H203" s="50" t="s">
        <v>1168</v>
      </c>
      <c r="I203" s="51" t="s">
        <v>1419</v>
      </c>
      <c r="J203" s="51" t="s">
        <v>1444</v>
      </c>
      <c r="K203" s="51" t="s">
        <v>1445</v>
      </c>
      <c r="L203" s="52">
        <v>100</v>
      </c>
      <c r="M203" s="52">
        <f t="shared" si="6"/>
        <v>100</v>
      </c>
      <c r="N203" s="52">
        <v>20.6</v>
      </c>
      <c r="O203" s="52">
        <f t="shared" si="7"/>
        <v>20.8</v>
      </c>
      <c r="P203" s="50">
        <v>0</v>
      </c>
    </row>
    <row r="204" spans="1:16" ht="16.5" customHeight="1">
      <c r="A204" s="50" t="s">
        <v>1230</v>
      </c>
      <c r="B204" s="50" t="s">
        <v>1231</v>
      </c>
      <c r="C204" s="50" t="s">
        <v>1232</v>
      </c>
      <c r="D204" s="50" t="s">
        <v>1077</v>
      </c>
      <c r="E204" s="50">
        <v>102908</v>
      </c>
      <c r="F204" s="50" t="s">
        <v>1166</v>
      </c>
      <c r="G204" s="50" t="s">
        <v>1167</v>
      </c>
      <c r="H204" s="50" t="s">
        <v>1168</v>
      </c>
      <c r="I204" s="51" t="s">
        <v>1419</v>
      </c>
      <c r="J204" s="51" t="s">
        <v>1446</v>
      </c>
      <c r="K204" s="51" t="s">
        <v>1447</v>
      </c>
      <c r="L204" s="52">
        <v>89</v>
      </c>
      <c r="M204" s="52">
        <f t="shared" si="6"/>
        <v>89</v>
      </c>
      <c r="N204" s="52">
        <v>18.3</v>
      </c>
      <c r="O204" s="52">
        <f t="shared" si="7"/>
        <v>18.5</v>
      </c>
      <c r="P204" s="50">
        <v>0</v>
      </c>
    </row>
    <row r="205" spans="1:16" ht="16.5" customHeight="1">
      <c r="A205" s="50" t="s">
        <v>1230</v>
      </c>
      <c r="B205" s="50" t="s">
        <v>1231</v>
      </c>
      <c r="C205" s="50" t="s">
        <v>1232</v>
      </c>
      <c r="D205" s="50" t="s">
        <v>1077</v>
      </c>
      <c r="E205" s="50">
        <v>102908</v>
      </c>
      <c r="F205" s="50" t="s">
        <v>1166</v>
      </c>
      <c r="G205" s="50" t="s">
        <v>1167</v>
      </c>
      <c r="H205" s="50" t="s">
        <v>1168</v>
      </c>
      <c r="I205" s="51" t="s">
        <v>1419</v>
      </c>
      <c r="J205" s="51" t="s">
        <v>1448</v>
      </c>
      <c r="K205" s="51" t="s">
        <v>1449</v>
      </c>
      <c r="L205" s="52">
        <v>96</v>
      </c>
      <c r="M205" s="52">
        <f t="shared" si="6"/>
        <v>96</v>
      </c>
      <c r="N205" s="52">
        <v>19.8</v>
      </c>
      <c r="O205" s="52">
        <f t="shared" si="7"/>
        <v>20</v>
      </c>
      <c r="P205" s="50">
        <v>0</v>
      </c>
    </row>
    <row r="206" spans="1:16" ht="16.5" customHeight="1">
      <c r="A206" s="50" t="s">
        <v>1230</v>
      </c>
      <c r="B206" s="50" t="s">
        <v>1231</v>
      </c>
      <c r="C206" s="50" t="s">
        <v>1232</v>
      </c>
      <c r="D206" s="50" t="s">
        <v>1077</v>
      </c>
      <c r="E206" s="50">
        <v>102908</v>
      </c>
      <c r="F206" s="50" t="s">
        <v>1166</v>
      </c>
      <c r="G206" s="50" t="s">
        <v>1167</v>
      </c>
      <c r="H206" s="50" t="s">
        <v>1168</v>
      </c>
      <c r="I206" s="51" t="s">
        <v>1450</v>
      </c>
      <c r="J206" s="51" t="s">
        <v>1451</v>
      </c>
      <c r="K206" s="51" t="s">
        <v>1452</v>
      </c>
      <c r="L206" s="52">
        <v>100</v>
      </c>
      <c r="M206" s="52">
        <f t="shared" si="6"/>
        <v>100</v>
      </c>
      <c r="N206" s="52">
        <v>20.6</v>
      </c>
      <c r="O206" s="52">
        <f t="shared" si="7"/>
        <v>20.8</v>
      </c>
      <c r="P206" s="50">
        <v>0</v>
      </c>
    </row>
    <row r="207" spans="1:16" ht="16.5" customHeight="1">
      <c r="A207" s="50" t="s">
        <v>1230</v>
      </c>
      <c r="B207" s="50" t="s">
        <v>1231</v>
      </c>
      <c r="C207" s="50" t="s">
        <v>1232</v>
      </c>
      <c r="D207" s="50" t="s">
        <v>1077</v>
      </c>
      <c r="E207" s="50">
        <v>102908</v>
      </c>
      <c r="F207" s="50" t="s">
        <v>1166</v>
      </c>
      <c r="G207" s="50" t="s">
        <v>1167</v>
      </c>
      <c r="H207" s="50" t="s">
        <v>1168</v>
      </c>
      <c r="I207" s="51" t="s">
        <v>1450</v>
      </c>
      <c r="J207" s="51" t="s">
        <v>1453</v>
      </c>
      <c r="K207" s="51" t="s">
        <v>1454</v>
      </c>
      <c r="L207" s="52">
        <v>102</v>
      </c>
      <c r="M207" s="52">
        <f t="shared" si="6"/>
        <v>102</v>
      </c>
      <c r="N207" s="52">
        <v>21.2</v>
      </c>
      <c r="O207" s="52">
        <f t="shared" si="7"/>
        <v>21.4</v>
      </c>
      <c r="P207" s="50">
        <v>0</v>
      </c>
    </row>
    <row r="208" spans="1:16" ht="16.5" customHeight="1">
      <c r="A208" s="50" t="s">
        <v>1230</v>
      </c>
      <c r="B208" s="50" t="s">
        <v>1231</v>
      </c>
      <c r="C208" s="50" t="s">
        <v>1232</v>
      </c>
      <c r="D208" s="50" t="s">
        <v>1077</v>
      </c>
      <c r="E208" s="50">
        <v>102908</v>
      </c>
      <c r="F208" s="50" t="s">
        <v>1166</v>
      </c>
      <c r="G208" s="50" t="s">
        <v>1167</v>
      </c>
      <c r="H208" s="50" t="s">
        <v>1168</v>
      </c>
      <c r="I208" s="51" t="s">
        <v>1450</v>
      </c>
      <c r="J208" s="51" t="s">
        <v>1455</v>
      </c>
      <c r="K208" s="51" t="s">
        <v>1456</v>
      </c>
      <c r="L208" s="52">
        <v>102</v>
      </c>
      <c r="M208" s="52">
        <f t="shared" si="6"/>
        <v>102</v>
      </c>
      <c r="N208" s="52">
        <v>21.1</v>
      </c>
      <c r="O208" s="52">
        <f t="shared" si="7"/>
        <v>21.3</v>
      </c>
      <c r="P208" s="50">
        <v>0</v>
      </c>
    </row>
    <row r="209" spans="1:16" ht="16.5" customHeight="1">
      <c r="A209" s="50" t="s">
        <v>1230</v>
      </c>
      <c r="B209" s="50" t="s">
        <v>1231</v>
      </c>
      <c r="C209" s="50" t="s">
        <v>1232</v>
      </c>
      <c r="D209" s="50" t="s">
        <v>1077</v>
      </c>
      <c r="E209" s="50">
        <v>102908</v>
      </c>
      <c r="F209" s="50" t="s">
        <v>1166</v>
      </c>
      <c r="G209" s="50" t="s">
        <v>1167</v>
      </c>
      <c r="H209" s="50" t="s">
        <v>1168</v>
      </c>
      <c r="I209" s="51" t="s">
        <v>1450</v>
      </c>
      <c r="J209" s="51" t="s">
        <v>1457</v>
      </c>
      <c r="K209" s="51" t="s">
        <v>1458</v>
      </c>
      <c r="L209" s="52">
        <v>102</v>
      </c>
      <c r="M209" s="52">
        <f t="shared" si="6"/>
        <v>102</v>
      </c>
      <c r="N209" s="52">
        <v>21.1</v>
      </c>
      <c r="O209" s="52">
        <f t="shared" si="7"/>
        <v>21.3</v>
      </c>
      <c r="P209" s="50">
        <v>0</v>
      </c>
    </row>
    <row r="210" spans="1:16" ht="16.5" customHeight="1">
      <c r="A210" s="50" t="s">
        <v>1230</v>
      </c>
      <c r="B210" s="50" t="s">
        <v>1231</v>
      </c>
      <c r="C210" s="50" t="s">
        <v>1232</v>
      </c>
      <c r="D210" s="50" t="s">
        <v>1077</v>
      </c>
      <c r="E210" s="50">
        <v>102908</v>
      </c>
      <c r="F210" s="50" t="s">
        <v>1166</v>
      </c>
      <c r="G210" s="50" t="s">
        <v>1167</v>
      </c>
      <c r="H210" s="50" t="s">
        <v>1168</v>
      </c>
      <c r="I210" s="51" t="s">
        <v>1450</v>
      </c>
      <c r="J210" s="51" t="s">
        <v>1459</v>
      </c>
      <c r="K210" s="51" t="s">
        <v>1460</v>
      </c>
      <c r="L210" s="52">
        <v>99</v>
      </c>
      <c r="M210" s="52">
        <f t="shared" si="6"/>
        <v>99</v>
      </c>
      <c r="N210" s="52">
        <v>20.5</v>
      </c>
      <c r="O210" s="52">
        <f t="shared" si="7"/>
        <v>20.7</v>
      </c>
      <c r="P210" s="50">
        <v>0</v>
      </c>
    </row>
    <row r="211" spans="1:16" ht="16.5" customHeight="1">
      <c r="A211" s="50" t="s">
        <v>1230</v>
      </c>
      <c r="B211" s="50" t="s">
        <v>1231</v>
      </c>
      <c r="C211" s="50" t="s">
        <v>1232</v>
      </c>
      <c r="D211" s="50" t="s">
        <v>1077</v>
      </c>
      <c r="E211" s="50">
        <v>102908</v>
      </c>
      <c r="F211" s="50" t="s">
        <v>1166</v>
      </c>
      <c r="G211" s="50" t="s">
        <v>1167</v>
      </c>
      <c r="H211" s="50" t="s">
        <v>1168</v>
      </c>
      <c r="I211" s="51" t="s">
        <v>1450</v>
      </c>
      <c r="J211" s="51" t="s">
        <v>1461</v>
      </c>
      <c r="K211" s="51" t="s">
        <v>1462</v>
      </c>
      <c r="L211" s="52">
        <v>102</v>
      </c>
      <c r="M211" s="52">
        <f t="shared" si="6"/>
        <v>102</v>
      </c>
      <c r="N211" s="52">
        <v>21.2</v>
      </c>
      <c r="O211" s="52">
        <f t="shared" si="7"/>
        <v>21.4</v>
      </c>
      <c r="P211" s="50">
        <v>0</v>
      </c>
    </row>
    <row r="212" spans="1:16" ht="16.5" customHeight="1">
      <c r="A212" s="50" t="s">
        <v>1230</v>
      </c>
      <c r="B212" s="50" t="s">
        <v>1231</v>
      </c>
      <c r="C212" s="50" t="s">
        <v>1232</v>
      </c>
      <c r="D212" s="50" t="s">
        <v>1077</v>
      </c>
      <c r="E212" s="50">
        <v>102908</v>
      </c>
      <c r="F212" s="50" t="s">
        <v>1166</v>
      </c>
      <c r="G212" s="50" t="s">
        <v>1167</v>
      </c>
      <c r="H212" s="50" t="s">
        <v>1168</v>
      </c>
      <c r="I212" s="51" t="s">
        <v>1450</v>
      </c>
      <c r="J212" s="51" t="s">
        <v>1463</v>
      </c>
      <c r="K212" s="51" t="s">
        <v>1464</v>
      </c>
      <c r="L212" s="52">
        <v>103</v>
      </c>
      <c r="M212" s="52">
        <f t="shared" si="6"/>
        <v>103</v>
      </c>
      <c r="N212" s="52">
        <v>21.4</v>
      </c>
      <c r="O212" s="52">
        <f t="shared" si="7"/>
        <v>21.599999999999998</v>
      </c>
      <c r="P212" s="50">
        <v>0</v>
      </c>
    </row>
    <row r="213" spans="1:16" ht="16.5" customHeight="1">
      <c r="A213" s="50" t="s">
        <v>1230</v>
      </c>
      <c r="B213" s="50" t="s">
        <v>1231</v>
      </c>
      <c r="C213" s="50" t="s">
        <v>1232</v>
      </c>
      <c r="D213" s="50" t="s">
        <v>1077</v>
      </c>
      <c r="E213" s="50">
        <v>102908</v>
      </c>
      <c r="F213" s="50" t="s">
        <v>1166</v>
      </c>
      <c r="G213" s="50" t="s">
        <v>1167</v>
      </c>
      <c r="H213" s="50" t="s">
        <v>1168</v>
      </c>
      <c r="I213" s="51" t="s">
        <v>1450</v>
      </c>
      <c r="J213" s="51" t="s">
        <v>1465</v>
      </c>
      <c r="K213" s="51" t="s">
        <v>1466</v>
      </c>
      <c r="L213" s="52">
        <v>102</v>
      </c>
      <c r="M213" s="52">
        <f t="shared" si="6"/>
        <v>102</v>
      </c>
      <c r="N213" s="52">
        <v>21.1</v>
      </c>
      <c r="O213" s="52">
        <f t="shared" si="7"/>
        <v>21.3</v>
      </c>
      <c r="P213" s="50">
        <v>0</v>
      </c>
    </row>
    <row r="214" spans="1:16" ht="16.5" customHeight="1">
      <c r="A214" s="50" t="s">
        <v>1230</v>
      </c>
      <c r="B214" s="50" t="s">
        <v>1231</v>
      </c>
      <c r="C214" s="50" t="s">
        <v>1232</v>
      </c>
      <c r="D214" s="50" t="s">
        <v>1077</v>
      </c>
      <c r="E214" s="50">
        <v>102908</v>
      </c>
      <c r="F214" s="50" t="s">
        <v>1166</v>
      </c>
      <c r="G214" s="50" t="s">
        <v>1167</v>
      </c>
      <c r="H214" s="50" t="s">
        <v>1168</v>
      </c>
      <c r="I214" s="51" t="s">
        <v>1450</v>
      </c>
      <c r="J214" s="51" t="s">
        <v>1467</v>
      </c>
      <c r="K214" s="51" t="s">
        <v>1468</v>
      </c>
      <c r="L214" s="52">
        <v>103</v>
      </c>
      <c r="M214" s="52">
        <f t="shared" si="6"/>
        <v>103</v>
      </c>
      <c r="N214" s="52">
        <v>21.3</v>
      </c>
      <c r="O214" s="52">
        <f t="shared" si="7"/>
        <v>21.5</v>
      </c>
      <c r="P214" s="50">
        <v>0</v>
      </c>
    </row>
    <row r="215" spans="1:16" ht="16.5" customHeight="1">
      <c r="A215" s="50" t="s">
        <v>1230</v>
      </c>
      <c r="B215" s="50" t="s">
        <v>1231</v>
      </c>
      <c r="C215" s="50" t="s">
        <v>1232</v>
      </c>
      <c r="D215" s="50" t="s">
        <v>1077</v>
      </c>
      <c r="E215" s="50">
        <v>102908</v>
      </c>
      <c r="F215" s="50" t="s">
        <v>1166</v>
      </c>
      <c r="G215" s="50" t="s">
        <v>1167</v>
      </c>
      <c r="H215" s="50" t="s">
        <v>1168</v>
      </c>
      <c r="I215" s="51" t="s">
        <v>1450</v>
      </c>
      <c r="J215" s="51" t="s">
        <v>1469</v>
      </c>
      <c r="K215" s="51" t="s">
        <v>1470</v>
      </c>
      <c r="L215" s="52">
        <v>102</v>
      </c>
      <c r="M215" s="52">
        <f t="shared" si="6"/>
        <v>102</v>
      </c>
      <c r="N215" s="52">
        <v>21.2</v>
      </c>
      <c r="O215" s="52">
        <f t="shared" si="7"/>
        <v>21.4</v>
      </c>
      <c r="P215" s="50">
        <v>0</v>
      </c>
    </row>
    <row r="216" spans="1:16" ht="16.5" customHeight="1">
      <c r="A216" s="50" t="s">
        <v>1230</v>
      </c>
      <c r="B216" s="50" t="s">
        <v>1231</v>
      </c>
      <c r="C216" s="50" t="s">
        <v>1232</v>
      </c>
      <c r="D216" s="50" t="s">
        <v>1077</v>
      </c>
      <c r="E216" s="50">
        <v>102908</v>
      </c>
      <c r="F216" s="50" t="s">
        <v>1166</v>
      </c>
      <c r="G216" s="50" t="s">
        <v>1167</v>
      </c>
      <c r="H216" s="50" t="s">
        <v>1168</v>
      </c>
      <c r="I216" s="51" t="s">
        <v>1450</v>
      </c>
      <c r="J216" s="51" t="s">
        <v>1471</v>
      </c>
      <c r="K216" s="51" t="s">
        <v>1472</v>
      </c>
      <c r="L216" s="52">
        <v>102</v>
      </c>
      <c r="M216" s="52">
        <f t="shared" si="6"/>
        <v>102</v>
      </c>
      <c r="N216" s="52">
        <v>21.1</v>
      </c>
      <c r="O216" s="52">
        <f t="shared" si="7"/>
        <v>21.3</v>
      </c>
      <c r="P216" s="50">
        <v>0</v>
      </c>
    </row>
    <row r="217" spans="1:16" ht="16.5" customHeight="1">
      <c r="A217" s="50" t="s">
        <v>1230</v>
      </c>
      <c r="B217" s="50" t="s">
        <v>1231</v>
      </c>
      <c r="C217" s="50" t="s">
        <v>1232</v>
      </c>
      <c r="D217" s="50" t="s">
        <v>1077</v>
      </c>
      <c r="E217" s="50">
        <v>102908</v>
      </c>
      <c r="F217" s="50" t="s">
        <v>1166</v>
      </c>
      <c r="G217" s="50" t="s">
        <v>1167</v>
      </c>
      <c r="H217" s="50" t="s">
        <v>1168</v>
      </c>
      <c r="I217" s="51" t="s">
        <v>1450</v>
      </c>
      <c r="J217" s="51" t="s">
        <v>1473</v>
      </c>
      <c r="K217" s="51" t="s">
        <v>1474</v>
      </c>
      <c r="L217" s="52">
        <v>101</v>
      </c>
      <c r="M217" s="52">
        <f t="shared" si="6"/>
        <v>101</v>
      </c>
      <c r="N217" s="52">
        <v>21</v>
      </c>
      <c r="O217" s="52">
        <f t="shared" si="7"/>
        <v>21.2</v>
      </c>
      <c r="P217" s="50">
        <v>0</v>
      </c>
    </row>
    <row r="218" spans="1:16" ht="16.5" customHeight="1">
      <c r="A218" s="50" t="s">
        <v>1230</v>
      </c>
      <c r="B218" s="50" t="s">
        <v>1231</v>
      </c>
      <c r="C218" s="50" t="s">
        <v>1232</v>
      </c>
      <c r="D218" s="50" t="s">
        <v>1077</v>
      </c>
      <c r="E218" s="50">
        <v>102908</v>
      </c>
      <c r="F218" s="50" t="s">
        <v>1166</v>
      </c>
      <c r="G218" s="50" t="s">
        <v>1167</v>
      </c>
      <c r="H218" s="50" t="s">
        <v>1168</v>
      </c>
      <c r="I218" s="51" t="s">
        <v>1450</v>
      </c>
      <c r="J218" s="51" t="s">
        <v>1475</v>
      </c>
      <c r="K218" s="51" t="s">
        <v>1476</v>
      </c>
      <c r="L218" s="52">
        <v>105</v>
      </c>
      <c r="M218" s="52">
        <f t="shared" si="6"/>
        <v>105</v>
      </c>
      <c r="N218" s="52">
        <v>21.8</v>
      </c>
      <c r="O218" s="52">
        <f t="shared" si="7"/>
        <v>22</v>
      </c>
      <c r="P218" s="50">
        <v>0</v>
      </c>
    </row>
    <row r="219" spans="1:16" ht="16.5" customHeight="1">
      <c r="A219" s="50" t="s">
        <v>1230</v>
      </c>
      <c r="B219" s="50" t="s">
        <v>1231</v>
      </c>
      <c r="C219" s="50" t="s">
        <v>1232</v>
      </c>
      <c r="D219" s="50" t="s">
        <v>1077</v>
      </c>
      <c r="E219" s="50">
        <v>102908</v>
      </c>
      <c r="F219" s="50" t="s">
        <v>1166</v>
      </c>
      <c r="G219" s="50" t="s">
        <v>1167</v>
      </c>
      <c r="H219" s="50" t="s">
        <v>1168</v>
      </c>
      <c r="I219" s="51" t="s">
        <v>1450</v>
      </c>
      <c r="J219" s="51" t="s">
        <v>1477</v>
      </c>
      <c r="K219" s="51" t="s">
        <v>1478</v>
      </c>
      <c r="L219" s="52">
        <v>102</v>
      </c>
      <c r="M219" s="52">
        <f t="shared" si="6"/>
        <v>102</v>
      </c>
      <c r="N219" s="52">
        <v>21.1</v>
      </c>
      <c r="O219" s="52">
        <f t="shared" si="7"/>
        <v>21.3</v>
      </c>
      <c r="P219" s="50">
        <v>0</v>
      </c>
    </row>
    <row r="220" spans="1:16" ht="16.5" customHeight="1">
      <c r="A220" s="50" t="s">
        <v>1230</v>
      </c>
      <c r="B220" s="50" t="s">
        <v>1231</v>
      </c>
      <c r="C220" s="50" t="s">
        <v>1232</v>
      </c>
      <c r="D220" s="50" t="s">
        <v>1077</v>
      </c>
      <c r="E220" s="50">
        <v>102908</v>
      </c>
      <c r="F220" s="50" t="s">
        <v>1166</v>
      </c>
      <c r="G220" s="50" t="s">
        <v>1167</v>
      </c>
      <c r="H220" s="50" t="s">
        <v>1168</v>
      </c>
      <c r="I220" s="51" t="s">
        <v>1450</v>
      </c>
      <c r="J220" s="51" t="s">
        <v>1479</v>
      </c>
      <c r="K220" s="51" t="s">
        <v>1480</v>
      </c>
      <c r="L220" s="52">
        <v>98</v>
      </c>
      <c r="M220" s="52">
        <f t="shared" si="6"/>
        <v>98</v>
      </c>
      <c r="N220" s="52">
        <v>20.2</v>
      </c>
      <c r="O220" s="52">
        <f t="shared" si="7"/>
        <v>20.399999999999999</v>
      </c>
      <c r="P220" s="50">
        <v>0</v>
      </c>
    </row>
    <row r="221" spans="1:16" ht="16.5" customHeight="1">
      <c r="A221" s="50" t="s">
        <v>1230</v>
      </c>
      <c r="B221" s="50" t="s">
        <v>1231</v>
      </c>
      <c r="C221" s="50" t="s">
        <v>1232</v>
      </c>
      <c r="D221" s="50" t="s">
        <v>1077</v>
      </c>
      <c r="E221" s="50">
        <v>102908</v>
      </c>
      <c r="F221" s="50" t="s">
        <v>1166</v>
      </c>
      <c r="G221" s="50" t="s">
        <v>1167</v>
      </c>
      <c r="H221" s="50" t="s">
        <v>1168</v>
      </c>
      <c r="I221" s="51" t="s">
        <v>1450</v>
      </c>
      <c r="J221" s="51" t="s">
        <v>1481</v>
      </c>
      <c r="K221" s="51" t="s">
        <v>1482</v>
      </c>
      <c r="L221" s="52">
        <v>96</v>
      </c>
      <c r="M221" s="52">
        <f t="shared" si="6"/>
        <v>96</v>
      </c>
      <c r="N221" s="52">
        <v>19.899999999999999</v>
      </c>
      <c r="O221" s="52">
        <f t="shared" si="7"/>
        <v>20.099999999999998</v>
      </c>
      <c r="P221" s="50">
        <v>0</v>
      </c>
    </row>
    <row r="222" spans="1:16" ht="16.5" customHeight="1">
      <c r="A222" s="50" t="s">
        <v>1230</v>
      </c>
      <c r="B222" s="50" t="s">
        <v>1231</v>
      </c>
      <c r="C222" s="50" t="s">
        <v>1232</v>
      </c>
      <c r="D222" s="50" t="s">
        <v>1077</v>
      </c>
      <c r="E222" s="50">
        <v>102908</v>
      </c>
      <c r="F222" s="50" t="s">
        <v>1166</v>
      </c>
      <c r="G222" s="50" t="s">
        <v>1167</v>
      </c>
      <c r="H222" s="50" t="s">
        <v>1168</v>
      </c>
      <c r="I222" s="51" t="s">
        <v>1483</v>
      </c>
      <c r="J222" s="51" t="s">
        <v>1484</v>
      </c>
      <c r="K222" s="51" t="s">
        <v>1485</v>
      </c>
      <c r="L222" s="52">
        <v>95</v>
      </c>
      <c r="M222" s="52">
        <f t="shared" si="6"/>
        <v>95</v>
      </c>
      <c r="N222" s="52">
        <v>19.600000000000001</v>
      </c>
      <c r="O222" s="52">
        <f t="shared" si="7"/>
        <v>19.8</v>
      </c>
      <c r="P222" s="50">
        <v>0</v>
      </c>
    </row>
    <row r="223" spans="1:16" ht="16.5" customHeight="1">
      <c r="A223" s="50" t="s">
        <v>1230</v>
      </c>
      <c r="B223" s="50" t="s">
        <v>1231</v>
      </c>
      <c r="C223" s="50" t="s">
        <v>1232</v>
      </c>
      <c r="D223" s="50" t="s">
        <v>1077</v>
      </c>
      <c r="E223" s="50">
        <v>102908</v>
      </c>
      <c r="F223" s="50" t="s">
        <v>1166</v>
      </c>
      <c r="G223" s="50" t="s">
        <v>1167</v>
      </c>
      <c r="H223" s="50" t="s">
        <v>1168</v>
      </c>
      <c r="I223" s="51" t="s">
        <v>1483</v>
      </c>
      <c r="J223" s="51" t="s">
        <v>1486</v>
      </c>
      <c r="K223" s="51" t="s">
        <v>1487</v>
      </c>
      <c r="L223" s="52">
        <v>101</v>
      </c>
      <c r="M223" s="52">
        <f t="shared" si="6"/>
        <v>101</v>
      </c>
      <c r="N223" s="52">
        <v>21</v>
      </c>
      <c r="O223" s="52">
        <f t="shared" si="7"/>
        <v>21.2</v>
      </c>
      <c r="P223" s="50">
        <v>0</v>
      </c>
    </row>
    <row r="224" spans="1:16" ht="16.5" customHeight="1">
      <c r="A224" s="50" t="s">
        <v>1230</v>
      </c>
      <c r="B224" s="50" t="s">
        <v>1231</v>
      </c>
      <c r="C224" s="50" t="s">
        <v>1232</v>
      </c>
      <c r="D224" s="50" t="s">
        <v>1077</v>
      </c>
      <c r="E224" s="50">
        <v>102908</v>
      </c>
      <c r="F224" s="50" t="s">
        <v>1166</v>
      </c>
      <c r="G224" s="50" t="s">
        <v>1167</v>
      </c>
      <c r="H224" s="50" t="s">
        <v>1168</v>
      </c>
      <c r="I224" s="51" t="s">
        <v>1483</v>
      </c>
      <c r="J224" s="51" t="s">
        <v>1488</v>
      </c>
      <c r="K224" s="51" t="s">
        <v>1489</v>
      </c>
      <c r="L224" s="52">
        <v>101</v>
      </c>
      <c r="M224" s="52">
        <f t="shared" si="6"/>
        <v>101</v>
      </c>
      <c r="N224" s="52">
        <v>21</v>
      </c>
      <c r="O224" s="52">
        <f t="shared" si="7"/>
        <v>21.2</v>
      </c>
      <c r="P224" s="50">
        <v>0</v>
      </c>
    </row>
    <row r="225" spans="1:16" ht="16.5" customHeight="1">
      <c r="A225" s="50" t="s">
        <v>1230</v>
      </c>
      <c r="B225" s="50" t="s">
        <v>1231</v>
      </c>
      <c r="C225" s="50" t="s">
        <v>1232</v>
      </c>
      <c r="D225" s="50" t="s">
        <v>1077</v>
      </c>
      <c r="E225" s="50">
        <v>102908</v>
      </c>
      <c r="F225" s="50" t="s">
        <v>1166</v>
      </c>
      <c r="G225" s="50" t="s">
        <v>1167</v>
      </c>
      <c r="H225" s="50" t="s">
        <v>1168</v>
      </c>
      <c r="I225" s="51" t="s">
        <v>1483</v>
      </c>
      <c r="J225" s="51" t="s">
        <v>1490</v>
      </c>
      <c r="K225" s="51" t="s">
        <v>1491</v>
      </c>
      <c r="L225" s="52">
        <v>101</v>
      </c>
      <c r="M225" s="52">
        <f t="shared" si="6"/>
        <v>101</v>
      </c>
      <c r="N225" s="52">
        <v>21</v>
      </c>
      <c r="O225" s="52">
        <f t="shared" si="7"/>
        <v>21.2</v>
      </c>
      <c r="P225" s="50">
        <v>0</v>
      </c>
    </row>
    <row r="226" spans="1:16" ht="16.5" customHeight="1">
      <c r="A226" s="50" t="s">
        <v>1230</v>
      </c>
      <c r="B226" s="50" t="s">
        <v>1231</v>
      </c>
      <c r="C226" s="50" t="s">
        <v>1232</v>
      </c>
      <c r="D226" s="50" t="s">
        <v>1077</v>
      </c>
      <c r="E226" s="50">
        <v>102908</v>
      </c>
      <c r="F226" s="50" t="s">
        <v>1166</v>
      </c>
      <c r="G226" s="50" t="s">
        <v>1167</v>
      </c>
      <c r="H226" s="50" t="s">
        <v>1168</v>
      </c>
      <c r="I226" s="51" t="s">
        <v>1483</v>
      </c>
      <c r="J226" s="51" t="s">
        <v>1492</v>
      </c>
      <c r="K226" s="51" t="s">
        <v>1493</v>
      </c>
      <c r="L226" s="52">
        <v>101</v>
      </c>
      <c r="M226" s="52">
        <f t="shared" si="6"/>
        <v>101</v>
      </c>
      <c r="N226" s="52">
        <v>20.9</v>
      </c>
      <c r="O226" s="52">
        <f t="shared" si="7"/>
        <v>21.099999999999998</v>
      </c>
      <c r="P226" s="50">
        <v>0</v>
      </c>
    </row>
    <row r="227" spans="1:16" ht="16.5" customHeight="1">
      <c r="A227" s="50" t="s">
        <v>1230</v>
      </c>
      <c r="B227" s="50" t="s">
        <v>1231</v>
      </c>
      <c r="C227" s="50" t="s">
        <v>1232</v>
      </c>
      <c r="D227" s="50" t="s">
        <v>1077</v>
      </c>
      <c r="E227" s="50">
        <v>102908</v>
      </c>
      <c r="F227" s="50" t="s">
        <v>1166</v>
      </c>
      <c r="G227" s="50" t="s">
        <v>1167</v>
      </c>
      <c r="H227" s="50" t="s">
        <v>1168</v>
      </c>
      <c r="I227" s="51" t="s">
        <v>1483</v>
      </c>
      <c r="J227" s="51" t="s">
        <v>1494</v>
      </c>
      <c r="K227" s="51" t="s">
        <v>1495</v>
      </c>
      <c r="L227" s="52">
        <v>103</v>
      </c>
      <c r="M227" s="52">
        <f t="shared" si="6"/>
        <v>103</v>
      </c>
      <c r="N227" s="52">
        <v>21.4</v>
      </c>
      <c r="O227" s="52">
        <f t="shared" si="7"/>
        <v>21.599999999999998</v>
      </c>
      <c r="P227" s="50">
        <v>0</v>
      </c>
    </row>
    <row r="228" spans="1:16" ht="16.5" customHeight="1">
      <c r="A228" s="50" t="s">
        <v>1230</v>
      </c>
      <c r="B228" s="50" t="s">
        <v>1231</v>
      </c>
      <c r="C228" s="50" t="s">
        <v>1232</v>
      </c>
      <c r="D228" s="50" t="s">
        <v>1077</v>
      </c>
      <c r="E228" s="50">
        <v>102908</v>
      </c>
      <c r="F228" s="50" t="s">
        <v>1166</v>
      </c>
      <c r="G228" s="50" t="s">
        <v>1167</v>
      </c>
      <c r="H228" s="50" t="s">
        <v>1168</v>
      </c>
      <c r="I228" s="51" t="s">
        <v>1483</v>
      </c>
      <c r="J228" s="51" t="s">
        <v>1496</v>
      </c>
      <c r="K228" s="51" t="s">
        <v>1497</v>
      </c>
      <c r="L228" s="52">
        <v>98</v>
      </c>
      <c r="M228" s="52">
        <f t="shared" si="6"/>
        <v>98</v>
      </c>
      <c r="N228" s="52">
        <v>20.2</v>
      </c>
      <c r="O228" s="52">
        <f t="shared" si="7"/>
        <v>20.399999999999999</v>
      </c>
      <c r="P228" s="50">
        <v>0</v>
      </c>
    </row>
    <row r="229" spans="1:16" ht="16.5" customHeight="1">
      <c r="A229" s="50" t="s">
        <v>1230</v>
      </c>
      <c r="B229" s="50" t="s">
        <v>1231</v>
      </c>
      <c r="C229" s="50" t="s">
        <v>1232</v>
      </c>
      <c r="D229" s="50" t="s">
        <v>1077</v>
      </c>
      <c r="E229" s="50">
        <v>102908</v>
      </c>
      <c r="F229" s="50" t="s">
        <v>1166</v>
      </c>
      <c r="G229" s="50" t="s">
        <v>1167</v>
      </c>
      <c r="H229" s="50" t="s">
        <v>1168</v>
      </c>
      <c r="I229" s="51" t="s">
        <v>1483</v>
      </c>
      <c r="J229" s="51" t="s">
        <v>1498</v>
      </c>
      <c r="K229" s="51" t="s">
        <v>1499</v>
      </c>
      <c r="L229" s="52">
        <v>102</v>
      </c>
      <c r="M229" s="52">
        <f t="shared" si="6"/>
        <v>102</v>
      </c>
      <c r="N229" s="52">
        <v>21.2</v>
      </c>
      <c r="O229" s="52">
        <f t="shared" si="7"/>
        <v>21.4</v>
      </c>
      <c r="P229" s="50">
        <v>0</v>
      </c>
    </row>
    <row r="230" spans="1:16" ht="16.5" customHeight="1">
      <c r="A230" s="50" t="s">
        <v>1230</v>
      </c>
      <c r="B230" s="50" t="s">
        <v>1231</v>
      </c>
      <c r="C230" s="50" t="s">
        <v>1232</v>
      </c>
      <c r="D230" s="50" t="s">
        <v>1077</v>
      </c>
      <c r="E230" s="50">
        <v>102908</v>
      </c>
      <c r="F230" s="50" t="s">
        <v>1166</v>
      </c>
      <c r="G230" s="50" t="s">
        <v>1167</v>
      </c>
      <c r="H230" s="50" t="s">
        <v>1168</v>
      </c>
      <c r="I230" s="51" t="s">
        <v>1483</v>
      </c>
      <c r="J230" s="51" t="s">
        <v>1500</v>
      </c>
      <c r="K230" s="51" t="s">
        <v>1501</v>
      </c>
      <c r="L230" s="52">
        <v>100</v>
      </c>
      <c r="M230" s="52">
        <f t="shared" si="6"/>
        <v>100</v>
      </c>
      <c r="N230" s="52">
        <v>20.8</v>
      </c>
      <c r="O230" s="52">
        <f t="shared" si="7"/>
        <v>21</v>
      </c>
      <c r="P230" s="50">
        <v>0</v>
      </c>
    </row>
    <row r="231" spans="1:16" ht="16.5" customHeight="1">
      <c r="A231" s="50" t="s">
        <v>1230</v>
      </c>
      <c r="B231" s="50" t="s">
        <v>1231</v>
      </c>
      <c r="C231" s="50" t="s">
        <v>1232</v>
      </c>
      <c r="D231" s="50" t="s">
        <v>1077</v>
      </c>
      <c r="E231" s="50">
        <v>102908</v>
      </c>
      <c r="F231" s="50" t="s">
        <v>1166</v>
      </c>
      <c r="G231" s="50" t="s">
        <v>1167</v>
      </c>
      <c r="H231" s="50" t="s">
        <v>1168</v>
      </c>
      <c r="I231" s="51" t="s">
        <v>1483</v>
      </c>
      <c r="J231" s="51" t="s">
        <v>1502</v>
      </c>
      <c r="K231" s="51" t="s">
        <v>1503</v>
      </c>
      <c r="L231" s="52">
        <v>96</v>
      </c>
      <c r="M231" s="52">
        <f t="shared" si="6"/>
        <v>96</v>
      </c>
      <c r="N231" s="52">
        <v>19.899999999999999</v>
      </c>
      <c r="O231" s="52">
        <f t="shared" si="7"/>
        <v>20.099999999999998</v>
      </c>
      <c r="P231" s="50">
        <v>0</v>
      </c>
    </row>
    <row r="232" spans="1:16" ht="16.5" customHeight="1">
      <c r="A232" s="50" t="s">
        <v>1230</v>
      </c>
      <c r="B232" s="50" t="s">
        <v>1231</v>
      </c>
      <c r="C232" s="50" t="s">
        <v>1232</v>
      </c>
      <c r="D232" s="50" t="s">
        <v>1077</v>
      </c>
      <c r="E232" s="50">
        <v>102908</v>
      </c>
      <c r="F232" s="50" t="s">
        <v>1166</v>
      </c>
      <c r="G232" s="50" t="s">
        <v>1167</v>
      </c>
      <c r="H232" s="50" t="s">
        <v>1168</v>
      </c>
      <c r="I232" s="51" t="s">
        <v>1483</v>
      </c>
      <c r="J232" s="51" t="s">
        <v>1504</v>
      </c>
      <c r="K232" s="51" t="s">
        <v>1505</v>
      </c>
      <c r="L232" s="52">
        <v>59</v>
      </c>
      <c r="M232" s="52">
        <f t="shared" si="6"/>
        <v>59</v>
      </c>
      <c r="N232" s="52">
        <v>12.1</v>
      </c>
      <c r="O232" s="52">
        <f t="shared" si="7"/>
        <v>12.299999999999999</v>
      </c>
      <c r="P232" s="50">
        <v>0</v>
      </c>
    </row>
    <row r="233" spans="1:16" ht="16.5" customHeight="1">
      <c r="A233" s="50" t="s">
        <v>1230</v>
      </c>
      <c r="B233" s="50" t="s">
        <v>1231</v>
      </c>
      <c r="C233" s="50" t="s">
        <v>1232</v>
      </c>
      <c r="D233" s="50" t="s">
        <v>1077</v>
      </c>
      <c r="E233" s="50">
        <v>102908</v>
      </c>
      <c r="F233" s="50" t="s">
        <v>1166</v>
      </c>
      <c r="G233" s="50" t="s">
        <v>1167</v>
      </c>
      <c r="H233" s="50" t="s">
        <v>1168</v>
      </c>
      <c r="I233" s="51" t="s">
        <v>1483</v>
      </c>
      <c r="J233" s="51" t="s">
        <v>1506</v>
      </c>
      <c r="K233" s="51" t="s">
        <v>1507</v>
      </c>
      <c r="L233" s="52">
        <v>99</v>
      </c>
      <c r="M233" s="52">
        <f t="shared" si="6"/>
        <v>99</v>
      </c>
      <c r="N233" s="52">
        <v>20.5</v>
      </c>
      <c r="O233" s="52">
        <f t="shared" si="7"/>
        <v>20.7</v>
      </c>
      <c r="P233" s="50">
        <v>0</v>
      </c>
    </row>
    <row r="234" spans="1:16" ht="16.5" customHeight="1">
      <c r="A234" s="50" t="s">
        <v>1508</v>
      </c>
      <c r="B234" s="50" t="s">
        <v>1509</v>
      </c>
      <c r="C234" s="50" t="s">
        <v>1510</v>
      </c>
      <c r="D234" s="50" t="s">
        <v>1511</v>
      </c>
      <c r="E234" s="50">
        <v>74418</v>
      </c>
      <c r="F234" s="50" t="s">
        <v>1512</v>
      </c>
      <c r="G234" s="50" t="s">
        <v>1513</v>
      </c>
      <c r="H234" s="50" t="s">
        <v>1514</v>
      </c>
      <c r="I234" s="51" t="s">
        <v>1515</v>
      </c>
      <c r="J234" s="51" t="s">
        <v>1516</v>
      </c>
      <c r="K234" s="51" t="s">
        <v>1083</v>
      </c>
      <c r="L234" s="52">
        <v>82</v>
      </c>
      <c r="M234" s="52">
        <f t="shared" si="6"/>
        <v>82</v>
      </c>
      <c r="N234" s="52">
        <v>21.4</v>
      </c>
      <c r="O234" s="52">
        <f t="shared" si="7"/>
        <v>21.599999999999998</v>
      </c>
      <c r="P234" s="50">
        <v>0</v>
      </c>
    </row>
    <row r="235" spans="1:16" ht="16.5" customHeight="1">
      <c r="A235" s="50" t="s">
        <v>1508</v>
      </c>
      <c r="B235" s="50" t="s">
        <v>1509</v>
      </c>
      <c r="C235" s="50" t="s">
        <v>1510</v>
      </c>
      <c r="D235" s="50" t="s">
        <v>1511</v>
      </c>
      <c r="E235" s="50">
        <v>74418</v>
      </c>
      <c r="F235" s="50" t="s">
        <v>1512</v>
      </c>
      <c r="G235" s="50" t="s">
        <v>1513</v>
      </c>
      <c r="H235" s="50" t="s">
        <v>1514</v>
      </c>
      <c r="I235" s="51" t="s">
        <v>1515</v>
      </c>
      <c r="J235" s="51" t="s">
        <v>1517</v>
      </c>
      <c r="K235" s="51" t="s">
        <v>1085</v>
      </c>
      <c r="L235" s="52">
        <v>81</v>
      </c>
      <c r="M235" s="52">
        <f t="shared" si="6"/>
        <v>81</v>
      </c>
      <c r="N235" s="52">
        <v>21.1</v>
      </c>
      <c r="O235" s="52">
        <f t="shared" si="7"/>
        <v>21.3</v>
      </c>
      <c r="P235" s="50">
        <v>0</v>
      </c>
    </row>
    <row r="236" spans="1:16" ht="16.5" customHeight="1">
      <c r="A236" s="50" t="s">
        <v>1508</v>
      </c>
      <c r="B236" s="50" t="s">
        <v>1509</v>
      </c>
      <c r="C236" s="50" t="s">
        <v>1510</v>
      </c>
      <c r="D236" s="50" t="s">
        <v>1511</v>
      </c>
      <c r="E236" s="50">
        <v>74418</v>
      </c>
      <c r="F236" s="50" t="s">
        <v>1512</v>
      </c>
      <c r="G236" s="50" t="s">
        <v>1513</v>
      </c>
      <c r="H236" s="50" t="s">
        <v>1514</v>
      </c>
      <c r="I236" s="51" t="s">
        <v>1515</v>
      </c>
      <c r="J236" s="51" t="s">
        <v>1518</v>
      </c>
      <c r="K236" s="51" t="s">
        <v>1087</v>
      </c>
      <c r="L236" s="52">
        <v>83</v>
      </c>
      <c r="M236" s="52">
        <f t="shared" si="6"/>
        <v>83</v>
      </c>
      <c r="N236" s="52">
        <v>21.5</v>
      </c>
      <c r="O236" s="52">
        <f t="shared" si="7"/>
        <v>21.7</v>
      </c>
      <c r="P236" s="50">
        <v>0</v>
      </c>
    </row>
    <row r="237" spans="1:16" ht="16.5" customHeight="1">
      <c r="A237" s="50" t="s">
        <v>1508</v>
      </c>
      <c r="B237" s="50" t="s">
        <v>1509</v>
      </c>
      <c r="C237" s="50" t="s">
        <v>1510</v>
      </c>
      <c r="D237" s="50" t="s">
        <v>1511</v>
      </c>
      <c r="E237" s="50">
        <v>74418</v>
      </c>
      <c r="F237" s="50" t="s">
        <v>1512</v>
      </c>
      <c r="G237" s="50" t="s">
        <v>1513</v>
      </c>
      <c r="H237" s="50" t="s">
        <v>1514</v>
      </c>
      <c r="I237" s="51" t="s">
        <v>1515</v>
      </c>
      <c r="J237" s="51" t="s">
        <v>1519</v>
      </c>
      <c r="K237" s="51" t="s">
        <v>1089</v>
      </c>
      <c r="L237" s="52">
        <v>83</v>
      </c>
      <c r="M237" s="52">
        <f t="shared" si="6"/>
        <v>83</v>
      </c>
      <c r="N237" s="52">
        <v>21.5</v>
      </c>
      <c r="O237" s="52">
        <f t="shared" si="7"/>
        <v>21.7</v>
      </c>
      <c r="P237" s="50">
        <v>0</v>
      </c>
    </row>
    <row r="238" spans="1:16" ht="16.5" customHeight="1">
      <c r="A238" s="50" t="s">
        <v>1508</v>
      </c>
      <c r="B238" s="50" t="s">
        <v>1509</v>
      </c>
      <c r="C238" s="50" t="s">
        <v>1510</v>
      </c>
      <c r="D238" s="50" t="s">
        <v>1511</v>
      </c>
      <c r="E238" s="50">
        <v>74418</v>
      </c>
      <c r="F238" s="50" t="s">
        <v>1512</v>
      </c>
      <c r="G238" s="50" t="s">
        <v>1513</v>
      </c>
      <c r="H238" s="50" t="s">
        <v>1514</v>
      </c>
      <c r="I238" s="51" t="s">
        <v>1515</v>
      </c>
      <c r="J238" s="51" t="s">
        <v>1520</v>
      </c>
      <c r="K238" s="51" t="s">
        <v>1092</v>
      </c>
      <c r="L238" s="52">
        <v>83</v>
      </c>
      <c r="M238" s="52">
        <f t="shared" si="6"/>
        <v>83</v>
      </c>
      <c r="N238" s="52">
        <v>21.5</v>
      </c>
      <c r="O238" s="52">
        <f t="shared" si="7"/>
        <v>21.7</v>
      </c>
      <c r="P238" s="50">
        <v>0</v>
      </c>
    </row>
    <row r="239" spans="1:16" ht="16.5" customHeight="1">
      <c r="A239" s="50" t="s">
        <v>1508</v>
      </c>
      <c r="B239" s="50" t="s">
        <v>1509</v>
      </c>
      <c r="C239" s="50" t="s">
        <v>1510</v>
      </c>
      <c r="D239" s="50" t="s">
        <v>1511</v>
      </c>
      <c r="E239" s="50">
        <v>74418</v>
      </c>
      <c r="F239" s="50" t="s">
        <v>1512</v>
      </c>
      <c r="G239" s="50" t="s">
        <v>1513</v>
      </c>
      <c r="H239" s="50" t="s">
        <v>1514</v>
      </c>
      <c r="I239" s="51" t="s">
        <v>1515</v>
      </c>
      <c r="J239" s="51" t="s">
        <v>1521</v>
      </c>
      <c r="K239" s="51" t="s">
        <v>1094</v>
      </c>
      <c r="L239" s="52">
        <v>80</v>
      </c>
      <c r="M239" s="52">
        <f t="shared" si="6"/>
        <v>83</v>
      </c>
      <c r="N239" s="52">
        <v>21.5</v>
      </c>
      <c r="O239" s="52">
        <f t="shared" si="7"/>
        <v>21.7</v>
      </c>
      <c r="P239" s="50">
        <v>3</v>
      </c>
    </row>
    <row r="240" spans="1:16" ht="16.5" customHeight="1">
      <c r="A240" s="50" t="s">
        <v>1508</v>
      </c>
      <c r="B240" s="50" t="s">
        <v>1509</v>
      </c>
      <c r="C240" s="50" t="s">
        <v>1510</v>
      </c>
      <c r="D240" s="50" t="s">
        <v>1511</v>
      </c>
      <c r="E240" s="50">
        <v>74418</v>
      </c>
      <c r="F240" s="50" t="s">
        <v>1512</v>
      </c>
      <c r="G240" s="50" t="s">
        <v>1513</v>
      </c>
      <c r="H240" s="50" t="s">
        <v>1514</v>
      </c>
      <c r="I240" s="51" t="s">
        <v>1515</v>
      </c>
      <c r="J240" s="51" t="s">
        <v>1522</v>
      </c>
      <c r="K240" s="51" t="s">
        <v>1096</v>
      </c>
      <c r="L240" s="52">
        <v>83</v>
      </c>
      <c r="M240" s="52">
        <f t="shared" si="6"/>
        <v>83</v>
      </c>
      <c r="N240" s="52">
        <v>21.5</v>
      </c>
      <c r="O240" s="52">
        <f t="shared" si="7"/>
        <v>21.7</v>
      </c>
      <c r="P240" s="50">
        <v>0</v>
      </c>
    </row>
    <row r="241" spans="1:16" ht="16.5" customHeight="1">
      <c r="A241" s="50" t="s">
        <v>1508</v>
      </c>
      <c r="B241" s="50" t="s">
        <v>1509</v>
      </c>
      <c r="C241" s="50" t="s">
        <v>1510</v>
      </c>
      <c r="D241" s="50" t="s">
        <v>1511</v>
      </c>
      <c r="E241" s="50">
        <v>74418</v>
      </c>
      <c r="F241" s="50" t="s">
        <v>1512</v>
      </c>
      <c r="G241" s="50" t="s">
        <v>1513</v>
      </c>
      <c r="H241" s="50" t="s">
        <v>1514</v>
      </c>
      <c r="I241" s="51" t="s">
        <v>1515</v>
      </c>
      <c r="J241" s="51" t="s">
        <v>1523</v>
      </c>
      <c r="K241" s="51" t="s">
        <v>1109</v>
      </c>
      <c r="L241" s="52">
        <v>79</v>
      </c>
      <c r="M241" s="52">
        <f t="shared" si="6"/>
        <v>83</v>
      </c>
      <c r="N241" s="52">
        <v>21.5</v>
      </c>
      <c r="O241" s="52">
        <f t="shared" si="7"/>
        <v>21.7</v>
      </c>
      <c r="P241" s="50">
        <v>4</v>
      </c>
    </row>
    <row r="242" spans="1:16" ht="16.5" customHeight="1">
      <c r="A242" s="50" t="s">
        <v>1508</v>
      </c>
      <c r="B242" s="50" t="s">
        <v>1509</v>
      </c>
      <c r="C242" s="50" t="s">
        <v>1510</v>
      </c>
      <c r="D242" s="50" t="s">
        <v>1511</v>
      </c>
      <c r="E242" s="50">
        <v>74418</v>
      </c>
      <c r="F242" s="50" t="s">
        <v>1512</v>
      </c>
      <c r="G242" s="50" t="s">
        <v>1513</v>
      </c>
      <c r="H242" s="50" t="s">
        <v>1514</v>
      </c>
      <c r="I242" s="51" t="s">
        <v>1515</v>
      </c>
      <c r="J242" s="51" t="s">
        <v>1524</v>
      </c>
      <c r="K242" s="51" t="s">
        <v>1111</v>
      </c>
      <c r="L242" s="52">
        <v>75</v>
      </c>
      <c r="M242" s="52">
        <f t="shared" si="6"/>
        <v>82</v>
      </c>
      <c r="N242" s="52">
        <v>21.3</v>
      </c>
      <c r="O242" s="52">
        <f t="shared" si="7"/>
        <v>21.5</v>
      </c>
      <c r="P242" s="50">
        <v>7</v>
      </c>
    </row>
    <row r="243" spans="1:16" ht="16.5" customHeight="1">
      <c r="A243" s="50" t="s">
        <v>1508</v>
      </c>
      <c r="B243" s="50" t="s">
        <v>1509</v>
      </c>
      <c r="C243" s="50" t="s">
        <v>1510</v>
      </c>
      <c r="D243" s="50" t="s">
        <v>1511</v>
      </c>
      <c r="E243" s="50">
        <v>74418</v>
      </c>
      <c r="F243" s="50" t="s">
        <v>1512</v>
      </c>
      <c r="G243" s="50" t="s">
        <v>1513</v>
      </c>
      <c r="H243" s="50" t="s">
        <v>1514</v>
      </c>
      <c r="I243" s="51" t="s">
        <v>1515</v>
      </c>
      <c r="J243" s="51" t="s">
        <v>1525</v>
      </c>
      <c r="K243" s="51" t="s">
        <v>1113</v>
      </c>
      <c r="L243" s="52">
        <v>83</v>
      </c>
      <c r="M243" s="52">
        <f t="shared" si="6"/>
        <v>83</v>
      </c>
      <c r="N243" s="52">
        <v>21.6</v>
      </c>
      <c r="O243" s="52">
        <f t="shared" si="7"/>
        <v>21.8</v>
      </c>
      <c r="P243" s="50">
        <v>0</v>
      </c>
    </row>
    <row r="244" spans="1:16" ht="16.5" customHeight="1">
      <c r="A244" s="50" t="s">
        <v>1508</v>
      </c>
      <c r="B244" s="50" t="s">
        <v>1509</v>
      </c>
      <c r="C244" s="50" t="s">
        <v>1510</v>
      </c>
      <c r="D244" s="50" t="s">
        <v>1511</v>
      </c>
      <c r="E244" s="50">
        <v>74418</v>
      </c>
      <c r="F244" s="50" t="s">
        <v>1512</v>
      </c>
      <c r="G244" s="50" t="s">
        <v>1513</v>
      </c>
      <c r="H244" s="50" t="s">
        <v>1514</v>
      </c>
      <c r="I244" s="51" t="s">
        <v>1515</v>
      </c>
      <c r="J244" s="51" t="s">
        <v>1526</v>
      </c>
      <c r="K244" s="51" t="s">
        <v>1115</v>
      </c>
      <c r="L244" s="52">
        <v>83</v>
      </c>
      <c r="M244" s="52">
        <f t="shared" si="6"/>
        <v>83</v>
      </c>
      <c r="N244" s="52">
        <v>21.5</v>
      </c>
      <c r="O244" s="52">
        <f t="shared" si="7"/>
        <v>21.7</v>
      </c>
      <c r="P244" s="50">
        <v>0</v>
      </c>
    </row>
    <row r="245" spans="1:16" ht="16.5" customHeight="1">
      <c r="A245" s="50" t="s">
        <v>1508</v>
      </c>
      <c r="B245" s="50" t="s">
        <v>1509</v>
      </c>
      <c r="C245" s="50" t="s">
        <v>1510</v>
      </c>
      <c r="D245" s="50" t="s">
        <v>1511</v>
      </c>
      <c r="E245" s="50">
        <v>74418</v>
      </c>
      <c r="F245" s="50" t="s">
        <v>1512</v>
      </c>
      <c r="G245" s="50" t="s">
        <v>1513</v>
      </c>
      <c r="H245" s="50" t="s">
        <v>1514</v>
      </c>
      <c r="I245" s="51" t="s">
        <v>1515</v>
      </c>
      <c r="J245" s="51" t="s">
        <v>1527</v>
      </c>
      <c r="K245" s="51" t="s">
        <v>1117</v>
      </c>
      <c r="L245" s="52">
        <v>80</v>
      </c>
      <c r="M245" s="52">
        <f t="shared" si="6"/>
        <v>83</v>
      </c>
      <c r="N245" s="52">
        <v>21.6</v>
      </c>
      <c r="O245" s="52">
        <f t="shared" si="7"/>
        <v>21.8</v>
      </c>
      <c r="P245" s="50">
        <v>3</v>
      </c>
    </row>
    <row r="246" spans="1:16" ht="16.5" customHeight="1">
      <c r="A246" s="50" t="s">
        <v>1508</v>
      </c>
      <c r="B246" s="50" t="s">
        <v>1509</v>
      </c>
      <c r="C246" s="50" t="s">
        <v>1510</v>
      </c>
      <c r="D246" s="50" t="s">
        <v>1511</v>
      </c>
      <c r="E246" s="50">
        <v>74418</v>
      </c>
      <c r="F246" s="50" t="s">
        <v>1512</v>
      </c>
      <c r="G246" s="50" t="s">
        <v>1513</v>
      </c>
      <c r="H246" s="50" t="s">
        <v>1514</v>
      </c>
      <c r="I246" s="51" t="s">
        <v>1515</v>
      </c>
      <c r="J246" s="51" t="s">
        <v>1528</v>
      </c>
      <c r="K246" s="51" t="s">
        <v>1119</v>
      </c>
      <c r="L246" s="52">
        <v>82</v>
      </c>
      <c r="M246" s="52">
        <f t="shared" si="6"/>
        <v>82</v>
      </c>
      <c r="N246" s="52">
        <v>21.4</v>
      </c>
      <c r="O246" s="52">
        <f t="shared" si="7"/>
        <v>21.599999999999998</v>
      </c>
      <c r="P246" s="50">
        <v>0</v>
      </c>
    </row>
    <row r="247" spans="1:16" ht="16.5" customHeight="1">
      <c r="A247" s="50" t="s">
        <v>1508</v>
      </c>
      <c r="B247" s="50" t="s">
        <v>1509</v>
      </c>
      <c r="C247" s="50" t="s">
        <v>1510</v>
      </c>
      <c r="D247" s="50" t="s">
        <v>1511</v>
      </c>
      <c r="E247" s="50">
        <v>74418</v>
      </c>
      <c r="F247" s="50" t="s">
        <v>1512</v>
      </c>
      <c r="G247" s="50" t="s">
        <v>1513</v>
      </c>
      <c r="H247" s="50" t="s">
        <v>1514</v>
      </c>
      <c r="I247" s="51" t="s">
        <v>1515</v>
      </c>
      <c r="J247" s="51" t="s">
        <v>1529</v>
      </c>
      <c r="K247" s="51" t="s">
        <v>1121</v>
      </c>
      <c r="L247" s="52">
        <v>83</v>
      </c>
      <c r="M247" s="52">
        <f t="shared" si="6"/>
        <v>83</v>
      </c>
      <c r="N247" s="52">
        <v>21.5</v>
      </c>
      <c r="O247" s="52">
        <f t="shared" si="7"/>
        <v>21.7</v>
      </c>
      <c r="P247" s="50">
        <v>0</v>
      </c>
    </row>
    <row r="248" spans="1:16" ht="16.5" customHeight="1">
      <c r="A248" s="50" t="s">
        <v>1508</v>
      </c>
      <c r="B248" s="50" t="s">
        <v>1509</v>
      </c>
      <c r="C248" s="50" t="s">
        <v>1510</v>
      </c>
      <c r="D248" s="50" t="s">
        <v>1511</v>
      </c>
      <c r="E248" s="50">
        <v>74418</v>
      </c>
      <c r="F248" s="50" t="s">
        <v>1512</v>
      </c>
      <c r="G248" s="50" t="s">
        <v>1513</v>
      </c>
      <c r="H248" s="50" t="s">
        <v>1514</v>
      </c>
      <c r="I248" s="51" t="s">
        <v>1515</v>
      </c>
      <c r="J248" s="51" t="s">
        <v>1530</v>
      </c>
      <c r="K248" s="51" t="s">
        <v>1123</v>
      </c>
      <c r="L248" s="52">
        <v>81</v>
      </c>
      <c r="M248" s="52">
        <f t="shared" si="6"/>
        <v>81</v>
      </c>
      <c r="N248" s="52">
        <v>21.1</v>
      </c>
      <c r="O248" s="52">
        <f t="shared" si="7"/>
        <v>21.3</v>
      </c>
      <c r="P248" s="50">
        <v>0</v>
      </c>
    </row>
    <row r="249" spans="1:16" ht="16.5" customHeight="1">
      <c r="A249" s="50" t="s">
        <v>1508</v>
      </c>
      <c r="B249" s="50" t="s">
        <v>1509</v>
      </c>
      <c r="C249" s="50" t="s">
        <v>1510</v>
      </c>
      <c r="D249" s="50" t="s">
        <v>1511</v>
      </c>
      <c r="E249" s="50">
        <v>74418</v>
      </c>
      <c r="F249" s="50" t="s">
        <v>1512</v>
      </c>
      <c r="G249" s="50" t="s">
        <v>1513</v>
      </c>
      <c r="H249" s="50" t="s">
        <v>1514</v>
      </c>
      <c r="I249" s="51" t="s">
        <v>1515</v>
      </c>
      <c r="J249" s="51" t="s">
        <v>1531</v>
      </c>
      <c r="K249" s="51" t="s">
        <v>1125</v>
      </c>
      <c r="L249" s="52">
        <v>79</v>
      </c>
      <c r="M249" s="52">
        <f t="shared" si="6"/>
        <v>82</v>
      </c>
      <c r="N249" s="52">
        <v>21.4</v>
      </c>
      <c r="O249" s="52">
        <f t="shared" si="7"/>
        <v>21.599999999999998</v>
      </c>
      <c r="P249" s="50">
        <v>3</v>
      </c>
    </row>
    <row r="250" spans="1:16" ht="16.5" customHeight="1">
      <c r="A250" s="50" t="s">
        <v>1508</v>
      </c>
      <c r="B250" s="50" t="s">
        <v>1509</v>
      </c>
      <c r="C250" s="50" t="s">
        <v>1510</v>
      </c>
      <c r="D250" s="50" t="s">
        <v>1511</v>
      </c>
      <c r="E250" s="50">
        <v>74418</v>
      </c>
      <c r="F250" s="50" t="s">
        <v>1512</v>
      </c>
      <c r="G250" s="50" t="s">
        <v>1513</v>
      </c>
      <c r="H250" s="50" t="s">
        <v>1514</v>
      </c>
      <c r="I250" s="51" t="s">
        <v>1515</v>
      </c>
      <c r="J250" s="51" t="s">
        <v>1532</v>
      </c>
      <c r="K250" s="51" t="s">
        <v>1137</v>
      </c>
      <c r="L250" s="52">
        <v>83</v>
      </c>
      <c r="M250" s="52">
        <f t="shared" si="6"/>
        <v>83</v>
      </c>
      <c r="N250" s="52">
        <v>21.6</v>
      </c>
      <c r="O250" s="52">
        <f t="shared" si="7"/>
        <v>21.8</v>
      </c>
      <c r="P250" s="50">
        <v>0</v>
      </c>
    </row>
    <row r="251" spans="1:16" ht="16.5" customHeight="1">
      <c r="A251" s="50" t="s">
        <v>1508</v>
      </c>
      <c r="B251" s="50" t="s">
        <v>1509</v>
      </c>
      <c r="C251" s="50" t="s">
        <v>1510</v>
      </c>
      <c r="D251" s="50" t="s">
        <v>1511</v>
      </c>
      <c r="E251" s="50">
        <v>74418</v>
      </c>
      <c r="F251" s="50" t="s">
        <v>1512</v>
      </c>
      <c r="G251" s="50" t="s">
        <v>1513</v>
      </c>
      <c r="H251" s="50" t="s">
        <v>1514</v>
      </c>
      <c r="I251" s="51" t="s">
        <v>1515</v>
      </c>
      <c r="J251" s="51" t="s">
        <v>1533</v>
      </c>
      <c r="K251" s="51" t="s">
        <v>1139</v>
      </c>
      <c r="L251" s="52">
        <v>76</v>
      </c>
      <c r="M251" s="52">
        <f t="shared" si="6"/>
        <v>76</v>
      </c>
      <c r="N251" s="52">
        <v>19.7</v>
      </c>
      <c r="O251" s="52">
        <f t="shared" si="7"/>
        <v>19.899999999999999</v>
      </c>
      <c r="P251" s="50">
        <v>0</v>
      </c>
    </row>
    <row r="252" spans="1:16" ht="16.5" customHeight="1">
      <c r="A252" s="50" t="s">
        <v>1508</v>
      </c>
      <c r="B252" s="50" t="s">
        <v>1509</v>
      </c>
      <c r="C252" s="50" t="s">
        <v>1510</v>
      </c>
      <c r="D252" s="50" t="s">
        <v>1511</v>
      </c>
      <c r="E252" s="50">
        <v>74418</v>
      </c>
      <c r="F252" s="50" t="s">
        <v>1512</v>
      </c>
      <c r="G252" s="50" t="s">
        <v>1513</v>
      </c>
      <c r="H252" s="50" t="s">
        <v>1514</v>
      </c>
      <c r="I252" s="51" t="s">
        <v>1515</v>
      </c>
      <c r="J252" s="51" t="s">
        <v>1534</v>
      </c>
      <c r="K252" s="51" t="s">
        <v>1141</v>
      </c>
      <c r="L252" s="52">
        <v>81</v>
      </c>
      <c r="M252" s="52">
        <f t="shared" si="6"/>
        <v>81</v>
      </c>
      <c r="N252" s="52">
        <v>21.1</v>
      </c>
      <c r="O252" s="52">
        <f t="shared" si="7"/>
        <v>21.3</v>
      </c>
      <c r="P252" s="50">
        <v>0</v>
      </c>
    </row>
    <row r="253" spans="1:16" ht="16.5" customHeight="1">
      <c r="A253" s="50" t="s">
        <v>1508</v>
      </c>
      <c r="B253" s="50" t="s">
        <v>1509</v>
      </c>
      <c r="C253" s="50" t="s">
        <v>1510</v>
      </c>
      <c r="D253" s="50" t="s">
        <v>1511</v>
      </c>
      <c r="E253" s="50">
        <v>74418</v>
      </c>
      <c r="F253" s="50" t="s">
        <v>1269</v>
      </c>
      <c r="G253" s="50" t="s">
        <v>1270</v>
      </c>
      <c r="H253" s="50" t="s">
        <v>1271</v>
      </c>
      <c r="I253" s="51" t="s">
        <v>1535</v>
      </c>
      <c r="J253" s="51" t="s">
        <v>1536</v>
      </c>
      <c r="K253" s="51" t="s">
        <v>1229</v>
      </c>
      <c r="L253" s="52">
        <v>80</v>
      </c>
      <c r="M253" s="52">
        <f t="shared" si="6"/>
        <v>84</v>
      </c>
      <c r="N253" s="52">
        <v>21.8</v>
      </c>
      <c r="O253" s="52">
        <f t="shared" si="7"/>
        <v>22</v>
      </c>
      <c r="P253" s="50">
        <v>4</v>
      </c>
    </row>
    <row r="254" spans="1:16" ht="16.5" customHeight="1">
      <c r="A254" s="50" t="s">
        <v>1508</v>
      </c>
      <c r="B254" s="50" t="s">
        <v>1509</v>
      </c>
      <c r="C254" s="50" t="s">
        <v>1510</v>
      </c>
      <c r="D254" s="50" t="s">
        <v>1511</v>
      </c>
      <c r="E254" s="50">
        <v>74418</v>
      </c>
      <c r="F254" s="50" t="s">
        <v>1269</v>
      </c>
      <c r="G254" s="50" t="s">
        <v>1270</v>
      </c>
      <c r="H254" s="50" t="s">
        <v>1271</v>
      </c>
      <c r="I254" s="51" t="s">
        <v>1535</v>
      </c>
      <c r="J254" s="51" t="s">
        <v>1537</v>
      </c>
      <c r="K254" s="51" t="s">
        <v>1538</v>
      </c>
      <c r="L254" s="52">
        <v>84</v>
      </c>
      <c r="M254" s="52">
        <f t="shared" si="6"/>
        <v>84</v>
      </c>
      <c r="N254" s="52">
        <v>21.9</v>
      </c>
      <c r="O254" s="52">
        <f t="shared" si="7"/>
        <v>22.099999999999998</v>
      </c>
      <c r="P254" s="50">
        <v>0</v>
      </c>
    </row>
    <row r="255" spans="1:16" ht="16.5" customHeight="1">
      <c r="A255" s="50" t="s">
        <v>1508</v>
      </c>
      <c r="B255" s="50" t="s">
        <v>1509</v>
      </c>
      <c r="C255" s="50" t="s">
        <v>1510</v>
      </c>
      <c r="D255" s="50" t="s">
        <v>1511</v>
      </c>
      <c r="E255" s="50">
        <v>74418</v>
      </c>
      <c r="F255" s="50" t="s">
        <v>1269</v>
      </c>
      <c r="G255" s="50" t="s">
        <v>1270</v>
      </c>
      <c r="H255" s="50" t="s">
        <v>1271</v>
      </c>
      <c r="I255" s="51" t="s">
        <v>1535</v>
      </c>
      <c r="J255" s="51" t="s">
        <v>1539</v>
      </c>
      <c r="K255" s="51" t="s">
        <v>1540</v>
      </c>
      <c r="L255" s="52">
        <v>81</v>
      </c>
      <c r="M255" s="52">
        <f t="shared" si="6"/>
        <v>84</v>
      </c>
      <c r="N255" s="52">
        <v>21.9</v>
      </c>
      <c r="O255" s="52">
        <f t="shared" si="7"/>
        <v>22.099999999999998</v>
      </c>
      <c r="P255" s="50">
        <v>3</v>
      </c>
    </row>
    <row r="256" spans="1:16" ht="16.5" customHeight="1">
      <c r="A256" s="50" t="s">
        <v>1508</v>
      </c>
      <c r="B256" s="50" t="s">
        <v>1509</v>
      </c>
      <c r="C256" s="50" t="s">
        <v>1510</v>
      </c>
      <c r="D256" s="50" t="s">
        <v>1511</v>
      </c>
      <c r="E256" s="50">
        <v>74418</v>
      </c>
      <c r="F256" s="50" t="s">
        <v>1269</v>
      </c>
      <c r="G256" s="50" t="s">
        <v>1270</v>
      </c>
      <c r="H256" s="50" t="s">
        <v>1271</v>
      </c>
      <c r="I256" s="51" t="s">
        <v>1535</v>
      </c>
      <c r="J256" s="51" t="s">
        <v>1541</v>
      </c>
      <c r="K256" s="51" t="s">
        <v>1542</v>
      </c>
      <c r="L256" s="52">
        <v>84</v>
      </c>
      <c r="M256" s="52">
        <f t="shared" si="6"/>
        <v>84</v>
      </c>
      <c r="N256" s="52">
        <v>21.8</v>
      </c>
      <c r="O256" s="52">
        <f t="shared" si="7"/>
        <v>22</v>
      </c>
      <c r="P256" s="50">
        <v>0</v>
      </c>
    </row>
    <row r="257" spans="1:16" ht="16.5" customHeight="1">
      <c r="A257" s="50" t="s">
        <v>1508</v>
      </c>
      <c r="B257" s="50" t="s">
        <v>1509</v>
      </c>
      <c r="C257" s="50" t="s">
        <v>1510</v>
      </c>
      <c r="D257" s="50" t="s">
        <v>1511</v>
      </c>
      <c r="E257" s="50">
        <v>74418</v>
      </c>
      <c r="F257" s="50" t="s">
        <v>1269</v>
      </c>
      <c r="G257" s="50" t="s">
        <v>1270</v>
      </c>
      <c r="H257" s="50" t="s">
        <v>1271</v>
      </c>
      <c r="I257" s="51" t="s">
        <v>1543</v>
      </c>
      <c r="J257" s="51" t="s">
        <v>1544</v>
      </c>
      <c r="K257" s="51" t="s">
        <v>1083</v>
      </c>
      <c r="L257" s="52">
        <v>84</v>
      </c>
      <c r="M257" s="52">
        <f t="shared" si="6"/>
        <v>84</v>
      </c>
      <c r="N257" s="52">
        <v>21.9</v>
      </c>
      <c r="O257" s="52">
        <f t="shared" si="7"/>
        <v>22.099999999999998</v>
      </c>
      <c r="P257" s="50">
        <v>0</v>
      </c>
    </row>
    <row r="258" spans="1:16" ht="16.5" customHeight="1">
      <c r="A258" s="50" t="s">
        <v>1508</v>
      </c>
      <c r="B258" s="50" t="s">
        <v>1509</v>
      </c>
      <c r="C258" s="50" t="s">
        <v>1510</v>
      </c>
      <c r="D258" s="50" t="s">
        <v>1511</v>
      </c>
      <c r="E258" s="50">
        <v>74418</v>
      </c>
      <c r="F258" s="50" t="s">
        <v>1269</v>
      </c>
      <c r="G258" s="50" t="s">
        <v>1270</v>
      </c>
      <c r="H258" s="50" t="s">
        <v>1271</v>
      </c>
      <c r="I258" s="51" t="s">
        <v>1543</v>
      </c>
      <c r="J258" s="51" t="s">
        <v>1545</v>
      </c>
      <c r="K258" s="51" t="s">
        <v>1085</v>
      </c>
      <c r="L258" s="52">
        <v>84</v>
      </c>
      <c r="M258" s="52">
        <f t="shared" si="6"/>
        <v>84</v>
      </c>
      <c r="N258" s="52">
        <v>21.8</v>
      </c>
      <c r="O258" s="52">
        <f t="shared" si="7"/>
        <v>22</v>
      </c>
      <c r="P258" s="50">
        <v>0</v>
      </c>
    </row>
    <row r="259" spans="1:16" ht="16.5" customHeight="1">
      <c r="A259" s="50" t="s">
        <v>1508</v>
      </c>
      <c r="B259" s="50" t="s">
        <v>1509</v>
      </c>
      <c r="C259" s="50" t="s">
        <v>1510</v>
      </c>
      <c r="D259" s="50" t="s">
        <v>1511</v>
      </c>
      <c r="E259" s="50">
        <v>74418</v>
      </c>
      <c r="F259" s="50" t="s">
        <v>1269</v>
      </c>
      <c r="G259" s="50" t="s">
        <v>1270</v>
      </c>
      <c r="H259" s="50" t="s">
        <v>1271</v>
      </c>
      <c r="I259" s="51" t="s">
        <v>1543</v>
      </c>
      <c r="J259" s="51" t="s">
        <v>1546</v>
      </c>
      <c r="K259" s="51" t="s">
        <v>1087</v>
      </c>
      <c r="L259" s="52">
        <v>84</v>
      </c>
      <c r="M259" s="52">
        <f t="shared" si="6"/>
        <v>84</v>
      </c>
      <c r="N259" s="52">
        <v>21.8</v>
      </c>
      <c r="O259" s="52">
        <f t="shared" si="7"/>
        <v>22</v>
      </c>
      <c r="P259" s="50">
        <v>0</v>
      </c>
    </row>
    <row r="260" spans="1:16" ht="16.5" customHeight="1">
      <c r="A260" s="50" t="s">
        <v>1508</v>
      </c>
      <c r="B260" s="50" t="s">
        <v>1509</v>
      </c>
      <c r="C260" s="50" t="s">
        <v>1510</v>
      </c>
      <c r="D260" s="50" t="s">
        <v>1511</v>
      </c>
      <c r="E260" s="50">
        <v>74418</v>
      </c>
      <c r="F260" s="50" t="s">
        <v>1269</v>
      </c>
      <c r="G260" s="50" t="s">
        <v>1270</v>
      </c>
      <c r="H260" s="50" t="s">
        <v>1271</v>
      </c>
      <c r="I260" s="51" t="s">
        <v>1543</v>
      </c>
      <c r="J260" s="51" t="s">
        <v>1547</v>
      </c>
      <c r="K260" s="51" t="s">
        <v>1089</v>
      </c>
      <c r="L260" s="52">
        <v>83</v>
      </c>
      <c r="M260" s="52">
        <f t="shared" ref="M260:M323" si="8">L260+P260</f>
        <v>83</v>
      </c>
      <c r="N260" s="52">
        <v>21.7</v>
      </c>
      <c r="O260" s="52">
        <f t="shared" ref="O260:O323" si="9">N260+0.2</f>
        <v>21.9</v>
      </c>
      <c r="P260" s="50">
        <v>0</v>
      </c>
    </row>
    <row r="261" spans="1:16" ht="16.5" customHeight="1">
      <c r="A261" s="50" t="s">
        <v>1508</v>
      </c>
      <c r="B261" s="50" t="s">
        <v>1509</v>
      </c>
      <c r="C261" s="50" t="s">
        <v>1510</v>
      </c>
      <c r="D261" s="50" t="s">
        <v>1511</v>
      </c>
      <c r="E261" s="50">
        <v>74418</v>
      </c>
      <c r="F261" s="50" t="s">
        <v>1269</v>
      </c>
      <c r="G261" s="50" t="s">
        <v>1270</v>
      </c>
      <c r="H261" s="50" t="s">
        <v>1271</v>
      </c>
      <c r="I261" s="51" t="s">
        <v>1543</v>
      </c>
      <c r="J261" s="51" t="s">
        <v>1548</v>
      </c>
      <c r="K261" s="51" t="s">
        <v>1092</v>
      </c>
      <c r="L261" s="52">
        <v>84</v>
      </c>
      <c r="M261" s="52">
        <f t="shared" si="8"/>
        <v>84</v>
      </c>
      <c r="N261" s="52">
        <v>21.9</v>
      </c>
      <c r="O261" s="52">
        <f t="shared" si="9"/>
        <v>22.099999999999998</v>
      </c>
      <c r="P261" s="50">
        <v>0</v>
      </c>
    </row>
    <row r="262" spans="1:16" ht="16.5" customHeight="1">
      <c r="A262" s="50" t="s">
        <v>1508</v>
      </c>
      <c r="B262" s="50" t="s">
        <v>1509</v>
      </c>
      <c r="C262" s="50" t="s">
        <v>1510</v>
      </c>
      <c r="D262" s="50" t="s">
        <v>1511</v>
      </c>
      <c r="E262" s="50">
        <v>74418</v>
      </c>
      <c r="F262" s="50" t="s">
        <v>1269</v>
      </c>
      <c r="G262" s="50" t="s">
        <v>1270</v>
      </c>
      <c r="H262" s="50" t="s">
        <v>1271</v>
      </c>
      <c r="I262" s="51" t="s">
        <v>1543</v>
      </c>
      <c r="J262" s="51" t="s">
        <v>1549</v>
      </c>
      <c r="K262" s="51" t="s">
        <v>1094</v>
      </c>
      <c r="L262" s="52">
        <v>84</v>
      </c>
      <c r="M262" s="52">
        <f t="shared" si="8"/>
        <v>84</v>
      </c>
      <c r="N262" s="52">
        <v>21.9</v>
      </c>
      <c r="O262" s="52">
        <f t="shared" si="9"/>
        <v>22.099999999999998</v>
      </c>
      <c r="P262" s="50">
        <v>0</v>
      </c>
    </row>
    <row r="263" spans="1:16" ht="16.5" customHeight="1">
      <c r="A263" s="50" t="s">
        <v>1508</v>
      </c>
      <c r="B263" s="50" t="s">
        <v>1509</v>
      </c>
      <c r="C263" s="50" t="s">
        <v>1510</v>
      </c>
      <c r="D263" s="50" t="s">
        <v>1511</v>
      </c>
      <c r="E263" s="50">
        <v>74418</v>
      </c>
      <c r="F263" s="50" t="s">
        <v>1269</v>
      </c>
      <c r="G263" s="50" t="s">
        <v>1270</v>
      </c>
      <c r="H263" s="50" t="s">
        <v>1271</v>
      </c>
      <c r="I263" s="51" t="s">
        <v>1543</v>
      </c>
      <c r="J263" s="51" t="s">
        <v>1550</v>
      </c>
      <c r="K263" s="51" t="s">
        <v>1096</v>
      </c>
      <c r="L263" s="52">
        <v>84</v>
      </c>
      <c r="M263" s="52">
        <f t="shared" si="8"/>
        <v>84</v>
      </c>
      <c r="N263" s="52">
        <v>21.9</v>
      </c>
      <c r="O263" s="52">
        <f t="shared" si="9"/>
        <v>22.099999999999998</v>
      </c>
      <c r="P263" s="50">
        <v>0</v>
      </c>
    </row>
    <row r="264" spans="1:16" ht="16.5" customHeight="1">
      <c r="A264" s="50" t="s">
        <v>1508</v>
      </c>
      <c r="B264" s="50" t="s">
        <v>1509</v>
      </c>
      <c r="C264" s="50" t="s">
        <v>1510</v>
      </c>
      <c r="D264" s="50" t="s">
        <v>1511</v>
      </c>
      <c r="E264" s="50">
        <v>74418</v>
      </c>
      <c r="F264" s="50" t="s">
        <v>1269</v>
      </c>
      <c r="G264" s="50" t="s">
        <v>1270</v>
      </c>
      <c r="H264" s="50" t="s">
        <v>1271</v>
      </c>
      <c r="I264" s="51" t="s">
        <v>1543</v>
      </c>
      <c r="J264" s="51" t="s">
        <v>1551</v>
      </c>
      <c r="K264" s="51" t="s">
        <v>1109</v>
      </c>
      <c r="L264" s="52">
        <v>84</v>
      </c>
      <c r="M264" s="52">
        <f t="shared" si="8"/>
        <v>84</v>
      </c>
      <c r="N264" s="52">
        <v>21.9</v>
      </c>
      <c r="O264" s="52">
        <f t="shared" si="9"/>
        <v>22.099999999999998</v>
      </c>
      <c r="P264" s="50">
        <v>0</v>
      </c>
    </row>
    <row r="265" spans="1:16" ht="16.5" customHeight="1">
      <c r="A265" s="50" t="s">
        <v>1508</v>
      </c>
      <c r="B265" s="50" t="s">
        <v>1509</v>
      </c>
      <c r="C265" s="50" t="s">
        <v>1510</v>
      </c>
      <c r="D265" s="50" t="s">
        <v>1511</v>
      </c>
      <c r="E265" s="50">
        <v>74418</v>
      </c>
      <c r="F265" s="50" t="s">
        <v>1269</v>
      </c>
      <c r="G265" s="50" t="s">
        <v>1270</v>
      </c>
      <c r="H265" s="50" t="s">
        <v>1271</v>
      </c>
      <c r="I265" s="51" t="s">
        <v>1543</v>
      </c>
      <c r="J265" s="51" t="s">
        <v>1552</v>
      </c>
      <c r="K265" s="51" t="s">
        <v>1111</v>
      </c>
      <c r="L265" s="52">
        <v>84</v>
      </c>
      <c r="M265" s="52">
        <f t="shared" si="8"/>
        <v>84</v>
      </c>
      <c r="N265" s="52">
        <v>21.8</v>
      </c>
      <c r="O265" s="52">
        <f t="shared" si="9"/>
        <v>22</v>
      </c>
      <c r="P265" s="50">
        <v>0</v>
      </c>
    </row>
    <row r="266" spans="1:16" ht="16.5" customHeight="1">
      <c r="A266" s="50" t="s">
        <v>1508</v>
      </c>
      <c r="B266" s="50" t="s">
        <v>1509</v>
      </c>
      <c r="C266" s="50" t="s">
        <v>1510</v>
      </c>
      <c r="D266" s="50" t="s">
        <v>1511</v>
      </c>
      <c r="E266" s="50">
        <v>74418</v>
      </c>
      <c r="F266" s="50" t="s">
        <v>1269</v>
      </c>
      <c r="G266" s="50" t="s">
        <v>1270</v>
      </c>
      <c r="H266" s="50" t="s">
        <v>1271</v>
      </c>
      <c r="I266" s="51" t="s">
        <v>1543</v>
      </c>
      <c r="J266" s="51" t="s">
        <v>1553</v>
      </c>
      <c r="K266" s="51" t="s">
        <v>1113</v>
      </c>
      <c r="L266" s="52">
        <v>84</v>
      </c>
      <c r="M266" s="52">
        <f t="shared" si="8"/>
        <v>84</v>
      </c>
      <c r="N266" s="52">
        <v>21.8</v>
      </c>
      <c r="O266" s="52">
        <f t="shared" si="9"/>
        <v>22</v>
      </c>
      <c r="P266" s="50">
        <v>0</v>
      </c>
    </row>
    <row r="267" spans="1:16" ht="16.5" customHeight="1">
      <c r="A267" s="50" t="s">
        <v>1508</v>
      </c>
      <c r="B267" s="50" t="s">
        <v>1509</v>
      </c>
      <c r="C267" s="50" t="s">
        <v>1510</v>
      </c>
      <c r="D267" s="50" t="s">
        <v>1511</v>
      </c>
      <c r="E267" s="50">
        <v>74418</v>
      </c>
      <c r="F267" s="50" t="s">
        <v>1269</v>
      </c>
      <c r="G267" s="50" t="s">
        <v>1270</v>
      </c>
      <c r="H267" s="50" t="s">
        <v>1271</v>
      </c>
      <c r="I267" s="51" t="s">
        <v>1543</v>
      </c>
      <c r="J267" s="51" t="s">
        <v>1554</v>
      </c>
      <c r="K267" s="51" t="s">
        <v>1115</v>
      </c>
      <c r="L267" s="52">
        <v>84</v>
      </c>
      <c r="M267" s="52">
        <f t="shared" si="8"/>
        <v>84</v>
      </c>
      <c r="N267" s="52">
        <v>21.8</v>
      </c>
      <c r="O267" s="52">
        <f t="shared" si="9"/>
        <v>22</v>
      </c>
      <c r="P267" s="50">
        <v>0</v>
      </c>
    </row>
    <row r="268" spans="1:16" ht="16.5" customHeight="1">
      <c r="A268" s="50" t="s">
        <v>1508</v>
      </c>
      <c r="B268" s="50" t="s">
        <v>1509</v>
      </c>
      <c r="C268" s="50" t="s">
        <v>1510</v>
      </c>
      <c r="D268" s="50" t="s">
        <v>1511</v>
      </c>
      <c r="E268" s="50">
        <v>74418</v>
      </c>
      <c r="F268" s="50" t="s">
        <v>1269</v>
      </c>
      <c r="G268" s="50" t="s">
        <v>1270</v>
      </c>
      <c r="H268" s="50" t="s">
        <v>1271</v>
      </c>
      <c r="I268" s="51" t="s">
        <v>1543</v>
      </c>
      <c r="J268" s="51" t="s">
        <v>1555</v>
      </c>
      <c r="K268" s="51" t="s">
        <v>1117</v>
      </c>
      <c r="L268" s="52">
        <v>84</v>
      </c>
      <c r="M268" s="52">
        <f t="shared" si="8"/>
        <v>84</v>
      </c>
      <c r="N268" s="52">
        <v>21.9</v>
      </c>
      <c r="O268" s="52">
        <f t="shared" si="9"/>
        <v>22.099999999999998</v>
      </c>
      <c r="P268" s="50">
        <v>0</v>
      </c>
    </row>
    <row r="269" spans="1:16" ht="16.5" customHeight="1">
      <c r="A269" s="50" t="s">
        <v>1508</v>
      </c>
      <c r="B269" s="50" t="s">
        <v>1509</v>
      </c>
      <c r="C269" s="50" t="s">
        <v>1510</v>
      </c>
      <c r="D269" s="50" t="s">
        <v>1511</v>
      </c>
      <c r="E269" s="50">
        <v>74418</v>
      </c>
      <c r="F269" s="50" t="s">
        <v>1269</v>
      </c>
      <c r="G269" s="50" t="s">
        <v>1270</v>
      </c>
      <c r="H269" s="50" t="s">
        <v>1271</v>
      </c>
      <c r="I269" s="51" t="s">
        <v>1543</v>
      </c>
      <c r="J269" s="51" t="s">
        <v>1556</v>
      </c>
      <c r="K269" s="51" t="s">
        <v>1119</v>
      </c>
      <c r="L269" s="52">
        <v>84</v>
      </c>
      <c r="M269" s="52">
        <f t="shared" si="8"/>
        <v>84</v>
      </c>
      <c r="N269" s="52">
        <v>21.9</v>
      </c>
      <c r="O269" s="52">
        <f t="shared" si="9"/>
        <v>22.099999999999998</v>
      </c>
      <c r="P269" s="50">
        <v>0</v>
      </c>
    </row>
    <row r="270" spans="1:16" ht="16.5" customHeight="1">
      <c r="A270" s="50" t="s">
        <v>1508</v>
      </c>
      <c r="B270" s="50" t="s">
        <v>1509</v>
      </c>
      <c r="C270" s="50" t="s">
        <v>1510</v>
      </c>
      <c r="D270" s="50" t="s">
        <v>1511</v>
      </c>
      <c r="E270" s="50">
        <v>74418</v>
      </c>
      <c r="F270" s="50" t="s">
        <v>1269</v>
      </c>
      <c r="G270" s="50" t="s">
        <v>1270</v>
      </c>
      <c r="H270" s="50" t="s">
        <v>1271</v>
      </c>
      <c r="I270" s="51" t="s">
        <v>1543</v>
      </c>
      <c r="J270" s="51" t="s">
        <v>1557</v>
      </c>
      <c r="K270" s="51" t="s">
        <v>1121</v>
      </c>
      <c r="L270" s="52">
        <v>84</v>
      </c>
      <c r="M270" s="52">
        <f t="shared" si="8"/>
        <v>84</v>
      </c>
      <c r="N270" s="52">
        <v>21.9</v>
      </c>
      <c r="O270" s="52">
        <f t="shared" si="9"/>
        <v>22.099999999999998</v>
      </c>
      <c r="P270" s="50">
        <v>0</v>
      </c>
    </row>
    <row r="271" spans="1:16" ht="16.5" customHeight="1">
      <c r="A271" s="50" t="s">
        <v>1508</v>
      </c>
      <c r="B271" s="50" t="s">
        <v>1509</v>
      </c>
      <c r="C271" s="50" t="s">
        <v>1510</v>
      </c>
      <c r="D271" s="50" t="s">
        <v>1511</v>
      </c>
      <c r="E271" s="50">
        <v>74418</v>
      </c>
      <c r="F271" s="50" t="s">
        <v>1269</v>
      </c>
      <c r="G271" s="50" t="s">
        <v>1270</v>
      </c>
      <c r="H271" s="50" t="s">
        <v>1271</v>
      </c>
      <c r="I271" s="51" t="s">
        <v>1543</v>
      </c>
      <c r="J271" s="51" t="s">
        <v>1558</v>
      </c>
      <c r="K271" s="51" t="s">
        <v>1123</v>
      </c>
      <c r="L271" s="52">
        <v>83</v>
      </c>
      <c r="M271" s="52">
        <f t="shared" si="8"/>
        <v>83</v>
      </c>
      <c r="N271" s="52">
        <v>21.6</v>
      </c>
      <c r="O271" s="52">
        <f t="shared" si="9"/>
        <v>21.8</v>
      </c>
      <c r="P271" s="50">
        <v>0</v>
      </c>
    </row>
    <row r="272" spans="1:16" ht="16.5" customHeight="1">
      <c r="A272" s="50" t="s">
        <v>1508</v>
      </c>
      <c r="B272" s="50" t="s">
        <v>1509</v>
      </c>
      <c r="C272" s="50" t="s">
        <v>1510</v>
      </c>
      <c r="D272" s="50" t="s">
        <v>1511</v>
      </c>
      <c r="E272" s="50">
        <v>74418</v>
      </c>
      <c r="F272" s="50" t="s">
        <v>1269</v>
      </c>
      <c r="G272" s="50" t="s">
        <v>1270</v>
      </c>
      <c r="H272" s="50" t="s">
        <v>1271</v>
      </c>
      <c r="I272" s="51" t="s">
        <v>1543</v>
      </c>
      <c r="J272" s="51" t="s">
        <v>1559</v>
      </c>
      <c r="K272" s="51" t="s">
        <v>1125</v>
      </c>
      <c r="L272" s="52">
        <v>83</v>
      </c>
      <c r="M272" s="52">
        <f t="shared" si="8"/>
        <v>83</v>
      </c>
      <c r="N272" s="52">
        <v>21.6</v>
      </c>
      <c r="O272" s="52">
        <f t="shared" si="9"/>
        <v>21.8</v>
      </c>
      <c r="P272" s="50">
        <v>0</v>
      </c>
    </row>
    <row r="273" spans="1:16" ht="16.5" customHeight="1">
      <c r="A273" s="50" t="s">
        <v>1508</v>
      </c>
      <c r="B273" s="50" t="s">
        <v>1509</v>
      </c>
      <c r="C273" s="50" t="s">
        <v>1510</v>
      </c>
      <c r="D273" s="50" t="s">
        <v>1511</v>
      </c>
      <c r="E273" s="50">
        <v>74418</v>
      </c>
      <c r="F273" s="50" t="s">
        <v>1269</v>
      </c>
      <c r="G273" s="50" t="s">
        <v>1270</v>
      </c>
      <c r="H273" s="50" t="s">
        <v>1271</v>
      </c>
      <c r="I273" s="51" t="s">
        <v>1543</v>
      </c>
      <c r="J273" s="51" t="s">
        <v>1560</v>
      </c>
      <c r="K273" s="51" t="s">
        <v>1137</v>
      </c>
      <c r="L273" s="52">
        <v>84</v>
      </c>
      <c r="M273" s="52">
        <f t="shared" si="8"/>
        <v>84</v>
      </c>
      <c r="N273" s="52">
        <v>21.9</v>
      </c>
      <c r="O273" s="52">
        <f t="shared" si="9"/>
        <v>22.099999999999998</v>
      </c>
      <c r="P273" s="50">
        <v>0</v>
      </c>
    </row>
    <row r="274" spans="1:16" ht="16.5" customHeight="1">
      <c r="A274" s="50" t="s">
        <v>1508</v>
      </c>
      <c r="B274" s="50" t="s">
        <v>1509</v>
      </c>
      <c r="C274" s="50" t="s">
        <v>1510</v>
      </c>
      <c r="D274" s="50" t="s">
        <v>1511</v>
      </c>
      <c r="E274" s="50">
        <v>74418</v>
      </c>
      <c r="F274" s="50" t="s">
        <v>1269</v>
      </c>
      <c r="G274" s="50" t="s">
        <v>1270</v>
      </c>
      <c r="H274" s="50" t="s">
        <v>1271</v>
      </c>
      <c r="I274" s="51" t="s">
        <v>1543</v>
      </c>
      <c r="J274" s="51" t="s">
        <v>1561</v>
      </c>
      <c r="K274" s="51" t="s">
        <v>1139</v>
      </c>
      <c r="L274" s="52">
        <v>81</v>
      </c>
      <c r="M274" s="52">
        <f t="shared" si="8"/>
        <v>81</v>
      </c>
      <c r="N274" s="52">
        <v>21</v>
      </c>
      <c r="O274" s="52">
        <f t="shared" si="9"/>
        <v>21.2</v>
      </c>
      <c r="P274" s="50">
        <v>0</v>
      </c>
    </row>
    <row r="275" spans="1:16" ht="16.5" customHeight="1">
      <c r="A275" s="50" t="s">
        <v>1508</v>
      </c>
      <c r="B275" s="50" t="s">
        <v>1509</v>
      </c>
      <c r="C275" s="50" t="s">
        <v>1510</v>
      </c>
      <c r="D275" s="50" t="s">
        <v>1511</v>
      </c>
      <c r="E275" s="50">
        <v>74418</v>
      </c>
      <c r="F275" s="50" t="s">
        <v>1269</v>
      </c>
      <c r="G275" s="50" t="s">
        <v>1270</v>
      </c>
      <c r="H275" s="50" t="s">
        <v>1271</v>
      </c>
      <c r="I275" s="51" t="s">
        <v>1543</v>
      </c>
      <c r="J275" s="51" t="s">
        <v>1562</v>
      </c>
      <c r="K275" s="51" t="s">
        <v>1141</v>
      </c>
      <c r="L275" s="52">
        <v>85</v>
      </c>
      <c r="M275" s="52">
        <f t="shared" si="8"/>
        <v>85</v>
      </c>
      <c r="N275" s="52">
        <v>22</v>
      </c>
      <c r="O275" s="52">
        <f t="shared" si="9"/>
        <v>22.2</v>
      </c>
      <c r="P275" s="50">
        <v>0</v>
      </c>
    </row>
    <row r="276" spans="1:16" ht="16.5" customHeight="1">
      <c r="A276" s="50" t="s">
        <v>1508</v>
      </c>
      <c r="B276" s="50" t="s">
        <v>1509</v>
      </c>
      <c r="C276" s="50" t="s">
        <v>1510</v>
      </c>
      <c r="D276" s="50" t="s">
        <v>1511</v>
      </c>
      <c r="E276" s="50">
        <v>74418</v>
      </c>
      <c r="F276" s="50" t="s">
        <v>1269</v>
      </c>
      <c r="G276" s="50" t="s">
        <v>1270</v>
      </c>
      <c r="H276" s="50" t="s">
        <v>1271</v>
      </c>
      <c r="I276" s="51" t="s">
        <v>1543</v>
      </c>
      <c r="J276" s="51" t="s">
        <v>1563</v>
      </c>
      <c r="K276" s="51" t="s">
        <v>1143</v>
      </c>
      <c r="L276" s="52">
        <v>81</v>
      </c>
      <c r="M276" s="52">
        <f t="shared" si="8"/>
        <v>81</v>
      </c>
      <c r="N276" s="52">
        <v>21</v>
      </c>
      <c r="O276" s="52">
        <f t="shared" si="9"/>
        <v>21.2</v>
      </c>
      <c r="P276" s="50">
        <v>0</v>
      </c>
    </row>
    <row r="277" spans="1:16" ht="16.5" customHeight="1">
      <c r="A277" s="50" t="s">
        <v>1508</v>
      </c>
      <c r="B277" s="50" t="s">
        <v>1509</v>
      </c>
      <c r="C277" s="50" t="s">
        <v>1510</v>
      </c>
      <c r="D277" s="50" t="s">
        <v>1511</v>
      </c>
      <c r="E277" s="50">
        <v>74418</v>
      </c>
      <c r="F277" s="50" t="s">
        <v>1269</v>
      </c>
      <c r="G277" s="50" t="s">
        <v>1270</v>
      </c>
      <c r="H277" s="50" t="s">
        <v>1271</v>
      </c>
      <c r="I277" s="51" t="s">
        <v>1543</v>
      </c>
      <c r="J277" s="51" t="s">
        <v>1564</v>
      </c>
      <c r="K277" s="51" t="s">
        <v>1145</v>
      </c>
      <c r="L277" s="52">
        <v>82</v>
      </c>
      <c r="M277" s="52">
        <f t="shared" si="8"/>
        <v>82</v>
      </c>
      <c r="N277" s="52">
        <v>21.2</v>
      </c>
      <c r="O277" s="52">
        <f t="shared" si="9"/>
        <v>21.4</v>
      </c>
      <c r="P277" s="50">
        <v>0</v>
      </c>
    </row>
    <row r="278" spans="1:16" ht="16.5" customHeight="1">
      <c r="A278" s="50" t="s">
        <v>1508</v>
      </c>
      <c r="B278" s="50" t="s">
        <v>1509</v>
      </c>
      <c r="C278" s="50" t="s">
        <v>1510</v>
      </c>
      <c r="D278" s="50" t="s">
        <v>1511</v>
      </c>
      <c r="E278" s="50">
        <v>74418</v>
      </c>
      <c r="F278" s="50" t="s">
        <v>1269</v>
      </c>
      <c r="G278" s="50" t="s">
        <v>1270</v>
      </c>
      <c r="H278" s="50" t="s">
        <v>1271</v>
      </c>
      <c r="I278" s="51" t="s">
        <v>1543</v>
      </c>
      <c r="J278" s="51" t="s">
        <v>1565</v>
      </c>
      <c r="K278" s="51" t="s">
        <v>1147</v>
      </c>
      <c r="L278" s="52">
        <v>74</v>
      </c>
      <c r="M278" s="52">
        <f t="shared" si="8"/>
        <v>74</v>
      </c>
      <c r="N278" s="52">
        <v>19.2</v>
      </c>
      <c r="O278" s="52">
        <f t="shared" si="9"/>
        <v>19.399999999999999</v>
      </c>
      <c r="P278" s="50">
        <v>0</v>
      </c>
    </row>
    <row r="279" spans="1:16" ht="16.5" customHeight="1">
      <c r="A279" s="50" t="s">
        <v>1508</v>
      </c>
      <c r="B279" s="50" t="s">
        <v>1509</v>
      </c>
      <c r="C279" s="50" t="s">
        <v>1510</v>
      </c>
      <c r="D279" s="50" t="s">
        <v>1511</v>
      </c>
      <c r="E279" s="50">
        <v>74418</v>
      </c>
      <c r="F279" s="50" t="s">
        <v>1269</v>
      </c>
      <c r="G279" s="50" t="s">
        <v>1270</v>
      </c>
      <c r="H279" s="50" t="s">
        <v>1271</v>
      </c>
      <c r="I279" s="51" t="s">
        <v>1543</v>
      </c>
      <c r="J279" s="51" t="s">
        <v>1566</v>
      </c>
      <c r="K279" s="51" t="s">
        <v>1148</v>
      </c>
      <c r="L279" s="52">
        <v>83</v>
      </c>
      <c r="M279" s="52">
        <f t="shared" si="8"/>
        <v>83</v>
      </c>
      <c r="N279" s="52">
        <v>21.6</v>
      </c>
      <c r="O279" s="52">
        <f t="shared" si="9"/>
        <v>21.8</v>
      </c>
      <c r="P279" s="50">
        <v>0</v>
      </c>
    </row>
    <row r="280" spans="1:16" ht="16.5" customHeight="1">
      <c r="A280" s="50" t="s">
        <v>1508</v>
      </c>
      <c r="B280" s="50" t="s">
        <v>1509</v>
      </c>
      <c r="C280" s="50" t="s">
        <v>1510</v>
      </c>
      <c r="D280" s="50" t="s">
        <v>1511</v>
      </c>
      <c r="E280" s="50">
        <v>74418</v>
      </c>
      <c r="F280" s="50" t="s">
        <v>1269</v>
      </c>
      <c r="G280" s="50" t="s">
        <v>1270</v>
      </c>
      <c r="H280" s="50" t="s">
        <v>1271</v>
      </c>
      <c r="I280" s="51" t="s">
        <v>1543</v>
      </c>
      <c r="J280" s="51" t="s">
        <v>1567</v>
      </c>
      <c r="K280" s="51" t="s">
        <v>1194</v>
      </c>
      <c r="L280" s="52">
        <v>83</v>
      </c>
      <c r="M280" s="52">
        <f t="shared" si="8"/>
        <v>83</v>
      </c>
      <c r="N280" s="52">
        <v>21.5</v>
      </c>
      <c r="O280" s="52">
        <f t="shared" si="9"/>
        <v>21.7</v>
      </c>
      <c r="P280" s="50">
        <v>0</v>
      </c>
    </row>
    <row r="281" spans="1:16" ht="16.5" customHeight="1">
      <c r="A281" s="50" t="s">
        <v>1508</v>
      </c>
      <c r="B281" s="50" t="s">
        <v>1509</v>
      </c>
      <c r="C281" s="50" t="s">
        <v>1510</v>
      </c>
      <c r="D281" s="50" t="s">
        <v>1511</v>
      </c>
      <c r="E281" s="50">
        <v>74418</v>
      </c>
      <c r="F281" s="50" t="s">
        <v>1269</v>
      </c>
      <c r="G281" s="50" t="s">
        <v>1270</v>
      </c>
      <c r="H281" s="50" t="s">
        <v>1271</v>
      </c>
      <c r="I281" s="51" t="s">
        <v>1543</v>
      </c>
      <c r="J281" s="51" t="s">
        <v>1568</v>
      </c>
      <c r="K281" s="51" t="s">
        <v>1569</v>
      </c>
      <c r="L281" s="52">
        <v>84</v>
      </c>
      <c r="M281" s="52">
        <f t="shared" si="8"/>
        <v>84</v>
      </c>
      <c r="N281" s="52">
        <v>21.9</v>
      </c>
      <c r="O281" s="52">
        <f t="shared" si="9"/>
        <v>22.099999999999998</v>
      </c>
      <c r="P281" s="50">
        <v>0</v>
      </c>
    </row>
    <row r="282" spans="1:16" ht="16.5" customHeight="1">
      <c r="A282" s="50" t="s">
        <v>1508</v>
      </c>
      <c r="B282" s="50" t="s">
        <v>1509</v>
      </c>
      <c r="C282" s="50" t="s">
        <v>1510</v>
      </c>
      <c r="D282" s="50" t="s">
        <v>1511</v>
      </c>
      <c r="E282" s="50">
        <v>74418</v>
      </c>
      <c r="F282" s="50" t="s">
        <v>1269</v>
      </c>
      <c r="G282" s="50" t="s">
        <v>1270</v>
      </c>
      <c r="H282" s="50" t="s">
        <v>1271</v>
      </c>
      <c r="I282" s="51" t="s">
        <v>1543</v>
      </c>
      <c r="J282" s="51" t="s">
        <v>1570</v>
      </c>
      <c r="K282" s="51" t="s">
        <v>1571</v>
      </c>
      <c r="L282" s="52">
        <v>84</v>
      </c>
      <c r="M282" s="52">
        <f t="shared" si="8"/>
        <v>84</v>
      </c>
      <c r="N282" s="52">
        <v>21.9</v>
      </c>
      <c r="O282" s="52">
        <f t="shared" si="9"/>
        <v>22.099999999999998</v>
      </c>
      <c r="P282" s="50">
        <v>0</v>
      </c>
    </row>
    <row r="283" spans="1:16" ht="16.5" customHeight="1">
      <c r="A283" s="50" t="s">
        <v>1508</v>
      </c>
      <c r="B283" s="50" t="s">
        <v>1509</v>
      </c>
      <c r="C283" s="50" t="s">
        <v>1510</v>
      </c>
      <c r="D283" s="50" t="s">
        <v>1511</v>
      </c>
      <c r="E283" s="50">
        <v>74418</v>
      </c>
      <c r="F283" s="50" t="s">
        <v>1269</v>
      </c>
      <c r="G283" s="50" t="s">
        <v>1270</v>
      </c>
      <c r="H283" s="50" t="s">
        <v>1271</v>
      </c>
      <c r="I283" s="51" t="s">
        <v>1543</v>
      </c>
      <c r="J283" s="51" t="s">
        <v>1572</v>
      </c>
      <c r="K283" s="51" t="s">
        <v>1197</v>
      </c>
      <c r="L283" s="52">
        <v>77</v>
      </c>
      <c r="M283" s="52">
        <f t="shared" si="8"/>
        <v>77</v>
      </c>
      <c r="N283" s="52">
        <v>19.899999999999999</v>
      </c>
      <c r="O283" s="52">
        <f t="shared" si="9"/>
        <v>20.099999999999998</v>
      </c>
      <c r="P283" s="50">
        <v>0</v>
      </c>
    </row>
    <row r="284" spans="1:16" ht="16.5" customHeight="1">
      <c r="A284" s="50" t="s">
        <v>1508</v>
      </c>
      <c r="B284" s="50" t="s">
        <v>1509</v>
      </c>
      <c r="C284" s="50" t="s">
        <v>1510</v>
      </c>
      <c r="D284" s="50" t="s">
        <v>1511</v>
      </c>
      <c r="E284" s="50">
        <v>74418</v>
      </c>
      <c r="F284" s="50" t="s">
        <v>1269</v>
      </c>
      <c r="G284" s="50" t="s">
        <v>1270</v>
      </c>
      <c r="H284" s="50" t="s">
        <v>1271</v>
      </c>
      <c r="I284" s="51" t="s">
        <v>1543</v>
      </c>
      <c r="J284" s="51" t="s">
        <v>1573</v>
      </c>
      <c r="K284" s="51" t="s">
        <v>1199</v>
      </c>
      <c r="L284" s="52">
        <v>83</v>
      </c>
      <c r="M284" s="52">
        <f t="shared" si="8"/>
        <v>83</v>
      </c>
      <c r="N284" s="52">
        <v>21.5</v>
      </c>
      <c r="O284" s="52">
        <f t="shared" si="9"/>
        <v>21.7</v>
      </c>
      <c r="P284" s="50">
        <v>0</v>
      </c>
    </row>
    <row r="285" spans="1:16" ht="16.5" customHeight="1">
      <c r="A285" s="50" t="s">
        <v>1508</v>
      </c>
      <c r="B285" s="50" t="s">
        <v>1509</v>
      </c>
      <c r="C285" s="50" t="s">
        <v>1510</v>
      </c>
      <c r="D285" s="50" t="s">
        <v>1511</v>
      </c>
      <c r="E285" s="50">
        <v>74418</v>
      </c>
      <c r="F285" s="50" t="s">
        <v>1269</v>
      </c>
      <c r="G285" s="50" t="s">
        <v>1270</v>
      </c>
      <c r="H285" s="50" t="s">
        <v>1271</v>
      </c>
      <c r="I285" s="51" t="s">
        <v>1543</v>
      </c>
      <c r="J285" s="51" t="s">
        <v>1574</v>
      </c>
      <c r="K285" s="51" t="s">
        <v>1201</v>
      </c>
      <c r="L285" s="52">
        <v>84</v>
      </c>
      <c r="M285" s="52">
        <f t="shared" si="8"/>
        <v>84</v>
      </c>
      <c r="N285" s="52">
        <v>21.9</v>
      </c>
      <c r="O285" s="52">
        <f t="shared" si="9"/>
        <v>22.099999999999998</v>
      </c>
      <c r="P285" s="50">
        <v>0</v>
      </c>
    </row>
    <row r="286" spans="1:16" ht="16.5" customHeight="1">
      <c r="A286" s="50" t="s">
        <v>1508</v>
      </c>
      <c r="B286" s="50" t="s">
        <v>1509</v>
      </c>
      <c r="C286" s="50" t="s">
        <v>1510</v>
      </c>
      <c r="D286" s="50" t="s">
        <v>1511</v>
      </c>
      <c r="E286" s="50">
        <v>74418</v>
      </c>
      <c r="F286" s="50" t="s">
        <v>1269</v>
      </c>
      <c r="G286" s="50" t="s">
        <v>1270</v>
      </c>
      <c r="H286" s="50" t="s">
        <v>1271</v>
      </c>
      <c r="I286" s="51" t="s">
        <v>1543</v>
      </c>
      <c r="J286" s="51" t="s">
        <v>1575</v>
      </c>
      <c r="K286" s="51" t="s">
        <v>1203</v>
      </c>
      <c r="L286" s="52">
        <v>72</v>
      </c>
      <c r="M286" s="52">
        <f t="shared" si="8"/>
        <v>72</v>
      </c>
      <c r="N286" s="52">
        <v>18.7</v>
      </c>
      <c r="O286" s="52">
        <f t="shared" si="9"/>
        <v>18.899999999999999</v>
      </c>
      <c r="P286" s="50">
        <v>0</v>
      </c>
    </row>
    <row r="287" spans="1:16" ht="16.5" customHeight="1">
      <c r="A287" s="50" t="s">
        <v>1508</v>
      </c>
      <c r="B287" s="50" t="s">
        <v>1509</v>
      </c>
      <c r="C287" s="50" t="s">
        <v>1510</v>
      </c>
      <c r="D287" s="50" t="s">
        <v>1511</v>
      </c>
      <c r="E287" s="50">
        <v>74418</v>
      </c>
      <c r="F287" s="50" t="s">
        <v>1269</v>
      </c>
      <c r="G287" s="50" t="s">
        <v>1270</v>
      </c>
      <c r="H287" s="50" t="s">
        <v>1271</v>
      </c>
      <c r="I287" s="51" t="s">
        <v>1543</v>
      </c>
      <c r="J287" s="51" t="s">
        <v>1576</v>
      </c>
      <c r="K287" s="51" t="s">
        <v>1205</v>
      </c>
      <c r="L287" s="52">
        <v>90</v>
      </c>
      <c r="M287" s="52">
        <f t="shared" si="8"/>
        <v>92</v>
      </c>
      <c r="N287" s="52">
        <v>24</v>
      </c>
      <c r="O287" s="52">
        <f t="shared" si="9"/>
        <v>24.2</v>
      </c>
      <c r="P287" s="50">
        <v>2</v>
      </c>
    </row>
    <row r="288" spans="1:16" ht="16.5" customHeight="1">
      <c r="A288" s="50" t="s">
        <v>1508</v>
      </c>
      <c r="B288" s="50" t="s">
        <v>1509</v>
      </c>
      <c r="C288" s="50" t="s">
        <v>1510</v>
      </c>
      <c r="D288" s="50" t="s">
        <v>1511</v>
      </c>
      <c r="E288" s="50">
        <v>74418</v>
      </c>
      <c r="F288" s="50" t="s">
        <v>1269</v>
      </c>
      <c r="G288" s="50" t="s">
        <v>1270</v>
      </c>
      <c r="H288" s="50" t="s">
        <v>1271</v>
      </c>
      <c r="I288" s="51" t="s">
        <v>1543</v>
      </c>
      <c r="J288" s="51" t="s">
        <v>1577</v>
      </c>
      <c r="K288" s="51" t="s">
        <v>1207</v>
      </c>
      <c r="L288" s="52">
        <v>84</v>
      </c>
      <c r="M288" s="52">
        <f t="shared" si="8"/>
        <v>84</v>
      </c>
      <c r="N288" s="52">
        <v>21.9</v>
      </c>
      <c r="O288" s="52">
        <f t="shared" si="9"/>
        <v>22.099999999999998</v>
      </c>
      <c r="P288" s="50">
        <v>0</v>
      </c>
    </row>
    <row r="289" spans="1:16" ht="16.5" customHeight="1">
      <c r="A289" s="50" t="s">
        <v>1508</v>
      </c>
      <c r="B289" s="50" t="s">
        <v>1509</v>
      </c>
      <c r="C289" s="50" t="s">
        <v>1510</v>
      </c>
      <c r="D289" s="50" t="s">
        <v>1511</v>
      </c>
      <c r="E289" s="50">
        <v>74418</v>
      </c>
      <c r="F289" s="50" t="s">
        <v>1269</v>
      </c>
      <c r="G289" s="50" t="s">
        <v>1270</v>
      </c>
      <c r="H289" s="50" t="s">
        <v>1271</v>
      </c>
      <c r="I289" s="51" t="s">
        <v>1543</v>
      </c>
      <c r="J289" s="51" t="s">
        <v>1578</v>
      </c>
      <c r="K289" s="51" t="s">
        <v>1209</v>
      </c>
      <c r="L289" s="52">
        <v>81</v>
      </c>
      <c r="M289" s="52">
        <f t="shared" si="8"/>
        <v>81</v>
      </c>
      <c r="N289" s="52">
        <v>21</v>
      </c>
      <c r="O289" s="52">
        <f t="shared" si="9"/>
        <v>21.2</v>
      </c>
      <c r="P289" s="50">
        <v>0</v>
      </c>
    </row>
    <row r="290" spans="1:16" ht="16.5" customHeight="1">
      <c r="A290" s="50" t="s">
        <v>1508</v>
      </c>
      <c r="B290" s="50" t="s">
        <v>1509</v>
      </c>
      <c r="C290" s="50" t="s">
        <v>1510</v>
      </c>
      <c r="D290" s="50" t="s">
        <v>1511</v>
      </c>
      <c r="E290" s="50">
        <v>74418</v>
      </c>
      <c r="F290" s="50" t="s">
        <v>1269</v>
      </c>
      <c r="G290" s="50" t="s">
        <v>1270</v>
      </c>
      <c r="H290" s="50" t="s">
        <v>1271</v>
      </c>
      <c r="I290" s="51" t="s">
        <v>1543</v>
      </c>
      <c r="J290" s="51" t="s">
        <v>1579</v>
      </c>
      <c r="K290" s="51" t="s">
        <v>1211</v>
      </c>
      <c r="L290" s="52">
        <v>82</v>
      </c>
      <c r="M290" s="52">
        <f t="shared" si="8"/>
        <v>82</v>
      </c>
      <c r="N290" s="52">
        <v>21.2</v>
      </c>
      <c r="O290" s="52">
        <f t="shared" si="9"/>
        <v>21.4</v>
      </c>
      <c r="P290" s="50">
        <v>0</v>
      </c>
    </row>
    <row r="291" spans="1:16" ht="16.5" customHeight="1">
      <c r="A291" s="50" t="s">
        <v>1508</v>
      </c>
      <c r="B291" s="50" t="s">
        <v>1509</v>
      </c>
      <c r="C291" s="50" t="s">
        <v>1510</v>
      </c>
      <c r="D291" s="50" t="s">
        <v>1511</v>
      </c>
      <c r="E291" s="50">
        <v>74418</v>
      </c>
      <c r="F291" s="50" t="s">
        <v>1269</v>
      </c>
      <c r="G291" s="50" t="s">
        <v>1270</v>
      </c>
      <c r="H291" s="50" t="s">
        <v>1271</v>
      </c>
      <c r="I291" s="51" t="s">
        <v>1543</v>
      </c>
      <c r="J291" s="51" t="s">
        <v>1580</v>
      </c>
      <c r="K291" s="51" t="s">
        <v>1213</v>
      </c>
      <c r="L291" s="52">
        <v>81</v>
      </c>
      <c r="M291" s="52">
        <f t="shared" si="8"/>
        <v>83</v>
      </c>
      <c r="N291" s="52">
        <v>21.7</v>
      </c>
      <c r="O291" s="52">
        <f t="shared" si="9"/>
        <v>21.9</v>
      </c>
      <c r="P291" s="50">
        <v>2</v>
      </c>
    </row>
    <row r="292" spans="1:16" ht="16.5" customHeight="1">
      <c r="A292" s="50" t="s">
        <v>1508</v>
      </c>
      <c r="B292" s="50" t="s">
        <v>1509</v>
      </c>
      <c r="C292" s="50" t="s">
        <v>1510</v>
      </c>
      <c r="D292" s="50" t="s">
        <v>1511</v>
      </c>
      <c r="E292" s="50">
        <v>74418</v>
      </c>
      <c r="F292" s="50" t="s">
        <v>1269</v>
      </c>
      <c r="G292" s="50" t="s">
        <v>1270</v>
      </c>
      <c r="H292" s="50" t="s">
        <v>1271</v>
      </c>
      <c r="I292" s="51" t="s">
        <v>1543</v>
      </c>
      <c r="J292" s="51" t="s">
        <v>1581</v>
      </c>
      <c r="K292" s="51" t="s">
        <v>1215</v>
      </c>
      <c r="L292" s="52">
        <v>84</v>
      </c>
      <c r="M292" s="52">
        <f t="shared" si="8"/>
        <v>84</v>
      </c>
      <c r="N292" s="52">
        <v>21.8</v>
      </c>
      <c r="O292" s="52">
        <f t="shared" si="9"/>
        <v>22</v>
      </c>
      <c r="P292" s="50">
        <v>0</v>
      </c>
    </row>
    <row r="293" spans="1:16" ht="16.5" customHeight="1">
      <c r="A293" s="50" t="s">
        <v>1508</v>
      </c>
      <c r="B293" s="50" t="s">
        <v>1509</v>
      </c>
      <c r="C293" s="50" t="s">
        <v>1510</v>
      </c>
      <c r="D293" s="50" t="s">
        <v>1511</v>
      </c>
      <c r="E293" s="50">
        <v>74418</v>
      </c>
      <c r="F293" s="50" t="s">
        <v>1269</v>
      </c>
      <c r="G293" s="50" t="s">
        <v>1270</v>
      </c>
      <c r="H293" s="50" t="s">
        <v>1271</v>
      </c>
      <c r="I293" s="51" t="s">
        <v>1543</v>
      </c>
      <c r="J293" s="51" t="s">
        <v>1582</v>
      </c>
      <c r="K293" s="51" t="s">
        <v>1217</v>
      </c>
      <c r="L293" s="52">
        <v>84</v>
      </c>
      <c r="M293" s="52">
        <f t="shared" si="8"/>
        <v>84</v>
      </c>
      <c r="N293" s="52">
        <v>21.9</v>
      </c>
      <c r="O293" s="52">
        <f t="shared" si="9"/>
        <v>22.099999999999998</v>
      </c>
      <c r="P293" s="50">
        <v>0</v>
      </c>
    </row>
    <row r="294" spans="1:16" ht="16.5" customHeight="1">
      <c r="A294" s="50" t="s">
        <v>1508</v>
      </c>
      <c r="B294" s="50" t="s">
        <v>1509</v>
      </c>
      <c r="C294" s="50" t="s">
        <v>1510</v>
      </c>
      <c r="D294" s="50" t="s">
        <v>1511</v>
      </c>
      <c r="E294" s="50">
        <v>74418</v>
      </c>
      <c r="F294" s="50" t="s">
        <v>1269</v>
      </c>
      <c r="G294" s="50" t="s">
        <v>1270</v>
      </c>
      <c r="H294" s="50" t="s">
        <v>1271</v>
      </c>
      <c r="I294" s="51" t="s">
        <v>1543</v>
      </c>
      <c r="J294" s="51" t="s">
        <v>1583</v>
      </c>
      <c r="K294" s="51" t="s">
        <v>1219</v>
      </c>
      <c r="L294" s="52">
        <v>84</v>
      </c>
      <c r="M294" s="52">
        <f t="shared" si="8"/>
        <v>84</v>
      </c>
      <c r="N294" s="52">
        <v>21.9</v>
      </c>
      <c r="O294" s="52">
        <f t="shared" si="9"/>
        <v>22.099999999999998</v>
      </c>
      <c r="P294" s="50">
        <v>0</v>
      </c>
    </row>
    <row r="295" spans="1:16" ht="16.5" customHeight="1">
      <c r="A295" s="50" t="s">
        <v>1508</v>
      </c>
      <c r="B295" s="50" t="s">
        <v>1509</v>
      </c>
      <c r="C295" s="50" t="s">
        <v>1510</v>
      </c>
      <c r="D295" s="50" t="s">
        <v>1511</v>
      </c>
      <c r="E295" s="50">
        <v>74418</v>
      </c>
      <c r="F295" s="50" t="s">
        <v>1269</v>
      </c>
      <c r="G295" s="50" t="s">
        <v>1270</v>
      </c>
      <c r="H295" s="50" t="s">
        <v>1271</v>
      </c>
      <c r="I295" s="51" t="s">
        <v>1543</v>
      </c>
      <c r="J295" s="51" t="s">
        <v>1584</v>
      </c>
      <c r="K295" s="51" t="s">
        <v>1221</v>
      </c>
      <c r="L295" s="52">
        <v>84</v>
      </c>
      <c r="M295" s="52">
        <f t="shared" si="8"/>
        <v>84</v>
      </c>
      <c r="N295" s="52">
        <v>21.8</v>
      </c>
      <c r="O295" s="52">
        <f t="shared" si="9"/>
        <v>22</v>
      </c>
      <c r="P295" s="50">
        <v>0</v>
      </c>
    </row>
    <row r="296" spans="1:16" ht="16.5" customHeight="1">
      <c r="A296" s="50" t="s">
        <v>1508</v>
      </c>
      <c r="B296" s="50" t="s">
        <v>1509</v>
      </c>
      <c r="C296" s="50" t="s">
        <v>1510</v>
      </c>
      <c r="D296" s="50" t="s">
        <v>1511</v>
      </c>
      <c r="E296" s="50">
        <v>74418</v>
      </c>
      <c r="F296" s="50" t="s">
        <v>1269</v>
      </c>
      <c r="G296" s="50" t="s">
        <v>1270</v>
      </c>
      <c r="H296" s="50" t="s">
        <v>1271</v>
      </c>
      <c r="I296" s="51" t="s">
        <v>1543</v>
      </c>
      <c r="J296" s="51" t="s">
        <v>1585</v>
      </c>
      <c r="K296" s="51" t="s">
        <v>1223</v>
      </c>
      <c r="L296" s="52">
        <v>83</v>
      </c>
      <c r="M296" s="52">
        <f t="shared" si="8"/>
        <v>83</v>
      </c>
      <c r="N296" s="52">
        <v>21.5</v>
      </c>
      <c r="O296" s="52">
        <f t="shared" si="9"/>
        <v>21.7</v>
      </c>
      <c r="P296" s="50">
        <v>0</v>
      </c>
    </row>
    <row r="297" spans="1:16" ht="16.5" customHeight="1">
      <c r="A297" s="50" t="s">
        <v>1508</v>
      </c>
      <c r="B297" s="50" t="s">
        <v>1509</v>
      </c>
      <c r="C297" s="50" t="s">
        <v>1510</v>
      </c>
      <c r="D297" s="50" t="s">
        <v>1511</v>
      </c>
      <c r="E297" s="50">
        <v>74418</v>
      </c>
      <c r="F297" s="50" t="s">
        <v>1269</v>
      </c>
      <c r="G297" s="50" t="s">
        <v>1270</v>
      </c>
      <c r="H297" s="50" t="s">
        <v>1271</v>
      </c>
      <c r="I297" s="51" t="s">
        <v>1543</v>
      </c>
      <c r="J297" s="51" t="s">
        <v>1586</v>
      </c>
      <c r="K297" s="51" t="s">
        <v>1225</v>
      </c>
      <c r="L297" s="52">
        <v>79</v>
      </c>
      <c r="M297" s="52">
        <f t="shared" si="8"/>
        <v>79</v>
      </c>
      <c r="N297" s="52">
        <v>20.6</v>
      </c>
      <c r="O297" s="52">
        <f t="shared" si="9"/>
        <v>20.8</v>
      </c>
      <c r="P297" s="50">
        <v>0</v>
      </c>
    </row>
    <row r="298" spans="1:16" ht="16.5" customHeight="1">
      <c r="A298" s="50" t="s">
        <v>1508</v>
      </c>
      <c r="B298" s="50" t="s">
        <v>1509</v>
      </c>
      <c r="C298" s="50" t="s">
        <v>1510</v>
      </c>
      <c r="D298" s="50" t="s">
        <v>1511</v>
      </c>
      <c r="E298" s="50">
        <v>74418</v>
      </c>
      <c r="F298" s="50" t="s">
        <v>1269</v>
      </c>
      <c r="G298" s="50" t="s">
        <v>1270</v>
      </c>
      <c r="H298" s="50" t="s">
        <v>1271</v>
      </c>
      <c r="I298" s="51" t="s">
        <v>1543</v>
      </c>
      <c r="J298" s="51" t="s">
        <v>1587</v>
      </c>
      <c r="K298" s="51" t="s">
        <v>1227</v>
      </c>
      <c r="L298" s="52">
        <v>83</v>
      </c>
      <c r="M298" s="52">
        <f t="shared" si="8"/>
        <v>83</v>
      </c>
      <c r="N298" s="52">
        <v>21.7</v>
      </c>
      <c r="O298" s="52">
        <f t="shared" si="9"/>
        <v>21.9</v>
      </c>
      <c r="P298" s="50">
        <v>0</v>
      </c>
    </row>
    <row r="299" spans="1:16" ht="16.5" customHeight="1">
      <c r="A299" s="50" t="s">
        <v>1508</v>
      </c>
      <c r="B299" s="50" t="s">
        <v>1509</v>
      </c>
      <c r="C299" s="50" t="s">
        <v>1510</v>
      </c>
      <c r="D299" s="50" t="s">
        <v>1511</v>
      </c>
      <c r="E299" s="50">
        <v>74418</v>
      </c>
      <c r="F299" s="50" t="s">
        <v>1269</v>
      </c>
      <c r="G299" s="50" t="s">
        <v>1270</v>
      </c>
      <c r="H299" s="50" t="s">
        <v>1271</v>
      </c>
      <c r="I299" s="51" t="s">
        <v>1588</v>
      </c>
      <c r="J299" s="51" t="s">
        <v>1589</v>
      </c>
      <c r="K299" s="51" t="s">
        <v>1083</v>
      </c>
      <c r="L299" s="52">
        <v>84</v>
      </c>
      <c r="M299" s="52">
        <f t="shared" si="8"/>
        <v>84</v>
      </c>
      <c r="N299" s="52">
        <v>21.9</v>
      </c>
      <c r="O299" s="52">
        <f t="shared" si="9"/>
        <v>22.099999999999998</v>
      </c>
      <c r="P299" s="50">
        <v>0</v>
      </c>
    </row>
    <row r="300" spans="1:16" ht="16.5" customHeight="1">
      <c r="A300" s="50" t="s">
        <v>1508</v>
      </c>
      <c r="B300" s="50" t="s">
        <v>1509</v>
      </c>
      <c r="C300" s="50" t="s">
        <v>1510</v>
      </c>
      <c r="D300" s="50" t="s">
        <v>1511</v>
      </c>
      <c r="E300" s="50">
        <v>74418</v>
      </c>
      <c r="F300" s="50" t="s">
        <v>1269</v>
      </c>
      <c r="G300" s="50" t="s">
        <v>1270</v>
      </c>
      <c r="H300" s="50" t="s">
        <v>1271</v>
      </c>
      <c r="I300" s="51" t="s">
        <v>1588</v>
      </c>
      <c r="J300" s="51" t="s">
        <v>1590</v>
      </c>
      <c r="K300" s="51" t="s">
        <v>1085</v>
      </c>
      <c r="L300" s="52">
        <v>85</v>
      </c>
      <c r="M300" s="52">
        <f t="shared" si="8"/>
        <v>85</v>
      </c>
      <c r="N300" s="52">
        <v>22</v>
      </c>
      <c r="O300" s="52">
        <f t="shared" si="9"/>
        <v>22.2</v>
      </c>
      <c r="P300" s="50">
        <v>0</v>
      </c>
    </row>
    <row r="301" spans="1:16" ht="16.5" customHeight="1">
      <c r="A301" s="50" t="s">
        <v>1508</v>
      </c>
      <c r="B301" s="50" t="s">
        <v>1509</v>
      </c>
      <c r="C301" s="50" t="s">
        <v>1510</v>
      </c>
      <c r="D301" s="50" t="s">
        <v>1511</v>
      </c>
      <c r="E301" s="50">
        <v>74418</v>
      </c>
      <c r="F301" s="50" t="s">
        <v>1269</v>
      </c>
      <c r="G301" s="50" t="s">
        <v>1270</v>
      </c>
      <c r="H301" s="50" t="s">
        <v>1271</v>
      </c>
      <c r="I301" s="51" t="s">
        <v>1588</v>
      </c>
      <c r="J301" s="51" t="s">
        <v>1591</v>
      </c>
      <c r="K301" s="51" t="s">
        <v>1087</v>
      </c>
      <c r="L301" s="52">
        <v>84</v>
      </c>
      <c r="M301" s="52">
        <f t="shared" si="8"/>
        <v>84</v>
      </c>
      <c r="N301" s="52">
        <v>21.9</v>
      </c>
      <c r="O301" s="52">
        <f t="shared" si="9"/>
        <v>22.099999999999998</v>
      </c>
      <c r="P301" s="50">
        <v>0</v>
      </c>
    </row>
    <row r="302" spans="1:16" ht="16.5" customHeight="1">
      <c r="A302" s="50" t="s">
        <v>1508</v>
      </c>
      <c r="B302" s="50" t="s">
        <v>1509</v>
      </c>
      <c r="C302" s="50" t="s">
        <v>1510</v>
      </c>
      <c r="D302" s="50" t="s">
        <v>1511</v>
      </c>
      <c r="E302" s="50">
        <v>74418</v>
      </c>
      <c r="F302" s="50" t="s">
        <v>1269</v>
      </c>
      <c r="G302" s="50" t="s">
        <v>1270</v>
      </c>
      <c r="H302" s="50" t="s">
        <v>1271</v>
      </c>
      <c r="I302" s="51" t="s">
        <v>1588</v>
      </c>
      <c r="J302" s="51" t="s">
        <v>1592</v>
      </c>
      <c r="K302" s="51" t="s">
        <v>1089</v>
      </c>
      <c r="L302" s="52">
        <v>83</v>
      </c>
      <c r="M302" s="52">
        <f t="shared" si="8"/>
        <v>83</v>
      </c>
      <c r="N302" s="52">
        <v>21.7</v>
      </c>
      <c r="O302" s="52">
        <f t="shared" si="9"/>
        <v>21.9</v>
      </c>
      <c r="P302" s="50">
        <v>0</v>
      </c>
    </row>
    <row r="303" spans="1:16" ht="16.5" customHeight="1">
      <c r="A303" s="50" t="s">
        <v>1508</v>
      </c>
      <c r="B303" s="50" t="s">
        <v>1509</v>
      </c>
      <c r="C303" s="50" t="s">
        <v>1510</v>
      </c>
      <c r="D303" s="50" t="s">
        <v>1511</v>
      </c>
      <c r="E303" s="50">
        <v>74418</v>
      </c>
      <c r="F303" s="50" t="s">
        <v>1269</v>
      </c>
      <c r="G303" s="50" t="s">
        <v>1270</v>
      </c>
      <c r="H303" s="50" t="s">
        <v>1271</v>
      </c>
      <c r="I303" s="51" t="s">
        <v>1588</v>
      </c>
      <c r="J303" s="51" t="s">
        <v>1593</v>
      </c>
      <c r="K303" s="51" t="s">
        <v>1096</v>
      </c>
      <c r="L303" s="52">
        <v>84</v>
      </c>
      <c r="M303" s="52">
        <f t="shared" si="8"/>
        <v>84</v>
      </c>
      <c r="N303" s="52">
        <v>21.9</v>
      </c>
      <c r="O303" s="52">
        <f t="shared" si="9"/>
        <v>22.099999999999998</v>
      </c>
      <c r="P303" s="50">
        <v>0</v>
      </c>
    </row>
    <row r="304" spans="1:16" ht="16.5" customHeight="1">
      <c r="A304" s="50" t="s">
        <v>1508</v>
      </c>
      <c r="B304" s="50" t="s">
        <v>1509</v>
      </c>
      <c r="C304" s="50" t="s">
        <v>1510</v>
      </c>
      <c r="D304" s="50" t="s">
        <v>1511</v>
      </c>
      <c r="E304" s="50">
        <v>74418</v>
      </c>
      <c r="F304" s="50" t="s">
        <v>1269</v>
      </c>
      <c r="G304" s="50" t="s">
        <v>1270</v>
      </c>
      <c r="H304" s="50" t="s">
        <v>1271</v>
      </c>
      <c r="I304" s="51" t="s">
        <v>1588</v>
      </c>
      <c r="J304" s="51" t="s">
        <v>1594</v>
      </c>
      <c r="K304" s="51" t="s">
        <v>1109</v>
      </c>
      <c r="L304" s="52">
        <v>84</v>
      </c>
      <c r="M304" s="52">
        <f t="shared" si="8"/>
        <v>84</v>
      </c>
      <c r="N304" s="52">
        <v>21.9</v>
      </c>
      <c r="O304" s="52">
        <f t="shared" si="9"/>
        <v>22.099999999999998</v>
      </c>
      <c r="P304" s="50">
        <v>0</v>
      </c>
    </row>
    <row r="305" spans="1:16" ht="16.5" customHeight="1">
      <c r="A305" s="50" t="s">
        <v>1508</v>
      </c>
      <c r="B305" s="50" t="s">
        <v>1509</v>
      </c>
      <c r="C305" s="50" t="s">
        <v>1510</v>
      </c>
      <c r="D305" s="50" t="s">
        <v>1511</v>
      </c>
      <c r="E305" s="50">
        <v>74418</v>
      </c>
      <c r="F305" s="50" t="s">
        <v>1269</v>
      </c>
      <c r="G305" s="50" t="s">
        <v>1270</v>
      </c>
      <c r="H305" s="50" t="s">
        <v>1271</v>
      </c>
      <c r="I305" s="51" t="s">
        <v>1588</v>
      </c>
      <c r="J305" s="51" t="s">
        <v>1595</v>
      </c>
      <c r="K305" s="51" t="s">
        <v>1111</v>
      </c>
      <c r="L305" s="52">
        <v>84</v>
      </c>
      <c r="M305" s="52">
        <f t="shared" si="8"/>
        <v>84</v>
      </c>
      <c r="N305" s="52">
        <v>21.9</v>
      </c>
      <c r="O305" s="52">
        <f t="shared" si="9"/>
        <v>22.099999999999998</v>
      </c>
      <c r="P305" s="50">
        <v>0</v>
      </c>
    </row>
    <row r="306" spans="1:16" ht="16.5" customHeight="1">
      <c r="A306" s="50" t="s">
        <v>1508</v>
      </c>
      <c r="B306" s="50" t="s">
        <v>1509</v>
      </c>
      <c r="C306" s="50" t="s">
        <v>1510</v>
      </c>
      <c r="D306" s="50" t="s">
        <v>1511</v>
      </c>
      <c r="E306" s="50">
        <v>74418</v>
      </c>
      <c r="F306" s="50" t="s">
        <v>1269</v>
      </c>
      <c r="G306" s="50" t="s">
        <v>1270</v>
      </c>
      <c r="H306" s="50" t="s">
        <v>1271</v>
      </c>
      <c r="I306" s="51" t="s">
        <v>1588</v>
      </c>
      <c r="J306" s="51" t="s">
        <v>1596</v>
      </c>
      <c r="K306" s="51" t="s">
        <v>1113</v>
      </c>
      <c r="L306" s="52">
        <v>84</v>
      </c>
      <c r="M306" s="52">
        <f t="shared" si="8"/>
        <v>84</v>
      </c>
      <c r="N306" s="52">
        <v>21.9</v>
      </c>
      <c r="O306" s="52">
        <f t="shared" si="9"/>
        <v>22.099999999999998</v>
      </c>
      <c r="P306" s="50">
        <v>0</v>
      </c>
    </row>
    <row r="307" spans="1:16" ht="16.5" customHeight="1">
      <c r="A307" s="50" t="s">
        <v>1508</v>
      </c>
      <c r="B307" s="50" t="s">
        <v>1509</v>
      </c>
      <c r="C307" s="50" t="s">
        <v>1510</v>
      </c>
      <c r="D307" s="50" t="s">
        <v>1511</v>
      </c>
      <c r="E307" s="50">
        <v>74418</v>
      </c>
      <c r="F307" s="50" t="s">
        <v>1269</v>
      </c>
      <c r="G307" s="50" t="s">
        <v>1270</v>
      </c>
      <c r="H307" s="50" t="s">
        <v>1271</v>
      </c>
      <c r="I307" s="51" t="s">
        <v>1588</v>
      </c>
      <c r="J307" s="51" t="s">
        <v>1597</v>
      </c>
      <c r="K307" s="51" t="s">
        <v>1115</v>
      </c>
      <c r="L307" s="52">
        <v>84</v>
      </c>
      <c r="M307" s="52">
        <f t="shared" si="8"/>
        <v>84</v>
      </c>
      <c r="N307" s="52">
        <v>21.8</v>
      </c>
      <c r="O307" s="52">
        <f t="shared" si="9"/>
        <v>22</v>
      </c>
      <c r="P307" s="50">
        <v>0</v>
      </c>
    </row>
    <row r="308" spans="1:16" ht="16.5" customHeight="1">
      <c r="A308" s="50" t="s">
        <v>1508</v>
      </c>
      <c r="B308" s="50" t="s">
        <v>1509</v>
      </c>
      <c r="C308" s="50" t="s">
        <v>1510</v>
      </c>
      <c r="D308" s="50" t="s">
        <v>1511</v>
      </c>
      <c r="E308" s="50">
        <v>74418</v>
      </c>
      <c r="F308" s="50" t="s">
        <v>1269</v>
      </c>
      <c r="G308" s="50" t="s">
        <v>1270</v>
      </c>
      <c r="H308" s="50" t="s">
        <v>1271</v>
      </c>
      <c r="I308" s="51" t="s">
        <v>1588</v>
      </c>
      <c r="J308" s="51" t="s">
        <v>1598</v>
      </c>
      <c r="K308" s="51" t="s">
        <v>1119</v>
      </c>
      <c r="L308" s="52">
        <v>84</v>
      </c>
      <c r="M308" s="52">
        <f t="shared" si="8"/>
        <v>84</v>
      </c>
      <c r="N308" s="52">
        <v>21.9</v>
      </c>
      <c r="O308" s="52">
        <f t="shared" si="9"/>
        <v>22.099999999999998</v>
      </c>
      <c r="P308" s="50">
        <v>0</v>
      </c>
    </row>
    <row r="309" spans="1:16" ht="16.5" customHeight="1">
      <c r="A309" s="50" t="s">
        <v>1508</v>
      </c>
      <c r="B309" s="50" t="s">
        <v>1509</v>
      </c>
      <c r="C309" s="50" t="s">
        <v>1510</v>
      </c>
      <c r="D309" s="50" t="s">
        <v>1511</v>
      </c>
      <c r="E309" s="50">
        <v>74418</v>
      </c>
      <c r="F309" s="50" t="s">
        <v>1269</v>
      </c>
      <c r="G309" s="50" t="s">
        <v>1270</v>
      </c>
      <c r="H309" s="50" t="s">
        <v>1271</v>
      </c>
      <c r="I309" s="51" t="s">
        <v>1588</v>
      </c>
      <c r="J309" s="51" t="s">
        <v>1599</v>
      </c>
      <c r="K309" s="51" t="s">
        <v>1121</v>
      </c>
      <c r="L309" s="52">
        <v>80</v>
      </c>
      <c r="M309" s="52">
        <f t="shared" si="8"/>
        <v>80</v>
      </c>
      <c r="N309" s="52">
        <v>20.8</v>
      </c>
      <c r="O309" s="52">
        <f t="shared" si="9"/>
        <v>21</v>
      </c>
      <c r="P309" s="50">
        <v>0</v>
      </c>
    </row>
    <row r="310" spans="1:16" ht="16.5" customHeight="1">
      <c r="A310" s="50" t="s">
        <v>1508</v>
      </c>
      <c r="B310" s="50" t="s">
        <v>1509</v>
      </c>
      <c r="C310" s="50" t="s">
        <v>1510</v>
      </c>
      <c r="D310" s="50" t="s">
        <v>1511</v>
      </c>
      <c r="E310" s="50">
        <v>74418</v>
      </c>
      <c r="F310" s="50" t="s">
        <v>1269</v>
      </c>
      <c r="G310" s="50" t="s">
        <v>1270</v>
      </c>
      <c r="H310" s="50" t="s">
        <v>1271</v>
      </c>
      <c r="I310" s="51" t="s">
        <v>1588</v>
      </c>
      <c r="J310" s="51" t="s">
        <v>1600</v>
      </c>
      <c r="K310" s="51" t="s">
        <v>1125</v>
      </c>
      <c r="L310" s="52">
        <v>82</v>
      </c>
      <c r="M310" s="52">
        <f t="shared" si="8"/>
        <v>82</v>
      </c>
      <c r="N310" s="52">
        <v>21.3</v>
      </c>
      <c r="O310" s="52">
        <f t="shared" si="9"/>
        <v>21.5</v>
      </c>
      <c r="P310" s="50">
        <v>0</v>
      </c>
    </row>
    <row r="311" spans="1:16" ht="16.5" customHeight="1">
      <c r="A311" s="50" t="s">
        <v>1508</v>
      </c>
      <c r="B311" s="50" t="s">
        <v>1509</v>
      </c>
      <c r="C311" s="50" t="s">
        <v>1510</v>
      </c>
      <c r="D311" s="50" t="s">
        <v>1511</v>
      </c>
      <c r="E311" s="50">
        <v>74418</v>
      </c>
      <c r="F311" s="50" t="s">
        <v>1269</v>
      </c>
      <c r="G311" s="50" t="s">
        <v>1270</v>
      </c>
      <c r="H311" s="50" t="s">
        <v>1271</v>
      </c>
      <c r="I311" s="51" t="s">
        <v>1588</v>
      </c>
      <c r="J311" s="51" t="s">
        <v>1601</v>
      </c>
      <c r="K311" s="51" t="s">
        <v>1137</v>
      </c>
      <c r="L311" s="52">
        <v>83</v>
      </c>
      <c r="M311" s="52">
        <f t="shared" si="8"/>
        <v>83</v>
      </c>
      <c r="N311" s="52">
        <v>21.5</v>
      </c>
      <c r="O311" s="52">
        <f t="shared" si="9"/>
        <v>21.7</v>
      </c>
      <c r="P311" s="50">
        <v>0</v>
      </c>
    </row>
    <row r="312" spans="1:16" ht="16.5" customHeight="1">
      <c r="A312" s="50" t="s">
        <v>1508</v>
      </c>
      <c r="B312" s="50" t="s">
        <v>1509</v>
      </c>
      <c r="C312" s="50" t="s">
        <v>1510</v>
      </c>
      <c r="D312" s="50" t="s">
        <v>1511</v>
      </c>
      <c r="E312" s="50">
        <v>74418</v>
      </c>
      <c r="F312" s="50" t="s">
        <v>1269</v>
      </c>
      <c r="G312" s="50" t="s">
        <v>1270</v>
      </c>
      <c r="H312" s="50" t="s">
        <v>1271</v>
      </c>
      <c r="I312" s="51" t="s">
        <v>1602</v>
      </c>
      <c r="J312" s="51" t="s">
        <v>1603</v>
      </c>
      <c r="K312" s="51" t="s">
        <v>1418</v>
      </c>
      <c r="L312" s="52">
        <v>83</v>
      </c>
      <c r="M312" s="52">
        <f t="shared" si="8"/>
        <v>83</v>
      </c>
      <c r="N312" s="52">
        <v>21.6</v>
      </c>
      <c r="O312" s="52">
        <f t="shared" si="9"/>
        <v>21.8</v>
      </c>
      <c r="P312" s="50">
        <v>0</v>
      </c>
    </row>
    <row r="313" spans="1:16" ht="16.5" customHeight="1">
      <c r="A313" s="50" t="s">
        <v>1508</v>
      </c>
      <c r="B313" s="50" t="s">
        <v>1509</v>
      </c>
      <c r="C313" s="50" t="s">
        <v>1510</v>
      </c>
      <c r="D313" s="50" t="s">
        <v>1511</v>
      </c>
      <c r="E313" s="50">
        <v>74418</v>
      </c>
      <c r="F313" s="50" t="s">
        <v>1269</v>
      </c>
      <c r="G313" s="50" t="s">
        <v>1270</v>
      </c>
      <c r="H313" s="50" t="s">
        <v>1271</v>
      </c>
      <c r="I313" s="51" t="s">
        <v>1602</v>
      </c>
      <c r="J313" s="51" t="s">
        <v>1604</v>
      </c>
      <c r="K313" s="51" t="s">
        <v>1605</v>
      </c>
      <c r="L313" s="52">
        <v>84</v>
      </c>
      <c r="M313" s="52">
        <f t="shared" si="8"/>
        <v>84</v>
      </c>
      <c r="N313" s="52">
        <v>21.9</v>
      </c>
      <c r="O313" s="52">
        <f t="shared" si="9"/>
        <v>22.099999999999998</v>
      </c>
      <c r="P313" s="50">
        <v>0</v>
      </c>
    </row>
    <row r="314" spans="1:16" ht="16.5" customHeight="1">
      <c r="A314" s="50" t="s">
        <v>1508</v>
      </c>
      <c r="B314" s="50" t="s">
        <v>1509</v>
      </c>
      <c r="C314" s="50" t="s">
        <v>1510</v>
      </c>
      <c r="D314" s="50" t="s">
        <v>1511</v>
      </c>
      <c r="E314" s="50">
        <v>74418</v>
      </c>
      <c r="F314" s="50" t="s">
        <v>1269</v>
      </c>
      <c r="G314" s="50" t="s">
        <v>1270</v>
      </c>
      <c r="H314" s="50" t="s">
        <v>1271</v>
      </c>
      <c r="I314" s="51" t="s">
        <v>1602</v>
      </c>
      <c r="J314" s="51" t="s">
        <v>1606</v>
      </c>
      <c r="K314" s="51" t="s">
        <v>1311</v>
      </c>
      <c r="L314" s="52">
        <v>86</v>
      </c>
      <c r="M314" s="52">
        <f t="shared" si="8"/>
        <v>86</v>
      </c>
      <c r="N314" s="52">
        <v>22.3</v>
      </c>
      <c r="O314" s="52">
        <f t="shared" si="9"/>
        <v>22.5</v>
      </c>
      <c r="P314" s="50">
        <v>0</v>
      </c>
    </row>
    <row r="315" spans="1:16" ht="16.5" customHeight="1">
      <c r="A315" s="50" t="s">
        <v>1508</v>
      </c>
      <c r="B315" s="50" t="s">
        <v>1509</v>
      </c>
      <c r="C315" s="50" t="s">
        <v>1510</v>
      </c>
      <c r="D315" s="50" t="s">
        <v>1511</v>
      </c>
      <c r="E315" s="50">
        <v>74418</v>
      </c>
      <c r="F315" s="50" t="s">
        <v>1269</v>
      </c>
      <c r="G315" s="50" t="s">
        <v>1270</v>
      </c>
      <c r="H315" s="50" t="s">
        <v>1271</v>
      </c>
      <c r="I315" s="51" t="s">
        <v>1602</v>
      </c>
      <c r="J315" s="51" t="s">
        <v>1607</v>
      </c>
      <c r="K315" s="51" t="s">
        <v>1313</v>
      </c>
      <c r="L315" s="52">
        <v>79</v>
      </c>
      <c r="M315" s="52">
        <f t="shared" si="8"/>
        <v>79</v>
      </c>
      <c r="N315" s="52">
        <v>20.5</v>
      </c>
      <c r="O315" s="52">
        <f t="shared" si="9"/>
        <v>20.7</v>
      </c>
      <c r="P315" s="50">
        <v>0</v>
      </c>
    </row>
    <row r="316" spans="1:16" ht="16.5" customHeight="1">
      <c r="A316" s="50" t="s">
        <v>1508</v>
      </c>
      <c r="B316" s="50" t="s">
        <v>1509</v>
      </c>
      <c r="C316" s="50" t="s">
        <v>1510</v>
      </c>
      <c r="D316" s="50" t="s">
        <v>1511</v>
      </c>
      <c r="E316" s="50">
        <v>74418</v>
      </c>
      <c r="F316" s="50" t="s">
        <v>1269</v>
      </c>
      <c r="G316" s="50" t="s">
        <v>1270</v>
      </c>
      <c r="H316" s="50" t="s">
        <v>1271</v>
      </c>
      <c r="I316" s="51" t="s">
        <v>1602</v>
      </c>
      <c r="J316" s="51" t="s">
        <v>1608</v>
      </c>
      <c r="K316" s="51" t="s">
        <v>1315</v>
      </c>
      <c r="L316" s="52">
        <v>78</v>
      </c>
      <c r="M316" s="52">
        <f t="shared" si="8"/>
        <v>78</v>
      </c>
      <c r="N316" s="52">
        <v>20.3</v>
      </c>
      <c r="O316" s="52">
        <f t="shared" si="9"/>
        <v>20.5</v>
      </c>
      <c r="P316" s="50">
        <v>0</v>
      </c>
    </row>
    <row r="317" spans="1:16" ht="16.5" customHeight="1">
      <c r="A317" s="50" t="s">
        <v>1508</v>
      </c>
      <c r="B317" s="50" t="s">
        <v>1509</v>
      </c>
      <c r="C317" s="50" t="s">
        <v>1510</v>
      </c>
      <c r="D317" s="50" t="s">
        <v>1511</v>
      </c>
      <c r="E317" s="50">
        <v>74418</v>
      </c>
      <c r="F317" s="50" t="s">
        <v>1269</v>
      </c>
      <c r="G317" s="50" t="s">
        <v>1270</v>
      </c>
      <c r="H317" s="50" t="s">
        <v>1271</v>
      </c>
      <c r="I317" s="51" t="s">
        <v>1602</v>
      </c>
      <c r="J317" s="51" t="s">
        <v>1609</v>
      </c>
      <c r="K317" s="51" t="s">
        <v>1317</v>
      </c>
      <c r="L317" s="52">
        <v>82</v>
      </c>
      <c r="M317" s="52">
        <f t="shared" si="8"/>
        <v>82</v>
      </c>
      <c r="N317" s="52">
        <v>21.3</v>
      </c>
      <c r="O317" s="52">
        <f t="shared" si="9"/>
        <v>21.5</v>
      </c>
      <c r="P317" s="50">
        <v>0</v>
      </c>
    </row>
    <row r="318" spans="1:16" ht="16.5" customHeight="1">
      <c r="A318" s="50" t="s">
        <v>1508</v>
      </c>
      <c r="B318" s="50" t="s">
        <v>1509</v>
      </c>
      <c r="C318" s="50" t="s">
        <v>1510</v>
      </c>
      <c r="D318" s="50" t="s">
        <v>1511</v>
      </c>
      <c r="E318" s="50">
        <v>74418</v>
      </c>
      <c r="F318" s="50" t="s">
        <v>1269</v>
      </c>
      <c r="G318" s="50" t="s">
        <v>1270</v>
      </c>
      <c r="H318" s="50" t="s">
        <v>1271</v>
      </c>
      <c r="I318" s="51" t="s">
        <v>1602</v>
      </c>
      <c r="J318" s="51" t="s">
        <v>1610</v>
      </c>
      <c r="K318" s="51" t="s">
        <v>1319</v>
      </c>
      <c r="L318" s="52">
        <v>83</v>
      </c>
      <c r="M318" s="52">
        <f t="shared" si="8"/>
        <v>83</v>
      </c>
      <c r="N318" s="52">
        <v>21.6</v>
      </c>
      <c r="O318" s="52">
        <f t="shared" si="9"/>
        <v>21.8</v>
      </c>
      <c r="P318" s="50">
        <v>0</v>
      </c>
    </row>
    <row r="319" spans="1:16" ht="16.5" customHeight="1">
      <c r="A319" s="50" t="s">
        <v>1508</v>
      </c>
      <c r="B319" s="50" t="s">
        <v>1509</v>
      </c>
      <c r="C319" s="50" t="s">
        <v>1510</v>
      </c>
      <c r="D319" s="50" t="s">
        <v>1511</v>
      </c>
      <c r="E319" s="50">
        <v>74418</v>
      </c>
      <c r="F319" s="50" t="s">
        <v>1269</v>
      </c>
      <c r="G319" s="50" t="s">
        <v>1270</v>
      </c>
      <c r="H319" s="50" t="s">
        <v>1271</v>
      </c>
      <c r="I319" s="51" t="s">
        <v>1602</v>
      </c>
      <c r="J319" s="51" t="s">
        <v>1611</v>
      </c>
      <c r="K319" s="51" t="s">
        <v>1321</v>
      </c>
      <c r="L319" s="52">
        <v>84</v>
      </c>
      <c r="M319" s="52">
        <f t="shared" si="8"/>
        <v>84</v>
      </c>
      <c r="N319" s="52">
        <v>21.8</v>
      </c>
      <c r="O319" s="52">
        <f t="shared" si="9"/>
        <v>22</v>
      </c>
      <c r="P319" s="50">
        <v>0</v>
      </c>
    </row>
    <row r="320" spans="1:16" ht="16.5" customHeight="1">
      <c r="A320" s="50" t="s">
        <v>1508</v>
      </c>
      <c r="B320" s="50" t="s">
        <v>1509</v>
      </c>
      <c r="C320" s="50" t="s">
        <v>1510</v>
      </c>
      <c r="D320" s="50" t="s">
        <v>1511</v>
      </c>
      <c r="E320" s="50">
        <v>74418</v>
      </c>
      <c r="F320" s="50" t="s">
        <v>1269</v>
      </c>
      <c r="G320" s="50" t="s">
        <v>1270</v>
      </c>
      <c r="H320" s="50" t="s">
        <v>1271</v>
      </c>
      <c r="I320" s="51" t="s">
        <v>1602</v>
      </c>
      <c r="J320" s="51" t="s">
        <v>1612</v>
      </c>
      <c r="K320" s="51" t="s">
        <v>1323</v>
      </c>
      <c r="L320" s="52">
        <v>84</v>
      </c>
      <c r="M320" s="52">
        <f t="shared" si="8"/>
        <v>84</v>
      </c>
      <c r="N320" s="52">
        <v>21.9</v>
      </c>
      <c r="O320" s="52">
        <f t="shared" si="9"/>
        <v>22.099999999999998</v>
      </c>
      <c r="P320" s="50">
        <v>0</v>
      </c>
    </row>
    <row r="321" spans="1:16" ht="16.5" customHeight="1">
      <c r="A321" s="50" t="s">
        <v>1508</v>
      </c>
      <c r="B321" s="50" t="s">
        <v>1509</v>
      </c>
      <c r="C321" s="50" t="s">
        <v>1510</v>
      </c>
      <c r="D321" s="50" t="s">
        <v>1511</v>
      </c>
      <c r="E321" s="50">
        <v>74418</v>
      </c>
      <c r="F321" s="50" t="s">
        <v>1269</v>
      </c>
      <c r="G321" s="50" t="s">
        <v>1270</v>
      </c>
      <c r="H321" s="50" t="s">
        <v>1271</v>
      </c>
      <c r="I321" s="51" t="s">
        <v>1602</v>
      </c>
      <c r="J321" s="51" t="s">
        <v>1613</v>
      </c>
      <c r="K321" s="51" t="s">
        <v>1325</v>
      </c>
      <c r="L321" s="52">
        <v>84</v>
      </c>
      <c r="M321" s="52">
        <f t="shared" si="8"/>
        <v>84</v>
      </c>
      <c r="N321" s="52">
        <v>21.8</v>
      </c>
      <c r="O321" s="52">
        <f t="shared" si="9"/>
        <v>22</v>
      </c>
      <c r="P321" s="50">
        <v>0</v>
      </c>
    </row>
    <row r="322" spans="1:16" ht="16.5" customHeight="1">
      <c r="A322" s="50" t="s">
        <v>1508</v>
      </c>
      <c r="B322" s="50" t="s">
        <v>1509</v>
      </c>
      <c r="C322" s="50" t="s">
        <v>1510</v>
      </c>
      <c r="D322" s="50" t="s">
        <v>1511</v>
      </c>
      <c r="E322" s="50">
        <v>74418</v>
      </c>
      <c r="F322" s="50" t="s">
        <v>1269</v>
      </c>
      <c r="G322" s="50" t="s">
        <v>1270</v>
      </c>
      <c r="H322" s="50" t="s">
        <v>1271</v>
      </c>
      <c r="I322" s="51" t="s">
        <v>1602</v>
      </c>
      <c r="J322" s="51" t="s">
        <v>1614</v>
      </c>
      <c r="K322" s="51" t="s">
        <v>1327</v>
      </c>
      <c r="L322" s="52">
        <v>83</v>
      </c>
      <c r="M322" s="52">
        <f t="shared" si="8"/>
        <v>83</v>
      </c>
      <c r="N322" s="52">
        <v>21.6</v>
      </c>
      <c r="O322" s="52">
        <f t="shared" si="9"/>
        <v>21.8</v>
      </c>
      <c r="P322" s="50">
        <v>0</v>
      </c>
    </row>
    <row r="323" spans="1:16" ht="16.5" customHeight="1">
      <c r="A323" s="50" t="s">
        <v>1508</v>
      </c>
      <c r="B323" s="50" t="s">
        <v>1509</v>
      </c>
      <c r="C323" s="50" t="s">
        <v>1510</v>
      </c>
      <c r="D323" s="50" t="s">
        <v>1511</v>
      </c>
      <c r="E323" s="50">
        <v>74418</v>
      </c>
      <c r="F323" s="50" t="s">
        <v>1269</v>
      </c>
      <c r="G323" s="50" t="s">
        <v>1270</v>
      </c>
      <c r="H323" s="50" t="s">
        <v>1271</v>
      </c>
      <c r="I323" s="51" t="s">
        <v>1602</v>
      </c>
      <c r="J323" s="51" t="s">
        <v>1615</v>
      </c>
      <c r="K323" s="51" t="s">
        <v>1329</v>
      </c>
      <c r="L323" s="52">
        <v>83</v>
      </c>
      <c r="M323" s="52">
        <f t="shared" si="8"/>
        <v>83</v>
      </c>
      <c r="N323" s="52">
        <v>21.5</v>
      </c>
      <c r="O323" s="52">
        <f t="shared" si="9"/>
        <v>21.7</v>
      </c>
      <c r="P323" s="50">
        <v>0</v>
      </c>
    </row>
    <row r="324" spans="1:16" ht="16.5" customHeight="1">
      <c r="A324" s="50" t="s">
        <v>1508</v>
      </c>
      <c r="B324" s="50" t="s">
        <v>1509</v>
      </c>
      <c r="C324" s="50" t="s">
        <v>1510</v>
      </c>
      <c r="D324" s="50" t="s">
        <v>1511</v>
      </c>
      <c r="E324" s="50">
        <v>74418</v>
      </c>
      <c r="F324" s="50" t="s">
        <v>1269</v>
      </c>
      <c r="G324" s="50" t="s">
        <v>1270</v>
      </c>
      <c r="H324" s="50" t="s">
        <v>1271</v>
      </c>
      <c r="I324" s="51" t="s">
        <v>1602</v>
      </c>
      <c r="J324" s="51" t="s">
        <v>1616</v>
      </c>
      <c r="K324" s="51" t="s">
        <v>1331</v>
      </c>
      <c r="L324" s="52">
        <v>82</v>
      </c>
      <c r="M324" s="52">
        <f t="shared" ref="M324:M387" si="10">L324+P324</f>
        <v>82</v>
      </c>
      <c r="N324" s="52">
        <v>21.3</v>
      </c>
      <c r="O324" s="52">
        <f t="shared" ref="O324:O387" si="11">N324+0.2</f>
        <v>21.5</v>
      </c>
      <c r="P324" s="50">
        <v>0</v>
      </c>
    </row>
    <row r="325" spans="1:16" ht="16.5" customHeight="1">
      <c r="A325" s="50" t="s">
        <v>1508</v>
      </c>
      <c r="B325" s="50" t="s">
        <v>1509</v>
      </c>
      <c r="C325" s="50" t="s">
        <v>1510</v>
      </c>
      <c r="D325" s="50" t="s">
        <v>1511</v>
      </c>
      <c r="E325" s="50">
        <v>74418</v>
      </c>
      <c r="F325" s="50" t="s">
        <v>1269</v>
      </c>
      <c r="G325" s="50" t="s">
        <v>1270</v>
      </c>
      <c r="H325" s="50" t="s">
        <v>1271</v>
      </c>
      <c r="I325" s="51" t="s">
        <v>1602</v>
      </c>
      <c r="J325" s="51" t="s">
        <v>1617</v>
      </c>
      <c r="K325" s="51" t="s">
        <v>1333</v>
      </c>
      <c r="L325" s="52">
        <v>83</v>
      </c>
      <c r="M325" s="52">
        <f t="shared" si="10"/>
        <v>83</v>
      </c>
      <c r="N325" s="52">
        <v>21.6</v>
      </c>
      <c r="O325" s="52">
        <f t="shared" si="11"/>
        <v>21.8</v>
      </c>
      <c r="P325" s="50">
        <v>0</v>
      </c>
    </row>
    <row r="326" spans="1:16" ht="16.5" customHeight="1">
      <c r="A326" s="50" t="s">
        <v>1508</v>
      </c>
      <c r="B326" s="50" t="s">
        <v>1509</v>
      </c>
      <c r="C326" s="50" t="s">
        <v>1510</v>
      </c>
      <c r="D326" s="50" t="s">
        <v>1511</v>
      </c>
      <c r="E326" s="50">
        <v>74418</v>
      </c>
      <c r="F326" s="50" t="s">
        <v>1269</v>
      </c>
      <c r="G326" s="50" t="s">
        <v>1270</v>
      </c>
      <c r="H326" s="50" t="s">
        <v>1271</v>
      </c>
      <c r="I326" s="51" t="s">
        <v>1602</v>
      </c>
      <c r="J326" s="51" t="s">
        <v>1618</v>
      </c>
      <c r="K326" s="51" t="s">
        <v>1335</v>
      </c>
      <c r="L326" s="52">
        <v>84</v>
      </c>
      <c r="M326" s="52">
        <f t="shared" si="10"/>
        <v>84</v>
      </c>
      <c r="N326" s="52">
        <v>21.9</v>
      </c>
      <c r="O326" s="52">
        <f t="shared" si="11"/>
        <v>22.099999999999998</v>
      </c>
      <c r="P326" s="50">
        <v>0</v>
      </c>
    </row>
    <row r="327" spans="1:16" ht="16.5" customHeight="1">
      <c r="A327" s="50" t="s">
        <v>1508</v>
      </c>
      <c r="B327" s="50" t="s">
        <v>1509</v>
      </c>
      <c r="C327" s="50" t="s">
        <v>1510</v>
      </c>
      <c r="D327" s="50" t="s">
        <v>1511</v>
      </c>
      <c r="E327" s="50">
        <v>74418</v>
      </c>
      <c r="F327" s="50" t="s">
        <v>1269</v>
      </c>
      <c r="G327" s="50" t="s">
        <v>1270</v>
      </c>
      <c r="H327" s="50" t="s">
        <v>1271</v>
      </c>
      <c r="I327" s="51" t="s">
        <v>1602</v>
      </c>
      <c r="J327" s="51" t="s">
        <v>1619</v>
      </c>
      <c r="K327" s="51" t="s">
        <v>1337</v>
      </c>
      <c r="L327" s="52">
        <v>84</v>
      </c>
      <c r="M327" s="52">
        <f t="shared" si="10"/>
        <v>84</v>
      </c>
      <c r="N327" s="52">
        <v>21.9</v>
      </c>
      <c r="O327" s="52">
        <f t="shared" si="11"/>
        <v>22.099999999999998</v>
      </c>
      <c r="P327" s="50">
        <v>0</v>
      </c>
    </row>
    <row r="328" spans="1:16" ht="16.5" customHeight="1">
      <c r="A328" s="50" t="s">
        <v>1508</v>
      </c>
      <c r="B328" s="50" t="s">
        <v>1509</v>
      </c>
      <c r="C328" s="50" t="s">
        <v>1510</v>
      </c>
      <c r="D328" s="50" t="s">
        <v>1511</v>
      </c>
      <c r="E328" s="50">
        <v>74418</v>
      </c>
      <c r="F328" s="50" t="s">
        <v>1269</v>
      </c>
      <c r="G328" s="50" t="s">
        <v>1270</v>
      </c>
      <c r="H328" s="50" t="s">
        <v>1271</v>
      </c>
      <c r="I328" s="51" t="s">
        <v>1602</v>
      </c>
      <c r="J328" s="51" t="s">
        <v>1620</v>
      </c>
      <c r="K328" s="51" t="s">
        <v>1339</v>
      </c>
      <c r="L328" s="52">
        <v>84</v>
      </c>
      <c r="M328" s="52">
        <f t="shared" si="10"/>
        <v>84</v>
      </c>
      <c r="N328" s="52">
        <v>21.9</v>
      </c>
      <c r="O328" s="52">
        <f t="shared" si="11"/>
        <v>22.099999999999998</v>
      </c>
      <c r="P328" s="50">
        <v>0</v>
      </c>
    </row>
    <row r="329" spans="1:16" ht="16.5" customHeight="1">
      <c r="A329" s="50" t="s">
        <v>1508</v>
      </c>
      <c r="B329" s="50" t="s">
        <v>1509</v>
      </c>
      <c r="C329" s="50" t="s">
        <v>1510</v>
      </c>
      <c r="D329" s="50" t="s">
        <v>1511</v>
      </c>
      <c r="E329" s="50">
        <v>74418</v>
      </c>
      <c r="F329" s="50" t="s">
        <v>1269</v>
      </c>
      <c r="G329" s="50" t="s">
        <v>1270</v>
      </c>
      <c r="H329" s="50" t="s">
        <v>1271</v>
      </c>
      <c r="I329" s="51" t="s">
        <v>1602</v>
      </c>
      <c r="J329" s="51" t="s">
        <v>1621</v>
      </c>
      <c r="K329" s="51" t="s">
        <v>1341</v>
      </c>
      <c r="L329" s="52">
        <v>83</v>
      </c>
      <c r="M329" s="52">
        <f t="shared" si="10"/>
        <v>83</v>
      </c>
      <c r="N329" s="52">
        <v>21.7</v>
      </c>
      <c r="O329" s="52">
        <f t="shared" si="11"/>
        <v>21.9</v>
      </c>
      <c r="P329" s="50">
        <v>0</v>
      </c>
    </row>
    <row r="330" spans="1:16" ht="16.5" customHeight="1">
      <c r="A330" s="50" t="s">
        <v>1508</v>
      </c>
      <c r="B330" s="50" t="s">
        <v>1509</v>
      </c>
      <c r="C330" s="50" t="s">
        <v>1510</v>
      </c>
      <c r="D330" s="50" t="s">
        <v>1511</v>
      </c>
      <c r="E330" s="50">
        <v>74418</v>
      </c>
      <c r="F330" s="50" t="s">
        <v>1269</v>
      </c>
      <c r="G330" s="50" t="s">
        <v>1270</v>
      </c>
      <c r="H330" s="50" t="s">
        <v>1271</v>
      </c>
      <c r="I330" s="51" t="s">
        <v>1602</v>
      </c>
      <c r="J330" s="51" t="s">
        <v>1622</v>
      </c>
      <c r="K330" s="51" t="s">
        <v>1343</v>
      </c>
      <c r="L330" s="52">
        <v>83</v>
      </c>
      <c r="M330" s="52">
        <f t="shared" si="10"/>
        <v>83</v>
      </c>
      <c r="N330" s="52">
        <v>21.5</v>
      </c>
      <c r="O330" s="52">
        <f t="shared" si="11"/>
        <v>21.7</v>
      </c>
      <c r="P330" s="50">
        <v>0</v>
      </c>
    </row>
    <row r="331" spans="1:16" ht="16.5" customHeight="1">
      <c r="A331" s="50" t="s">
        <v>1508</v>
      </c>
      <c r="B331" s="50" t="s">
        <v>1509</v>
      </c>
      <c r="C331" s="50" t="s">
        <v>1510</v>
      </c>
      <c r="D331" s="50" t="s">
        <v>1511</v>
      </c>
      <c r="E331" s="50">
        <v>74418</v>
      </c>
      <c r="F331" s="50" t="s">
        <v>1269</v>
      </c>
      <c r="G331" s="50" t="s">
        <v>1270</v>
      </c>
      <c r="H331" s="50" t="s">
        <v>1271</v>
      </c>
      <c r="I331" s="51" t="s">
        <v>1602</v>
      </c>
      <c r="J331" s="51" t="s">
        <v>1623</v>
      </c>
      <c r="K331" s="51" t="s">
        <v>1624</v>
      </c>
      <c r="L331" s="52">
        <v>84</v>
      </c>
      <c r="M331" s="52">
        <f t="shared" si="10"/>
        <v>84</v>
      </c>
      <c r="N331" s="52">
        <v>21.8</v>
      </c>
      <c r="O331" s="52">
        <f t="shared" si="11"/>
        <v>22</v>
      </c>
      <c r="P331" s="50">
        <v>0</v>
      </c>
    </row>
    <row r="332" spans="1:16" ht="16.5" customHeight="1">
      <c r="A332" s="50" t="s">
        <v>1508</v>
      </c>
      <c r="B332" s="50" t="s">
        <v>1509</v>
      </c>
      <c r="C332" s="50" t="s">
        <v>1510</v>
      </c>
      <c r="D332" s="50" t="s">
        <v>1511</v>
      </c>
      <c r="E332" s="50">
        <v>74418</v>
      </c>
      <c r="F332" s="50" t="s">
        <v>1269</v>
      </c>
      <c r="G332" s="50" t="s">
        <v>1270</v>
      </c>
      <c r="H332" s="50" t="s">
        <v>1271</v>
      </c>
      <c r="I332" s="51" t="s">
        <v>1602</v>
      </c>
      <c r="J332" s="51" t="s">
        <v>1625</v>
      </c>
      <c r="K332" s="51" t="s">
        <v>1349</v>
      </c>
      <c r="L332" s="52">
        <v>83</v>
      </c>
      <c r="M332" s="52">
        <f t="shared" si="10"/>
        <v>83</v>
      </c>
      <c r="N332" s="52">
        <v>21.7</v>
      </c>
      <c r="O332" s="52">
        <f t="shared" si="11"/>
        <v>21.9</v>
      </c>
      <c r="P332" s="50">
        <v>0</v>
      </c>
    </row>
    <row r="333" spans="1:16" ht="16.5" customHeight="1">
      <c r="A333" s="50" t="s">
        <v>1508</v>
      </c>
      <c r="B333" s="50" t="s">
        <v>1509</v>
      </c>
      <c r="C333" s="50" t="s">
        <v>1510</v>
      </c>
      <c r="D333" s="50" t="s">
        <v>1511</v>
      </c>
      <c r="E333" s="50">
        <v>74418</v>
      </c>
      <c r="F333" s="50" t="s">
        <v>1269</v>
      </c>
      <c r="G333" s="50" t="s">
        <v>1270</v>
      </c>
      <c r="H333" s="50" t="s">
        <v>1271</v>
      </c>
      <c r="I333" s="51" t="s">
        <v>1602</v>
      </c>
      <c r="J333" s="51" t="s">
        <v>1626</v>
      </c>
      <c r="K333" s="51" t="s">
        <v>1351</v>
      </c>
      <c r="L333" s="52">
        <v>84</v>
      </c>
      <c r="M333" s="52">
        <f t="shared" si="10"/>
        <v>84</v>
      </c>
      <c r="N333" s="52">
        <v>21.9</v>
      </c>
      <c r="O333" s="52">
        <f t="shared" si="11"/>
        <v>22.099999999999998</v>
      </c>
      <c r="P333" s="50">
        <v>0</v>
      </c>
    </row>
    <row r="334" spans="1:16" ht="16.5" customHeight="1">
      <c r="A334" s="50" t="s">
        <v>1508</v>
      </c>
      <c r="B334" s="50" t="s">
        <v>1509</v>
      </c>
      <c r="C334" s="50" t="s">
        <v>1510</v>
      </c>
      <c r="D334" s="50" t="s">
        <v>1511</v>
      </c>
      <c r="E334" s="50">
        <v>74418</v>
      </c>
      <c r="F334" s="50" t="s">
        <v>1269</v>
      </c>
      <c r="G334" s="50" t="s">
        <v>1270</v>
      </c>
      <c r="H334" s="50" t="s">
        <v>1271</v>
      </c>
      <c r="I334" s="51" t="s">
        <v>1602</v>
      </c>
      <c r="J334" s="51" t="s">
        <v>1627</v>
      </c>
      <c r="K334" s="51" t="s">
        <v>1353</v>
      </c>
      <c r="L334" s="52">
        <v>84</v>
      </c>
      <c r="M334" s="52">
        <f t="shared" si="10"/>
        <v>84</v>
      </c>
      <c r="N334" s="52">
        <v>21.9</v>
      </c>
      <c r="O334" s="52">
        <f t="shared" si="11"/>
        <v>22.099999999999998</v>
      </c>
      <c r="P334" s="50">
        <v>0</v>
      </c>
    </row>
    <row r="335" spans="1:16" ht="16.5" customHeight="1">
      <c r="A335" s="50" t="s">
        <v>1508</v>
      </c>
      <c r="B335" s="50" t="s">
        <v>1509</v>
      </c>
      <c r="C335" s="50" t="s">
        <v>1510</v>
      </c>
      <c r="D335" s="50" t="s">
        <v>1511</v>
      </c>
      <c r="E335" s="50">
        <v>74418</v>
      </c>
      <c r="F335" s="50" t="s">
        <v>1269</v>
      </c>
      <c r="G335" s="50" t="s">
        <v>1270</v>
      </c>
      <c r="H335" s="50" t="s">
        <v>1271</v>
      </c>
      <c r="I335" s="51" t="s">
        <v>1602</v>
      </c>
      <c r="J335" s="51" t="s">
        <v>1628</v>
      </c>
      <c r="K335" s="51" t="s">
        <v>1355</v>
      </c>
      <c r="L335" s="52">
        <v>81</v>
      </c>
      <c r="M335" s="52">
        <f t="shared" si="10"/>
        <v>81</v>
      </c>
      <c r="N335" s="52">
        <v>21</v>
      </c>
      <c r="O335" s="52">
        <f t="shared" si="11"/>
        <v>21.2</v>
      </c>
      <c r="P335" s="50">
        <v>0</v>
      </c>
    </row>
    <row r="336" spans="1:16" ht="16.5" customHeight="1">
      <c r="A336" s="50" t="s">
        <v>1508</v>
      </c>
      <c r="B336" s="50" t="s">
        <v>1509</v>
      </c>
      <c r="C336" s="50" t="s">
        <v>1510</v>
      </c>
      <c r="D336" s="50" t="s">
        <v>1511</v>
      </c>
      <c r="E336" s="50">
        <v>74418</v>
      </c>
      <c r="F336" s="50" t="s">
        <v>1269</v>
      </c>
      <c r="G336" s="50" t="s">
        <v>1270</v>
      </c>
      <c r="H336" s="50" t="s">
        <v>1271</v>
      </c>
      <c r="I336" s="51" t="s">
        <v>1602</v>
      </c>
      <c r="J336" s="51" t="s">
        <v>1629</v>
      </c>
      <c r="K336" s="51" t="s">
        <v>1357</v>
      </c>
      <c r="L336" s="52">
        <v>83</v>
      </c>
      <c r="M336" s="52">
        <f t="shared" si="10"/>
        <v>83</v>
      </c>
      <c r="N336" s="52">
        <v>21.6</v>
      </c>
      <c r="O336" s="52">
        <f t="shared" si="11"/>
        <v>21.8</v>
      </c>
      <c r="P336" s="50">
        <v>0</v>
      </c>
    </row>
    <row r="337" spans="1:16" ht="16.5" customHeight="1">
      <c r="A337" s="50" t="s">
        <v>1508</v>
      </c>
      <c r="B337" s="50" t="s">
        <v>1509</v>
      </c>
      <c r="C337" s="50" t="s">
        <v>1510</v>
      </c>
      <c r="D337" s="50" t="s">
        <v>1511</v>
      </c>
      <c r="E337" s="50">
        <v>74418</v>
      </c>
      <c r="F337" s="50" t="s">
        <v>1269</v>
      </c>
      <c r="G337" s="50" t="s">
        <v>1270</v>
      </c>
      <c r="H337" s="50" t="s">
        <v>1271</v>
      </c>
      <c r="I337" s="51" t="s">
        <v>1602</v>
      </c>
      <c r="J337" s="51" t="s">
        <v>1630</v>
      </c>
      <c r="K337" s="51" t="s">
        <v>1359</v>
      </c>
      <c r="L337" s="52">
        <v>84</v>
      </c>
      <c r="M337" s="52">
        <f t="shared" si="10"/>
        <v>84</v>
      </c>
      <c r="N337" s="52">
        <v>21.8</v>
      </c>
      <c r="O337" s="52">
        <f t="shared" si="11"/>
        <v>22</v>
      </c>
      <c r="P337" s="50">
        <v>0</v>
      </c>
    </row>
    <row r="338" spans="1:16" ht="16.5" customHeight="1">
      <c r="A338" s="50" t="s">
        <v>1508</v>
      </c>
      <c r="B338" s="50" t="s">
        <v>1509</v>
      </c>
      <c r="C338" s="50" t="s">
        <v>1510</v>
      </c>
      <c r="D338" s="50" t="s">
        <v>1511</v>
      </c>
      <c r="E338" s="50">
        <v>74418</v>
      </c>
      <c r="F338" s="50" t="s">
        <v>1269</v>
      </c>
      <c r="G338" s="50" t="s">
        <v>1270</v>
      </c>
      <c r="H338" s="50" t="s">
        <v>1271</v>
      </c>
      <c r="I338" s="51" t="s">
        <v>1602</v>
      </c>
      <c r="J338" s="51" t="s">
        <v>1631</v>
      </c>
      <c r="K338" s="51" t="s">
        <v>1361</v>
      </c>
      <c r="L338" s="52">
        <v>81</v>
      </c>
      <c r="M338" s="52">
        <f t="shared" si="10"/>
        <v>84</v>
      </c>
      <c r="N338" s="52">
        <v>21.9</v>
      </c>
      <c r="O338" s="52">
        <f t="shared" si="11"/>
        <v>22.099999999999998</v>
      </c>
      <c r="P338" s="50">
        <v>3</v>
      </c>
    </row>
    <row r="339" spans="1:16" ht="16.5" customHeight="1">
      <c r="A339" s="50" t="s">
        <v>1508</v>
      </c>
      <c r="B339" s="50" t="s">
        <v>1509</v>
      </c>
      <c r="C339" s="50" t="s">
        <v>1510</v>
      </c>
      <c r="D339" s="50" t="s">
        <v>1511</v>
      </c>
      <c r="E339" s="50">
        <v>74418</v>
      </c>
      <c r="F339" s="50" t="s">
        <v>1269</v>
      </c>
      <c r="G339" s="50" t="s">
        <v>1270</v>
      </c>
      <c r="H339" s="50" t="s">
        <v>1271</v>
      </c>
      <c r="I339" s="51" t="s">
        <v>1602</v>
      </c>
      <c r="J339" s="51" t="s">
        <v>1632</v>
      </c>
      <c r="K339" s="51" t="s">
        <v>1363</v>
      </c>
      <c r="L339" s="52">
        <v>84</v>
      </c>
      <c r="M339" s="52">
        <f t="shared" si="10"/>
        <v>84</v>
      </c>
      <c r="N339" s="52">
        <v>21.9</v>
      </c>
      <c r="O339" s="52">
        <f t="shared" si="11"/>
        <v>22.099999999999998</v>
      </c>
      <c r="P339" s="50">
        <v>0</v>
      </c>
    </row>
    <row r="340" spans="1:16" ht="16.5" customHeight="1">
      <c r="A340" s="50" t="s">
        <v>1508</v>
      </c>
      <c r="B340" s="50" t="s">
        <v>1509</v>
      </c>
      <c r="C340" s="50" t="s">
        <v>1510</v>
      </c>
      <c r="D340" s="50" t="s">
        <v>1511</v>
      </c>
      <c r="E340" s="50">
        <v>74418</v>
      </c>
      <c r="F340" s="50" t="s">
        <v>1269</v>
      </c>
      <c r="G340" s="50" t="s">
        <v>1270</v>
      </c>
      <c r="H340" s="50" t="s">
        <v>1271</v>
      </c>
      <c r="I340" s="51" t="s">
        <v>1602</v>
      </c>
      <c r="J340" s="51" t="s">
        <v>1633</v>
      </c>
      <c r="K340" s="51" t="s">
        <v>1365</v>
      </c>
      <c r="L340" s="52">
        <v>84</v>
      </c>
      <c r="M340" s="52">
        <f t="shared" si="10"/>
        <v>84</v>
      </c>
      <c r="N340" s="52">
        <v>21.8</v>
      </c>
      <c r="O340" s="52">
        <f t="shared" si="11"/>
        <v>22</v>
      </c>
      <c r="P340" s="50">
        <v>0</v>
      </c>
    </row>
    <row r="341" spans="1:16" ht="16.5" customHeight="1">
      <c r="A341" s="50" t="s">
        <v>1508</v>
      </c>
      <c r="B341" s="50" t="s">
        <v>1509</v>
      </c>
      <c r="C341" s="50" t="s">
        <v>1510</v>
      </c>
      <c r="D341" s="50" t="s">
        <v>1511</v>
      </c>
      <c r="E341" s="50">
        <v>74418</v>
      </c>
      <c r="F341" s="50" t="s">
        <v>1269</v>
      </c>
      <c r="G341" s="50" t="s">
        <v>1270</v>
      </c>
      <c r="H341" s="50" t="s">
        <v>1271</v>
      </c>
      <c r="I341" s="51" t="s">
        <v>1602</v>
      </c>
      <c r="J341" s="51" t="s">
        <v>1634</v>
      </c>
      <c r="K341" s="51" t="s">
        <v>1367</v>
      </c>
      <c r="L341" s="52">
        <v>83</v>
      </c>
      <c r="M341" s="52">
        <f t="shared" si="10"/>
        <v>83</v>
      </c>
      <c r="N341" s="52">
        <v>21.7</v>
      </c>
      <c r="O341" s="52">
        <f t="shared" si="11"/>
        <v>21.9</v>
      </c>
      <c r="P341" s="50">
        <v>0</v>
      </c>
    </row>
    <row r="342" spans="1:16" ht="16.5" customHeight="1">
      <c r="A342" s="50" t="s">
        <v>1508</v>
      </c>
      <c r="B342" s="50" t="s">
        <v>1509</v>
      </c>
      <c r="C342" s="50" t="s">
        <v>1510</v>
      </c>
      <c r="D342" s="50" t="s">
        <v>1511</v>
      </c>
      <c r="E342" s="50">
        <v>74418</v>
      </c>
      <c r="F342" s="50" t="s">
        <v>1269</v>
      </c>
      <c r="G342" s="50" t="s">
        <v>1270</v>
      </c>
      <c r="H342" s="50" t="s">
        <v>1271</v>
      </c>
      <c r="I342" s="51" t="s">
        <v>1602</v>
      </c>
      <c r="J342" s="51" t="s">
        <v>1635</v>
      </c>
      <c r="K342" s="51" t="s">
        <v>1369</v>
      </c>
      <c r="L342" s="52">
        <v>79</v>
      </c>
      <c r="M342" s="52">
        <f t="shared" si="10"/>
        <v>83</v>
      </c>
      <c r="N342" s="52">
        <v>21.5</v>
      </c>
      <c r="O342" s="52">
        <f t="shared" si="11"/>
        <v>21.7</v>
      </c>
      <c r="P342" s="50">
        <v>4</v>
      </c>
    </row>
    <row r="343" spans="1:16" ht="16.5" customHeight="1">
      <c r="A343" s="50" t="s">
        <v>1508</v>
      </c>
      <c r="B343" s="50" t="s">
        <v>1509</v>
      </c>
      <c r="C343" s="50" t="s">
        <v>1510</v>
      </c>
      <c r="D343" s="50" t="s">
        <v>1511</v>
      </c>
      <c r="E343" s="50">
        <v>74418</v>
      </c>
      <c r="F343" s="50" t="s">
        <v>1269</v>
      </c>
      <c r="G343" s="50" t="s">
        <v>1270</v>
      </c>
      <c r="H343" s="50" t="s">
        <v>1271</v>
      </c>
      <c r="I343" s="51" t="s">
        <v>1602</v>
      </c>
      <c r="J343" s="51" t="s">
        <v>1636</v>
      </c>
      <c r="K343" s="51" t="s">
        <v>1371</v>
      </c>
      <c r="L343" s="52">
        <v>83</v>
      </c>
      <c r="M343" s="52">
        <f t="shared" si="10"/>
        <v>83</v>
      </c>
      <c r="N343" s="52">
        <v>21.7</v>
      </c>
      <c r="O343" s="52">
        <f t="shared" si="11"/>
        <v>21.9</v>
      </c>
      <c r="P343" s="50">
        <v>0</v>
      </c>
    </row>
    <row r="344" spans="1:16" ht="16.5" customHeight="1">
      <c r="A344" s="50" t="s">
        <v>1508</v>
      </c>
      <c r="B344" s="50" t="s">
        <v>1509</v>
      </c>
      <c r="C344" s="50" t="s">
        <v>1510</v>
      </c>
      <c r="D344" s="50" t="s">
        <v>1511</v>
      </c>
      <c r="E344" s="50">
        <v>74418</v>
      </c>
      <c r="F344" s="50" t="s">
        <v>1269</v>
      </c>
      <c r="G344" s="50" t="s">
        <v>1270</v>
      </c>
      <c r="H344" s="50" t="s">
        <v>1271</v>
      </c>
      <c r="I344" s="51" t="s">
        <v>1602</v>
      </c>
      <c r="J344" s="51" t="s">
        <v>1637</v>
      </c>
      <c r="K344" s="51" t="s">
        <v>1638</v>
      </c>
      <c r="L344" s="52">
        <v>84</v>
      </c>
      <c r="M344" s="52">
        <f t="shared" si="10"/>
        <v>84</v>
      </c>
      <c r="N344" s="52">
        <v>21.8</v>
      </c>
      <c r="O344" s="52">
        <f t="shared" si="11"/>
        <v>22</v>
      </c>
      <c r="P344" s="50">
        <v>0</v>
      </c>
    </row>
    <row r="345" spans="1:16" ht="16.5" customHeight="1">
      <c r="A345" s="50" t="s">
        <v>1508</v>
      </c>
      <c r="B345" s="50" t="s">
        <v>1509</v>
      </c>
      <c r="C345" s="50" t="s">
        <v>1510</v>
      </c>
      <c r="D345" s="50" t="s">
        <v>1511</v>
      </c>
      <c r="E345" s="50">
        <v>74418</v>
      </c>
      <c r="F345" s="50" t="s">
        <v>1269</v>
      </c>
      <c r="G345" s="50" t="s">
        <v>1270</v>
      </c>
      <c r="H345" s="50" t="s">
        <v>1271</v>
      </c>
      <c r="I345" s="51" t="s">
        <v>1602</v>
      </c>
      <c r="J345" s="51" t="s">
        <v>1639</v>
      </c>
      <c r="K345" s="51" t="s">
        <v>1373</v>
      </c>
      <c r="L345" s="52">
        <v>83</v>
      </c>
      <c r="M345" s="52">
        <f t="shared" si="10"/>
        <v>83</v>
      </c>
      <c r="N345" s="52">
        <v>21.7</v>
      </c>
      <c r="O345" s="52">
        <f t="shared" si="11"/>
        <v>21.9</v>
      </c>
      <c r="P345" s="50">
        <v>0</v>
      </c>
    </row>
    <row r="346" spans="1:16" ht="16.5" customHeight="1">
      <c r="A346" s="50" t="s">
        <v>1508</v>
      </c>
      <c r="B346" s="50" t="s">
        <v>1509</v>
      </c>
      <c r="C346" s="50" t="s">
        <v>1510</v>
      </c>
      <c r="D346" s="50" t="s">
        <v>1511</v>
      </c>
      <c r="E346" s="50">
        <v>74418</v>
      </c>
      <c r="F346" s="50" t="s">
        <v>1269</v>
      </c>
      <c r="G346" s="50" t="s">
        <v>1270</v>
      </c>
      <c r="H346" s="50" t="s">
        <v>1271</v>
      </c>
      <c r="I346" s="51" t="s">
        <v>1602</v>
      </c>
      <c r="J346" s="51" t="s">
        <v>1640</v>
      </c>
      <c r="K346" s="51" t="s">
        <v>1375</v>
      </c>
      <c r="L346" s="52">
        <v>84</v>
      </c>
      <c r="M346" s="52">
        <f t="shared" si="10"/>
        <v>84</v>
      </c>
      <c r="N346" s="52">
        <v>21.8</v>
      </c>
      <c r="O346" s="52">
        <f t="shared" si="11"/>
        <v>22</v>
      </c>
      <c r="P346" s="50">
        <v>0</v>
      </c>
    </row>
    <row r="347" spans="1:16" ht="16.5" customHeight="1">
      <c r="A347" s="50" t="s">
        <v>1508</v>
      </c>
      <c r="B347" s="50" t="s">
        <v>1509</v>
      </c>
      <c r="C347" s="50" t="s">
        <v>1510</v>
      </c>
      <c r="D347" s="50" t="s">
        <v>1511</v>
      </c>
      <c r="E347" s="50">
        <v>74418</v>
      </c>
      <c r="F347" s="50" t="s">
        <v>1269</v>
      </c>
      <c r="G347" s="50" t="s">
        <v>1270</v>
      </c>
      <c r="H347" s="50" t="s">
        <v>1271</v>
      </c>
      <c r="I347" s="51" t="s">
        <v>1602</v>
      </c>
      <c r="J347" s="51" t="s">
        <v>1641</v>
      </c>
      <c r="K347" s="51" t="s">
        <v>1377</v>
      </c>
      <c r="L347" s="52">
        <v>80</v>
      </c>
      <c r="M347" s="52">
        <f t="shared" si="10"/>
        <v>83</v>
      </c>
      <c r="N347" s="52">
        <v>21.7</v>
      </c>
      <c r="O347" s="52">
        <f t="shared" si="11"/>
        <v>21.9</v>
      </c>
      <c r="P347" s="50">
        <v>3</v>
      </c>
    </row>
    <row r="348" spans="1:16" ht="16.5" customHeight="1">
      <c r="A348" s="50" t="s">
        <v>1508</v>
      </c>
      <c r="B348" s="50" t="s">
        <v>1509</v>
      </c>
      <c r="C348" s="50" t="s">
        <v>1510</v>
      </c>
      <c r="D348" s="50" t="s">
        <v>1511</v>
      </c>
      <c r="E348" s="50">
        <v>74418</v>
      </c>
      <c r="F348" s="50" t="s">
        <v>1269</v>
      </c>
      <c r="G348" s="50" t="s">
        <v>1270</v>
      </c>
      <c r="H348" s="50" t="s">
        <v>1271</v>
      </c>
      <c r="I348" s="51" t="s">
        <v>1602</v>
      </c>
      <c r="J348" s="51" t="s">
        <v>1642</v>
      </c>
      <c r="K348" s="51" t="s">
        <v>1643</v>
      </c>
      <c r="L348" s="52">
        <v>84</v>
      </c>
      <c r="M348" s="52">
        <f t="shared" si="10"/>
        <v>84</v>
      </c>
      <c r="N348" s="52">
        <v>21.8</v>
      </c>
      <c r="O348" s="52">
        <f t="shared" si="11"/>
        <v>22</v>
      </c>
      <c r="P348" s="50">
        <v>0</v>
      </c>
    </row>
    <row r="349" spans="1:16" ht="16.5" customHeight="1">
      <c r="A349" s="50" t="s">
        <v>1508</v>
      </c>
      <c r="B349" s="50" t="s">
        <v>1509</v>
      </c>
      <c r="C349" s="50" t="s">
        <v>1510</v>
      </c>
      <c r="D349" s="50" t="s">
        <v>1511</v>
      </c>
      <c r="E349" s="50">
        <v>74418</v>
      </c>
      <c r="F349" s="50" t="s">
        <v>1269</v>
      </c>
      <c r="G349" s="50" t="s">
        <v>1270</v>
      </c>
      <c r="H349" s="50" t="s">
        <v>1271</v>
      </c>
      <c r="I349" s="51" t="s">
        <v>1602</v>
      </c>
      <c r="J349" s="51" t="s">
        <v>1644</v>
      </c>
      <c r="K349" s="51" t="s">
        <v>1291</v>
      </c>
      <c r="L349" s="52">
        <v>85</v>
      </c>
      <c r="M349" s="52">
        <f t="shared" si="10"/>
        <v>85</v>
      </c>
      <c r="N349" s="52">
        <v>22</v>
      </c>
      <c r="O349" s="52">
        <f t="shared" si="11"/>
        <v>22.2</v>
      </c>
      <c r="P349" s="50">
        <v>0</v>
      </c>
    </row>
    <row r="350" spans="1:16" ht="16.5" customHeight="1">
      <c r="A350" s="50" t="s">
        <v>1508</v>
      </c>
      <c r="B350" s="50" t="s">
        <v>1509</v>
      </c>
      <c r="C350" s="50" t="s">
        <v>1510</v>
      </c>
      <c r="D350" s="50" t="s">
        <v>1511</v>
      </c>
      <c r="E350" s="50">
        <v>74418</v>
      </c>
      <c r="F350" s="50" t="s">
        <v>1269</v>
      </c>
      <c r="G350" s="50" t="s">
        <v>1270</v>
      </c>
      <c r="H350" s="50" t="s">
        <v>1271</v>
      </c>
      <c r="I350" s="51" t="s">
        <v>1602</v>
      </c>
      <c r="J350" s="51" t="s">
        <v>1645</v>
      </c>
      <c r="K350" s="51" t="s">
        <v>1293</v>
      </c>
      <c r="L350" s="52">
        <v>84</v>
      </c>
      <c r="M350" s="52">
        <f t="shared" si="10"/>
        <v>84</v>
      </c>
      <c r="N350" s="52">
        <v>21.8</v>
      </c>
      <c r="O350" s="52">
        <f t="shared" si="11"/>
        <v>22</v>
      </c>
      <c r="P350" s="50">
        <v>0</v>
      </c>
    </row>
    <row r="351" spans="1:16" ht="16.5" customHeight="1">
      <c r="A351" s="50" t="s">
        <v>1508</v>
      </c>
      <c r="B351" s="50" t="s">
        <v>1509</v>
      </c>
      <c r="C351" s="50" t="s">
        <v>1510</v>
      </c>
      <c r="D351" s="50" t="s">
        <v>1511</v>
      </c>
      <c r="E351" s="50">
        <v>74418</v>
      </c>
      <c r="F351" s="50" t="s">
        <v>1269</v>
      </c>
      <c r="G351" s="50" t="s">
        <v>1270</v>
      </c>
      <c r="H351" s="50" t="s">
        <v>1271</v>
      </c>
      <c r="I351" s="51" t="s">
        <v>1602</v>
      </c>
      <c r="J351" s="51" t="s">
        <v>1646</v>
      </c>
      <c r="K351" s="51" t="s">
        <v>1295</v>
      </c>
      <c r="L351" s="52">
        <v>84</v>
      </c>
      <c r="M351" s="52">
        <f t="shared" si="10"/>
        <v>84</v>
      </c>
      <c r="N351" s="52">
        <v>21.8</v>
      </c>
      <c r="O351" s="52">
        <f t="shared" si="11"/>
        <v>22</v>
      </c>
      <c r="P351" s="50">
        <v>0</v>
      </c>
    </row>
    <row r="352" spans="1:16" ht="16.5" customHeight="1">
      <c r="A352" s="50" t="s">
        <v>1508</v>
      </c>
      <c r="B352" s="50" t="s">
        <v>1509</v>
      </c>
      <c r="C352" s="50" t="s">
        <v>1510</v>
      </c>
      <c r="D352" s="50" t="s">
        <v>1511</v>
      </c>
      <c r="E352" s="50">
        <v>74418</v>
      </c>
      <c r="F352" s="50" t="s">
        <v>1269</v>
      </c>
      <c r="G352" s="50" t="s">
        <v>1270</v>
      </c>
      <c r="H352" s="50" t="s">
        <v>1271</v>
      </c>
      <c r="I352" s="51" t="s">
        <v>1602</v>
      </c>
      <c r="J352" s="51" t="s">
        <v>1647</v>
      </c>
      <c r="K352" s="51" t="s">
        <v>1297</v>
      </c>
      <c r="L352" s="52">
        <v>81</v>
      </c>
      <c r="M352" s="52">
        <f t="shared" si="10"/>
        <v>81</v>
      </c>
      <c r="N352" s="52">
        <v>21</v>
      </c>
      <c r="O352" s="52">
        <f t="shared" si="11"/>
        <v>21.2</v>
      </c>
      <c r="P352" s="50">
        <v>0</v>
      </c>
    </row>
    <row r="353" spans="1:16" ht="16.5" customHeight="1">
      <c r="A353" s="50" t="s">
        <v>1508</v>
      </c>
      <c r="B353" s="50" t="s">
        <v>1509</v>
      </c>
      <c r="C353" s="50" t="s">
        <v>1510</v>
      </c>
      <c r="D353" s="50" t="s">
        <v>1511</v>
      </c>
      <c r="E353" s="50">
        <v>74418</v>
      </c>
      <c r="F353" s="50" t="s">
        <v>1269</v>
      </c>
      <c r="G353" s="50" t="s">
        <v>1270</v>
      </c>
      <c r="H353" s="50" t="s">
        <v>1271</v>
      </c>
      <c r="I353" s="51" t="s">
        <v>1602</v>
      </c>
      <c r="J353" s="51" t="s">
        <v>1648</v>
      </c>
      <c r="K353" s="51" t="s">
        <v>1299</v>
      </c>
      <c r="L353" s="52">
        <v>77</v>
      </c>
      <c r="M353" s="52">
        <f t="shared" si="10"/>
        <v>82</v>
      </c>
      <c r="N353" s="52">
        <v>21.2</v>
      </c>
      <c r="O353" s="52">
        <f t="shared" si="11"/>
        <v>21.4</v>
      </c>
      <c r="P353" s="50">
        <v>5</v>
      </c>
    </row>
    <row r="354" spans="1:16" ht="16.5" customHeight="1">
      <c r="A354" s="50" t="s">
        <v>1508</v>
      </c>
      <c r="B354" s="50" t="s">
        <v>1509</v>
      </c>
      <c r="C354" s="50" t="s">
        <v>1510</v>
      </c>
      <c r="D354" s="50" t="s">
        <v>1511</v>
      </c>
      <c r="E354" s="50">
        <v>74418</v>
      </c>
      <c r="F354" s="50" t="s">
        <v>1269</v>
      </c>
      <c r="G354" s="50" t="s">
        <v>1270</v>
      </c>
      <c r="H354" s="50" t="s">
        <v>1271</v>
      </c>
      <c r="I354" s="51" t="s">
        <v>1649</v>
      </c>
      <c r="J354" s="51" t="s">
        <v>1650</v>
      </c>
      <c r="K354" s="51" t="s">
        <v>1301</v>
      </c>
      <c r="L354" s="52">
        <v>83</v>
      </c>
      <c r="M354" s="52">
        <f t="shared" si="10"/>
        <v>83</v>
      </c>
      <c r="N354" s="52">
        <v>21.9</v>
      </c>
      <c r="O354" s="52">
        <f t="shared" si="11"/>
        <v>22.099999999999998</v>
      </c>
      <c r="P354" s="50">
        <v>0</v>
      </c>
    </row>
    <row r="355" spans="1:16" ht="16.5" customHeight="1">
      <c r="A355" s="50" t="s">
        <v>1508</v>
      </c>
      <c r="B355" s="50" t="s">
        <v>1509</v>
      </c>
      <c r="C355" s="50" t="s">
        <v>1510</v>
      </c>
      <c r="D355" s="50" t="s">
        <v>1511</v>
      </c>
      <c r="E355" s="50">
        <v>74418</v>
      </c>
      <c r="F355" s="50" t="s">
        <v>1269</v>
      </c>
      <c r="G355" s="50" t="s">
        <v>1270</v>
      </c>
      <c r="H355" s="50" t="s">
        <v>1271</v>
      </c>
      <c r="I355" s="51" t="s">
        <v>1649</v>
      </c>
      <c r="J355" s="51" t="s">
        <v>1651</v>
      </c>
      <c r="K355" s="51" t="s">
        <v>1303</v>
      </c>
      <c r="L355" s="52">
        <v>81</v>
      </c>
      <c r="M355" s="52">
        <f t="shared" si="10"/>
        <v>81</v>
      </c>
      <c r="N355" s="52">
        <v>21.4</v>
      </c>
      <c r="O355" s="52">
        <f t="shared" si="11"/>
        <v>21.599999999999998</v>
      </c>
      <c r="P355" s="50">
        <v>0</v>
      </c>
    </row>
    <row r="356" spans="1:16" ht="16.5" customHeight="1">
      <c r="A356" s="50" t="s">
        <v>1508</v>
      </c>
      <c r="B356" s="50" t="s">
        <v>1509</v>
      </c>
      <c r="C356" s="50" t="s">
        <v>1510</v>
      </c>
      <c r="D356" s="50" t="s">
        <v>1511</v>
      </c>
      <c r="E356" s="50">
        <v>74418</v>
      </c>
      <c r="F356" s="50" t="s">
        <v>1269</v>
      </c>
      <c r="G356" s="50" t="s">
        <v>1270</v>
      </c>
      <c r="H356" s="50" t="s">
        <v>1271</v>
      </c>
      <c r="I356" s="51" t="s">
        <v>1649</v>
      </c>
      <c r="J356" s="51" t="s">
        <v>1652</v>
      </c>
      <c r="K356" s="51" t="s">
        <v>1305</v>
      </c>
      <c r="L356" s="52">
        <v>79</v>
      </c>
      <c r="M356" s="52">
        <f t="shared" si="10"/>
        <v>82</v>
      </c>
      <c r="N356" s="52">
        <v>21.5</v>
      </c>
      <c r="O356" s="52">
        <f t="shared" si="11"/>
        <v>21.7</v>
      </c>
      <c r="P356" s="50">
        <v>3</v>
      </c>
    </row>
    <row r="357" spans="1:16" ht="16.5" customHeight="1">
      <c r="A357" s="50" t="s">
        <v>1508</v>
      </c>
      <c r="B357" s="50" t="s">
        <v>1509</v>
      </c>
      <c r="C357" s="50" t="s">
        <v>1510</v>
      </c>
      <c r="D357" s="50" t="s">
        <v>1511</v>
      </c>
      <c r="E357" s="50">
        <v>74418</v>
      </c>
      <c r="F357" s="50" t="s">
        <v>1269</v>
      </c>
      <c r="G357" s="50" t="s">
        <v>1270</v>
      </c>
      <c r="H357" s="50" t="s">
        <v>1271</v>
      </c>
      <c r="I357" s="51" t="s">
        <v>1649</v>
      </c>
      <c r="J357" s="51" t="s">
        <v>1653</v>
      </c>
      <c r="K357" s="51" t="s">
        <v>1274</v>
      </c>
      <c r="L357" s="52">
        <v>81</v>
      </c>
      <c r="M357" s="52">
        <f t="shared" si="10"/>
        <v>84</v>
      </c>
      <c r="N357" s="52">
        <v>22</v>
      </c>
      <c r="O357" s="52">
        <f t="shared" si="11"/>
        <v>22.2</v>
      </c>
      <c r="P357" s="50">
        <v>3</v>
      </c>
    </row>
    <row r="358" spans="1:16" ht="16.5" customHeight="1">
      <c r="A358" s="50" t="s">
        <v>1508</v>
      </c>
      <c r="B358" s="50" t="s">
        <v>1509</v>
      </c>
      <c r="C358" s="50" t="s">
        <v>1510</v>
      </c>
      <c r="D358" s="50" t="s">
        <v>1511</v>
      </c>
      <c r="E358" s="50">
        <v>74418</v>
      </c>
      <c r="F358" s="50" t="s">
        <v>1269</v>
      </c>
      <c r="G358" s="50" t="s">
        <v>1270</v>
      </c>
      <c r="H358" s="50" t="s">
        <v>1271</v>
      </c>
      <c r="I358" s="51" t="s">
        <v>1649</v>
      </c>
      <c r="J358" s="51" t="s">
        <v>1654</v>
      </c>
      <c r="K358" s="51" t="s">
        <v>1276</v>
      </c>
      <c r="L358" s="52">
        <v>81</v>
      </c>
      <c r="M358" s="52">
        <f t="shared" si="10"/>
        <v>84</v>
      </c>
      <c r="N358" s="52">
        <v>21.9</v>
      </c>
      <c r="O358" s="52">
        <f t="shared" si="11"/>
        <v>22.099999999999998</v>
      </c>
      <c r="P358" s="50">
        <v>3</v>
      </c>
    </row>
    <row r="359" spans="1:16" ht="16.5" customHeight="1">
      <c r="A359" s="50" t="s">
        <v>1508</v>
      </c>
      <c r="B359" s="50" t="s">
        <v>1509</v>
      </c>
      <c r="C359" s="50" t="s">
        <v>1510</v>
      </c>
      <c r="D359" s="50" t="s">
        <v>1511</v>
      </c>
      <c r="E359" s="50">
        <v>74418</v>
      </c>
      <c r="F359" s="50" t="s">
        <v>1269</v>
      </c>
      <c r="G359" s="50" t="s">
        <v>1270</v>
      </c>
      <c r="H359" s="50" t="s">
        <v>1271</v>
      </c>
      <c r="I359" s="51" t="s">
        <v>1649</v>
      </c>
      <c r="J359" s="51" t="s">
        <v>1655</v>
      </c>
      <c r="K359" s="51" t="s">
        <v>1278</v>
      </c>
      <c r="L359" s="52">
        <v>81</v>
      </c>
      <c r="M359" s="52">
        <f t="shared" si="10"/>
        <v>84</v>
      </c>
      <c r="N359" s="52">
        <v>21.9</v>
      </c>
      <c r="O359" s="52">
        <f t="shared" si="11"/>
        <v>22.099999999999998</v>
      </c>
      <c r="P359" s="50">
        <v>3</v>
      </c>
    </row>
    <row r="360" spans="1:16" ht="16.5" customHeight="1">
      <c r="A360" s="50" t="s">
        <v>1508</v>
      </c>
      <c r="B360" s="50" t="s">
        <v>1509</v>
      </c>
      <c r="C360" s="50" t="s">
        <v>1510</v>
      </c>
      <c r="D360" s="50" t="s">
        <v>1511</v>
      </c>
      <c r="E360" s="50">
        <v>74418</v>
      </c>
      <c r="F360" s="50" t="s">
        <v>1269</v>
      </c>
      <c r="G360" s="50" t="s">
        <v>1270</v>
      </c>
      <c r="H360" s="50" t="s">
        <v>1271</v>
      </c>
      <c r="I360" s="51" t="s">
        <v>1649</v>
      </c>
      <c r="J360" s="51" t="s">
        <v>1656</v>
      </c>
      <c r="K360" s="51" t="s">
        <v>1280</v>
      </c>
      <c r="L360" s="52">
        <v>84</v>
      </c>
      <c r="M360" s="52">
        <f t="shared" si="10"/>
        <v>84</v>
      </c>
      <c r="N360" s="52">
        <v>22</v>
      </c>
      <c r="O360" s="52">
        <f t="shared" si="11"/>
        <v>22.2</v>
      </c>
      <c r="P360" s="50">
        <v>0</v>
      </c>
    </row>
    <row r="361" spans="1:16" ht="16.5" customHeight="1">
      <c r="A361" s="50" t="s">
        <v>1508</v>
      </c>
      <c r="B361" s="50" t="s">
        <v>1509</v>
      </c>
      <c r="C361" s="50" t="s">
        <v>1510</v>
      </c>
      <c r="D361" s="50" t="s">
        <v>1511</v>
      </c>
      <c r="E361" s="50">
        <v>74418</v>
      </c>
      <c r="F361" s="50" t="s">
        <v>1269</v>
      </c>
      <c r="G361" s="50" t="s">
        <v>1270</v>
      </c>
      <c r="H361" s="50" t="s">
        <v>1271</v>
      </c>
      <c r="I361" s="51" t="s">
        <v>1649</v>
      </c>
      <c r="J361" s="51" t="s">
        <v>1657</v>
      </c>
      <c r="K361" s="51" t="s">
        <v>1282</v>
      </c>
      <c r="L361" s="52">
        <v>80</v>
      </c>
      <c r="M361" s="52">
        <f t="shared" si="10"/>
        <v>83</v>
      </c>
      <c r="N361" s="52">
        <v>21.7</v>
      </c>
      <c r="O361" s="52">
        <f t="shared" si="11"/>
        <v>21.9</v>
      </c>
      <c r="P361" s="50">
        <v>3</v>
      </c>
    </row>
    <row r="362" spans="1:16" ht="16.5" customHeight="1">
      <c r="A362" s="50" t="s">
        <v>1508</v>
      </c>
      <c r="B362" s="50" t="s">
        <v>1509</v>
      </c>
      <c r="C362" s="50" t="s">
        <v>1510</v>
      </c>
      <c r="D362" s="50" t="s">
        <v>1511</v>
      </c>
      <c r="E362" s="50">
        <v>74418</v>
      </c>
      <c r="F362" s="50" t="s">
        <v>1269</v>
      </c>
      <c r="G362" s="50" t="s">
        <v>1270</v>
      </c>
      <c r="H362" s="50" t="s">
        <v>1271</v>
      </c>
      <c r="I362" s="51" t="s">
        <v>1649</v>
      </c>
      <c r="J362" s="51" t="s">
        <v>1658</v>
      </c>
      <c r="K362" s="51" t="s">
        <v>1284</v>
      </c>
      <c r="L362" s="52">
        <v>79</v>
      </c>
      <c r="M362" s="52">
        <f t="shared" si="10"/>
        <v>82</v>
      </c>
      <c r="N362" s="52">
        <v>21.6</v>
      </c>
      <c r="O362" s="52">
        <f t="shared" si="11"/>
        <v>21.8</v>
      </c>
      <c r="P362" s="50">
        <v>3</v>
      </c>
    </row>
    <row r="363" spans="1:16" ht="16.5" customHeight="1">
      <c r="A363" s="50" t="s">
        <v>1508</v>
      </c>
      <c r="B363" s="50" t="s">
        <v>1509</v>
      </c>
      <c r="C363" s="50" t="s">
        <v>1510</v>
      </c>
      <c r="D363" s="50" t="s">
        <v>1511</v>
      </c>
      <c r="E363" s="50">
        <v>74418</v>
      </c>
      <c r="F363" s="50" t="s">
        <v>1269</v>
      </c>
      <c r="G363" s="50" t="s">
        <v>1270</v>
      </c>
      <c r="H363" s="50" t="s">
        <v>1271</v>
      </c>
      <c r="I363" s="51" t="s">
        <v>1649</v>
      </c>
      <c r="J363" s="51" t="s">
        <v>1659</v>
      </c>
      <c r="K363" s="51" t="s">
        <v>1286</v>
      </c>
      <c r="L363" s="52">
        <v>84</v>
      </c>
      <c r="M363" s="52">
        <f t="shared" si="10"/>
        <v>84</v>
      </c>
      <c r="N363" s="52">
        <v>21.8</v>
      </c>
      <c r="O363" s="52">
        <f t="shared" si="11"/>
        <v>22</v>
      </c>
      <c r="P363" s="50">
        <v>0</v>
      </c>
    </row>
    <row r="364" spans="1:16" ht="16.5" customHeight="1">
      <c r="A364" s="50" t="s">
        <v>1508</v>
      </c>
      <c r="B364" s="50" t="s">
        <v>1509</v>
      </c>
      <c r="C364" s="50" t="s">
        <v>1510</v>
      </c>
      <c r="D364" s="50" t="s">
        <v>1511</v>
      </c>
      <c r="E364" s="50">
        <v>74418</v>
      </c>
      <c r="F364" s="50" t="s">
        <v>1269</v>
      </c>
      <c r="G364" s="50" t="s">
        <v>1270</v>
      </c>
      <c r="H364" s="50" t="s">
        <v>1271</v>
      </c>
      <c r="I364" s="51" t="s">
        <v>1649</v>
      </c>
      <c r="J364" s="51" t="s">
        <v>1660</v>
      </c>
      <c r="K364" s="51" t="s">
        <v>1661</v>
      </c>
      <c r="L364" s="52">
        <v>84</v>
      </c>
      <c r="M364" s="52">
        <f t="shared" si="10"/>
        <v>84</v>
      </c>
      <c r="N364" s="52">
        <v>21.9</v>
      </c>
      <c r="O364" s="52">
        <f t="shared" si="11"/>
        <v>22.099999999999998</v>
      </c>
      <c r="P364" s="50">
        <v>0</v>
      </c>
    </row>
    <row r="365" spans="1:16" ht="16.5" customHeight="1">
      <c r="A365" s="50" t="s">
        <v>1508</v>
      </c>
      <c r="B365" s="50" t="s">
        <v>1509</v>
      </c>
      <c r="C365" s="50" t="s">
        <v>1510</v>
      </c>
      <c r="D365" s="50" t="s">
        <v>1511</v>
      </c>
      <c r="E365" s="50">
        <v>74418</v>
      </c>
      <c r="F365" s="50" t="s">
        <v>1269</v>
      </c>
      <c r="G365" s="50" t="s">
        <v>1270</v>
      </c>
      <c r="H365" s="50" t="s">
        <v>1271</v>
      </c>
      <c r="I365" s="51" t="s">
        <v>1649</v>
      </c>
      <c r="J365" s="51" t="s">
        <v>1662</v>
      </c>
      <c r="K365" s="51" t="s">
        <v>1663</v>
      </c>
      <c r="L365" s="52">
        <v>84</v>
      </c>
      <c r="M365" s="52">
        <f t="shared" si="10"/>
        <v>84</v>
      </c>
      <c r="N365" s="52">
        <v>21.9</v>
      </c>
      <c r="O365" s="52">
        <f t="shared" si="11"/>
        <v>22.099999999999998</v>
      </c>
      <c r="P365" s="50">
        <v>0</v>
      </c>
    </row>
    <row r="366" spans="1:16" ht="16.5" customHeight="1">
      <c r="A366" s="50" t="s">
        <v>1508</v>
      </c>
      <c r="B366" s="50" t="s">
        <v>1509</v>
      </c>
      <c r="C366" s="50" t="s">
        <v>1510</v>
      </c>
      <c r="D366" s="50" t="s">
        <v>1511</v>
      </c>
      <c r="E366" s="50">
        <v>74418</v>
      </c>
      <c r="F366" s="50" t="s">
        <v>1269</v>
      </c>
      <c r="G366" s="50" t="s">
        <v>1270</v>
      </c>
      <c r="H366" s="50" t="s">
        <v>1271</v>
      </c>
      <c r="I366" s="51" t="s">
        <v>1649</v>
      </c>
      <c r="J366" s="51" t="s">
        <v>1664</v>
      </c>
      <c r="K366" s="51" t="s">
        <v>1665</v>
      </c>
      <c r="L366" s="52">
        <v>74</v>
      </c>
      <c r="M366" s="52">
        <f t="shared" si="10"/>
        <v>82</v>
      </c>
      <c r="N366" s="52">
        <v>21.5</v>
      </c>
      <c r="O366" s="52">
        <f t="shared" si="11"/>
        <v>21.7</v>
      </c>
      <c r="P366" s="50">
        <v>8</v>
      </c>
    </row>
    <row r="367" spans="1:16" ht="16.5" customHeight="1">
      <c r="A367" s="50" t="s">
        <v>1508</v>
      </c>
      <c r="B367" s="50" t="s">
        <v>1509</v>
      </c>
      <c r="C367" s="50" t="s">
        <v>1510</v>
      </c>
      <c r="D367" s="50" t="s">
        <v>1511</v>
      </c>
      <c r="E367" s="50">
        <v>74418</v>
      </c>
      <c r="F367" s="50" t="s">
        <v>1269</v>
      </c>
      <c r="G367" s="50" t="s">
        <v>1270</v>
      </c>
      <c r="H367" s="50" t="s">
        <v>1271</v>
      </c>
      <c r="I367" s="51" t="s">
        <v>1649</v>
      </c>
      <c r="J367" s="51" t="s">
        <v>1666</v>
      </c>
      <c r="K367" s="51" t="s">
        <v>1238</v>
      </c>
      <c r="L367" s="52">
        <v>75</v>
      </c>
      <c r="M367" s="52">
        <f t="shared" si="10"/>
        <v>83</v>
      </c>
      <c r="N367" s="52">
        <v>21.7</v>
      </c>
      <c r="O367" s="52">
        <f t="shared" si="11"/>
        <v>21.9</v>
      </c>
      <c r="P367" s="50">
        <v>8</v>
      </c>
    </row>
    <row r="368" spans="1:16" ht="16.5" customHeight="1">
      <c r="A368" s="50" t="s">
        <v>1508</v>
      </c>
      <c r="B368" s="50" t="s">
        <v>1509</v>
      </c>
      <c r="C368" s="50" t="s">
        <v>1510</v>
      </c>
      <c r="D368" s="50" t="s">
        <v>1511</v>
      </c>
      <c r="E368" s="50">
        <v>74418</v>
      </c>
      <c r="F368" s="50" t="s">
        <v>1269</v>
      </c>
      <c r="G368" s="50" t="s">
        <v>1270</v>
      </c>
      <c r="H368" s="50" t="s">
        <v>1271</v>
      </c>
      <c r="I368" s="51" t="s">
        <v>1649</v>
      </c>
      <c r="J368" s="51" t="s">
        <v>1667</v>
      </c>
      <c r="K368" s="51" t="s">
        <v>1240</v>
      </c>
      <c r="L368" s="52">
        <v>75</v>
      </c>
      <c r="M368" s="52">
        <f t="shared" si="10"/>
        <v>81</v>
      </c>
      <c r="N368" s="52">
        <v>21.1</v>
      </c>
      <c r="O368" s="52">
        <f t="shared" si="11"/>
        <v>21.3</v>
      </c>
      <c r="P368" s="50">
        <v>6</v>
      </c>
    </row>
    <row r="369" spans="1:16" ht="16.5" customHeight="1">
      <c r="A369" s="50" t="s">
        <v>1508</v>
      </c>
      <c r="B369" s="50" t="s">
        <v>1509</v>
      </c>
      <c r="C369" s="50" t="s">
        <v>1510</v>
      </c>
      <c r="D369" s="50" t="s">
        <v>1511</v>
      </c>
      <c r="E369" s="50">
        <v>74418</v>
      </c>
      <c r="F369" s="50" t="s">
        <v>1269</v>
      </c>
      <c r="G369" s="50" t="s">
        <v>1270</v>
      </c>
      <c r="H369" s="50" t="s">
        <v>1271</v>
      </c>
      <c r="I369" s="51" t="s">
        <v>1649</v>
      </c>
      <c r="J369" s="51" t="s">
        <v>1668</v>
      </c>
      <c r="K369" s="51" t="s">
        <v>1242</v>
      </c>
      <c r="L369" s="52">
        <v>79</v>
      </c>
      <c r="M369" s="52">
        <f t="shared" si="10"/>
        <v>85</v>
      </c>
      <c r="N369" s="52">
        <v>22</v>
      </c>
      <c r="O369" s="52">
        <f t="shared" si="11"/>
        <v>22.2</v>
      </c>
      <c r="P369" s="50">
        <v>6</v>
      </c>
    </row>
    <row r="370" spans="1:16" ht="16.5" customHeight="1">
      <c r="A370" s="50" t="s">
        <v>1508</v>
      </c>
      <c r="B370" s="50" t="s">
        <v>1509</v>
      </c>
      <c r="C370" s="50" t="s">
        <v>1510</v>
      </c>
      <c r="D370" s="50" t="s">
        <v>1511</v>
      </c>
      <c r="E370" s="50">
        <v>74418</v>
      </c>
      <c r="F370" s="50" t="s">
        <v>1269</v>
      </c>
      <c r="G370" s="50" t="s">
        <v>1270</v>
      </c>
      <c r="H370" s="50" t="s">
        <v>1271</v>
      </c>
      <c r="I370" s="51" t="s">
        <v>1649</v>
      </c>
      <c r="J370" s="51" t="s">
        <v>1669</v>
      </c>
      <c r="K370" s="51" t="s">
        <v>1244</v>
      </c>
      <c r="L370" s="52">
        <v>76</v>
      </c>
      <c r="M370" s="52">
        <f t="shared" si="10"/>
        <v>84</v>
      </c>
      <c r="N370" s="52">
        <v>21.9</v>
      </c>
      <c r="O370" s="52">
        <f t="shared" si="11"/>
        <v>22.099999999999998</v>
      </c>
      <c r="P370" s="50">
        <v>8</v>
      </c>
    </row>
    <row r="371" spans="1:16" ht="16.5" customHeight="1">
      <c r="A371" s="50" t="s">
        <v>1508</v>
      </c>
      <c r="B371" s="50" t="s">
        <v>1509</v>
      </c>
      <c r="C371" s="50" t="s">
        <v>1510</v>
      </c>
      <c r="D371" s="50" t="s">
        <v>1511</v>
      </c>
      <c r="E371" s="50">
        <v>74418</v>
      </c>
      <c r="F371" s="50" t="s">
        <v>1269</v>
      </c>
      <c r="G371" s="50" t="s">
        <v>1270</v>
      </c>
      <c r="H371" s="50" t="s">
        <v>1271</v>
      </c>
      <c r="I371" s="51" t="s">
        <v>1649</v>
      </c>
      <c r="J371" s="51" t="s">
        <v>1670</v>
      </c>
      <c r="K371" s="51" t="s">
        <v>1246</v>
      </c>
      <c r="L371" s="52">
        <v>76</v>
      </c>
      <c r="M371" s="52">
        <f t="shared" si="10"/>
        <v>81</v>
      </c>
      <c r="N371" s="52">
        <v>21</v>
      </c>
      <c r="O371" s="52">
        <f t="shared" si="11"/>
        <v>21.2</v>
      </c>
      <c r="P371" s="50">
        <v>5</v>
      </c>
    </row>
    <row r="372" spans="1:16" ht="16.5" customHeight="1">
      <c r="A372" s="50" t="s">
        <v>1508</v>
      </c>
      <c r="B372" s="50" t="s">
        <v>1509</v>
      </c>
      <c r="C372" s="50" t="s">
        <v>1510</v>
      </c>
      <c r="D372" s="50" t="s">
        <v>1511</v>
      </c>
      <c r="E372" s="50">
        <v>74418</v>
      </c>
      <c r="F372" s="50" t="s">
        <v>1269</v>
      </c>
      <c r="G372" s="50" t="s">
        <v>1270</v>
      </c>
      <c r="H372" s="50" t="s">
        <v>1271</v>
      </c>
      <c r="I372" s="51" t="s">
        <v>1649</v>
      </c>
      <c r="J372" s="51" t="s">
        <v>1671</v>
      </c>
      <c r="K372" s="51" t="s">
        <v>1248</v>
      </c>
      <c r="L372" s="52">
        <v>82</v>
      </c>
      <c r="M372" s="52">
        <f t="shared" si="10"/>
        <v>82</v>
      </c>
      <c r="N372" s="52">
        <v>21.4</v>
      </c>
      <c r="O372" s="52">
        <f t="shared" si="11"/>
        <v>21.599999999999998</v>
      </c>
      <c r="P372" s="50">
        <v>0</v>
      </c>
    </row>
    <row r="373" spans="1:16" ht="16.5" customHeight="1">
      <c r="A373" s="50" t="s">
        <v>1508</v>
      </c>
      <c r="B373" s="50" t="s">
        <v>1509</v>
      </c>
      <c r="C373" s="50" t="s">
        <v>1510</v>
      </c>
      <c r="D373" s="50" t="s">
        <v>1511</v>
      </c>
      <c r="E373" s="50">
        <v>74418</v>
      </c>
      <c r="F373" s="50" t="s">
        <v>1269</v>
      </c>
      <c r="G373" s="50" t="s">
        <v>1270</v>
      </c>
      <c r="H373" s="50" t="s">
        <v>1271</v>
      </c>
      <c r="I373" s="51" t="s">
        <v>1649</v>
      </c>
      <c r="J373" s="51" t="s">
        <v>1672</v>
      </c>
      <c r="K373" s="51" t="s">
        <v>1250</v>
      </c>
      <c r="L373" s="52">
        <v>80</v>
      </c>
      <c r="M373" s="52">
        <f t="shared" si="10"/>
        <v>80</v>
      </c>
      <c r="N373" s="52">
        <v>20.9</v>
      </c>
      <c r="O373" s="52">
        <f t="shared" si="11"/>
        <v>21.099999999999998</v>
      </c>
      <c r="P373" s="50">
        <v>0</v>
      </c>
    </row>
    <row r="374" spans="1:16" ht="16.5" customHeight="1">
      <c r="A374" s="50" t="s">
        <v>1508</v>
      </c>
      <c r="B374" s="50" t="s">
        <v>1509</v>
      </c>
      <c r="C374" s="50" t="s">
        <v>1510</v>
      </c>
      <c r="D374" s="50" t="s">
        <v>1511</v>
      </c>
      <c r="E374" s="50">
        <v>74418</v>
      </c>
      <c r="F374" s="50" t="s">
        <v>1269</v>
      </c>
      <c r="G374" s="50" t="s">
        <v>1270</v>
      </c>
      <c r="H374" s="50" t="s">
        <v>1271</v>
      </c>
      <c r="I374" s="51" t="s">
        <v>1649</v>
      </c>
      <c r="J374" s="51" t="s">
        <v>1673</v>
      </c>
      <c r="K374" s="51" t="s">
        <v>1252</v>
      </c>
      <c r="L374" s="52">
        <v>82</v>
      </c>
      <c r="M374" s="52">
        <f t="shared" si="10"/>
        <v>82</v>
      </c>
      <c r="N374" s="52">
        <v>21.5</v>
      </c>
      <c r="O374" s="52">
        <f t="shared" si="11"/>
        <v>21.7</v>
      </c>
      <c r="P374" s="50">
        <v>0</v>
      </c>
    </row>
    <row r="375" spans="1:16" ht="16.5" customHeight="1">
      <c r="A375" s="50" t="s">
        <v>1508</v>
      </c>
      <c r="B375" s="50" t="s">
        <v>1509</v>
      </c>
      <c r="C375" s="50" t="s">
        <v>1510</v>
      </c>
      <c r="D375" s="50" t="s">
        <v>1511</v>
      </c>
      <c r="E375" s="50">
        <v>74418</v>
      </c>
      <c r="F375" s="50" t="s">
        <v>1269</v>
      </c>
      <c r="G375" s="50" t="s">
        <v>1270</v>
      </c>
      <c r="H375" s="50" t="s">
        <v>1271</v>
      </c>
      <c r="I375" s="51" t="s">
        <v>1649</v>
      </c>
      <c r="J375" s="51" t="s">
        <v>1674</v>
      </c>
      <c r="K375" s="51" t="s">
        <v>1254</v>
      </c>
      <c r="L375" s="52">
        <v>81</v>
      </c>
      <c r="M375" s="52">
        <f t="shared" si="10"/>
        <v>81</v>
      </c>
      <c r="N375" s="52">
        <v>21.2</v>
      </c>
      <c r="O375" s="52">
        <f t="shared" si="11"/>
        <v>21.4</v>
      </c>
      <c r="P375" s="50">
        <v>0</v>
      </c>
    </row>
    <row r="376" spans="1:16" ht="16.5" customHeight="1">
      <c r="A376" s="50" t="s">
        <v>1508</v>
      </c>
      <c r="B376" s="50" t="s">
        <v>1509</v>
      </c>
      <c r="C376" s="50" t="s">
        <v>1510</v>
      </c>
      <c r="D376" s="50" t="s">
        <v>1511</v>
      </c>
      <c r="E376" s="50">
        <v>74418</v>
      </c>
      <c r="F376" s="50" t="s">
        <v>1269</v>
      </c>
      <c r="G376" s="50" t="s">
        <v>1270</v>
      </c>
      <c r="H376" s="50" t="s">
        <v>1271</v>
      </c>
      <c r="I376" s="51" t="s">
        <v>1649</v>
      </c>
      <c r="J376" s="51" t="s">
        <v>1675</v>
      </c>
      <c r="K376" s="51" t="s">
        <v>1256</v>
      </c>
      <c r="L376" s="52">
        <v>80</v>
      </c>
      <c r="M376" s="52">
        <f t="shared" si="10"/>
        <v>84</v>
      </c>
      <c r="N376" s="52">
        <v>21.9</v>
      </c>
      <c r="O376" s="52">
        <f t="shared" si="11"/>
        <v>22.099999999999998</v>
      </c>
      <c r="P376" s="50">
        <v>4</v>
      </c>
    </row>
    <row r="377" spans="1:16" ht="16.5" customHeight="1">
      <c r="A377" s="50" t="s">
        <v>1508</v>
      </c>
      <c r="B377" s="50" t="s">
        <v>1509</v>
      </c>
      <c r="C377" s="50" t="s">
        <v>1510</v>
      </c>
      <c r="D377" s="50" t="s">
        <v>1511</v>
      </c>
      <c r="E377" s="50">
        <v>74418</v>
      </c>
      <c r="F377" s="50" t="s">
        <v>1269</v>
      </c>
      <c r="G377" s="50" t="s">
        <v>1270</v>
      </c>
      <c r="H377" s="50" t="s">
        <v>1271</v>
      </c>
      <c r="I377" s="51" t="s">
        <v>1649</v>
      </c>
      <c r="J377" s="51" t="s">
        <v>1676</v>
      </c>
      <c r="K377" s="51" t="s">
        <v>1258</v>
      </c>
      <c r="L377" s="52">
        <v>80</v>
      </c>
      <c r="M377" s="52">
        <f t="shared" si="10"/>
        <v>84</v>
      </c>
      <c r="N377" s="52">
        <v>21.9</v>
      </c>
      <c r="O377" s="52">
        <f t="shared" si="11"/>
        <v>22.099999999999998</v>
      </c>
      <c r="P377" s="50">
        <v>4</v>
      </c>
    </row>
    <row r="378" spans="1:16" ht="16.5" customHeight="1">
      <c r="A378" s="50" t="s">
        <v>1508</v>
      </c>
      <c r="B378" s="50" t="s">
        <v>1509</v>
      </c>
      <c r="C378" s="50" t="s">
        <v>1510</v>
      </c>
      <c r="D378" s="50" t="s">
        <v>1511</v>
      </c>
      <c r="E378" s="50">
        <v>74418</v>
      </c>
      <c r="F378" s="50" t="s">
        <v>1269</v>
      </c>
      <c r="G378" s="50" t="s">
        <v>1270</v>
      </c>
      <c r="H378" s="50" t="s">
        <v>1271</v>
      </c>
      <c r="I378" s="51" t="s">
        <v>1649</v>
      </c>
      <c r="J378" s="51" t="s">
        <v>1677</v>
      </c>
      <c r="K378" s="51" t="s">
        <v>1260</v>
      </c>
      <c r="L378" s="52">
        <v>84</v>
      </c>
      <c r="M378" s="52">
        <f t="shared" si="10"/>
        <v>84</v>
      </c>
      <c r="N378" s="52">
        <v>21.8</v>
      </c>
      <c r="O378" s="52">
        <f t="shared" si="11"/>
        <v>22</v>
      </c>
      <c r="P378" s="50">
        <v>0</v>
      </c>
    </row>
    <row r="379" spans="1:16" ht="16.5" customHeight="1">
      <c r="A379" s="50" t="s">
        <v>1508</v>
      </c>
      <c r="B379" s="50" t="s">
        <v>1509</v>
      </c>
      <c r="C379" s="50" t="s">
        <v>1510</v>
      </c>
      <c r="D379" s="50" t="s">
        <v>1511</v>
      </c>
      <c r="E379" s="50">
        <v>74418</v>
      </c>
      <c r="F379" s="50" t="s">
        <v>1269</v>
      </c>
      <c r="G379" s="50" t="s">
        <v>1270</v>
      </c>
      <c r="H379" s="50" t="s">
        <v>1271</v>
      </c>
      <c r="I379" s="51" t="s">
        <v>1649</v>
      </c>
      <c r="J379" s="51" t="s">
        <v>1678</v>
      </c>
      <c r="K379" s="51" t="s">
        <v>1262</v>
      </c>
      <c r="L379" s="52">
        <v>84</v>
      </c>
      <c r="M379" s="52">
        <f t="shared" si="10"/>
        <v>84</v>
      </c>
      <c r="N379" s="52">
        <v>21.8</v>
      </c>
      <c r="O379" s="52">
        <f t="shared" si="11"/>
        <v>22</v>
      </c>
      <c r="P379" s="50">
        <v>0</v>
      </c>
    </row>
    <row r="380" spans="1:16" ht="16.5" customHeight="1">
      <c r="A380" s="50" t="s">
        <v>1508</v>
      </c>
      <c r="B380" s="50" t="s">
        <v>1509</v>
      </c>
      <c r="C380" s="50" t="s">
        <v>1510</v>
      </c>
      <c r="D380" s="50" t="s">
        <v>1511</v>
      </c>
      <c r="E380" s="50">
        <v>74418</v>
      </c>
      <c r="F380" s="50" t="s">
        <v>1269</v>
      </c>
      <c r="G380" s="50" t="s">
        <v>1270</v>
      </c>
      <c r="H380" s="50" t="s">
        <v>1271</v>
      </c>
      <c r="I380" s="51" t="s">
        <v>1649</v>
      </c>
      <c r="J380" s="51" t="s">
        <v>1679</v>
      </c>
      <c r="K380" s="51" t="s">
        <v>1264</v>
      </c>
      <c r="L380" s="52">
        <v>84</v>
      </c>
      <c r="M380" s="52">
        <f t="shared" si="10"/>
        <v>84</v>
      </c>
      <c r="N380" s="52">
        <v>21.9</v>
      </c>
      <c r="O380" s="52">
        <f t="shared" si="11"/>
        <v>22.099999999999998</v>
      </c>
      <c r="P380" s="50">
        <v>0</v>
      </c>
    </row>
    <row r="381" spans="1:16" ht="16.5" customHeight="1">
      <c r="A381" s="50" t="s">
        <v>1508</v>
      </c>
      <c r="B381" s="50" t="s">
        <v>1509</v>
      </c>
      <c r="C381" s="50" t="s">
        <v>1510</v>
      </c>
      <c r="D381" s="50" t="s">
        <v>1511</v>
      </c>
      <c r="E381" s="50">
        <v>74418</v>
      </c>
      <c r="F381" s="50" t="s">
        <v>1269</v>
      </c>
      <c r="G381" s="50" t="s">
        <v>1270</v>
      </c>
      <c r="H381" s="50" t="s">
        <v>1271</v>
      </c>
      <c r="I381" s="51" t="s">
        <v>1649</v>
      </c>
      <c r="J381" s="51" t="s">
        <v>1680</v>
      </c>
      <c r="K381" s="51" t="s">
        <v>1266</v>
      </c>
      <c r="L381" s="52">
        <v>79</v>
      </c>
      <c r="M381" s="52">
        <f t="shared" si="10"/>
        <v>84</v>
      </c>
      <c r="N381" s="52">
        <v>21.9</v>
      </c>
      <c r="O381" s="52">
        <f t="shared" si="11"/>
        <v>22.099999999999998</v>
      </c>
      <c r="P381" s="50">
        <v>5</v>
      </c>
    </row>
    <row r="382" spans="1:16" ht="16.5" customHeight="1">
      <c r="A382" s="50" t="s">
        <v>1508</v>
      </c>
      <c r="B382" s="50" t="s">
        <v>1509</v>
      </c>
      <c r="C382" s="50" t="s">
        <v>1510</v>
      </c>
      <c r="D382" s="50" t="s">
        <v>1511</v>
      </c>
      <c r="E382" s="50">
        <v>74418</v>
      </c>
      <c r="F382" s="50" t="s">
        <v>1269</v>
      </c>
      <c r="G382" s="50" t="s">
        <v>1270</v>
      </c>
      <c r="H382" s="50" t="s">
        <v>1271</v>
      </c>
      <c r="I382" s="51" t="s">
        <v>1649</v>
      </c>
      <c r="J382" s="51" t="s">
        <v>1681</v>
      </c>
      <c r="K382" s="51" t="s">
        <v>1268</v>
      </c>
      <c r="L382" s="52">
        <v>71</v>
      </c>
      <c r="M382" s="52">
        <f t="shared" si="10"/>
        <v>83</v>
      </c>
      <c r="N382" s="52">
        <v>21.6</v>
      </c>
      <c r="O382" s="52">
        <f t="shared" si="11"/>
        <v>21.8</v>
      </c>
      <c r="P382" s="50">
        <v>12</v>
      </c>
    </row>
    <row r="383" spans="1:16" ht="16.5" customHeight="1">
      <c r="A383" s="50" t="s">
        <v>1508</v>
      </c>
      <c r="B383" s="50" t="s">
        <v>1509</v>
      </c>
      <c r="C383" s="50" t="s">
        <v>1510</v>
      </c>
      <c r="D383" s="50" t="s">
        <v>1511</v>
      </c>
      <c r="E383" s="50">
        <v>74418</v>
      </c>
      <c r="F383" s="50" t="s">
        <v>1269</v>
      </c>
      <c r="G383" s="50" t="s">
        <v>1270</v>
      </c>
      <c r="H383" s="50" t="s">
        <v>1271</v>
      </c>
      <c r="I383" s="51" t="s">
        <v>1649</v>
      </c>
      <c r="J383" s="51" t="s">
        <v>1682</v>
      </c>
      <c r="K383" s="51" t="s">
        <v>1683</v>
      </c>
      <c r="L383" s="52">
        <v>84</v>
      </c>
      <c r="M383" s="52">
        <f t="shared" si="10"/>
        <v>84</v>
      </c>
      <c r="N383" s="52">
        <v>21.9</v>
      </c>
      <c r="O383" s="52">
        <f t="shared" si="11"/>
        <v>22.099999999999998</v>
      </c>
      <c r="P383" s="50">
        <v>0</v>
      </c>
    </row>
    <row r="384" spans="1:16" ht="16.5" customHeight="1">
      <c r="A384" s="50" t="s">
        <v>1508</v>
      </c>
      <c r="B384" s="50" t="s">
        <v>1509</v>
      </c>
      <c r="C384" s="50" t="s">
        <v>1510</v>
      </c>
      <c r="D384" s="50" t="s">
        <v>1511</v>
      </c>
      <c r="E384" s="50">
        <v>74418</v>
      </c>
      <c r="F384" s="50" t="s">
        <v>1269</v>
      </c>
      <c r="G384" s="50" t="s">
        <v>1270</v>
      </c>
      <c r="H384" s="50" t="s">
        <v>1271</v>
      </c>
      <c r="I384" s="51" t="s">
        <v>1649</v>
      </c>
      <c r="J384" s="51" t="s">
        <v>1684</v>
      </c>
      <c r="K384" s="51" t="s">
        <v>1421</v>
      </c>
      <c r="L384" s="52">
        <v>83</v>
      </c>
      <c r="M384" s="52">
        <f t="shared" si="10"/>
        <v>83</v>
      </c>
      <c r="N384" s="52">
        <v>21.6</v>
      </c>
      <c r="O384" s="52">
        <f t="shared" si="11"/>
        <v>21.8</v>
      </c>
      <c r="P384" s="50">
        <v>0</v>
      </c>
    </row>
    <row r="385" spans="1:16" ht="16.5" customHeight="1">
      <c r="A385" s="50" t="s">
        <v>1508</v>
      </c>
      <c r="B385" s="50" t="s">
        <v>1509</v>
      </c>
      <c r="C385" s="50" t="s">
        <v>1510</v>
      </c>
      <c r="D385" s="50" t="s">
        <v>1511</v>
      </c>
      <c r="E385" s="50">
        <v>74418</v>
      </c>
      <c r="F385" s="50" t="s">
        <v>1269</v>
      </c>
      <c r="G385" s="50" t="s">
        <v>1270</v>
      </c>
      <c r="H385" s="50" t="s">
        <v>1271</v>
      </c>
      <c r="I385" s="51" t="s">
        <v>1649</v>
      </c>
      <c r="J385" s="51" t="s">
        <v>1685</v>
      </c>
      <c r="K385" s="51" t="s">
        <v>1423</v>
      </c>
      <c r="L385" s="52">
        <v>74</v>
      </c>
      <c r="M385" s="52">
        <f t="shared" si="10"/>
        <v>74</v>
      </c>
      <c r="N385" s="52">
        <v>19.7</v>
      </c>
      <c r="O385" s="52">
        <f t="shared" si="11"/>
        <v>19.899999999999999</v>
      </c>
      <c r="P385" s="50">
        <v>0</v>
      </c>
    </row>
    <row r="386" spans="1:16" ht="16.5" customHeight="1">
      <c r="A386" s="50" t="s">
        <v>1508</v>
      </c>
      <c r="B386" s="50" t="s">
        <v>1509</v>
      </c>
      <c r="C386" s="50" t="s">
        <v>1510</v>
      </c>
      <c r="D386" s="50" t="s">
        <v>1511</v>
      </c>
      <c r="E386" s="50">
        <v>74418</v>
      </c>
      <c r="F386" s="50" t="s">
        <v>1269</v>
      </c>
      <c r="G386" s="50" t="s">
        <v>1270</v>
      </c>
      <c r="H386" s="50" t="s">
        <v>1271</v>
      </c>
      <c r="I386" s="51" t="s">
        <v>1649</v>
      </c>
      <c r="J386" s="51" t="s">
        <v>1686</v>
      </c>
      <c r="K386" s="51" t="s">
        <v>1425</v>
      </c>
      <c r="L386" s="52">
        <v>84</v>
      </c>
      <c r="M386" s="52">
        <f t="shared" si="10"/>
        <v>84</v>
      </c>
      <c r="N386" s="52">
        <v>21.9</v>
      </c>
      <c r="O386" s="52">
        <f t="shared" si="11"/>
        <v>22.099999999999998</v>
      </c>
      <c r="P386" s="50">
        <v>0</v>
      </c>
    </row>
    <row r="387" spans="1:16" ht="16.5" customHeight="1">
      <c r="A387" s="50" t="s">
        <v>1508</v>
      </c>
      <c r="B387" s="50" t="s">
        <v>1509</v>
      </c>
      <c r="C387" s="50" t="s">
        <v>1510</v>
      </c>
      <c r="D387" s="50" t="s">
        <v>1511</v>
      </c>
      <c r="E387" s="50">
        <v>74418</v>
      </c>
      <c r="F387" s="50" t="s">
        <v>1269</v>
      </c>
      <c r="G387" s="50" t="s">
        <v>1270</v>
      </c>
      <c r="H387" s="50" t="s">
        <v>1271</v>
      </c>
      <c r="I387" s="51" t="s">
        <v>1649</v>
      </c>
      <c r="J387" s="51" t="s">
        <v>1687</v>
      </c>
      <c r="K387" s="51" t="s">
        <v>1427</v>
      </c>
      <c r="L387" s="52">
        <v>77</v>
      </c>
      <c r="M387" s="52">
        <f t="shared" si="10"/>
        <v>82</v>
      </c>
      <c r="N387" s="52">
        <v>21.4</v>
      </c>
      <c r="O387" s="52">
        <f t="shared" si="11"/>
        <v>21.599999999999998</v>
      </c>
      <c r="P387" s="50">
        <v>5</v>
      </c>
    </row>
    <row r="388" spans="1:16" ht="16.5" customHeight="1">
      <c r="A388" s="50" t="s">
        <v>1508</v>
      </c>
      <c r="B388" s="50" t="s">
        <v>1509</v>
      </c>
      <c r="C388" s="50" t="s">
        <v>1510</v>
      </c>
      <c r="D388" s="50" t="s">
        <v>1511</v>
      </c>
      <c r="E388" s="50">
        <v>74418</v>
      </c>
      <c r="F388" s="50" t="s">
        <v>1269</v>
      </c>
      <c r="G388" s="50" t="s">
        <v>1270</v>
      </c>
      <c r="H388" s="50" t="s">
        <v>1271</v>
      </c>
      <c r="I388" s="51" t="s">
        <v>1649</v>
      </c>
      <c r="J388" s="51" t="s">
        <v>1688</v>
      </c>
      <c r="K388" s="51" t="s">
        <v>1429</v>
      </c>
      <c r="L388" s="52">
        <v>78</v>
      </c>
      <c r="M388" s="52">
        <f t="shared" ref="M388:M451" si="12">L388+P388</f>
        <v>84</v>
      </c>
      <c r="N388" s="52">
        <v>21.9</v>
      </c>
      <c r="O388" s="52">
        <f t="shared" ref="O388:O451" si="13">N388+0.2</f>
        <v>22.099999999999998</v>
      </c>
      <c r="P388" s="50">
        <v>6</v>
      </c>
    </row>
    <row r="389" spans="1:16" ht="16.5" customHeight="1">
      <c r="A389" s="50" t="s">
        <v>1508</v>
      </c>
      <c r="B389" s="50" t="s">
        <v>1509</v>
      </c>
      <c r="C389" s="50" t="s">
        <v>1510</v>
      </c>
      <c r="D389" s="50" t="s">
        <v>1511</v>
      </c>
      <c r="E389" s="50">
        <v>74418</v>
      </c>
      <c r="F389" s="50" t="s">
        <v>1269</v>
      </c>
      <c r="G389" s="50" t="s">
        <v>1270</v>
      </c>
      <c r="H389" s="50" t="s">
        <v>1271</v>
      </c>
      <c r="I389" s="51" t="s">
        <v>1649</v>
      </c>
      <c r="J389" s="51" t="s">
        <v>1689</v>
      </c>
      <c r="K389" s="51" t="s">
        <v>1431</v>
      </c>
      <c r="L389" s="52">
        <v>79</v>
      </c>
      <c r="M389" s="52">
        <f t="shared" si="12"/>
        <v>82</v>
      </c>
      <c r="N389" s="52">
        <v>21.6</v>
      </c>
      <c r="O389" s="52">
        <f t="shared" si="13"/>
        <v>21.8</v>
      </c>
      <c r="P389" s="50">
        <v>3</v>
      </c>
    </row>
    <row r="390" spans="1:16" ht="16.5" customHeight="1">
      <c r="A390" s="50" t="s">
        <v>1508</v>
      </c>
      <c r="B390" s="50" t="s">
        <v>1509</v>
      </c>
      <c r="C390" s="50" t="s">
        <v>1510</v>
      </c>
      <c r="D390" s="50" t="s">
        <v>1511</v>
      </c>
      <c r="E390" s="50">
        <v>74418</v>
      </c>
      <c r="F390" s="50" t="s">
        <v>1269</v>
      </c>
      <c r="G390" s="50" t="s">
        <v>1270</v>
      </c>
      <c r="H390" s="50" t="s">
        <v>1271</v>
      </c>
      <c r="I390" s="51" t="s">
        <v>1649</v>
      </c>
      <c r="J390" s="51" t="s">
        <v>1690</v>
      </c>
      <c r="K390" s="51" t="s">
        <v>1433</v>
      </c>
      <c r="L390" s="52">
        <v>78</v>
      </c>
      <c r="M390" s="52">
        <f t="shared" si="12"/>
        <v>83</v>
      </c>
      <c r="N390" s="52">
        <v>22.6</v>
      </c>
      <c r="O390" s="52">
        <f t="shared" si="13"/>
        <v>22.8</v>
      </c>
      <c r="P390" s="50">
        <v>5</v>
      </c>
    </row>
    <row r="391" spans="1:16" ht="16.5" customHeight="1">
      <c r="A391" s="50" t="s">
        <v>1508</v>
      </c>
      <c r="B391" s="50" t="s">
        <v>1509</v>
      </c>
      <c r="C391" s="50" t="s">
        <v>1510</v>
      </c>
      <c r="D391" s="50" t="s">
        <v>1511</v>
      </c>
      <c r="E391" s="50">
        <v>74418</v>
      </c>
      <c r="F391" s="50" t="s">
        <v>1269</v>
      </c>
      <c r="G391" s="50" t="s">
        <v>1270</v>
      </c>
      <c r="H391" s="50" t="s">
        <v>1271</v>
      </c>
      <c r="I391" s="51" t="s">
        <v>1649</v>
      </c>
      <c r="J391" s="51" t="s">
        <v>1691</v>
      </c>
      <c r="K391" s="51" t="s">
        <v>1435</v>
      </c>
      <c r="L391" s="52">
        <v>82</v>
      </c>
      <c r="M391" s="52">
        <f t="shared" si="12"/>
        <v>82</v>
      </c>
      <c r="N391" s="52">
        <v>21.5</v>
      </c>
      <c r="O391" s="52">
        <f t="shared" si="13"/>
        <v>21.7</v>
      </c>
      <c r="P391" s="50">
        <v>0</v>
      </c>
    </row>
    <row r="392" spans="1:16" ht="16.5" customHeight="1">
      <c r="A392" s="50" t="s">
        <v>1508</v>
      </c>
      <c r="B392" s="50" t="s">
        <v>1509</v>
      </c>
      <c r="C392" s="50" t="s">
        <v>1510</v>
      </c>
      <c r="D392" s="50" t="s">
        <v>1511</v>
      </c>
      <c r="E392" s="50">
        <v>74418</v>
      </c>
      <c r="F392" s="50" t="s">
        <v>1269</v>
      </c>
      <c r="G392" s="50" t="s">
        <v>1270</v>
      </c>
      <c r="H392" s="50" t="s">
        <v>1271</v>
      </c>
      <c r="I392" s="51" t="s">
        <v>1649</v>
      </c>
      <c r="J392" s="51" t="s">
        <v>1692</v>
      </c>
      <c r="K392" s="51" t="s">
        <v>1437</v>
      </c>
      <c r="L392" s="52">
        <v>84</v>
      </c>
      <c r="M392" s="52">
        <f t="shared" si="12"/>
        <v>84</v>
      </c>
      <c r="N392" s="52">
        <v>21.9</v>
      </c>
      <c r="O392" s="52">
        <f t="shared" si="13"/>
        <v>22.099999999999998</v>
      </c>
      <c r="P392" s="50">
        <v>0</v>
      </c>
    </row>
    <row r="393" spans="1:16" ht="16.5" customHeight="1">
      <c r="A393" s="50" t="s">
        <v>1508</v>
      </c>
      <c r="B393" s="50" t="s">
        <v>1509</v>
      </c>
      <c r="C393" s="50" t="s">
        <v>1510</v>
      </c>
      <c r="D393" s="50" t="s">
        <v>1511</v>
      </c>
      <c r="E393" s="50">
        <v>74418</v>
      </c>
      <c r="F393" s="50" t="s">
        <v>1269</v>
      </c>
      <c r="G393" s="50" t="s">
        <v>1270</v>
      </c>
      <c r="H393" s="50" t="s">
        <v>1271</v>
      </c>
      <c r="I393" s="51" t="s">
        <v>1649</v>
      </c>
      <c r="J393" s="51" t="s">
        <v>1693</v>
      </c>
      <c r="K393" s="51" t="s">
        <v>1694</v>
      </c>
      <c r="L393" s="52">
        <v>79</v>
      </c>
      <c r="M393" s="52">
        <f t="shared" si="12"/>
        <v>82</v>
      </c>
      <c r="N393" s="52">
        <v>21.6</v>
      </c>
      <c r="O393" s="52">
        <f t="shared" si="13"/>
        <v>21.8</v>
      </c>
      <c r="P393" s="50">
        <v>3</v>
      </c>
    </row>
    <row r="394" spans="1:16" ht="16.5" customHeight="1">
      <c r="A394" s="50" t="s">
        <v>1508</v>
      </c>
      <c r="B394" s="50" t="s">
        <v>1509</v>
      </c>
      <c r="C394" s="50" t="s">
        <v>1510</v>
      </c>
      <c r="D394" s="50" t="s">
        <v>1511</v>
      </c>
      <c r="E394" s="50">
        <v>74418</v>
      </c>
      <c r="F394" s="50" t="s">
        <v>1269</v>
      </c>
      <c r="G394" s="50" t="s">
        <v>1270</v>
      </c>
      <c r="H394" s="50" t="s">
        <v>1271</v>
      </c>
      <c r="I394" s="51" t="s">
        <v>1649</v>
      </c>
      <c r="J394" s="51" t="s">
        <v>1695</v>
      </c>
      <c r="K394" s="51" t="s">
        <v>1439</v>
      </c>
      <c r="L394" s="52">
        <v>83</v>
      </c>
      <c r="M394" s="52">
        <f t="shared" si="12"/>
        <v>83</v>
      </c>
      <c r="N394" s="52">
        <v>21.6</v>
      </c>
      <c r="O394" s="52">
        <f t="shared" si="13"/>
        <v>21.8</v>
      </c>
      <c r="P394" s="50">
        <v>0</v>
      </c>
    </row>
    <row r="395" spans="1:16" ht="16.5" customHeight="1">
      <c r="A395" s="50" t="s">
        <v>1508</v>
      </c>
      <c r="B395" s="50" t="s">
        <v>1509</v>
      </c>
      <c r="C395" s="50" t="s">
        <v>1510</v>
      </c>
      <c r="D395" s="50" t="s">
        <v>1511</v>
      </c>
      <c r="E395" s="50">
        <v>74418</v>
      </c>
      <c r="F395" s="50" t="s">
        <v>1269</v>
      </c>
      <c r="G395" s="50" t="s">
        <v>1270</v>
      </c>
      <c r="H395" s="50" t="s">
        <v>1271</v>
      </c>
      <c r="I395" s="51" t="s">
        <v>1649</v>
      </c>
      <c r="J395" s="51" t="s">
        <v>1696</v>
      </c>
      <c r="K395" s="51" t="s">
        <v>1441</v>
      </c>
      <c r="L395" s="52">
        <v>84</v>
      </c>
      <c r="M395" s="52">
        <f t="shared" si="12"/>
        <v>84</v>
      </c>
      <c r="N395" s="52">
        <v>21.8</v>
      </c>
      <c r="O395" s="52">
        <f t="shared" si="13"/>
        <v>22</v>
      </c>
      <c r="P395" s="50">
        <v>0</v>
      </c>
    </row>
    <row r="396" spans="1:16" ht="16.5" customHeight="1">
      <c r="A396" s="50" t="s">
        <v>1508</v>
      </c>
      <c r="B396" s="50" t="s">
        <v>1509</v>
      </c>
      <c r="C396" s="50" t="s">
        <v>1510</v>
      </c>
      <c r="D396" s="50" t="s">
        <v>1511</v>
      </c>
      <c r="E396" s="50">
        <v>74418</v>
      </c>
      <c r="F396" s="50" t="s">
        <v>1269</v>
      </c>
      <c r="G396" s="50" t="s">
        <v>1270</v>
      </c>
      <c r="H396" s="50" t="s">
        <v>1271</v>
      </c>
      <c r="I396" s="51" t="s">
        <v>1697</v>
      </c>
      <c r="J396" s="51" t="s">
        <v>1698</v>
      </c>
      <c r="K396" s="51" t="s">
        <v>1443</v>
      </c>
      <c r="L396" s="52">
        <v>82</v>
      </c>
      <c r="M396" s="52">
        <f t="shared" si="12"/>
        <v>82</v>
      </c>
      <c r="N396" s="52">
        <v>21.2</v>
      </c>
      <c r="O396" s="52">
        <f t="shared" si="13"/>
        <v>21.4</v>
      </c>
      <c r="P396" s="50">
        <v>0</v>
      </c>
    </row>
    <row r="397" spans="1:16" ht="16.5" customHeight="1">
      <c r="A397" s="50" t="s">
        <v>1508</v>
      </c>
      <c r="B397" s="50" t="s">
        <v>1509</v>
      </c>
      <c r="C397" s="50" t="s">
        <v>1510</v>
      </c>
      <c r="D397" s="50" t="s">
        <v>1511</v>
      </c>
      <c r="E397" s="50">
        <v>74418</v>
      </c>
      <c r="F397" s="50" t="s">
        <v>1269</v>
      </c>
      <c r="G397" s="50" t="s">
        <v>1270</v>
      </c>
      <c r="H397" s="50" t="s">
        <v>1271</v>
      </c>
      <c r="I397" s="51" t="s">
        <v>1697</v>
      </c>
      <c r="J397" s="51" t="s">
        <v>1699</v>
      </c>
      <c r="K397" s="51" t="s">
        <v>1445</v>
      </c>
      <c r="L397" s="52">
        <v>83</v>
      </c>
      <c r="M397" s="52">
        <f t="shared" si="12"/>
        <v>83</v>
      </c>
      <c r="N397" s="52">
        <v>21.7</v>
      </c>
      <c r="O397" s="52">
        <f t="shared" si="13"/>
        <v>21.9</v>
      </c>
      <c r="P397" s="50">
        <v>0</v>
      </c>
    </row>
    <row r="398" spans="1:16" ht="16.5" customHeight="1">
      <c r="A398" s="50" t="s">
        <v>1508</v>
      </c>
      <c r="B398" s="50" t="s">
        <v>1509</v>
      </c>
      <c r="C398" s="50" t="s">
        <v>1510</v>
      </c>
      <c r="D398" s="50" t="s">
        <v>1511</v>
      </c>
      <c r="E398" s="50">
        <v>74418</v>
      </c>
      <c r="F398" s="50" t="s">
        <v>1269</v>
      </c>
      <c r="G398" s="50" t="s">
        <v>1270</v>
      </c>
      <c r="H398" s="50" t="s">
        <v>1271</v>
      </c>
      <c r="I398" s="51" t="s">
        <v>1697</v>
      </c>
      <c r="J398" s="51" t="s">
        <v>1700</v>
      </c>
      <c r="K398" s="51" t="s">
        <v>1447</v>
      </c>
      <c r="L398" s="52">
        <v>84</v>
      </c>
      <c r="M398" s="52">
        <f t="shared" si="12"/>
        <v>84</v>
      </c>
      <c r="N398" s="52">
        <v>21.8</v>
      </c>
      <c r="O398" s="52">
        <f t="shared" si="13"/>
        <v>22</v>
      </c>
      <c r="P398" s="50">
        <v>0</v>
      </c>
    </row>
    <row r="399" spans="1:16" ht="16.5" customHeight="1">
      <c r="A399" s="50" t="s">
        <v>1508</v>
      </c>
      <c r="B399" s="50" t="s">
        <v>1509</v>
      </c>
      <c r="C399" s="50" t="s">
        <v>1510</v>
      </c>
      <c r="D399" s="50" t="s">
        <v>1511</v>
      </c>
      <c r="E399" s="50">
        <v>74418</v>
      </c>
      <c r="F399" s="50" t="s">
        <v>1269</v>
      </c>
      <c r="G399" s="50" t="s">
        <v>1270</v>
      </c>
      <c r="H399" s="50" t="s">
        <v>1271</v>
      </c>
      <c r="I399" s="51" t="s">
        <v>1697</v>
      </c>
      <c r="J399" s="51" t="s">
        <v>1701</v>
      </c>
      <c r="K399" s="51" t="s">
        <v>1449</v>
      </c>
      <c r="L399" s="52">
        <v>84</v>
      </c>
      <c r="M399" s="52">
        <f t="shared" si="12"/>
        <v>84</v>
      </c>
      <c r="N399" s="52">
        <v>21.9</v>
      </c>
      <c r="O399" s="52">
        <f t="shared" si="13"/>
        <v>22.099999999999998</v>
      </c>
      <c r="P399" s="50">
        <v>0</v>
      </c>
    </row>
    <row r="400" spans="1:16" ht="16.5" customHeight="1">
      <c r="A400" s="50" t="s">
        <v>1508</v>
      </c>
      <c r="B400" s="50" t="s">
        <v>1509</v>
      </c>
      <c r="C400" s="50" t="s">
        <v>1510</v>
      </c>
      <c r="D400" s="50" t="s">
        <v>1511</v>
      </c>
      <c r="E400" s="50">
        <v>74418</v>
      </c>
      <c r="F400" s="50" t="s">
        <v>1269</v>
      </c>
      <c r="G400" s="50" t="s">
        <v>1270</v>
      </c>
      <c r="H400" s="50" t="s">
        <v>1271</v>
      </c>
      <c r="I400" s="51" t="s">
        <v>1697</v>
      </c>
      <c r="J400" s="51" t="s">
        <v>1702</v>
      </c>
      <c r="K400" s="51" t="s">
        <v>1703</v>
      </c>
      <c r="L400" s="52">
        <v>84</v>
      </c>
      <c r="M400" s="52">
        <f t="shared" si="12"/>
        <v>84</v>
      </c>
      <c r="N400" s="52">
        <v>21.9</v>
      </c>
      <c r="O400" s="52">
        <f t="shared" si="13"/>
        <v>22.099999999999998</v>
      </c>
      <c r="P400" s="50">
        <v>0</v>
      </c>
    </row>
    <row r="401" spans="1:16" ht="16.5" customHeight="1">
      <c r="A401" s="50" t="s">
        <v>1508</v>
      </c>
      <c r="B401" s="50" t="s">
        <v>1509</v>
      </c>
      <c r="C401" s="50" t="s">
        <v>1510</v>
      </c>
      <c r="D401" s="50" t="s">
        <v>1511</v>
      </c>
      <c r="E401" s="50">
        <v>74418</v>
      </c>
      <c r="F401" s="50" t="s">
        <v>1269</v>
      </c>
      <c r="G401" s="50" t="s">
        <v>1270</v>
      </c>
      <c r="H401" s="50" t="s">
        <v>1271</v>
      </c>
      <c r="I401" s="51" t="s">
        <v>1697</v>
      </c>
      <c r="J401" s="51" t="s">
        <v>1704</v>
      </c>
      <c r="K401" s="51" t="s">
        <v>1705</v>
      </c>
      <c r="L401" s="52">
        <v>84</v>
      </c>
      <c r="M401" s="52">
        <f t="shared" si="12"/>
        <v>84</v>
      </c>
      <c r="N401" s="52">
        <v>21.9</v>
      </c>
      <c r="O401" s="52">
        <f t="shared" si="13"/>
        <v>22.099999999999998</v>
      </c>
      <c r="P401" s="50">
        <v>0</v>
      </c>
    </row>
    <row r="402" spans="1:16" ht="16.5" customHeight="1">
      <c r="A402" s="50" t="s">
        <v>1508</v>
      </c>
      <c r="B402" s="50" t="s">
        <v>1509</v>
      </c>
      <c r="C402" s="50" t="s">
        <v>1510</v>
      </c>
      <c r="D402" s="50" t="s">
        <v>1511</v>
      </c>
      <c r="E402" s="50">
        <v>74418</v>
      </c>
      <c r="F402" s="50" t="s">
        <v>1269</v>
      </c>
      <c r="G402" s="50" t="s">
        <v>1270</v>
      </c>
      <c r="H402" s="50" t="s">
        <v>1271</v>
      </c>
      <c r="I402" s="51" t="s">
        <v>1697</v>
      </c>
      <c r="J402" s="51" t="s">
        <v>1706</v>
      </c>
      <c r="K402" s="51" t="s">
        <v>1452</v>
      </c>
      <c r="L402" s="52">
        <v>84</v>
      </c>
      <c r="M402" s="52">
        <f t="shared" si="12"/>
        <v>84</v>
      </c>
      <c r="N402" s="52">
        <v>21.9</v>
      </c>
      <c r="O402" s="52">
        <f t="shared" si="13"/>
        <v>22.099999999999998</v>
      </c>
      <c r="P402" s="50">
        <v>0</v>
      </c>
    </row>
    <row r="403" spans="1:16" ht="16.5" customHeight="1">
      <c r="A403" s="50" t="s">
        <v>1508</v>
      </c>
      <c r="B403" s="50" t="s">
        <v>1509</v>
      </c>
      <c r="C403" s="50" t="s">
        <v>1510</v>
      </c>
      <c r="D403" s="50" t="s">
        <v>1511</v>
      </c>
      <c r="E403" s="50">
        <v>74418</v>
      </c>
      <c r="F403" s="50" t="s">
        <v>1269</v>
      </c>
      <c r="G403" s="50" t="s">
        <v>1270</v>
      </c>
      <c r="H403" s="50" t="s">
        <v>1271</v>
      </c>
      <c r="I403" s="51" t="s">
        <v>1697</v>
      </c>
      <c r="J403" s="51" t="s">
        <v>1707</v>
      </c>
      <c r="K403" s="51" t="s">
        <v>1454</v>
      </c>
      <c r="L403" s="52">
        <v>82</v>
      </c>
      <c r="M403" s="52">
        <f t="shared" si="12"/>
        <v>82</v>
      </c>
      <c r="N403" s="52">
        <v>21.3</v>
      </c>
      <c r="O403" s="52">
        <f t="shared" si="13"/>
        <v>21.5</v>
      </c>
      <c r="P403" s="50">
        <v>0</v>
      </c>
    </row>
    <row r="404" spans="1:16" ht="16.5" customHeight="1">
      <c r="A404" s="50" t="s">
        <v>1508</v>
      </c>
      <c r="B404" s="50" t="s">
        <v>1509</v>
      </c>
      <c r="C404" s="50" t="s">
        <v>1510</v>
      </c>
      <c r="D404" s="50" t="s">
        <v>1511</v>
      </c>
      <c r="E404" s="50">
        <v>74418</v>
      </c>
      <c r="F404" s="50" t="s">
        <v>1269</v>
      </c>
      <c r="G404" s="50" t="s">
        <v>1270</v>
      </c>
      <c r="H404" s="50" t="s">
        <v>1271</v>
      </c>
      <c r="I404" s="51" t="s">
        <v>1697</v>
      </c>
      <c r="J404" s="51" t="s">
        <v>1708</v>
      </c>
      <c r="K404" s="51" t="s">
        <v>1456</v>
      </c>
      <c r="L404" s="52">
        <v>83</v>
      </c>
      <c r="M404" s="52">
        <f t="shared" si="12"/>
        <v>83</v>
      </c>
      <c r="N404" s="52">
        <v>21.6</v>
      </c>
      <c r="O404" s="52">
        <f t="shared" si="13"/>
        <v>21.8</v>
      </c>
      <c r="P404" s="50">
        <v>0</v>
      </c>
    </row>
    <row r="405" spans="1:16" ht="16.5" customHeight="1">
      <c r="A405" s="50" t="s">
        <v>1508</v>
      </c>
      <c r="B405" s="50" t="s">
        <v>1509</v>
      </c>
      <c r="C405" s="50" t="s">
        <v>1510</v>
      </c>
      <c r="D405" s="50" t="s">
        <v>1511</v>
      </c>
      <c r="E405" s="50">
        <v>74418</v>
      </c>
      <c r="F405" s="50" t="s">
        <v>1269</v>
      </c>
      <c r="G405" s="50" t="s">
        <v>1270</v>
      </c>
      <c r="H405" s="50" t="s">
        <v>1271</v>
      </c>
      <c r="I405" s="51" t="s">
        <v>1697</v>
      </c>
      <c r="J405" s="51" t="s">
        <v>1709</v>
      </c>
      <c r="K405" s="51" t="s">
        <v>1458</v>
      </c>
      <c r="L405" s="52">
        <v>84</v>
      </c>
      <c r="M405" s="52">
        <f t="shared" si="12"/>
        <v>84</v>
      </c>
      <c r="N405" s="52">
        <v>21.9</v>
      </c>
      <c r="O405" s="52">
        <f t="shared" si="13"/>
        <v>22.099999999999998</v>
      </c>
      <c r="P405" s="50">
        <v>0</v>
      </c>
    </row>
    <row r="406" spans="1:16" ht="16.5" customHeight="1">
      <c r="A406" s="50" t="s">
        <v>1508</v>
      </c>
      <c r="B406" s="50" t="s">
        <v>1509</v>
      </c>
      <c r="C406" s="50" t="s">
        <v>1510</v>
      </c>
      <c r="D406" s="50" t="s">
        <v>1511</v>
      </c>
      <c r="E406" s="50">
        <v>74418</v>
      </c>
      <c r="F406" s="50" t="s">
        <v>1269</v>
      </c>
      <c r="G406" s="50" t="s">
        <v>1270</v>
      </c>
      <c r="H406" s="50" t="s">
        <v>1271</v>
      </c>
      <c r="I406" s="51" t="s">
        <v>1697</v>
      </c>
      <c r="J406" s="51" t="s">
        <v>1710</v>
      </c>
      <c r="K406" s="51" t="s">
        <v>1460</v>
      </c>
      <c r="L406" s="52">
        <v>58</v>
      </c>
      <c r="M406" s="52">
        <f t="shared" si="12"/>
        <v>83</v>
      </c>
      <c r="N406" s="52">
        <v>21.5</v>
      </c>
      <c r="O406" s="52">
        <f t="shared" si="13"/>
        <v>21.7</v>
      </c>
      <c r="P406" s="50">
        <v>25</v>
      </c>
    </row>
    <row r="407" spans="1:16" ht="16.5" customHeight="1">
      <c r="A407" s="50" t="s">
        <v>1508</v>
      </c>
      <c r="B407" s="50" t="s">
        <v>1509</v>
      </c>
      <c r="C407" s="50" t="s">
        <v>1510</v>
      </c>
      <c r="D407" s="50" t="s">
        <v>1511</v>
      </c>
      <c r="E407" s="50">
        <v>74418</v>
      </c>
      <c r="F407" s="50" t="s">
        <v>1269</v>
      </c>
      <c r="G407" s="50" t="s">
        <v>1270</v>
      </c>
      <c r="H407" s="50" t="s">
        <v>1271</v>
      </c>
      <c r="I407" s="51" t="s">
        <v>1697</v>
      </c>
      <c r="J407" s="51" t="s">
        <v>1711</v>
      </c>
      <c r="K407" s="51" t="s">
        <v>1462</v>
      </c>
      <c r="L407" s="52">
        <v>84</v>
      </c>
      <c r="M407" s="52">
        <f t="shared" si="12"/>
        <v>84</v>
      </c>
      <c r="N407" s="52">
        <v>21.9</v>
      </c>
      <c r="O407" s="52">
        <f t="shared" si="13"/>
        <v>22.099999999999998</v>
      </c>
      <c r="P407" s="50">
        <v>0</v>
      </c>
    </row>
    <row r="408" spans="1:16" ht="16.5" customHeight="1">
      <c r="A408" s="50" t="s">
        <v>1508</v>
      </c>
      <c r="B408" s="50" t="s">
        <v>1509</v>
      </c>
      <c r="C408" s="50" t="s">
        <v>1510</v>
      </c>
      <c r="D408" s="50" t="s">
        <v>1511</v>
      </c>
      <c r="E408" s="50">
        <v>74418</v>
      </c>
      <c r="F408" s="50" t="s">
        <v>1269</v>
      </c>
      <c r="G408" s="50" t="s">
        <v>1270</v>
      </c>
      <c r="H408" s="50" t="s">
        <v>1271</v>
      </c>
      <c r="I408" s="51" t="s">
        <v>1697</v>
      </c>
      <c r="J408" s="51" t="s">
        <v>1712</v>
      </c>
      <c r="K408" s="51" t="s">
        <v>1464</v>
      </c>
      <c r="L408" s="52">
        <v>84</v>
      </c>
      <c r="M408" s="52">
        <f t="shared" si="12"/>
        <v>84</v>
      </c>
      <c r="N408" s="52">
        <v>21.9</v>
      </c>
      <c r="O408" s="52">
        <f t="shared" si="13"/>
        <v>22.099999999999998</v>
      </c>
      <c r="P408" s="50">
        <v>0</v>
      </c>
    </row>
    <row r="409" spans="1:16" ht="16.5" customHeight="1">
      <c r="A409" s="50" t="s">
        <v>1508</v>
      </c>
      <c r="B409" s="50" t="s">
        <v>1509</v>
      </c>
      <c r="C409" s="50" t="s">
        <v>1510</v>
      </c>
      <c r="D409" s="50" t="s">
        <v>1511</v>
      </c>
      <c r="E409" s="50">
        <v>74418</v>
      </c>
      <c r="F409" s="50" t="s">
        <v>1269</v>
      </c>
      <c r="G409" s="50" t="s">
        <v>1270</v>
      </c>
      <c r="H409" s="50" t="s">
        <v>1271</v>
      </c>
      <c r="I409" s="51" t="s">
        <v>1697</v>
      </c>
      <c r="J409" s="51" t="s">
        <v>1713</v>
      </c>
      <c r="K409" s="51" t="s">
        <v>1466</v>
      </c>
      <c r="L409" s="52">
        <v>82</v>
      </c>
      <c r="M409" s="52">
        <f t="shared" si="12"/>
        <v>82</v>
      </c>
      <c r="N409" s="52">
        <v>21.4</v>
      </c>
      <c r="O409" s="52">
        <f t="shared" si="13"/>
        <v>21.599999999999998</v>
      </c>
      <c r="P409" s="50">
        <v>0</v>
      </c>
    </row>
    <row r="410" spans="1:16" ht="16.5" customHeight="1">
      <c r="A410" s="50" t="s">
        <v>1508</v>
      </c>
      <c r="B410" s="50" t="s">
        <v>1509</v>
      </c>
      <c r="C410" s="50" t="s">
        <v>1510</v>
      </c>
      <c r="D410" s="50" t="s">
        <v>1511</v>
      </c>
      <c r="E410" s="50">
        <v>74418</v>
      </c>
      <c r="F410" s="50" t="s">
        <v>1269</v>
      </c>
      <c r="G410" s="50" t="s">
        <v>1270</v>
      </c>
      <c r="H410" s="50" t="s">
        <v>1271</v>
      </c>
      <c r="I410" s="51" t="s">
        <v>1697</v>
      </c>
      <c r="J410" s="51" t="s">
        <v>1714</v>
      </c>
      <c r="K410" s="51" t="s">
        <v>1468</v>
      </c>
      <c r="L410" s="52">
        <v>84</v>
      </c>
      <c r="M410" s="52">
        <f t="shared" si="12"/>
        <v>84</v>
      </c>
      <c r="N410" s="52">
        <v>21.8</v>
      </c>
      <c r="O410" s="52">
        <f t="shared" si="13"/>
        <v>22</v>
      </c>
      <c r="P410" s="50">
        <v>0</v>
      </c>
    </row>
    <row r="411" spans="1:16" ht="16.5" customHeight="1">
      <c r="A411" s="50" t="s">
        <v>1508</v>
      </c>
      <c r="B411" s="50" t="s">
        <v>1509</v>
      </c>
      <c r="C411" s="50" t="s">
        <v>1510</v>
      </c>
      <c r="D411" s="50" t="s">
        <v>1511</v>
      </c>
      <c r="E411" s="50">
        <v>74418</v>
      </c>
      <c r="F411" s="50" t="s">
        <v>1269</v>
      </c>
      <c r="G411" s="50" t="s">
        <v>1270</v>
      </c>
      <c r="H411" s="50" t="s">
        <v>1271</v>
      </c>
      <c r="I411" s="51" t="s">
        <v>1697</v>
      </c>
      <c r="J411" s="51" t="s">
        <v>1715</v>
      </c>
      <c r="K411" s="51" t="s">
        <v>1470</v>
      </c>
      <c r="L411" s="52">
        <v>85</v>
      </c>
      <c r="M411" s="52">
        <f t="shared" si="12"/>
        <v>85</v>
      </c>
      <c r="N411" s="52">
        <v>22</v>
      </c>
      <c r="O411" s="52">
        <f t="shared" si="13"/>
        <v>22.2</v>
      </c>
      <c r="P411" s="50">
        <v>0</v>
      </c>
    </row>
    <row r="412" spans="1:16" ht="16.5" customHeight="1">
      <c r="A412" s="50" t="s">
        <v>1508</v>
      </c>
      <c r="B412" s="50" t="s">
        <v>1509</v>
      </c>
      <c r="C412" s="50" t="s">
        <v>1510</v>
      </c>
      <c r="D412" s="50" t="s">
        <v>1511</v>
      </c>
      <c r="E412" s="50">
        <v>74418</v>
      </c>
      <c r="F412" s="50" t="s">
        <v>1269</v>
      </c>
      <c r="G412" s="50" t="s">
        <v>1270</v>
      </c>
      <c r="H412" s="50" t="s">
        <v>1271</v>
      </c>
      <c r="I412" s="51" t="s">
        <v>1697</v>
      </c>
      <c r="J412" s="51" t="s">
        <v>1716</v>
      </c>
      <c r="K412" s="51" t="s">
        <v>1472</v>
      </c>
      <c r="L412" s="52">
        <v>78</v>
      </c>
      <c r="M412" s="52">
        <f t="shared" si="12"/>
        <v>78</v>
      </c>
      <c r="N412" s="52">
        <v>20.3</v>
      </c>
      <c r="O412" s="52">
        <f t="shared" si="13"/>
        <v>20.5</v>
      </c>
      <c r="P412" s="50">
        <v>0</v>
      </c>
    </row>
    <row r="413" spans="1:16" ht="16.5" customHeight="1">
      <c r="A413" s="50" t="s">
        <v>1508</v>
      </c>
      <c r="B413" s="50" t="s">
        <v>1509</v>
      </c>
      <c r="C413" s="50" t="s">
        <v>1510</v>
      </c>
      <c r="D413" s="50" t="s">
        <v>1511</v>
      </c>
      <c r="E413" s="50">
        <v>74418</v>
      </c>
      <c r="F413" s="50" t="s">
        <v>1269</v>
      </c>
      <c r="G413" s="50" t="s">
        <v>1270</v>
      </c>
      <c r="H413" s="50" t="s">
        <v>1271</v>
      </c>
      <c r="I413" s="51" t="s">
        <v>1697</v>
      </c>
      <c r="J413" s="51" t="s">
        <v>1717</v>
      </c>
      <c r="K413" s="51" t="s">
        <v>1474</v>
      </c>
      <c r="L413" s="52">
        <v>84</v>
      </c>
      <c r="M413" s="52">
        <f t="shared" si="12"/>
        <v>84</v>
      </c>
      <c r="N413" s="52">
        <v>21.8</v>
      </c>
      <c r="O413" s="52">
        <f t="shared" si="13"/>
        <v>22</v>
      </c>
      <c r="P413" s="50">
        <v>0</v>
      </c>
    </row>
    <row r="414" spans="1:16" ht="16.5" customHeight="1">
      <c r="A414" s="50" t="s">
        <v>1508</v>
      </c>
      <c r="B414" s="50" t="s">
        <v>1509</v>
      </c>
      <c r="C414" s="50" t="s">
        <v>1510</v>
      </c>
      <c r="D414" s="50" t="s">
        <v>1511</v>
      </c>
      <c r="E414" s="50">
        <v>74418</v>
      </c>
      <c r="F414" s="50" t="s">
        <v>1269</v>
      </c>
      <c r="G414" s="50" t="s">
        <v>1270</v>
      </c>
      <c r="H414" s="50" t="s">
        <v>1271</v>
      </c>
      <c r="I414" s="51" t="s">
        <v>1697</v>
      </c>
      <c r="J414" s="51" t="s">
        <v>1718</v>
      </c>
      <c r="K414" s="51" t="s">
        <v>1476</v>
      </c>
      <c r="L414" s="52">
        <v>80</v>
      </c>
      <c r="M414" s="52">
        <f t="shared" si="12"/>
        <v>80</v>
      </c>
      <c r="N414" s="52">
        <v>20.7</v>
      </c>
      <c r="O414" s="52">
        <f t="shared" si="13"/>
        <v>20.9</v>
      </c>
      <c r="P414" s="50">
        <v>0</v>
      </c>
    </row>
    <row r="415" spans="1:16" ht="16.5" customHeight="1">
      <c r="A415" s="50" t="s">
        <v>1508</v>
      </c>
      <c r="B415" s="50" t="s">
        <v>1509</v>
      </c>
      <c r="C415" s="50" t="s">
        <v>1510</v>
      </c>
      <c r="D415" s="50" t="s">
        <v>1511</v>
      </c>
      <c r="E415" s="50">
        <v>74418</v>
      </c>
      <c r="F415" s="50" t="s">
        <v>1269</v>
      </c>
      <c r="G415" s="50" t="s">
        <v>1270</v>
      </c>
      <c r="H415" s="50" t="s">
        <v>1271</v>
      </c>
      <c r="I415" s="51" t="s">
        <v>1697</v>
      </c>
      <c r="J415" s="51" t="s">
        <v>1719</v>
      </c>
      <c r="K415" s="51" t="s">
        <v>1478</v>
      </c>
      <c r="L415" s="52">
        <v>85</v>
      </c>
      <c r="M415" s="52">
        <f t="shared" si="12"/>
        <v>85</v>
      </c>
      <c r="N415" s="52">
        <v>22</v>
      </c>
      <c r="O415" s="52">
        <f t="shared" si="13"/>
        <v>22.2</v>
      </c>
      <c r="P415" s="50">
        <v>0</v>
      </c>
    </row>
    <row r="416" spans="1:16" ht="16.5" customHeight="1">
      <c r="A416" s="50" t="s">
        <v>1508</v>
      </c>
      <c r="B416" s="50" t="s">
        <v>1509</v>
      </c>
      <c r="C416" s="50" t="s">
        <v>1510</v>
      </c>
      <c r="D416" s="50" t="s">
        <v>1511</v>
      </c>
      <c r="E416" s="50">
        <v>74418</v>
      </c>
      <c r="F416" s="50" t="s">
        <v>1269</v>
      </c>
      <c r="G416" s="50" t="s">
        <v>1270</v>
      </c>
      <c r="H416" s="50" t="s">
        <v>1271</v>
      </c>
      <c r="I416" s="51" t="s">
        <v>1697</v>
      </c>
      <c r="J416" s="51" t="s">
        <v>1720</v>
      </c>
      <c r="K416" s="51" t="s">
        <v>1480</v>
      </c>
      <c r="L416" s="52">
        <v>83</v>
      </c>
      <c r="M416" s="52">
        <f t="shared" si="12"/>
        <v>83</v>
      </c>
      <c r="N416" s="52">
        <v>21.5</v>
      </c>
      <c r="O416" s="52">
        <f t="shared" si="13"/>
        <v>21.7</v>
      </c>
      <c r="P416" s="50">
        <v>0</v>
      </c>
    </row>
    <row r="417" spans="1:16" ht="16.5" customHeight="1">
      <c r="A417" s="50" t="s">
        <v>1508</v>
      </c>
      <c r="B417" s="50" t="s">
        <v>1509</v>
      </c>
      <c r="C417" s="50" t="s">
        <v>1510</v>
      </c>
      <c r="D417" s="50" t="s">
        <v>1511</v>
      </c>
      <c r="E417" s="50">
        <v>74418</v>
      </c>
      <c r="F417" s="50" t="s">
        <v>1269</v>
      </c>
      <c r="G417" s="50" t="s">
        <v>1270</v>
      </c>
      <c r="H417" s="50" t="s">
        <v>1271</v>
      </c>
      <c r="I417" s="51" t="s">
        <v>1697</v>
      </c>
      <c r="J417" s="51" t="s">
        <v>1721</v>
      </c>
      <c r="K417" s="51" t="s">
        <v>1482</v>
      </c>
      <c r="L417" s="52">
        <v>84</v>
      </c>
      <c r="M417" s="52">
        <f t="shared" si="12"/>
        <v>84</v>
      </c>
      <c r="N417" s="52">
        <v>21.9</v>
      </c>
      <c r="O417" s="52">
        <f t="shared" si="13"/>
        <v>22.099999999999998</v>
      </c>
      <c r="P417" s="50">
        <v>0</v>
      </c>
    </row>
    <row r="418" spans="1:16" ht="16.5" customHeight="1">
      <c r="A418" s="50" t="s">
        <v>1508</v>
      </c>
      <c r="B418" s="50" t="s">
        <v>1509</v>
      </c>
      <c r="C418" s="50" t="s">
        <v>1510</v>
      </c>
      <c r="D418" s="50" t="s">
        <v>1511</v>
      </c>
      <c r="E418" s="50">
        <v>74418</v>
      </c>
      <c r="F418" s="50" t="s">
        <v>1269</v>
      </c>
      <c r="G418" s="50" t="s">
        <v>1270</v>
      </c>
      <c r="H418" s="50" t="s">
        <v>1271</v>
      </c>
      <c r="I418" s="51" t="s">
        <v>1697</v>
      </c>
      <c r="J418" s="51" t="s">
        <v>1722</v>
      </c>
      <c r="K418" s="51" t="s">
        <v>1485</v>
      </c>
      <c r="L418" s="52">
        <v>83</v>
      </c>
      <c r="M418" s="52">
        <f t="shared" si="12"/>
        <v>83</v>
      </c>
      <c r="N418" s="52">
        <v>21.7</v>
      </c>
      <c r="O418" s="52">
        <f t="shared" si="13"/>
        <v>21.9</v>
      </c>
      <c r="P418" s="50">
        <v>0</v>
      </c>
    </row>
    <row r="419" spans="1:16" ht="16.5" customHeight="1">
      <c r="A419" s="50" t="s">
        <v>1508</v>
      </c>
      <c r="B419" s="50" t="s">
        <v>1509</v>
      </c>
      <c r="C419" s="50" t="s">
        <v>1510</v>
      </c>
      <c r="D419" s="50" t="s">
        <v>1511</v>
      </c>
      <c r="E419" s="50">
        <v>74418</v>
      </c>
      <c r="F419" s="50" t="s">
        <v>1269</v>
      </c>
      <c r="G419" s="50" t="s">
        <v>1270</v>
      </c>
      <c r="H419" s="50" t="s">
        <v>1271</v>
      </c>
      <c r="I419" s="51" t="s">
        <v>1697</v>
      </c>
      <c r="J419" s="51" t="s">
        <v>1723</v>
      </c>
      <c r="K419" s="51" t="s">
        <v>1487</v>
      </c>
      <c r="L419" s="52">
        <v>84</v>
      </c>
      <c r="M419" s="52">
        <f t="shared" si="12"/>
        <v>84</v>
      </c>
      <c r="N419" s="52">
        <v>21.9</v>
      </c>
      <c r="O419" s="52">
        <f t="shared" si="13"/>
        <v>22.099999999999998</v>
      </c>
      <c r="P419" s="50">
        <v>0</v>
      </c>
    </row>
    <row r="420" spans="1:16" ht="16.5" customHeight="1">
      <c r="A420" s="50" t="s">
        <v>1508</v>
      </c>
      <c r="B420" s="50" t="s">
        <v>1509</v>
      </c>
      <c r="C420" s="50" t="s">
        <v>1510</v>
      </c>
      <c r="D420" s="50" t="s">
        <v>1511</v>
      </c>
      <c r="E420" s="50">
        <v>74418</v>
      </c>
      <c r="F420" s="50" t="s">
        <v>1269</v>
      </c>
      <c r="G420" s="50" t="s">
        <v>1270</v>
      </c>
      <c r="H420" s="50" t="s">
        <v>1271</v>
      </c>
      <c r="I420" s="51" t="s">
        <v>1697</v>
      </c>
      <c r="J420" s="51" t="s">
        <v>1724</v>
      </c>
      <c r="K420" s="51" t="s">
        <v>1489</v>
      </c>
      <c r="L420" s="52">
        <v>84</v>
      </c>
      <c r="M420" s="52">
        <f t="shared" si="12"/>
        <v>84</v>
      </c>
      <c r="N420" s="52">
        <v>21.9</v>
      </c>
      <c r="O420" s="52">
        <f t="shared" si="13"/>
        <v>22.099999999999998</v>
      </c>
      <c r="P420" s="50">
        <v>0</v>
      </c>
    </row>
    <row r="421" spans="1:16" ht="16.5" customHeight="1">
      <c r="A421" s="50" t="s">
        <v>1508</v>
      </c>
      <c r="B421" s="50" t="s">
        <v>1509</v>
      </c>
      <c r="C421" s="50" t="s">
        <v>1510</v>
      </c>
      <c r="D421" s="50" t="s">
        <v>1511</v>
      </c>
      <c r="E421" s="50">
        <v>74418</v>
      </c>
      <c r="F421" s="50" t="s">
        <v>1269</v>
      </c>
      <c r="G421" s="50" t="s">
        <v>1270</v>
      </c>
      <c r="H421" s="50" t="s">
        <v>1271</v>
      </c>
      <c r="I421" s="51" t="s">
        <v>1697</v>
      </c>
      <c r="J421" s="51" t="s">
        <v>1725</v>
      </c>
      <c r="K421" s="51" t="s">
        <v>1491</v>
      </c>
      <c r="L421" s="52">
        <v>83</v>
      </c>
      <c r="M421" s="52">
        <f t="shared" si="12"/>
        <v>83</v>
      </c>
      <c r="N421" s="52">
        <v>21.7</v>
      </c>
      <c r="O421" s="52">
        <f t="shared" si="13"/>
        <v>21.9</v>
      </c>
      <c r="P421" s="50">
        <v>0</v>
      </c>
    </row>
    <row r="422" spans="1:16" ht="16.5" customHeight="1">
      <c r="A422" s="50" t="s">
        <v>1508</v>
      </c>
      <c r="B422" s="50" t="s">
        <v>1509</v>
      </c>
      <c r="C422" s="50" t="s">
        <v>1510</v>
      </c>
      <c r="D422" s="50" t="s">
        <v>1511</v>
      </c>
      <c r="E422" s="50">
        <v>74418</v>
      </c>
      <c r="F422" s="50" t="s">
        <v>1269</v>
      </c>
      <c r="G422" s="50" t="s">
        <v>1270</v>
      </c>
      <c r="H422" s="50" t="s">
        <v>1271</v>
      </c>
      <c r="I422" s="51" t="s">
        <v>1697</v>
      </c>
      <c r="J422" s="51" t="s">
        <v>1726</v>
      </c>
      <c r="K422" s="51" t="s">
        <v>1493</v>
      </c>
      <c r="L422" s="52">
        <v>84</v>
      </c>
      <c r="M422" s="52">
        <f t="shared" si="12"/>
        <v>84</v>
      </c>
      <c r="N422" s="52">
        <v>21.8</v>
      </c>
      <c r="O422" s="52">
        <f t="shared" si="13"/>
        <v>22</v>
      </c>
      <c r="P422" s="50">
        <v>0</v>
      </c>
    </row>
    <row r="423" spans="1:16" ht="16.5" customHeight="1">
      <c r="A423" s="50" t="s">
        <v>1508</v>
      </c>
      <c r="B423" s="50" t="s">
        <v>1509</v>
      </c>
      <c r="C423" s="50" t="s">
        <v>1510</v>
      </c>
      <c r="D423" s="50" t="s">
        <v>1511</v>
      </c>
      <c r="E423" s="50">
        <v>74418</v>
      </c>
      <c r="F423" s="50" t="s">
        <v>1269</v>
      </c>
      <c r="G423" s="50" t="s">
        <v>1270</v>
      </c>
      <c r="H423" s="50" t="s">
        <v>1271</v>
      </c>
      <c r="I423" s="51" t="s">
        <v>1697</v>
      </c>
      <c r="J423" s="51" t="s">
        <v>1727</v>
      </c>
      <c r="K423" s="51" t="s">
        <v>1495</v>
      </c>
      <c r="L423" s="52">
        <v>84</v>
      </c>
      <c r="M423" s="52">
        <f t="shared" si="12"/>
        <v>84</v>
      </c>
      <c r="N423" s="52">
        <v>21.9</v>
      </c>
      <c r="O423" s="52">
        <f t="shared" si="13"/>
        <v>22.099999999999998</v>
      </c>
      <c r="P423" s="50">
        <v>0</v>
      </c>
    </row>
    <row r="424" spans="1:16" ht="16.5" customHeight="1">
      <c r="A424" s="50" t="s">
        <v>1508</v>
      </c>
      <c r="B424" s="50" t="s">
        <v>1509</v>
      </c>
      <c r="C424" s="50" t="s">
        <v>1510</v>
      </c>
      <c r="D424" s="50" t="s">
        <v>1511</v>
      </c>
      <c r="E424" s="50">
        <v>74418</v>
      </c>
      <c r="F424" s="50" t="s">
        <v>1269</v>
      </c>
      <c r="G424" s="50" t="s">
        <v>1270</v>
      </c>
      <c r="H424" s="50" t="s">
        <v>1271</v>
      </c>
      <c r="I424" s="51" t="s">
        <v>1697</v>
      </c>
      <c r="J424" s="51" t="s">
        <v>1728</v>
      </c>
      <c r="K424" s="51" t="s">
        <v>1497</v>
      </c>
      <c r="L424" s="52">
        <v>84</v>
      </c>
      <c r="M424" s="52">
        <f t="shared" si="12"/>
        <v>84</v>
      </c>
      <c r="N424" s="52">
        <v>21.9</v>
      </c>
      <c r="O424" s="52">
        <f t="shared" si="13"/>
        <v>22.099999999999998</v>
      </c>
      <c r="P424" s="50">
        <v>0</v>
      </c>
    </row>
    <row r="425" spans="1:16" ht="16.5" customHeight="1">
      <c r="A425" s="50" t="s">
        <v>1508</v>
      </c>
      <c r="B425" s="50" t="s">
        <v>1509</v>
      </c>
      <c r="C425" s="50" t="s">
        <v>1510</v>
      </c>
      <c r="D425" s="50" t="s">
        <v>1511</v>
      </c>
      <c r="E425" s="50">
        <v>74418</v>
      </c>
      <c r="F425" s="50" t="s">
        <v>1269</v>
      </c>
      <c r="G425" s="50" t="s">
        <v>1270</v>
      </c>
      <c r="H425" s="50" t="s">
        <v>1271</v>
      </c>
      <c r="I425" s="51" t="s">
        <v>1697</v>
      </c>
      <c r="J425" s="51" t="s">
        <v>1729</v>
      </c>
      <c r="K425" s="51" t="s">
        <v>1499</v>
      </c>
      <c r="L425" s="52">
        <v>83</v>
      </c>
      <c r="M425" s="52">
        <f t="shared" si="12"/>
        <v>83</v>
      </c>
      <c r="N425" s="52">
        <v>21.6</v>
      </c>
      <c r="O425" s="52">
        <f t="shared" si="13"/>
        <v>21.8</v>
      </c>
      <c r="P425" s="50">
        <v>0</v>
      </c>
    </row>
    <row r="426" spans="1:16" ht="16.5" customHeight="1">
      <c r="A426" s="50" t="s">
        <v>1508</v>
      </c>
      <c r="B426" s="50" t="s">
        <v>1509</v>
      </c>
      <c r="C426" s="50" t="s">
        <v>1510</v>
      </c>
      <c r="D426" s="50" t="s">
        <v>1511</v>
      </c>
      <c r="E426" s="50">
        <v>74418</v>
      </c>
      <c r="F426" s="50" t="s">
        <v>1269</v>
      </c>
      <c r="G426" s="50" t="s">
        <v>1270</v>
      </c>
      <c r="H426" s="50" t="s">
        <v>1271</v>
      </c>
      <c r="I426" s="51" t="s">
        <v>1697</v>
      </c>
      <c r="J426" s="51" t="s">
        <v>1730</v>
      </c>
      <c r="K426" s="51" t="s">
        <v>1501</v>
      </c>
      <c r="L426" s="52">
        <v>84</v>
      </c>
      <c r="M426" s="52">
        <f t="shared" si="12"/>
        <v>84</v>
      </c>
      <c r="N426" s="52">
        <v>21.9</v>
      </c>
      <c r="O426" s="52">
        <f t="shared" si="13"/>
        <v>22.099999999999998</v>
      </c>
      <c r="P426" s="50">
        <v>0</v>
      </c>
    </row>
    <row r="427" spans="1:16" ht="16.5" customHeight="1">
      <c r="A427" s="50" t="s">
        <v>1508</v>
      </c>
      <c r="B427" s="50" t="s">
        <v>1509</v>
      </c>
      <c r="C427" s="50" t="s">
        <v>1510</v>
      </c>
      <c r="D427" s="50" t="s">
        <v>1511</v>
      </c>
      <c r="E427" s="50">
        <v>74418</v>
      </c>
      <c r="F427" s="50" t="s">
        <v>1269</v>
      </c>
      <c r="G427" s="50" t="s">
        <v>1270</v>
      </c>
      <c r="H427" s="50" t="s">
        <v>1271</v>
      </c>
      <c r="I427" s="51" t="s">
        <v>1697</v>
      </c>
      <c r="J427" s="51" t="s">
        <v>1731</v>
      </c>
      <c r="K427" s="51" t="s">
        <v>1503</v>
      </c>
      <c r="L427" s="52">
        <v>83</v>
      </c>
      <c r="M427" s="52">
        <f t="shared" si="12"/>
        <v>83</v>
      </c>
      <c r="N427" s="52">
        <v>21.7</v>
      </c>
      <c r="O427" s="52">
        <f t="shared" si="13"/>
        <v>21.9</v>
      </c>
      <c r="P427" s="50">
        <v>0</v>
      </c>
    </row>
    <row r="428" spans="1:16" ht="16.5" customHeight="1">
      <c r="A428" s="50" t="s">
        <v>1508</v>
      </c>
      <c r="B428" s="50" t="s">
        <v>1509</v>
      </c>
      <c r="C428" s="50" t="s">
        <v>1510</v>
      </c>
      <c r="D428" s="50" t="s">
        <v>1511</v>
      </c>
      <c r="E428" s="50">
        <v>74418</v>
      </c>
      <c r="F428" s="50" t="s">
        <v>1269</v>
      </c>
      <c r="G428" s="50" t="s">
        <v>1270</v>
      </c>
      <c r="H428" s="50" t="s">
        <v>1271</v>
      </c>
      <c r="I428" s="51" t="s">
        <v>1697</v>
      </c>
      <c r="J428" s="51" t="s">
        <v>1732</v>
      </c>
      <c r="K428" s="51" t="s">
        <v>1505</v>
      </c>
      <c r="L428" s="52">
        <v>84</v>
      </c>
      <c r="M428" s="52">
        <f t="shared" si="12"/>
        <v>84</v>
      </c>
      <c r="N428" s="52">
        <v>21.8</v>
      </c>
      <c r="O428" s="52">
        <f t="shared" si="13"/>
        <v>22</v>
      </c>
      <c r="P428" s="50">
        <v>0</v>
      </c>
    </row>
    <row r="429" spans="1:16" ht="16.5" customHeight="1">
      <c r="A429" s="50" t="s">
        <v>1508</v>
      </c>
      <c r="B429" s="50" t="s">
        <v>1509</v>
      </c>
      <c r="C429" s="50" t="s">
        <v>1510</v>
      </c>
      <c r="D429" s="50" t="s">
        <v>1511</v>
      </c>
      <c r="E429" s="50">
        <v>74418</v>
      </c>
      <c r="F429" s="50" t="s">
        <v>1269</v>
      </c>
      <c r="G429" s="50" t="s">
        <v>1270</v>
      </c>
      <c r="H429" s="50" t="s">
        <v>1271</v>
      </c>
      <c r="I429" s="51" t="s">
        <v>1697</v>
      </c>
      <c r="J429" s="51" t="s">
        <v>1733</v>
      </c>
      <c r="K429" s="51" t="s">
        <v>1507</v>
      </c>
      <c r="L429" s="52">
        <v>84</v>
      </c>
      <c r="M429" s="52">
        <f t="shared" si="12"/>
        <v>84</v>
      </c>
      <c r="N429" s="52">
        <v>21.9</v>
      </c>
      <c r="O429" s="52">
        <f t="shared" si="13"/>
        <v>22.099999999999998</v>
      </c>
      <c r="P429" s="50">
        <v>0</v>
      </c>
    </row>
    <row r="430" spans="1:16" ht="16.5" customHeight="1">
      <c r="A430" s="50" t="s">
        <v>1508</v>
      </c>
      <c r="B430" s="50" t="s">
        <v>1509</v>
      </c>
      <c r="C430" s="50" t="s">
        <v>1510</v>
      </c>
      <c r="D430" s="50" t="s">
        <v>1511</v>
      </c>
      <c r="E430" s="50">
        <v>74418</v>
      </c>
      <c r="F430" s="50" t="s">
        <v>1269</v>
      </c>
      <c r="G430" s="50" t="s">
        <v>1270</v>
      </c>
      <c r="H430" s="50" t="s">
        <v>1271</v>
      </c>
      <c r="I430" s="51" t="s">
        <v>1697</v>
      </c>
      <c r="J430" s="51" t="s">
        <v>1734</v>
      </c>
      <c r="K430" s="51" t="s">
        <v>1735</v>
      </c>
      <c r="L430" s="52">
        <v>84</v>
      </c>
      <c r="M430" s="52">
        <f t="shared" si="12"/>
        <v>84</v>
      </c>
      <c r="N430" s="52">
        <v>21.9</v>
      </c>
      <c r="O430" s="52">
        <f t="shared" si="13"/>
        <v>22.099999999999998</v>
      </c>
      <c r="P430" s="50">
        <v>0</v>
      </c>
    </row>
    <row r="431" spans="1:16" ht="16.5" customHeight="1">
      <c r="A431" s="50" t="s">
        <v>1508</v>
      </c>
      <c r="B431" s="50" t="s">
        <v>1509</v>
      </c>
      <c r="C431" s="50" t="s">
        <v>1510</v>
      </c>
      <c r="D431" s="50" t="s">
        <v>1511</v>
      </c>
      <c r="E431" s="50">
        <v>74418</v>
      </c>
      <c r="F431" s="50" t="s">
        <v>1269</v>
      </c>
      <c r="G431" s="50" t="s">
        <v>1270</v>
      </c>
      <c r="H431" s="50" t="s">
        <v>1271</v>
      </c>
      <c r="I431" s="51" t="s">
        <v>1697</v>
      </c>
      <c r="J431" s="51" t="s">
        <v>1736</v>
      </c>
      <c r="K431" s="51" t="s">
        <v>1737</v>
      </c>
      <c r="L431" s="52">
        <v>84</v>
      </c>
      <c r="M431" s="52">
        <f t="shared" si="12"/>
        <v>84</v>
      </c>
      <c r="N431" s="52">
        <v>21.9</v>
      </c>
      <c r="O431" s="52">
        <f t="shared" si="13"/>
        <v>22.099999999999998</v>
      </c>
      <c r="P431" s="50">
        <v>0</v>
      </c>
    </row>
    <row r="432" spans="1:16" ht="16.5" customHeight="1">
      <c r="A432" s="50" t="s">
        <v>1508</v>
      </c>
      <c r="B432" s="50" t="s">
        <v>1509</v>
      </c>
      <c r="C432" s="50" t="s">
        <v>1510</v>
      </c>
      <c r="D432" s="50" t="s">
        <v>1511</v>
      </c>
      <c r="E432" s="50">
        <v>74418</v>
      </c>
      <c r="F432" s="50" t="s">
        <v>1269</v>
      </c>
      <c r="G432" s="50" t="s">
        <v>1270</v>
      </c>
      <c r="H432" s="50" t="s">
        <v>1271</v>
      </c>
      <c r="I432" s="51" t="s">
        <v>1697</v>
      </c>
      <c r="J432" s="51" t="s">
        <v>1738</v>
      </c>
      <c r="K432" s="51" t="s">
        <v>1739</v>
      </c>
      <c r="L432" s="52">
        <v>84</v>
      </c>
      <c r="M432" s="52">
        <f t="shared" si="12"/>
        <v>84</v>
      </c>
      <c r="N432" s="52">
        <v>21.8</v>
      </c>
      <c r="O432" s="52">
        <f t="shared" si="13"/>
        <v>22</v>
      </c>
      <c r="P432" s="50">
        <v>0</v>
      </c>
    </row>
    <row r="433" spans="1:16" ht="16.5" customHeight="1">
      <c r="A433" s="50" t="s">
        <v>1508</v>
      </c>
      <c r="B433" s="50" t="s">
        <v>1509</v>
      </c>
      <c r="C433" s="50" t="s">
        <v>1510</v>
      </c>
      <c r="D433" s="50" t="s">
        <v>1511</v>
      </c>
      <c r="E433" s="50">
        <v>74418</v>
      </c>
      <c r="F433" s="50" t="s">
        <v>1269</v>
      </c>
      <c r="G433" s="50" t="s">
        <v>1270</v>
      </c>
      <c r="H433" s="50" t="s">
        <v>1271</v>
      </c>
      <c r="I433" s="51" t="s">
        <v>1697</v>
      </c>
      <c r="J433" s="51" t="s">
        <v>1740</v>
      </c>
      <c r="K433" s="51" t="s">
        <v>1741</v>
      </c>
      <c r="L433" s="52">
        <v>84</v>
      </c>
      <c r="M433" s="52">
        <f t="shared" si="12"/>
        <v>84</v>
      </c>
      <c r="N433" s="52">
        <v>21.8</v>
      </c>
      <c r="O433" s="52">
        <f t="shared" si="13"/>
        <v>22</v>
      </c>
      <c r="P433" s="50">
        <v>0</v>
      </c>
    </row>
    <row r="434" spans="1:16" ht="16.5" customHeight="1">
      <c r="A434" s="50" t="s">
        <v>1508</v>
      </c>
      <c r="B434" s="50" t="s">
        <v>1509</v>
      </c>
      <c r="C434" s="50" t="s">
        <v>1510</v>
      </c>
      <c r="D434" s="50" t="s">
        <v>1511</v>
      </c>
      <c r="E434" s="50">
        <v>74418</v>
      </c>
      <c r="F434" s="50" t="s">
        <v>1269</v>
      </c>
      <c r="G434" s="50" t="s">
        <v>1270</v>
      </c>
      <c r="H434" s="50" t="s">
        <v>1271</v>
      </c>
      <c r="I434" s="51" t="s">
        <v>1697</v>
      </c>
      <c r="J434" s="51" t="s">
        <v>1742</v>
      </c>
      <c r="K434" s="51" t="s">
        <v>1743</v>
      </c>
      <c r="L434" s="52">
        <v>83</v>
      </c>
      <c r="M434" s="52">
        <f t="shared" si="12"/>
        <v>83</v>
      </c>
      <c r="N434" s="52">
        <v>21.7</v>
      </c>
      <c r="O434" s="52">
        <f t="shared" si="13"/>
        <v>21.9</v>
      </c>
      <c r="P434" s="50">
        <v>0</v>
      </c>
    </row>
    <row r="435" spans="1:16" ht="16.5" customHeight="1">
      <c r="A435" s="50" t="s">
        <v>1508</v>
      </c>
      <c r="B435" s="50" t="s">
        <v>1509</v>
      </c>
      <c r="C435" s="50" t="s">
        <v>1510</v>
      </c>
      <c r="D435" s="50" t="s">
        <v>1511</v>
      </c>
      <c r="E435" s="50">
        <v>74418</v>
      </c>
      <c r="F435" s="50" t="s">
        <v>1269</v>
      </c>
      <c r="G435" s="50" t="s">
        <v>1270</v>
      </c>
      <c r="H435" s="50" t="s">
        <v>1271</v>
      </c>
      <c r="I435" s="51" t="s">
        <v>1697</v>
      </c>
      <c r="J435" s="51" t="s">
        <v>1744</v>
      </c>
      <c r="K435" s="51" t="s">
        <v>1745</v>
      </c>
      <c r="L435" s="52">
        <v>84</v>
      </c>
      <c r="M435" s="52">
        <f t="shared" si="12"/>
        <v>84</v>
      </c>
      <c r="N435" s="52">
        <v>21.9</v>
      </c>
      <c r="O435" s="52">
        <f t="shared" si="13"/>
        <v>22.099999999999998</v>
      </c>
      <c r="P435" s="50">
        <v>0</v>
      </c>
    </row>
    <row r="436" spans="1:16" ht="16.5" customHeight="1">
      <c r="A436" s="50" t="s">
        <v>1508</v>
      </c>
      <c r="B436" s="50" t="s">
        <v>1509</v>
      </c>
      <c r="C436" s="50" t="s">
        <v>1510</v>
      </c>
      <c r="D436" s="50" t="s">
        <v>1511</v>
      </c>
      <c r="E436" s="50">
        <v>74418</v>
      </c>
      <c r="F436" s="50" t="s">
        <v>1269</v>
      </c>
      <c r="G436" s="50" t="s">
        <v>1270</v>
      </c>
      <c r="H436" s="50" t="s">
        <v>1271</v>
      </c>
      <c r="I436" s="51" t="s">
        <v>1697</v>
      </c>
      <c r="J436" s="51" t="s">
        <v>1746</v>
      </c>
      <c r="K436" s="51" t="s">
        <v>1747</v>
      </c>
      <c r="L436" s="52">
        <v>84</v>
      </c>
      <c r="M436" s="52">
        <f t="shared" si="12"/>
        <v>84</v>
      </c>
      <c r="N436" s="52">
        <v>21.9</v>
      </c>
      <c r="O436" s="52">
        <f t="shared" si="13"/>
        <v>22.099999999999998</v>
      </c>
      <c r="P436" s="50">
        <v>0</v>
      </c>
    </row>
    <row r="437" spans="1:16" ht="16.5" customHeight="1">
      <c r="A437" s="50" t="s">
        <v>1508</v>
      </c>
      <c r="B437" s="50" t="s">
        <v>1509</v>
      </c>
      <c r="C437" s="50" t="s">
        <v>1510</v>
      </c>
      <c r="D437" s="50" t="s">
        <v>1511</v>
      </c>
      <c r="E437" s="50">
        <v>74418</v>
      </c>
      <c r="F437" s="50" t="s">
        <v>1269</v>
      </c>
      <c r="G437" s="50" t="s">
        <v>1270</v>
      </c>
      <c r="H437" s="50" t="s">
        <v>1271</v>
      </c>
      <c r="I437" s="51" t="s">
        <v>1697</v>
      </c>
      <c r="J437" s="51" t="s">
        <v>1748</v>
      </c>
      <c r="K437" s="51" t="s">
        <v>1749</v>
      </c>
      <c r="L437" s="52">
        <v>83</v>
      </c>
      <c r="M437" s="52">
        <f t="shared" si="12"/>
        <v>83</v>
      </c>
      <c r="N437" s="52">
        <v>21.5</v>
      </c>
      <c r="O437" s="52">
        <f t="shared" si="13"/>
        <v>21.7</v>
      </c>
      <c r="P437" s="50">
        <v>0</v>
      </c>
    </row>
    <row r="438" spans="1:16" ht="16.5" customHeight="1">
      <c r="A438" s="50" t="s">
        <v>1508</v>
      </c>
      <c r="B438" s="50" t="s">
        <v>1509</v>
      </c>
      <c r="C438" s="50" t="s">
        <v>1510</v>
      </c>
      <c r="D438" s="50" t="s">
        <v>1511</v>
      </c>
      <c r="E438" s="50">
        <v>74418</v>
      </c>
      <c r="F438" s="50" t="s">
        <v>1750</v>
      </c>
      <c r="G438" s="50" t="s">
        <v>1751</v>
      </c>
      <c r="H438" s="50" t="s">
        <v>1752</v>
      </c>
      <c r="I438" s="51" t="s">
        <v>1753</v>
      </c>
      <c r="J438" s="51" t="s">
        <v>1754</v>
      </c>
      <c r="K438" s="51" t="s">
        <v>1145</v>
      </c>
      <c r="L438" s="52">
        <v>82</v>
      </c>
      <c r="M438" s="52">
        <f t="shared" si="12"/>
        <v>82</v>
      </c>
      <c r="N438" s="52">
        <v>21.2</v>
      </c>
      <c r="O438" s="52">
        <f t="shared" si="13"/>
        <v>21.4</v>
      </c>
      <c r="P438" s="50">
        <v>0</v>
      </c>
    </row>
    <row r="439" spans="1:16" ht="16.5" customHeight="1">
      <c r="A439" s="50" t="s">
        <v>1508</v>
      </c>
      <c r="B439" s="50" t="s">
        <v>1509</v>
      </c>
      <c r="C439" s="50" t="s">
        <v>1510</v>
      </c>
      <c r="D439" s="50" t="s">
        <v>1511</v>
      </c>
      <c r="E439" s="50">
        <v>74418</v>
      </c>
      <c r="F439" s="50" t="s">
        <v>1750</v>
      </c>
      <c r="G439" s="50" t="s">
        <v>1751</v>
      </c>
      <c r="H439" s="50" t="s">
        <v>1752</v>
      </c>
      <c r="I439" s="51" t="s">
        <v>1753</v>
      </c>
      <c r="J439" s="51" t="s">
        <v>1755</v>
      </c>
      <c r="K439" s="51" t="s">
        <v>1147</v>
      </c>
      <c r="L439" s="52">
        <v>80</v>
      </c>
      <c r="M439" s="52">
        <f t="shared" si="12"/>
        <v>80</v>
      </c>
      <c r="N439" s="52">
        <v>20.7</v>
      </c>
      <c r="O439" s="52">
        <f t="shared" si="13"/>
        <v>20.9</v>
      </c>
      <c r="P439" s="50">
        <v>0</v>
      </c>
    </row>
    <row r="440" spans="1:16" ht="16.5" customHeight="1">
      <c r="A440" s="50" t="s">
        <v>1508</v>
      </c>
      <c r="B440" s="50" t="s">
        <v>1509</v>
      </c>
      <c r="C440" s="50" t="s">
        <v>1510</v>
      </c>
      <c r="D440" s="50" t="s">
        <v>1511</v>
      </c>
      <c r="E440" s="50">
        <v>74418</v>
      </c>
      <c r="F440" s="50" t="s">
        <v>1750</v>
      </c>
      <c r="G440" s="50" t="s">
        <v>1751</v>
      </c>
      <c r="H440" s="50" t="s">
        <v>1752</v>
      </c>
      <c r="I440" s="51" t="s">
        <v>1753</v>
      </c>
      <c r="J440" s="51" t="s">
        <v>1756</v>
      </c>
      <c r="K440" s="51" t="s">
        <v>1148</v>
      </c>
      <c r="L440" s="52">
        <v>78</v>
      </c>
      <c r="M440" s="52">
        <f t="shared" si="12"/>
        <v>78</v>
      </c>
      <c r="N440" s="52">
        <v>20.399999999999999</v>
      </c>
      <c r="O440" s="52">
        <f t="shared" si="13"/>
        <v>20.599999999999998</v>
      </c>
      <c r="P440" s="50">
        <v>0</v>
      </c>
    </row>
    <row r="441" spans="1:16" ht="16.5" customHeight="1">
      <c r="A441" s="50" t="s">
        <v>1508</v>
      </c>
      <c r="B441" s="50" t="s">
        <v>1509</v>
      </c>
      <c r="C441" s="50" t="s">
        <v>1510</v>
      </c>
      <c r="D441" s="50" t="s">
        <v>1511</v>
      </c>
      <c r="E441" s="50">
        <v>74418</v>
      </c>
      <c r="F441" s="50" t="s">
        <v>1750</v>
      </c>
      <c r="G441" s="50" t="s">
        <v>1751</v>
      </c>
      <c r="H441" s="50" t="s">
        <v>1752</v>
      </c>
      <c r="I441" s="51" t="s">
        <v>1753</v>
      </c>
      <c r="J441" s="51" t="s">
        <v>1757</v>
      </c>
      <c r="K441" s="51" t="s">
        <v>1194</v>
      </c>
      <c r="L441" s="52">
        <v>79</v>
      </c>
      <c r="M441" s="52">
        <f t="shared" si="12"/>
        <v>79</v>
      </c>
      <c r="N441" s="52">
        <v>20.6</v>
      </c>
      <c r="O441" s="52">
        <f t="shared" si="13"/>
        <v>20.8</v>
      </c>
      <c r="P441" s="50">
        <v>0</v>
      </c>
    </row>
    <row r="442" spans="1:16" ht="16.5" customHeight="1">
      <c r="A442" s="50" t="s">
        <v>1508</v>
      </c>
      <c r="B442" s="50" t="s">
        <v>1509</v>
      </c>
      <c r="C442" s="50" t="s">
        <v>1510</v>
      </c>
      <c r="D442" s="50" t="s">
        <v>1511</v>
      </c>
      <c r="E442" s="50">
        <v>74418</v>
      </c>
      <c r="F442" s="50" t="s">
        <v>1750</v>
      </c>
      <c r="G442" s="50" t="s">
        <v>1751</v>
      </c>
      <c r="H442" s="50" t="s">
        <v>1752</v>
      </c>
      <c r="I442" s="51" t="s">
        <v>1753</v>
      </c>
      <c r="J442" s="51" t="s">
        <v>1758</v>
      </c>
      <c r="K442" s="51" t="s">
        <v>1569</v>
      </c>
      <c r="L442" s="52">
        <v>80</v>
      </c>
      <c r="M442" s="52">
        <f t="shared" si="12"/>
        <v>80</v>
      </c>
      <c r="N442" s="52">
        <v>20.9</v>
      </c>
      <c r="O442" s="52">
        <f t="shared" si="13"/>
        <v>21.099999999999998</v>
      </c>
      <c r="P442" s="50">
        <v>0</v>
      </c>
    </row>
    <row r="443" spans="1:16" ht="16.5" customHeight="1">
      <c r="A443" s="50" t="s">
        <v>1508</v>
      </c>
      <c r="B443" s="50" t="s">
        <v>1509</v>
      </c>
      <c r="C443" s="50" t="s">
        <v>1510</v>
      </c>
      <c r="D443" s="50" t="s">
        <v>1511</v>
      </c>
      <c r="E443" s="50">
        <v>74418</v>
      </c>
      <c r="F443" s="50" t="s">
        <v>1750</v>
      </c>
      <c r="G443" s="50" t="s">
        <v>1751</v>
      </c>
      <c r="H443" s="50" t="s">
        <v>1752</v>
      </c>
      <c r="I443" s="51" t="s">
        <v>1753</v>
      </c>
      <c r="J443" s="51" t="s">
        <v>1759</v>
      </c>
      <c r="K443" s="51" t="s">
        <v>1571</v>
      </c>
      <c r="L443" s="52">
        <v>82</v>
      </c>
      <c r="M443" s="52">
        <f t="shared" si="12"/>
        <v>82</v>
      </c>
      <c r="N443" s="52">
        <v>21.4</v>
      </c>
      <c r="O443" s="52">
        <f t="shared" si="13"/>
        <v>21.599999999999998</v>
      </c>
      <c r="P443" s="50">
        <v>0</v>
      </c>
    </row>
    <row r="444" spans="1:16" ht="16.5" customHeight="1">
      <c r="A444" s="50" t="s">
        <v>1508</v>
      </c>
      <c r="B444" s="50" t="s">
        <v>1509</v>
      </c>
      <c r="C444" s="50" t="s">
        <v>1510</v>
      </c>
      <c r="D444" s="50" t="s">
        <v>1511</v>
      </c>
      <c r="E444" s="50">
        <v>74418</v>
      </c>
      <c r="F444" s="50" t="s">
        <v>1750</v>
      </c>
      <c r="G444" s="50" t="s">
        <v>1751</v>
      </c>
      <c r="H444" s="50" t="s">
        <v>1752</v>
      </c>
      <c r="I444" s="51" t="s">
        <v>1753</v>
      </c>
      <c r="J444" s="51" t="s">
        <v>1760</v>
      </c>
      <c r="K444" s="51" t="s">
        <v>1197</v>
      </c>
      <c r="L444" s="52">
        <v>83</v>
      </c>
      <c r="M444" s="52">
        <f t="shared" si="12"/>
        <v>83</v>
      </c>
      <c r="N444" s="52">
        <v>21.5</v>
      </c>
      <c r="O444" s="52">
        <f t="shared" si="13"/>
        <v>21.7</v>
      </c>
      <c r="P444" s="50">
        <v>0</v>
      </c>
    </row>
    <row r="445" spans="1:16" ht="16.5" customHeight="1">
      <c r="A445" s="50" t="s">
        <v>1508</v>
      </c>
      <c r="B445" s="50" t="s">
        <v>1509</v>
      </c>
      <c r="C445" s="50" t="s">
        <v>1510</v>
      </c>
      <c r="D445" s="50" t="s">
        <v>1511</v>
      </c>
      <c r="E445" s="50">
        <v>74418</v>
      </c>
      <c r="F445" s="50" t="s">
        <v>1750</v>
      </c>
      <c r="G445" s="50" t="s">
        <v>1751</v>
      </c>
      <c r="H445" s="50" t="s">
        <v>1752</v>
      </c>
      <c r="I445" s="51" t="s">
        <v>1753</v>
      </c>
      <c r="J445" s="51" t="s">
        <v>1761</v>
      </c>
      <c r="K445" s="51" t="s">
        <v>1199</v>
      </c>
      <c r="L445" s="52">
        <v>83</v>
      </c>
      <c r="M445" s="52">
        <f t="shared" si="12"/>
        <v>83</v>
      </c>
      <c r="N445" s="52">
        <v>21.6</v>
      </c>
      <c r="O445" s="52">
        <f t="shared" si="13"/>
        <v>21.8</v>
      </c>
      <c r="P445" s="50">
        <v>0</v>
      </c>
    </row>
    <row r="446" spans="1:16" ht="16.5" customHeight="1">
      <c r="A446" s="50" t="s">
        <v>1508</v>
      </c>
      <c r="B446" s="50" t="s">
        <v>1509</v>
      </c>
      <c r="C446" s="50" t="s">
        <v>1510</v>
      </c>
      <c r="D446" s="50" t="s">
        <v>1511</v>
      </c>
      <c r="E446" s="50">
        <v>74418</v>
      </c>
      <c r="F446" s="50" t="s">
        <v>1750</v>
      </c>
      <c r="G446" s="50" t="s">
        <v>1751</v>
      </c>
      <c r="H446" s="50" t="s">
        <v>1752</v>
      </c>
      <c r="I446" s="51" t="s">
        <v>1753</v>
      </c>
      <c r="J446" s="51" t="s">
        <v>1762</v>
      </c>
      <c r="K446" s="51" t="s">
        <v>1201</v>
      </c>
      <c r="L446" s="52">
        <v>83</v>
      </c>
      <c r="M446" s="52">
        <f t="shared" si="12"/>
        <v>83</v>
      </c>
      <c r="N446" s="52">
        <v>21.6</v>
      </c>
      <c r="O446" s="52">
        <f t="shared" si="13"/>
        <v>21.8</v>
      </c>
      <c r="P446" s="50">
        <v>0</v>
      </c>
    </row>
    <row r="447" spans="1:16" ht="16.5" customHeight="1">
      <c r="A447" s="50" t="s">
        <v>1508</v>
      </c>
      <c r="B447" s="50" t="s">
        <v>1509</v>
      </c>
      <c r="C447" s="50" t="s">
        <v>1510</v>
      </c>
      <c r="D447" s="50" t="s">
        <v>1511</v>
      </c>
      <c r="E447" s="50">
        <v>74418</v>
      </c>
      <c r="F447" s="50" t="s">
        <v>1750</v>
      </c>
      <c r="G447" s="50" t="s">
        <v>1751</v>
      </c>
      <c r="H447" s="50" t="s">
        <v>1752</v>
      </c>
      <c r="I447" s="51" t="s">
        <v>1753</v>
      </c>
      <c r="J447" s="51" t="s">
        <v>1763</v>
      </c>
      <c r="K447" s="51" t="s">
        <v>1203</v>
      </c>
      <c r="L447" s="52">
        <v>79</v>
      </c>
      <c r="M447" s="52">
        <f t="shared" si="12"/>
        <v>79</v>
      </c>
      <c r="N447" s="52">
        <v>20.6</v>
      </c>
      <c r="O447" s="52">
        <f t="shared" si="13"/>
        <v>20.8</v>
      </c>
      <c r="P447" s="50">
        <v>0</v>
      </c>
    </row>
    <row r="448" spans="1:16" ht="16.5" customHeight="1">
      <c r="A448" s="50" t="s">
        <v>1508</v>
      </c>
      <c r="B448" s="50" t="s">
        <v>1509</v>
      </c>
      <c r="C448" s="50" t="s">
        <v>1510</v>
      </c>
      <c r="D448" s="50" t="s">
        <v>1511</v>
      </c>
      <c r="E448" s="50">
        <v>74418</v>
      </c>
      <c r="F448" s="50" t="s">
        <v>1750</v>
      </c>
      <c r="G448" s="50" t="s">
        <v>1751</v>
      </c>
      <c r="H448" s="50" t="s">
        <v>1752</v>
      </c>
      <c r="I448" s="51" t="s">
        <v>1753</v>
      </c>
      <c r="J448" s="51" t="s">
        <v>1764</v>
      </c>
      <c r="K448" s="51" t="s">
        <v>1205</v>
      </c>
      <c r="L448" s="52">
        <v>79</v>
      </c>
      <c r="M448" s="52">
        <f t="shared" si="12"/>
        <v>79</v>
      </c>
      <c r="N448" s="52">
        <v>20.5</v>
      </c>
      <c r="O448" s="52">
        <f t="shared" si="13"/>
        <v>20.7</v>
      </c>
      <c r="P448" s="50">
        <v>0</v>
      </c>
    </row>
    <row r="449" spans="1:16" ht="16.5" customHeight="1">
      <c r="A449" s="50" t="s">
        <v>1508</v>
      </c>
      <c r="B449" s="50" t="s">
        <v>1509</v>
      </c>
      <c r="C449" s="50" t="s">
        <v>1510</v>
      </c>
      <c r="D449" s="50" t="s">
        <v>1511</v>
      </c>
      <c r="E449" s="50">
        <v>74418</v>
      </c>
      <c r="F449" s="50" t="s">
        <v>1750</v>
      </c>
      <c r="G449" s="50" t="s">
        <v>1751</v>
      </c>
      <c r="H449" s="50" t="s">
        <v>1752</v>
      </c>
      <c r="I449" s="51" t="s">
        <v>1753</v>
      </c>
      <c r="J449" s="51" t="s">
        <v>1765</v>
      </c>
      <c r="K449" s="51" t="s">
        <v>1207</v>
      </c>
      <c r="L449" s="52">
        <v>80</v>
      </c>
      <c r="M449" s="52">
        <f t="shared" si="12"/>
        <v>80</v>
      </c>
      <c r="N449" s="52">
        <v>20.9</v>
      </c>
      <c r="O449" s="52">
        <f t="shared" si="13"/>
        <v>21.099999999999998</v>
      </c>
      <c r="P449" s="50">
        <v>0</v>
      </c>
    </row>
    <row r="450" spans="1:16" ht="16.5" customHeight="1">
      <c r="A450" s="50" t="s">
        <v>1508</v>
      </c>
      <c r="B450" s="50" t="s">
        <v>1509</v>
      </c>
      <c r="C450" s="50" t="s">
        <v>1510</v>
      </c>
      <c r="D450" s="50" t="s">
        <v>1511</v>
      </c>
      <c r="E450" s="50">
        <v>74418</v>
      </c>
      <c r="F450" s="50" t="s">
        <v>1750</v>
      </c>
      <c r="G450" s="50" t="s">
        <v>1751</v>
      </c>
      <c r="H450" s="50" t="s">
        <v>1752</v>
      </c>
      <c r="I450" s="51" t="s">
        <v>1753</v>
      </c>
      <c r="J450" s="51" t="s">
        <v>1766</v>
      </c>
      <c r="K450" s="51" t="s">
        <v>1209</v>
      </c>
      <c r="L450" s="52">
        <v>81</v>
      </c>
      <c r="M450" s="52">
        <f t="shared" si="12"/>
        <v>81</v>
      </c>
      <c r="N450" s="52">
        <v>21.1</v>
      </c>
      <c r="O450" s="52">
        <f t="shared" si="13"/>
        <v>21.3</v>
      </c>
      <c r="P450" s="50">
        <v>0</v>
      </c>
    </row>
    <row r="451" spans="1:16" ht="16.5" customHeight="1">
      <c r="A451" s="50" t="s">
        <v>1508</v>
      </c>
      <c r="B451" s="50" t="s">
        <v>1509</v>
      </c>
      <c r="C451" s="50" t="s">
        <v>1510</v>
      </c>
      <c r="D451" s="50" t="s">
        <v>1511</v>
      </c>
      <c r="E451" s="50">
        <v>74418</v>
      </c>
      <c r="F451" s="50" t="s">
        <v>1750</v>
      </c>
      <c r="G451" s="50" t="s">
        <v>1751</v>
      </c>
      <c r="H451" s="50" t="s">
        <v>1752</v>
      </c>
      <c r="I451" s="51" t="s">
        <v>1753</v>
      </c>
      <c r="J451" s="51" t="s">
        <v>1767</v>
      </c>
      <c r="K451" s="51" t="s">
        <v>1211</v>
      </c>
      <c r="L451" s="52">
        <v>83</v>
      </c>
      <c r="M451" s="52">
        <f t="shared" si="12"/>
        <v>83</v>
      </c>
      <c r="N451" s="52">
        <v>21.6</v>
      </c>
      <c r="O451" s="52">
        <f t="shared" si="13"/>
        <v>21.8</v>
      </c>
      <c r="P451" s="50">
        <v>0</v>
      </c>
    </row>
    <row r="452" spans="1:16" ht="16.5" customHeight="1">
      <c r="A452" s="50" t="s">
        <v>1508</v>
      </c>
      <c r="B452" s="50" t="s">
        <v>1509</v>
      </c>
      <c r="C452" s="50" t="s">
        <v>1510</v>
      </c>
      <c r="D452" s="50" t="s">
        <v>1511</v>
      </c>
      <c r="E452" s="50">
        <v>74418</v>
      </c>
      <c r="F452" s="50" t="s">
        <v>1750</v>
      </c>
      <c r="G452" s="50" t="s">
        <v>1751</v>
      </c>
      <c r="H452" s="50" t="s">
        <v>1752</v>
      </c>
      <c r="I452" s="51" t="s">
        <v>1753</v>
      </c>
      <c r="J452" s="51" t="s">
        <v>1768</v>
      </c>
      <c r="K452" s="51" t="s">
        <v>1213</v>
      </c>
      <c r="L452" s="52">
        <v>80</v>
      </c>
      <c r="M452" s="52">
        <f t="shared" ref="M452:M515" si="14">L452+P452</f>
        <v>80</v>
      </c>
      <c r="N452" s="52">
        <v>20.8</v>
      </c>
      <c r="O452" s="52">
        <f t="shared" ref="O452:O515" si="15">N452+0.2</f>
        <v>21</v>
      </c>
      <c r="P452" s="50">
        <v>0</v>
      </c>
    </row>
    <row r="453" spans="1:16" ht="16.5" customHeight="1">
      <c r="A453" s="50" t="s">
        <v>1508</v>
      </c>
      <c r="B453" s="50" t="s">
        <v>1509</v>
      </c>
      <c r="C453" s="50" t="s">
        <v>1510</v>
      </c>
      <c r="D453" s="50" t="s">
        <v>1511</v>
      </c>
      <c r="E453" s="50">
        <v>74418</v>
      </c>
      <c r="F453" s="50" t="s">
        <v>1750</v>
      </c>
      <c r="G453" s="50" t="s">
        <v>1751</v>
      </c>
      <c r="H453" s="50" t="s">
        <v>1752</v>
      </c>
      <c r="I453" s="51" t="s">
        <v>1769</v>
      </c>
      <c r="J453" s="51" t="s">
        <v>1770</v>
      </c>
      <c r="K453" s="51" t="s">
        <v>1605</v>
      </c>
      <c r="L453" s="52">
        <v>82</v>
      </c>
      <c r="M453" s="52">
        <f t="shared" si="14"/>
        <v>82</v>
      </c>
      <c r="N453" s="52">
        <v>21.2</v>
      </c>
      <c r="O453" s="52">
        <f t="shared" si="15"/>
        <v>21.4</v>
      </c>
      <c r="P453" s="50">
        <v>0</v>
      </c>
    </row>
    <row r="454" spans="1:16" ht="16.5" customHeight="1">
      <c r="A454" s="50" t="s">
        <v>1508</v>
      </c>
      <c r="B454" s="50" t="s">
        <v>1509</v>
      </c>
      <c r="C454" s="50" t="s">
        <v>1510</v>
      </c>
      <c r="D454" s="50" t="s">
        <v>1511</v>
      </c>
      <c r="E454" s="50">
        <v>74418</v>
      </c>
      <c r="F454" s="50" t="s">
        <v>1750</v>
      </c>
      <c r="G454" s="50" t="s">
        <v>1751</v>
      </c>
      <c r="H454" s="50" t="s">
        <v>1752</v>
      </c>
      <c r="I454" s="51" t="s">
        <v>1769</v>
      </c>
      <c r="J454" s="51" t="s">
        <v>1771</v>
      </c>
      <c r="K454" s="51" t="s">
        <v>1311</v>
      </c>
      <c r="L454" s="52">
        <v>83</v>
      </c>
      <c r="M454" s="52">
        <f t="shared" si="14"/>
        <v>83</v>
      </c>
      <c r="N454" s="52">
        <v>21.6</v>
      </c>
      <c r="O454" s="52">
        <f t="shared" si="15"/>
        <v>21.8</v>
      </c>
      <c r="P454" s="50">
        <v>0</v>
      </c>
    </row>
    <row r="455" spans="1:16" ht="16.5" customHeight="1">
      <c r="A455" s="50" t="s">
        <v>1508</v>
      </c>
      <c r="B455" s="50" t="s">
        <v>1509</v>
      </c>
      <c r="C455" s="50" t="s">
        <v>1510</v>
      </c>
      <c r="D455" s="50" t="s">
        <v>1511</v>
      </c>
      <c r="E455" s="50">
        <v>74418</v>
      </c>
      <c r="F455" s="50" t="s">
        <v>1750</v>
      </c>
      <c r="G455" s="50" t="s">
        <v>1751</v>
      </c>
      <c r="H455" s="50" t="s">
        <v>1752</v>
      </c>
      <c r="I455" s="51" t="s">
        <v>1769</v>
      </c>
      <c r="J455" s="51" t="s">
        <v>1772</v>
      </c>
      <c r="K455" s="51" t="s">
        <v>1313</v>
      </c>
      <c r="L455" s="52">
        <v>83</v>
      </c>
      <c r="M455" s="52">
        <f t="shared" si="14"/>
        <v>83</v>
      </c>
      <c r="N455" s="52">
        <v>21.7</v>
      </c>
      <c r="O455" s="52">
        <f t="shared" si="15"/>
        <v>21.9</v>
      </c>
      <c r="P455" s="50">
        <v>0</v>
      </c>
    </row>
    <row r="456" spans="1:16" ht="16.5" customHeight="1">
      <c r="A456" s="50" t="s">
        <v>1508</v>
      </c>
      <c r="B456" s="50" t="s">
        <v>1509</v>
      </c>
      <c r="C456" s="50" t="s">
        <v>1510</v>
      </c>
      <c r="D456" s="50" t="s">
        <v>1511</v>
      </c>
      <c r="E456" s="50">
        <v>74418</v>
      </c>
      <c r="F456" s="50" t="s">
        <v>1750</v>
      </c>
      <c r="G456" s="50" t="s">
        <v>1751</v>
      </c>
      <c r="H456" s="50" t="s">
        <v>1752</v>
      </c>
      <c r="I456" s="51" t="s">
        <v>1769</v>
      </c>
      <c r="J456" s="51" t="s">
        <v>1773</v>
      </c>
      <c r="K456" s="51" t="s">
        <v>1315</v>
      </c>
      <c r="L456" s="52">
        <v>85</v>
      </c>
      <c r="M456" s="52">
        <f t="shared" si="14"/>
        <v>85</v>
      </c>
      <c r="N456" s="52">
        <v>22.1</v>
      </c>
      <c r="O456" s="52">
        <f t="shared" si="15"/>
        <v>22.3</v>
      </c>
      <c r="P456" s="50">
        <v>0</v>
      </c>
    </row>
    <row r="457" spans="1:16" ht="16.5" customHeight="1">
      <c r="A457" s="50" t="s">
        <v>1508</v>
      </c>
      <c r="B457" s="50" t="s">
        <v>1509</v>
      </c>
      <c r="C457" s="50" t="s">
        <v>1510</v>
      </c>
      <c r="D457" s="50" t="s">
        <v>1511</v>
      </c>
      <c r="E457" s="50">
        <v>74418</v>
      </c>
      <c r="F457" s="50" t="s">
        <v>1750</v>
      </c>
      <c r="G457" s="50" t="s">
        <v>1751</v>
      </c>
      <c r="H457" s="50" t="s">
        <v>1752</v>
      </c>
      <c r="I457" s="51" t="s">
        <v>1769</v>
      </c>
      <c r="J457" s="51" t="s">
        <v>1774</v>
      </c>
      <c r="K457" s="51" t="s">
        <v>1317</v>
      </c>
      <c r="L457" s="52">
        <v>83</v>
      </c>
      <c r="M457" s="52">
        <f t="shared" si="14"/>
        <v>83</v>
      </c>
      <c r="N457" s="52">
        <v>21.5</v>
      </c>
      <c r="O457" s="52">
        <f t="shared" si="15"/>
        <v>21.7</v>
      </c>
      <c r="P457" s="50">
        <v>0</v>
      </c>
    </row>
    <row r="458" spans="1:16" ht="16.5" customHeight="1">
      <c r="A458" s="50" t="s">
        <v>1508</v>
      </c>
      <c r="B458" s="50" t="s">
        <v>1509</v>
      </c>
      <c r="C458" s="50" t="s">
        <v>1510</v>
      </c>
      <c r="D458" s="50" t="s">
        <v>1511</v>
      </c>
      <c r="E458" s="50">
        <v>74418</v>
      </c>
      <c r="F458" s="50" t="s">
        <v>1750</v>
      </c>
      <c r="G458" s="50" t="s">
        <v>1751</v>
      </c>
      <c r="H458" s="50" t="s">
        <v>1752</v>
      </c>
      <c r="I458" s="51" t="s">
        <v>1769</v>
      </c>
      <c r="J458" s="51" t="s">
        <v>1775</v>
      </c>
      <c r="K458" s="51" t="s">
        <v>1319</v>
      </c>
      <c r="L458" s="52">
        <v>83</v>
      </c>
      <c r="M458" s="52">
        <f t="shared" si="14"/>
        <v>83</v>
      </c>
      <c r="N458" s="52">
        <v>21.6</v>
      </c>
      <c r="O458" s="52">
        <f t="shared" si="15"/>
        <v>21.8</v>
      </c>
      <c r="P458" s="50">
        <v>0</v>
      </c>
    </row>
    <row r="459" spans="1:16" ht="16.5" customHeight="1">
      <c r="A459" s="50" t="s">
        <v>1508</v>
      </c>
      <c r="B459" s="50" t="s">
        <v>1509</v>
      </c>
      <c r="C459" s="50" t="s">
        <v>1510</v>
      </c>
      <c r="D459" s="50" t="s">
        <v>1511</v>
      </c>
      <c r="E459" s="50">
        <v>74418</v>
      </c>
      <c r="F459" s="50" t="s">
        <v>1750</v>
      </c>
      <c r="G459" s="50" t="s">
        <v>1751</v>
      </c>
      <c r="H459" s="50" t="s">
        <v>1752</v>
      </c>
      <c r="I459" s="51" t="s">
        <v>1769</v>
      </c>
      <c r="J459" s="51" t="s">
        <v>1776</v>
      </c>
      <c r="K459" s="51" t="s">
        <v>1321</v>
      </c>
      <c r="L459" s="52">
        <v>83</v>
      </c>
      <c r="M459" s="52">
        <f t="shared" si="14"/>
        <v>83</v>
      </c>
      <c r="N459" s="52">
        <v>21.6</v>
      </c>
      <c r="O459" s="52">
        <f t="shared" si="15"/>
        <v>21.8</v>
      </c>
      <c r="P459" s="50">
        <v>0</v>
      </c>
    </row>
    <row r="460" spans="1:16" ht="16.5" customHeight="1">
      <c r="A460" s="50" t="s">
        <v>1508</v>
      </c>
      <c r="B460" s="50" t="s">
        <v>1509</v>
      </c>
      <c r="C460" s="50" t="s">
        <v>1510</v>
      </c>
      <c r="D460" s="50" t="s">
        <v>1511</v>
      </c>
      <c r="E460" s="50">
        <v>74418</v>
      </c>
      <c r="F460" s="50" t="s">
        <v>1750</v>
      </c>
      <c r="G460" s="50" t="s">
        <v>1751</v>
      </c>
      <c r="H460" s="50" t="s">
        <v>1752</v>
      </c>
      <c r="I460" s="51" t="s">
        <v>1769</v>
      </c>
      <c r="J460" s="51" t="s">
        <v>1777</v>
      </c>
      <c r="K460" s="51" t="s">
        <v>1323</v>
      </c>
      <c r="L460" s="52">
        <v>83</v>
      </c>
      <c r="M460" s="52">
        <f t="shared" si="14"/>
        <v>83</v>
      </c>
      <c r="N460" s="52">
        <v>21.6</v>
      </c>
      <c r="O460" s="52">
        <f t="shared" si="15"/>
        <v>21.8</v>
      </c>
      <c r="P460" s="50">
        <v>0</v>
      </c>
    </row>
    <row r="461" spans="1:16" ht="16.5" customHeight="1">
      <c r="A461" s="50" t="s">
        <v>1508</v>
      </c>
      <c r="B461" s="50" t="s">
        <v>1509</v>
      </c>
      <c r="C461" s="50" t="s">
        <v>1510</v>
      </c>
      <c r="D461" s="50" t="s">
        <v>1511</v>
      </c>
      <c r="E461" s="50">
        <v>74418</v>
      </c>
      <c r="F461" s="50" t="s">
        <v>1750</v>
      </c>
      <c r="G461" s="50" t="s">
        <v>1751</v>
      </c>
      <c r="H461" s="50" t="s">
        <v>1752</v>
      </c>
      <c r="I461" s="51" t="s">
        <v>1769</v>
      </c>
      <c r="J461" s="51" t="s">
        <v>1778</v>
      </c>
      <c r="K461" s="51" t="s">
        <v>1325</v>
      </c>
      <c r="L461" s="52">
        <v>83</v>
      </c>
      <c r="M461" s="52">
        <f t="shared" si="14"/>
        <v>83</v>
      </c>
      <c r="N461" s="52">
        <v>21.5</v>
      </c>
      <c r="O461" s="52">
        <f t="shared" si="15"/>
        <v>21.7</v>
      </c>
      <c r="P461" s="50">
        <v>0</v>
      </c>
    </row>
    <row r="462" spans="1:16" ht="16.5" customHeight="1">
      <c r="A462" s="50" t="s">
        <v>1508</v>
      </c>
      <c r="B462" s="50" t="s">
        <v>1509</v>
      </c>
      <c r="C462" s="50" t="s">
        <v>1510</v>
      </c>
      <c r="D462" s="50" t="s">
        <v>1511</v>
      </c>
      <c r="E462" s="50">
        <v>74418</v>
      </c>
      <c r="F462" s="50" t="s">
        <v>1750</v>
      </c>
      <c r="G462" s="50" t="s">
        <v>1751</v>
      </c>
      <c r="H462" s="50" t="s">
        <v>1752</v>
      </c>
      <c r="I462" s="51" t="s">
        <v>1769</v>
      </c>
      <c r="J462" s="51" t="s">
        <v>1779</v>
      </c>
      <c r="K462" s="51" t="s">
        <v>1327</v>
      </c>
      <c r="L462" s="52">
        <v>83</v>
      </c>
      <c r="M462" s="52">
        <f t="shared" si="14"/>
        <v>83</v>
      </c>
      <c r="N462" s="52">
        <v>21.6</v>
      </c>
      <c r="O462" s="52">
        <f t="shared" si="15"/>
        <v>21.8</v>
      </c>
      <c r="P462" s="50">
        <v>0</v>
      </c>
    </row>
    <row r="463" spans="1:16" ht="16.5" customHeight="1">
      <c r="A463" s="50" t="s">
        <v>1508</v>
      </c>
      <c r="B463" s="50" t="s">
        <v>1509</v>
      </c>
      <c r="C463" s="50" t="s">
        <v>1510</v>
      </c>
      <c r="D463" s="50" t="s">
        <v>1511</v>
      </c>
      <c r="E463" s="50">
        <v>74418</v>
      </c>
      <c r="F463" s="50" t="s">
        <v>1750</v>
      </c>
      <c r="G463" s="50" t="s">
        <v>1751</v>
      </c>
      <c r="H463" s="50" t="s">
        <v>1752</v>
      </c>
      <c r="I463" s="51" t="s">
        <v>1769</v>
      </c>
      <c r="J463" s="51" t="s">
        <v>1780</v>
      </c>
      <c r="K463" s="51" t="s">
        <v>1329</v>
      </c>
      <c r="L463" s="52">
        <v>83</v>
      </c>
      <c r="M463" s="52">
        <f t="shared" si="14"/>
        <v>83</v>
      </c>
      <c r="N463" s="52">
        <v>21.6</v>
      </c>
      <c r="O463" s="52">
        <f t="shared" si="15"/>
        <v>21.8</v>
      </c>
      <c r="P463" s="50">
        <v>0</v>
      </c>
    </row>
    <row r="464" spans="1:16" ht="16.5" customHeight="1">
      <c r="A464" s="50" t="s">
        <v>1508</v>
      </c>
      <c r="B464" s="50" t="s">
        <v>1509</v>
      </c>
      <c r="C464" s="50" t="s">
        <v>1510</v>
      </c>
      <c r="D464" s="50" t="s">
        <v>1511</v>
      </c>
      <c r="E464" s="50">
        <v>74418</v>
      </c>
      <c r="F464" s="50" t="s">
        <v>1750</v>
      </c>
      <c r="G464" s="50" t="s">
        <v>1751</v>
      </c>
      <c r="H464" s="50" t="s">
        <v>1752</v>
      </c>
      <c r="I464" s="51" t="s">
        <v>1769</v>
      </c>
      <c r="J464" s="51" t="s">
        <v>1781</v>
      </c>
      <c r="K464" s="51" t="s">
        <v>1331</v>
      </c>
      <c r="L464" s="52">
        <v>83</v>
      </c>
      <c r="M464" s="52">
        <f t="shared" si="14"/>
        <v>83</v>
      </c>
      <c r="N464" s="52">
        <v>21.6</v>
      </c>
      <c r="O464" s="52">
        <f t="shared" si="15"/>
        <v>21.8</v>
      </c>
      <c r="P464" s="50">
        <v>0</v>
      </c>
    </row>
    <row r="465" spans="1:16" ht="16.5" customHeight="1">
      <c r="A465" s="50" t="s">
        <v>1508</v>
      </c>
      <c r="B465" s="50" t="s">
        <v>1509</v>
      </c>
      <c r="C465" s="50" t="s">
        <v>1510</v>
      </c>
      <c r="D465" s="50" t="s">
        <v>1511</v>
      </c>
      <c r="E465" s="50">
        <v>74418</v>
      </c>
      <c r="F465" s="50" t="s">
        <v>1750</v>
      </c>
      <c r="G465" s="50" t="s">
        <v>1751</v>
      </c>
      <c r="H465" s="50" t="s">
        <v>1752</v>
      </c>
      <c r="I465" s="51" t="s">
        <v>1769</v>
      </c>
      <c r="J465" s="51" t="s">
        <v>1782</v>
      </c>
      <c r="K465" s="51" t="s">
        <v>1333</v>
      </c>
      <c r="L465" s="52">
        <v>83</v>
      </c>
      <c r="M465" s="52">
        <f t="shared" si="14"/>
        <v>83</v>
      </c>
      <c r="N465" s="52">
        <v>21.7</v>
      </c>
      <c r="O465" s="52">
        <f t="shared" si="15"/>
        <v>21.9</v>
      </c>
      <c r="P465" s="50">
        <v>0</v>
      </c>
    </row>
    <row r="466" spans="1:16" ht="16.5" customHeight="1">
      <c r="A466" s="50" t="s">
        <v>1508</v>
      </c>
      <c r="B466" s="50" t="s">
        <v>1509</v>
      </c>
      <c r="C466" s="50" t="s">
        <v>1510</v>
      </c>
      <c r="D466" s="50" t="s">
        <v>1511</v>
      </c>
      <c r="E466" s="50">
        <v>74418</v>
      </c>
      <c r="F466" s="50" t="s">
        <v>1750</v>
      </c>
      <c r="G466" s="50" t="s">
        <v>1751</v>
      </c>
      <c r="H466" s="50" t="s">
        <v>1752</v>
      </c>
      <c r="I466" s="51" t="s">
        <v>1769</v>
      </c>
      <c r="J466" s="51" t="s">
        <v>1783</v>
      </c>
      <c r="K466" s="51" t="s">
        <v>1335</v>
      </c>
      <c r="L466" s="52">
        <v>82</v>
      </c>
      <c r="M466" s="52">
        <f t="shared" si="14"/>
        <v>82</v>
      </c>
      <c r="N466" s="52">
        <v>21.4</v>
      </c>
      <c r="O466" s="52">
        <f t="shared" si="15"/>
        <v>21.599999999999998</v>
      </c>
      <c r="P466" s="50">
        <v>0</v>
      </c>
    </row>
    <row r="467" spans="1:16" ht="16.5" customHeight="1">
      <c r="A467" s="50" t="s">
        <v>1508</v>
      </c>
      <c r="B467" s="50" t="s">
        <v>1509</v>
      </c>
      <c r="C467" s="50" t="s">
        <v>1510</v>
      </c>
      <c r="D467" s="50" t="s">
        <v>1511</v>
      </c>
      <c r="E467" s="50">
        <v>74418</v>
      </c>
      <c r="F467" s="50" t="s">
        <v>1750</v>
      </c>
      <c r="G467" s="50" t="s">
        <v>1751</v>
      </c>
      <c r="H467" s="50" t="s">
        <v>1752</v>
      </c>
      <c r="I467" s="51" t="s">
        <v>1769</v>
      </c>
      <c r="J467" s="51" t="s">
        <v>1784</v>
      </c>
      <c r="K467" s="51" t="s">
        <v>1337</v>
      </c>
      <c r="L467" s="52">
        <v>82</v>
      </c>
      <c r="M467" s="52">
        <f t="shared" si="14"/>
        <v>82</v>
      </c>
      <c r="N467" s="52">
        <v>21.3</v>
      </c>
      <c r="O467" s="52">
        <f t="shared" si="15"/>
        <v>21.5</v>
      </c>
      <c r="P467" s="50">
        <v>0</v>
      </c>
    </row>
    <row r="468" spans="1:16" ht="16.5" customHeight="1">
      <c r="A468" s="50" t="s">
        <v>1508</v>
      </c>
      <c r="B468" s="50" t="s">
        <v>1509</v>
      </c>
      <c r="C468" s="50" t="s">
        <v>1510</v>
      </c>
      <c r="D468" s="50" t="s">
        <v>1511</v>
      </c>
      <c r="E468" s="50">
        <v>74418</v>
      </c>
      <c r="F468" s="50" t="s">
        <v>1750</v>
      </c>
      <c r="G468" s="50" t="s">
        <v>1751</v>
      </c>
      <c r="H468" s="50" t="s">
        <v>1752</v>
      </c>
      <c r="I468" s="51" t="s">
        <v>1769</v>
      </c>
      <c r="J468" s="51" t="s">
        <v>1785</v>
      </c>
      <c r="K468" s="51" t="s">
        <v>1339</v>
      </c>
      <c r="L468" s="52">
        <v>83</v>
      </c>
      <c r="M468" s="52">
        <f t="shared" si="14"/>
        <v>83</v>
      </c>
      <c r="N468" s="52">
        <v>21.6</v>
      </c>
      <c r="O468" s="52">
        <f t="shared" si="15"/>
        <v>21.8</v>
      </c>
      <c r="P468" s="50">
        <v>0</v>
      </c>
    </row>
    <row r="469" spans="1:16" ht="16.5" customHeight="1">
      <c r="A469" s="50" t="s">
        <v>1508</v>
      </c>
      <c r="B469" s="50" t="s">
        <v>1509</v>
      </c>
      <c r="C469" s="50" t="s">
        <v>1510</v>
      </c>
      <c r="D469" s="50" t="s">
        <v>1511</v>
      </c>
      <c r="E469" s="50">
        <v>74418</v>
      </c>
      <c r="F469" s="50" t="s">
        <v>1750</v>
      </c>
      <c r="G469" s="50" t="s">
        <v>1751</v>
      </c>
      <c r="H469" s="50" t="s">
        <v>1752</v>
      </c>
      <c r="I469" s="51" t="s">
        <v>1769</v>
      </c>
      <c r="J469" s="51" t="s">
        <v>1786</v>
      </c>
      <c r="K469" s="51" t="s">
        <v>1341</v>
      </c>
      <c r="L469" s="52">
        <v>83</v>
      </c>
      <c r="M469" s="52">
        <f t="shared" si="14"/>
        <v>83</v>
      </c>
      <c r="N469" s="52">
        <v>21.6</v>
      </c>
      <c r="O469" s="52">
        <f t="shared" si="15"/>
        <v>21.8</v>
      </c>
      <c r="P469" s="50">
        <v>0</v>
      </c>
    </row>
    <row r="470" spans="1:16" ht="16.5" customHeight="1">
      <c r="A470" s="50" t="s">
        <v>1508</v>
      </c>
      <c r="B470" s="50" t="s">
        <v>1509</v>
      </c>
      <c r="C470" s="50" t="s">
        <v>1510</v>
      </c>
      <c r="D470" s="50" t="s">
        <v>1511</v>
      </c>
      <c r="E470" s="50">
        <v>74418</v>
      </c>
      <c r="F470" s="50" t="s">
        <v>1750</v>
      </c>
      <c r="G470" s="50" t="s">
        <v>1751</v>
      </c>
      <c r="H470" s="50" t="s">
        <v>1752</v>
      </c>
      <c r="I470" s="51" t="s">
        <v>1769</v>
      </c>
      <c r="J470" s="51" t="s">
        <v>1787</v>
      </c>
      <c r="K470" s="51" t="s">
        <v>1343</v>
      </c>
      <c r="L470" s="52">
        <v>83</v>
      </c>
      <c r="M470" s="52">
        <f t="shared" si="14"/>
        <v>83</v>
      </c>
      <c r="N470" s="52">
        <v>21.6</v>
      </c>
      <c r="O470" s="52">
        <f t="shared" si="15"/>
        <v>21.8</v>
      </c>
      <c r="P470" s="50">
        <v>0</v>
      </c>
    </row>
    <row r="471" spans="1:16" ht="16.5" customHeight="1">
      <c r="A471" s="50" t="s">
        <v>1508</v>
      </c>
      <c r="B471" s="50" t="s">
        <v>1509</v>
      </c>
      <c r="C471" s="50" t="s">
        <v>1510</v>
      </c>
      <c r="D471" s="50" t="s">
        <v>1511</v>
      </c>
      <c r="E471" s="50">
        <v>74418</v>
      </c>
      <c r="F471" s="50" t="s">
        <v>1750</v>
      </c>
      <c r="G471" s="50" t="s">
        <v>1751</v>
      </c>
      <c r="H471" s="50" t="s">
        <v>1752</v>
      </c>
      <c r="I471" s="51" t="s">
        <v>1769</v>
      </c>
      <c r="J471" s="51" t="s">
        <v>1788</v>
      </c>
      <c r="K471" s="51" t="s">
        <v>1624</v>
      </c>
      <c r="L471" s="52">
        <v>74</v>
      </c>
      <c r="M471" s="52">
        <f t="shared" si="14"/>
        <v>74</v>
      </c>
      <c r="N471" s="52">
        <v>19.3</v>
      </c>
      <c r="O471" s="52">
        <f t="shared" si="15"/>
        <v>19.5</v>
      </c>
      <c r="P471" s="50">
        <v>0</v>
      </c>
    </row>
    <row r="472" spans="1:16" ht="16.5" customHeight="1">
      <c r="A472" s="50" t="s">
        <v>1508</v>
      </c>
      <c r="B472" s="50" t="s">
        <v>1509</v>
      </c>
      <c r="C472" s="50" t="s">
        <v>1510</v>
      </c>
      <c r="D472" s="50" t="s">
        <v>1511</v>
      </c>
      <c r="E472" s="50">
        <v>74418</v>
      </c>
      <c r="F472" s="50" t="s">
        <v>1750</v>
      </c>
      <c r="G472" s="50" t="s">
        <v>1751</v>
      </c>
      <c r="H472" s="50" t="s">
        <v>1752</v>
      </c>
      <c r="I472" s="51" t="s">
        <v>1769</v>
      </c>
      <c r="J472" s="51" t="s">
        <v>120</v>
      </c>
      <c r="K472" s="51" t="s">
        <v>1349</v>
      </c>
      <c r="L472" s="52">
        <v>82</v>
      </c>
      <c r="M472" s="52">
        <f t="shared" si="14"/>
        <v>82</v>
      </c>
      <c r="N472" s="52">
        <v>21.4</v>
      </c>
      <c r="O472" s="52">
        <f t="shared" si="15"/>
        <v>21.599999999999998</v>
      </c>
      <c r="P472" s="50">
        <v>0</v>
      </c>
    </row>
    <row r="473" spans="1:16" ht="16.5" customHeight="1">
      <c r="A473" s="50" t="s">
        <v>1508</v>
      </c>
      <c r="B473" s="50" t="s">
        <v>1509</v>
      </c>
      <c r="C473" s="50" t="s">
        <v>1510</v>
      </c>
      <c r="D473" s="50" t="s">
        <v>1511</v>
      </c>
      <c r="E473" s="50">
        <v>74418</v>
      </c>
      <c r="F473" s="50" t="s">
        <v>1344</v>
      </c>
      <c r="G473" s="50" t="s">
        <v>1345</v>
      </c>
      <c r="H473" s="50" t="s">
        <v>1346</v>
      </c>
      <c r="I473" s="51" t="s">
        <v>1789</v>
      </c>
      <c r="J473" s="51" t="s">
        <v>1790</v>
      </c>
      <c r="K473" s="51" t="s">
        <v>1083</v>
      </c>
      <c r="L473" s="52">
        <v>82</v>
      </c>
      <c r="M473" s="52">
        <f t="shared" si="14"/>
        <v>82</v>
      </c>
      <c r="N473" s="52">
        <v>21.2</v>
      </c>
      <c r="O473" s="52">
        <f t="shared" si="15"/>
        <v>21.4</v>
      </c>
      <c r="P473" s="50">
        <v>0</v>
      </c>
    </row>
    <row r="474" spans="1:16" ht="16.5" customHeight="1">
      <c r="A474" s="50" t="s">
        <v>1508</v>
      </c>
      <c r="B474" s="50" t="s">
        <v>1509</v>
      </c>
      <c r="C474" s="50" t="s">
        <v>1510</v>
      </c>
      <c r="D474" s="50" t="s">
        <v>1511</v>
      </c>
      <c r="E474" s="50">
        <v>74418</v>
      </c>
      <c r="F474" s="50" t="s">
        <v>1344</v>
      </c>
      <c r="G474" s="50" t="s">
        <v>1345</v>
      </c>
      <c r="H474" s="50" t="s">
        <v>1346</v>
      </c>
      <c r="I474" s="51" t="s">
        <v>1789</v>
      </c>
      <c r="J474" s="51" t="s">
        <v>1791</v>
      </c>
      <c r="K474" s="51" t="s">
        <v>1085</v>
      </c>
      <c r="L474" s="52">
        <v>83</v>
      </c>
      <c r="M474" s="52">
        <f t="shared" si="14"/>
        <v>83</v>
      </c>
      <c r="N474" s="52">
        <v>21.5</v>
      </c>
      <c r="O474" s="52">
        <f t="shared" si="15"/>
        <v>21.7</v>
      </c>
      <c r="P474" s="50">
        <v>0</v>
      </c>
    </row>
    <row r="475" spans="1:16" ht="16.5" customHeight="1">
      <c r="A475" s="50" t="s">
        <v>1508</v>
      </c>
      <c r="B475" s="50" t="s">
        <v>1509</v>
      </c>
      <c r="C475" s="50" t="s">
        <v>1510</v>
      </c>
      <c r="D475" s="50" t="s">
        <v>1511</v>
      </c>
      <c r="E475" s="50">
        <v>74418</v>
      </c>
      <c r="F475" s="50" t="s">
        <v>1344</v>
      </c>
      <c r="G475" s="50" t="s">
        <v>1345</v>
      </c>
      <c r="H475" s="50" t="s">
        <v>1346</v>
      </c>
      <c r="I475" s="51" t="s">
        <v>1789</v>
      </c>
      <c r="J475" s="51" t="s">
        <v>1792</v>
      </c>
      <c r="K475" s="51" t="s">
        <v>1087</v>
      </c>
      <c r="L475" s="52">
        <v>83</v>
      </c>
      <c r="M475" s="52">
        <f t="shared" si="14"/>
        <v>83</v>
      </c>
      <c r="N475" s="52">
        <v>21.5</v>
      </c>
      <c r="O475" s="52">
        <f t="shared" si="15"/>
        <v>21.7</v>
      </c>
      <c r="P475" s="50">
        <v>0</v>
      </c>
    </row>
    <row r="476" spans="1:16" ht="16.5" customHeight="1">
      <c r="A476" s="50" t="s">
        <v>1508</v>
      </c>
      <c r="B476" s="50" t="s">
        <v>1509</v>
      </c>
      <c r="C476" s="50" t="s">
        <v>1510</v>
      </c>
      <c r="D476" s="50" t="s">
        <v>1511</v>
      </c>
      <c r="E476" s="50">
        <v>74418</v>
      </c>
      <c r="F476" s="50" t="s">
        <v>1344</v>
      </c>
      <c r="G476" s="50" t="s">
        <v>1345</v>
      </c>
      <c r="H476" s="50" t="s">
        <v>1346</v>
      </c>
      <c r="I476" s="51" t="s">
        <v>1789</v>
      </c>
      <c r="J476" s="51" t="s">
        <v>1793</v>
      </c>
      <c r="K476" s="51" t="s">
        <v>1089</v>
      </c>
      <c r="L476" s="52">
        <v>83</v>
      </c>
      <c r="M476" s="52">
        <f t="shared" si="14"/>
        <v>83</v>
      </c>
      <c r="N476" s="52">
        <v>21.5</v>
      </c>
      <c r="O476" s="52">
        <f t="shared" si="15"/>
        <v>21.7</v>
      </c>
      <c r="P476" s="50">
        <v>0</v>
      </c>
    </row>
    <row r="477" spans="1:16" ht="16.5" customHeight="1">
      <c r="A477" s="50" t="s">
        <v>1508</v>
      </c>
      <c r="B477" s="50" t="s">
        <v>1509</v>
      </c>
      <c r="C477" s="50" t="s">
        <v>1510</v>
      </c>
      <c r="D477" s="50" t="s">
        <v>1511</v>
      </c>
      <c r="E477" s="50">
        <v>74418</v>
      </c>
      <c r="F477" s="50" t="s">
        <v>1344</v>
      </c>
      <c r="G477" s="50" t="s">
        <v>1345</v>
      </c>
      <c r="H477" s="50" t="s">
        <v>1346</v>
      </c>
      <c r="I477" s="51" t="s">
        <v>1789</v>
      </c>
      <c r="J477" s="51" t="s">
        <v>1794</v>
      </c>
      <c r="K477" s="51" t="s">
        <v>1092</v>
      </c>
      <c r="L477" s="52">
        <v>83</v>
      </c>
      <c r="M477" s="52">
        <f t="shared" si="14"/>
        <v>83</v>
      </c>
      <c r="N477" s="52">
        <v>21.7</v>
      </c>
      <c r="O477" s="52">
        <f t="shared" si="15"/>
        <v>21.9</v>
      </c>
      <c r="P477" s="50">
        <v>0</v>
      </c>
    </row>
    <row r="478" spans="1:16" ht="16.5" customHeight="1">
      <c r="A478" s="50" t="s">
        <v>1508</v>
      </c>
      <c r="B478" s="50" t="s">
        <v>1509</v>
      </c>
      <c r="C478" s="50" t="s">
        <v>1510</v>
      </c>
      <c r="D478" s="50" t="s">
        <v>1511</v>
      </c>
      <c r="E478" s="50">
        <v>74418</v>
      </c>
      <c r="F478" s="50" t="s">
        <v>1344</v>
      </c>
      <c r="G478" s="50" t="s">
        <v>1345</v>
      </c>
      <c r="H478" s="50" t="s">
        <v>1346</v>
      </c>
      <c r="I478" s="51" t="s">
        <v>1789</v>
      </c>
      <c r="J478" s="51" t="s">
        <v>1795</v>
      </c>
      <c r="K478" s="51" t="s">
        <v>1094</v>
      </c>
      <c r="L478" s="52">
        <v>82</v>
      </c>
      <c r="M478" s="52">
        <f t="shared" si="14"/>
        <v>82</v>
      </c>
      <c r="N478" s="52">
        <v>21.3</v>
      </c>
      <c r="O478" s="52">
        <f t="shared" si="15"/>
        <v>21.5</v>
      </c>
      <c r="P478" s="50">
        <v>0</v>
      </c>
    </row>
    <row r="479" spans="1:16" ht="16.5" customHeight="1">
      <c r="A479" s="50" t="s">
        <v>1508</v>
      </c>
      <c r="B479" s="50" t="s">
        <v>1509</v>
      </c>
      <c r="C479" s="50" t="s">
        <v>1510</v>
      </c>
      <c r="D479" s="50" t="s">
        <v>1511</v>
      </c>
      <c r="E479" s="50">
        <v>74418</v>
      </c>
      <c r="F479" s="50" t="s">
        <v>1344</v>
      </c>
      <c r="G479" s="50" t="s">
        <v>1345</v>
      </c>
      <c r="H479" s="50" t="s">
        <v>1346</v>
      </c>
      <c r="I479" s="51" t="s">
        <v>1789</v>
      </c>
      <c r="J479" s="51" t="s">
        <v>1796</v>
      </c>
      <c r="K479" s="51" t="s">
        <v>1096</v>
      </c>
      <c r="L479" s="52">
        <v>82</v>
      </c>
      <c r="M479" s="52">
        <f t="shared" si="14"/>
        <v>82</v>
      </c>
      <c r="N479" s="52">
        <v>21.4</v>
      </c>
      <c r="O479" s="52">
        <f t="shared" si="15"/>
        <v>21.599999999999998</v>
      </c>
      <c r="P479" s="50">
        <v>0</v>
      </c>
    </row>
    <row r="480" spans="1:16" ht="16.5" customHeight="1">
      <c r="A480" s="50" t="s">
        <v>1508</v>
      </c>
      <c r="B480" s="50" t="s">
        <v>1509</v>
      </c>
      <c r="C480" s="50" t="s">
        <v>1510</v>
      </c>
      <c r="D480" s="50" t="s">
        <v>1511</v>
      </c>
      <c r="E480" s="50">
        <v>74418</v>
      </c>
      <c r="F480" s="50" t="s">
        <v>1344</v>
      </c>
      <c r="G480" s="50" t="s">
        <v>1345</v>
      </c>
      <c r="H480" s="50" t="s">
        <v>1346</v>
      </c>
      <c r="I480" s="51" t="s">
        <v>1789</v>
      </c>
      <c r="J480" s="51" t="s">
        <v>1797</v>
      </c>
      <c r="K480" s="51" t="s">
        <v>1109</v>
      </c>
      <c r="L480" s="52">
        <v>83</v>
      </c>
      <c r="M480" s="52">
        <f t="shared" si="14"/>
        <v>83</v>
      </c>
      <c r="N480" s="52">
        <v>21.5</v>
      </c>
      <c r="O480" s="52">
        <f t="shared" si="15"/>
        <v>21.7</v>
      </c>
      <c r="P480" s="50">
        <v>0</v>
      </c>
    </row>
    <row r="481" spans="1:16" ht="16.5" customHeight="1">
      <c r="A481" s="50" t="s">
        <v>1508</v>
      </c>
      <c r="B481" s="50" t="s">
        <v>1509</v>
      </c>
      <c r="C481" s="50" t="s">
        <v>1510</v>
      </c>
      <c r="D481" s="50" t="s">
        <v>1511</v>
      </c>
      <c r="E481" s="50">
        <v>74418</v>
      </c>
      <c r="F481" s="50" t="s">
        <v>1344</v>
      </c>
      <c r="G481" s="50" t="s">
        <v>1345</v>
      </c>
      <c r="H481" s="50" t="s">
        <v>1346</v>
      </c>
      <c r="I481" s="51" t="s">
        <v>1789</v>
      </c>
      <c r="J481" s="51" t="s">
        <v>1798</v>
      </c>
      <c r="K481" s="51" t="s">
        <v>1111</v>
      </c>
      <c r="L481" s="52">
        <v>83</v>
      </c>
      <c r="M481" s="52">
        <f t="shared" si="14"/>
        <v>83</v>
      </c>
      <c r="N481" s="52">
        <v>21.5</v>
      </c>
      <c r="O481" s="52">
        <f t="shared" si="15"/>
        <v>21.7</v>
      </c>
      <c r="P481" s="50">
        <v>0</v>
      </c>
    </row>
    <row r="482" spans="1:16" ht="16.5" customHeight="1">
      <c r="A482" s="50" t="s">
        <v>1508</v>
      </c>
      <c r="B482" s="50" t="s">
        <v>1509</v>
      </c>
      <c r="C482" s="50" t="s">
        <v>1510</v>
      </c>
      <c r="D482" s="50" t="s">
        <v>1511</v>
      </c>
      <c r="E482" s="50">
        <v>74418</v>
      </c>
      <c r="F482" s="50" t="s">
        <v>1344</v>
      </c>
      <c r="G482" s="50" t="s">
        <v>1345</v>
      </c>
      <c r="H482" s="50" t="s">
        <v>1346</v>
      </c>
      <c r="I482" s="51" t="s">
        <v>1789</v>
      </c>
      <c r="J482" s="51" t="s">
        <v>1799</v>
      </c>
      <c r="K482" s="51" t="s">
        <v>1113</v>
      </c>
      <c r="L482" s="52">
        <v>83</v>
      </c>
      <c r="M482" s="52">
        <f t="shared" si="14"/>
        <v>83</v>
      </c>
      <c r="N482" s="52">
        <v>21.5</v>
      </c>
      <c r="O482" s="52">
        <f t="shared" si="15"/>
        <v>21.7</v>
      </c>
      <c r="P482" s="50">
        <v>0</v>
      </c>
    </row>
    <row r="483" spans="1:16" ht="16.5" customHeight="1">
      <c r="A483" s="50" t="s">
        <v>1508</v>
      </c>
      <c r="B483" s="50" t="s">
        <v>1509</v>
      </c>
      <c r="C483" s="50" t="s">
        <v>1510</v>
      </c>
      <c r="D483" s="50" t="s">
        <v>1511</v>
      </c>
      <c r="E483" s="50">
        <v>74418</v>
      </c>
      <c r="F483" s="50" t="s">
        <v>1344</v>
      </c>
      <c r="G483" s="50" t="s">
        <v>1345</v>
      </c>
      <c r="H483" s="50" t="s">
        <v>1346</v>
      </c>
      <c r="I483" s="51" t="s">
        <v>1789</v>
      </c>
      <c r="J483" s="51" t="s">
        <v>1800</v>
      </c>
      <c r="K483" s="51" t="s">
        <v>1115</v>
      </c>
      <c r="L483" s="52">
        <v>82</v>
      </c>
      <c r="M483" s="52">
        <f t="shared" si="14"/>
        <v>82</v>
      </c>
      <c r="N483" s="52">
        <v>21.2</v>
      </c>
      <c r="O483" s="52">
        <f t="shared" si="15"/>
        <v>21.4</v>
      </c>
      <c r="P483" s="50">
        <v>0</v>
      </c>
    </row>
    <row r="484" spans="1:16" ht="16.5" customHeight="1">
      <c r="A484" s="50" t="s">
        <v>1508</v>
      </c>
      <c r="B484" s="50" t="s">
        <v>1509</v>
      </c>
      <c r="C484" s="50" t="s">
        <v>1510</v>
      </c>
      <c r="D484" s="50" t="s">
        <v>1511</v>
      </c>
      <c r="E484" s="50">
        <v>74418</v>
      </c>
      <c r="F484" s="50" t="s">
        <v>1344</v>
      </c>
      <c r="G484" s="50" t="s">
        <v>1345</v>
      </c>
      <c r="H484" s="50" t="s">
        <v>1346</v>
      </c>
      <c r="I484" s="51" t="s">
        <v>1789</v>
      </c>
      <c r="J484" s="51" t="s">
        <v>1801</v>
      </c>
      <c r="K484" s="51" t="s">
        <v>1117</v>
      </c>
      <c r="L484" s="52">
        <v>83</v>
      </c>
      <c r="M484" s="52">
        <f t="shared" si="14"/>
        <v>83</v>
      </c>
      <c r="N484" s="52">
        <v>21.5</v>
      </c>
      <c r="O484" s="52">
        <f t="shared" si="15"/>
        <v>21.7</v>
      </c>
      <c r="P484" s="50">
        <v>0</v>
      </c>
    </row>
    <row r="485" spans="1:16" ht="16.5" customHeight="1">
      <c r="A485" s="50" t="s">
        <v>1508</v>
      </c>
      <c r="B485" s="50" t="s">
        <v>1509</v>
      </c>
      <c r="C485" s="50" t="s">
        <v>1510</v>
      </c>
      <c r="D485" s="50" t="s">
        <v>1511</v>
      </c>
      <c r="E485" s="50">
        <v>74418</v>
      </c>
      <c r="F485" s="50" t="s">
        <v>1344</v>
      </c>
      <c r="G485" s="50" t="s">
        <v>1345</v>
      </c>
      <c r="H485" s="50" t="s">
        <v>1346</v>
      </c>
      <c r="I485" s="51" t="s">
        <v>1789</v>
      </c>
      <c r="J485" s="51" t="s">
        <v>1802</v>
      </c>
      <c r="K485" s="51" t="s">
        <v>1119</v>
      </c>
      <c r="L485" s="52">
        <v>82</v>
      </c>
      <c r="M485" s="52">
        <f t="shared" si="14"/>
        <v>82</v>
      </c>
      <c r="N485" s="52">
        <v>21.3</v>
      </c>
      <c r="O485" s="52">
        <f t="shared" si="15"/>
        <v>21.5</v>
      </c>
      <c r="P485" s="50">
        <v>0</v>
      </c>
    </row>
    <row r="486" spans="1:16" ht="16.5" customHeight="1">
      <c r="A486" s="50" t="s">
        <v>1508</v>
      </c>
      <c r="B486" s="50" t="s">
        <v>1509</v>
      </c>
      <c r="C486" s="50" t="s">
        <v>1510</v>
      </c>
      <c r="D486" s="50" t="s">
        <v>1511</v>
      </c>
      <c r="E486" s="50">
        <v>74418</v>
      </c>
      <c r="F486" s="50" t="s">
        <v>1344</v>
      </c>
      <c r="G486" s="50" t="s">
        <v>1345</v>
      </c>
      <c r="H486" s="50" t="s">
        <v>1346</v>
      </c>
      <c r="I486" s="51" t="s">
        <v>1789</v>
      </c>
      <c r="J486" s="51" t="s">
        <v>1803</v>
      </c>
      <c r="K486" s="51" t="s">
        <v>1121</v>
      </c>
      <c r="L486" s="52">
        <v>82</v>
      </c>
      <c r="M486" s="52">
        <f t="shared" si="14"/>
        <v>82</v>
      </c>
      <c r="N486" s="52">
        <v>21.4</v>
      </c>
      <c r="O486" s="52">
        <f t="shared" si="15"/>
        <v>21.599999999999998</v>
      </c>
      <c r="P486" s="50">
        <v>0</v>
      </c>
    </row>
    <row r="487" spans="1:16" ht="16.5" customHeight="1">
      <c r="A487" s="50" t="s">
        <v>1508</v>
      </c>
      <c r="B487" s="50" t="s">
        <v>1509</v>
      </c>
      <c r="C487" s="50" t="s">
        <v>1510</v>
      </c>
      <c r="D487" s="50" t="s">
        <v>1511</v>
      </c>
      <c r="E487" s="50">
        <v>74418</v>
      </c>
      <c r="F487" s="50" t="s">
        <v>1344</v>
      </c>
      <c r="G487" s="50" t="s">
        <v>1345</v>
      </c>
      <c r="H487" s="50" t="s">
        <v>1346</v>
      </c>
      <c r="I487" s="51" t="s">
        <v>1789</v>
      </c>
      <c r="J487" s="51" t="s">
        <v>1804</v>
      </c>
      <c r="K487" s="51" t="s">
        <v>1123</v>
      </c>
      <c r="L487" s="52">
        <v>82</v>
      </c>
      <c r="M487" s="52">
        <f t="shared" si="14"/>
        <v>82</v>
      </c>
      <c r="N487" s="52">
        <v>21.4</v>
      </c>
      <c r="O487" s="52">
        <f t="shared" si="15"/>
        <v>21.599999999999998</v>
      </c>
      <c r="P487" s="50">
        <v>0</v>
      </c>
    </row>
    <row r="488" spans="1:16" ht="16.5" customHeight="1">
      <c r="A488" s="50" t="s">
        <v>1508</v>
      </c>
      <c r="B488" s="50" t="s">
        <v>1509</v>
      </c>
      <c r="C488" s="50" t="s">
        <v>1510</v>
      </c>
      <c r="D488" s="50" t="s">
        <v>1511</v>
      </c>
      <c r="E488" s="50">
        <v>74418</v>
      </c>
      <c r="F488" s="50" t="s">
        <v>1344</v>
      </c>
      <c r="G488" s="50" t="s">
        <v>1345</v>
      </c>
      <c r="H488" s="50" t="s">
        <v>1346</v>
      </c>
      <c r="I488" s="51" t="s">
        <v>1789</v>
      </c>
      <c r="J488" s="51" t="s">
        <v>1805</v>
      </c>
      <c r="K488" s="51" t="s">
        <v>1125</v>
      </c>
      <c r="L488" s="52">
        <v>80</v>
      </c>
      <c r="M488" s="52">
        <f t="shared" si="14"/>
        <v>80</v>
      </c>
      <c r="N488" s="52">
        <v>20.9</v>
      </c>
      <c r="O488" s="52">
        <f t="shared" si="15"/>
        <v>21.099999999999998</v>
      </c>
      <c r="P488" s="50">
        <v>0</v>
      </c>
    </row>
    <row r="489" spans="1:16" ht="16.5" customHeight="1">
      <c r="A489" s="50" t="s">
        <v>1508</v>
      </c>
      <c r="B489" s="50" t="s">
        <v>1509</v>
      </c>
      <c r="C489" s="50" t="s">
        <v>1510</v>
      </c>
      <c r="D489" s="50" t="s">
        <v>1511</v>
      </c>
      <c r="E489" s="50">
        <v>74418</v>
      </c>
      <c r="F489" s="50" t="s">
        <v>1344</v>
      </c>
      <c r="G489" s="50" t="s">
        <v>1345</v>
      </c>
      <c r="H489" s="50" t="s">
        <v>1346</v>
      </c>
      <c r="I489" s="51" t="s">
        <v>1789</v>
      </c>
      <c r="J489" s="51" t="s">
        <v>1806</v>
      </c>
      <c r="K489" s="51" t="s">
        <v>1137</v>
      </c>
      <c r="L489" s="52">
        <v>82</v>
      </c>
      <c r="M489" s="52">
        <f t="shared" si="14"/>
        <v>82</v>
      </c>
      <c r="N489" s="52">
        <v>21.3</v>
      </c>
      <c r="O489" s="52">
        <f t="shared" si="15"/>
        <v>21.5</v>
      </c>
      <c r="P489" s="50">
        <v>0</v>
      </c>
    </row>
    <row r="490" spans="1:16" ht="16.5" customHeight="1">
      <c r="A490" s="50" t="s">
        <v>1508</v>
      </c>
      <c r="B490" s="50" t="s">
        <v>1509</v>
      </c>
      <c r="C490" s="50" t="s">
        <v>1510</v>
      </c>
      <c r="D490" s="50" t="s">
        <v>1511</v>
      </c>
      <c r="E490" s="50">
        <v>74418</v>
      </c>
      <c r="F490" s="50" t="s">
        <v>1344</v>
      </c>
      <c r="G490" s="50" t="s">
        <v>1345</v>
      </c>
      <c r="H490" s="50" t="s">
        <v>1346</v>
      </c>
      <c r="I490" s="51" t="s">
        <v>1789</v>
      </c>
      <c r="J490" s="51" t="s">
        <v>1807</v>
      </c>
      <c r="K490" s="51" t="s">
        <v>1139</v>
      </c>
      <c r="L490" s="52">
        <v>82</v>
      </c>
      <c r="M490" s="52">
        <f t="shared" si="14"/>
        <v>82</v>
      </c>
      <c r="N490" s="52">
        <v>21.3</v>
      </c>
      <c r="O490" s="52">
        <f t="shared" si="15"/>
        <v>21.5</v>
      </c>
      <c r="P490" s="50">
        <v>0</v>
      </c>
    </row>
    <row r="491" spans="1:16" ht="16.5" customHeight="1">
      <c r="A491" s="50" t="s">
        <v>1508</v>
      </c>
      <c r="B491" s="50" t="s">
        <v>1509</v>
      </c>
      <c r="C491" s="50" t="s">
        <v>1510</v>
      </c>
      <c r="D491" s="50" t="s">
        <v>1511</v>
      </c>
      <c r="E491" s="50">
        <v>74418</v>
      </c>
      <c r="F491" s="50" t="s">
        <v>1344</v>
      </c>
      <c r="G491" s="50" t="s">
        <v>1345</v>
      </c>
      <c r="H491" s="50" t="s">
        <v>1346</v>
      </c>
      <c r="I491" s="51" t="s">
        <v>1789</v>
      </c>
      <c r="J491" s="51" t="s">
        <v>1808</v>
      </c>
      <c r="K491" s="51" t="s">
        <v>1141</v>
      </c>
      <c r="L491" s="52">
        <v>82</v>
      </c>
      <c r="M491" s="52">
        <f t="shared" si="14"/>
        <v>82</v>
      </c>
      <c r="N491" s="52">
        <v>21.4</v>
      </c>
      <c r="O491" s="52">
        <f t="shared" si="15"/>
        <v>21.599999999999998</v>
      </c>
      <c r="P491" s="50">
        <v>0</v>
      </c>
    </row>
    <row r="492" spans="1:16" ht="16.5" customHeight="1">
      <c r="A492" s="50" t="s">
        <v>1508</v>
      </c>
      <c r="B492" s="50" t="s">
        <v>1509</v>
      </c>
      <c r="C492" s="50" t="s">
        <v>1510</v>
      </c>
      <c r="D492" s="50" t="s">
        <v>1511</v>
      </c>
      <c r="E492" s="50">
        <v>74418</v>
      </c>
      <c r="F492" s="50" t="s">
        <v>1344</v>
      </c>
      <c r="G492" s="50" t="s">
        <v>1345</v>
      </c>
      <c r="H492" s="50" t="s">
        <v>1346</v>
      </c>
      <c r="I492" s="51" t="s">
        <v>1789</v>
      </c>
      <c r="J492" s="51" t="s">
        <v>1809</v>
      </c>
      <c r="K492" s="51" t="s">
        <v>1143</v>
      </c>
      <c r="L492" s="52">
        <v>82</v>
      </c>
      <c r="M492" s="52">
        <f t="shared" si="14"/>
        <v>82</v>
      </c>
      <c r="N492" s="52">
        <v>21.3</v>
      </c>
      <c r="O492" s="52">
        <f t="shared" si="15"/>
        <v>21.5</v>
      </c>
      <c r="P492" s="50">
        <v>0</v>
      </c>
    </row>
    <row r="493" spans="1:16" ht="16.5" customHeight="1">
      <c r="A493" s="50" t="s">
        <v>1508</v>
      </c>
      <c r="B493" s="50" t="s">
        <v>1509</v>
      </c>
      <c r="C493" s="50" t="s">
        <v>1510</v>
      </c>
      <c r="D493" s="50" t="s">
        <v>1511</v>
      </c>
      <c r="E493" s="50">
        <v>74418</v>
      </c>
      <c r="F493" s="50" t="s">
        <v>1344</v>
      </c>
      <c r="G493" s="50" t="s">
        <v>1345</v>
      </c>
      <c r="H493" s="50" t="s">
        <v>1346</v>
      </c>
      <c r="I493" s="51" t="s">
        <v>1789</v>
      </c>
      <c r="J493" s="51" t="s">
        <v>1810</v>
      </c>
      <c r="K493" s="51" t="s">
        <v>1145</v>
      </c>
      <c r="L493" s="52">
        <v>83</v>
      </c>
      <c r="M493" s="52">
        <f t="shared" si="14"/>
        <v>83</v>
      </c>
      <c r="N493" s="52">
        <v>21.5</v>
      </c>
      <c r="O493" s="52">
        <f t="shared" si="15"/>
        <v>21.7</v>
      </c>
      <c r="P493" s="50">
        <v>0</v>
      </c>
    </row>
    <row r="494" spans="1:16" ht="16.5" customHeight="1">
      <c r="A494" s="50" t="s">
        <v>1508</v>
      </c>
      <c r="B494" s="50" t="s">
        <v>1509</v>
      </c>
      <c r="C494" s="50" t="s">
        <v>1510</v>
      </c>
      <c r="D494" s="50" t="s">
        <v>1511</v>
      </c>
      <c r="E494" s="50">
        <v>74418</v>
      </c>
      <c r="F494" s="50" t="s">
        <v>1344</v>
      </c>
      <c r="G494" s="50" t="s">
        <v>1345</v>
      </c>
      <c r="H494" s="50" t="s">
        <v>1346</v>
      </c>
      <c r="I494" s="51" t="s">
        <v>1789</v>
      </c>
      <c r="J494" s="51" t="s">
        <v>1811</v>
      </c>
      <c r="K494" s="51" t="s">
        <v>1147</v>
      </c>
      <c r="L494" s="52">
        <v>82</v>
      </c>
      <c r="M494" s="52">
        <f t="shared" si="14"/>
        <v>82</v>
      </c>
      <c r="N494" s="52">
        <v>21.4</v>
      </c>
      <c r="O494" s="52">
        <f t="shared" si="15"/>
        <v>21.599999999999998</v>
      </c>
      <c r="P494" s="50">
        <v>0</v>
      </c>
    </row>
    <row r="495" spans="1:16" ht="16.5" customHeight="1">
      <c r="A495" s="50" t="s">
        <v>1508</v>
      </c>
      <c r="B495" s="50" t="s">
        <v>1509</v>
      </c>
      <c r="C495" s="50" t="s">
        <v>1510</v>
      </c>
      <c r="D495" s="50" t="s">
        <v>1511</v>
      </c>
      <c r="E495" s="50">
        <v>74418</v>
      </c>
      <c r="F495" s="50" t="s">
        <v>1344</v>
      </c>
      <c r="G495" s="50" t="s">
        <v>1345</v>
      </c>
      <c r="H495" s="50" t="s">
        <v>1346</v>
      </c>
      <c r="I495" s="51" t="s">
        <v>1789</v>
      </c>
      <c r="J495" s="51" t="s">
        <v>1812</v>
      </c>
      <c r="K495" s="51" t="s">
        <v>1148</v>
      </c>
      <c r="L495" s="52">
        <v>83</v>
      </c>
      <c r="M495" s="52">
        <f t="shared" si="14"/>
        <v>83</v>
      </c>
      <c r="N495" s="52">
        <v>21.5</v>
      </c>
      <c r="O495" s="52">
        <f t="shared" si="15"/>
        <v>21.7</v>
      </c>
      <c r="P495" s="50">
        <v>0</v>
      </c>
    </row>
    <row r="496" spans="1:16" ht="16.5" customHeight="1">
      <c r="A496" s="50" t="s">
        <v>1508</v>
      </c>
      <c r="B496" s="50" t="s">
        <v>1509</v>
      </c>
      <c r="C496" s="50" t="s">
        <v>1510</v>
      </c>
      <c r="D496" s="50" t="s">
        <v>1511</v>
      </c>
      <c r="E496" s="50">
        <v>74418</v>
      </c>
      <c r="F496" s="50" t="s">
        <v>1344</v>
      </c>
      <c r="G496" s="50" t="s">
        <v>1345</v>
      </c>
      <c r="H496" s="50" t="s">
        <v>1346</v>
      </c>
      <c r="I496" s="51" t="s">
        <v>1789</v>
      </c>
      <c r="J496" s="51" t="s">
        <v>1813</v>
      </c>
      <c r="K496" s="51" t="s">
        <v>1194</v>
      </c>
      <c r="L496" s="52">
        <v>82</v>
      </c>
      <c r="M496" s="52">
        <f t="shared" si="14"/>
        <v>82</v>
      </c>
      <c r="N496" s="52">
        <v>21.2</v>
      </c>
      <c r="O496" s="52">
        <f t="shared" si="15"/>
        <v>21.4</v>
      </c>
      <c r="P496" s="50">
        <v>0</v>
      </c>
    </row>
    <row r="497" spans="1:16" ht="16.5" customHeight="1">
      <c r="A497" s="50" t="s">
        <v>1508</v>
      </c>
      <c r="B497" s="50" t="s">
        <v>1509</v>
      </c>
      <c r="C497" s="50" t="s">
        <v>1510</v>
      </c>
      <c r="D497" s="50" t="s">
        <v>1511</v>
      </c>
      <c r="E497" s="50">
        <v>74418</v>
      </c>
      <c r="F497" s="50" t="s">
        <v>1344</v>
      </c>
      <c r="G497" s="50" t="s">
        <v>1345</v>
      </c>
      <c r="H497" s="50" t="s">
        <v>1346</v>
      </c>
      <c r="I497" s="51" t="s">
        <v>1789</v>
      </c>
      <c r="J497" s="51" t="s">
        <v>1814</v>
      </c>
      <c r="K497" s="51" t="s">
        <v>1569</v>
      </c>
      <c r="L497" s="52">
        <v>82</v>
      </c>
      <c r="M497" s="52">
        <f t="shared" si="14"/>
        <v>82</v>
      </c>
      <c r="N497" s="52">
        <v>21.4</v>
      </c>
      <c r="O497" s="52">
        <f t="shared" si="15"/>
        <v>21.599999999999998</v>
      </c>
      <c r="P497" s="50">
        <v>0</v>
      </c>
    </row>
    <row r="498" spans="1:16" ht="16.5" customHeight="1">
      <c r="A498" s="50" t="s">
        <v>1508</v>
      </c>
      <c r="B498" s="50" t="s">
        <v>1509</v>
      </c>
      <c r="C498" s="50" t="s">
        <v>1510</v>
      </c>
      <c r="D498" s="50" t="s">
        <v>1511</v>
      </c>
      <c r="E498" s="50">
        <v>74418</v>
      </c>
      <c r="F498" s="50" t="s">
        <v>1344</v>
      </c>
      <c r="G498" s="50" t="s">
        <v>1345</v>
      </c>
      <c r="H498" s="50" t="s">
        <v>1346</v>
      </c>
      <c r="I498" s="51" t="s">
        <v>1789</v>
      </c>
      <c r="J498" s="51" t="s">
        <v>1815</v>
      </c>
      <c r="K498" s="51" t="s">
        <v>1571</v>
      </c>
      <c r="L498" s="52">
        <v>82</v>
      </c>
      <c r="M498" s="52">
        <f t="shared" si="14"/>
        <v>82</v>
      </c>
      <c r="N498" s="52">
        <v>21.4</v>
      </c>
      <c r="O498" s="52">
        <f t="shared" si="15"/>
        <v>21.599999999999998</v>
      </c>
      <c r="P498" s="50">
        <v>0</v>
      </c>
    </row>
    <row r="499" spans="1:16" ht="16.5" customHeight="1">
      <c r="A499" s="50" t="s">
        <v>1508</v>
      </c>
      <c r="B499" s="50" t="s">
        <v>1509</v>
      </c>
      <c r="C499" s="50" t="s">
        <v>1510</v>
      </c>
      <c r="D499" s="50" t="s">
        <v>1511</v>
      </c>
      <c r="E499" s="50">
        <v>74418</v>
      </c>
      <c r="F499" s="50" t="s">
        <v>1344</v>
      </c>
      <c r="G499" s="50" t="s">
        <v>1345</v>
      </c>
      <c r="H499" s="50" t="s">
        <v>1346</v>
      </c>
      <c r="I499" s="51" t="s">
        <v>1789</v>
      </c>
      <c r="J499" s="51" t="s">
        <v>1816</v>
      </c>
      <c r="K499" s="51" t="s">
        <v>1197</v>
      </c>
      <c r="L499" s="52">
        <v>83</v>
      </c>
      <c r="M499" s="52">
        <f t="shared" si="14"/>
        <v>83</v>
      </c>
      <c r="N499" s="52">
        <v>21.5</v>
      </c>
      <c r="O499" s="52">
        <f t="shared" si="15"/>
        <v>21.7</v>
      </c>
      <c r="P499" s="50">
        <v>0</v>
      </c>
    </row>
    <row r="500" spans="1:16" ht="16.5" customHeight="1">
      <c r="A500" s="50" t="s">
        <v>1508</v>
      </c>
      <c r="B500" s="50" t="s">
        <v>1509</v>
      </c>
      <c r="C500" s="50" t="s">
        <v>1510</v>
      </c>
      <c r="D500" s="50" t="s">
        <v>1511</v>
      </c>
      <c r="E500" s="50">
        <v>74418</v>
      </c>
      <c r="F500" s="50" t="s">
        <v>1344</v>
      </c>
      <c r="G500" s="50" t="s">
        <v>1345</v>
      </c>
      <c r="H500" s="50" t="s">
        <v>1346</v>
      </c>
      <c r="I500" s="51" t="s">
        <v>1789</v>
      </c>
      <c r="J500" s="51" t="s">
        <v>1817</v>
      </c>
      <c r="K500" s="51" t="s">
        <v>1199</v>
      </c>
      <c r="L500" s="52">
        <v>83</v>
      </c>
      <c r="M500" s="52">
        <f t="shared" si="14"/>
        <v>83</v>
      </c>
      <c r="N500" s="52">
        <v>21.5</v>
      </c>
      <c r="O500" s="52">
        <f t="shared" si="15"/>
        <v>21.7</v>
      </c>
      <c r="P500" s="50">
        <v>0</v>
      </c>
    </row>
    <row r="501" spans="1:16" ht="16.5" customHeight="1">
      <c r="A501" s="50" t="s">
        <v>1508</v>
      </c>
      <c r="B501" s="50" t="s">
        <v>1509</v>
      </c>
      <c r="C501" s="50" t="s">
        <v>1510</v>
      </c>
      <c r="D501" s="50" t="s">
        <v>1511</v>
      </c>
      <c r="E501" s="50">
        <v>74418</v>
      </c>
      <c r="F501" s="50" t="s">
        <v>1344</v>
      </c>
      <c r="G501" s="50" t="s">
        <v>1345</v>
      </c>
      <c r="H501" s="50" t="s">
        <v>1346</v>
      </c>
      <c r="I501" s="51" t="s">
        <v>1789</v>
      </c>
      <c r="J501" s="51" t="s">
        <v>1818</v>
      </c>
      <c r="K501" s="51" t="s">
        <v>1201</v>
      </c>
      <c r="L501" s="52">
        <v>85</v>
      </c>
      <c r="M501" s="52">
        <f t="shared" si="14"/>
        <v>85</v>
      </c>
      <c r="N501" s="52">
        <v>22.1</v>
      </c>
      <c r="O501" s="52">
        <f t="shared" si="15"/>
        <v>22.3</v>
      </c>
      <c r="P501" s="50">
        <v>0</v>
      </c>
    </row>
    <row r="502" spans="1:16" ht="16.5" customHeight="1">
      <c r="A502" s="50" t="s">
        <v>1508</v>
      </c>
      <c r="B502" s="50" t="s">
        <v>1509</v>
      </c>
      <c r="C502" s="50" t="s">
        <v>1510</v>
      </c>
      <c r="D502" s="50" t="s">
        <v>1511</v>
      </c>
      <c r="E502" s="50">
        <v>74418</v>
      </c>
      <c r="F502" s="50" t="s">
        <v>1344</v>
      </c>
      <c r="G502" s="50" t="s">
        <v>1345</v>
      </c>
      <c r="H502" s="50" t="s">
        <v>1346</v>
      </c>
      <c r="I502" s="51" t="s">
        <v>1789</v>
      </c>
      <c r="J502" s="51" t="s">
        <v>1819</v>
      </c>
      <c r="K502" s="51" t="s">
        <v>1203</v>
      </c>
      <c r="L502" s="52">
        <v>79</v>
      </c>
      <c r="M502" s="52">
        <f t="shared" si="14"/>
        <v>82</v>
      </c>
      <c r="N502" s="52">
        <v>21.3</v>
      </c>
      <c r="O502" s="52">
        <f t="shared" si="15"/>
        <v>21.5</v>
      </c>
      <c r="P502" s="50">
        <v>3</v>
      </c>
    </row>
    <row r="503" spans="1:16" ht="16.5" customHeight="1">
      <c r="A503" s="50" t="s">
        <v>1508</v>
      </c>
      <c r="B503" s="50" t="s">
        <v>1509</v>
      </c>
      <c r="C503" s="50" t="s">
        <v>1510</v>
      </c>
      <c r="D503" s="50" t="s">
        <v>1511</v>
      </c>
      <c r="E503" s="50">
        <v>74418</v>
      </c>
      <c r="F503" s="50" t="s">
        <v>1344</v>
      </c>
      <c r="G503" s="50" t="s">
        <v>1345</v>
      </c>
      <c r="H503" s="50" t="s">
        <v>1346</v>
      </c>
      <c r="I503" s="51" t="s">
        <v>1789</v>
      </c>
      <c r="J503" s="51" t="s">
        <v>1820</v>
      </c>
      <c r="K503" s="51" t="s">
        <v>1205</v>
      </c>
      <c r="L503" s="52">
        <v>80</v>
      </c>
      <c r="M503" s="52">
        <f t="shared" si="14"/>
        <v>80</v>
      </c>
      <c r="N503" s="52">
        <v>20.9</v>
      </c>
      <c r="O503" s="52">
        <f t="shared" si="15"/>
        <v>21.099999999999998</v>
      </c>
      <c r="P503" s="50">
        <v>0</v>
      </c>
    </row>
    <row r="504" spans="1:16" ht="16.5" customHeight="1">
      <c r="A504" s="50" t="s">
        <v>1508</v>
      </c>
      <c r="B504" s="50" t="s">
        <v>1509</v>
      </c>
      <c r="C504" s="50" t="s">
        <v>1510</v>
      </c>
      <c r="D504" s="50" t="s">
        <v>1511</v>
      </c>
      <c r="E504" s="50">
        <v>74418</v>
      </c>
      <c r="F504" s="50" t="s">
        <v>1344</v>
      </c>
      <c r="G504" s="50" t="s">
        <v>1345</v>
      </c>
      <c r="H504" s="50" t="s">
        <v>1346</v>
      </c>
      <c r="I504" s="51" t="s">
        <v>1789</v>
      </c>
      <c r="J504" s="51" t="s">
        <v>1821</v>
      </c>
      <c r="K504" s="51" t="s">
        <v>1207</v>
      </c>
      <c r="L504" s="52">
        <v>83</v>
      </c>
      <c r="M504" s="52">
        <f t="shared" si="14"/>
        <v>83</v>
      </c>
      <c r="N504" s="52">
        <v>21.5</v>
      </c>
      <c r="O504" s="52">
        <f t="shared" si="15"/>
        <v>21.7</v>
      </c>
      <c r="P504" s="50">
        <v>0</v>
      </c>
    </row>
    <row r="505" spans="1:16" ht="16.5" customHeight="1">
      <c r="A505" s="50" t="s">
        <v>1508</v>
      </c>
      <c r="B505" s="50" t="s">
        <v>1509</v>
      </c>
      <c r="C505" s="50" t="s">
        <v>1510</v>
      </c>
      <c r="D505" s="50" t="s">
        <v>1511</v>
      </c>
      <c r="E505" s="50">
        <v>74418</v>
      </c>
      <c r="F505" s="50" t="s">
        <v>1344</v>
      </c>
      <c r="G505" s="50" t="s">
        <v>1345</v>
      </c>
      <c r="H505" s="50" t="s">
        <v>1346</v>
      </c>
      <c r="I505" s="51" t="s">
        <v>1822</v>
      </c>
      <c r="J505" s="51" t="s">
        <v>1823</v>
      </c>
      <c r="K505" s="51" t="s">
        <v>1474</v>
      </c>
      <c r="L505" s="52">
        <v>82</v>
      </c>
      <c r="M505" s="52">
        <f t="shared" si="14"/>
        <v>82</v>
      </c>
      <c r="N505" s="52">
        <v>21.3</v>
      </c>
      <c r="O505" s="52">
        <f t="shared" si="15"/>
        <v>21.5</v>
      </c>
      <c r="P505" s="50">
        <v>0</v>
      </c>
    </row>
    <row r="506" spans="1:16" ht="16.5" customHeight="1">
      <c r="A506" s="50" t="s">
        <v>1508</v>
      </c>
      <c r="B506" s="50" t="s">
        <v>1509</v>
      </c>
      <c r="C506" s="50" t="s">
        <v>1510</v>
      </c>
      <c r="D506" s="50" t="s">
        <v>1511</v>
      </c>
      <c r="E506" s="50">
        <v>74418</v>
      </c>
      <c r="F506" s="50" t="s">
        <v>1344</v>
      </c>
      <c r="G506" s="50" t="s">
        <v>1345</v>
      </c>
      <c r="H506" s="50" t="s">
        <v>1346</v>
      </c>
      <c r="I506" s="51" t="s">
        <v>1822</v>
      </c>
      <c r="J506" s="51" t="s">
        <v>1824</v>
      </c>
      <c r="K506" s="51" t="s">
        <v>1476</v>
      </c>
      <c r="L506" s="52">
        <v>83</v>
      </c>
      <c r="M506" s="52">
        <f t="shared" si="14"/>
        <v>83</v>
      </c>
      <c r="N506" s="52">
        <v>21.6</v>
      </c>
      <c r="O506" s="52">
        <f t="shared" si="15"/>
        <v>21.8</v>
      </c>
      <c r="P506" s="50">
        <v>0</v>
      </c>
    </row>
    <row r="507" spans="1:16" ht="16.5" customHeight="1">
      <c r="A507" s="50" t="s">
        <v>1508</v>
      </c>
      <c r="B507" s="50" t="s">
        <v>1509</v>
      </c>
      <c r="C507" s="50" t="s">
        <v>1510</v>
      </c>
      <c r="D507" s="50" t="s">
        <v>1511</v>
      </c>
      <c r="E507" s="50">
        <v>74418</v>
      </c>
      <c r="F507" s="50" t="s">
        <v>1344</v>
      </c>
      <c r="G507" s="50" t="s">
        <v>1345</v>
      </c>
      <c r="H507" s="50" t="s">
        <v>1346</v>
      </c>
      <c r="I507" s="51" t="s">
        <v>1822</v>
      </c>
      <c r="J507" s="51" t="s">
        <v>1825</v>
      </c>
      <c r="K507" s="51" t="s">
        <v>1478</v>
      </c>
      <c r="L507" s="52">
        <v>83</v>
      </c>
      <c r="M507" s="52">
        <f t="shared" si="14"/>
        <v>83</v>
      </c>
      <c r="N507" s="52">
        <v>21.6</v>
      </c>
      <c r="O507" s="52">
        <f t="shared" si="15"/>
        <v>21.8</v>
      </c>
      <c r="P507" s="50">
        <v>0</v>
      </c>
    </row>
    <row r="508" spans="1:16" ht="16.5" customHeight="1">
      <c r="A508" s="50" t="s">
        <v>1508</v>
      </c>
      <c r="B508" s="50" t="s">
        <v>1509</v>
      </c>
      <c r="C508" s="50" t="s">
        <v>1510</v>
      </c>
      <c r="D508" s="50" t="s">
        <v>1511</v>
      </c>
      <c r="E508" s="50">
        <v>74418</v>
      </c>
      <c r="F508" s="50" t="s">
        <v>1344</v>
      </c>
      <c r="G508" s="50" t="s">
        <v>1345</v>
      </c>
      <c r="H508" s="50" t="s">
        <v>1346</v>
      </c>
      <c r="I508" s="51" t="s">
        <v>1822</v>
      </c>
      <c r="J508" s="51" t="s">
        <v>1826</v>
      </c>
      <c r="K508" s="51" t="s">
        <v>1480</v>
      </c>
      <c r="L508" s="52">
        <v>83</v>
      </c>
      <c r="M508" s="52">
        <f t="shared" si="14"/>
        <v>83</v>
      </c>
      <c r="N508" s="52">
        <v>21.6</v>
      </c>
      <c r="O508" s="52">
        <f t="shared" si="15"/>
        <v>21.8</v>
      </c>
      <c r="P508" s="50">
        <v>0</v>
      </c>
    </row>
    <row r="509" spans="1:16" ht="16.5" customHeight="1">
      <c r="A509" s="50" t="s">
        <v>1508</v>
      </c>
      <c r="B509" s="50" t="s">
        <v>1509</v>
      </c>
      <c r="C509" s="50" t="s">
        <v>1510</v>
      </c>
      <c r="D509" s="50" t="s">
        <v>1511</v>
      </c>
      <c r="E509" s="50">
        <v>74418</v>
      </c>
      <c r="F509" s="50" t="s">
        <v>1344</v>
      </c>
      <c r="G509" s="50" t="s">
        <v>1345</v>
      </c>
      <c r="H509" s="50" t="s">
        <v>1346</v>
      </c>
      <c r="I509" s="51" t="s">
        <v>1822</v>
      </c>
      <c r="J509" s="51" t="s">
        <v>1827</v>
      </c>
      <c r="K509" s="51" t="s">
        <v>1482</v>
      </c>
      <c r="L509" s="52">
        <v>83</v>
      </c>
      <c r="M509" s="52">
        <f t="shared" si="14"/>
        <v>83</v>
      </c>
      <c r="N509" s="52">
        <v>21.6</v>
      </c>
      <c r="O509" s="52">
        <f t="shared" si="15"/>
        <v>21.8</v>
      </c>
      <c r="P509" s="50">
        <v>0</v>
      </c>
    </row>
    <row r="510" spans="1:16" ht="16.5" customHeight="1">
      <c r="A510" s="50" t="s">
        <v>1508</v>
      </c>
      <c r="B510" s="50" t="s">
        <v>1509</v>
      </c>
      <c r="C510" s="50" t="s">
        <v>1510</v>
      </c>
      <c r="D510" s="50" t="s">
        <v>1511</v>
      </c>
      <c r="E510" s="50">
        <v>74418</v>
      </c>
      <c r="F510" s="50" t="s">
        <v>1344</v>
      </c>
      <c r="G510" s="50" t="s">
        <v>1345</v>
      </c>
      <c r="H510" s="50" t="s">
        <v>1346</v>
      </c>
      <c r="I510" s="51" t="s">
        <v>1822</v>
      </c>
      <c r="J510" s="51" t="s">
        <v>1828</v>
      </c>
      <c r="K510" s="51" t="s">
        <v>1485</v>
      </c>
      <c r="L510" s="52">
        <v>82</v>
      </c>
      <c r="M510" s="52">
        <f t="shared" si="14"/>
        <v>82</v>
      </c>
      <c r="N510" s="52">
        <v>21.4</v>
      </c>
      <c r="O510" s="52">
        <f t="shared" si="15"/>
        <v>21.599999999999998</v>
      </c>
      <c r="P510" s="50">
        <v>0</v>
      </c>
    </row>
    <row r="511" spans="1:16" ht="16.5" customHeight="1">
      <c r="A511" s="50" t="s">
        <v>1508</v>
      </c>
      <c r="B511" s="50" t="s">
        <v>1509</v>
      </c>
      <c r="C511" s="50" t="s">
        <v>1510</v>
      </c>
      <c r="D511" s="50" t="s">
        <v>1511</v>
      </c>
      <c r="E511" s="50">
        <v>74418</v>
      </c>
      <c r="F511" s="50" t="s">
        <v>1344</v>
      </c>
      <c r="G511" s="50" t="s">
        <v>1345</v>
      </c>
      <c r="H511" s="50" t="s">
        <v>1346</v>
      </c>
      <c r="I511" s="51" t="s">
        <v>1822</v>
      </c>
      <c r="J511" s="51" t="s">
        <v>1829</v>
      </c>
      <c r="K511" s="51" t="s">
        <v>1487</v>
      </c>
      <c r="L511" s="52">
        <v>83</v>
      </c>
      <c r="M511" s="52">
        <f t="shared" si="14"/>
        <v>83</v>
      </c>
      <c r="N511" s="52">
        <v>21.5</v>
      </c>
      <c r="O511" s="52">
        <f t="shared" si="15"/>
        <v>21.7</v>
      </c>
      <c r="P511" s="50">
        <v>0</v>
      </c>
    </row>
    <row r="512" spans="1:16" ht="16.5" customHeight="1">
      <c r="A512" s="50" t="s">
        <v>1508</v>
      </c>
      <c r="B512" s="50" t="s">
        <v>1509</v>
      </c>
      <c r="C512" s="50" t="s">
        <v>1510</v>
      </c>
      <c r="D512" s="50" t="s">
        <v>1511</v>
      </c>
      <c r="E512" s="50">
        <v>74418</v>
      </c>
      <c r="F512" s="50" t="s">
        <v>1344</v>
      </c>
      <c r="G512" s="50" t="s">
        <v>1345</v>
      </c>
      <c r="H512" s="50" t="s">
        <v>1346</v>
      </c>
      <c r="I512" s="51" t="s">
        <v>1830</v>
      </c>
      <c r="J512" s="51" t="s">
        <v>1831</v>
      </c>
      <c r="K512" s="51" t="s">
        <v>1286</v>
      </c>
      <c r="L512" s="52">
        <v>83</v>
      </c>
      <c r="M512" s="52">
        <f t="shared" si="14"/>
        <v>83</v>
      </c>
      <c r="N512" s="52">
        <v>21.7</v>
      </c>
      <c r="O512" s="52">
        <f t="shared" si="15"/>
        <v>21.9</v>
      </c>
      <c r="P512" s="50">
        <v>0</v>
      </c>
    </row>
    <row r="513" spans="1:16" ht="16.5" customHeight="1">
      <c r="A513" s="50" t="s">
        <v>1508</v>
      </c>
      <c r="B513" s="50" t="s">
        <v>1509</v>
      </c>
      <c r="C513" s="50" t="s">
        <v>1510</v>
      </c>
      <c r="D513" s="50" t="s">
        <v>1511</v>
      </c>
      <c r="E513" s="50">
        <v>74418</v>
      </c>
      <c r="F513" s="50" t="s">
        <v>1344</v>
      </c>
      <c r="G513" s="50" t="s">
        <v>1345</v>
      </c>
      <c r="H513" s="50" t="s">
        <v>1346</v>
      </c>
      <c r="I513" s="51" t="s">
        <v>1830</v>
      </c>
      <c r="J513" s="51" t="s">
        <v>1832</v>
      </c>
      <c r="K513" s="51" t="s">
        <v>1661</v>
      </c>
      <c r="L513" s="52">
        <v>82</v>
      </c>
      <c r="M513" s="52">
        <f t="shared" si="14"/>
        <v>82</v>
      </c>
      <c r="N513" s="52">
        <v>21.4</v>
      </c>
      <c r="O513" s="52">
        <f t="shared" si="15"/>
        <v>21.599999999999998</v>
      </c>
      <c r="P513" s="50">
        <v>0</v>
      </c>
    </row>
    <row r="514" spans="1:16" ht="16.5" customHeight="1">
      <c r="A514" s="50" t="s">
        <v>1508</v>
      </c>
      <c r="B514" s="50" t="s">
        <v>1509</v>
      </c>
      <c r="C514" s="50" t="s">
        <v>1510</v>
      </c>
      <c r="D514" s="50" t="s">
        <v>1511</v>
      </c>
      <c r="E514" s="50">
        <v>74418</v>
      </c>
      <c r="F514" s="50" t="s">
        <v>1344</v>
      </c>
      <c r="G514" s="50" t="s">
        <v>1345</v>
      </c>
      <c r="H514" s="50" t="s">
        <v>1346</v>
      </c>
      <c r="I514" s="51" t="s">
        <v>1830</v>
      </c>
      <c r="J514" s="51" t="s">
        <v>1833</v>
      </c>
      <c r="K514" s="51" t="s">
        <v>1663</v>
      </c>
      <c r="L514" s="52">
        <v>83</v>
      </c>
      <c r="M514" s="52">
        <f t="shared" si="14"/>
        <v>83</v>
      </c>
      <c r="N514" s="52">
        <v>21.6</v>
      </c>
      <c r="O514" s="52">
        <f t="shared" si="15"/>
        <v>21.8</v>
      </c>
      <c r="P514" s="50">
        <v>0</v>
      </c>
    </row>
    <row r="515" spans="1:16" ht="16.5" customHeight="1">
      <c r="A515" s="50" t="s">
        <v>1508</v>
      </c>
      <c r="B515" s="50" t="s">
        <v>1509</v>
      </c>
      <c r="C515" s="50" t="s">
        <v>1510</v>
      </c>
      <c r="D515" s="50" t="s">
        <v>1511</v>
      </c>
      <c r="E515" s="50">
        <v>74418</v>
      </c>
      <c r="F515" s="50" t="s">
        <v>1344</v>
      </c>
      <c r="G515" s="50" t="s">
        <v>1345</v>
      </c>
      <c r="H515" s="50" t="s">
        <v>1346</v>
      </c>
      <c r="I515" s="51" t="s">
        <v>1830</v>
      </c>
      <c r="J515" s="51" t="s">
        <v>1834</v>
      </c>
      <c r="K515" s="51" t="s">
        <v>1665</v>
      </c>
      <c r="L515" s="52">
        <v>83</v>
      </c>
      <c r="M515" s="52">
        <f t="shared" si="14"/>
        <v>83</v>
      </c>
      <c r="N515" s="52">
        <v>21.7</v>
      </c>
      <c r="O515" s="52">
        <f t="shared" si="15"/>
        <v>21.9</v>
      </c>
      <c r="P515" s="50">
        <v>0</v>
      </c>
    </row>
    <row r="516" spans="1:16" ht="16.5" customHeight="1">
      <c r="A516" s="50" t="s">
        <v>1508</v>
      </c>
      <c r="B516" s="50" t="s">
        <v>1509</v>
      </c>
      <c r="C516" s="50" t="s">
        <v>1510</v>
      </c>
      <c r="D516" s="50" t="s">
        <v>1511</v>
      </c>
      <c r="E516" s="50">
        <v>74418</v>
      </c>
      <c r="F516" s="50" t="s">
        <v>1344</v>
      </c>
      <c r="G516" s="50" t="s">
        <v>1345</v>
      </c>
      <c r="H516" s="50" t="s">
        <v>1346</v>
      </c>
      <c r="I516" s="51" t="s">
        <v>1830</v>
      </c>
      <c r="J516" s="51" t="s">
        <v>1835</v>
      </c>
      <c r="K516" s="51" t="s">
        <v>1238</v>
      </c>
      <c r="L516" s="52">
        <v>83</v>
      </c>
      <c r="M516" s="52">
        <f t="shared" ref="M516:M579" si="16">L516+P516</f>
        <v>83</v>
      </c>
      <c r="N516" s="52">
        <v>21.7</v>
      </c>
      <c r="O516" s="52">
        <f t="shared" ref="O516:O579" si="17">N516+0.2</f>
        <v>21.9</v>
      </c>
      <c r="P516" s="50">
        <v>0</v>
      </c>
    </row>
    <row r="517" spans="1:16" ht="16.5" customHeight="1">
      <c r="A517" s="50" t="s">
        <v>1508</v>
      </c>
      <c r="B517" s="50" t="s">
        <v>1509</v>
      </c>
      <c r="C517" s="50" t="s">
        <v>1510</v>
      </c>
      <c r="D517" s="50" t="s">
        <v>1511</v>
      </c>
      <c r="E517" s="50">
        <v>74418</v>
      </c>
      <c r="F517" s="50" t="s">
        <v>1344</v>
      </c>
      <c r="G517" s="50" t="s">
        <v>1345</v>
      </c>
      <c r="H517" s="50" t="s">
        <v>1346</v>
      </c>
      <c r="I517" s="51" t="s">
        <v>1830</v>
      </c>
      <c r="J517" s="51" t="s">
        <v>1836</v>
      </c>
      <c r="K517" s="51" t="s">
        <v>1240</v>
      </c>
      <c r="L517" s="52">
        <v>83</v>
      </c>
      <c r="M517" s="52">
        <f t="shared" si="16"/>
        <v>83</v>
      </c>
      <c r="N517" s="52">
        <v>21.6</v>
      </c>
      <c r="O517" s="52">
        <f t="shared" si="17"/>
        <v>21.8</v>
      </c>
      <c r="P517" s="50">
        <v>0</v>
      </c>
    </row>
    <row r="518" spans="1:16" ht="16.5" customHeight="1">
      <c r="A518" s="50" t="s">
        <v>1508</v>
      </c>
      <c r="B518" s="50" t="s">
        <v>1509</v>
      </c>
      <c r="C518" s="50" t="s">
        <v>1510</v>
      </c>
      <c r="D518" s="50" t="s">
        <v>1511</v>
      </c>
      <c r="E518" s="50">
        <v>74418</v>
      </c>
      <c r="F518" s="50" t="s">
        <v>1344</v>
      </c>
      <c r="G518" s="50" t="s">
        <v>1345</v>
      </c>
      <c r="H518" s="50" t="s">
        <v>1346</v>
      </c>
      <c r="I518" s="51" t="s">
        <v>1830</v>
      </c>
      <c r="J518" s="51" t="s">
        <v>1837</v>
      </c>
      <c r="K518" s="51" t="s">
        <v>1242</v>
      </c>
      <c r="L518" s="52">
        <v>83</v>
      </c>
      <c r="M518" s="52">
        <f t="shared" si="16"/>
        <v>83</v>
      </c>
      <c r="N518" s="52">
        <v>21.7</v>
      </c>
      <c r="O518" s="52">
        <f t="shared" si="17"/>
        <v>21.9</v>
      </c>
      <c r="P518" s="50">
        <v>0</v>
      </c>
    </row>
    <row r="519" spans="1:16" ht="16.5" customHeight="1">
      <c r="A519" s="50" t="s">
        <v>1508</v>
      </c>
      <c r="B519" s="50" t="s">
        <v>1509</v>
      </c>
      <c r="C519" s="50" t="s">
        <v>1510</v>
      </c>
      <c r="D519" s="50" t="s">
        <v>1511</v>
      </c>
      <c r="E519" s="50">
        <v>74418</v>
      </c>
      <c r="F519" s="50" t="s">
        <v>1344</v>
      </c>
      <c r="G519" s="50" t="s">
        <v>1345</v>
      </c>
      <c r="H519" s="50" t="s">
        <v>1346</v>
      </c>
      <c r="I519" s="51" t="s">
        <v>1830</v>
      </c>
      <c r="J519" s="51" t="s">
        <v>1838</v>
      </c>
      <c r="K519" s="51" t="s">
        <v>1244</v>
      </c>
      <c r="L519" s="52">
        <v>82</v>
      </c>
      <c r="M519" s="52">
        <f t="shared" si="16"/>
        <v>82</v>
      </c>
      <c r="N519" s="52">
        <v>21.2</v>
      </c>
      <c r="O519" s="52">
        <f t="shared" si="17"/>
        <v>21.4</v>
      </c>
      <c r="P519" s="50">
        <v>0</v>
      </c>
    </row>
    <row r="520" spans="1:16" ht="16.5" customHeight="1">
      <c r="A520" s="50" t="s">
        <v>1508</v>
      </c>
      <c r="B520" s="50" t="s">
        <v>1509</v>
      </c>
      <c r="C520" s="50" t="s">
        <v>1510</v>
      </c>
      <c r="D520" s="50" t="s">
        <v>1511</v>
      </c>
      <c r="E520" s="50">
        <v>74418</v>
      </c>
      <c r="F520" s="50" t="s">
        <v>1344</v>
      </c>
      <c r="G520" s="50" t="s">
        <v>1345</v>
      </c>
      <c r="H520" s="50" t="s">
        <v>1346</v>
      </c>
      <c r="I520" s="51" t="s">
        <v>1830</v>
      </c>
      <c r="J520" s="51" t="s">
        <v>1839</v>
      </c>
      <c r="K520" s="51" t="s">
        <v>1246</v>
      </c>
      <c r="L520" s="52">
        <v>81</v>
      </c>
      <c r="M520" s="52">
        <f t="shared" si="16"/>
        <v>81</v>
      </c>
      <c r="N520" s="52">
        <v>21.1</v>
      </c>
      <c r="O520" s="52">
        <f t="shared" si="17"/>
        <v>21.3</v>
      </c>
      <c r="P520" s="50">
        <v>0</v>
      </c>
    </row>
    <row r="521" spans="1:16" ht="16.5" customHeight="1">
      <c r="A521" s="50" t="s">
        <v>1508</v>
      </c>
      <c r="B521" s="50" t="s">
        <v>1509</v>
      </c>
      <c r="C521" s="50" t="s">
        <v>1510</v>
      </c>
      <c r="D521" s="50" t="s">
        <v>1511</v>
      </c>
      <c r="E521" s="50">
        <v>74418</v>
      </c>
      <c r="F521" s="50" t="s">
        <v>1344</v>
      </c>
      <c r="G521" s="50" t="s">
        <v>1345</v>
      </c>
      <c r="H521" s="50" t="s">
        <v>1346</v>
      </c>
      <c r="I521" s="51" t="s">
        <v>1830</v>
      </c>
      <c r="J521" s="51" t="s">
        <v>1840</v>
      </c>
      <c r="K521" s="51" t="s">
        <v>1248</v>
      </c>
      <c r="L521" s="52">
        <v>82</v>
      </c>
      <c r="M521" s="52">
        <f t="shared" si="16"/>
        <v>82</v>
      </c>
      <c r="N521" s="52">
        <v>21.4</v>
      </c>
      <c r="O521" s="52">
        <f t="shared" si="17"/>
        <v>21.599999999999998</v>
      </c>
      <c r="P521" s="50">
        <v>0</v>
      </c>
    </row>
    <row r="522" spans="1:16" ht="16.5" customHeight="1">
      <c r="A522" s="50" t="s">
        <v>1508</v>
      </c>
      <c r="B522" s="50" t="s">
        <v>1509</v>
      </c>
      <c r="C522" s="50" t="s">
        <v>1510</v>
      </c>
      <c r="D522" s="50" t="s">
        <v>1511</v>
      </c>
      <c r="E522" s="50">
        <v>74418</v>
      </c>
      <c r="F522" s="50" t="s">
        <v>1344</v>
      </c>
      <c r="G522" s="50" t="s">
        <v>1345</v>
      </c>
      <c r="H522" s="50" t="s">
        <v>1346</v>
      </c>
      <c r="I522" s="51" t="s">
        <v>1830</v>
      </c>
      <c r="J522" s="51" t="s">
        <v>1841</v>
      </c>
      <c r="K522" s="51" t="s">
        <v>1250</v>
      </c>
      <c r="L522" s="52">
        <v>83</v>
      </c>
      <c r="M522" s="52">
        <f t="shared" si="16"/>
        <v>83</v>
      </c>
      <c r="N522" s="52">
        <v>21.7</v>
      </c>
      <c r="O522" s="52">
        <f t="shared" si="17"/>
        <v>21.9</v>
      </c>
      <c r="P522" s="50">
        <v>0</v>
      </c>
    </row>
    <row r="523" spans="1:16" ht="16.5" customHeight="1">
      <c r="A523" s="50" t="s">
        <v>1508</v>
      </c>
      <c r="B523" s="50" t="s">
        <v>1509</v>
      </c>
      <c r="C523" s="50" t="s">
        <v>1510</v>
      </c>
      <c r="D523" s="50" t="s">
        <v>1511</v>
      </c>
      <c r="E523" s="50">
        <v>74418</v>
      </c>
      <c r="F523" s="50" t="s">
        <v>1344</v>
      </c>
      <c r="G523" s="50" t="s">
        <v>1345</v>
      </c>
      <c r="H523" s="50" t="s">
        <v>1346</v>
      </c>
      <c r="I523" s="51" t="s">
        <v>1830</v>
      </c>
      <c r="J523" s="51" t="s">
        <v>1842</v>
      </c>
      <c r="K523" s="51" t="s">
        <v>1252</v>
      </c>
      <c r="L523" s="52">
        <v>82</v>
      </c>
      <c r="M523" s="52">
        <f t="shared" si="16"/>
        <v>82</v>
      </c>
      <c r="N523" s="52">
        <v>21.4</v>
      </c>
      <c r="O523" s="52">
        <f t="shared" si="17"/>
        <v>21.599999999999998</v>
      </c>
      <c r="P523" s="50">
        <v>0</v>
      </c>
    </row>
    <row r="524" spans="1:16" ht="16.5" customHeight="1">
      <c r="A524" s="50" t="s">
        <v>1508</v>
      </c>
      <c r="B524" s="50" t="s">
        <v>1509</v>
      </c>
      <c r="C524" s="50" t="s">
        <v>1510</v>
      </c>
      <c r="D524" s="50" t="s">
        <v>1511</v>
      </c>
      <c r="E524" s="50">
        <v>74418</v>
      </c>
      <c r="F524" s="50" t="s">
        <v>1344</v>
      </c>
      <c r="G524" s="50" t="s">
        <v>1345</v>
      </c>
      <c r="H524" s="50" t="s">
        <v>1346</v>
      </c>
      <c r="I524" s="51" t="s">
        <v>1830</v>
      </c>
      <c r="J524" s="51" t="s">
        <v>1843</v>
      </c>
      <c r="K524" s="51" t="s">
        <v>1254</v>
      </c>
      <c r="L524" s="52">
        <v>83</v>
      </c>
      <c r="M524" s="52">
        <f t="shared" si="16"/>
        <v>83</v>
      </c>
      <c r="N524" s="52">
        <v>21.7</v>
      </c>
      <c r="O524" s="52">
        <f t="shared" si="17"/>
        <v>21.9</v>
      </c>
      <c r="P524" s="50">
        <v>0</v>
      </c>
    </row>
    <row r="525" spans="1:16" ht="16.5" customHeight="1">
      <c r="A525" s="50" t="s">
        <v>1508</v>
      </c>
      <c r="B525" s="50" t="s">
        <v>1509</v>
      </c>
      <c r="C525" s="50" t="s">
        <v>1510</v>
      </c>
      <c r="D525" s="50" t="s">
        <v>1511</v>
      </c>
      <c r="E525" s="50">
        <v>74418</v>
      </c>
      <c r="F525" s="50" t="s">
        <v>1344</v>
      </c>
      <c r="G525" s="50" t="s">
        <v>1345</v>
      </c>
      <c r="H525" s="50" t="s">
        <v>1346</v>
      </c>
      <c r="I525" s="51" t="s">
        <v>1830</v>
      </c>
      <c r="J525" s="51" t="s">
        <v>1844</v>
      </c>
      <c r="K525" s="51" t="s">
        <v>1256</v>
      </c>
      <c r="L525" s="52">
        <v>83</v>
      </c>
      <c r="M525" s="52">
        <f t="shared" si="16"/>
        <v>83</v>
      </c>
      <c r="N525" s="52">
        <v>21.5</v>
      </c>
      <c r="O525" s="52">
        <f t="shared" si="17"/>
        <v>21.7</v>
      </c>
      <c r="P525" s="50">
        <v>0</v>
      </c>
    </row>
    <row r="526" spans="1:16" ht="16.5" customHeight="1">
      <c r="A526" s="50" t="s">
        <v>1508</v>
      </c>
      <c r="B526" s="50" t="s">
        <v>1509</v>
      </c>
      <c r="C526" s="50" t="s">
        <v>1510</v>
      </c>
      <c r="D526" s="50" t="s">
        <v>1511</v>
      </c>
      <c r="E526" s="50">
        <v>74418</v>
      </c>
      <c r="F526" s="50" t="s">
        <v>1344</v>
      </c>
      <c r="G526" s="50" t="s">
        <v>1345</v>
      </c>
      <c r="H526" s="50" t="s">
        <v>1346</v>
      </c>
      <c r="I526" s="51" t="s">
        <v>1830</v>
      </c>
      <c r="J526" s="51" t="s">
        <v>1845</v>
      </c>
      <c r="K526" s="51" t="s">
        <v>1258</v>
      </c>
      <c r="L526" s="52">
        <v>77</v>
      </c>
      <c r="M526" s="52">
        <f t="shared" si="16"/>
        <v>77</v>
      </c>
      <c r="N526" s="52">
        <v>20.100000000000001</v>
      </c>
      <c r="O526" s="52">
        <f t="shared" si="17"/>
        <v>20.3</v>
      </c>
      <c r="P526" s="50">
        <v>0</v>
      </c>
    </row>
    <row r="527" spans="1:16" ht="16.5" customHeight="1">
      <c r="A527" s="50" t="s">
        <v>1508</v>
      </c>
      <c r="B527" s="50" t="s">
        <v>1509</v>
      </c>
      <c r="C527" s="50" t="s">
        <v>1510</v>
      </c>
      <c r="D527" s="50" t="s">
        <v>1511</v>
      </c>
      <c r="E527" s="50">
        <v>74418</v>
      </c>
      <c r="F527" s="50" t="s">
        <v>1344</v>
      </c>
      <c r="G527" s="50" t="s">
        <v>1345</v>
      </c>
      <c r="H527" s="50" t="s">
        <v>1346</v>
      </c>
      <c r="I527" s="51" t="s">
        <v>1830</v>
      </c>
      <c r="J527" s="51" t="s">
        <v>1846</v>
      </c>
      <c r="K527" s="51" t="s">
        <v>1260</v>
      </c>
      <c r="L527" s="52">
        <v>83</v>
      </c>
      <c r="M527" s="52">
        <f t="shared" si="16"/>
        <v>83</v>
      </c>
      <c r="N527" s="52">
        <v>21.5</v>
      </c>
      <c r="O527" s="52">
        <f t="shared" si="17"/>
        <v>21.7</v>
      </c>
      <c r="P527" s="50">
        <v>0</v>
      </c>
    </row>
    <row r="528" spans="1:16" ht="16.5" customHeight="1">
      <c r="A528" s="50" t="s">
        <v>1508</v>
      </c>
      <c r="B528" s="50" t="s">
        <v>1509</v>
      </c>
      <c r="C528" s="50" t="s">
        <v>1510</v>
      </c>
      <c r="D528" s="50" t="s">
        <v>1511</v>
      </c>
      <c r="E528" s="50">
        <v>74418</v>
      </c>
      <c r="F528" s="50" t="s">
        <v>1344</v>
      </c>
      <c r="G528" s="50" t="s">
        <v>1345</v>
      </c>
      <c r="H528" s="50" t="s">
        <v>1346</v>
      </c>
      <c r="I528" s="51" t="s">
        <v>1830</v>
      </c>
      <c r="J528" s="51" t="s">
        <v>1847</v>
      </c>
      <c r="K528" s="51" t="s">
        <v>1262</v>
      </c>
      <c r="L528" s="52">
        <v>83</v>
      </c>
      <c r="M528" s="52">
        <f t="shared" si="16"/>
        <v>83</v>
      </c>
      <c r="N528" s="52">
        <v>21.6</v>
      </c>
      <c r="O528" s="52">
        <f t="shared" si="17"/>
        <v>21.8</v>
      </c>
      <c r="P528" s="50">
        <v>0</v>
      </c>
    </row>
    <row r="529" spans="1:16" ht="16.5" customHeight="1">
      <c r="A529" s="50" t="s">
        <v>1508</v>
      </c>
      <c r="B529" s="50" t="s">
        <v>1509</v>
      </c>
      <c r="C529" s="50" t="s">
        <v>1510</v>
      </c>
      <c r="D529" s="50" t="s">
        <v>1511</v>
      </c>
      <c r="E529" s="50">
        <v>74418</v>
      </c>
      <c r="F529" s="50" t="s">
        <v>1344</v>
      </c>
      <c r="G529" s="50" t="s">
        <v>1345</v>
      </c>
      <c r="H529" s="50" t="s">
        <v>1346</v>
      </c>
      <c r="I529" s="51" t="s">
        <v>1830</v>
      </c>
      <c r="J529" s="51" t="s">
        <v>1848</v>
      </c>
      <c r="K529" s="51" t="s">
        <v>1266</v>
      </c>
      <c r="L529" s="52">
        <v>83</v>
      </c>
      <c r="M529" s="52">
        <f t="shared" si="16"/>
        <v>83</v>
      </c>
      <c r="N529" s="52">
        <v>21.6</v>
      </c>
      <c r="O529" s="52">
        <f t="shared" si="17"/>
        <v>21.8</v>
      </c>
      <c r="P529" s="50">
        <v>0</v>
      </c>
    </row>
    <row r="530" spans="1:16" ht="16.5" customHeight="1">
      <c r="A530" s="50" t="s">
        <v>1508</v>
      </c>
      <c r="B530" s="50" t="s">
        <v>1509</v>
      </c>
      <c r="C530" s="50" t="s">
        <v>1510</v>
      </c>
      <c r="D530" s="50" t="s">
        <v>1511</v>
      </c>
      <c r="E530" s="50">
        <v>74418</v>
      </c>
      <c r="F530" s="50" t="s">
        <v>1344</v>
      </c>
      <c r="G530" s="50" t="s">
        <v>1345</v>
      </c>
      <c r="H530" s="50" t="s">
        <v>1346</v>
      </c>
      <c r="I530" s="51" t="s">
        <v>1830</v>
      </c>
      <c r="J530" s="51" t="s">
        <v>1849</v>
      </c>
      <c r="K530" s="51" t="s">
        <v>1268</v>
      </c>
      <c r="L530" s="52">
        <v>83</v>
      </c>
      <c r="M530" s="52">
        <f t="shared" si="16"/>
        <v>83</v>
      </c>
      <c r="N530" s="52">
        <v>21.6</v>
      </c>
      <c r="O530" s="52">
        <f t="shared" si="17"/>
        <v>21.8</v>
      </c>
      <c r="P530" s="50">
        <v>0</v>
      </c>
    </row>
    <row r="531" spans="1:16" ht="16.5" customHeight="1">
      <c r="A531" s="50" t="s">
        <v>1508</v>
      </c>
      <c r="B531" s="50" t="s">
        <v>1509</v>
      </c>
      <c r="C531" s="50" t="s">
        <v>1510</v>
      </c>
      <c r="D531" s="50" t="s">
        <v>1511</v>
      </c>
      <c r="E531" s="50">
        <v>74418</v>
      </c>
      <c r="F531" s="50" t="s">
        <v>1344</v>
      </c>
      <c r="G531" s="50" t="s">
        <v>1345</v>
      </c>
      <c r="H531" s="50" t="s">
        <v>1346</v>
      </c>
      <c r="I531" s="51" t="s">
        <v>1830</v>
      </c>
      <c r="J531" s="51" t="s">
        <v>1850</v>
      </c>
      <c r="K531" s="51" t="s">
        <v>1683</v>
      </c>
      <c r="L531" s="52">
        <v>83</v>
      </c>
      <c r="M531" s="52">
        <f t="shared" si="16"/>
        <v>83</v>
      </c>
      <c r="N531" s="52">
        <v>21.5</v>
      </c>
      <c r="O531" s="52">
        <f t="shared" si="17"/>
        <v>21.7</v>
      </c>
      <c r="P531" s="50">
        <v>0</v>
      </c>
    </row>
    <row r="532" spans="1:16" ht="16.5" customHeight="1">
      <c r="A532" s="50" t="s">
        <v>1508</v>
      </c>
      <c r="B532" s="50" t="s">
        <v>1509</v>
      </c>
      <c r="C532" s="50" t="s">
        <v>1510</v>
      </c>
      <c r="D532" s="50" t="s">
        <v>1511</v>
      </c>
      <c r="E532" s="50">
        <v>74418</v>
      </c>
      <c r="F532" s="50" t="s">
        <v>1344</v>
      </c>
      <c r="G532" s="50" t="s">
        <v>1345</v>
      </c>
      <c r="H532" s="50" t="s">
        <v>1346</v>
      </c>
      <c r="I532" s="51" t="s">
        <v>1830</v>
      </c>
      <c r="J532" s="51" t="s">
        <v>1851</v>
      </c>
      <c r="K532" s="51" t="s">
        <v>1421</v>
      </c>
      <c r="L532" s="52">
        <v>82</v>
      </c>
      <c r="M532" s="52">
        <f t="shared" si="16"/>
        <v>82</v>
      </c>
      <c r="N532" s="52">
        <v>21.2</v>
      </c>
      <c r="O532" s="52">
        <f t="shared" si="17"/>
        <v>21.4</v>
      </c>
      <c r="P532" s="50">
        <v>0</v>
      </c>
    </row>
    <row r="533" spans="1:16" ht="16.5" customHeight="1">
      <c r="A533" s="50" t="s">
        <v>1508</v>
      </c>
      <c r="B533" s="50" t="s">
        <v>1509</v>
      </c>
      <c r="C533" s="50" t="s">
        <v>1510</v>
      </c>
      <c r="D533" s="50" t="s">
        <v>1511</v>
      </c>
      <c r="E533" s="50">
        <v>74418</v>
      </c>
      <c r="F533" s="50" t="s">
        <v>1344</v>
      </c>
      <c r="G533" s="50" t="s">
        <v>1345</v>
      </c>
      <c r="H533" s="50" t="s">
        <v>1346</v>
      </c>
      <c r="I533" s="51" t="s">
        <v>1830</v>
      </c>
      <c r="J533" s="51" t="s">
        <v>1852</v>
      </c>
      <c r="K533" s="51" t="s">
        <v>1423</v>
      </c>
      <c r="L533" s="52">
        <v>83</v>
      </c>
      <c r="M533" s="52">
        <f t="shared" si="16"/>
        <v>83</v>
      </c>
      <c r="N533" s="52">
        <v>21.7</v>
      </c>
      <c r="O533" s="52">
        <f t="shared" si="17"/>
        <v>21.9</v>
      </c>
      <c r="P533" s="50">
        <v>0</v>
      </c>
    </row>
    <row r="534" spans="1:16" ht="16.5" customHeight="1">
      <c r="A534" s="50" t="s">
        <v>1508</v>
      </c>
      <c r="B534" s="50" t="s">
        <v>1509</v>
      </c>
      <c r="C534" s="50" t="s">
        <v>1510</v>
      </c>
      <c r="D534" s="50" t="s">
        <v>1511</v>
      </c>
      <c r="E534" s="50">
        <v>74418</v>
      </c>
      <c r="F534" s="50" t="s">
        <v>1344</v>
      </c>
      <c r="G534" s="50" t="s">
        <v>1345</v>
      </c>
      <c r="H534" s="50" t="s">
        <v>1346</v>
      </c>
      <c r="I534" s="51" t="s">
        <v>1830</v>
      </c>
      <c r="J534" s="51" t="s">
        <v>1853</v>
      </c>
      <c r="K534" s="51" t="s">
        <v>1425</v>
      </c>
      <c r="L534" s="52">
        <v>82</v>
      </c>
      <c r="M534" s="52">
        <f t="shared" si="16"/>
        <v>82</v>
      </c>
      <c r="N534" s="52">
        <v>21.3</v>
      </c>
      <c r="O534" s="52">
        <f t="shared" si="17"/>
        <v>21.5</v>
      </c>
      <c r="P534" s="50">
        <v>0</v>
      </c>
    </row>
    <row r="535" spans="1:16" ht="16.5" customHeight="1">
      <c r="A535" s="50" t="s">
        <v>1508</v>
      </c>
      <c r="B535" s="50" t="s">
        <v>1509</v>
      </c>
      <c r="C535" s="50" t="s">
        <v>1510</v>
      </c>
      <c r="D535" s="50" t="s">
        <v>1511</v>
      </c>
      <c r="E535" s="50">
        <v>74418</v>
      </c>
      <c r="F535" s="50" t="s">
        <v>1344</v>
      </c>
      <c r="G535" s="50" t="s">
        <v>1345</v>
      </c>
      <c r="H535" s="50" t="s">
        <v>1346</v>
      </c>
      <c r="I535" s="51" t="s">
        <v>1830</v>
      </c>
      <c r="J535" s="51" t="s">
        <v>1854</v>
      </c>
      <c r="K535" s="51" t="s">
        <v>1427</v>
      </c>
      <c r="L535" s="52">
        <v>84</v>
      </c>
      <c r="M535" s="52">
        <f t="shared" si="16"/>
        <v>84</v>
      </c>
      <c r="N535" s="52">
        <v>21.9</v>
      </c>
      <c r="O535" s="52">
        <f t="shared" si="17"/>
        <v>22.099999999999998</v>
      </c>
      <c r="P535" s="50">
        <v>0</v>
      </c>
    </row>
    <row r="536" spans="1:16" ht="16.5" customHeight="1">
      <c r="A536" s="50" t="s">
        <v>1508</v>
      </c>
      <c r="B536" s="50" t="s">
        <v>1509</v>
      </c>
      <c r="C536" s="50" t="s">
        <v>1510</v>
      </c>
      <c r="D536" s="50" t="s">
        <v>1511</v>
      </c>
      <c r="E536" s="50">
        <v>74418</v>
      </c>
      <c r="F536" s="50" t="s">
        <v>1344</v>
      </c>
      <c r="G536" s="50" t="s">
        <v>1345</v>
      </c>
      <c r="H536" s="50" t="s">
        <v>1346</v>
      </c>
      <c r="I536" s="51" t="s">
        <v>1830</v>
      </c>
      <c r="J536" s="51" t="s">
        <v>1855</v>
      </c>
      <c r="K536" s="51" t="s">
        <v>1429</v>
      </c>
      <c r="L536" s="52">
        <v>83</v>
      </c>
      <c r="M536" s="52">
        <f t="shared" si="16"/>
        <v>83</v>
      </c>
      <c r="N536" s="52">
        <v>21.7</v>
      </c>
      <c r="O536" s="52">
        <f t="shared" si="17"/>
        <v>21.9</v>
      </c>
      <c r="P536" s="50">
        <v>0</v>
      </c>
    </row>
    <row r="537" spans="1:16" ht="16.5" customHeight="1">
      <c r="A537" s="50" t="s">
        <v>1508</v>
      </c>
      <c r="B537" s="50" t="s">
        <v>1509</v>
      </c>
      <c r="C537" s="50" t="s">
        <v>1510</v>
      </c>
      <c r="D537" s="50" t="s">
        <v>1511</v>
      </c>
      <c r="E537" s="50">
        <v>74418</v>
      </c>
      <c r="F537" s="50" t="s">
        <v>1344</v>
      </c>
      <c r="G537" s="50" t="s">
        <v>1345</v>
      </c>
      <c r="H537" s="50" t="s">
        <v>1346</v>
      </c>
      <c r="I537" s="51" t="s">
        <v>1830</v>
      </c>
      <c r="J537" s="51" t="s">
        <v>1856</v>
      </c>
      <c r="K537" s="51" t="s">
        <v>1431</v>
      </c>
      <c r="L537" s="52">
        <v>72</v>
      </c>
      <c r="M537" s="52">
        <f t="shared" si="16"/>
        <v>72</v>
      </c>
      <c r="N537" s="52">
        <v>18.7</v>
      </c>
      <c r="O537" s="52">
        <f t="shared" si="17"/>
        <v>18.899999999999999</v>
      </c>
      <c r="P537" s="50">
        <v>0</v>
      </c>
    </row>
    <row r="538" spans="1:16" ht="16.5" customHeight="1">
      <c r="A538" s="50" t="s">
        <v>1508</v>
      </c>
      <c r="B538" s="50" t="s">
        <v>1509</v>
      </c>
      <c r="C538" s="50" t="s">
        <v>1510</v>
      </c>
      <c r="D538" s="50" t="s">
        <v>1511</v>
      </c>
      <c r="E538" s="50">
        <v>74418</v>
      </c>
      <c r="F538" s="50" t="s">
        <v>1344</v>
      </c>
      <c r="G538" s="50" t="s">
        <v>1345</v>
      </c>
      <c r="H538" s="50" t="s">
        <v>1346</v>
      </c>
      <c r="I538" s="51" t="s">
        <v>1830</v>
      </c>
      <c r="J538" s="51" t="s">
        <v>1857</v>
      </c>
      <c r="K538" s="51" t="s">
        <v>1433</v>
      </c>
      <c r="L538" s="52">
        <v>83</v>
      </c>
      <c r="M538" s="52">
        <f t="shared" si="16"/>
        <v>83</v>
      </c>
      <c r="N538" s="52">
        <v>21.6</v>
      </c>
      <c r="O538" s="52">
        <f t="shared" si="17"/>
        <v>21.8</v>
      </c>
      <c r="P538" s="50">
        <v>0</v>
      </c>
    </row>
    <row r="539" spans="1:16" ht="16.5" customHeight="1">
      <c r="A539" s="50" t="s">
        <v>1508</v>
      </c>
      <c r="B539" s="50" t="s">
        <v>1509</v>
      </c>
      <c r="C539" s="50" t="s">
        <v>1510</v>
      </c>
      <c r="D539" s="50" t="s">
        <v>1511</v>
      </c>
      <c r="E539" s="50">
        <v>74418</v>
      </c>
      <c r="F539" s="50" t="s">
        <v>1344</v>
      </c>
      <c r="G539" s="50" t="s">
        <v>1345</v>
      </c>
      <c r="H539" s="50" t="s">
        <v>1346</v>
      </c>
      <c r="I539" s="51" t="s">
        <v>1830</v>
      </c>
      <c r="J539" s="51" t="s">
        <v>1858</v>
      </c>
      <c r="K539" s="51" t="s">
        <v>1435</v>
      </c>
      <c r="L539" s="52">
        <v>83</v>
      </c>
      <c r="M539" s="52">
        <f t="shared" si="16"/>
        <v>83</v>
      </c>
      <c r="N539" s="52">
        <v>21.7</v>
      </c>
      <c r="O539" s="52">
        <f t="shared" si="17"/>
        <v>21.9</v>
      </c>
      <c r="P539" s="50">
        <v>0</v>
      </c>
    </row>
    <row r="540" spans="1:16" ht="16.5" customHeight="1">
      <c r="A540" s="50" t="s">
        <v>1508</v>
      </c>
      <c r="B540" s="50" t="s">
        <v>1509</v>
      </c>
      <c r="C540" s="50" t="s">
        <v>1510</v>
      </c>
      <c r="D540" s="50" t="s">
        <v>1511</v>
      </c>
      <c r="E540" s="50">
        <v>74418</v>
      </c>
      <c r="F540" s="50" t="s">
        <v>1344</v>
      </c>
      <c r="G540" s="50" t="s">
        <v>1345</v>
      </c>
      <c r="H540" s="50" t="s">
        <v>1346</v>
      </c>
      <c r="I540" s="51" t="s">
        <v>1830</v>
      </c>
      <c r="J540" s="51" t="s">
        <v>1859</v>
      </c>
      <c r="K540" s="51" t="s">
        <v>1437</v>
      </c>
      <c r="L540" s="52">
        <v>83</v>
      </c>
      <c r="M540" s="52">
        <f t="shared" si="16"/>
        <v>83</v>
      </c>
      <c r="N540" s="52">
        <v>21.7</v>
      </c>
      <c r="O540" s="52">
        <f t="shared" si="17"/>
        <v>21.9</v>
      </c>
      <c r="P540" s="50">
        <v>0</v>
      </c>
    </row>
    <row r="541" spans="1:16" ht="16.5" customHeight="1">
      <c r="A541" s="50" t="s">
        <v>1508</v>
      </c>
      <c r="B541" s="50" t="s">
        <v>1509</v>
      </c>
      <c r="C541" s="50" t="s">
        <v>1510</v>
      </c>
      <c r="D541" s="50" t="s">
        <v>1511</v>
      </c>
      <c r="E541" s="50">
        <v>74418</v>
      </c>
      <c r="F541" s="50" t="s">
        <v>1344</v>
      </c>
      <c r="G541" s="50" t="s">
        <v>1345</v>
      </c>
      <c r="H541" s="50" t="s">
        <v>1346</v>
      </c>
      <c r="I541" s="51" t="s">
        <v>1830</v>
      </c>
      <c r="J541" s="51" t="s">
        <v>1860</v>
      </c>
      <c r="K541" s="51" t="s">
        <v>1694</v>
      </c>
      <c r="L541" s="52">
        <v>83</v>
      </c>
      <c r="M541" s="52">
        <f t="shared" si="16"/>
        <v>83</v>
      </c>
      <c r="N541" s="52">
        <v>21.7</v>
      </c>
      <c r="O541" s="52">
        <f t="shared" si="17"/>
        <v>21.9</v>
      </c>
      <c r="P541" s="50">
        <v>0</v>
      </c>
    </row>
    <row r="542" spans="1:16" ht="16.5" customHeight="1">
      <c r="A542" s="50" t="s">
        <v>1508</v>
      </c>
      <c r="B542" s="50" t="s">
        <v>1509</v>
      </c>
      <c r="C542" s="50" t="s">
        <v>1510</v>
      </c>
      <c r="D542" s="50" t="s">
        <v>1511</v>
      </c>
      <c r="E542" s="50">
        <v>74418</v>
      </c>
      <c r="F542" s="50" t="s">
        <v>1344</v>
      </c>
      <c r="G542" s="50" t="s">
        <v>1345</v>
      </c>
      <c r="H542" s="50" t="s">
        <v>1346</v>
      </c>
      <c r="I542" s="51" t="s">
        <v>1830</v>
      </c>
      <c r="J542" s="51" t="s">
        <v>1861</v>
      </c>
      <c r="K542" s="51" t="s">
        <v>1439</v>
      </c>
      <c r="L542" s="52">
        <v>84</v>
      </c>
      <c r="M542" s="52">
        <f t="shared" si="16"/>
        <v>84</v>
      </c>
      <c r="N542" s="52">
        <v>21.9</v>
      </c>
      <c r="O542" s="52">
        <f t="shared" si="17"/>
        <v>22.099999999999998</v>
      </c>
      <c r="P542" s="50">
        <v>0</v>
      </c>
    </row>
    <row r="543" spans="1:16" ht="16.5" customHeight="1">
      <c r="A543" s="50" t="s">
        <v>1508</v>
      </c>
      <c r="B543" s="50" t="s">
        <v>1509</v>
      </c>
      <c r="C543" s="50" t="s">
        <v>1510</v>
      </c>
      <c r="D543" s="50" t="s">
        <v>1511</v>
      </c>
      <c r="E543" s="50">
        <v>74418</v>
      </c>
      <c r="F543" s="50" t="s">
        <v>1344</v>
      </c>
      <c r="G543" s="50" t="s">
        <v>1345</v>
      </c>
      <c r="H543" s="50" t="s">
        <v>1346</v>
      </c>
      <c r="I543" s="51" t="s">
        <v>1830</v>
      </c>
      <c r="J543" s="51" t="s">
        <v>1862</v>
      </c>
      <c r="K543" s="51" t="s">
        <v>1441</v>
      </c>
      <c r="L543" s="52">
        <v>83</v>
      </c>
      <c r="M543" s="52">
        <f t="shared" si="16"/>
        <v>83</v>
      </c>
      <c r="N543" s="52">
        <v>21.5</v>
      </c>
      <c r="O543" s="52">
        <f t="shared" si="17"/>
        <v>21.7</v>
      </c>
      <c r="P543" s="50">
        <v>0</v>
      </c>
    </row>
    <row r="544" spans="1:16" ht="16.5" customHeight="1">
      <c r="A544" s="50" t="s">
        <v>1508</v>
      </c>
      <c r="B544" s="50" t="s">
        <v>1509</v>
      </c>
      <c r="C544" s="50" t="s">
        <v>1510</v>
      </c>
      <c r="D544" s="50" t="s">
        <v>1511</v>
      </c>
      <c r="E544" s="50">
        <v>74418</v>
      </c>
      <c r="F544" s="50" t="s">
        <v>1344</v>
      </c>
      <c r="G544" s="50" t="s">
        <v>1345</v>
      </c>
      <c r="H544" s="50" t="s">
        <v>1346</v>
      </c>
      <c r="I544" s="51" t="s">
        <v>1830</v>
      </c>
      <c r="J544" s="51" t="s">
        <v>1863</v>
      </c>
      <c r="K544" s="51" t="s">
        <v>1443</v>
      </c>
      <c r="L544" s="52">
        <v>82</v>
      </c>
      <c r="M544" s="52">
        <f t="shared" si="16"/>
        <v>82</v>
      </c>
      <c r="N544" s="52">
        <v>21.2</v>
      </c>
      <c r="O544" s="52">
        <f t="shared" si="17"/>
        <v>21.4</v>
      </c>
      <c r="P544" s="50">
        <v>0</v>
      </c>
    </row>
    <row r="545" spans="1:16" ht="16.5" customHeight="1">
      <c r="A545" s="50" t="s">
        <v>1508</v>
      </c>
      <c r="B545" s="50" t="s">
        <v>1509</v>
      </c>
      <c r="C545" s="50" t="s">
        <v>1510</v>
      </c>
      <c r="D545" s="50" t="s">
        <v>1511</v>
      </c>
      <c r="E545" s="50">
        <v>74418</v>
      </c>
      <c r="F545" s="50" t="s">
        <v>1344</v>
      </c>
      <c r="G545" s="50" t="s">
        <v>1345</v>
      </c>
      <c r="H545" s="50" t="s">
        <v>1346</v>
      </c>
      <c r="I545" s="51" t="s">
        <v>1830</v>
      </c>
      <c r="J545" s="51" t="s">
        <v>1864</v>
      </c>
      <c r="K545" s="51" t="s">
        <v>1445</v>
      </c>
      <c r="L545" s="52">
        <v>83</v>
      </c>
      <c r="M545" s="52">
        <f t="shared" si="16"/>
        <v>83</v>
      </c>
      <c r="N545" s="52">
        <v>21.6</v>
      </c>
      <c r="O545" s="52">
        <f t="shared" si="17"/>
        <v>21.8</v>
      </c>
      <c r="P545" s="50">
        <v>0</v>
      </c>
    </row>
    <row r="546" spans="1:16" ht="16.5" customHeight="1">
      <c r="A546" s="50" t="s">
        <v>1508</v>
      </c>
      <c r="B546" s="50" t="s">
        <v>1509</v>
      </c>
      <c r="C546" s="50" t="s">
        <v>1510</v>
      </c>
      <c r="D546" s="50" t="s">
        <v>1511</v>
      </c>
      <c r="E546" s="50">
        <v>74418</v>
      </c>
      <c r="F546" s="50" t="s">
        <v>1344</v>
      </c>
      <c r="G546" s="50" t="s">
        <v>1345</v>
      </c>
      <c r="H546" s="50" t="s">
        <v>1346</v>
      </c>
      <c r="I546" s="51" t="s">
        <v>1830</v>
      </c>
      <c r="J546" s="51" t="s">
        <v>1865</v>
      </c>
      <c r="K546" s="51" t="s">
        <v>1447</v>
      </c>
      <c r="L546" s="52">
        <v>83</v>
      </c>
      <c r="M546" s="52">
        <f t="shared" si="16"/>
        <v>83</v>
      </c>
      <c r="N546" s="52">
        <v>21.7</v>
      </c>
      <c r="O546" s="52">
        <f t="shared" si="17"/>
        <v>21.9</v>
      </c>
      <c r="P546" s="50">
        <v>0</v>
      </c>
    </row>
    <row r="547" spans="1:16" ht="16.5" customHeight="1">
      <c r="A547" s="50" t="s">
        <v>1508</v>
      </c>
      <c r="B547" s="50" t="s">
        <v>1509</v>
      </c>
      <c r="C547" s="50" t="s">
        <v>1510</v>
      </c>
      <c r="D547" s="50" t="s">
        <v>1511</v>
      </c>
      <c r="E547" s="50">
        <v>74418</v>
      </c>
      <c r="F547" s="50" t="s">
        <v>1344</v>
      </c>
      <c r="G547" s="50" t="s">
        <v>1345</v>
      </c>
      <c r="H547" s="50" t="s">
        <v>1346</v>
      </c>
      <c r="I547" s="51" t="s">
        <v>1830</v>
      </c>
      <c r="J547" s="51" t="s">
        <v>1866</v>
      </c>
      <c r="K547" s="51" t="s">
        <v>1449</v>
      </c>
      <c r="L547" s="52">
        <v>82</v>
      </c>
      <c r="M547" s="52">
        <f t="shared" si="16"/>
        <v>82</v>
      </c>
      <c r="N547" s="52">
        <v>21.4</v>
      </c>
      <c r="O547" s="52">
        <f t="shared" si="17"/>
        <v>21.599999999999998</v>
      </c>
      <c r="P547" s="50">
        <v>0</v>
      </c>
    </row>
    <row r="548" spans="1:16" ht="16.5" customHeight="1">
      <c r="A548" s="50" t="s">
        <v>1508</v>
      </c>
      <c r="B548" s="50" t="s">
        <v>1509</v>
      </c>
      <c r="C548" s="50" t="s">
        <v>1510</v>
      </c>
      <c r="D548" s="50" t="s">
        <v>1511</v>
      </c>
      <c r="E548" s="50">
        <v>74418</v>
      </c>
      <c r="F548" s="50" t="s">
        <v>1344</v>
      </c>
      <c r="G548" s="50" t="s">
        <v>1345</v>
      </c>
      <c r="H548" s="50" t="s">
        <v>1346</v>
      </c>
      <c r="I548" s="51" t="s">
        <v>1830</v>
      </c>
      <c r="J548" s="51" t="s">
        <v>1867</v>
      </c>
      <c r="K548" s="51" t="s">
        <v>1703</v>
      </c>
      <c r="L548" s="52">
        <v>83</v>
      </c>
      <c r="M548" s="52">
        <f t="shared" si="16"/>
        <v>83</v>
      </c>
      <c r="N548" s="52">
        <v>21.7</v>
      </c>
      <c r="O548" s="52">
        <f t="shared" si="17"/>
        <v>21.9</v>
      </c>
      <c r="P548" s="50">
        <v>0</v>
      </c>
    </row>
    <row r="549" spans="1:16" ht="16.5" customHeight="1">
      <c r="A549" s="50" t="s">
        <v>1508</v>
      </c>
      <c r="B549" s="50" t="s">
        <v>1509</v>
      </c>
      <c r="C549" s="50" t="s">
        <v>1510</v>
      </c>
      <c r="D549" s="50" t="s">
        <v>1511</v>
      </c>
      <c r="E549" s="50">
        <v>74418</v>
      </c>
      <c r="F549" s="50" t="s">
        <v>1344</v>
      </c>
      <c r="G549" s="50" t="s">
        <v>1345</v>
      </c>
      <c r="H549" s="50" t="s">
        <v>1346</v>
      </c>
      <c r="I549" s="51" t="s">
        <v>1830</v>
      </c>
      <c r="J549" s="51" t="s">
        <v>1868</v>
      </c>
      <c r="K549" s="51" t="s">
        <v>1869</v>
      </c>
      <c r="L549" s="52">
        <v>82</v>
      </c>
      <c r="M549" s="52">
        <f t="shared" si="16"/>
        <v>82</v>
      </c>
      <c r="N549" s="52">
        <v>21.2</v>
      </c>
      <c r="O549" s="52">
        <f t="shared" si="17"/>
        <v>21.4</v>
      </c>
      <c r="P549" s="50">
        <v>0</v>
      </c>
    </row>
    <row r="550" spans="1:16" ht="16.5" customHeight="1">
      <c r="A550" s="50" t="s">
        <v>1508</v>
      </c>
      <c r="B550" s="50" t="s">
        <v>1509</v>
      </c>
      <c r="C550" s="50" t="s">
        <v>1510</v>
      </c>
      <c r="D550" s="50" t="s">
        <v>1511</v>
      </c>
      <c r="E550" s="50">
        <v>74418</v>
      </c>
      <c r="F550" s="50" t="s">
        <v>1870</v>
      </c>
      <c r="G550" s="50" t="s">
        <v>1871</v>
      </c>
      <c r="H550" s="50" t="s">
        <v>1872</v>
      </c>
      <c r="I550" s="51" t="s">
        <v>1873</v>
      </c>
      <c r="J550" s="51" t="s">
        <v>1874</v>
      </c>
      <c r="K550" s="51" t="s">
        <v>1571</v>
      </c>
      <c r="L550" s="52">
        <v>82</v>
      </c>
      <c r="M550" s="52">
        <f t="shared" si="16"/>
        <v>82</v>
      </c>
      <c r="N550" s="52">
        <v>21.2</v>
      </c>
      <c r="O550" s="52">
        <f t="shared" si="17"/>
        <v>21.4</v>
      </c>
      <c r="P550" s="50">
        <v>0</v>
      </c>
    </row>
    <row r="551" spans="1:16" ht="16.5" customHeight="1">
      <c r="A551" s="50" t="s">
        <v>1508</v>
      </c>
      <c r="B551" s="50" t="s">
        <v>1509</v>
      </c>
      <c r="C551" s="50" t="s">
        <v>1510</v>
      </c>
      <c r="D551" s="50" t="s">
        <v>1511</v>
      </c>
      <c r="E551" s="50">
        <v>74418</v>
      </c>
      <c r="F551" s="50" t="s">
        <v>1870</v>
      </c>
      <c r="G551" s="50" t="s">
        <v>1871</v>
      </c>
      <c r="H551" s="50" t="s">
        <v>1872</v>
      </c>
      <c r="I551" s="51" t="s">
        <v>1873</v>
      </c>
      <c r="J551" s="51" t="s">
        <v>1875</v>
      </c>
      <c r="K551" s="51" t="s">
        <v>1197</v>
      </c>
      <c r="L551" s="52">
        <v>83</v>
      </c>
      <c r="M551" s="52">
        <f t="shared" si="16"/>
        <v>83</v>
      </c>
      <c r="N551" s="52">
        <v>21.7</v>
      </c>
      <c r="O551" s="52">
        <f t="shared" si="17"/>
        <v>21.9</v>
      </c>
      <c r="P551" s="50">
        <v>0</v>
      </c>
    </row>
    <row r="552" spans="1:16" ht="16.5" customHeight="1">
      <c r="A552" s="50" t="s">
        <v>1508</v>
      </c>
      <c r="B552" s="50" t="s">
        <v>1509</v>
      </c>
      <c r="C552" s="50" t="s">
        <v>1510</v>
      </c>
      <c r="D552" s="50" t="s">
        <v>1511</v>
      </c>
      <c r="E552" s="50">
        <v>74418</v>
      </c>
      <c r="F552" s="50" t="s">
        <v>1870</v>
      </c>
      <c r="G552" s="50" t="s">
        <v>1871</v>
      </c>
      <c r="H552" s="50" t="s">
        <v>1872</v>
      </c>
      <c r="I552" s="51" t="s">
        <v>1873</v>
      </c>
      <c r="J552" s="51" t="s">
        <v>1876</v>
      </c>
      <c r="K552" s="51" t="s">
        <v>1199</v>
      </c>
      <c r="L552" s="52">
        <v>83</v>
      </c>
      <c r="M552" s="52">
        <f t="shared" si="16"/>
        <v>83</v>
      </c>
      <c r="N552" s="52">
        <v>21.6</v>
      </c>
      <c r="O552" s="52">
        <f t="shared" si="17"/>
        <v>21.8</v>
      </c>
      <c r="P552" s="50">
        <v>0</v>
      </c>
    </row>
    <row r="553" spans="1:16" ht="16.5" customHeight="1">
      <c r="A553" s="50" t="s">
        <v>1508</v>
      </c>
      <c r="B553" s="50" t="s">
        <v>1509</v>
      </c>
      <c r="C553" s="50" t="s">
        <v>1510</v>
      </c>
      <c r="D553" s="50" t="s">
        <v>1511</v>
      </c>
      <c r="E553" s="50">
        <v>74418</v>
      </c>
      <c r="F553" s="50" t="s">
        <v>1870</v>
      </c>
      <c r="G553" s="50" t="s">
        <v>1871</v>
      </c>
      <c r="H553" s="50" t="s">
        <v>1872</v>
      </c>
      <c r="I553" s="51" t="s">
        <v>1873</v>
      </c>
      <c r="J553" s="51" t="s">
        <v>1877</v>
      </c>
      <c r="K553" s="51" t="s">
        <v>1201</v>
      </c>
      <c r="L553" s="52">
        <v>83</v>
      </c>
      <c r="M553" s="52">
        <f t="shared" si="16"/>
        <v>83</v>
      </c>
      <c r="N553" s="52">
        <v>21.6</v>
      </c>
      <c r="O553" s="52">
        <f t="shared" si="17"/>
        <v>21.8</v>
      </c>
      <c r="P553" s="50">
        <v>0</v>
      </c>
    </row>
    <row r="554" spans="1:16" ht="16.5" customHeight="1">
      <c r="A554" s="50" t="s">
        <v>1508</v>
      </c>
      <c r="B554" s="50" t="s">
        <v>1509</v>
      </c>
      <c r="C554" s="50" t="s">
        <v>1510</v>
      </c>
      <c r="D554" s="50" t="s">
        <v>1511</v>
      </c>
      <c r="E554" s="50">
        <v>74418</v>
      </c>
      <c r="F554" s="50" t="s">
        <v>1870</v>
      </c>
      <c r="G554" s="50" t="s">
        <v>1871</v>
      </c>
      <c r="H554" s="50" t="s">
        <v>1872</v>
      </c>
      <c r="I554" s="51" t="s">
        <v>1873</v>
      </c>
      <c r="J554" s="51" t="s">
        <v>1878</v>
      </c>
      <c r="K554" s="51" t="s">
        <v>1203</v>
      </c>
      <c r="L554" s="52">
        <v>83</v>
      </c>
      <c r="M554" s="52">
        <f t="shared" si="16"/>
        <v>83</v>
      </c>
      <c r="N554" s="52">
        <v>21.7</v>
      </c>
      <c r="O554" s="52">
        <f t="shared" si="17"/>
        <v>21.9</v>
      </c>
      <c r="P554" s="50">
        <v>0</v>
      </c>
    </row>
    <row r="555" spans="1:16" ht="16.5" customHeight="1">
      <c r="A555" s="50" t="s">
        <v>1508</v>
      </c>
      <c r="B555" s="50" t="s">
        <v>1509</v>
      </c>
      <c r="C555" s="50" t="s">
        <v>1510</v>
      </c>
      <c r="D555" s="50" t="s">
        <v>1511</v>
      </c>
      <c r="E555" s="50">
        <v>74418</v>
      </c>
      <c r="F555" s="50" t="s">
        <v>1870</v>
      </c>
      <c r="G555" s="50" t="s">
        <v>1871</v>
      </c>
      <c r="H555" s="50" t="s">
        <v>1872</v>
      </c>
      <c r="I555" s="51" t="s">
        <v>1873</v>
      </c>
      <c r="J555" s="51" t="s">
        <v>1879</v>
      </c>
      <c r="K555" s="51" t="s">
        <v>1205</v>
      </c>
      <c r="L555" s="52">
        <v>81</v>
      </c>
      <c r="M555" s="52">
        <f t="shared" si="16"/>
        <v>81</v>
      </c>
      <c r="N555" s="52">
        <v>21.1</v>
      </c>
      <c r="O555" s="52">
        <f t="shared" si="17"/>
        <v>21.3</v>
      </c>
      <c r="P555" s="50">
        <v>0</v>
      </c>
    </row>
    <row r="556" spans="1:16" ht="16.5" customHeight="1">
      <c r="A556" s="50" t="s">
        <v>1508</v>
      </c>
      <c r="B556" s="50" t="s">
        <v>1509</v>
      </c>
      <c r="C556" s="50" t="s">
        <v>1510</v>
      </c>
      <c r="D556" s="50" t="s">
        <v>1511</v>
      </c>
      <c r="E556" s="50">
        <v>74418</v>
      </c>
      <c r="F556" s="50" t="s">
        <v>1870</v>
      </c>
      <c r="G556" s="50" t="s">
        <v>1871</v>
      </c>
      <c r="H556" s="50" t="s">
        <v>1872</v>
      </c>
      <c r="I556" s="51" t="s">
        <v>1873</v>
      </c>
      <c r="J556" s="51" t="s">
        <v>1880</v>
      </c>
      <c r="K556" s="51" t="s">
        <v>1207</v>
      </c>
      <c r="L556" s="52">
        <v>78</v>
      </c>
      <c r="M556" s="52">
        <f t="shared" si="16"/>
        <v>78</v>
      </c>
      <c r="N556" s="52">
        <v>20.399999999999999</v>
      </c>
      <c r="O556" s="52">
        <f t="shared" si="17"/>
        <v>20.599999999999998</v>
      </c>
      <c r="P556" s="50">
        <v>0</v>
      </c>
    </row>
    <row r="557" spans="1:16" ht="16.5" customHeight="1">
      <c r="A557" s="50" t="s">
        <v>1508</v>
      </c>
      <c r="B557" s="50" t="s">
        <v>1509</v>
      </c>
      <c r="C557" s="50" t="s">
        <v>1510</v>
      </c>
      <c r="D557" s="50" t="s">
        <v>1511</v>
      </c>
      <c r="E557" s="50">
        <v>74418</v>
      </c>
      <c r="F557" s="50" t="s">
        <v>1870</v>
      </c>
      <c r="G557" s="50" t="s">
        <v>1871</v>
      </c>
      <c r="H557" s="50" t="s">
        <v>1872</v>
      </c>
      <c r="I557" s="51" t="s">
        <v>1873</v>
      </c>
      <c r="J557" s="51" t="s">
        <v>1881</v>
      </c>
      <c r="K557" s="51" t="s">
        <v>1209</v>
      </c>
      <c r="L557" s="52">
        <v>83</v>
      </c>
      <c r="M557" s="52">
        <f t="shared" si="16"/>
        <v>83</v>
      </c>
      <c r="N557" s="52">
        <v>21.6</v>
      </c>
      <c r="O557" s="52">
        <f t="shared" si="17"/>
        <v>21.8</v>
      </c>
      <c r="P557" s="50">
        <v>0</v>
      </c>
    </row>
    <row r="558" spans="1:16" ht="16.5" customHeight="1">
      <c r="A558" s="50" t="s">
        <v>1508</v>
      </c>
      <c r="B558" s="50" t="s">
        <v>1509</v>
      </c>
      <c r="C558" s="50" t="s">
        <v>1510</v>
      </c>
      <c r="D558" s="50" t="s">
        <v>1511</v>
      </c>
      <c r="E558" s="50">
        <v>74418</v>
      </c>
      <c r="F558" s="50" t="s">
        <v>1870</v>
      </c>
      <c r="G558" s="50" t="s">
        <v>1871</v>
      </c>
      <c r="H558" s="50" t="s">
        <v>1872</v>
      </c>
      <c r="I558" s="51" t="s">
        <v>1873</v>
      </c>
      <c r="J558" s="51" t="s">
        <v>1882</v>
      </c>
      <c r="K558" s="51" t="s">
        <v>1211</v>
      </c>
      <c r="L558" s="52">
        <v>83</v>
      </c>
      <c r="M558" s="52">
        <f t="shared" si="16"/>
        <v>83</v>
      </c>
      <c r="N558" s="52">
        <v>21.5</v>
      </c>
      <c r="O558" s="52">
        <f t="shared" si="17"/>
        <v>21.7</v>
      </c>
      <c r="P558" s="50">
        <v>0</v>
      </c>
    </row>
    <row r="559" spans="1:16" ht="16.5" customHeight="1">
      <c r="A559" s="50" t="s">
        <v>1508</v>
      </c>
      <c r="B559" s="50" t="s">
        <v>1509</v>
      </c>
      <c r="C559" s="50" t="s">
        <v>1510</v>
      </c>
      <c r="D559" s="50" t="s">
        <v>1511</v>
      </c>
      <c r="E559" s="50">
        <v>74418</v>
      </c>
      <c r="F559" s="50" t="s">
        <v>1870</v>
      </c>
      <c r="G559" s="50" t="s">
        <v>1871</v>
      </c>
      <c r="H559" s="50" t="s">
        <v>1872</v>
      </c>
      <c r="I559" s="51" t="s">
        <v>1873</v>
      </c>
      <c r="J559" s="51" t="s">
        <v>1883</v>
      </c>
      <c r="K559" s="51" t="s">
        <v>1213</v>
      </c>
      <c r="L559" s="52">
        <v>82</v>
      </c>
      <c r="M559" s="52">
        <f t="shared" si="16"/>
        <v>82</v>
      </c>
      <c r="N559" s="52">
        <v>21.3</v>
      </c>
      <c r="O559" s="52">
        <f t="shared" si="17"/>
        <v>21.5</v>
      </c>
      <c r="P559" s="50">
        <v>0</v>
      </c>
    </row>
    <row r="560" spans="1:16" ht="16.5" customHeight="1">
      <c r="A560" s="50" t="s">
        <v>1508</v>
      </c>
      <c r="B560" s="50" t="s">
        <v>1509</v>
      </c>
      <c r="C560" s="50" t="s">
        <v>1510</v>
      </c>
      <c r="D560" s="50" t="s">
        <v>1511</v>
      </c>
      <c r="E560" s="50">
        <v>74418</v>
      </c>
      <c r="F560" s="50" t="s">
        <v>1870</v>
      </c>
      <c r="G560" s="50" t="s">
        <v>1871</v>
      </c>
      <c r="H560" s="50" t="s">
        <v>1872</v>
      </c>
      <c r="I560" s="51" t="s">
        <v>1873</v>
      </c>
      <c r="J560" s="51" t="s">
        <v>1884</v>
      </c>
      <c r="K560" s="51" t="s">
        <v>1215</v>
      </c>
      <c r="L560" s="52">
        <v>83</v>
      </c>
      <c r="M560" s="52">
        <f t="shared" si="16"/>
        <v>83</v>
      </c>
      <c r="N560" s="52">
        <v>21.6</v>
      </c>
      <c r="O560" s="52">
        <f t="shared" si="17"/>
        <v>21.8</v>
      </c>
      <c r="P560" s="50">
        <v>0</v>
      </c>
    </row>
    <row r="561" spans="1:16" ht="16.5" customHeight="1">
      <c r="A561" s="50" t="s">
        <v>1508</v>
      </c>
      <c r="B561" s="50" t="s">
        <v>1509</v>
      </c>
      <c r="C561" s="50" t="s">
        <v>1510</v>
      </c>
      <c r="D561" s="50" t="s">
        <v>1511</v>
      </c>
      <c r="E561" s="50">
        <v>74418</v>
      </c>
      <c r="F561" s="50" t="s">
        <v>1870</v>
      </c>
      <c r="G561" s="50" t="s">
        <v>1871</v>
      </c>
      <c r="H561" s="50" t="s">
        <v>1872</v>
      </c>
      <c r="I561" s="51" t="s">
        <v>1873</v>
      </c>
      <c r="J561" s="51" t="s">
        <v>1885</v>
      </c>
      <c r="K561" s="51" t="s">
        <v>1217</v>
      </c>
      <c r="L561" s="52">
        <v>84</v>
      </c>
      <c r="M561" s="52">
        <f t="shared" si="16"/>
        <v>84</v>
      </c>
      <c r="N561" s="52">
        <v>21.9</v>
      </c>
      <c r="O561" s="52">
        <f t="shared" si="17"/>
        <v>22.099999999999998</v>
      </c>
      <c r="P561" s="50">
        <v>0</v>
      </c>
    </row>
    <row r="562" spans="1:16" ht="16.5" customHeight="1">
      <c r="A562" s="50" t="s">
        <v>1508</v>
      </c>
      <c r="B562" s="50" t="s">
        <v>1509</v>
      </c>
      <c r="C562" s="50" t="s">
        <v>1510</v>
      </c>
      <c r="D562" s="50" t="s">
        <v>1511</v>
      </c>
      <c r="E562" s="50">
        <v>74418</v>
      </c>
      <c r="F562" s="50" t="s">
        <v>1870</v>
      </c>
      <c r="G562" s="50" t="s">
        <v>1871</v>
      </c>
      <c r="H562" s="50" t="s">
        <v>1872</v>
      </c>
      <c r="I562" s="51" t="s">
        <v>1873</v>
      </c>
      <c r="J562" s="51" t="s">
        <v>1886</v>
      </c>
      <c r="K562" s="51" t="s">
        <v>1219</v>
      </c>
      <c r="L562" s="52">
        <v>83</v>
      </c>
      <c r="M562" s="52">
        <f t="shared" si="16"/>
        <v>83</v>
      </c>
      <c r="N562" s="52">
        <v>21.5</v>
      </c>
      <c r="O562" s="52">
        <f t="shared" si="17"/>
        <v>21.7</v>
      </c>
      <c r="P562" s="50">
        <v>0</v>
      </c>
    </row>
    <row r="563" spans="1:16" ht="16.5" customHeight="1">
      <c r="A563" s="50" t="s">
        <v>1508</v>
      </c>
      <c r="B563" s="50" t="s">
        <v>1509</v>
      </c>
      <c r="C563" s="50" t="s">
        <v>1510</v>
      </c>
      <c r="D563" s="50" t="s">
        <v>1511</v>
      </c>
      <c r="E563" s="50">
        <v>74418</v>
      </c>
      <c r="F563" s="50" t="s">
        <v>1870</v>
      </c>
      <c r="G563" s="50" t="s">
        <v>1871</v>
      </c>
      <c r="H563" s="50" t="s">
        <v>1872</v>
      </c>
      <c r="I563" s="51" t="s">
        <v>1873</v>
      </c>
      <c r="J563" s="51" t="s">
        <v>1887</v>
      </c>
      <c r="K563" s="51" t="s">
        <v>1221</v>
      </c>
      <c r="L563" s="52">
        <v>83</v>
      </c>
      <c r="M563" s="52">
        <f t="shared" si="16"/>
        <v>83</v>
      </c>
      <c r="N563" s="52">
        <v>21.7</v>
      </c>
      <c r="O563" s="52">
        <f t="shared" si="17"/>
        <v>21.9</v>
      </c>
      <c r="P563" s="50">
        <v>0</v>
      </c>
    </row>
    <row r="564" spans="1:16" ht="16.5" customHeight="1">
      <c r="A564" s="50" t="s">
        <v>1508</v>
      </c>
      <c r="B564" s="50" t="s">
        <v>1509</v>
      </c>
      <c r="C564" s="50" t="s">
        <v>1510</v>
      </c>
      <c r="D564" s="50" t="s">
        <v>1511</v>
      </c>
      <c r="E564" s="50">
        <v>74418</v>
      </c>
      <c r="F564" s="50" t="s">
        <v>1870</v>
      </c>
      <c r="G564" s="50" t="s">
        <v>1871</v>
      </c>
      <c r="H564" s="50" t="s">
        <v>1872</v>
      </c>
      <c r="I564" s="51" t="s">
        <v>1873</v>
      </c>
      <c r="J564" s="51" t="s">
        <v>1888</v>
      </c>
      <c r="K564" s="51" t="s">
        <v>1223</v>
      </c>
      <c r="L564" s="52">
        <v>80</v>
      </c>
      <c r="M564" s="52">
        <f t="shared" si="16"/>
        <v>80</v>
      </c>
      <c r="N564" s="52">
        <v>20.9</v>
      </c>
      <c r="O564" s="52">
        <f t="shared" si="17"/>
        <v>21.099999999999998</v>
      </c>
      <c r="P564" s="50">
        <v>0</v>
      </c>
    </row>
    <row r="565" spans="1:16" ht="16.5" customHeight="1">
      <c r="A565" s="50" t="s">
        <v>1508</v>
      </c>
      <c r="B565" s="50" t="s">
        <v>1509</v>
      </c>
      <c r="C565" s="50" t="s">
        <v>1510</v>
      </c>
      <c r="D565" s="50" t="s">
        <v>1511</v>
      </c>
      <c r="E565" s="50">
        <v>74418</v>
      </c>
      <c r="F565" s="50" t="s">
        <v>1870</v>
      </c>
      <c r="G565" s="50" t="s">
        <v>1871</v>
      </c>
      <c r="H565" s="50" t="s">
        <v>1872</v>
      </c>
      <c r="I565" s="51" t="s">
        <v>1873</v>
      </c>
      <c r="J565" s="51" t="s">
        <v>1889</v>
      </c>
      <c r="K565" s="51" t="s">
        <v>1225</v>
      </c>
      <c r="L565" s="52">
        <v>82</v>
      </c>
      <c r="M565" s="52">
        <f t="shared" si="16"/>
        <v>82</v>
      </c>
      <c r="N565" s="52">
        <v>21.2</v>
      </c>
      <c r="O565" s="52">
        <f t="shared" si="17"/>
        <v>21.4</v>
      </c>
      <c r="P565" s="50">
        <v>0</v>
      </c>
    </row>
    <row r="566" spans="1:16" ht="16.5" customHeight="1">
      <c r="A566" s="50" t="s">
        <v>1508</v>
      </c>
      <c r="B566" s="50" t="s">
        <v>1509</v>
      </c>
      <c r="C566" s="50" t="s">
        <v>1510</v>
      </c>
      <c r="D566" s="50" t="s">
        <v>1511</v>
      </c>
      <c r="E566" s="50">
        <v>74418</v>
      </c>
      <c r="F566" s="50" t="s">
        <v>1870</v>
      </c>
      <c r="G566" s="50" t="s">
        <v>1871</v>
      </c>
      <c r="H566" s="50" t="s">
        <v>1872</v>
      </c>
      <c r="I566" s="51" t="s">
        <v>1873</v>
      </c>
      <c r="J566" s="51" t="s">
        <v>1890</v>
      </c>
      <c r="K566" s="51" t="s">
        <v>1227</v>
      </c>
      <c r="L566" s="52">
        <v>83</v>
      </c>
      <c r="M566" s="52">
        <f t="shared" si="16"/>
        <v>83</v>
      </c>
      <c r="N566" s="52">
        <v>21.6</v>
      </c>
      <c r="O566" s="52">
        <f t="shared" si="17"/>
        <v>21.8</v>
      </c>
      <c r="P566" s="50">
        <v>0</v>
      </c>
    </row>
    <row r="567" spans="1:16" ht="16.5" customHeight="1">
      <c r="A567" s="50" t="s">
        <v>1508</v>
      </c>
      <c r="B567" s="50" t="s">
        <v>1509</v>
      </c>
      <c r="C567" s="50" t="s">
        <v>1510</v>
      </c>
      <c r="D567" s="50" t="s">
        <v>1511</v>
      </c>
      <c r="E567" s="50">
        <v>74418</v>
      </c>
      <c r="F567" s="50" t="s">
        <v>1870</v>
      </c>
      <c r="G567" s="50" t="s">
        <v>1871</v>
      </c>
      <c r="H567" s="50" t="s">
        <v>1872</v>
      </c>
      <c r="I567" s="51" t="s">
        <v>1873</v>
      </c>
      <c r="J567" s="51" t="s">
        <v>1891</v>
      </c>
      <c r="K567" s="51" t="s">
        <v>1229</v>
      </c>
      <c r="L567" s="52">
        <v>83</v>
      </c>
      <c r="M567" s="52">
        <f t="shared" si="16"/>
        <v>83</v>
      </c>
      <c r="N567" s="52">
        <v>21.5</v>
      </c>
      <c r="O567" s="52">
        <f t="shared" si="17"/>
        <v>21.7</v>
      </c>
      <c r="P567" s="50">
        <v>0</v>
      </c>
    </row>
    <row r="568" spans="1:16" ht="16.5" customHeight="1">
      <c r="A568" s="50" t="s">
        <v>1508</v>
      </c>
      <c r="B568" s="50" t="s">
        <v>1509</v>
      </c>
      <c r="C568" s="50" t="s">
        <v>1510</v>
      </c>
      <c r="D568" s="50" t="s">
        <v>1511</v>
      </c>
      <c r="E568" s="50">
        <v>74418</v>
      </c>
      <c r="F568" s="50" t="s">
        <v>1870</v>
      </c>
      <c r="G568" s="50" t="s">
        <v>1871</v>
      </c>
      <c r="H568" s="50" t="s">
        <v>1872</v>
      </c>
      <c r="I568" s="51" t="s">
        <v>1873</v>
      </c>
      <c r="J568" s="51" t="s">
        <v>1892</v>
      </c>
      <c r="K568" s="51" t="s">
        <v>1538</v>
      </c>
      <c r="L568" s="52">
        <v>83</v>
      </c>
      <c r="M568" s="52">
        <f t="shared" si="16"/>
        <v>83</v>
      </c>
      <c r="N568" s="52">
        <v>21.6</v>
      </c>
      <c r="O568" s="52">
        <f t="shared" si="17"/>
        <v>21.8</v>
      </c>
      <c r="P568" s="50">
        <v>0</v>
      </c>
    </row>
    <row r="569" spans="1:16" ht="16.5" customHeight="1">
      <c r="A569" s="50" t="s">
        <v>1508</v>
      </c>
      <c r="B569" s="50" t="s">
        <v>1509</v>
      </c>
      <c r="C569" s="50" t="s">
        <v>1510</v>
      </c>
      <c r="D569" s="50" t="s">
        <v>1511</v>
      </c>
      <c r="E569" s="50">
        <v>74418</v>
      </c>
      <c r="F569" s="50" t="s">
        <v>1870</v>
      </c>
      <c r="G569" s="50" t="s">
        <v>1871</v>
      </c>
      <c r="H569" s="50" t="s">
        <v>1872</v>
      </c>
      <c r="I569" s="51" t="s">
        <v>1873</v>
      </c>
      <c r="J569" s="51" t="s">
        <v>1893</v>
      </c>
      <c r="K569" s="51" t="s">
        <v>1540</v>
      </c>
      <c r="L569" s="52">
        <v>83</v>
      </c>
      <c r="M569" s="52">
        <f t="shared" si="16"/>
        <v>83</v>
      </c>
      <c r="N569" s="52">
        <v>21.7</v>
      </c>
      <c r="O569" s="52">
        <f t="shared" si="17"/>
        <v>21.9</v>
      </c>
      <c r="P569" s="50">
        <v>0</v>
      </c>
    </row>
    <row r="570" spans="1:16" ht="16.5" customHeight="1">
      <c r="A570" s="50" t="s">
        <v>1508</v>
      </c>
      <c r="B570" s="50" t="s">
        <v>1509</v>
      </c>
      <c r="C570" s="50" t="s">
        <v>1510</v>
      </c>
      <c r="D570" s="50" t="s">
        <v>1511</v>
      </c>
      <c r="E570" s="50">
        <v>74418</v>
      </c>
      <c r="F570" s="50" t="s">
        <v>1870</v>
      </c>
      <c r="G570" s="50" t="s">
        <v>1871</v>
      </c>
      <c r="H570" s="50" t="s">
        <v>1872</v>
      </c>
      <c r="I570" s="51" t="s">
        <v>1873</v>
      </c>
      <c r="J570" s="51" t="s">
        <v>1894</v>
      </c>
      <c r="K570" s="51" t="s">
        <v>1542</v>
      </c>
      <c r="L570" s="52">
        <v>83</v>
      </c>
      <c r="M570" s="52">
        <f t="shared" si="16"/>
        <v>83</v>
      </c>
      <c r="N570" s="52">
        <v>21.6</v>
      </c>
      <c r="O570" s="52">
        <f t="shared" si="17"/>
        <v>21.8</v>
      </c>
      <c r="P570" s="50">
        <v>0</v>
      </c>
    </row>
    <row r="571" spans="1:16" ht="16.5" customHeight="1">
      <c r="A571" s="50" t="s">
        <v>1508</v>
      </c>
      <c r="B571" s="50" t="s">
        <v>1509</v>
      </c>
      <c r="C571" s="50" t="s">
        <v>1510</v>
      </c>
      <c r="D571" s="50" t="s">
        <v>1511</v>
      </c>
      <c r="E571" s="50">
        <v>74418</v>
      </c>
      <c r="F571" s="50" t="s">
        <v>1870</v>
      </c>
      <c r="G571" s="50" t="s">
        <v>1871</v>
      </c>
      <c r="H571" s="50" t="s">
        <v>1872</v>
      </c>
      <c r="I571" s="51" t="s">
        <v>1873</v>
      </c>
      <c r="J571" s="51" t="s">
        <v>1895</v>
      </c>
      <c r="K571" s="51" t="s">
        <v>1896</v>
      </c>
      <c r="L571" s="52">
        <v>83</v>
      </c>
      <c r="M571" s="52">
        <f t="shared" si="16"/>
        <v>83</v>
      </c>
      <c r="N571" s="52">
        <v>21.6</v>
      </c>
      <c r="O571" s="52">
        <f t="shared" si="17"/>
        <v>21.8</v>
      </c>
      <c r="P571" s="50">
        <v>0</v>
      </c>
    </row>
    <row r="572" spans="1:16" ht="16.5" customHeight="1">
      <c r="A572" s="50" t="s">
        <v>1508</v>
      </c>
      <c r="B572" s="50" t="s">
        <v>1509</v>
      </c>
      <c r="C572" s="50" t="s">
        <v>1510</v>
      </c>
      <c r="D572" s="50" t="s">
        <v>1511</v>
      </c>
      <c r="E572" s="50">
        <v>74418</v>
      </c>
      <c r="F572" s="50" t="s">
        <v>1870</v>
      </c>
      <c r="G572" s="50" t="s">
        <v>1871</v>
      </c>
      <c r="H572" s="50" t="s">
        <v>1872</v>
      </c>
      <c r="I572" s="51" t="s">
        <v>1873</v>
      </c>
      <c r="J572" s="51" t="s">
        <v>1897</v>
      </c>
      <c r="K572" s="51" t="s">
        <v>1898</v>
      </c>
      <c r="L572" s="52">
        <v>80</v>
      </c>
      <c r="M572" s="52">
        <f t="shared" si="16"/>
        <v>80</v>
      </c>
      <c r="N572" s="52">
        <v>20.7</v>
      </c>
      <c r="O572" s="52">
        <f t="shared" si="17"/>
        <v>20.9</v>
      </c>
      <c r="P572" s="50">
        <v>0</v>
      </c>
    </row>
    <row r="573" spans="1:16" ht="16.5" customHeight="1">
      <c r="A573" s="50" t="s">
        <v>1508</v>
      </c>
      <c r="B573" s="50" t="s">
        <v>1509</v>
      </c>
      <c r="C573" s="50" t="s">
        <v>1510</v>
      </c>
      <c r="D573" s="50" t="s">
        <v>1511</v>
      </c>
      <c r="E573" s="50">
        <v>74418</v>
      </c>
      <c r="F573" s="50" t="s">
        <v>1870</v>
      </c>
      <c r="G573" s="50" t="s">
        <v>1871</v>
      </c>
      <c r="H573" s="50" t="s">
        <v>1872</v>
      </c>
      <c r="I573" s="51" t="s">
        <v>1873</v>
      </c>
      <c r="J573" s="51" t="s">
        <v>126</v>
      </c>
      <c r="K573" s="51" t="s">
        <v>1899</v>
      </c>
      <c r="L573" s="52">
        <v>78</v>
      </c>
      <c r="M573" s="52">
        <f t="shared" si="16"/>
        <v>78</v>
      </c>
      <c r="N573" s="52">
        <v>20.399999999999999</v>
      </c>
      <c r="O573" s="52">
        <f t="shared" si="17"/>
        <v>20.599999999999998</v>
      </c>
      <c r="P573" s="50">
        <v>0</v>
      </c>
    </row>
    <row r="574" spans="1:16" ht="16.5" customHeight="1">
      <c r="A574" s="50" t="s">
        <v>1508</v>
      </c>
      <c r="B574" s="50" t="s">
        <v>1509</v>
      </c>
      <c r="C574" s="50" t="s">
        <v>1510</v>
      </c>
      <c r="D574" s="50" t="s">
        <v>1511</v>
      </c>
      <c r="E574" s="50">
        <v>74418</v>
      </c>
      <c r="F574" s="50" t="s">
        <v>1870</v>
      </c>
      <c r="G574" s="50" t="s">
        <v>1871</v>
      </c>
      <c r="H574" s="50" t="s">
        <v>1872</v>
      </c>
      <c r="I574" s="51" t="s">
        <v>1900</v>
      </c>
      <c r="J574" s="51" t="s">
        <v>1132</v>
      </c>
      <c r="K574" s="51" t="s">
        <v>1119</v>
      </c>
      <c r="L574" s="52">
        <v>81</v>
      </c>
      <c r="M574" s="52">
        <f t="shared" si="16"/>
        <v>81</v>
      </c>
      <c r="N574" s="52">
        <v>21.1</v>
      </c>
      <c r="O574" s="52">
        <f t="shared" si="17"/>
        <v>21.3</v>
      </c>
      <c r="P574" s="50">
        <v>0</v>
      </c>
    </row>
    <row r="575" spans="1:16" ht="16.5" customHeight="1">
      <c r="A575" s="50" t="s">
        <v>1508</v>
      </c>
      <c r="B575" s="50" t="s">
        <v>1509</v>
      </c>
      <c r="C575" s="50" t="s">
        <v>1510</v>
      </c>
      <c r="D575" s="50" t="s">
        <v>1511</v>
      </c>
      <c r="E575" s="50">
        <v>74418</v>
      </c>
      <c r="F575" s="50" t="s">
        <v>1870</v>
      </c>
      <c r="G575" s="50" t="s">
        <v>1871</v>
      </c>
      <c r="H575" s="50" t="s">
        <v>1872</v>
      </c>
      <c r="I575" s="51" t="s">
        <v>1900</v>
      </c>
      <c r="J575" s="51" t="s">
        <v>1133</v>
      </c>
      <c r="K575" s="51" t="s">
        <v>1121</v>
      </c>
      <c r="L575" s="52">
        <v>82</v>
      </c>
      <c r="M575" s="52">
        <f t="shared" si="16"/>
        <v>82</v>
      </c>
      <c r="N575" s="52">
        <v>21.2</v>
      </c>
      <c r="O575" s="52">
        <f t="shared" si="17"/>
        <v>21.4</v>
      </c>
      <c r="P575" s="50">
        <v>0</v>
      </c>
    </row>
    <row r="576" spans="1:16" ht="16.5" customHeight="1">
      <c r="A576" s="50" t="s">
        <v>1508</v>
      </c>
      <c r="B576" s="50" t="s">
        <v>1509</v>
      </c>
      <c r="C576" s="50" t="s">
        <v>1510</v>
      </c>
      <c r="D576" s="50" t="s">
        <v>1511</v>
      </c>
      <c r="E576" s="50">
        <v>74418</v>
      </c>
      <c r="F576" s="50" t="s">
        <v>1870</v>
      </c>
      <c r="G576" s="50" t="s">
        <v>1871</v>
      </c>
      <c r="H576" s="50" t="s">
        <v>1872</v>
      </c>
      <c r="I576" s="51" t="s">
        <v>1900</v>
      </c>
      <c r="J576" s="51" t="s">
        <v>1134</v>
      </c>
      <c r="K576" s="51" t="s">
        <v>1123</v>
      </c>
      <c r="L576" s="52">
        <v>83</v>
      </c>
      <c r="M576" s="52">
        <f t="shared" si="16"/>
        <v>83</v>
      </c>
      <c r="N576" s="52">
        <v>21.7</v>
      </c>
      <c r="O576" s="52">
        <f t="shared" si="17"/>
        <v>21.9</v>
      </c>
      <c r="P576" s="50">
        <v>0</v>
      </c>
    </row>
    <row r="577" spans="1:16" ht="16.5" customHeight="1">
      <c r="A577" s="50" t="s">
        <v>1508</v>
      </c>
      <c r="B577" s="50" t="s">
        <v>1509</v>
      </c>
      <c r="C577" s="50" t="s">
        <v>1510</v>
      </c>
      <c r="D577" s="50" t="s">
        <v>1511</v>
      </c>
      <c r="E577" s="50">
        <v>74418</v>
      </c>
      <c r="F577" s="50" t="s">
        <v>1870</v>
      </c>
      <c r="G577" s="50" t="s">
        <v>1871</v>
      </c>
      <c r="H577" s="50" t="s">
        <v>1872</v>
      </c>
      <c r="I577" s="51" t="s">
        <v>1900</v>
      </c>
      <c r="J577" s="51" t="s">
        <v>1135</v>
      </c>
      <c r="K577" s="51" t="s">
        <v>1125</v>
      </c>
      <c r="L577" s="52">
        <v>83</v>
      </c>
      <c r="M577" s="52">
        <f t="shared" si="16"/>
        <v>83</v>
      </c>
      <c r="N577" s="52">
        <v>21.7</v>
      </c>
      <c r="O577" s="52">
        <f t="shared" si="17"/>
        <v>21.9</v>
      </c>
      <c r="P577" s="50">
        <v>0</v>
      </c>
    </row>
    <row r="578" spans="1:16" ht="16.5" customHeight="1">
      <c r="A578" s="50" t="s">
        <v>1508</v>
      </c>
      <c r="B578" s="50" t="s">
        <v>1509</v>
      </c>
      <c r="C578" s="50" t="s">
        <v>1510</v>
      </c>
      <c r="D578" s="50" t="s">
        <v>1511</v>
      </c>
      <c r="E578" s="50">
        <v>74418</v>
      </c>
      <c r="F578" s="50" t="s">
        <v>1870</v>
      </c>
      <c r="G578" s="50" t="s">
        <v>1871</v>
      </c>
      <c r="H578" s="50" t="s">
        <v>1872</v>
      </c>
      <c r="I578" s="51" t="s">
        <v>1900</v>
      </c>
      <c r="J578" s="51" t="s">
        <v>1144</v>
      </c>
      <c r="K578" s="51" t="s">
        <v>1145</v>
      </c>
      <c r="L578" s="52">
        <v>82</v>
      </c>
      <c r="M578" s="52">
        <f t="shared" si="16"/>
        <v>82</v>
      </c>
      <c r="N578" s="52">
        <v>21.3</v>
      </c>
      <c r="O578" s="52">
        <f t="shared" si="17"/>
        <v>21.5</v>
      </c>
      <c r="P578" s="50">
        <v>0</v>
      </c>
    </row>
    <row r="579" spans="1:16" ht="16.5" customHeight="1">
      <c r="A579" s="50" t="s">
        <v>1508</v>
      </c>
      <c r="B579" s="50" t="s">
        <v>1509</v>
      </c>
      <c r="C579" s="50" t="s">
        <v>1510</v>
      </c>
      <c r="D579" s="50" t="s">
        <v>1511</v>
      </c>
      <c r="E579" s="50">
        <v>74418</v>
      </c>
      <c r="F579" s="50" t="s">
        <v>1870</v>
      </c>
      <c r="G579" s="50" t="s">
        <v>1871</v>
      </c>
      <c r="H579" s="50" t="s">
        <v>1872</v>
      </c>
      <c r="I579" s="51" t="s">
        <v>1900</v>
      </c>
      <c r="J579" s="51" t="s">
        <v>133</v>
      </c>
      <c r="K579" s="51" t="s">
        <v>1148</v>
      </c>
      <c r="L579" s="52">
        <v>83</v>
      </c>
      <c r="M579" s="52">
        <f t="shared" si="16"/>
        <v>83</v>
      </c>
      <c r="N579" s="52">
        <v>21.7</v>
      </c>
      <c r="O579" s="52">
        <f t="shared" si="17"/>
        <v>21.9</v>
      </c>
      <c r="P579" s="50">
        <v>0</v>
      </c>
    </row>
    <row r="580" spans="1:16" ht="16.5" customHeight="1">
      <c r="A580" s="50" t="s">
        <v>1508</v>
      </c>
      <c r="B580" s="50" t="s">
        <v>1509</v>
      </c>
      <c r="C580" s="50" t="s">
        <v>1510</v>
      </c>
      <c r="D580" s="50" t="s">
        <v>1511</v>
      </c>
      <c r="E580" s="50">
        <v>74418</v>
      </c>
      <c r="F580" s="50" t="s">
        <v>1870</v>
      </c>
      <c r="G580" s="50" t="s">
        <v>1871</v>
      </c>
      <c r="H580" s="50" t="s">
        <v>1872</v>
      </c>
      <c r="I580" s="51" t="s">
        <v>1900</v>
      </c>
      <c r="J580" s="51" t="s">
        <v>1901</v>
      </c>
      <c r="K580" s="51" t="s">
        <v>1194</v>
      </c>
      <c r="L580" s="52">
        <v>81</v>
      </c>
      <c r="M580" s="52">
        <f t="shared" ref="M580:M620" si="18">L580+P580</f>
        <v>81</v>
      </c>
      <c r="N580" s="52">
        <v>21.1</v>
      </c>
      <c r="O580" s="52">
        <f t="shared" ref="O580:O620" si="19">N580+0.2</f>
        <v>21.3</v>
      </c>
      <c r="P580" s="50">
        <v>0</v>
      </c>
    </row>
    <row r="581" spans="1:16" ht="16.5" customHeight="1">
      <c r="A581" s="50" t="s">
        <v>1508</v>
      </c>
      <c r="B581" s="50" t="s">
        <v>1509</v>
      </c>
      <c r="C581" s="50" t="s">
        <v>1510</v>
      </c>
      <c r="D581" s="50" t="s">
        <v>1511</v>
      </c>
      <c r="E581" s="50">
        <v>74418</v>
      </c>
      <c r="F581" s="50" t="s">
        <v>1870</v>
      </c>
      <c r="G581" s="50" t="s">
        <v>1871</v>
      </c>
      <c r="H581" s="50" t="s">
        <v>1872</v>
      </c>
      <c r="I581" s="51" t="s">
        <v>1900</v>
      </c>
      <c r="J581" s="51" t="s">
        <v>1902</v>
      </c>
      <c r="K581" s="51" t="s">
        <v>1569</v>
      </c>
      <c r="L581" s="52">
        <v>81</v>
      </c>
      <c r="M581" s="52">
        <f t="shared" si="18"/>
        <v>81</v>
      </c>
      <c r="N581" s="52">
        <v>21.1</v>
      </c>
      <c r="O581" s="52">
        <f t="shared" si="19"/>
        <v>21.3</v>
      </c>
      <c r="P581" s="50">
        <v>0</v>
      </c>
    </row>
    <row r="582" spans="1:16" ht="16.5" customHeight="1">
      <c r="A582" s="50" t="s">
        <v>1508</v>
      </c>
      <c r="B582" s="50" t="s">
        <v>1509</v>
      </c>
      <c r="C582" s="50" t="s">
        <v>1510</v>
      </c>
      <c r="D582" s="50" t="s">
        <v>1511</v>
      </c>
      <c r="E582" s="50">
        <v>74418</v>
      </c>
      <c r="F582" s="50" t="s">
        <v>1903</v>
      </c>
      <c r="G582" s="50" t="s">
        <v>1904</v>
      </c>
      <c r="H582" s="50" t="s">
        <v>1905</v>
      </c>
      <c r="I582" s="51" t="s">
        <v>1906</v>
      </c>
      <c r="J582" s="51" t="s">
        <v>1592</v>
      </c>
      <c r="K582" s="51" t="s">
        <v>1089</v>
      </c>
      <c r="L582" s="52">
        <v>80</v>
      </c>
      <c r="M582" s="52">
        <f t="shared" si="18"/>
        <v>80</v>
      </c>
      <c r="N582" s="52">
        <v>21</v>
      </c>
      <c r="O582" s="52">
        <f t="shared" si="19"/>
        <v>21.2</v>
      </c>
      <c r="P582" s="50">
        <v>0</v>
      </c>
    </row>
    <row r="583" spans="1:16" ht="16.5" customHeight="1">
      <c r="A583" s="50" t="s">
        <v>1508</v>
      </c>
      <c r="B583" s="50" t="s">
        <v>1509</v>
      </c>
      <c r="C583" s="50" t="s">
        <v>1510</v>
      </c>
      <c r="D583" s="50" t="s">
        <v>1511</v>
      </c>
      <c r="E583" s="50">
        <v>74418</v>
      </c>
      <c r="F583" s="50" t="s">
        <v>1903</v>
      </c>
      <c r="G583" s="50" t="s">
        <v>1904</v>
      </c>
      <c r="H583" s="50" t="s">
        <v>1905</v>
      </c>
      <c r="I583" s="51" t="s">
        <v>1906</v>
      </c>
      <c r="J583" s="51" t="s">
        <v>1907</v>
      </c>
      <c r="K583" s="51" t="s">
        <v>1092</v>
      </c>
      <c r="L583" s="52">
        <v>77</v>
      </c>
      <c r="M583" s="52">
        <f t="shared" si="18"/>
        <v>77</v>
      </c>
      <c r="N583" s="52">
        <v>20.2</v>
      </c>
      <c r="O583" s="52">
        <f t="shared" si="19"/>
        <v>20.399999999999999</v>
      </c>
      <c r="P583" s="50">
        <v>0</v>
      </c>
    </row>
    <row r="584" spans="1:16" ht="16.5" customHeight="1">
      <c r="A584" s="50" t="s">
        <v>1508</v>
      </c>
      <c r="B584" s="50" t="s">
        <v>1509</v>
      </c>
      <c r="C584" s="50" t="s">
        <v>1510</v>
      </c>
      <c r="D584" s="50" t="s">
        <v>1511</v>
      </c>
      <c r="E584" s="50">
        <v>74418</v>
      </c>
      <c r="F584" s="50" t="s">
        <v>1903</v>
      </c>
      <c r="G584" s="50" t="s">
        <v>1904</v>
      </c>
      <c r="H584" s="50" t="s">
        <v>1905</v>
      </c>
      <c r="I584" s="51" t="s">
        <v>1906</v>
      </c>
      <c r="J584" s="51" t="s">
        <v>1908</v>
      </c>
      <c r="K584" s="51" t="s">
        <v>1094</v>
      </c>
      <c r="L584" s="52">
        <v>81</v>
      </c>
      <c r="M584" s="52">
        <f t="shared" si="18"/>
        <v>81</v>
      </c>
      <c r="N584" s="52">
        <v>21.3</v>
      </c>
      <c r="O584" s="52">
        <f t="shared" si="19"/>
        <v>21.5</v>
      </c>
      <c r="P584" s="50">
        <v>0</v>
      </c>
    </row>
    <row r="585" spans="1:16" ht="16.5" customHeight="1">
      <c r="A585" s="50" t="s">
        <v>1508</v>
      </c>
      <c r="B585" s="50" t="s">
        <v>1509</v>
      </c>
      <c r="C585" s="50" t="s">
        <v>1510</v>
      </c>
      <c r="D585" s="50" t="s">
        <v>1511</v>
      </c>
      <c r="E585" s="50">
        <v>74418</v>
      </c>
      <c r="F585" s="50" t="s">
        <v>1909</v>
      </c>
      <c r="G585" s="50" t="s">
        <v>1910</v>
      </c>
      <c r="H585" s="50" t="s">
        <v>1911</v>
      </c>
      <c r="I585" s="51" t="s">
        <v>1912</v>
      </c>
      <c r="J585" s="51" t="s">
        <v>1913</v>
      </c>
      <c r="K585" s="51" t="s">
        <v>1571</v>
      </c>
      <c r="L585" s="52">
        <v>78</v>
      </c>
      <c r="M585" s="52">
        <f t="shared" si="18"/>
        <v>78</v>
      </c>
      <c r="N585" s="52">
        <v>20.2</v>
      </c>
      <c r="O585" s="52">
        <f t="shared" si="19"/>
        <v>20.399999999999999</v>
      </c>
      <c r="P585" s="50">
        <v>0</v>
      </c>
    </row>
    <row r="586" spans="1:16" ht="16.5" customHeight="1">
      <c r="A586" s="50" t="s">
        <v>1508</v>
      </c>
      <c r="B586" s="50" t="s">
        <v>1509</v>
      </c>
      <c r="C586" s="50" t="s">
        <v>1510</v>
      </c>
      <c r="D586" s="50" t="s">
        <v>1511</v>
      </c>
      <c r="E586" s="50">
        <v>74418</v>
      </c>
      <c r="F586" s="50" t="s">
        <v>1909</v>
      </c>
      <c r="G586" s="50" t="s">
        <v>1910</v>
      </c>
      <c r="H586" s="50" t="s">
        <v>1911</v>
      </c>
      <c r="I586" s="51" t="s">
        <v>1914</v>
      </c>
      <c r="J586" s="51" t="s">
        <v>1915</v>
      </c>
      <c r="K586" s="51" t="s">
        <v>1083</v>
      </c>
      <c r="L586" s="52">
        <v>80</v>
      </c>
      <c r="M586" s="52">
        <f t="shared" si="18"/>
        <v>84</v>
      </c>
      <c r="N586" s="52">
        <v>21.7</v>
      </c>
      <c r="O586" s="52">
        <f t="shared" si="19"/>
        <v>21.9</v>
      </c>
      <c r="P586" s="50">
        <v>4</v>
      </c>
    </row>
    <row r="587" spans="1:16" ht="16.5" customHeight="1">
      <c r="A587" s="50" t="s">
        <v>1508</v>
      </c>
      <c r="B587" s="50" t="s">
        <v>1509</v>
      </c>
      <c r="C587" s="50" t="s">
        <v>1510</v>
      </c>
      <c r="D587" s="50" t="s">
        <v>1511</v>
      </c>
      <c r="E587" s="50">
        <v>74418</v>
      </c>
      <c r="F587" s="50" t="s">
        <v>1909</v>
      </c>
      <c r="G587" s="50" t="s">
        <v>1910</v>
      </c>
      <c r="H587" s="50" t="s">
        <v>1911</v>
      </c>
      <c r="I587" s="51" t="s">
        <v>1914</v>
      </c>
      <c r="J587" s="51" t="s">
        <v>1916</v>
      </c>
      <c r="K587" s="51" t="s">
        <v>1085</v>
      </c>
      <c r="L587" s="52">
        <v>78</v>
      </c>
      <c r="M587" s="52">
        <f t="shared" si="18"/>
        <v>80</v>
      </c>
      <c r="N587" s="52">
        <v>21.4</v>
      </c>
      <c r="O587" s="52">
        <f t="shared" si="19"/>
        <v>21.599999999999998</v>
      </c>
      <c r="P587" s="50">
        <v>2</v>
      </c>
    </row>
    <row r="588" spans="1:16" ht="16.5" customHeight="1">
      <c r="A588" s="50" t="s">
        <v>1508</v>
      </c>
      <c r="B588" s="50" t="s">
        <v>1509</v>
      </c>
      <c r="C588" s="50" t="s">
        <v>1510</v>
      </c>
      <c r="D588" s="50" t="s">
        <v>1511</v>
      </c>
      <c r="E588" s="50">
        <v>74418</v>
      </c>
      <c r="F588" s="50" t="s">
        <v>1909</v>
      </c>
      <c r="G588" s="50" t="s">
        <v>1910</v>
      </c>
      <c r="H588" s="50" t="s">
        <v>1911</v>
      </c>
      <c r="I588" s="51" t="s">
        <v>1914</v>
      </c>
      <c r="J588" s="51" t="s">
        <v>1917</v>
      </c>
      <c r="K588" s="51" t="s">
        <v>1087</v>
      </c>
      <c r="L588" s="52">
        <v>81</v>
      </c>
      <c r="M588" s="52">
        <f t="shared" si="18"/>
        <v>84</v>
      </c>
      <c r="N588" s="52">
        <v>21.8</v>
      </c>
      <c r="O588" s="52">
        <f t="shared" si="19"/>
        <v>22</v>
      </c>
      <c r="P588" s="50">
        <v>3</v>
      </c>
    </row>
    <row r="589" spans="1:16" ht="16.5" customHeight="1">
      <c r="A589" s="50" t="s">
        <v>1508</v>
      </c>
      <c r="B589" s="50" t="s">
        <v>1509</v>
      </c>
      <c r="C589" s="50" t="s">
        <v>1510</v>
      </c>
      <c r="D589" s="50" t="s">
        <v>1511</v>
      </c>
      <c r="E589" s="50">
        <v>74418</v>
      </c>
      <c r="F589" s="50" t="s">
        <v>1909</v>
      </c>
      <c r="G589" s="50" t="s">
        <v>1910</v>
      </c>
      <c r="H589" s="50" t="s">
        <v>1911</v>
      </c>
      <c r="I589" s="51" t="s">
        <v>1914</v>
      </c>
      <c r="J589" s="51" t="s">
        <v>1918</v>
      </c>
      <c r="K589" s="51" t="s">
        <v>1089</v>
      </c>
      <c r="L589" s="52">
        <v>83</v>
      </c>
      <c r="M589" s="52">
        <f t="shared" si="18"/>
        <v>83</v>
      </c>
      <c r="N589" s="52">
        <v>21.6</v>
      </c>
      <c r="O589" s="52">
        <f t="shared" si="19"/>
        <v>21.8</v>
      </c>
      <c r="P589" s="50">
        <v>0</v>
      </c>
    </row>
    <row r="590" spans="1:16" ht="16.5" customHeight="1">
      <c r="A590" s="50" t="s">
        <v>1508</v>
      </c>
      <c r="B590" s="50" t="s">
        <v>1509</v>
      </c>
      <c r="C590" s="50" t="s">
        <v>1510</v>
      </c>
      <c r="D590" s="50" t="s">
        <v>1511</v>
      </c>
      <c r="E590" s="50">
        <v>74418</v>
      </c>
      <c r="F590" s="50" t="s">
        <v>1909</v>
      </c>
      <c r="G590" s="50" t="s">
        <v>1910</v>
      </c>
      <c r="H590" s="50" t="s">
        <v>1911</v>
      </c>
      <c r="I590" s="51" t="s">
        <v>1914</v>
      </c>
      <c r="J590" s="51" t="s">
        <v>1919</v>
      </c>
      <c r="K590" s="51" t="s">
        <v>1092</v>
      </c>
      <c r="L590" s="52">
        <v>80</v>
      </c>
      <c r="M590" s="52">
        <f t="shared" si="18"/>
        <v>81</v>
      </c>
      <c r="N590" s="52">
        <v>21.7</v>
      </c>
      <c r="O590" s="52">
        <f t="shared" si="19"/>
        <v>21.9</v>
      </c>
      <c r="P590" s="50">
        <v>1</v>
      </c>
    </row>
    <row r="591" spans="1:16" ht="16.5" customHeight="1">
      <c r="A591" s="50" t="s">
        <v>1508</v>
      </c>
      <c r="B591" s="50" t="s">
        <v>1509</v>
      </c>
      <c r="C591" s="50" t="s">
        <v>1510</v>
      </c>
      <c r="D591" s="50" t="s">
        <v>1511</v>
      </c>
      <c r="E591" s="50">
        <v>74418</v>
      </c>
      <c r="F591" s="50" t="s">
        <v>1909</v>
      </c>
      <c r="G591" s="50" t="s">
        <v>1910</v>
      </c>
      <c r="H591" s="50" t="s">
        <v>1911</v>
      </c>
      <c r="I591" s="51" t="s">
        <v>1914</v>
      </c>
      <c r="J591" s="51" t="s">
        <v>1920</v>
      </c>
      <c r="K591" s="51" t="s">
        <v>1094</v>
      </c>
      <c r="L591" s="52">
        <v>71</v>
      </c>
      <c r="M591" s="52">
        <f t="shared" si="18"/>
        <v>75</v>
      </c>
      <c r="N591" s="52">
        <v>20.2</v>
      </c>
      <c r="O591" s="52">
        <f t="shared" si="19"/>
        <v>20.399999999999999</v>
      </c>
      <c r="P591" s="50">
        <v>4</v>
      </c>
    </row>
    <row r="592" spans="1:16" ht="16.5" customHeight="1">
      <c r="A592" s="50" t="s">
        <v>1508</v>
      </c>
      <c r="B592" s="50" t="s">
        <v>1509</v>
      </c>
      <c r="C592" s="50" t="s">
        <v>1510</v>
      </c>
      <c r="D592" s="50" t="s">
        <v>1511</v>
      </c>
      <c r="E592" s="50">
        <v>74418</v>
      </c>
      <c r="F592" s="50" t="s">
        <v>1909</v>
      </c>
      <c r="G592" s="50" t="s">
        <v>1910</v>
      </c>
      <c r="H592" s="50" t="s">
        <v>1911</v>
      </c>
      <c r="I592" s="51" t="s">
        <v>1914</v>
      </c>
      <c r="J592" s="51" t="s">
        <v>1921</v>
      </c>
      <c r="K592" s="51" t="s">
        <v>1096</v>
      </c>
      <c r="L592" s="52">
        <v>77</v>
      </c>
      <c r="M592" s="52">
        <f t="shared" si="18"/>
        <v>84</v>
      </c>
      <c r="N592" s="52">
        <v>21.6</v>
      </c>
      <c r="O592" s="52">
        <f t="shared" si="19"/>
        <v>21.8</v>
      </c>
      <c r="P592" s="50">
        <v>7</v>
      </c>
    </row>
    <row r="593" spans="1:16" ht="16.5" customHeight="1">
      <c r="A593" s="50" t="s">
        <v>1508</v>
      </c>
      <c r="B593" s="50" t="s">
        <v>1509</v>
      </c>
      <c r="C593" s="50" t="s">
        <v>1510</v>
      </c>
      <c r="D593" s="50" t="s">
        <v>1511</v>
      </c>
      <c r="E593" s="50">
        <v>74418</v>
      </c>
      <c r="F593" s="50" t="s">
        <v>1922</v>
      </c>
      <c r="G593" s="50" t="s">
        <v>1923</v>
      </c>
      <c r="H593" s="50" t="s">
        <v>1924</v>
      </c>
      <c r="I593" s="51" t="s">
        <v>1925</v>
      </c>
      <c r="J593" s="51" t="s">
        <v>1385</v>
      </c>
      <c r="K593" s="51" t="s">
        <v>1113</v>
      </c>
      <c r="L593" s="52">
        <v>83</v>
      </c>
      <c r="M593" s="52">
        <f t="shared" si="18"/>
        <v>83</v>
      </c>
      <c r="N593" s="52">
        <v>21.5</v>
      </c>
      <c r="O593" s="52">
        <f t="shared" si="19"/>
        <v>21.7</v>
      </c>
      <c r="P593" s="50">
        <v>0</v>
      </c>
    </row>
    <row r="594" spans="1:16" ht="16.5" customHeight="1">
      <c r="A594" s="50" t="s">
        <v>1508</v>
      </c>
      <c r="B594" s="50" t="s">
        <v>1509</v>
      </c>
      <c r="C594" s="50" t="s">
        <v>1510</v>
      </c>
      <c r="D594" s="50" t="s">
        <v>1511</v>
      </c>
      <c r="E594" s="50">
        <v>74418</v>
      </c>
      <c r="F594" s="50" t="s">
        <v>1922</v>
      </c>
      <c r="G594" s="50" t="s">
        <v>1923</v>
      </c>
      <c r="H594" s="50" t="s">
        <v>1924</v>
      </c>
      <c r="I594" s="51" t="s">
        <v>1925</v>
      </c>
      <c r="J594" s="51" t="s">
        <v>1386</v>
      </c>
      <c r="K594" s="51" t="s">
        <v>1115</v>
      </c>
      <c r="L594" s="52">
        <v>77</v>
      </c>
      <c r="M594" s="52">
        <f t="shared" si="18"/>
        <v>77</v>
      </c>
      <c r="N594" s="52">
        <v>19.899999999999999</v>
      </c>
      <c r="O594" s="52">
        <f t="shared" si="19"/>
        <v>20.099999999999998</v>
      </c>
      <c r="P594" s="50">
        <v>0</v>
      </c>
    </row>
    <row r="595" spans="1:16" ht="16.5" customHeight="1">
      <c r="A595" s="50" t="s">
        <v>1508</v>
      </c>
      <c r="B595" s="50" t="s">
        <v>1509</v>
      </c>
      <c r="C595" s="50" t="s">
        <v>1510</v>
      </c>
      <c r="D595" s="50" t="s">
        <v>1511</v>
      </c>
      <c r="E595" s="50">
        <v>74418</v>
      </c>
      <c r="F595" s="50" t="s">
        <v>1922</v>
      </c>
      <c r="G595" s="50" t="s">
        <v>1923</v>
      </c>
      <c r="H595" s="50" t="s">
        <v>1924</v>
      </c>
      <c r="I595" s="51" t="s">
        <v>1926</v>
      </c>
      <c r="J595" s="51" t="s">
        <v>1387</v>
      </c>
      <c r="K595" s="51" t="s">
        <v>1117</v>
      </c>
      <c r="L595" s="52">
        <v>81</v>
      </c>
      <c r="M595" s="52">
        <f t="shared" si="18"/>
        <v>81</v>
      </c>
      <c r="N595" s="52">
        <v>21.1</v>
      </c>
      <c r="O595" s="52">
        <f t="shared" si="19"/>
        <v>21.3</v>
      </c>
      <c r="P595" s="50">
        <v>0</v>
      </c>
    </row>
    <row r="596" spans="1:16" ht="16.5" customHeight="1">
      <c r="A596" s="50" t="s">
        <v>1508</v>
      </c>
      <c r="B596" s="50" t="s">
        <v>1509</v>
      </c>
      <c r="C596" s="50" t="s">
        <v>1510</v>
      </c>
      <c r="D596" s="50" t="s">
        <v>1511</v>
      </c>
      <c r="E596" s="50">
        <v>74418</v>
      </c>
      <c r="F596" s="50" t="s">
        <v>1922</v>
      </c>
      <c r="G596" s="50" t="s">
        <v>1923</v>
      </c>
      <c r="H596" s="50" t="s">
        <v>1924</v>
      </c>
      <c r="I596" s="51" t="s">
        <v>1926</v>
      </c>
      <c r="J596" s="51" t="s">
        <v>1388</v>
      </c>
      <c r="K596" s="51" t="s">
        <v>1119</v>
      </c>
      <c r="L596" s="52">
        <v>81</v>
      </c>
      <c r="M596" s="52">
        <f t="shared" si="18"/>
        <v>81</v>
      </c>
      <c r="N596" s="52">
        <v>21</v>
      </c>
      <c r="O596" s="52">
        <f t="shared" si="19"/>
        <v>21.2</v>
      </c>
      <c r="P596" s="50">
        <v>0</v>
      </c>
    </row>
    <row r="597" spans="1:16" ht="16.5" customHeight="1">
      <c r="A597" s="50" t="s">
        <v>1508</v>
      </c>
      <c r="B597" s="50" t="s">
        <v>1509</v>
      </c>
      <c r="C597" s="50" t="s">
        <v>1510</v>
      </c>
      <c r="D597" s="50" t="s">
        <v>1511</v>
      </c>
      <c r="E597" s="50">
        <v>74418</v>
      </c>
      <c r="F597" s="50" t="s">
        <v>1922</v>
      </c>
      <c r="G597" s="50" t="s">
        <v>1923</v>
      </c>
      <c r="H597" s="50" t="s">
        <v>1924</v>
      </c>
      <c r="I597" s="51" t="s">
        <v>1926</v>
      </c>
      <c r="J597" s="51" t="s">
        <v>1389</v>
      </c>
      <c r="K597" s="51" t="s">
        <v>1121</v>
      </c>
      <c r="L597" s="52">
        <v>82</v>
      </c>
      <c r="M597" s="52">
        <f t="shared" si="18"/>
        <v>82</v>
      </c>
      <c r="N597" s="52">
        <v>21.4</v>
      </c>
      <c r="O597" s="52">
        <f t="shared" si="19"/>
        <v>21.599999999999998</v>
      </c>
      <c r="P597" s="50">
        <v>0</v>
      </c>
    </row>
    <row r="598" spans="1:16" ht="16.5" customHeight="1">
      <c r="A598" s="50" t="s">
        <v>1508</v>
      </c>
      <c r="B598" s="50" t="s">
        <v>1509</v>
      </c>
      <c r="C598" s="50" t="s">
        <v>1510</v>
      </c>
      <c r="D598" s="50" t="s">
        <v>1511</v>
      </c>
      <c r="E598" s="50">
        <v>74418</v>
      </c>
      <c r="F598" s="50" t="s">
        <v>1922</v>
      </c>
      <c r="G598" s="50" t="s">
        <v>1923</v>
      </c>
      <c r="H598" s="50" t="s">
        <v>1924</v>
      </c>
      <c r="I598" s="51" t="s">
        <v>1926</v>
      </c>
      <c r="J598" s="51" t="s">
        <v>1390</v>
      </c>
      <c r="K598" s="51" t="s">
        <v>1123</v>
      </c>
      <c r="L598" s="52">
        <v>82</v>
      </c>
      <c r="M598" s="52">
        <f t="shared" si="18"/>
        <v>82</v>
      </c>
      <c r="N598" s="52">
        <v>21.4</v>
      </c>
      <c r="O598" s="52">
        <f t="shared" si="19"/>
        <v>21.599999999999998</v>
      </c>
      <c r="P598" s="50">
        <v>0</v>
      </c>
    </row>
    <row r="599" spans="1:16" ht="16.5" customHeight="1">
      <c r="A599" s="50" t="s">
        <v>1508</v>
      </c>
      <c r="B599" s="50" t="s">
        <v>1509</v>
      </c>
      <c r="C599" s="50" t="s">
        <v>1510</v>
      </c>
      <c r="D599" s="50" t="s">
        <v>1511</v>
      </c>
      <c r="E599" s="50">
        <v>74418</v>
      </c>
      <c r="F599" s="50" t="s">
        <v>1922</v>
      </c>
      <c r="G599" s="50" t="s">
        <v>1923</v>
      </c>
      <c r="H599" s="50" t="s">
        <v>1924</v>
      </c>
      <c r="I599" s="51" t="s">
        <v>1926</v>
      </c>
      <c r="J599" s="51" t="s">
        <v>1391</v>
      </c>
      <c r="K599" s="51" t="s">
        <v>1125</v>
      </c>
      <c r="L599" s="52">
        <v>82</v>
      </c>
      <c r="M599" s="52">
        <f t="shared" si="18"/>
        <v>82</v>
      </c>
      <c r="N599" s="52">
        <v>21.2</v>
      </c>
      <c r="O599" s="52">
        <f t="shared" si="19"/>
        <v>21.4</v>
      </c>
      <c r="P599" s="50">
        <v>0</v>
      </c>
    </row>
    <row r="600" spans="1:16" ht="16.5" customHeight="1">
      <c r="A600" s="50" t="s">
        <v>1508</v>
      </c>
      <c r="B600" s="50" t="s">
        <v>1509</v>
      </c>
      <c r="C600" s="50" t="s">
        <v>1510</v>
      </c>
      <c r="D600" s="50" t="s">
        <v>1511</v>
      </c>
      <c r="E600" s="50">
        <v>74418</v>
      </c>
      <c r="F600" s="50" t="s">
        <v>1922</v>
      </c>
      <c r="G600" s="50" t="s">
        <v>1923</v>
      </c>
      <c r="H600" s="50" t="s">
        <v>1924</v>
      </c>
      <c r="I600" s="51" t="s">
        <v>1926</v>
      </c>
      <c r="J600" s="51" t="s">
        <v>1392</v>
      </c>
      <c r="K600" s="51" t="s">
        <v>1137</v>
      </c>
      <c r="L600" s="52">
        <v>81</v>
      </c>
      <c r="M600" s="52">
        <f t="shared" si="18"/>
        <v>81</v>
      </c>
      <c r="N600" s="52">
        <v>21</v>
      </c>
      <c r="O600" s="52">
        <f t="shared" si="19"/>
        <v>21.2</v>
      </c>
      <c r="P600" s="50">
        <v>0</v>
      </c>
    </row>
    <row r="601" spans="1:16" ht="16.5" customHeight="1">
      <c r="A601" s="50" t="s">
        <v>1508</v>
      </c>
      <c r="B601" s="50" t="s">
        <v>1509</v>
      </c>
      <c r="C601" s="50" t="s">
        <v>1510</v>
      </c>
      <c r="D601" s="50" t="s">
        <v>1511</v>
      </c>
      <c r="E601" s="50">
        <v>74418</v>
      </c>
      <c r="F601" s="50" t="s">
        <v>1922</v>
      </c>
      <c r="G601" s="50" t="s">
        <v>1923</v>
      </c>
      <c r="H601" s="50" t="s">
        <v>1924</v>
      </c>
      <c r="I601" s="51" t="s">
        <v>1926</v>
      </c>
      <c r="J601" s="51" t="s">
        <v>1393</v>
      </c>
      <c r="K601" s="51" t="s">
        <v>1139</v>
      </c>
      <c r="L601" s="52">
        <v>82</v>
      </c>
      <c r="M601" s="52">
        <f t="shared" si="18"/>
        <v>82</v>
      </c>
      <c r="N601" s="52">
        <v>21.4</v>
      </c>
      <c r="O601" s="52">
        <f t="shared" si="19"/>
        <v>21.599999999999998</v>
      </c>
      <c r="P601" s="50">
        <v>0</v>
      </c>
    </row>
    <row r="602" spans="1:16" ht="16.5" customHeight="1">
      <c r="A602" s="50" t="s">
        <v>1508</v>
      </c>
      <c r="B602" s="50" t="s">
        <v>1509</v>
      </c>
      <c r="C602" s="50" t="s">
        <v>1510</v>
      </c>
      <c r="D602" s="50" t="s">
        <v>1511</v>
      </c>
      <c r="E602" s="50">
        <v>74418</v>
      </c>
      <c r="F602" s="50" t="s">
        <v>1922</v>
      </c>
      <c r="G602" s="50" t="s">
        <v>1923</v>
      </c>
      <c r="H602" s="50" t="s">
        <v>1924</v>
      </c>
      <c r="I602" s="51" t="s">
        <v>1926</v>
      </c>
      <c r="J602" s="51" t="s">
        <v>1394</v>
      </c>
      <c r="K602" s="51" t="s">
        <v>1141</v>
      </c>
      <c r="L602" s="52">
        <v>82</v>
      </c>
      <c r="M602" s="52">
        <f t="shared" si="18"/>
        <v>82</v>
      </c>
      <c r="N602" s="52">
        <v>21.4</v>
      </c>
      <c r="O602" s="52">
        <f t="shared" si="19"/>
        <v>21.599999999999998</v>
      </c>
      <c r="P602" s="50">
        <v>0</v>
      </c>
    </row>
    <row r="603" spans="1:16" ht="16.5" customHeight="1">
      <c r="A603" s="50" t="s">
        <v>1508</v>
      </c>
      <c r="B603" s="50" t="s">
        <v>1509</v>
      </c>
      <c r="C603" s="50" t="s">
        <v>1510</v>
      </c>
      <c r="D603" s="50" t="s">
        <v>1511</v>
      </c>
      <c r="E603" s="50">
        <v>74418</v>
      </c>
      <c r="F603" s="50" t="s">
        <v>1922</v>
      </c>
      <c r="G603" s="50" t="s">
        <v>1923</v>
      </c>
      <c r="H603" s="50" t="s">
        <v>1924</v>
      </c>
      <c r="I603" s="51" t="s">
        <v>1926</v>
      </c>
      <c r="J603" s="51" t="s">
        <v>1927</v>
      </c>
      <c r="K603" s="51" t="s">
        <v>1143</v>
      </c>
      <c r="L603" s="52">
        <v>82</v>
      </c>
      <c r="M603" s="52">
        <f t="shared" si="18"/>
        <v>82</v>
      </c>
      <c r="N603" s="52">
        <v>21.3</v>
      </c>
      <c r="O603" s="52">
        <f t="shared" si="19"/>
        <v>21.5</v>
      </c>
      <c r="P603" s="50">
        <v>0</v>
      </c>
    </row>
    <row r="604" spans="1:16" ht="16.5" customHeight="1">
      <c r="A604" s="50" t="s">
        <v>1508</v>
      </c>
      <c r="B604" s="50" t="s">
        <v>1509</v>
      </c>
      <c r="C604" s="50" t="s">
        <v>1510</v>
      </c>
      <c r="D604" s="50" t="s">
        <v>1511</v>
      </c>
      <c r="E604" s="50">
        <v>74418</v>
      </c>
      <c r="F604" s="50" t="s">
        <v>1922</v>
      </c>
      <c r="G604" s="50" t="s">
        <v>1923</v>
      </c>
      <c r="H604" s="50" t="s">
        <v>1924</v>
      </c>
      <c r="I604" s="51" t="s">
        <v>1926</v>
      </c>
      <c r="J604" s="51" t="s">
        <v>1928</v>
      </c>
      <c r="K604" s="51" t="s">
        <v>1145</v>
      </c>
      <c r="L604" s="52">
        <v>81</v>
      </c>
      <c r="M604" s="52">
        <f t="shared" si="18"/>
        <v>81</v>
      </c>
      <c r="N604" s="52">
        <v>21.1</v>
      </c>
      <c r="O604" s="52">
        <f t="shared" si="19"/>
        <v>21.3</v>
      </c>
      <c r="P604" s="50">
        <v>0</v>
      </c>
    </row>
    <row r="605" spans="1:16" ht="16.5" customHeight="1">
      <c r="A605" s="50" t="s">
        <v>1508</v>
      </c>
      <c r="B605" s="50" t="s">
        <v>1509</v>
      </c>
      <c r="C605" s="50" t="s">
        <v>1510</v>
      </c>
      <c r="D605" s="50" t="s">
        <v>1511</v>
      </c>
      <c r="E605" s="50">
        <v>74418</v>
      </c>
      <c r="F605" s="50" t="s">
        <v>1922</v>
      </c>
      <c r="G605" s="50" t="s">
        <v>1923</v>
      </c>
      <c r="H605" s="50" t="s">
        <v>1924</v>
      </c>
      <c r="I605" s="51" t="s">
        <v>1926</v>
      </c>
      <c r="J605" s="51" t="s">
        <v>1929</v>
      </c>
      <c r="K605" s="51" t="s">
        <v>1147</v>
      </c>
      <c r="L605" s="52">
        <v>82</v>
      </c>
      <c r="M605" s="52">
        <f t="shared" si="18"/>
        <v>82</v>
      </c>
      <c r="N605" s="52">
        <v>21.2</v>
      </c>
      <c r="O605" s="52">
        <f t="shared" si="19"/>
        <v>21.4</v>
      </c>
      <c r="P605" s="50">
        <v>0</v>
      </c>
    </row>
    <row r="606" spans="1:16" ht="16.5" customHeight="1">
      <c r="A606" s="50" t="s">
        <v>1508</v>
      </c>
      <c r="B606" s="50" t="s">
        <v>1509</v>
      </c>
      <c r="C606" s="50" t="s">
        <v>1510</v>
      </c>
      <c r="D606" s="50" t="s">
        <v>1511</v>
      </c>
      <c r="E606" s="50">
        <v>74418</v>
      </c>
      <c r="F606" s="50" t="s">
        <v>1922</v>
      </c>
      <c r="G606" s="50" t="s">
        <v>1923</v>
      </c>
      <c r="H606" s="50" t="s">
        <v>1924</v>
      </c>
      <c r="I606" s="51" t="s">
        <v>1926</v>
      </c>
      <c r="J606" s="51" t="s">
        <v>1930</v>
      </c>
      <c r="K606" s="51" t="s">
        <v>1148</v>
      </c>
      <c r="L606" s="52">
        <v>81</v>
      </c>
      <c r="M606" s="52">
        <f t="shared" si="18"/>
        <v>81</v>
      </c>
      <c r="N606" s="52">
        <v>21.1</v>
      </c>
      <c r="O606" s="52">
        <f t="shared" si="19"/>
        <v>21.3</v>
      </c>
      <c r="P606" s="50">
        <v>0</v>
      </c>
    </row>
    <row r="607" spans="1:16" ht="16.5" customHeight="1">
      <c r="A607" s="50" t="s">
        <v>1508</v>
      </c>
      <c r="B607" s="50" t="s">
        <v>1509</v>
      </c>
      <c r="C607" s="50" t="s">
        <v>1510</v>
      </c>
      <c r="D607" s="50" t="s">
        <v>1511</v>
      </c>
      <c r="E607" s="50">
        <v>74418</v>
      </c>
      <c r="F607" s="50" t="s">
        <v>1922</v>
      </c>
      <c r="G607" s="50" t="s">
        <v>1923</v>
      </c>
      <c r="H607" s="50" t="s">
        <v>1924</v>
      </c>
      <c r="I607" s="51" t="s">
        <v>1926</v>
      </c>
      <c r="J607" s="51" t="s">
        <v>1931</v>
      </c>
      <c r="K607" s="51" t="s">
        <v>1194</v>
      </c>
      <c r="L607" s="52">
        <v>81</v>
      </c>
      <c r="M607" s="52">
        <f t="shared" si="18"/>
        <v>81</v>
      </c>
      <c r="N607" s="52">
        <v>21.1</v>
      </c>
      <c r="O607" s="52">
        <f t="shared" si="19"/>
        <v>21.3</v>
      </c>
      <c r="P607" s="50">
        <v>0</v>
      </c>
    </row>
    <row r="608" spans="1:16" ht="16.5" customHeight="1">
      <c r="A608" s="50" t="s">
        <v>1508</v>
      </c>
      <c r="B608" s="50" t="s">
        <v>1509</v>
      </c>
      <c r="C608" s="50" t="s">
        <v>1510</v>
      </c>
      <c r="D608" s="50" t="s">
        <v>1511</v>
      </c>
      <c r="E608" s="50">
        <v>74418</v>
      </c>
      <c r="F608" s="50" t="s">
        <v>1922</v>
      </c>
      <c r="G608" s="50" t="s">
        <v>1923</v>
      </c>
      <c r="H608" s="50" t="s">
        <v>1924</v>
      </c>
      <c r="I608" s="51" t="s">
        <v>1926</v>
      </c>
      <c r="J608" s="51" t="s">
        <v>1932</v>
      </c>
      <c r="K608" s="51" t="s">
        <v>1569</v>
      </c>
      <c r="L608" s="52">
        <v>83</v>
      </c>
      <c r="M608" s="52">
        <f t="shared" si="18"/>
        <v>83</v>
      </c>
      <c r="N608" s="52">
        <v>21.6</v>
      </c>
      <c r="O608" s="52">
        <f t="shared" si="19"/>
        <v>21.8</v>
      </c>
      <c r="P608" s="50">
        <v>0</v>
      </c>
    </row>
    <row r="609" spans="1:16" ht="16.5" customHeight="1">
      <c r="A609" s="50" t="s">
        <v>1508</v>
      </c>
      <c r="B609" s="50" t="s">
        <v>1509</v>
      </c>
      <c r="C609" s="50" t="s">
        <v>1510</v>
      </c>
      <c r="D609" s="50" t="s">
        <v>1511</v>
      </c>
      <c r="E609" s="50">
        <v>74418</v>
      </c>
      <c r="F609" s="50" t="s">
        <v>1922</v>
      </c>
      <c r="G609" s="50" t="s">
        <v>1923</v>
      </c>
      <c r="H609" s="50" t="s">
        <v>1924</v>
      </c>
      <c r="I609" s="51" t="s">
        <v>1926</v>
      </c>
      <c r="J609" s="51" t="s">
        <v>1933</v>
      </c>
      <c r="K609" s="51" t="s">
        <v>1571</v>
      </c>
      <c r="L609" s="52">
        <v>81</v>
      </c>
      <c r="M609" s="52">
        <f t="shared" si="18"/>
        <v>81</v>
      </c>
      <c r="N609" s="52">
        <v>21</v>
      </c>
      <c r="O609" s="52">
        <f t="shared" si="19"/>
        <v>21.2</v>
      </c>
      <c r="P609" s="50">
        <v>0</v>
      </c>
    </row>
    <row r="610" spans="1:16" ht="16.5" customHeight="1">
      <c r="A610" s="50" t="s">
        <v>1508</v>
      </c>
      <c r="B610" s="50" t="s">
        <v>1509</v>
      </c>
      <c r="C610" s="50" t="s">
        <v>1510</v>
      </c>
      <c r="D610" s="50" t="s">
        <v>1511</v>
      </c>
      <c r="E610" s="50">
        <v>74418</v>
      </c>
      <c r="F610" s="50" t="s">
        <v>1922</v>
      </c>
      <c r="G610" s="50" t="s">
        <v>1923</v>
      </c>
      <c r="H610" s="50" t="s">
        <v>1924</v>
      </c>
      <c r="I610" s="51" t="s">
        <v>1926</v>
      </c>
      <c r="J610" s="51" t="s">
        <v>1934</v>
      </c>
      <c r="K610" s="51" t="s">
        <v>1197</v>
      </c>
      <c r="L610" s="52">
        <v>76</v>
      </c>
      <c r="M610" s="52">
        <f t="shared" si="18"/>
        <v>76</v>
      </c>
      <c r="N610" s="52">
        <v>19.7</v>
      </c>
      <c r="O610" s="52">
        <f t="shared" si="19"/>
        <v>19.899999999999999</v>
      </c>
      <c r="P610" s="50">
        <v>0</v>
      </c>
    </row>
    <row r="611" spans="1:16" ht="16.5" customHeight="1">
      <c r="A611" s="50" t="s">
        <v>1508</v>
      </c>
      <c r="B611" s="50" t="s">
        <v>1509</v>
      </c>
      <c r="C611" s="50" t="s">
        <v>1510</v>
      </c>
      <c r="D611" s="50" t="s">
        <v>1511</v>
      </c>
      <c r="E611" s="50">
        <v>74418</v>
      </c>
      <c r="F611" s="50" t="s">
        <v>1922</v>
      </c>
      <c r="G611" s="50" t="s">
        <v>1923</v>
      </c>
      <c r="H611" s="50" t="s">
        <v>1924</v>
      </c>
      <c r="I611" s="51" t="s">
        <v>1926</v>
      </c>
      <c r="J611" s="51" t="s">
        <v>1935</v>
      </c>
      <c r="K611" s="51" t="s">
        <v>1199</v>
      </c>
      <c r="L611" s="52">
        <v>82</v>
      </c>
      <c r="M611" s="52">
        <f t="shared" si="18"/>
        <v>82</v>
      </c>
      <c r="N611" s="52">
        <v>21.4</v>
      </c>
      <c r="O611" s="52">
        <f t="shared" si="19"/>
        <v>21.599999999999998</v>
      </c>
      <c r="P611" s="50">
        <v>0</v>
      </c>
    </row>
    <row r="612" spans="1:16" ht="16.5" customHeight="1">
      <c r="A612" s="50" t="s">
        <v>1508</v>
      </c>
      <c r="B612" s="50" t="s">
        <v>1509</v>
      </c>
      <c r="C612" s="50" t="s">
        <v>1510</v>
      </c>
      <c r="D612" s="50" t="s">
        <v>1511</v>
      </c>
      <c r="E612" s="50">
        <v>74418</v>
      </c>
      <c r="F612" s="50" t="s">
        <v>1922</v>
      </c>
      <c r="G612" s="50" t="s">
        <v>1923</v>
      </c>
      <c r="H612" s="50" t="s">
        <v>1924</v>
      </c>
      <c r="I612" s="51" t="s">
        <v>1926</v>
      </c>
      <c r="J612" s="51" t="s">
        <v>1936</v>
      </c>
      <c r="K612" s="51" t="s">
        <v>1201</v>
      </c>
      <c r="L612" s="52">
        <v>83</v>
      </c>
      <c r="M612" s="52">
        <f t="shared" si="18"/>
        <v>83</v>
      </c>
      <c r="N612" s="52">
        <v>21.5</v>
      </c>
      <c r="O612" s="52">
        <f t="shared" si="19"/>
        <v>21.7</v>
      </c>
      <c r="P612" s="50">
        <v>0</v>
      </c>
    </row>
    <row r="613" spans="1:16" ht="16.5" customHeight="1">
      <c r="A613" s="50" t="s">
        <v>1508</v>
      </c>
      <c r="B613" s="50" t="s">
        <v>1509</v>
      </c>
      <c r="C613" s="50" t="s">
        <v>1510</v>
      </c>
      <c r="D613" s="50" t="s">
        <v>1511</v>
      </c>
      <c r="E613" s="50">
        <v>74418</v>
      </c>
      <c r="F613" s="50" t="s">
        <v>1922</v>
      </c>
      <c r="G613" s="50" t="s">
        <v>1923</v>
      </c>
      <c r="H613" s="50" t="s">
        <v>1924</v>
      </c>
      <c r="I613" s="51" t="s">
        <v>1926</v>
      </c>
      <c r="J613" s="51" t="s">
        <v>1937</v>
      </c>
      <c r="K613" s="51" t="s">
        <v>1203</v>
      </c>
      <c r="L613" s="52">
        <v>82</v>
      </c>
      <c r="M613" s="52">
        <f t="shared" si="18"/>
        <v>82</v>
      </c>
      <c r="N613" s="52">
        <v>21.4</v>
      </c>
      <c r="O613" s="52">
        <f t="shared" si="19"/>
        <v>21.599999999999998</v>
      </c>
      <c r="P613" s="50">
        <v>0</v>
      </c>
    </row>
    <row r="614" spans="1:16" ht="16.5" customHeight="1">
      <c r="A614" s="50" t="s">
        <v>1508</v>
      </c>
      <c r="B614" s="50" t="s">
        <v>1509</v>
      </c>
      <c r="C614" s="50" t="s">
        <v>1510</v>
      </c>
      <c r="D614" s="50" t="s">
        <v>1511</v>
      </c>
      <c r="E614" s="50">
        <v>74418</v>
      </c>
      <c r="F614" s="50" t="s">
        <v>1922</v>
      </c>
      <c r="G614" s="50" t="s">
        <v>1923</v>
      </c>
      <c r="H614" s="50" t="s">
        <v>1924</v>
      </c>
      <c r="I614" s="51" t="s">
        <v>1926</v>
      </c>
      <c r="J614" s="51" t="s">
        <v>1938</v>
      </c>
      <c r="K614" s="51" t="s">
        <v>1205</v>
      </c>
      <c r="L614" s="52">
        <v>79</v>
      </c>
      <c r="M614" s="52">
        <f t="shared" si="18"/>
        <v>79</v>
      </c>
      <c r="N614" s="52">
        <v>20.5</v>
      </c>
      <c r="O614" s="52">
        <f t="shared" si="19"/>
        <v>20.7</v>
      </c>
      <c r="P614" s="50">
        <v>0</v>
      </c>
    </row>
    <row r="615" spans="1:16" ht="16.5" customHeight="1">
      <c r="A615" s="50" t="s">
        <v>1508</v>
      </c>
      <c r="B615" s="50" t="s">
        <v>1509</v>
      </c>
      <c r="C615" s="50" t="s">
        <v>1510</v>
      </c>
      <c r="D615" s="50" t="s">
        <v>1511</v>
      </c>
      <c r="E615" s="50">
        <v>74418</v>
      </c>
      <c r="F615" s="50" t="s">
        <v>1939</v>
      </c>
      <c r="G615" s="50" t="s">
        <v>1940</v>
      </c>
      <c r="H615" s="50" t="s">
        <v>1941</v>
      </c>
      <c r="I615" s="51" t="s">
        <v>1942</v>
      </c>
      <c r="J615" s="51" t="s">
        <v>1943</v>
      </c>
      <c r="K615" s="51" t="s">
        <v>1083</v>
      </c>
      <c r="L615" s="52">
        <v>70</v>
      </c>
      <c r="M615" s="52">
        <f t="shared" si="18"/>
        <v>73</v>
      </c>
      <c r="N615" s="52">
        <v>18.899999999999999</v>
      </c>
      <c r="O615" s="52">
        <f t="shared" si="19"/>
        <v>19.099999999999998</v>
      </c>
      <c r="P615" s="50">
        <v>3</v>
      </c>
    </row>
    <row r="616" spans="1:16" ht="16.5" customHeight="1">
      <c r="A616" s="50" t="s">
        <v>1508</v>
      </c>
      <c r="B616" s="50" t="s">
        <v>1509</v>
      </c>
      <c r="C616" s="50" t="s">
        <v>1510</v>
      </c>
      <c r="D616" s="50" t="s">
        <v>1511</v>
      </c>
      <c r="E616" s="50">
        <v>74418</v>
      </c>
      <c r="F616" s="50" t="s">
        <v>1939</v>
      </c>
      <c r="G616" s="50" t="s">
        <v>1940</v>
      </c>
      <c r="H616" s="50" t="s">
        <v>1941</v>
      </c>
      <c r="I616" s="51" t="s">
        <v>1942</v>
      </c>
      <c r="J616" s="51" t="s">
        <v>1944</v>
      </c>
      <c r="K616" s="51" t="s">
        <v>1085</v>
      </c>
      <c r="L616" s="52">
        <v>82</v>
      </c>
      <c r="M616" s="52">
        <f t="shared" si="18"/>
        <v>82</v>
      </c>
      <c r="N616" s="52">
        <v>21.1</v>
      </c>
      <c r="O616" s="52">
        <f t="shared" si="19"/>
        <v>21.3</v>
      </c>
      <c r="P616" s="50">
        <v>0</v>
      </c>
    </row>
    <row r="617" spans="1:16" ht="16.5" customHeight="1">
      <c r="A617" s="50" t="s">
        <v>1508</v>
      </c>
      <c r="B617" s="50" t="s">
        <v>1509</v>
      </c>
      <c r="C617" s="50" t="s">
        <v>1510</v>
      </c>
      <c r="D617" s="50" t="s">
        <v>1511</v>
      </c>
      <c r="E617" s="50">
        <v>74418</v>
      </c>
      <c r="F617" s="50" t="s">
        <v>1939</v>
      </c>
      <c r="G617" s="50" t="s">
        <v>1940</v>
      </c>
      <c r="H617" s="50" t="s">
        <v>1941</v>
      </c>
      <c r="I617" s="51" t="s">
        <v>1942</v>
      </c>
      <c r="J617" s="51" t="s">
        <v>1945</v>
      </c>
      <c r="K617" s="51" t="s">
        <v>1087</v>
      </c>
      <c r="L617" s="52">
        <v>77</v>
      </c>
      <c r="M617" s="52">
        <f t="shared" si="18"/>
        <v>77</v>
      </c>
      <c r="N617" s="52">
        <v>19.7</v>
      </c>
      <c r="O617" s="52">
        <f t="shared" si="19"/>
        <v>19.899999999999999</v>
      </c>
      <c r="P617" s="50">
        <v>0</v>
      </c>
    </row>
    <row r="618" spans="1:16" ht="16.5" customHeight="1">
      <c r="A618" s="50" t="s">
        <v>1508</v>
      </c>
      <c r="B618" s="50" t="s">
        <v>1509</v>
      </c>
      <c r="C618" s="50" t="s">
        <v>1510</v>
      </c>
      <c r="D618" s="50" t="s">
        <v>1511</v>
      </c>
      <c r="E618" s="50">
        <v>74418</v>
      </c>
      <c r="F618" s="50" t="s">
        <v>1939</v>
      </c>
      <c r="G618" s="50" t="s">
        <v>1940</v>
      </c>
      <c r="H618" s="50" t="s">
        <v>1941</v>
      </c>
      <c r="I618" s="51" t="s">
        <v>1942</v>
      </c>
      <c r="J618" s="51" t="s">
        <v>1946</v>
      </c>
      <c r="K618" s="51" t="s">
        <v>1089</v>
      </c>
      <c r="L618" s="52">
        <v>81</v>
      </c>
      <c r="M618" s="52">
        <f t="shared" si="18"/>
        <v>81</v>
      </c>
      <c r="N618" s="52">
        <v>21.1</v>
      </c>
      <c r="O618" s="52">
        <f t="shared" si="19"/>
        <v>21.3</v>
      </c>
      <c r="P618" s="50">
        <v>0</v>
      </c>
    </row>
    <row r="619" spans="1:16" ht="16.5" customHeight="1">
      <c r="A619" s="50" t="s">
        <v>1508</v>
      </c>
      <c r="B619" s="50" t="s">
        <v>1509</v>
      </c>
      <c r="C619" s="50" t="s">
        <v>1510</v>
      </c>
      <c r="D619" s="50" t="s">
        <v>1511</v>
      </c>
      <c r="E619" s="50">
        <v>74418</v>
      </c>
      <c r="F619" s="50" t="s">
        <v>1939</v>
      </c>
      <c r="G619" s="50" t="s">
        <v>1940</v>
      </c>
      <c r="H619" s="50" t="s">
        <v>1941</v>
      </c>
      <c r="I619" s="51" t="s">
        <v>1942</v>
      </c>
      <c r="J619" s="51" t="s">
        <v>1947</v>
      </c>
      <c r="K619" s="51" t="s">
        <v>1092</v>
      </c>
      <c r="L619" s="52">
        <v>72</v>
      </c>
      <c r="M619" s="52">
        <f t="shared" si="18"/>
        <v>72</v>
      </c>
      <c r="N619" s="52">
        <v>18.5</v>
      </c>
      <c r="O619" s="52">
        <f t="shared" si="19"/>
        <v>18.7</v>
      </c>
      <c r="P619" s="50">
        <v>0</v>
      </c>
    </row>
    <row r="620" spans="1:16" ht="16.5" customHeight="1">
      <c r="A620" s="50" t="s">
        <v>1508</v>
      </c>
      <c r="B620" s="50" t="s">
        <v>1509</v>
      </c>
      <c r="C620" s="50" t="s">
        <v>1510</v>
      </c>
      <c r="D620" s="50" t="s">
        <v>1511</v>
      </c>
      <c r="E620" s="50">
        <v>74418</v>
      </c>
      <c r="F620" s="50" t="s">
        <v>1939</v>
      </c>
      <c r="G620" s="50" t="s">
        <v>1940</v>
      </c>
      <c r="H620" s="50" t="s">
        <v>1941</v>
      </c>
      <c r="I620" s="51" t="s">
        <v>1942</v>
      </c>
      <c r="J620" s="51" t="s">
        <v>1948</v>
      </c>
      <c r="K620" s="51" t="s">
        <v>1094</v>
      </c>
      <c r="L620" s="52">
        <v>81</v>
      </c>
      <c r="M620" s="52">
        <f t="shared" si="18"/>
        <v>81</v>
      </c>
      <c r="N620" s="52">
        <v>20.9</v>
      </c>
      <c r="O620" s="52">
        <f t="shared" si="19"/>
        <v>21.099999999999998</v>
      </c>
      <c r="P620" s="50">
        <v>0</v>
      </c>
    </row>
    <row r="621" spans="1:16" ht="16.5" customHeight="1">
      <c r="M621" s="53">
        <f>SUM(M3:M620)</f>
        <v>53377</v>
      </c>
      <c r="N621" s="53">
        <f>SUM(N3:N620)</f>
        <v>13148.70000000001</v>
      </c>
      <c r="O621" s="53">
        <f>SUM(O3:O620)</f>
        <v>13272.299999999997</v>
      </c>
    </row>
    <row r="622" spans="1:16" ht="16.5" customHeight="1">
      <c r="K622" s="80" t="s">
        <v>2079</v>
      </c>
    </row>
  </sheetData>
  <autoFilter ref="A2:W620" xr:uid="{5DDD03EF-53B4-4657-AE2A-10F7ABAA0EC8}"/>
  <mergeCells count="16">
    <mergeCell ref="F1:F2"/>
    <mergeCell ref="A1:A2"/>
    <mergeCell ref="B1:B2"/>
    <mergeCell ref="C1:C2"/>
    <mergeCell ref="D1:D2"/>
    <mergeCell ref="E1:E2"/>
    <mergeCell ref="M1:M2"/>
    <mergeCell ref="N1:N2"/>
    <mergeCell ref="O1:O2"/>
    <mergeCell ref="P1:P2"/>
    <mergeCell ref="G1:G2"/>
    <mergeCell ref="H1:H2"/>
    <mergeCell ref="I1:I2"/>
    <mergeCell ref="J1:J2"/>
    <mergeCell ref="K1:K2"/>
    <mergeCell ref="L1:L2"/>
  </mergeCells>
  <phoneticPr fontId="3" type="noConversion"/>
  <pageMargins left="0.7" right="0.7" top="0.75" bottom="0.75" header="0.3" footer="0.3"/>
  <pageSetup paperSize="9" orientation="portrait" horizontalDpi="0" verticalDpi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1CF19-E38A-4B4C-BFFC-1BFAEC042C45}">
  <sheetPr>
    <pageSetUpPr autoPageBreaks="0"/>
  </sheetPr>
  <dimension ref="A1:S31"/>
  <sheetViews>
    <sheetView workbookViewId="0">
      <selection activeCell="G31" sqref="G31"/>
    </sheetView>
  </sheetViews>
  <sheetFormatPr defaultColWidth="7.625" defaultRowHeight="16.5" customHeight="1"/>
  <cols>
    <col min="1" max="1" width="12.5" style="73" customWidth="1"/>
    <col min="2" max="2" width="23.25" style="77" customWidth="1"/>
    <col min="3" max="3" width="13.125" style="73" customWidth="1"/>
    <col min="4" max="4" width="12" style="73" customWidth="1"/>
    <col min="5" max="6" width="14.25" style="73" customWidth="1"/>
    <col min="7" max="7" width="13.75" style="73" customWidth="1"/>
    <col min="8" max="8" width="12" style="73" customWidth="1"/>
    <col min="9" max="11" width="11.75" style="73" customWidth="1"/>
    <col min="12" max="12" width="13.625" style="73" customWidth="1"/>
    <col min="13" max="17" width="10.875" style="73" customWidth="1"/>
    <col min="18" max="18" width="11" style="73" customWidth="1"/>
    <col min="19" max="20" width="7.875" style="73" customWidth="1"/>
    <col min="21" max="256" width="7.625" style="73"/>
    <col min="257" max="257" width="12.5" style="73" customWidth="1"/>
    <col min="258" max="258" width="23.25" style="73" customWidth="1"/>
    <col min="259" max="259" width="13.125" style="73" customWidth="1"/>
    <col min="260" max="260" width="12" style="73" customWidth="1"/>
    <col min="261" max="262" width="14.25" style="73" customWidth="1"/>
    <col min="263" max="263" width="13.75" style="73" customWidth="1"/>
    <col min="264" max="264" width="12" style="73" customWidth="1"/>
    <col min="265" max="267" width="11.75" style="73" customWidth="1"/>
    <col min="268" max="268" width="13.625" style="73" customWidth="1"/>
    <col min="269" max="273" width="10.875" style="73" customWidth="1"/>
    <col min="274" max="274" width="11" style="73" customWidth="1"/>
    <col min="275" max="276" width="7.875" style="73" customWidth="1"/>
    <col min="277" max="512" width="7.625" style="73"/>
    <col min="513" max="513" width="12.5" style="73" customWidth="1"/>
    <col min="514" max="514" width="23.25" style="73" customWidth="1"/>
    <col min="515" max="515" width="13.125" style="73" customWidth="1"/>
    <col min="516" max="516" width="12" style="73" customWidth="1"/>
    <col min="517" max="518" width="14.25" style="73" customWidth="1"/>
    <col min="519" max="519" width="13.75" style="73" customWidth="1"/>
    <col min="520" max="520" width="12" style="73" customWidth="1"/>
    <col min="521" max="523" width="11.75" style="73" customWidth="1"/>
    <col min="524" max="524" width="13.625" style="73" customWidth="1"/>
    <col min="525" max="529" width="10.875" style="73" customWidth="1"/>
    <col min="530" max="530" width="11" style="73" customWidth="1"/>
    <col min="531" max="532" width="7.875" style="73" customWidth="1"/>
    <col min="533" max="768" width="7.625" style="73"/>
    <col min="769" max="769" width="12.5" style="73" customWidth="1"/>
    <col min="770" max="770" width="23.25" style="73" customWidth="1"/>
    <col min="771" max="771" width="13.125" style="73" customWidth="1"/>
    <col min="772" max="772" width="12" style="73" customWidth="1"/>
    <col min="773" max="774" width="14.25" style="73" customWidth="1"/>
    <col min="775" max="775" width="13.75" style="73" customWidth="1"/>
    <col min="776" max="776" width="12" style="73" customWidth="1"/>
    <col min="777" max="779" width="11.75" style="73" customWidth="1"/>
    <col min="780" max="780" width="13.625" style="73" customWidth="1"/>
    <col min="781" max="785" width="10.875" style="73" customWidth="1"/>
    <col min="786" max="786" width="11" style="73" customWidth="1"/>
    <col min="787" max="788" width="7.875" style="73" customWidth="1"/>
    <col min="789" max="1024" width="7.625" style="73"/>
    <col min="1025" max="1025" width="12.5" style="73" customWidth="1"/>
    <col min="1026" max="1026" width="23.25" style="73" customWidth="1"/>
    <col min="1027" max="1027" width="13.125" style="73" customWidth="1"/>
    <col min="1028" max="1028" width="12" style="73" customWidth="1"/>
    <col min="1029" max="1030" width="14.25" style="73" customWidth="1"/>
    <col min="1031" max="1031" width="13.75" style="73" customWidth="1"/>
    <col min="1032" max="1032" width="12" style="73" customWidth="1"/>
    <col min="1033" max="1035" width="11.75" style="73" customWidth="1"/>
    <col min="1036" max="1036" width="13.625" style="73" customWidth="1"/>
    <col min="1037" max="1041" width="10.875" style="73" customWidth="1"/>
    <col min="1042" max="1042" width="11" style="73" customWidth="1"/>
    <col min="1043" max="1044" width="7.875" style="73" customWidth="1"/>
    <col min="1045" max="1280" width="7.625" style="73"/>
    <col min="1281" max="1281" width="12.5" style="73" customWidth="1"/>
    <col min="1282" max="1282" width="23.25" style="73" customWidth="1"/>
    <col min="1283" max="1283" width="13.125" style="73" customWidth="1"/>
    <col min="1284" max="1284" width="12" style="73" customWidth="1"/>
    <col min="1285" max="1286" width="14.25" style="73" customWidth="1"/>
    <col min="1287" max="1287" width="13.75" style="73" customWidth="1"/>
    <col min="1288" max="1288" width="12" style="73" customWidth="1"/>
    <col min="1289" max="1291" width="11.75" style="73" customWidth="1"/>
    <col min="1292" max="1292" width="13.625" style="73" customWidth="1"/>
    <col min="1293" max="1297" width="10.875" style="73" customWidth="1"/>
    <col min="1298" max="1298" width="11" style="73" customWidth="1"/>
    <col min="1299" max="1300" width="7.875" style="73" customWidth="1"/>
    <col min="1301" max="1536" width="7.625" style="73"/>
    <col min="1537" max="1537" width="12.5" style="73" customWidth="1"/>
    <col min="1538" max="1538" width="23.25" style="73" customWidth="1"/>
    <col min="1539" max="1539" width="13.125" style="73" customWidth="1"/>
    <col min="1540" max="1540" width="12" style="73" customWidth="1"/>
    <col min="1541" max="1542" width="14.25" style="73" customWidth="1"/>
    <col min="1543" max="1543" width="13.75" style="73" customWidth="1"/>
    <col min="1544" max="1544" width="12" style="73" customWidth="1"/>
    <col min="1545" max="1547" width="11.75" style="73" customWidth="1"/>
    <col min="1548" max="1548" width="13.625" style="73" customWidth="1"/>
    <col min="1549" max="1553" width="10.875" style="73" customWidth="1"/>
    <col min="1554" max="1554" width="11" style="73" customWidth="1"/>
    <col min="1555" max="1556" width="7.875" style="73" customWidth="1"/>
    <col min="1557" max="1792" width="7.625" style="73"/>
    <col min="1793" max="1793" width="12.5" style="73" customWidth="1"/>
    <col min="1794" max="1794" width="23.25" style="73" customWidth="1"/>
    <col min="1795" max="1795" width="13.125" style="73" customWidth="1"/>
    <col min="1796" max="1796" width="12" style="73" customWidth="1"/>
    <col min="1797" max="1798" width="14.25" style="73" customWidth="1"/>
    <col min="1799" max="1799" width="13.75" style="73" customWidth="1"/>
    <col min="1800" max="1800" width="12" style="73" customWidth="1"/>
    <col min="1801" max="1803" width="11.75" style="73" customWidth="1"/>
    <col min="1804" max="1804" width="13.625" style="73" customWidth="1"/>
    <col min="1805" max="1809" width="10.875" style="73" customWidth="1"/>
    <col min="1810" max="1810" width="11" style="73" customWidth="1"/>
    <col min="1811" max="1812" width="7.875" style="73" customWidth="1"/>
    <col min="1813" max="2048" width="7.625" style="73"/>
    <col min="2049" max="2049" width="12.5" style="73" customWidth="1"/>
    <col min="2050" max="2050" width="23.25" style="73" customWidth="1"/>
    <col min="2051" max="2051" width="13.125" style="73" customWidth="1"/>
    <col min="2052" max="2052" width="12" style="73" customWidth="1"/>
    <col min="2053" max="2054" width="14.25" style="73" customWidth="1"/>
    <col min="2055" max="2055" width="13.75" style="73" customWidth="1"/>
    <col min="2056" max="2056" width="12" style="73" customWidth="1"/>
    <col min="2057" max="2059" width="11.75" style="73" customWidth="1"/>
    <col min="2060" max="2060" width="13.625" style="73" customWidth="1"/>
    <col min="2061" max="2065" width="10.875" style="73" customWidth="1"/>
    <col min="2066" max="2066" width="11" style="73" customWidth="1"/>
    <col min="2067" max="2068" width="7.875" style="73" customWidth="1"/>
    <col min="2069" max="2304" width="7.625" style="73"/>
    <col min="2305" max="2305" width="12.5" style="73" customWidth="1"/>
    <col min="2306" max="2306" width="23.25" style="73" customWidth="1"/>
    <col min="2307" max="2307" width="13.125" style="73" customWidth="1"/>
    <col min="2308" max="2308" width="12" style="73" customWidth="1"/>
    <col min="2309" max="2310" width="14.25" style="73" customWidth="1"/>
    <col min="2311" max="2311" width="13.75" style="73" customWidth="1"/>
    <col min="2312" max="2312" width="12" style="73" customWidth="1"/>
    <col min="2313" max="2315" width="11.75" style="73" customWidth="1"/>
    <col min="2316" max="2316" width="13.625" style="73" customWidth="1"/>
    <col min="2317" max="2321" width="10.875" style="73" customWidth="1"/>
    <col min="2322" max="2322" width="11" style="73" customWidth="1"/>
    <col min="2323" max="2324" width="7.875" style="73" customWidth="1"/>
    <col min="2325" max="2560" width="7.625" style="73"/>
    <col min="2561" max="2561" width="12.5" style="73" customWidth="1"/>
    <col min="2562" max="2562" width="23.25" style="73" customWidth="1"/>
    <col min="2563" max="2563" width="13.125" style="73" customWidth="1"/>
    <col min="2564" max="2564" width="12" style="73" customWidth="1"/>
    <col min="2565" max="2566" width="14.25" style="73" customWidth="1"/>
    <col min="2567" max="2567" width="13.75" style="73" customWidth="1"/>
    <col min="2568" max="2568" width="12" style="73" customWidth="1"/>
    <col min="2569" max="2571" width="11.75" style="73" customWidth="1"/>
    <col min="2572" max="2572" width="13.625" style="73" customWidth="1"/>
    <col min="2573" max="2577" width="10.875" style="73" customWidth="1"/>
    <col min="2578" max="2578" width="11" style="73" customWidth="1"/>
    <col min="2579" max="2580" width="7.875" style="73" customWidth="1"/>
    <col min="2581" max="2816" width="7.625" style="73"/>
    <col min="2817" max="2817" width="12.5" style="73" customWidth="1"/>
    <col min="2818" max="2818" width="23.25" style="73" customWidth="1"/>
    <col min="2819" max="2819" width="13.125" style="73" customWidth="1"/>
    <col min="2820" max="2820" width="12" style="73" customWidth="1"/>
    <col min="2821" max="2822" width="14.25" style="73" customWidth="1"/>
    <col min="2823" max="2823" width="13.75" style="73" customWidth="1"/>
    <col min="2824" max="2824" width="12" style="73" customWidth="1"/>
    <col min="2825" max="2827" width="11.75" style="73" customWidth="1"/>
    <col min="2828" max="2828" width="13.625" style="73" customWidth="1"/>
    <col min="2829" max="2833" width="10.875" style="73" customWidth="1"/>
    <col min="2834" max="2834" width="11" style="73" customWidth="1"/>
    <col min="2835" max="2836" width="7.875" style="73" customWidth="1"/>
    <col min="2837" max="3072" width="7.625" style="73"/>
    <col min="3073" max="3073" width="12.5" style="73" customWidth="1"/>
    <col min="3074" max="3074" width="23.25" style="73" customWidth="1"/>
    <col min="3075" max="3075" width="13.125" style="73" customWidth="1"/>
    <col min="3076" max="3076" width="12" style="73" customWidth="1"/>
    <col min="3077" max="3078" width="14.25" style="73" customWidth="1"/>
    <col min="3079" max="3079" width="13.75" style="73" customWidth="1"/>
    <col min="3080" max="3080" width="12" style="73" customWidth="1"/>
    <col min="3081" max="3083" width="11.75" style="73" customWidth="1"/>
    <col min="3084" max="3084" width="13.625" style="73" customWidth="1"/>
    <col min="3085" max="3089" width="10.875" style="73" customWidth="1"/>
    <col min="3090" max="3090" width="11" style="73" customWidth="1"/>
    <col min="3091" max="3092" width="7.875" style="73" customWidth="1"/>
    <col min="3093" max="3328" width="7.625" style="73"/>
    <col min="3329" max="3329" width="12.5" style="73" customWidth="1"/>
    <col min="3330" max="3330" width="23.25" style="73" customWidth="1"/>
    <col min="3331" max="3331" width="13.125" style="73" customWidth="1"/>
    <col min="3332" max="3332" width="12" style="73" customWidth="1"/>
    <col min="3333" max="3334" width="14.25" style="73" customWidth="1"/>
    <col min="3335" max="3335" width="13.75" style="73" customWidth="1"/>
    <col min="3336" max="3336" width="12" style="73" customWidth="1"/>
    <col min="3337" max="3339" width="11.75" style="73" customWidth="1"/>
    <col min="3340" max="3340" width="13.625" style="73" customWidth="1"/>
    <col min="3341" max="3345" width="10.875" style="73" customWidth="1"/>
    <col min="3346" max="3346" width="11" style="73" customWidth="1"/>
    <col min="3347" max="3348" width="7.875" style="73" customWidth="1"/>
    <col min="3349" max="3584" width="7.625" style="73"/>
    <col min="3585" max="3585" width="12.5" style="73" customWidth="1"/>
    <col min="3586" max="3586" width="23.25" style="73" customWidth="1"/>
    <col min="3587" max="3587" width="13.125" style="73" customWidth="1"/>
    <col min="3588" max="3588" width="12" style="73" customWidth="1"/>
    <col min="3589" max="3590" width="14.25" style="73" customWidth="1"/>
    <col min="3591" max="3591" width="13.75" style="73" customWidth="1"/>
    <col min="3592" max="3592" width="12" style="73" customWidth="1"/>
    <col min="3593" max="3595" width="11.75" style="73" customWidth="1"/>
    <col min="3596" max="3596" width="13.625" style="73" customWidth="1"/>
    <col min="3597" max="3601" width="10.875" style="73" customWidth="1"/>
    <col min="3602" max="3602" width="11" style="73" customWidth="1"/>
    <col min="3603" max="3604" width="7.875" style="73" customWidth="1"/>
    <col min="3605" max="3840" width="7.625" style="73"/>
    <col min="3841" max="3841" width="12.5" style="73" customWidth="1"/>
    <col min="3842" max="3842" width="23.25" style="73" customWidth="1"/>
    <col min="3843" max="3843" width="13.125" style="73" customWidth="1"/>
    <col min="3844" max="3844" width="12" style="73" customWidth="1"/>
    <col min="3845" max="3846" width="14.25" style="73" customWidth="1"/>
    <col min="3847" max="3847" width="13.75" style="73" customWidth="1"/>
    <col min="3848" max="3848" width="12" style="73" customWidth="1"/>
    <col min="3849" max="3851" width="11.75" style="73" customWidth="1"/>
    <col min="3852" max="3852" width="13.625" style="73" customWidth="1"/>
    <col min="3853" max="3857" width="10.875" style="73" customWidth="1"/>
    <col min="3858" max="3858" width="11" style="73" customWidth="1"/>
    <col min="3859" max="3860" width="7.875" style="73" customWidth="1"/>
    <col min="3861" max="4096" width="7.625" style="73"/>
    <col min="4097" max="4097" width="12.5" style="73" customWidth="1"/>
    <col min="4098" max="4098" width="23.25" style="73" customWidth="1"/>
    <col min="4099" max="4099" width="13.125" style="73" customWidth="1"/>
    <col min="4100" max="4100" width="12" style="73" customWidth="1"/>
    <col min="4101" max="4102" width="14.25" style="73" customWidth="1"/>
    <col min="4103" max="4103" width="13.75" style="73" customWidth="1"/>
    <col min="4104" max="4104" width="12" style="73" customWidth="1"/>
    <col min="4105" max="4107" width="11.75" style="73" customWidth="1"/>
    <col min="4108" max="4108" width="13.625" style="73" customWidth="1"/>
    <col min="4109" max="4113" width="10.875" style="73" customWidth="1"/>
    <col min="4114" max="4114" width="11" style="73" customWidth="1"/>
    <col min="4115" max="4116" width="7.875" style="73" customWidth="1"/>
    <col min="4117" max="4352" width="7.625" style="73"/>
    <col min="4353" max="4353" width="12.5" style="73" customWidth="1"/>
    <col min="4354" max="4354" width="23.25" style="73" customWidth="1"/>
    <col min="4355" max="4355" width="13.125" style="73" customWidth="1"/>
    <col min="4356" max="4356" width="12" style="73" customWidth="1"/>
    <col min="4357" max="4358" width="14.25" style="73" customWidth="1"/>
    <col min="4359" max="4359" width="13.75" style="73" customWidth="1"/>
    <col min="4360" max="4360" width="12" style="73" customWidth="1"/>
    <col min="4361" max="4363" width="11.75" style="73" customWidth="1"/>
    <col min="4364" max="4364" width="13.625" style="73" customWidth="1"/>
    <col min="4365" max="4369" width="10.875" style="73" customWidth="1"/>
    <col min="4370" max="4370" width="11" style="73" customWidth="1"/>
    <col min="4371" max="4372" width="7.875" style="73" customWidth="1"/>
    <col min="4373" max="4608" width="7.625" style="73"/>
    <col min="4609" max="4609" width="12.5" style="73" customWidth="1"/>
    <col min="4610" max="4610" width="23.25" style="73" customWidth="1"/>
    <col min="4611" max="4611" width="13.125" style="73" customWidth="1"/>
    <col min="4612" max="4612" width="12" style="73" customWidth="1"/>
    <col min="4613" max="4614" width="14.25" style="73" customWidth="1"/>
    <col min="4615" max="4615" width="13.75" style="73" customWidth="1"/>
    <col min="4616" max="4616" width="12" style="73" customWidth="1"/>
    <col min="4617" max="4619" width="11.75" style="73" customWidth="1"/>
    <col min="4620" max="4620" width="13.625" style="73" customWidth="1"/>
    <col min="4621" max="4625" width="10.875" style="73" customWidth="1"/>
    <col min="4626" max="4626" width="11" style="73" customWidth="1"/>
    <col min="4627" max="4628" width="7.875" style="73" customWidth="1"/>
    <col min="4629" max="4864" width="7.625" style="73"/>
    <col min="4865" max="4865" width="12.5" style="73" customWidth="1"/>
    <col min="4866" max="4866" width="23.25" style="73" customWidth="1"/>
    <col min="4867" max="4867" width="13.125" style="73" customWidth="1"/>
    <col min="4868" max="4868" width="12" style="73" customWidth="1"/>
    <col min="4869" max="4870" width="14.25" style="73" customWidth="1"/>
    <col min="4871" max="4871" width="13.75" style="73" customWidth="1"/>
    <col min="4872" max="4872" width="12" style="73" customWidth="1"/>
    <col min="4873" max="4875" width="11.75" style="73" customWidth="1"/>
    <col min="4876" max="4876" width="13.625" style="73" customWidth="1"/>
    <col min="4877" max="4881" width="10.875" style="73" customWidth="1"/>
    <col min="4882" max="4882" width="11" style="73" customWidth="1"/>
    <col min="4883" max="4884" width="7.875" style="73" customWidth="1"/>
    <col min="4885" max="5120" width="7.625" style="73"/>
    <col min="5121" max="5121" width="12.5" style="73" customWidth="1"/>
    <col min="5122" max="5122" width="23.25" style="73" customWidth="1"/>
    <col min="5123" max="5123" width="13.125" style="73" customWidth="1"/>
    <col min="5124" max="5124" width="12" style="73" customWidth="1"/>
    <col min="5125" max="5126" width="14.25" style="73" customWidth="1"/>
    <col min="5127" max="5127" width="13.75" style="73" customWidth="1"/>
    <col min="5128" max="5128" width="12" style="73" customWidth="1"/>
    <col min="5129" max="5131" width="11.75" style="73" customWidth="1"/>
    <col min="5132" max="5132" width="13.625" style="73" customWidth="1"/>
    <col min="5133" max="5137" width="10.875" style="73" customWidth="1"/>
    <col min="5138" max="5138" width="11" style="73" customWidth="1"/>
    <col min="5139" max="5140" width="7.875" style="73" customWidth="1"/>
    <col min="5141" max="5376" width="7.625" style="73"/>
    <col min="5377" max="5377" width="12.5" style="73" customWidth="1"/>
    <col min="5378" max="5378" width="23.25" style="73" customWidth="1"/>
    <col min="5379" max="5379" width="13.125" style="73" customWidth="1"/>
    <col min="5380" max="5380" width="12" style="73" customWidth="1"/>
    <col min="5381" max="5382" width="14.25" style="73" customWidth="1"/>
    <col min="5383" max="5383" width="13.75" style="73" customWidth="1"/>
    <col min="5384" max="5384" width="12" style="73" customWidth="1"/>
    <col min="5385" max="5387" width="11.75" style="73" customWidth="1"/>
    <col min="5388" max="5388" width="13.625" style="73" customWidth="1"/>
    <col min="5389" max="5393" width="10.875" style="73" customWidth="1"/>
    <col min="5394" max="5394" width="11" style="73" customWidth="1"/>
    <col min="5395" max="5396" width="7.875" style="73" customWidth="1"/>
    <col min="5397" max="5632" width="7.625" style="73"/>
    <col min="5633" max="5633" width="12.5" style="73" customWidth="1"/>
    <col min="5634" max="5634" width="23.25" style="73" customWidth="1"/>
    <col min="5635" max="5635" width="13.125" style="73" customWidth="1"/>
    <col min="5636" max="5636" width="12" style="73" customWidth="1"/>
    <col min="5637" max="5638" width="14.25" style="73" customWidth="1"/>
    <col min="5639" max="5639" width="13.75" style="73" customWidth="1"/>
    <col min="5640" max="5640" width="12" style="73" customWidth="1"/>
    <col min="5641" max="5643" width="11.75" style="73" customWidth="1"/>
    <col min="5644" max="5644" width="13.625" style="73" customWidth="1"/>
    <col min="5645" max="5649" width="10.875" style="73" customWidth="1"/>
    <col min="5650" max="5650" width="11" style="73" customWidth="1"/>
    <col min="5651" max="5652" width="7.875" style="73" customWidth="1"/>
    <col min="5653" max="5888" width="7.625" style="73"/>
    <col min="5889" max="5889" width="12.5" style="73" customWidth="1"/>
    <col min="5890" max="5890" width="23.25" style="73" customWidth="1"/>
    <col min="5891" max="5891" width="13.125" style="73" customWidth="1"/>
    <col min="5892" max="5892" width="12" style="73" customWidth="1"/>
    <col min="5893" max="5894" width="14.25" style="73" customWidth="1"/>
    <col min="5895" max="5895" width="13.75" style="73" customWidth="1"/>
    <col min="5896" max="5896" width="12" style="73" customWidth="1"/>
    <col min="5897" max="5899" width="11.75" style="73" customWidth="1"/>
    <col min="5900" max="5900" width="13.625" style="73" customWidth="1"/>
    <col min="5901" max="5905" width="10.875" style="73" customWidth="1"/>
    <col min="5906" max="5906" width="11" style="73" customWidth="1"/>
    <col min="5907" max="5908" width="7.875" style="73" customWidth="1"/>
    <col min="5909" max="6144" width="7.625" style="73"/>
    <col min="6145" max="6145" width="12.5" style="73" customWidth="1"/>
    <col min="6146" max="6146" width="23.25" style="73" customWidth="1"/>
    <col min="6147" max="6147" width="13.125" style="73" customWidth="1"/>
    <col min="6148" max="6148" width="12" style="73" customWidth="1"/>
    <col min="6149" max="6150" width="14.25" style="73" customWidth="1"/>
    <col min="6151" max="6151" width="13.75" style="73" customWidth="1"/>
    <col min="6152" max="6152" width="12" style="73" customWidth="1"/>
    <col min="6153" max="6155" width="11.75" style="73" customWidth="1"/>
    <col min="6156" max="6156" width="13.625" style="73" customWidth="1"/>
    <col min="6157" max="6161" width="10.875" style="73" customWidth="1"/>
    <col min="6162" max="6162" width="11" style="73" customWidth="1"/>
    <col min="6163" max="6164" width="7.875" style="73" customWidth="1"/>
    <col min="6165" max="6400" width="7.625" style="73"/>
    <col min="6401" max="6401" width="12.5" style="73" customWidth="1"/>
    <col min="6402" max="6402" width="23.25" style="73" customWidth="1"/>
    <col min="6403" max="6403" width="13.125" style="73" customWidth="1"/>
    <col min="6404" max="6404" width="12" style="73" customWidth="1"/>
    <col min="6405" max="6406" width="14.25" style="73" customWidth="1"/>
    <col min="6407" max="6407" width="13.75" style="73" customWidth="1"/>
    <col min="6408" max="6408" width="12" style="73" customWidth="1"/>
    <col min="6409" max="6411" width="11.75" style="73" customWidth="1"/>
    <col min="6412" max="6412" width="13.625" style="73" customWidth="1"/>
    <col min="6413" max="6417" width="10.875" style="73" customWidth="1"/>
    <col min="6418" max="6418" width="11" style="73" customWidth="1"/>
    <col min="6419" max="6420" width="7.875" style="73" customWidth="1"/>
    <col min="6421" max="6656" width="7.625" style="73"/>
    <col min="6657" max="6657" width="12.5" style="73" customWidth="1"/>
    <col min="6658" max="6658" width="23.25" style="73" customWidth="1"/>
    <col min="6659" max="6659" width="13.125" style="73" customWidth="1"/>
    <col min="6660" max="6660" width="12" style="73" customWidth="1"/>
    <col min="6661" max="6662" width="14.25" style="73" customWidth="1"/>
    <col min="6663" max="6663" width="13.75" style="73" customWidth="1"/>
    <col min="6664" max="6664" width="12" style="73" customWidth="1"/>
    <col min="6665" max="6667" width="11.75" style="73" customWidth="1"/>
    <col min="6668" max="6668" width="13.625" style="73" customWidth="1"/>
    <col min="6669" max="6673" width="10.875" style="73" customWidth="1"/>
    <col min="6674" max="6674" width="11" style="73" customWidth="1"/>
    <col min="6675" max="6676" width="7.875" style="73" customWidth="1"/>
    <col min="6677" max="6912" width="7.625" style="73"/>
    <col min="6913" max="6913" width="12.5" style="73" customWidth="1"/>
    <col min="6914" max="6914" width="23.25" style="73" customWidth="1"/>
    <col min="6915" max="6915" width="13.125" style="73" customWidth="1"/>
    <col min="6916" max="6916" width="12" style="73" customWidth="1"/>
    <col min="6917" max="6918" width="14.25" style="73" customWidth="1"/>
    <col min="6919" max="6919" width="13.75" style="73" customWidth="1"/>
    <col min="6920" max="6920" width="12" style="73" customWidth="1"/>
    <col min="6921" max="6923" width="11.75" style="73" customWidth="1"/>
    <col min="6924" max="6924" width="13.625" style="73" customWidth="1"/>
    <col min="6925" max="6929" width="10.875" style="73" customWidth="1"/>
    <col min="6930" max="6930" width="11" style="73" customWidth="1"/>
    <col min="6931" max="6932" width="7.875" style="73" customWidth="1"/>
    <col min="6933" max="7168" width="7.625" style="73"/>
    <col min="7169" max="7169" width="12.5" style="73" customWidth="1"/>
    <col min="7170" max="7170" width="23.25" style="73" customWidth="1"/>
    <col min="7171" max="7171" width="13.125" style="73" customWidth="1"/>
    <col min="7172" max="7172" width="12" style="73" customWidth="1"/>
    <col min="7173" max="7174" width="14.25" style="73" customWidth="1"/>
    <col min="7175" max="7175" width="13.75" style="73" customWidth="1"/>
    <col min="7176" max="7176" width="12" style="73" customWidth="1"/>
    <col min="7177" max="7179" width="11.75" style="73" customWidth="1"/>
    <col min="7180" max="7180" width="13.625" style="73" customWidth="1"/>
    <col min="7181" max="7185" width="10.875" style="73" customWidth="1"/>
    <col min="7186" max="7186" width="11" style="73" customWidth="1"/>
    <col min="7187" max="7188" width="7.875" style="73" customWidth="1"/>
    <col min="7189" max="7424" width="7.625" style="73"/>
    <col min="7425" max="7425" width="12.5" style="73" customWidth="1"/>
    <col min="7426" max="7426" width="23.25" style="73" customWidth="1"/>
    <col min="7427" max="7427" width="13.125" style="73" customWidth="1"/>
    <col min="7428" max="7428" width="12" style="73" customWidth="1"/>
    <col min="7429" max="7430" width="14.25" style="73" customWidth="1"/>
    <col min="7431" max="7431" width="13.75" style="73" customWidth="1"/>
    <col min="7432" max="7432" width="12" style="73" customWidth="1"/>
    <col min="7433" max="7435" width="11.75" style="73" customWidth="1"/>
    <col min="7436" max="7436" width="13.625" style="73" customWidth="1"/>
    <col min="7437" max="7441" width="10.875" style="73" customWidth="1"/>
    <col min="7442" max="7442" width="11" style="73" customWidth="1"/>
    <col min="7443" max="7444" width="7.875" style="73" customWidth="1"/>
    <col min="7445" max="7680" width="7.625" style="73"/>
    <col min="7681" max="7681" width="12.5" style="73" customWidth="1"/>
    <col min="7682" max="7682" width="23.25" style="73" customWidth="1"/>
    <col min="7683" max="7683" width="13.125" style="73" customWidth="1"/>
    <col min="7684" max="7684" width="12" style="73" customWidth="1"/>
    <col min="7685" max="7686" width="14.25" style="73" customWidth="1"/>
    <col min="7687" max="7687" width="13.75" style="73" customWidth="1"/>
    <col min="7688" max="7688" width="12" style="73" customWidth="1"/>
    <col min="7689" max="7691" width="11.75" style="73" customWidth="1"/>
    <col min="7692" max="7692" width="13.625" style="73" customWidth="1"/>
    <col min="7693" max="7697" width="10.875" style="73" customWidth="1"/>
    <col min="7698" max="7698" width="11" style="73" customWidth="1"/>
    <col min="7699" max="7700" width="7.875" style="73" customWidth="1"/>
    <col min="7701" max="7936" width="7.625" style="73"/>
    <col min="7937" max="7937" width="12.5" style="73" customWidth="1"/>
    <col min="7938" max="7938" width="23.25" style="73" customWidth="1"/>
    <col min="7939" max="7939" width="13.125" style="73" customWidth="1"/>
    <col min="7940" max="7940" width="12" style="73" customWidth="1"/>
    <col min="7941" max="7942" width="14.25" style="73" customWidth="1"/>
    <col min="7943" max="7943" width="13.75" style="73" customWidth="1"/>
    <col min="7944" max="7944" width="12" style="73" customWidth="1"/>
    <col min="7945" max="7947" width="11.75" style="73" customWidth="1"/>
    <col min="7948" max="7948" width="13.625" style="73" customWidth="1"/>
    <col min="7949" max="7953" width="10.875" style="73" customWidth="1"/>
    <col min="7954" max="7954" width="11" style="73" customWidth="1"/>
    <col min="7955" max="7956" width="7.875" style="73" customWidth="1"/>
    <col min="7957" max="8192" width="7.625" style="73"/>
    <col min="8193" max="8193" width="12.5" style="73" customWidth="1"/>
    <col min="8194" max="8194" width="23.25" style="73" customWidth="1"/>
    <col min="8195" max="8195" width="13.125" style="73" customWidth="1"/>
    <col min="8196" max="8196" width="12" style="73" customWidth="1"/>
    <col min="8197" max="8198" width="14.25" style="73" customWidth="1"/>
    <col min="8199" max="8199" width="13.75" style="73" customWidth="1"/>
    <col min="8200" max="8200" width="12" style="73" customWidth="1"/>
    <col min="8201" max="8203" width="11.75" style="73" customWidth="1"/>
    <col min="8204" max="8204" width="13.625" style="73" customWidth="1"/>
    <col min="8205" max="8209" width="10.875" style="73" customWidth="1"/>
    <col min="8210" max="8210" width="11" style="73" customWidth="1"/>
    <col min="8211" max="8212" width="7.875" style="73" customWidth="1"/>
    <col min="8213" max="8448" width="7.625" style="73"/>
    <col min="8449" max="8449" width="12.5" style="73" customWidth="1"/>
    <col min="8450" max="8450" width="23.25" style="73" customWidth="1"/>
    <col min="8451" max="8451" width="13.125" style="73" customWidth="1"/>
    <col min="8452" max="8452" width="12" style="73" customWidth="1"/>
    <col min="8453" max="8454" width="14.25" style="73" customWidth="1"/>
    <col min="8455" max="8455" width="13.75" style="73" customWidth="1"/>
    <col min="8456" max="8456" width="12" style="73" customWidth="1"/>
    <col min="8457" max="8459" width="11.75" style="73" customWidth="1"/>
    <col min="8460" max="8460" width="13.625" style="73" customWidth="1"/>
    <col min="8461" max="8465" width="10.875" style="73" customWidth="1"/>
    <col min="8466" max="8466" width="11" style="73" customWidth="1"/>
    <col min="8467" max="8468" width="7.875" style="73" customWidth="1"/>
    <col min="8469" max="8704" width="7.625" style="73"/>
    <col min="8705" max="8705" width="12.5" style="73" customWidth="1"/>
    <col min="8706" max="8706" width="23.25" style="73" customWidth="1"/>
    <col min="8707" max="8707" width="13.125" style="73" customWidth="1"/>
    <col min="8708" max="8708" width="12" style="73" customWidth="1"/>
    <col min="8709" max="8710" width="14.25" style="73" customWidth="1"/>
    <col min="8711" max="8711" width="13.75" style="73" customWidth="1"/>
    <col min="8712" max="8712" width="12" style="73" customWidth="1"/>
    <col min="8713" max="8715" width="11.75" style="73" customWidth="1"/>
    <col min="8716" max="8716" width="13.625" style="73" customWidth="1"/>
    <col min="8717" max="8721" width="10.875" style="73" customWidth="1"/>
    <col min="8722" max="8722" width="11" style="73" customWidth="1"/>
    <col min="8723" max="8724" width="7.875" style="73" customWidth="1"/>
    <col min="8725" max="8960" width="7.625" style="73"/>
    <col min="8961" max="8961" width="12.5" style="73" customWidth="1"/>
    <col min="8962" max="8962" width="23.25" style="73" customWidth="1"/>
    <col min="8963" max="8963" width="13.125" style="73" customWidth="1"/>
    <col min="8964" max="8964" width="12" style="73" customWidth="1"/>
    <col min="8965" max="8966" width="14.25" style="73" customWidth="1"/>
    <col min="8967" max="8967" width="13.75" style="73" customWidth="1"/>
    <col min="8968" max="8968" width="12" style="73" customWidth="1"/>
    <col min="8969" max="8971" width="11.75" style="73" customWidth="1"/>
    <col min="8972" max="8972" width="13.625" style="73" customWidth="1"/>
    <col min="8973" max="8977" width="10.875" style="73" customWidth="1"/>
    <col min="8978" max="8978" width="11" style="73" customWidth="1"/>
    <col min="8979" max="8980" width="7.875" style="73" customWidth="1"/>
    <col min="8981" max="9216" width="7.625" style="73"/>
    <col min="9217" max="9217" width="12.5" style="73" customWidth="1"/>
    <col min="9218" max="9218" width="23.25" style="73" customWidth="1"/>
    <col min="9219" max="9219" width="13.125" style="73" customWidth="1"/>
    <col min="9220" max="9220" width="12" style="73" customWidth="1"/>
    <col min="9221" max="9222" width="14.25" style="73" customWidth="1"/>
    <col min="9223" max="9223" width="13.75" style="73" customWidth="1"/>
    <col min="9224" max="9224" width="12" style="73" customWidth="1"/>
    <col min="9225" max="9227" width="11.75" style="73" customWidth="1"/>
    <col min="9228" max="9228" width="13.625" style="73" customWidth="1"/>
    <col min="9229" max="9233" width="10.875" style="73" customWidth="1"/>
    <col min="9234" max="9234" width="11" style="73" customWidth="1"/>
    <col min="9235" max="9236" width="7.875" style="73" customWidth="1"/>
    <col min="9237" max="9472" width="7.625" style="73"/>
    <col min="9473" max="9473" width="12.5" style="73" customWidth="1"/>
    <col min="9474" max="9474" width="23.25" style="73" customWidth="1"/>
    <col min="9475" max="9475" width="13.125" style="73" customWidth="1"/>
    <col min="9476" max="9476" width="12" style="73" customWidth="1"/>
    <col min="9477" max="9478" width="14.25" style="73" customWidth="1"/>
    <col min="9479" max="9479" width="13.75" style="73" customWidth="1"/>
    <col min="9480" max="9480" width="12" style="73" customWidth="1"/>
    <col min="9481" max="9483" width="11.75" style="73" customWidth="1"/>
    <col min="9484" max="9484" width="13.625" style="73" customWidth="1"/>
    <col min="9485" max="9489" width="10.875" style="73" customWidth="1"/>
    <col min="9490" max="9490" width="11" style="73" customWidth="1"/>
    <col min="9491" max="9492" width="7.875" style="73" customWidth="1"/>
    <col min="9493" max="9728" width="7.625" style="73"/>
    <col min="9729" max="9729" width="12.5" style="73" customWidth="1"/>
    <col min="9730" max="9730" width="23.25" style="73" customWidth="1"/>
    <col min="9731" max="9731" width="13.125" style="73" customWidth="1"/>
    <col min="9732" max="9732" width="12" style="73" customWidth="1"/>
    <col min="9733" max="9734" width="14.25" style="73" customWidth="1"/>
    <col min="9735" max="9735" width="13.75" style="73" customWidth="1"/>
    <col min="9736" max="9736" width="12" style="73" customWidth="1"/>
    <col min="9737" max="9739" width="11.75" style="73" customWidth="1"/>
    <col min="9740" max="9740" width="13.625" style="73" customWidth="1"/>
    <col min="9741" max="9745" width="10.875" style="73" customWidth="1"/>
    <col min="9746" max="9746" width="11" style="73" customWidth="1"/>
    <col min="9747" max="9748" width="7.875" style="73" customWidth="1"/>
    <col min="9749" max="9984" width="7.625" style="73"/>
    <col min="9985" max="9985" width="12.5" style="73" customWidth="1"/>
    <col min="9986" max="9986" width="23.25" style="73" customWidth="1"/>
    <col min="9987" max="9987" width="13.125" style="73" customWidth="1"/>
    <col min="9988" max="9988" width="12" style="73" customWidth="1"/>
    <col min="9989" max="9990" width="14.25" style="73" customWidth="1"/>
    <col min="9991" max="9991" width="13.75" style="73" customWidth="1"/>
    <col min="9992" max="9992" width="12" style="73" customWidth="1"/>
    <col min="9993" max="9995" width="11.75" style="73" customWidth="1"/>
    <col min="9996" max="9996" width="13.625" style="73" customWidth="1"/>
    <col min="9997" max="10001" width="10.875" style="73" customWidth="1"/>
    <col min="10002" max="10002" width="11" style="73" customWidth="1"/>
    <col min="10003" max="10004" width="7.875" style="73" customWidth="1"/>
    <col min="10005" max="10240" width="7.625" style="73"/>
    <col min="10241" max="10241" width="12.5" style="73" customWidth="1"/>
    <col min="10242" max="10242" width="23.25" style="73" customWidth="1"/>
    <col min="10243" max="10243" width="13.125" style="73" customWidth="1"/>
    <col min="10244" max="10244" width="12" style="73" customWidth="1"/>
    <col min="10245" max="10246" width="14.25" style="73" customWidth="1"/>
    <col min="10247" max="10247" width="13.75" style="73" customWidth="1"/>
    <col min="10248" max="10248" width="12" style="73" customWidth="1"/>
    <col min="10249" max="10251" width="11.75" style="73" customWidth="1"/>
    <col min="10252" max="10252" width="13.625" style="73" customWidth="1"/>
    <col min="10253" max="10257" width="10.875" style="73" customWidth="1"/>
    <col min="10258" max="10258" width="11" style="73" customWidth="1"/>
    <col min="10259" max="10260" width="7.875" style="73" customWidth="1"/>
    <col min="10261" max="10496" width="7.625" style="73"/>
    <col min="10497" max="10497" width="12.5" style="73" customWidth="1"/>
    <col min="10498" max="10498" width="23.25" style="73" customWidth="1"/>
    <col min="10499" max="10499" width="13.125" style="73" customWidth="1"/>
    <col min="10500" max="10500" width="12" style="73" customWidth="1"/>
    <col min="10501" max="10502" width="14.25" style="73" customWidth="1"/>
    <col min="10503" max="10503" width="13.75" style="73" customWidth="1"/>
    <col min="10504" max="10504" width="12" style="73" customWidth="1"/>
    <col min="10505" max="10507" width="11.75" style="73" customWidth="1"/>
    <col min="10508" max="10508" width="13.625" style="73" customWidth="1"/>
    <col min="10509" max="10513" width="10.875" style="73" customWidth="1"/>
    <col min="10514" max="10514" width="11" style="73" customWidth="1"/>
    <col min="10515" max="10516" width="7.875" style="73" customWidth="1"/>
    <col min="10517" max="10752" width="7.625" style="73"/>
    <col min="10753" max="10753" width="12.5" style="73" customWidth="1"/>
    <col min="10754" max="10754" width="23.25" style="73" customWidth="1"/>
    <col min="10755" max="10755" width="13.125" style="73" customWidth="1"/>
    <col min="10756" max="10756" width="12" style="73" customWidth="1"/>
    <col min="10757" max="10758" width="14.25" style="73" customWidth="1"/>
    <col min="10759" max="10759" width="13.75" style="73" customWidth="1"/>
    <col min="10760" max="10760" width="12" style="73" customWidth="1"/>
    <col min="10761" max="10763" width="11.75" style="73" customWidth="1"/>
    <col min="10764" max="10764" width="13.625" style="73" customWidth="1"/>
    <col min="10765" max="10769" width="10.875" style="73" customWidth="1"/>
    <col min="10770" max="10770" width="11" style="73" customWidth="1"/>
    <col min="10771" max="10772" width="7.875" style="73" customWidth="1"/>
    <col min="10773" max="11008" width="7.625" style="73"/>
    <col min="11009" max="11009" width="12.5" style="73" customWidth="1"/>
    <col min="11010" max="11010" width="23.25" style="73" customWidth="1"/>
    <col min="11011" max="11011" width="13.125" style="73" customWidth="1"/>
    <col min="11012" max="11012" width="12" style="73" customWidth="1"/>
    <col min="11013" max="11014" width="14.25" style="73" customWidth="1"/>
    <col min="11015" max="11015" width="13.75" style="73" customWidth="1"/>
    <col min="11016" max="11016" width="12" style="73" customWidth="1"/>
    <col min="11017" max="11019" width="11.75" style="73" customWidth="1"/>
    <col min="11020" max="11020" width="13.625" style="73" customWidth="1"/>
    <col min="11021" max="11025" width="10.875" style="73" customWidth="1"/>
    <col min="11026" max="11026" width="11" style="73" customWidth="1"/>
    <col min="11027" max="11028" width="7.875" style="73" customWidth="1"/>
    <col min="11029" max="11264" width="7.625" style="73"/>
    <col min="11265" max="11265" width="12.5" style="73" customWidth="1"/>
    <col min="11266" max="11266" width="23.25" style="73" customWidth="1"/>
    <col min="11267" max="11267" width="13.125" style="73" customWidth="1"/>
    <col min="11268" max="11268" width="12" style="73" customWidth="1"/>
    <col min="11269" max="11270" width="14.25" style="73" customWidth="1"/>
    <col min="11271" max="11271" width="13.75" style="73" customWidth="1"/>
    <col min="11272" max="11272" width="12" style="73" customWidth="1"/>
    <col min="11273" max="11275" width="11.75" style="73" customWidth="1"/>
    <col min="11276" max="11276" width="13.625" style="73" customWidth="1"/>
    <col min="11277" max="11281" width="10.875" style="73" customWidth="1"/>
    <col min="11282" max="11282" width="11" style="73" customWidth="1"/>
    <col min="11283" max="11284" width="7.875" style="73" customWidth="1"/>
    <col min="11285" max="11520" width="7.625" style="73"/>
    <col min="11521" max="11521" width="12.5" style="73" customWidth="1"/>
    <col min="11522" max="11522" width="23.25" style="73" customWidth="1"/>
    <col min="11523" max="11523" width="13.125" style="73" customWidth="1"/>
    <col min="11524" max="11524" width="12" style="73" customWidth="1"/>
    <col min="11525" max="11526" width="14.25" style="73" customWidth="1"/>
    <col min="11527" max="11527" width="13.75" style="73" customWidth="1"/>
    <col min="11528" max="11528" width="12" style="73" customWidth="1"/>
    <col min="11529" max="11531" width="11.75" style="73" customWidth="1"/>
    <col min="11532" max="11532" width="13.625" style="73" customWidth="1"/>
    <col min="11533" max="11537" width="10.875" style="73" customWidth="1"/>
    <col min="11538" max="11538" width="11" style="73" customWidth="1"/>
    <col min="11539" max="11540" width="7.875" style="73" customWidth="1"/>
    <col min="11541" max="11776" width="7.625" style="73"/>
    <col min="11777" max="11777" width="12.5" style="73" customWidth="1"/>
    <col min="11778" max="11778" width="23.25" style="73" customWidth="1"/>
    <col min="11779" max="11779" width="13.125" style="73" customWidth="1"/>
    <col min="11780" max="11780" width="12" style="73" customWidth="1"/>
    <col min="11781" max="11782" width="14.25" style="73" customWidth="1"/>
    <col min="11783" max="11783" width="13.75" style="73" customWidth="1"/>
    <col min="11784" max="11784" width="12" style="73" customWidth="1"/>
    <col min="11785" max="11787" width="11.75" style="73" customWidth="1"/>
    <col min="11788" max="11788" width="13.625" style="73" customWidth="1"/>
    <col min="11789" max="11793" width="10.875" style="73" customWidth="1"/>
    <col min="11794" max="11794" width="11" style="73" customWidth="1"/>
    <col min="11795" max="11796" width="7.875" style="73" customWidth="1"/>
    <col min="11797" max="12032" width="7.625" style="73"/>
    <col min="12033" max="12033" width="12.5" style="73" customWidth="1"/>
    <col min="12034" max="12034" width="23.25" style="73" customWidth="1"/>
    <col min="12035" max="12035" width="13.125" style="73" customWidth="1"/>
    <col min="12036" max="12036" width="12" style="73" customWidth="1"/>
    <col min="12037" max="12038" width="14.25" style="73" customWidth="1"/>
    <col min="12039" max="12039" width="13.75" style="73" customWidth="1"/>
    <col min="12040" max="12040" width="12" style="73" customWidth="1"/>
    <col min="12041" max="12043" width="11.75" style="73" customWidth="1"/>
    <col min="12044" max="12044" width="13.625" style="73" customWidth="1"/>
    <col min="12045" max="12049" width="10.875" style="73" customWidth="1"/>
    <col min="12050" max="12050" width="11" style="73" customWidth="1"/>
    <col min="12051" max="12052" width="7.875" style="73" customWidth="1"/>
    <col min="12053" max="12288" width="7.625" style="73"/>
    <col min="12289" max="12289" width="12.5" style="73" customWidth="1"/>
    <col min="12290" max="12290" width="23.25" style="73" customWidth="1"/>
    <col min="12291" max="12291" width="13.125" style="73" customWidth="1"/>
    <col min="12292" max="12292" width="12" style="73" customWidth="1"/>
    <col min="12293" max="12294" width="14.25" style="73" customWidth="1"/>
    <col min="12295" max="12295" width="13.75" style="73" customWidth="1"/>
    <col min="12296" max="12296" width="12" style="73" customWidth="1"/>
    <col min="12297" max="12299" width="11.75" style="73" customWidth="1"/>
    <col min="12300" max="12300" width="13.625" style="73" customWidth="1"/>
    <col min="12301" max="12305" width="10.875" style="73" customWidth="1"/>
    <col min="12306" max="12306" width="11" style="73" customWidth="1"/>
    <col min="12307" max="12308" width="7.875" style="73" customWidth="1"/>
    <col min="12309" max="12544" width="7.625" style="73"/>
    <col min="12545" max="12545" width="12.5" style="73" customWidth="1"/>
    <col min="12546" max="12546" width="23.25" style="73" customWidth="1"/>
    <col min="12547" max="12547" width="13.125" style="73" customWidth="1"/>
    <col min="12548" max="12548" width="12" style="73" customWidth="1"/>
    <col min="12549" max="12550" width="14.25" style="73" customWidth="1"/>
    <col min="12551" max="12551" width="13.75" style="73" customWidth="1"/>
    <col min="12552" max="12552" width="12" style="73" customWidth="1"/>
    <col min="12553" max="12555" width="11.75" style="73" customWidth="1"/>
    <col min="12556" max="12556" width="13.625" style="73" customWidth="1"/>
    <col min="12557" max="12561" width="10.875" style="73" customWidth="1"/>
    <col min="12562" max="12562" width="11" style="73" customWidth="1"/>
    <col min="12563" max="12564" width="7.875" style="73" customWidth="1"/>
    <col min="12565" max="12800" width="7.625" style="73"/>
    <col min="12801" max="12801" width="12.5" style="73" customWidth="1"/>
    <col min="12802" max="12802" width="23.25" style="73" customWidth="1"/>
    <col min="12803" max="12803" width="13.125" style="73" customWidth="1"/>
    <col min="12804" max="12804" width="12" style="73" customWidth="1"/>
    <col min="12805" max="12806" width="14.25" style="73" customWidth="1"/>
    <col min="12807" max="12807" width="13.75" style="73" customWidth="1"/>
    <col min="12808" max="12808" width="12" style="73" customWidth="1"/>
    <col min="12809" max="12811" width="11.75" style="73" customWidth="1"/>
    <col min="12812" max="12812" width="13.625" style="73" customWidth="1"/>
    <col min="12813" max="12817" width="10.875" style="73" customWidth="1"/>
    <col min="12818" max="12818" width="11" style="73" customWidth="1"/>
    <col min="12819" max="12820" width="7.875" style="73" customWidth="1"/>
    <col min="12821" max="13056" width="7.625" style="73"/>
    <col min="13057" max="13057" width="12.5" style="73" customWidth="1"/>
    <col min="13058" max="13058" width="23.25" style="73" customWidth="1"/>
    <col min="13059" max="13059" width="13.125" style="73" customWidth="1"/>
    <col min="13060" max="13060" width="12" style="73" customWidth="1"/>
    <col min="13061" max="13062" width="14.25" style="73" customWidth="1"/>
    <col min="13063" max="13063" width="13.75" style="73" customWidth="1"/>
    <col min="13064" max="13064" width="12" style="73" customWidth="1"/>
    <col min="13065" max="13067" width="11.75" style="73" customWidth="1"/>
    <col min="13068" max="13068" width="13.625" style="73" customWidth="1"/>
    <col min="13069" max="13073" width="10.875" style="73" customWidth="1"/>
    <col min="13074" max="13074" width="11" style="73" customWidth="1"/>
    <col min="13075" max="13076" width="7.875" style="73" customWidth="1"/>
    <col min="13077" max="13312" width="7.625" style="73"/>
    <col min="13313" max="13313" width="12.5" style="73" customWidth="1"/>
    <col min="13314" max="13314" width="23.25" style="73" customWidth="1"/>
    <col min="13315" max="13315" width="13.125" style="73" customWidth="1"/>
    <col min="13316" max="13316" width="12" style="73" customWidth="1"/>
    <col min="13317" max="13318" width="14.25" style="73" customWidth="1"/>
    <col min="13319" max="13319" width="13.75" style="73" customWidth="1"/>
    <col min="13320" max="13320" width="12" style="73" customWidth="1"/>
    <col min="13321" max="13323" width="11.75" style="73" customWidth="1"/>
    <col min="13324" max="13324" width="13.625" style="73" customWidth="1"/>
    <col min="13325" max="13329" width="10.875" style="73" customWidth="1"/>
    <col min="13330" max="13330" width="11" style="73" customWidth="1"/>
    <col min="13331" max="13332" width="7.875" style="73" customWidth="1"/>
    <col min="13333" max="13568" width="7.625" style="73"/>
    <col min="13569" max="13569" width="12.5" style="73" customWidth="1"/>
    <col min="13570" max="13570" width="23.25" style="73" customWidth="1"/>
    <col min="13571" max="13571" width="13.125" style="73" customWidth="1"/>
    <col min="13572" max="13572" width="12" style="73" customWidth="1"/>
    <col min="13573" max="13574" width="14.25" style="73" customWidth="1"/>
    <col min="13575" max="13575" width="13.75" style="73" customWidth="1"/>
    <col min="13576" max="13576" width="12" style="73" customWidth="1"/>
    <col min="13577" max="13579" width="11.75" style="73" customWidth="1"/>
    <col min="13580" max="13580" width="13.625" style="73" customWidth="1"/>
    <col min="13581" max="13585" width="10.875" style="73" customWidth="1"/>
    <col min="13586" max="13586" width="11" style="73" customWidth="1"/>
    <col min="13587" max="13588" width="7.875" style="73" customWidth="1"/>
    <col min="13589" max="13824" width="7.625" style="73"/>
    <col min="13825" max="13825" width="12.5" style="73" customWidth="1"/>
    <col min="13826" max="13826" width="23.25" style="73" customWidth="1"/>
    <col min="13827" max="13827" width="13.125" style="73" customWidth="1"/>
    <col min="13828" max="13828" width="12" style="73" customWidth="1"/>
    <col min="13829" max="13830" width="14.25" style="73" customWidth="1"/>
    <col min="13831" max="13831" width="13.75" style="73" customWidth="1"/>
    <col min="13832" max="13832" width="12" style="73" customWidth="1"/>
    <col min="13833" max="13835" width="11.75" style="73" customWidth="1"/>
    <col min="13836" max="13836" width="13.625" style="73" customWidth="1"/>
    <col min="13837" max="13841" width="10.875" style="73" customWidth="1"/>
    <col min="13842" max="13842" width="11" style="73" customWidth="1"/>
    <col min="13843" max="13844" width="7.875" style="73" customWidth="1"/>
    <col min="13845" max="14080" width="7.625" style="73"/>
    <col min="14081" max="14081" width="12.5" style="73" customWidth="1"/>
    <col min="14082" max="14082" width="23.25" style="73" customWidth="1"/>
    <col min="14083" max="14083" width="13.125" style="73" customWidth="1"/>
    <col min="14084" max="14084" width="12" style="73" customWidth="1"/>
    <col min="14085" max="14086" width="14.25" style="73" customWidth="1"/>
    <col min="14087" max="14087" width="13.75" style="73" customWidth="1"/>
    <col min="14088" max="14088" width="12" style="73" customWidth="1"/>
    <col min="14089" max="14091" width="11.75" style="73" customWidth="1"/>
    <col min="14092" max="14092" width="13.625" style="73" customWidth="1"/>
    <col min="14093" max="14097" width="10.875" style="73" customWidth="1"/>
    <col min="14098" max="14098" width="11" style="73" customWidth="1"/>
    <col min="14099" max="14100" width="7.875" style="73" customWidth="1"/>
    <col min="14101" max="14336" width="7.625" style="73"/>
    <col min="14337" max="14337" width="12.5" style="73" customWidth="1"/>
    <col min="14338" max="14338" width="23.25" style="73" customWidth="1"/>
    <col min="14339" max="14339" width="13.125" style="73" customWidth="1"/>
    <col min="14340" max="14340" width="12" style="73" customWidth="1"/>
    <col min="14341" max="14342" width="14.25" style="73" customWidth="1"/>
    <col min="14343" max="14343" width="13.75" style="73" customWidth="1"/>
    <col min="14344" max="14344" width="12" style="73" customWidth="1"/>
    <col min="14345" max="14347" width="11.75" style="73" customWidth="1"/>
    <col min="14348" max="14348" width="13.625" style="73" customWidth="1"/>
    <col min="14349" max="14353" width="10.875" style="73" customWidth="1"/>
    <col min="14354" max="14354" width="11" style="73" customWidth="1"/>
    <col min="14355" max="14356" width="7.875" style="73" customWidth="1"/>
    <col min="14357" max="14592" width="7.625" style="73"/>
    <col min="14593" max="14593" width="12.5" style="73" customWidth="1"/>
    <col min="14594" max="14594" width="23.25" style="73" customWidth="1"/>
    <col min="14595" max="14595" width="13.125" style="73" customWidth="1"/>
    <col min="14596" max="14596" width="12" style="73" customWidth="1"/>
    <col min="14597" max="14598" width="14.25" style="73" customWidth="1"/>
    <col min="14599" max="14599" width="13.75" style="73" customWidth="1"/>
    <col min="14600" max="14600" width="12" style="73" customWidth="1"/>
    <col min="14601" max="14603" width="11.75" style="73" customWidth="1"/>
    <col min="14604" max="14604" width="13.625" style="73" customWidth="1"/>
    <col min="14605" max="14609" width="10.875" style="73" customWidth="1"/>
    <col min="14610" max="14610" width="11" style="73" customWidth="1"/>
    <col min="14611" max="14612" width="7.875" style="73" customWidth="1"/>
    <col min="14613" max="14848" width="7.625" style="73"/>
    <col min="14849" max="14849" width="12.5" style="73" customWidth="1"/>
    <col min="14850" max="14850" width="23.25" style="73" customWidth="1"/>
    <col min="14851" max="14851" width="13.125" style="73" customWidth="1"/>
    <col min="14852" max="14852" width="12" style="73" customWidth="1"/>
    <col min="14853" max="14854" width="14.25" style="73" customWidth="1"/>
    <col min="14855" max="14855" width="13.75" style="73" customWidth="1"/>
    <col min="14856" max="14856" width="12" style="73" customWidth="1"/>
    <col min="14857" max="14859" width="11.75" style="73" customWidth="1"/>
    <col min="14860" max="14860" width="13.625" style="73" customWidth="1"/>
    <col min="14861" max="14865" width="10.875" style="73" customWidth="1"/>
    <col min="14866" max="14866" width="11" style="73" customWidth="1"/>
    <col min="14867" max="14868" width="7.875" style="73" customWidth="1"/>
    <col min="14869" max="15104" width="7.625" style="73"/>
    <col min="15105" max="15105" width="12.5" style="73" customWidth="1"/>
    <col min="15106" max="15106" width="23.25" style="73" customWidth="1"/>
    <col min="15107" max="15107" width="13.125" style="73" customWidth="1"/>
    <col min="15108" max="15108" width="12" style="73" customWidth="1"/>
    <col min="15109" max="15110" width="14.25" style="73" customWidth="1"/>
    <col min="15111" max="15111" width="13.75" style="73" customWidth="1"/>
    <col min="15112" max="15112" width="12" style="73" customWidth="1"/>
    <col min="15113" max="15115" width="11.75" style="73" customWidth="1"/>
    <col min="15116" max="15116" width="13.625" style="73" customWidth="1"/>
    <col min="15117" max="15121" width="10.875" style="73" customWidth="1"/>
    <col min="15122" max="15122" width="11" style="73" customWidth="1"/>
    <col min="15123" max="15124" width="7.875" style="73" customWidth="1"/>
    <col min="15125" max="15360" width="7.625" style="73"/>
    <col min="15361" max="15361" width="12.5" style="73" customWidth="1"/>
    <col min="15362" max="15362" width="23.25" style="73" customWidth="1"/>
    <col min="15363" max="15363" width="13.125" style="73" customWidth="1"/>
    <col min="15364" max="15364" width="12" style="73" customWidth="1"/>
    <col min="15365" max="15366" width="14.25" style="73" customWidth="1"/>
    <col min="15367" max="15367" width="13.75" style="73" customWidth="1"/>
    <col min="15368" max="15368" width="12" style="73" customWidth="1"/>
    <col min="15369" max="15371" width="11.75" style="73" customWidth="1"/>
    <col min="15372" max="15372" width="13.625" style="73" customWidth="1"/>
    <col min="15373" max="15377" width="10.875" style="73" customWidth="1"/>
    <col min="15378" max="15378" width="11" style="73" customWidth="1"/>
    <col min="15379" max="15380" width="7.875" style="73" customWidth="1"/>
    <col min="15381" max="15616" width="7.625" style="73"/>
    <col min="15617" max="15617" width="12.5" style="73" customWidth="1"/>
    <col min="15618" max="15618" width="23.25" style="73" customWidth="1"/>
    <col min="15619" max="15619" width="13.125" style="73" customWidth="1"/>
    <col min="15620" max="15620" width="12" style="73" customWidth="1"/>
    <col min="15621" max="15622" width="14.25" style="73" customWidth="1"/>
    <col min="15623" max="15623" width="13.75" style="73" customWidth="1"/>
    <col min="15624" max="15624" width="12" style="73" customWidth="1"/>
    <col min="15625" max="15627" width="11.75" style="73" customWidth="1"/>
    <col min="15628" max="15628" width="13.625" style="73" customWidth="1"/>
    <col min="15629" max="15633" width="10.875" style="73" customWidth="1"/>
    <col min="15634" max="15634" width="11" style="73" customWidth="1"/>
    <col min="15635" max="15636" width="7.875" style="73" customWidth="1"/>
    <col min="15637" max="15872" width="7.625" style="73"/>
    <col min="15873" max="15873" width="12.5" style="73" customWidth="1"/>
    <col min="15874" max="15874" width="23.25" style="73" customWidth="1"/>
    <col min="15875" max="15875" width="13.125" style="73" customWidth="1"/>
    <col min="15876" max="15876" width="12" style="73" customWidth="1"/>
    <col min="15877" max="15878" width="14.25" style="73" customWidth="1"/>
    <col min="15879" max="15879" width="13.75" style="73" customWidth="1"/>
    <col min="15880" max="15880" width="12" style="73" customWidth="1"/>
    <col min="15881" max="15883" width="11.75" style="73" customWidth="1"/>
    <col min="15884" max="15884" width="13.625" style="73" customWidth="1"/>
    <col min="15885" max="15889" width="10.875" style="73" customWidth="1"/>
    <col min="15890" max="15890" width="11" style="73" customWidth="1"/>
    <col min="15891" max="15892" width="7.875" style="73" customWidth="1"/>
    <col min="15893" max="16128" width="7.625" style="73"/>
    <col min="16129" max="16129" width="12.5" style="73" customWidth="1"/>
    <col min="16130" max="16130" width="23.25" style="73" customWidth="1"/>
    <col min="16131" max="16131" width="13.125" style="73" customWidth="1"/>
    <col min="16132" max="16132" width="12" style="73" customWidth="1"/>
    <col min="16133" max="16134" width="14.25" style="73" customWidth="1"/>
    <col min="16135" max="16135" width="13.75" style="73" customWidth="1"/>
    <col min="16136" max="16136" width="12" style="73" customWidth="1"/>
    <col min="16137" max="16139" width="11.75" style="73" customWidth="1"/>
    <col min="16140" max="16140" width="13.625" style="73" customWidth="1"/>
    <col min="16141" max="16145" width="10.875" style="73" customWidth="1"/>
    <col min="16146" max="16146" width="11" style="73" customWidth="1"/>
    <col min="16147" max="16148" width="7.875" style="73" customWidth="1"/>
    <col min="16149" max="16384" width="7.625" style="73"/>
  </cols>
  <sheetData>
    <row r="1" spans="1:19" ht="16.5" customHeight="1">
      <c r="A1" s="70" t="s">
        <v>1950</v>
      </c>
      <c r="B1" s="71" t="s">
        <v>2017</v>
      </c>
      <c r="C1" s="71" t="s">
        <v>2018</v>
      </c>
      <c r="D1" s="71" t="s">
        <v>2019</v>
      </c>
      <c r="E1" s="71" t="s">
        <v>2020</v>
      </c>
      <c r="F1" s="71" t="s">
        <v>2021</v>
      </c>
      <c r="G1" s="71" t="s">
        <v>2022</v>
      </c>
      <c r="H1" s="71" t="s">
        <v>1951</v>
      </c>
      <c r="I1" s="71" t="s">
        <v>1063</v>
      </c>
      <c r="J1" s="71" t="s">
        <v>2023</v>
      </c>
      <c r="K1" s="71" t="s">
        <v>2024</v>
      </c>
      <c r="L1" s="71" t="s">
        <v>1065</v>
      </c>
      <c r="M1" s="71" t="s">
        <v>2025</v>
      </c>
      <c r="N1" s="71" t="s">
        <v>2026</v>
      </c>
      <c r="O1" s="71" t="s">
        <v>2027</v>
      </c>
      <c r="P1" s="71" t="s">
        <v>2028</v>
      </c>
      <c r="Q1" s="71" t="s">
        <v>2029</v>
      </c>
      <c r="R1" s="71" t="s">
        <v>2030</v>
      </c>
      <c r="S1" s="72" t="s">
        <v>2031</v>
      </c>
    </row>
    <row r="2" spans="1:19" ht="16.5" customHeight="1">
      <c r="A2" s="58" t="s">
        <v>1990</v>
      </c>
      <c r="B2" s="74" t="s">
        <v>2032</v>
      </c>
      <c r="C2" s="58" t="s">
        <v>2033</v>
      </c>
      <c r="D2" s="58" t="s">
        <v>2034</v>
      </c>
      <c r="E2" s="58" t="s">
        <v>1994</v>
      </c>
      <c r="F2" s="58" t="s">
        <v>1995</v>
      </c>
      <c r="G2" s="58" t="s">
        <v>2035</v>
      </c>
      <c r="H2" s="58" t="s">
        <v>1991</v>
      </c>
      <c r="I2" s="58" t="s">
        <v>2036</v>
      </c>
      <c r="J2" s="58" t="s">
        <v>2037</v>
      </c>
      <c r="K2" s="58" t="s">
        <v>1993</v>
      </c>
      <c r="L2" s="58" t="s">
        <v>1993</v>
      </c>
      <c r="M2" s="60" t="s">
        <v>1997</v>
      </c>
      <c r="N2" s="60" t="s">
        <v>2038</v>
      </c>
      <c r="O2" s="60" t="s">
        <v>1083</v>
      </c>
      <c r="P2" s="75">
        <v>79</v>
      </c>
      <c r="Q2" s="75">
        <v>15</v>
      </c>
      <c r="R2" s="75">
        <v>15.5</v>
      </c>
      <c r="S2" s="76">
        <v>0</v>
      </c>
    </row>
    <row r="3" spans="1:19" ht="16.5" customHeight="1">
      <c r="A3" s="58" t="s">
        <v>1990</v>
      </c>
      <c r="B3" s="74" t="s">
        <v>2032</v>
      </c>
      <c r="C3" s="58" t="s">
        <v>2033</v>
      </c>
      <c r="D3" s="58" t="s">
        <v>2034</v>
      </c>
      <c r="E3" s="58" t="s">
        <v>1994</v>
      </c>
      <c r="F3" s="58" t="s">
        <v>1995</v>
      </c>
      <c r="G3" s="58" t="s">
        <v>2035</v>
      </c>
      <c r="H3" s="58" t="s">
        <v>1991</v>
      </c>
      <c r="I3" s="58" t="s">
        <v>2036</v>
      </c>
      <c r="J3" s="58" t="s">
        <v>2037</v>
      </c>
      <c r="K3" s="58" t="s">
        <v>1993</v>
      </c>
      <c r="L3" s="58" t="s">
        <v>1993</v>
      </c>
      <c r="M3" s="60" t="s">
        <v>1997</v>
      </c>
      <c r="N3" s="60" t="s">
        <v>2039</v>
      </c>
      <c r="O3" s="60" t="s">
        <v>1085</v>
      </c>
      <c r="P3" s="75">
        <v>101</v>
      </c>
      <c r="Q3" s="75">
        <v>18.8</v>
      </c>
      <c r="R3" s="75">
        <v>19.3</v>
      </c>
      <c r="S3" s="76">
        <v>0</v>
      </c>
    </row>
    <row r="4" spans="1:19" ht="16.5" customHeight="1">
      <c r="A4" s="58" t="s">
        <v>1990</v>
      </c>
      <c r="B4" s="74" t="s">
        <v>2032</v>
      </c>
      <c r="C4" s="58" t="s">
        <v>2033</v>
      </c>
      <c r="D4" s="58" t="s">
        <v>2034</v>
      </c>
      <c r="E4" s="58" t="s">
        <v>1994</v>
      </c>
      <c r="F4" s="58" t="s">
        <v>1995</v>
      </c>
      <c r="G4" s="58" t="s">
        <v>2035</v>
      </c>
      <c r="H4" s="58" t="s">
        <v>1991</v>
      </c>
      <c r="I4" s="58" t="s">
        <v>2036</v>
      </c>
      <c r="J4" s="58" t="s">
        <v>2037</v>
      </c>
      <c r="K4" s="58" t="s">
        <v>1993</v>
      </c>
      <c r="L4" s="58" t="s">
        <v>1993</v>
      </c>
      <c r="M4" s="60" t="s">
        <v>1997</v>
      </c>
      <c r="N4" s="60" t="s">
        <v>2040</v>
      </c>
      <c r="O4" s="60" t="s">
        <v>1087</v>
      </c>
      <c r="P4" s="75">
        <v>97</v>
      </c>
      <c r="Q4" s="75">
        <v>18.100000000000001</v>
      </c>
      <c r="R4" s="75">
        <v>18.600000000000001</v>
      </c>
      <c r="S4" s="76">
        <v>0</v>
      </c>
    </row>
    <row r="5" spans="1:19" ht="16.5" customHeight="1">
      <c r="A5" s="58" t="s">
        <v>1990</v>
      </c>
      <c r="B5" s="74" t="s">
        <v>2032</v>
      </c>
      <c r="C5" s="58" t="s">
        <v>2033</v>
      </c>
      <c r="D5" s="58" t="s">
        <v>2034</v>
      </c>
      <c r="E5" s="58" t="s">
        <v>1994</v>
      </c>
      <c r="F5" s="58" t="s">
        <v>1995</v>
      </c>
      <c r="G5" s="58" t="s">
        <v>2035</v>
      </c>
      <c r="H5" s="58" t="s">
        <v>1991</v>
      </c>
      <c r="I5" s="58" t="s">
        <v>2036</v>
      </c>
      <c r="J5" s="58" t="s">
        <v>2037</v>
      </c>
      <c r="K5" s="58" t="s">
        <v>1993</v>
      </c>
      <c r="L5" s="58" t="s">
        <v>1993</v>
      </c>
      <c r="M5" s="60" t="s">
        <v>1997</v>
      </c>
      <c r="N5" s="60" t="s">
        <v>2041</v>
      </c>
      <c r="O5" s="60" t="s">
        <v>1092</v>
      </c>
      <c r="P5" s="75">
        <v>52</v>
      </c>
      <c r="Q5" s="75">
        <v>9.5</v>
      </c>
      <c r="R5" s="75">
        <v>10</v>
      </c>
      <c r="S5" s="76">
        <v>0</v>
      </c>
    </row>
    <row r="6" spans="1:19" ht="16.5" customHeight="1">
      <c r="A6" s="58" t="s">
        <v>1990</v>
      </c>
      <c r="B6" s="74" t="s">
        <v>2032</v>
      </c>
      <c r="C6" s="58" t="s">
        <v>2033</v>
      </c>
      <c r="D6" s="58" t="s">
        <v>2034</v>
      </c>
      <c r="E6" s="58" t="s">
        <v>1994</v>
      </c>
      <c r="F6" s="58" t="s">
        <v>1995</v>
      </c>
      <c r="G6" s="58" t="s">
        <v>2035</v>
      </c>
      <c r="H6" s="58" t="s">
        <v>1991</v>
      </c>
      <c r="I6" s="58" t="s">
        <v>2036</v>
      </c>
      <c r="J6" s="58" t="s">
        <v>2037</v>
      </c>
      <c r="K6" s="58" t="s">
        <v>1993</v>
      </c>
      <c r="L6" s="58" t="s">
        <v>1993</v>
      </c>
      <c r="M6" s="60" t="s">
        <v>1997</v>
      </c>
      <c r="N6" s="60" t="s">
        <v>2042</v>
      </c>
      <c r="O6" s="60" t="s">
        <v>1089</v>
      </c>
      <c r="P6" s="75">
        <v>34</v>
      </c>
      <c r="Q6" s="75">
        <v>6.7</v>
      </c>
      <c r="R6" s="75">
        <v>7.2</v>
      </c>
      <c r="S6" s="76">
        <v>0</v>
      </c>
    </row>
    <row r="7" spans="1:19" ht="16.5" customHeight="1">
      <c r="A7" s="58" t="s">
        <v>1990</v>
      </c>
      <c r="B7" s="74" t="s">
        <v>2032</v>
      </c>
      <c r="C7" s="58" t="s">
        <v>2033</v>
      </c>
      <c r="D7" s="58" t="s">
        <v>2034</v>
      </c>
      <c r="E7" s="58" t="s">
        <v>1994</v>
      </c>
      <c r="F7" s="58" t="s">
        <v>1995</v>
      </c>
      <c r="G7" s="58" t="s">
        <v>2035</v>
      </c>
      <c r="H7" s="58" t="s">
        <v>1991</v>
      </c>
      <c r="I7" s="58" t="s">
        <v>2036</v>
      </c>
      <c r="J7" s="58" t="s">
        <v>2043</v>
      </c>
      <c r="K7" s="58" t="s">
        <v>2001</v>
      </c>
      <c r="L7" s="58" t="s">
        <v>2001</v>
      </c>
      <c r="M7" s="60" t="s">
        <v>2002</v>
      </c>
      <c r="N7" s="60" t="s">
        <v>2044</v>
      </c>
      <c r="O7" s="60" t="s">
        <v>1083</v>
      </c>
      <c r="P7" s="75">
        <v>76</v>
      </c>
      <c r="Q7" s="75">
        <v>13.7</v>
      </c>
      <c r="R7" s="75">
        <v>14.2</v>
      </c>
      <c r="S7" s="76">
        <v>0</v>
      </c>
    </row>
    <row r="8" spans="1:19" ht="16.5" customHeight="1">
      <c r="A8" s="58" t="s">
        <v>1990</v>
      </c>
      <c r="B8" s="74" t="s">
        <v>2032</v>
      </c>
      <c r="C8" s="58" t="s">
        <v>2033</v>
      </c>
      <c r="D8" s="58" t="s">
        <v>2034</v>
      </c>
      <c r="E8" s="58" t="s">
        <v>1994</v>
      </c>
      <c r="F8" s="58" t="s">
        <v>1995</v>
      </c>
      <c r="G8" s="58" t="s">
        <v>2035</v>
      </c>
      <c r="H8" s="58" t="s">
        <v>1991</v>
      </c>
      <c r="I8" s="58" t="s">
        <v>2036</v>
      </c>
      <c r="J8" s="58" t="s">
        <v>2043</v>
      </c>
      <c r="K8" s="58" t="s">
        <v>2001</v>
      </c>
      <c r="L8" s="58" t="s">
        <v>2001</v>
      </c>
      <c r="M8" s="60" t="s">
        <v>2002</v>
      </c>
      <c r="N8" s="60" t="s">
        <v>2045</v>
      </c>
      <c r="O8" s="60" t="s">
        <v>1085</v>
      </c>
      <c r="P8" s="75">
        <v>40</v>
      </c>
      <c r="Q8" s="75">
        <v>7.3</v>
      </c>
      <c r="R8" s="75">
        <v>7.8</v>
      </c>
      <c r="S8" s="76">
        <v>0</v>
      </c>
    </row>
    <row r="9" spans="1:19" ht="16.5" customHeight="1">
      <c r="A9" s="58" t="s">
        <v>1990</v>
      </c>
      <c r="B9" s="74" t="s">
        <v>2032</v>
      </c>
      <c r="C9" s="58" t="s">
        <v>2033</v>
      </c>
      <c r="D9" s="58" t="s">
        <v>2034</v>
      </c>
      <c r="E9" s="58" t="s">
        <v>1994</v>
      </c>
      <c r="F9" s="58" t="s">
        <v>1995</v>
      </c>
      <c r="G9" s="58" t="s">
        <v>2035</v>
      </c>
      <c r="H9" s="58" t="s">
        <v>2004</v>
      </c>
      <c r="I9" s="58" t="s">
        <v>2036</v>
      </c>
      <c r="J9" s="58" t="s">
        <v>2046</v>
      </c>
      <c r="K9" s="58" t="s">
        <v>2047</v>
      </c>
      <c r="L9" s="58" t="s">
        <v>2005</v>
      </c>
      <c r="M9" s="60" t="s">
        <v>2006</v>
      </c>
      <c r="N9" s="60" t="s">
        <v>2048</v>
      </c>
      <c r="O9" s="60" t="s">
        <v>1085</v>
      </c>
      <c r="P9" s="75">
        <v>94</v>
      </c>
      <c r="Q9" s="75">
        <v>17.2</v>
      </c>
      <c r="R9" s="75">
        <v>17.7</v>
      </c>
      <c r="S9" s="76">
        <v>0</v>
      </c>
    </row>
    <row r="10" spans="1:19" ht="16.5" customHeight="1">
      <c r="A10" s="58" t="s">
        <v>1990</v>
      </c>
      <c r="B10" s="74" t="s">
        <v>2032</v>
      </c>
      <c r="C10" s="58" t="s">
        <v>2033</v>
      </c>
      <c r="D10" s="58" t="s">
        <v>2034</v>
      </c>
      <c r="E10" s="58" t="s">
        <v>1994</v>
      </c>
      <c r="F10" s="58" t="s">
        <v>1995</v>
      </c>
      <c r="G10" s="58" t="s">
        <v>2035</v>
      </c>
      <c r="H10" s="58" t="s">
        <v>2004</v>
      </c>
      <c r="I10" s="58" t="s">
        <v>2036</v>
      </c>
      <c r="J10" s="58" t="s">
        <v>2046</v>
      </c>
      <c r="K10" s="58" t="s">
        <v>2047</v>
      </c>
      <c r="L10" s="58" t="s">
        <v>2005</v>
      </c>
      <c r="M10" s="60" t="s">
        <v>2006</v>
      </c>
      <c r="N10" s="60" t="s">
        <v>2049</v>
      </c>
      <c r="O10" s="60" t="s">
        <v>1087</v>
      </c>
      <c r="P10" s="75">
        <v>100</v>
      </c>
      <c r="Q10" s="75">
        <v>18.3</v>
      </c>
      <c r="R10" s="75">
        <v>18.8</v>
      </c>
      <c r="S10" s="76">
        <v>0</v>
      </c>
    </row>
    <row r="11" spans="1:19" ht="16.5" customHeight="1">
      <c r="A11" s="58" t="s">
        <v>1990</v>
      </c>
      <c r="B11" s="74" t="s">
        <v>2032</v>
      </c>
      <c r="C11" s="58" t="s">
        <v>2033</v>
      </c>
      <c r="D11" s="58" t="s">
        <v>2034</v>
      </c>
      <c r="E11" s="58" t="s">
        <v>1994</v>
      </c>
      <c r="F11" s="58" t="s">
        <v>1995</v>
      </c>
      <c r="G11" s="58" t="s">
        <v>2035</v>
      </c>
      <c r="H11" s="58" t="s">
        <v>2004</v>
      </c>
      <c r="I11" s="58" t="s">
        <v>2036</v>
      </c>
      <c r="J11" s="58" t="s">
        <v>2046</v>
      </c>
      <c r="K11" s="58" t="s">
        <v>2047</v>
      </c>
      <c r="L11" s="58" t="s">
        <v>2005</v>
      </c>
      <c r="M11" s="60" t="s">
        <v>2006</v>
      </c>
      <c r="N11" s="60" t="s">
        <v>2050</v>
      </c>
      <c r="O11" s="60" t="s">
        <v>1089</v>
      </c>
      <c r="P11" s="75">
        <v>74</v>
      </c>
      <c r="Q11" s="75">
        <v>13.7</v>
      </c>
      <c r="R11" s="75">
        <v>14.2</v>
      </c>
      <c r="S11" s="76">
        <v>0</v>
      </c>
    </row>
    <row r="12" spans="1:19" ht="16.5" customHeight="1">
      <c r="A12" s="58" t="s">
        <v>1990</v>
      </c>
      <c r="B12" s="74" t="s">
        <v>2032</v>
      </c>
      <c r="C12" s="58" t="s">
        <v>2033</v>
      </c>
      <c r="D12" s="58" t="s">
        <v>2034</v>
      </c>
      <c r="E12" s="58" t="s">
        <v>1994</v>
      </c>
      <c r="F12" s="58" t="s">
        <v>1995</v>
      </c>
      <c r="G12" s="58" t="s">
        <v>2035</v>
      </c>
      <c r="H12" s="58" t="s">
        <v>2004</v>
      </c>
      <c r="I12" s="58" t="s">
        <v>2036</v>
      </c>
      <c r="J12" s="58" t="s">
        <v>2046</v>
      </c>
      <c r="K12" s="58" t="s">
        <v>2047</v>
      </c>
      <c r="L12" s="58" t="s">
        <v>2005</v>
      </c>
      <c r="M12" s="60" t="s">
        <v>2006</v>
      </c>
      <c r="N12" s="60" t="s">
        <v>2051</v>
      </c>
      <c r="O12" s="60" t="s">
        <v>2052</v>
      </c>
      <c r="P12" s="75">
        <v>62</v>
      </c>
      <c r="Q12" s="75">
        <v>11</v>
      </c>
      <c r="R12" s="75">
        <v>11.5</v>
      </c>
      <c r="S12" s="76">
        <v>0</v>
      </c>
    </row>
    <row r="13" spans="1:19" ht="16.5" customHeight="1">
      <c r="A13" s="58" t="s">
        <v>1990</v>
      </c>
      <c r="B13" s="74" t="s">
        <v>2032</v>
      </c>
      <c r="C13" s="58" t="s">
        <v>2033</v>
      </c>
      <c r="D13" s="58" t="s">
        <v>2034</v>
      </c>
      <c r="E13" s="58" t="s">
        <v>1994</v>
      </c>
      <c r="F13" s="58" t="s">
        <v>1995</v>
      </c>
      <c r="G13" s="58" t="s">
        <v>2035</v>
      </c>
      <c r="H13" s="58" t="s">
        <v>2004</v>
      </c>
      <c r="I13" s="58" t="s">
        <v>2036</v>
      </c>
      <c r="J13" s="58" t="s">
        <v>2046</v>
      </c>
      <c r="K13" s="58" t="s">
        <v>2047</v>
      </c>
      <c r="L13" s="58" t="s">
        <v>2005</v>
      </c>
      <c r="M13" s="60" t="s">
        <v>2006</v>
      </c>
      <c r="N13" s="60" t="s">
        <v>2053</v>
      </c>
      <c r="O13" s="60" t="s">
        <v>2054</v>
      </c>
      <c r="P13" s="75">
        <v>28</v>
      </c>
      <c r="Q13" s="75">
        <v>5.3</v>
      </c>
      <c r="R13" s="75">
        <v>5.8</v>
      </c>
      <c r="S13" s="76">
        <v>0</v>
      </c>
    </row>
    <row r="14" spans="1:19" ht="16.5" customHeight="1">
      <c r="A14" s="58" t="s">
        <v>1990</v>
      </c>
      <c r="B14" s="74" t="s">
        <v>2032</v>
      </c>
      <c r="C14" s="58" t="s">
        <v>2033</v>
      </c>
      <c r="D14" s="58" t="s">
        <v>2034</v>
      </c>
      <c r="E14" s="58" t="s">
        <v>1994</v>
      </c>
      <c r="F14" s="58" t="s">
        <v>1995</v>
      </c>
      <c r="G14" s="58" t="s">
        <v>2035</v>
      </c>
      <c r="H14" s="58" t="s">
        <v>1991</v>
      </c>
      <c r="I14" s="58" t="s">
        <v>2036</v>
      </c>
      <c r="J14" s="58" t="s">
        <v>2055</v>
      </c>
      <c r="K14" s="58" t="s">
        <v>2008</v>
      </c>
      <c r="L14" s="58" t="s">
        <v>2008</v>
      </c>
      <c r="M14" s="60" t="s">
        <v>2056</v>
      </c>
      <c r="N14" s="60" t="s">
        <v>2057</v>
      </c>
      <c r="O14" s="60" t="s">
        <v>1083</v>
      </c>
      <c r="P14" s="75">
        <v>34</v>
      </c>
      <c r="Q14" s="75">
        <v>6.8</v>
      </c>
      <c r="R14" s="75">
        <v>7.3</v>
      </c>
      <c r="S14" s="76">
        <v>0</v>
      </c>
    </row>
    <row r="15" spans="1:19" ht="16.5" customHeight="1">
      <c r="A15" s="58" t="s">
        <v>1990</v>
      </c>
      <c r="B15" s="74" t="s">
        <v>2032</v>
      </c>
      <c r="C15" s="58" t="s">
        <v>2033</v>
      </c>
      <c r="D15" s="58" t="s">
        <v>2034</v>
      </c>
      <c r="E15" s="58" t="s">
        <v>1994</v>
      </c>
      <c r="F15" s="58" t="s">
        <v>1995</v>
      </c>
      <c r="G15" s="58" t="s">
        <v>2035</v>
      </c>
      <c r="H15" s="58" t="s">
        <v>1991</v>
      </c>
      <c r="I15" s="58" t="s">
        <v>2036</v>
      </c>
      <c r="J15" s="58" t="s">
        <v>2055</v>
      </c>
      <c r="K15" s="58" t="s">
        <v>2008</v>
      </c>
      <c r="L15" s="58" t="s">
        <v>2008</v>
      </c>
      <c r="M15" s="60" t="s">
        <v>2056</v>
      </c>
      <c r="N15" s="60" t="s">
        <v>2058</v>
      </c>
      <c r="O15" s="60" t="s">
        <v>1085</v>
      </c>
      <c r="P15" s="75">
        <v>55</v>
      </c>
      <c r="Q15" s="75">
        <v>9.9</v>
      </c>
      <c r="R15" s="75">
        <v>10.4</v>
      </c>
      <c r="S15" s="76">
        <v>0</v>
      </c>
    </row>
    <row r="16" spans="1:19" ht="16.5" customHeight="1">
      <c r="A16" s="58" t="s">
        <v>1990</v>
      </c>
      <c r="B16" s="74" t="s">
        <v>2032</v>
      </c>
      <c r="C16" s="58" t="s">
        <v>2033</v>
      </c>
      <c r="D16" s="58" t="s">
        <v>2034</v>
      </c>
      <c r="E16" s="58" t="s">
        <v>1994</v>
      </c>
      <c r="F16" s="58" t="s">
        <v>1995</v>
      </c>
      <c r="G16" s="58" t="s">
        <v>2035</v>
      </c>
      <c r="H16" s="58" t="s">
        <v>1991</v>
      </c>
      <c r="I16" s="58" t="s">
        <v>2036</v>
      </c>
      <c r="J16" s="58" t="s">
        <v>2055</v>
      </c>
      <c r="K16" s="58" t="s">
        <v>2008</v>
      </c>
      <c r="L16" s="58" t="s">
        <v>2008</v>
      </c>
      <c r="M16" s="60" t="s">
        <v>2056</v>
      </c>
      <c r="N16" s="60" t="s">
        <v>2059</v>
      </c>
      <c r="O16" s="60" t="s">
        <v>1089</v>
      </c>
      <c r="P16" s="75">
        <v>33</v>
      </c>
      <c r="Q16" s="75">
        <v>7.4</v>
      </c>
      <c r="R16" s="75">
        <v>7.9</v>
      </c>
      <c r="S16" s="76">
        <v>0</v>
      </c>
    </row>
    <row r="17" spans="1:19" ht="16.5" customHeight="1">
      <c r="A17" s="58" t="s">
        <v>1990</v>
      </c>
      <c r="B17" s="74" t="s">
        <v>2032</v>
      </c>
      <c r="C17" s="58" t="s">
        <v>2033</v>
      </c>
      <c r="D17" s="58" t="s">
        <v>2034</v>
      </c>
      <c r="E17" s="58" t="s">
        <v>1994</v>
      </c>
      <c r="F17" s="58" t="s">
        <v>1995</v>
      </c>
      <c r="G17" s="58" t="s">
        <v>2035</v>
      </c>
      <c r="H17" s="58" t="s">
        <v>1991</v>
      </c>
      <c r="I17" s="58" t="s">
        <v>2036</v>
      </c>
      <c r="J17" s="58" t="s">
        <v>2055</v>
      </c>
      <c r="K17" s="58" t="s">
        <v>2008</v>
      </c>
      <c r="L17" s="58" t="s">
        <v>2008</v>
      </c>
      <c r="M17" s="60" t="s">
        <v>2056</v>
      </c>
      <c r="N17" s="60" t="s">
        <v>2060</v>
      </c>
      <c r="O17" s="60" t="s">
        <v>1087</v>
      </c>
      <c r="P17" s="75">
        <v>70</v>
      </c>
      <c r="Q17" s="75">
        <v>12.7</v>
      </c>
      <c r="R17" s="75">
        <v>13.2</v>
      </c>
      <c r="S17" s="76">
        <v>0</v>
      </c>
    </row>
    <row r="18" spans="1:19" ht="16.5" customHeight="1">
      <c r="A18" s="58" t="s">
        <v>1990</v>
      </c>
      <c r="B18" s="74" t="s">
        <v>2032</v>
      </c>
      <c r="C18" s="58" t="s">
        <v>2033</v>
      </c>
      <c r="D18" s="58" t="s">
        <v>2034</v>
      </c>
      <c r="E18" s="58" t="s">
        <v>1994</v>
      </c>
      <c r="F18" s="58" t="s">
        <v>1995</v>
      </c>
      <c r="G18" s="58" t="s">
        <v>2035</v>
      </c>
      <c r="H18" s="58" t="s">
        <v>1991</v>
      </c>
      <c r="I18" s="58" t="s">
        <v>2036</v>
      </c>
      <c r="J18" s="58" t="s">
        <v>2055</v>
      </c>
      <c r="K18" s="58" t="s">
        <v>2008</v>
      </c>
      <c r="L18" s="58" t="s">
        <v>2008</v>
      </c>
      <c r="M18" s="60" t="s">
        <v>2002</v>
      </c>
      <c r="N18" s="60" t="s">
        <v>2061</v>
      </c>
      <c r="O18" s="60" t="s">
        <v>1083</v>
      </c>
      <c r="P18" s="75">
        <v>88</v>
      </c>
      <c r="Q18" s="75">
        <v>16.3</v>
      </c>
      <c r="R18" s="75">
        <v>16.8</v>
      </c>
      <c r="S18" s="76">
        <v>0</v>
      </c>
    </row>
    <row r="19" spans="1:19" ht="16.5" customHeight="1">
      <c r="A19" s="58" t="s">
        <v>1990</v>
      </c>
      <c r="B19" s="74" t="s">
        <v>2032</v>
      </c>
      <c r="C19" s="58" t="s">
        <v>2033</v>
      </c>
      <c r="D19" s="58" t="s">
        <v>2034</v>
      </c>
      <c r="E19" s="58" t="s">
        <v>1994</v>
      </c>
      <c r="F19" s="58" t="s">
        <v>1995</v>
      </c>
      <c r="G19" s="58" t="s">
        <v>2035</v>
      </c>
      <c r="H19" s="58" t="s">
        <v>1991</v>
      </c>
      <c r="I19" s="58" t="s">
        <v>2036</v>
      </c>
      <c r="J19" s="58" t="s">
        <v>2055</v>
      </c>
      <c r="K19" s="58" t="s">
        <v>2008</v>
      </c>
      <c r="L19" s="58" t="s">
        <v>2008</v>
      </c>
      <c r="M19" s="60" t="s">
        <v>2002</v>
      </c>
      <c r="N19" s="60" t="s">
        <v>2062</v>
      </c>
      <c r="O19" s="60" t="s">
        <v>1085</v>
      </c>
      <c r="P19" s="75">
        <v>90</v>
      </c>
      <c r="Q19" s="75">
        <v>16.8</v>
      </c>
      <c r="R19" s="75">
        <v>17.3</v>
      </c>
      <c r="S19" s="76">
        <v>0</v>
      </c>
    </row>
    <row r="20" spans="1:19" ht="16.5" customHeight="1">
      <c r="A20" s="58" t="s">
        <v>1990</v>
      </c>
      <c r="B20" s="74" t="s">
        <v>2032</v>
      </c>
      <c r="C20" s="58" t="s">
        <v>2033</v>
      </c>
      <c r="D20" s="58" t="s">
        <v>2034</v>
      </c>
      <c r="E20" s="58" t="s">
        <v>1994</v>
      </c>
      <c r="F20" s="58" t="s">
        <v>1995</v>
      </c>
      <c r="G20" s="58" t="s">
        <v>2035</v>
      </c>
      <c r="H20" s="58" t="s">
        <v>2004</v>
      </c>
      <c r="I20" s="58" t="s">
        <v>2036</v>
      </c>
      <c r="J20" s="58" t="s">
        <v>2063</v>
      </c>
      <c r="K20" s="58" t="s">
        <v>2064</v>
      </c>
      <c r="L20" s="58" t="s">
        <v>2011</v>
      </c>
      <c r="M20" s="60" t="s">
        <v>2012</v>
      </c>
      <c r="N20" s="60" t="s">
        <v>2065</v>
      </c>
      <c r="O20" s="60" t="s">
        <v>1083</v>
      </c>
      <c r="P20" s="75">
        <v>94</v>
      </c>
      <c r="Q20" s="75">
        <v>17.5</v>
      </c>
      <c r="R20" s="75">
        <v>18</v>
      </c>
      <c r="S20" s="76">
        <v>0</v>
      </c>
    </row>
    <row r="21" spans="1:19" ht="16.5" customHeight="1">
      <c r="A21" s="58" t="s">
        <v>1990</v>
      </c>
      <c r="B21" s="74" t="s">
        <v>2032</v>
      </c>
      <c r="C21" s="58" t="s">
        <v>2033</v>
      </c>
      <c r="D21" s="58" t="s">
        <v>2034</v>
      </c>
      <c r="E21" s="58" t="s">
        <v>1994</v>
      </c>
      <c r="F21" s="58" t="s">
        <v>1995</v>
      </c>
      <c r="G21" s="58" t="s">
        <v>2035</v>
      </c>
      <c r="H21" s="58" t="s">
        <v>2004</v>
      </c>
      <c r="I21" s="58" t="s">
        <v>2036</v>
      </c>
      <c r="J21" s="58" t="s">
        <v>2063</v>
      </c>
      <c r="K21" s="58" t="s">
        <v>2064</v>
      </c>
      <c r="L21" s="58" t="s">
        <v>2011</v>
      </c>
      <c r="M21" s="60" t="s">
        <v>2012</v>
      </c>
      <c r="N21" s="60" t="s">
        <v>2066</v>
      </c>
      <c r="O21" s="60" t="s">
        <v>1085</v>
      </c>
      <c r="P21" s="75">
        <v>84</v>
      </c>
      <c r="Q21" s="75">
        <v>15.6</v>
      </c>
      <c r="R21" s="75">
        <v>16.100000000000001</v>
      </c>
      <c r="S21" s="76">
        <v>0</v>
      </c>
    </row>
    <row r="22" spans="1:19" ht="16.5" customHeight="1">
      <c r="A22" s="58" t="s">
        <v>1990</v>
      </c>
      <c r="B22" s="74" t="s">
        <v>2032</v>
      </c>
      <c r="C22" s="58" t="s">
        <v>2033</v>
      </c>
      <c r="D22" s="58" t="s">
        <v>2034</v>
      </c>
      <c r="E22" s="58" t="s">
        <v>1994</v>
      </c>
      <c r="F22" s="58" t="s">
        <v>1995</v>
      </c>
      <c r="G22" s="58" t="s">
        <v>2035</v>
      </c>
      <c r="H22" s="58" t="s">
        <v>2004</v>
      </c>
      <c r="I22" s="58" t="s">
        <v>2036</v>
      </c>
      <c r="J22" s="58" t="s">
        <v>2063</v>
      </c>
      <c r="K22" s="58" t="s">
        <v>2064</v>
      </c>
      <c r="L22" s="58" t="s">
        <v>2011</v>
      </c>
      <c r="M22" s="60" t="s">
        <v>2012</v>
      </c>
      <c r="N22" s="60" t="s">
        <v>2067</v>
      </c>
      <c r="O22" s="60" t="s">
        <v>1087</v>
      </c>
      <c r="P22" s="75">
        <v>38</v>
      </c>
      <c r="Q22" s="75">
        <v>7.5</v>
      </c>
      <c r="R22" s="75">
        <v>8</v>
      </c>
      <c r="S22" s="76">
        <v>0</v>
      </c>
    </row>
    <row r="23" spans="1:19" ht="16.5" customHeight="1">
      <c r="A23" s="58" t="s">
        <v>1990</v>
      </c>
      <c r="B23" s="74" t="s">
        <v>2032</v>
      </c>
      <c r="C23" s="58" t="s">
        <v>2033</v>
      </c>
      <c r="D23" s="58" t="s">
        <v>2034</v>
      </c>
      <c r="E23" s="58" t="s">
        <v>1994</v>
      </c>
      <c r="F23" s="58" t="s">
        <v>1995</v>
      </c>
      <c r="G23" s="58" t="s">
        <v>2035</v>
      </c>
      <c r="H23" s="58" t="s">
        <v>2004</v>
      </c>
      <c r="I23" s="58" t="s">
        <v>2036</v>
      </c>
      <c r="J23" s="58" t="s">
        <v>2063</v>
      </c>
      <c r="K23" s="58" t="s">
        <v>2064</v>
      </c>
      <c r="L23" s="58" t="s">
        <v>2011</v>
      </c>
      <c r="M23" s="60" t="s">
        <v>2012</v>
      </c>
      <c r="N23" s="60" t="s">
        <v>2068</v>
      </c>
      <c r="O23" s="60" t="s">
        <v>1089</v>
      </c>
      <c r="P23" s="75">
        <v>42</v>
      </c>
      <c r="Q23" s="75">
        <v>7.9</v>
      </c>
      <c r="R23" s="75">
        <v>8.4</v>
      </c>
      <c r="S23" s="76">
        <v>0</v>
      </c>
    </row>
    <row r="24" spans="1:19" ht="16.5" customHeight="1">
      <c r="A24" s="58" t="s">
        <v>1990</v>
      </c>
      <c r="B24" s="74" t="s">
        <v>2032</v>
      </c>
      <c r="C24" s="58" t="s">
        <v>2033</v>
      </c>
      <c r="D24" s="58" t="s">
        <v>2034</v>
      </c>
      <c r="E24" s="58" t="s">
        <v>1994</v>
      </c>
      <c r="F24" s="58" t="s">
        <v>1995</v>
      </c>
      <c r="G24" s="58" t="s">
        <v>2035</v>
      </c>
      <c r="H24" s="58" t="s">
        <v>2004</v>
      </c>
      <c r="I24" s="58" t="s">
        <v>2036</v>
      </c>
      <c r="J24" s="58" t="s">
        <v>2063</v>
      </c>
      <c r="K24" s="58" t="s">
        <v>2064</v>
      </c>
      <c r="L24" s="58" t="s">
        <v>2011</v>
      </c>
      <c r="M24" s="60" t="s">
        <v>2012</v>
      </c>
      <c r="N24" s="60" t="s">
        <v>2069</v>
      </c>
      <c r="O24" s="60" t="s">
        <v>2052</v>
      </c>
      <c r="P24" s="75">
        <v>73</v>
      </c>
      <c r="Q24" s="75">
        <v>14</v>
      </c>
      <c r="R24" s="75">
        <v>14.5</v>
      </c>
      <c r="S24" s="76">
        <v>0</v>
      </c>
    </row>
    <row r="25" spans="1:19" ht="16.5" customHeight="1">
      <c r="A25" s="58" t="s">
        <v>1990</v>
      </c>
      <c r="B25" s="74" t="s">
        <v>2032</v>
      </c>
      <c r="C25" s="58" t="s">
        <v>2033</v>
      </c>
      <c r="D25" s="58" t="s">
        <v>2034</v>
      </c>
      <c r="E25" s="58" t="s">
        <v>1994</v>
      </c>
      <c r="F25" s="58" t="s">
        <v>1995</v>
      </c>
      <c r="G25" s="58" t="s">
        <v>2035</v>
      </c>
      <c r="H25" s="58" t="s">
        <v>2004</v>
      </c>
      <c r="I25" s="58" t="s">
        <v>2036</v>
      </c>
      <c r="J25" s="58" t="s">
        <v>2063</v>
      </c>
      <c r="K25" s="58" t="s">
        <v>2064</v>
      </c>
      <c r="L25" s="58" t="s">
        <v>2011</v>
      </c>
      <c r="M25" s="60" t="s">
        <v>2012</v>
      </c>
      <c r="N25" s="60" t="s">
        <v>2070</v>
      </c>
      <c r="O25" s="60" t="s">
        <v>2054</v>
      </c>
      <c r="P25" s="75">
        <v>16</v>
      </c>
      <c r="Q25" s="75">
        <v>2.8</v>
      </c>
      <c r="R25" s="75">
        <v>3.3</v>
      </c>
      <c r="S25" s="76">
        <v>0</v>
      </c>
    </row>
    <row r="26" spans="1:19" ht="16.5" customHeight="1">
      <c r="A26" s="58" t="s">
        <v>1990</v>
      </c>
      <c r="B26" s="74" t="s">
        <v>2032</v>
      </c>
      <c r="C26" s="58" t="s">
        <v>2033</v>
      </c>
      <c r="D26" s="58" t="s">
        <v>2034</v>
      </c>
      <c r="E26" s="58" t="s">
        <v>1994</v>
      </c>
      <c r="F26" s="58" t="s">
        <v>1995</v>
      </c>
      <c r="G26" s="58" t="s">
        <v>2035</v>
      </c>
      <c r="H26" s="58" t="s">
        <v>2014</v>
      </c>
      <c r="I26" s="58" t="s">
        <v>2036</v>
      </c>
      <c r="J26" s="58" t="s">
        <v>2071</v>
      </c>
      <c r="K26" s="58" t="s">
        <v>2072</v>
      </c>
      <c r="L26" s="58" t="s">
        <v>2015</v>
      </c>
      <c r="M26" s="60" t="s">
        <v>2012</v>
      </c>
      <c r="N26" s="60" t="s">
        <v>2073</v>
      </c>
      <c r="O26" s="60" t="s">
        <v>1083</v>
      </c>
      <c r="P26" s="75">
        <v>84</v>
      </c>
      <c r="Q26" s="75">
        <v>16</v>
      </c>
      <c r="R26" s="75">
        <v>16.5</v>
      </c>
      <c r="S26" s="76">
        <v>0</v>
      </c>
    </row>
    <row r="27" spans="1:19" ht="16.5" customHeight="1">
      <c r="A27" s="58" t="s">
        <v>1990</v>
      </c>
      <c r="B27" s="74" t="s">
        <v>2032</v>
      </c>
      <c r="C27" s="58" t="s">
        <v>2033</v>
      </c>
      <c r="D27" s="58" t="s">
        <v>2034</v>
      </c>
      <c r="E27" s="58" t="s">
        <v>1994</v>
      </c>
      <c r="F27" s="58" t="s">
        <v>1995</v>
      </c>
      <c r="G27" s="58" t="s">
        <v>2035</v>
      </c>
      <c r="H27" s="58" t="s">
        <v>2014</v>
      </c>
      <c r="I27" s="58" t="s">
        <v>2036</v>
      </c>
      <c r="J27" s="58" t="s">
        <v>2071</v>
      </c>
      <c r="K27" s="58" t="s">
        <v>2072</v>
      </c>
      <c r="L27" s="58" t="s">
        <v>2015</v>
      </c>
      <c r="M27" s="60" t="s">
        <v>2012</v>
      </c>
      <c r="N27" s="60" t="s">
        <v>2074</v>
      </c>
      <c r="O27" s="60" t="s">
        <v>1087</v>
      </c>
      <c r="P27" s="75">
        <v>92</v>
      </c>
      <c r="Q27" s="75">
        <v>17.2</v>
      </c>
      <c r="R27" s="75">
        <v>17.7</v>
      </c>
      <c r="S27" s="76">
        <v>0</v>
      </c>
    </row>
    <row r="28" spans="1:19" ht="16.5" customHeight="1">
      <c r="A28" s="58" t="s">
        <v>1990</v>
      </c>
      <c r="B28" s="74" t="s">
        <v>2032</v>
      </c>
      <c r="C28" s="58" t="s">
        <v>2033</v>
      </c>
      <c r="D28" s="58" t="s">
        <v>2034</v>
      </c>
      <c r="E28" s="58" t="s">
        <v>1994</v>
      </c>
      <c r="F28" s="58" t="s">
        <v>1995</v>
      </c>
      <c r="G28" s="58" t="s">
        <v>2035</v>
      </c>
      <c r="H28" s="58" t="s">
        <v>2014</v>
      </c>
      <c r="I28" s="58" t="s">
        <v>2036</v>
      </c>
      <c r="J28" s="58" t="s">
        <v>2071</v>
      </c>
      <c r="K28" s="58" t="s">
        <v>2072</v>
      </c>
      <c r="L28" s="58" t="s">
        <v>2015</v>
      </c>
      <c r="M28" s="60" t="s">
        <v>2012</v>
      </c>
      <c r="N28" s="60" t="s">
        <v>2075</v>
      </c>
      <c r="O28" s="60" t="s">
        <v>1089</v>
      </c>
      <c r="P28" s="75">
        <v>83</v>
      </c>
      <c r="Q28" s="75">
        <v>15.9</v>
      </c>
      <c r="R28" s="75">
        <v>16.399999999999999</v>
      </c>
      <c r="S28" s="76">
        <v>0</v>
      </c>
    </row>
    <row r="29" spans="1:19" ht="16.5" customHeight="1">
      <c r="A29" s="58" t="s">
        <v>1990</v>
      </c>
      <c r="B29" s="74" t="s">
        <v>2032</v>
      </c>
      <c r="C29" s="58" t="s">
        <v>2033</v>
      </c>
      <c r="D29" s="58" t="s">
        <v>2034</v>
      </c>
      <c r="E29" s="58" t="s">
        <v>1994</v>
      </c>
      <c r="F29" s="58" t="s">
        <v>1995</v>
      </c>
      <c r="G29" s="58" t="s">
        <v>2035</v>
      </c>
      <c r="H29" s="58" t="s">
        <v>2014</v>
      </c>
      <c r="I29" s="58" t="s">
        <v>2036</v>
      </c>
      <c r="J29" s="58" t="s">
        <v>2071</v>
      </c>
      <c r="K29" s="58" t="s">
        <v>2072</v>
      </c>
      <c r="L29" s="58" t="s">
        <v>2015</v>
      </c>
      <c r="M29" s="60" t="s">
        <v>2012</v>
      </c>
      <c r="N29" s="60" t="s">
        <v>2076</v>
      </c>
      <c r="O29" s="60" t="s">
        <v>2054</v>
      </c>
      <c r="P29" s="75">
        <v>41</v>
      </c>
      <c r="Q29" s="75">
        <v>8</v>
      </c>
      <c r="R29" s="75">
        <v>8.5</v>
      </c>
      <c r="S29" s="76">
        <v>0</v>
      </c>
    </row>
    <row r="30" spans="1:19" ht="16.5" customHeight="1">
      <c r="O30" s="73" t="s">
        <v>2077</v>
      </c>
      <c r="P30" s="78">
        <f>SUM(P2:P29)</f>
        <v>1854</v>
      </c>
    </row>
    <row r="31" spans="1:19" ht="16.5" customHeight="1">
      <c r="P31" s="79" t="s">
        <v>2078</v>
      </c>
    </row>
  </sheetData>
  <phoneticPr fontId="3" type="noConversion"/>
  <pageMargins left="0.7" right="0.7" top="0.75" bottom="0.75" header="0.3" footer="0.3"/>
  <pageSetup paperSize="9" orientation="portrait" horizontalDpi="0" verticalDpi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31255-F2AD-4F47-AE9C-132C84807D35}">
  <sheetPr>
    <pageSetUpPr autoPageBreaks="0"/>
  </sheetPr>
  <dimension ref="A1:V9"/>
  <sheetViews>
    <sheetView workbookViewId="0">
      <selection activeCell="J29" sqref="J29"/>
    </sheetView>
  </sheetViews>
  <sheetFormatPr defaultRowHeight="16.5" customHeight="1"/>
  <cols>
    <col min="1" max="1" width="16.375" style="56" customWidth="1"/>
    <col min="2" max="2" width="12.5" style="56" customWidth="1"/>
    <col min="3" max="3" width="20.875" style="56" customWidth="1"/>
    <col min="4" max="4" width="16.125" style="56" customWidth="1"/>
    <col min="5" max="5" width="11.75" style="56" customWidth="1"/>
    <col min="6" max="6" width="13.625" style="56" customWidth="1"/>
    <col min="7" max="8" width="14.25" style="56" customWidth="1"/>
    <col min="9" max="9" width="5.5" style="56" customWidth="1"/>
    <col min="10" max="10" width="8.75" style="56" customWidth="1"/>
    <col min="11" max="11" width="11.375" style="56" customWidth="1"/>
    <col min="12" max="14" width="8.75" style="56" customWidth="1"/>
    <col min="15" max="16" width="11.375" style="56" customWidth="1"/>
    <col min="17" max="17" width="8.75" style="56" customWidth="1"/>
    <col min="18" max="18" width="21.875" style="56" customWidth="1"/>
    <col min="19" max="19" width="6" style="56" customWidth="1"/>
    <col min="20" max="20" width="11" style="56" customWidth="1"/>
    <col min="21" max="21" width="13.625" style="56" customWidth="1"/>
    <col min="22" max="22" width="25.625" style="56" customWidth="1"/>
    <col min="23" max="23" width="7.875" style="56" customWidth="1"/>
    <col min="24" max="256" width="9" style="56"/>
    <col min="257" max="257" width="16.375" style="56" customWidth="1"/>
    <col min="258" max="258" width="12.5" style="56" customWidth="1"/>
    <col min="259" max="259" width="20.875" style="56" customWidth="1"/>
    <col min="260" max="260" width="16.125" style="56" customWidth="1"/>
    <col min="261" max="261" width="11.75" style="56" customWidth="1"/>
    <col min="262" max="262" width="13.625" style="56" customWidth="1"/>
    <col min="263" max="264" width="14.25" style="56" customWidth="1"/>
    <col min="265" max="265" width="5.5" style="56" customWidth="1"/>
    <col min="266" max="266" width="8.75" style="56" customWidth="1"/>
    <col min="267" max="267" width="11.375" style="56" customWidth="1"/>
    <col min="268" max="270" width="8.75" style="56" customWidth="1"/>
    <col min="271" max="272" width="11.375" style="56" customWidth="1"/>
    <col min="273" max="273" width="8.75" style="56" customWidth="1"/>
    <col min="274" max="274" width="21.875" style="56" customWidth="1"/>
    <col min="275" max="275" width="6" style="56" customWidth="1"/>
    <col min="276" max="276" width="11" style="56" customWidth="1"/>
    <col min="277" max="277" width="13.625" style="56" customWidth="1"/>
    <col min="278" max="278" width="25.625" style="56" customWidth="1"/>
    <col min="279" max="279" width="7.875" style="56" customWidth="1"/>
    <col min="280" max="512" width="9" style="56"/>
    <col min="513" max="513" width="16.375" style="56" customWidth="1"/>
    <col min="514" max="514" width="12.5" style="56" customWidth="1"/>
    <col min="515" max="515" width="20.875" style="56" customWidth="1"/>
    <col min="516" max="516" width="16.125" style="56" customWidth="1"/>
    <col min="517" max="517" width="11.75" style="56" customWidth="1"/>
    <col min="518" max="518" width="13.625" style="56" customWidth="1"/>
    <col min="519" max="520" width="14.25" style="56" customWidth="1"/>
    <col min="521" max="521" width="5.5" style="56" customWidth="1"/>
    <col min="522" max="522" width="8.75" style="56" customWidth="1"/>
    <col min="523" max="523" width="11.375" style="56" customWidth="1"/>
    <col min="524" max="526" width="8.75" style="56" customWidth="1"/>
    <col min="527" max="528" width="11.375" style="56" customWidth="1"/>
    <col min="529" max="529" width="8.75" style="56" customWidth="1"/>
    <col min="530" max="530" width="21.875" style="56" customWidth="1"/>
    <col min="531" max="531" width="6" style="56" customWidth="1"/>
    <col min="532" max="532" width="11" style="56" customWidth="1"/>
    <col min="533" max="533" width="13.625" style="56" customWidth="1"/>
    <col min="534" max="534" width="25.625" style="56" customWidth="1"/>
    <col min="535" max="535" width="7.875" style="56" customWidth="1"/>
    <col min="536" max="768" width="9" style="56"/>
    <col min="769" max="769" width="16.375" style="56" customWidth="1"/>
    <col min="770" max="770" width="12.5" style="56" customWidth="1"/>
    <col min="771" max="771" width="20.875" style="56" customWidth="1"/>
    <col min="772" max="772" width="16.125" style="56" customWidth="1"/>
    <col min="773" max="773" width="11.75" style="56" customWidth="1"/>
    <col min="774" max="774" width="13.625" style="56" customWidth="1"/>
    <col min="775" max="776" width="14.25" style="56" customWidth="1"/>
    <col min="777" max="777" width="5.5" style="56" customWidth="1"/>
    <col min="778" max="778" width="8.75" style="56" customWidth="1"/>
    <col min="779" max="779" width="11.375" style="56" customWidth="1"/>
    <col min="780" max="782" width="8.75" style="56" customWidth="1"/>
    <col min="783" max="784" width="11.375" style="56" customWidth="1"/>
    <col min="785" max="785" width="8.75" style="56" customWidth="1"/>
    <col min="786" max="786" width="21.875" style="56" customWidth="1"/>
    <col min="787" max="787" width="6" style="56" customWidth="1"/>
    <col min="788" max="788" width="11" style="56" customWidth="1"/>
    <col min="789" max="789" width="13.625" style="56" customWidth="1"/>
    <col min="790" max="790" width="25.625" style="56" customWidth="1"/>
    <col min="791" max="791" width="7.875" style="56" customWidth="1"/>
    <col min="792" max="1024" width="9" style="56"/>
    <col min="1025" max="1025" width="16.375" style="56" customWidth="1"/>
    <col min="1026" max="1026" width="12.5" style="56" customWidth="1"/>
    <col min="1027" max="1027" width="20.875" style="56" customWidth="1"/>
    <col min="1028" max="1028" width="16.125" style="56" customWidth="1"/>
    <col min="1029" max="1029" width="11.75" style="56" customWidth="1"/>
    <col min="1030" max="1030" width="13.625" style="56" customWidth="1"/>
    <col min="1031" max="1032" width="14.25" style="56" customWidth="1"/>
    <col min="1033" max="1033" width="5.5" style="56" customWidth="1"/>
    <col min="1034" max="1034" width="8.75" style="56" customWidth="1"/>
    <col min="1035" max="1035" width="11.375" style="56" customWidth="1"/>
    <col min="1036" max="1038" width="8.75" style="56" customWidth="1"/>
    <col min="1039" max="1040" width="11.375" style="56" customWidth="1"/>
    <col min="1041" max="1041" width="8.75" style="56" customWidth="1"/>
    <col min="1042" max="1042" width="21.875" style="56" customWidth="1"/>
    <col min="1043" max="1043" width="6" style="56" customWidth="1"/>
    <col min="1044" max="1044" width="11" style="56" customWidth="1"/>
    <col min="1045" max="1045" width="13.625" style="56" customWidth="1"/>
    <col min="1046" max="1046" width="25.625" style="56" customWidth="1"/>
    <col min="1047" max="1047" width="7.875" style="56" customWidth="1"/>
    <col min="1048" max="1280" width="9" style="56"/>
    <col min="1281" max="1281" width="16.375" style="56" customWidth="1"/>
    <col min="1282" max="1282" width="12.5" style="56" customWidth="1"/>
    <col min="1283" max="1283" width="20.875" style="56" customWidth="1"/>
    <col min="1284" max="1284" width="16.125" style="56" customWidth="1"/>
    <col min="1285" max="1285" width="11.75" style="56" customWidth="1"/>
    <col min="1286" max="1286" width="13.625" style="56" customWidth="1"/>
    <col min="1287" max="1288" width="14.25" style="56" customWidth="1"/>
    <col min="1289" max="1289" width="5.5" style="56" customWidth="1"/>
    <col min="1290" max="1290" width="8.75" style="56" customWidth="1"/>
    <col min="1291" max="1291" width="11.375" style="56" customWidth="1"/>
    <col min="1292" max="1294" width="8.75" style="56" customWidth="1"/>
    <col min="1295" max="1296" width="11.375" style="56" customWidth="1"/>
    <col min="1297" max="1297" width="8.75" style="56" customWidth="1"/>
    <col min="1298" max="1298" width="21.875" style="56" customWidth="1"/>
    <col min="1299" max="1299" width="6" style="56" customWidth="1"/>
    <col min="1300" max="1300" width="11" style="56" customWidth="1"/>
    <col min="1301" max="1301" width="13.625" style="56" customWidth="1"/>
    <col min="1302" max="1302" width="25.625" style="56" customWidth="1"/>
    <col min="1303" max="1303" width="7.875" style="56" customWidth="1"/>
    <col min="1304" max="1536" width="9" style="56"/>
    <col min="1537" max="1537" width="16.375" style="56" customWidth="1"/>
    <col min="1538" max="1538" width="12.5" style="56" customWidth="1"/>
    <col min="1539" max="1539" width="20.875" style="56" customWidth="1"/>
    <col min="1540" max="1540" width="16.125" style="56" customWidth="1"/>
    <col min="1541" max="1541" width="11.75" style="56" customWidth="1"/>
    <col min="1542" max="1542" width="13.625" style="56" customWidth="1"/>
    <col min="1543" max="1544" width="14.25" style="56" customWidth="1"/>
    <col min="1545" max="1545" width="5.5" style="56" customWidth="1"/>
    <col min="1546" max="1546" width="8.75" style="56" customWidth="1"/>
    <col min="1547" max="1547" width="11.375" style="56" customWidth="1"/>
    <col min="1548" max="1550" width="8.75" style="56" customWidth="1"/>
    <col min="1551" max="1552" width="11.375" style="56" customWidth="1"/>
    <col min="1553" max="1553" width="8.75" style="56" customWidth="1"/>
    <col min="1554" max="1554" width="21.875" style="56" customWidth="1"/>
    <col min="1555" max="1555" width="6" style="56" customWidth="1"/>
    <col min="1556" max="1556" width="11" style="56" customWidth="1"/>
    <col min="1557" max="1557" width="13.625" style="56" customWidth="1"/>
    <col min="1558" max="1558" width="25.625" style="56" customWidth="1"/>
    <col min="1559" max="1559" width="7.875" style="56" customWidth="1"/>
    <col min="1560" max="1792" width="9" style="56"/>
    <col min="1793" max="1793" width="16.375" style="56" customWidth="1"/>
    <col min="1794" max="1794" width="12.5" style="56" customWidth="1"/>
    <col min="1795" max="1795" width="20.875" style="56" customWidth="1"/>
    <col min="1796" max="1796" width="16.125" style="56" customWidth="1"/>
    <col min="1797" max="1797" width="11.75" style="56" customWidth="1"/>
    <col min="1798" max="1798" width="13.625" style="56" customWidth="1"/>
    <col min="1799" max="1800" width="14.25" style="56" customWidth="1"/>
    <col min="1801" max="1801" width="5.5" style="56" customWidth="1"/>
    <col min="1802" max="1802" width="8.75" style="56" customWidth="1"/>
    <col min="1803" max="1803" width="11.375" style="56" customWidth="1"/>
    <col min="1804" max="1806" width="8.75" style="56" customWidth="1"/>
    <col min="1807" max="1808" width="11.375" style="56" customWidth="1"/>
    <col min="1809" max="1809" width="8.75" style="56" customWidth="1"/>
    <col min="1810" max="1810" width="21.875" style="56" customWidth="1"/>
    <col min="1811" max="1811" width="6" style="56" customWidth="1"/>
    <col min="1812" max="1812" width="11" style="56" customWidth="1"/>
    <col min="1813" max="1813" width="13.625" style="56" customWidth="1"/>
    <col min="1814" max="1814" width="25.625" style="56" customWidth="1"/>
    <col min="1815" max="1815" width="7.875" style="56" customWidth="1"/>
    <col min="1816" max="2048" width="9" style="56"/>
    <col min="2049" max="2049" width="16.375" style="56" customWidth="1"/>
    <col min="2050" max="2050" width="12.5" style="56" customWidth="1"/>
    <col min="2051" max="2051" width="20.875" style="56" customWidth="1"/>
    <col min="2052" max="2052" width="16.125" style="56" customWidth="1"/>
    <col min="2053" max="2053" width="11.75" style="56" customWidth="1"/>
    <col min="2054" max="2054" width="13.625" style="56" customWidth="1"/>
    <col min="2055" max="2056" width="14.25" style="56" customWidth="1"/>
    <col min="2057" max="2057" width="5.5" style="56" customWidth="1"/>
    <col min="2058" max="2058" width="8.75" style="56" customWidth="1"/>
    <col min="2059" max="2059" width="11.375" style="56" customWidth="1"/>
    <col min="2060" max="2062" width="8.75" style="56" customWidth="1"/>
    <col min="2063" max="2064" width="11.375" style="56" customWidth="1"/>
    <col min="2065" max="2065" width="8.75" style="56" customWidth="1"/>
    <col min="2066" max="2066" width="21.875" style="56" customWidth="1"/>
    <col min="2067" max="2067" width="6" style="56" customWidth="1"/>
    <col min="2068" max="2068" width="11" style="56" customWidth="1"/>
    <col min="2069" max="2069" width="13.625" style="56" customWidth="1"/>
    <col min="2070" max="2070" width="25.625" style="56" customWidth="1"/>
    <col min="2071" max="2071" width="7.875" style="56" customWidth="1"/>
    <col min="2072" max="2304" width="9" style="56"/>
    <col min="2305" max="2305" width="16.375" style="56" customWidth="1"/>
    <col min="2306" max="2306" width="12.5" style="56" customWidth="1"/>
    <col min="2307" max="2307" width="20.875" style="56" customWidth="1"/>
    <col min="2308" max="2308" width="16.125" style="56" customWidth="1"/>
    <col min="2309" max="2309" width="11.75" style="56" customWidth="1"/>
    <col min="2310" max="2310" width="13.625" style="56" customWidth="1"/>
    <col min="2311" max="2312" width="14.25" style="56" customWidth="1"/>
    <col min="2313" max="2313" width="5.5" style="56" customWidth="1"/>
    <col min="2314" max="2314" width="8.75" style="56" customWidth="1"/>
    <col min="2315" max="2315" width="11.375" style="56" customWidth="1"/>
    <col min="2316" max="2318" width="8.75" style="56" customWidth="1"/>
    <col min="2319" max="2320" width="11.375" style="56" customWidth="1"/>
    <col min="2321" max="2321" width="8.75" style="56" customWidth="1"/>
    <col min="2322" max="2322" width="21.875" style="56" customWidth="1"/>
    <col min="2323" max="2323" width="6" style="56" customWidth="1"/>
    <col min="2324" max="2324" width="11" style="56" customWidth="1"/>
    <col min="2325" max="2325" width="13.625" style="56" customWidth="1"/>
    <col min="2326" max="2326" width="25.625" style="56" customWidth="1"/>
    <col min="2327" max="2327" width="7.875" style="56" customWidth="1"/>
    <col min="2328" max="2560" width="9" style="56"/>
    <col min="2561" max="2561" width="16.375" style="56" customWidth="1"/>
    <col min="2562" max="2562" width="12.5" style="56" customWidth="1"/>
    <col min="2563" max="2563" width="20.875" style="56" customWidth="1"/>
    <col min="2564" max="2564" width="16.125" style="56" customWidth="1"/>
    <col min="2565" max="2565" width="11.75" style="56" customWidth="1"/>
    <col min="2566" max="2566" width="13.625" style="56" customWidth="1"/>
    <col min="2567" max="2568" width="14.25" style="56" customWidth="1"/>
    <col min="2569" max="2569" width="5.5" style="56" customWidth="1"/>
    <col min="2570" max="2570" width="8.75" style="56" customWidth="1"/>
    <col min="2571" max="2571" width="11.375" style="56" customWidth="1"/>
    <col min="2572" max="2574" width="8.75" style="56" customWidth="1"/>
    <col min="2575" max="2576" width="11.375" style="56" customWidth="1"/>
    <col min="2577" max="2577" width="8.75" style="56" customWidth="1"/>
    <col min="2578" max="2578" width="21.875" style="56" customWidth="1"/>
    <col min="2579" max="2579" width="6" style="56" customWidth="1"/>
    <col min="2580" max="2580" width="11" style="56" customWidth="1"/>
    <col min="2581" max="2581" width="13.625" style="56" customWidth="1"/>
    <col min="2582" max="2582" width="25.625" style="56" customWidth="1"/>
    <col min="2583" max="2583" width="7.875" style="56" customWidth="1"/>
    <col min="2584" max="2816" width="9" style="56"/>
    <col min="2817" max="2817" width="16.375" style="56" customWidth="1"/>
    <col min="2818" max="2818" width="12.5" style="56" customWidth="1"/>
    <col min="2819" max="2819" width="20.875" style="56" customWidth="1"/>
    <col min="2820" max="2820" width="16.125" style="56" customWidth="1"/>
    <col min="2821" max="2821" width="11.75" style="56" customWidth="1"/>
    <col min="2822" max="2822" width="13.625" style="56" customWidth="1"/>
    <col min="2823" max="2824" width="14.25" style="56" customWidth="1"/>
    <col min="2825" max="2825" width="5.5" style="56" customWidth="1"/>
    <col min="2826" max="2826" width="8.75" style="56" customWidth="1"/>
    <col min="2827" max="2827" width="11.375" style="56" customWidth="1"/>
    <col min="2828" max="2830" width="8.75" style="56" customWidth="1"/>
    <col min="2831" max="2832" width="11.375" style="56" customWidth="1"/>
    <col min="2833" max="2833" width="8.75" style="56" customWidth="1"/>
    <col min="2834" max="2834" width="21.875" style="56" customWidth="1"/>
    <col min="2835" max="2835" width="6" style="56" customWidth="1"/>
    <col min="2836" max="2836" width="11" style="56" customWidth="1"/>
    <col min="2837" max="2837" width="13.625" style="56" customWidth="1"/>
    <col min="2838" max="2838" width="25.625" style="56" customWidth="1"/>
    <col min="2839" max="2839" width="7.875" style="56" customWidth="1"/>
    <col min="2840" max="3072" width="9" style="56"/>
    <col min="3073" max="3073" width="16.375" style="56" customWidth="1"/>
    <col min="3074" max="3074" width="12.5" style="56" customWidth="1"/>
    <col min="3075" max="3075" width="20.875" style="56" customWidth="1"/>
    <col min="3076" max="3076" width="16.125" style="56" customWidth="1"/>
    <col min="3077" max="3077" width="11.75" style="56" customWidth="1"/>
    <col min="3078" max="3078" width="13.625" style="56" customWidth="1"/>
    <col min="3079" max="3080" width="14.25" style="56" customWidth="1"/>
    <col min="3081" max="3081" width="5.5" style="56" customWidth="1"/>
    <col min="3082" max="3082" width="8.75" style="56" customWidth="1"/>
    <col min="3083" max="3083" width="11.375" style="56" customWidth="1"/>
    <col min="3084" max="3086" width="8.75" style="56" customWidth="1"/>
    <col min="3087" max="3088" width="11.375" style="56" customWidth="1"/>
    <col min="3089" max="3089" width="8.75" style="56" customWidth="1"/>
    <col min="3090" max="3090" width="21.875" style="56" customWidth="1"/>
    <col min="3091" max="3091" width="6" style="56" customWidth="1"/>
    <col min="3092" max="3092" width="11" style="56" customWidth="1"/>
    <col min="3093" max="3093" width="13.625" style="56" customWidth="1"/>
    <col min="3094" max="3094" width="25.625" style="56" customWidth="1"/>
    <col min="3095" max="3095" width="7.875" style="56" customWidth="1"/>
    <col min="3096" max="3328" width="9" style="56"/>
    <col min="3329" max="3329" width="16.375" style="56" customWidth="1"/>
    <col min="3330" max="3330" width="12.5" style="56" customWidth="1"/>
    <col min="3331" max="3331" width="20.875" style="56" customWidth="1"/>
    <col min="3332" max="3332" width="16.125" style="56" customWidth="1"/>
    <col min="3333" max="3333" width="11.75" style="56" customWidth="1"/>
    <col min="3334" max="3334" width="13.625" style="56" customWidth="1"/>
    <col min="3335" max="3336" width="14.25" style="56" customWidth="1"/>
    <col min="3337" max="3337" width="5.5" style="56" customWidth="1"/>
    <col min="3338" max="3338" width="8.75" style="56" customWidth="1"/>
    <col min="3339" max="3339" width="11.375" style="56" customWidth="1"/>
    <col min="3340" max="3342" width="8.75" style="56" customWidth="1"/>
    <col min="3343" max="3344" width="11.375" style="56" customWidth="1"/>
    <col min="3345" max="3345" width="8.75" style="56" customWidth="1"/>
    <col min="3346" max="3346" width="21.875" style="56" customWidth="1"/>
    <col min="3347" max="3347" width="6" style="56" customWidth="1"/>
    <col min="3348" max="3348" width="11" style="56" customWidth="1"/>
    <col min="3349" max="3349" width="13.625" style="56" customWidth="1"/>
    <col min="3350" max="3350" width="25.625" style="56" customWidth="1"/>
    <col min="3351" max="3351" width="7.875" style="56" customWidth="1"/>
    <col min="3352" max="3584" width="9" style="56"/>
    <col min="3585" max="3585" width="16.375" style="56" customWidth="1"/>
    <col min="3586" max="3586" width="12.5" style="56" customWidth="1"/>
    <col min="3587" max="3587" width="20.875" style="56" customWidth="1"/>
    <col min="3588" max="3588" width="16.125" style="56" customWidth="1"/>
    <col min="3589" max="3589" width="11.75" style="56" customWidth="1"/>
    <col min="3590" max="3590" width="13.625" style="56" customWidth="1"/>
    <col min="3591" max="3592" width="14.25" style="56" customWidth="1"/>
    <col min="3593" max="3593" width="5.5" style="56" customWidth="1"/>
    <col min="3594" max="3594" width="8.75" style="56" customWidth="1"/>
    <col min="3595" max="3595" width="11.375" style="56" customWidth="1"/>
    <col min="3596" max="3598" width="8.75" style="56" customWidth="1"/>
    <col min="3599" max="3600" width="11.375" style="56" customWidth="1"/>
    <col min="3601" max="3601" width="8.75" style="56" customWidth="1"/>
    <col min="3602" max="3602" width="21.875" style="56" customWidth="1"/>
    <col min="3603" max="3603" width="6" style="56" customWidth="1"/>
    <col min="3604" max="3604" width="11" style="56" customWidth="1"/>
    <col min="3605" max="3605" width="13.625" style="56" customWidth="1"/>
    <col min="3606" max="3606" width="25.625" style="56" customWidth="1"/>
    <col min="3607" max="3607" width="7.875" style="56" customWidth="1"/>
    <col min="3608" max="3840" width="9" style="56"/>
    <col min="3841" max="3841" width="16.375" style="56" customWidth="1"/>
    <col min="3842" max="3842" width="12.5" style="56" customWidth="1"/>
    <col min="3843" max="3843" width="20.875" style="56" customWidth="1"/>
    <col min="3844" max="3844" width="16.125" style="56" customWidth="1"/>
    <col min="3845" max="3845" width="11.75" style="56" customWidth="1"/>
    <col min="3846" max="3846" width="13.625" style="56" customWidth="1"/>
    <col min="3847" max="3848" width="14.25" style="56" customWidth="1"/>
    <col min="3849" max="3849" width="5.5" style="56" customWidth="1"/>
    <col min="3850" max="3850" width="8.75" style="56" customWidth="1"/>
    <col min="3851" max="3851" width="11.375" style="56" customWidth="1"/>
    <col min="3852" max="3854" width="8.75" style="56" customWidth="1"/>
    <col min="3855" max="3856" width="11.375" style="56" customWidth="1"/>
    <col min="3857" max="3857" width="8.75" style="56" customWidth="1"/>
    <col min="3858" max="3858" width="21.875" style="56" customWidth="1"/>
    <col min="3859" max="3859" width="6" style="56" customWidth="1"/>
    <col min="3860" max="3860" width="11" style="56" customWidth="1"/>
    <col min="3861" max="3861" width="13.625" style="56" customWidth="1"/>
    <col min="3862" max="3862" width="25.625" style="56" customWidth="1"/>
    <col min="3863" max="3863" width="7.875" style="56" customWidth="1"/>
    <col min="3864" max="4096" width="9" style="56"/>
    <col min="4097" max="4097" width="16.375" style="56" customWidth="1"/>
    <col min="4098" max="4098" width="12.5" style="56" customWidth="1"/>
    <col min="4099" max="4099" width="20.875" style="56" customWidth="1"/>
    <col min="4100" max="4100" width="16.125" style="56" customWidth="1"/>
    <col min="4101" max="4101" width="11.75" style="56" customWidth="1"/>
    <col min="4102" max="4102" width="13.625" style="56" customWidth="1"/>
    <col min="4103" max="4104" width="14.25" style="56" customWidth="1"/>
    <col min="4105" max="4105" width="5.5" style="56" customWidth="1"/>
    <col min="4106" max="4106" width="8.75" style="56" customWidth="1"/>
    <col min="4107" max="4107" width="11.375" style="56" customWidth="1"/>
    <col min="4108" max="4110" width="8.75" style="56" customWidth="1"/>
    <col min="4111" max="4112" width="11.375" style="56" customWidth="1"/>
    <col min="4113" max="4113" width="8.75" style="56" customWidth="1"/>
    <col min="4114" max="4114" width="21.875" style="56" customWidth="1"/>
    <col min="4115" max="4115" width="6" style="56" customWidth="1"/>
    <col min="4116" max="4116" width="11" style="56" customWidth="1"/>
    <col min="4117" max="4117" width="13.625" style="56" customWidth="1"/>
    <col min="4118" max="4118" width="25.625" style="56" customWidth="1"/>
    <col min="4119" max="4119" width="7.875" style="56" customWidth="1"/>
    <col min="4120" max="4352" width="9" style="56"/>
    <col min="4353" max="4353" width="16.375" style="56" customWidth="1"/>
    <col min="4354" max="4354" width="12.5" style="56" customWidth="1"/>
    <col min="4355" max="4355" width="20.875" style="56" customWidth="1"/>
    <col min="4356" max="4356" width="16.125" style="56" customWidth="1"/>
    <col min="4357" max="4357" width="11.75" style="56" customWidth="1"/>
    <col min="4358" max="4358" width="13.625" style="56" customWidth="1"/>
    <col min="4359" max="4360" width="14.25" style="56" customWidth="1"/>
    <col min="4361" max="4361" width="5.5" style="56" customWidth="1"/>
    <col min="4362" max="4362" width="8.75" style="56" customWidth="1"/>
    <col min="4363" max="4363" width="11.375" style="56" customWidth="1"/>
    <col min="4364" max="4366" width="8.75" style="56" customWidth="1"/>
    <col min="4367" max="4368" width="11.375" style="56" customWidth="1"/>
    <col min="4369" max="4369" width="8.75" style="56" customWidth="1"/>
    <col min="4370" max="4370" width="21.875" style="56" customWidth="1"/>
    <col min="4371" max="4371" width="6" style="56" customWidth="1"/>
    <col min="4372" max="4372" width="11" style="56" customWidth="1"/>
    <col min="4373" max="4373" width="13.625" style="56" customWidth="1"/>
    <col min="4374" max="4374" width="25.625" style="56" customWidth="1"/>
    <col min="4375" max="4375" width="7.875" style="56" customWidth="1"/>
    <col min="4376" max="4608" width="9" style="56"/>
    <col min="4609" max="4609" width="16.375" style="56" customWidth="1"/>
    <col min="4610" max="4610" width="12.5" style="56" customWidth="1"/>
    <col min="4611" max="4611" width="20.875" style="56" customWidth="1"/>
    <col min="4612" max="4612" width="16.125" style="56" customWidth="1"/>
    <col min="4613" max="4613" width="11.75" style="56" customWidth="1"/>
    <col min="4614" max="4614" width="13.625" style="56" customWidth="1"/>
    <col min="4615" max="4616" width="14.25" style="56" customWidth="1"/>
    <col min="4617" max="4617" width="5.5" style="56" customWidth="1"/>
    <col min="4618" max="4618" width="8.75" style="56" customWidth="1"/>
    <col min="4619" max="4619" width="11.375" style="56" customWidth="1"/>
    <col min="4620" max="4622" width="8.75" style="56" customWidth="1"/>
    <col min="4623" max="4624" width="11.375" style="56" customWidth="1"/>
    <col min="4625" max="4625" width="8.75" style="56" customWidth="1"/>
    <col min="4626" max="4626" width="21.875" style="56" customWidth="1"/>
    <col min="4627" max="4627" width="6" style="56" customWidth="1"/>
    <col min="4628" max="4628" width="11" style="56" customWidth="1"/>
    <col min="4629" max="4629" width="13.625" style="56" customWidth="1"/>
    <col min="4630" max="4630" width="25.625" style="56" customWidth="1"/>
    <col min="4631" max="4631" width="7.875" style="56" customWidth="1"/>
    <col min="4632" max="4864" width="9" style="56"/>
    <col min="4865" max="4865" width="16.375" style="56" customWidth="1"/>
    <col min="4866" max="4866" width="12.5" style="56" customWidth="1"/>
    <col min="4867" max="4867" width="20.875" style="56" customWidth="1"/>
    <col min="4868" max="4868" width="16.125" style="56" customWidth="1"/>
    <col min="4869" max="4869" width="11.75" style="56" customWidth="1"/>
    <col min="4870" max="4870" width="13.625" style="56" customWidth="1"/>
    <col min="4871" max="4872" width="14.25" style="56" customWidth="1"/>
    <col min="4873" max="4873" width="5.5" style="56" customWidth="1"/>
    <col min="4874" max="4874" width="8.75" style="56" customWidth="1"/>
    <col min="4875" max="4875" width="11.375" style="56" customWidth="1"/>
    <col min="4876" max="4878" width="8.75" style="56" customWidth="1"/>
    <col min="4879" max="4880" width="11.375" style="56" customWidth="1"/>
    <col min="4881" max="4881" width="8.75" style="56" customWidth="1"/>
    <col min="4882" max="4882" width="21.875" style="56" customWidth="1"/>
    <col min="4883" max="4883" width="6" style="56" customWidth="1"/>
    <col min="4884" max="4884" width="11" style="56" customWidth="1"/>
    <col min="4885" max="4885" width="13.625" style="56" customWidth="1"/>
    <col min="4886" max="4886" width="25.625" style="56" customWidth="1"/>
    <col min="4887" max="4887" width="7.875" style="56" customWidth="1"/>
    <col min="4888" max="5120" width="9" style="56"/>
    <col min="5121" max="5121" width="16.375" style="56" customWidth="1"/>
    <col min="5122" max="5122" width="12.5" style="56" customWidth="1"/>
    <col min="5123" max="5123" width="20.875" style="56" customWidth="1"/>
    <col min="5124" max="5124" width="16.125" style="56" customWidth="1"/>
    <col min="5125" max="5125" width="11.75" style="56" customWidth="1"/>
    <col min="5126" max="5126" width="13.625" style="56" customWidth="1"/>
    <col min="5127" max="5128" width="14.25" style="56" customWidth="1"/>
    <col min="5129" max="5129" width="5.5" style="56" customWidth="1"/>
    <col min="5130" max="5130" width="8.75" style="56" customWidth="1"/>
    <col min="5131" max="5131" width="11.375" style="56" customWidth="1"/>
    <col min="5132" max="5134" width="8.75" style="56" customWidth="1"/>
    <col min="5135" max="5136" width="11.375" style="56" customWidth="1"/>
    <col min="5137" max="5137" width="8.75" style="56" customWidth="1"/>
    <col min="5138" max="5138" width="21.875" style="56" customWidth="1"/>
    <col min="5139" max="5139" width="6" style="56" customWidth="1"/>
    <col min="5140" max="5140" width="11" style="56" customWidth="1"/>
    <col min="5141" max="5141" width="13.625" style="56" customWidth="1"/>
    <col min="5142" max="5142" width="25.625" style="56" customWidth="1"/>
    <col min="5143" max="5143" width="7.875" style="56" customWidth="1"/>
    <col min="5144" max="5376" width="9" style="56"/>
    <col min="5377" max="5377" width="16.375" style="56" customWidth="1"/>
    <col min="5378" max="5378" width="12.5" style="56" customWidth="1"/>
    <col min="5379" max="5379" width="20.875" style="56" customWidth="1"/>
    <col min="5380" max="5380" width="16.125" style="56" customWidth="1"/>
    <col min="5381" max="5381" width="11.75" style="56" customWidth="1"/>
    <col min="5382" max="5382" width="13.625" style="56" customWidth="1"/>
    <col min="5383" max="5384" width="14.25" style="56" customWidth="1"/>
    <col min="5385" max="5385" width="5.5" style="56" customWidth="1"/>
    <col min="5386" max="5386" width="8.75" style="56" customWidth="1"/>
    <col min="5387" max="5387" width="11.375" style="56" customWidth="1"/>
    <col min="5388" max="5390" width="8.75" style="56" customWidth="1"/>
    <col min="5391" max="5392" width="11.375" style="56" customWidth="1"/>
    <col min="5393" max="5393" width="8.75" style="56" customWidth="1"/>
    <col min="5394" max="5394" width="21.875" style="56" customWidth="1"/>
    <col min="5395" max="5395" width="6" style="56" customWidth="1"/>
    <col min="5396" max="5396" width="11" style="56" customWidth="1"/>
    <col min="5397" max="5397" width="13.625" style="56" customWidth="1"/>
    <col min="5398" max="5398" width="25.625" style="56" customWidth="1"/>
    <col min="5399" max="5399" width="7.875" style="56" customWidth="1"/>
    <col min="5400" max="5632" width="9" style="56"/>
    <col min="5633" max="5633" width="16.375" style="56" customWidth="1"/>
    <col min="5634" max="5634" width="12.5" style="56" customWidth="1"/>
    <col min="5635" max="5635" width="20.875" style="56" customWidth="1"/>
    <col min="5636" max="5636" width="16.125" style="56" customWidth="1"/>
    <col min="5637" max="5637" width="11.75" style="56" customWidth="1"/>
    <col min="5638" max="5638" width="13.625" style="56" customWidth="1"/>
    <col min="5639" max="5640" width="14.25" style="56" customWidth="1"/>
    <col min="5641" max="5641" width="5.5" style="56" customWidth="1"/>
    <col min="5642" max="5642" width="8.75" style="56" customWidth="1"/>
    <col min="5643" max="5643" width="11.375" style="56" customWidth="1"/>
    <col min="5644" max="5646" width="8.75" style="56" customWidth="1"/>
    <col min="5647" max="5648" width="11.375" style="56" customWidth="1"/>
    <col min="5649" max="5649" width="8.75" style="56" customWidth="1"/>
    <col min="5650" max="5650" width="21.875" style="56" customWidth="1"/>
    <col min="5651" max="5651" width="6" style="56" customWidth="1"/>
    <col min="5652" max="5652" width="11" style="56" customWidth="1"/>
    <col min="5653" max="5653" width="13.625" style="56" customWidth="1"/>
    <col min="5654" max="5654" width="25.625" style="56" customWidth="1"/>
    <col min="5655" max="5655" width="7.875" style="56" customWidth="1"/>
    <col min="5656" max="5888" width="9" style="56"/>
    <col min="5889" max="5889" width="16.375" style="56" customWidth="1"/>
    <col min="5890" max="5890" width="12.5" style="56" customWidth="1"/>
    <col min="5891" max="5891" width="20.875" style="56" customWidth="1"/>
    <col min="5892" max="5892" width="16.125" style="56" customWidth="1"/>
    <col min="5893" max="5893" width="11.75" style="56" customWidth="1"/>
    <col min="5894" max="5894" width="13.625" style="56" customWidth="1"/>
    <col min="5895" max="5896" width="14.25" style="56" customWidth="1"/>
    <col min="5897" max="5897" width="5.5" style="56" customWidth="1"/>
    <col min="5898" max="5898" width="8.75" style="56" customWidth="1"/>
    <col min="5899" max="5899" width="11.375" style="56" customWidth="1"/>
    <col min="5900" max="5902" width="8.75" style="56" customWidth="1"/>
    <col min="5903" max="5904" width="11.375" style="56" customWidth="1"/>
    <col min="5905" max="5905" width="8.75" style="56" customWidth="1"/>
    <col min="5906" max="5906" width="21.875" style="56" customWidth="1"/>
    <col min="5907" max="5907" width="6" style="56" customWidth="1"/>
    <col min="5908" max="5908" width="11" style="56" customWidth="1"/>
    <col min="5909" max="5909" width="13.625" style="56" customWidth="1"/>
    <col min="5910" max="5910" width="25.625" style="56" customWidth="1"/>
    <col min="5911" max="5911" width="7.875" style="56" customWidth="1"/>
    <col min="5912" max="6144" width="9" style="56"/>
    <col min="6145" max="6145" width="16.375" style="56" customWidth="1"/>
    <col min="6146" max="6146" width="12.5" style="56" customWidth="1"/>
    <col min="6147" max="6147" width="20.875" style="56" customWidth="1"/>
    <col min="6148" max="6148" width="16.125" style="56" customWidth="1"/>
    <col min="6149" max="6149" width="11.75" style="56" customWidth="1"/>
    <col min="6150" max="6150" width="13.625" style="56" customWidth="1"/>
    <col min="6151" max="6152" width="14.25" style="56" customWidth="1"/>
    <col min="6153" max="6153" width="5.5" style="56" customWidth="1"/>
    <col min="6154" max="6154" width="8.75" style="56" customWidth="1"/>
    <col min="6155" max="6155" width="11.375" style="56" customWidth="1"/>
    <col min="6156" max="6158" width="8.75" style="56" customWidth="1"/>
    <col min="6159" max="6160" width="11.375" style="56" customWidth="1"/>
    <col min="6161" max="6161" width="8.75" style="56" customWidth="1"/>
    <col min="6162" max="6162" width="21.875" style="56" customWidth="1"/>
    <col min="6163" max="6163" width="6" style="56" customWidth="1"/>
    <col min="6164" max="6164" width="11" style="56" customWidth="1"/>
    <col min="6165" max="6165" width="13.625" style="56" customWidth="1"/>
    <col min="6166" max="6166" width="25.625" style="56" customWidth="1"/>
    <col min="6167" max="6167" width="7.875" style="56" customWidth="1"/>
    <col min="6168" max="6400" width="9" style="56"/>
    <col min="6401" max="6401" width="16.375" style="56" customWidth="1"/>
    <col min="6402" max="6402" width="12.5" style="56" customWidth="1"/>
    <col min="6403" max="6403" width="20.875" style="56" customWidth="1"/>
    <col min="6404" max="6404" width="16.125" style="56" customWidth="1"/>
    <col min="6405" max="6405" width="11.75" style="56" customWidth="1"/>
    <col min="6406" max="6406" width="13.625" style="56" customWidth="1"/>
    <col min="6407" max="6408" width="14.25" style="56" customWidth="1"/>
    <col min="6409" max="6409" width="5.5" style="56" customWidth="1"/>
    <col min="6410" max="6410" width="8.75" style="56" customWidth="1"/>
    <col min="6411" max="6411" width="11.375" style="56" customWidth="1"/>
    <col min="6412" max="6414" width="8.75" style="56" customWidth="1"/>
    <col min="6415" max="6416" width="11.375" style="56" customWidth="1"/>
    <col min="6417" max="6417" width="8.75" style="56" customWidth="1"/>
    <col min="6418" max="6418" width="21.875" style="56" customWidth="1"/>
    <col min="6419" max="6419" width="6" style="56" customWidth="1"/>
    <col min="6420" max="6420" width="11" style="56" customWidth="1"/>
    <col min="6421" max="6421" width="13.625" style="56" customWidth="1"/>
    <col min="6422" max="6422" width="25.625" style="56" customWidth="1"/>
    <col min="6423" max="6423" width="7.875" style="56" customWidth="1"/>
    <col min="6424" max="6656" width="9" style="56"/>
    <col min="6657" max="6657" width="16.375" style="56" customWidth="1"/>
    <col min="6658" max="6658" width="12.5" style="56" customWidth="1"/>
    <col min="6659" max="6659" width="20.875" style="56" customWidth="1"/>
    <col min="6660" max="6660" width="16.125" style="56" customWidth="1"/>
    <col min="6661" max="6661" width="11.75" style="56" customWidth="1"/>
    <col min="6662" max="6662" width="13.625" style="56" customWidth="1"/>
    <col min="6663" max="6664" width="14.25" style="56" customWidth="1"/>
    <col min="6665" max="6665" width="5.5" style="56" customWidth="1"/>
    <col min="6666" max="6666" width="8.75" style="56" customWidth="1"/>
    <col min="6667" max="6667" width="11.375" style="56" customWidth="1"/>
    <col min="6668" max="6670" width="8.75" style="56" customWidth="1"/>
    <col min="6671" max="6672" width="11.375" style="56" customWidth="1"/>
    <col min="6673" max="6673" width="8.75" style="56" customWidth="1"/>
    <col min="6674" max="6674" width="21.875" style="56" customWidth="1"/>
    <col min="6675" max="6675" width="6" style="56" customWidth="1"/>
    <col min="6676" max="6676" width="11" style="56" customWidth="1"/>
    <col min="6677" max="6677" width="13.625" style="56" customWidth="1"/>
    <col min="6678" max="6678" width="25.625" style="56" customWidth="1"/>
    <col min="6679" max="6679" width="7.875" style="56" customWidth="1"/>
    <col min="6680" max="6912" width="9" style="56"/>
    <col min="6913" max="6913" width="16.375" style="56" customWidth="1"/>
    <col min="6914" max="6914" width="12.5" style="56" customWidth="1"/>
    <col min="6915" max="6915" width="20.875" style="56" customWidth="1"/>
    <col min="6916" max="6916" width="16.125" style="56" customWidth="1"/>
    <col min="6917" max="6917" width="11.75" style="56" customWidth="1"/>
    <col min="6918" max="6918" width="13.625" style="56" customWidth="1"/>
    <col min="6919" max="6920" width="14.25" style="56" customWidth="1"/>
    <col min="6921" max="6921" width="5.5" style="56" customWidth="1"/>
    <col min="6922" max="6922" width="8.75" style="56" customWidth="1"/>
    <col min="6923" max="6923" width="11.375" style="56" customWidth="1"/>
    <col min="6924" max="6926" width="8.75" style="56" customWidth="1"/>
    <col min="6927" max="6928" width="11.375" style="56" customWidth="1"/>
    <col min="6929" max="6929" width="8.75" style="56" customWidth="1"/>
    <col min="6930" max="6930" width="21.875" style="56" customWidth="1"/>
    <col min="6931" max="6931" width="6" style="56" customWidth="1"/>
    <col min="6932" max="6932" width="11" style="56" customWidth="1"/>
    <col min="6933" max="6933" width="13.625" style="56" customWidth="1"/>
    <col min="6934" max="6934" width="25.625" style="56" customWidth="1"/>
    <col min="6935" max="6935" width="7.875" style="56" customWidth="1"/>
    <col min="6936" max="7168" width="9" style="56"/>
    <col min="7169" max="7169" width="16.375" style="56" customWidth="1"/>
    <col min="7170" max="7170" width="12.5" style="56" customWidth="1"/>
    <col min="7171" max="7171" width="20.875" style="56" customWidth="1"/>
    <col min="7172" max="7172" width="16.125" style="56" customWidth="1"/>
    <col min="7173" max="7173" width="11.75" style="56" customWidth="1"/>
    <col min="7174" max="7174" width="13.625" style="56" customWidth="1"/>
    <col min="7175" max="7176" width="14.25" style="56" customWidth="1"/>
    <col min="7177" max="7177" width="5.5" style="56" customWidth="1"/>
    <col min="7178" max="7178" width="8.75" style="56" customWidth="1"/>
    <col min="7179" max="7179" width="11.375" style="56" customWidth="1"/>
    <col min="7180" max="7182" width="8.75" style="56" customWidth="1"/>
    <col min="7183" max="7184" width="11.375" style="56" customWidth="1"/>
    <col min="7185" max="7185" width="8.75" style="56" customWidth="1"/>
    <col min="7186" max="7186" width="21.875" style="56" customWidth="1"/>
    <col min="7187" max="7187" width="6" style="56" customWidth="1"/>
    <col min="7188" max="7188" width="11" style="56" customWidth="1"/>
    <col min="7189" max="7189" width="13.625" style="56" customWidth="1"/>
    <col min="7190" max="7190" width="25.625" style="56" customWidth="1"/>
    <col min="7191" max="7191" width="7.875" style="56" customWidth="1"/>
    <col min="7192" max="7424" width="9" style="56"/>
    <col min="7425" max="7425" width="16.375" style="56" customWidth="1"/>
    <col min="7426" max="7426" width="12.5" style="56" customWidth="1"/>
    <col min="7427" max="7427" width="20.875" style="56" customWidth="1"/>
    <col min="7428" max="7428" width="16.125" style="56" customWidth="1"/>
    <col min="7429" max="7429" width="11.75" style="56" customWidth="1"/>
    <col min="7430" max="7430" width="13.625" style="56" customWidth="1"/>
    <col min="7431" max="7432" width="14.25" style="56" customWidth="1"/>
    <col min="7433" max="7433" width="5.5" style="56" customWidth="1"/>
    <col min="7434" max="7434" width="8.75" style="56" customWidth="1"/>
    <col min="7435" max="7435" width="11.375" style="56" customWidth="1"/>
    <col min="7436" max="7438" width="8.75" style="56" customWidth="1"/>
    <col min="7439" max="7440" width="11.375" style="56" customWidth="1"/>
    <col min="7441" max="7441" width="8.75" style="56" customWidth="1"/>
    <col min="7442" max="7442" width="21.875" style="56" customWidth="1"/>
    <col min="7443" max="7443" width="6" style="56" customWidth="1"/>
    <col min="7444" max="7444" width="11" style="56" customWidth="1"/>
    <col min="7445" max="7445" width="13.625" style="56" customWidth="1"/>
    <col min="7446" max="7446" width="25.625" style="56" customWidth="1"/>
    <col min="7447" max="7447" width="7.875" style="56" customWidth="1"/>
    <col min="7448" max="7680" width="9" style="56"/>
    <col min="7681" max="7681" width="16.375" style="56" customWidth="1"/>
    <col min="7682" max="7682" width="12.5" style="56" customWidth="1"/>
    <col min="7683" max="7683" width="20.875" style="56" customWidth="1"/>
    <col min="7684" max="7684" width="16.125" style="56" customWidth="1"/>
    <col min="7685" max="7685" width="11.75" style="56" customWidth="1"/>
    <col min="7686" max="7686" width="13.625" style="56" customWidth="1"/>
    <col min="7687" max="7688" width="14.25" style="56" customWidth="1"/>
    <col min="7689" max="7689" width="5.5" style="56" customWidth="1"/>
    <col min="7690" max="7690" width="8.75" style="56" customWidth="1"/>
    <col min="7691" max="7691" width="11.375" style="56" customWidth="1"/>
    <col min="7692" max="7694" width="8.75" style="56" customWidth="1"/>
    <col min="7695" max="7696" width="11.375" style="56" customWidth="1"/>
    <col min="7697" max="7697" width="8.75" style="56" customWidth="1"/>
    <col min="7698" max="7698" width="21.875" style="56" customWidth="1"/>
    <col min="7699" max="7699" width="6" style="56" customWidth="1"/>
    <col min="7700" max="7700" width="11" style="56" customWidth="1"/>
    <col min="7701" max="7701" width="13.625" style="56" customWidth="1"/>
    <col min="7702" max="7702" width="25.625" style="56" customWidth="1"/>
    <col min="7703" max="7703" width="7.875" style="56" customWidth="1"/>
    <col min="7704" max="7936" width="9" style="56"/>
    <col min="7937" max="7937" width="16.375" style="56" customWidth="1"/>
    <col min="7938" max="7938" width="12.5" style="56" customWidth="1"/>
    <col min="7939" max="7939" width="20.875" style="56" customWidth="1"/>
    <col min="7940" max="7940" width="16.125" style="56" customWidth="1"/>
    <col min="7941" max="7941" width="11.75" style="56" customWidth="1"/>
    <col min="7942" max="7942" width="13.625" style="56" customWidth="1"/>
    <col min="7943" max="7944" width="14.25" style="56" customWidth="1"/>
    <col min="7945" max="7945" width="5.5" style="56" customWidth="1"/>
    <col min="7946" max="7946" width="8.75" style="56" customWidth="1"/>
    <col min="7947" max="7947" width="11.375" style="56" customWidth="1"/>
    <col min="7948" max="7950" width="8.75" style="56" customWidth="1"/>
    <col min="7951" max="7952" width="11.375" style="56" customWidth="1"/>
    <col min="7953" max="7953" width="8.75" style="56" customWidth="1"/>
    <col min="7954" max="7954" width="21.875" style="56" customWidth="1"/>
    <col min="7955" max="7955" width="6" style="56" customWidth="1"/>
    <col min="7956" max="7956" width="11" style="56" customWidth="1"/>
    <col min="7957" max="7957" width="13.625" style="56" customWidth="1"/>
    <col min="7958" max="7958" width="25.625" style="56" customWidth="1"/>
    <col min="7959" max="7959" width="7.875" style="56" customWidth="1"/>
    <col min="7960" max="8192" width="9" style="56"/>
    <col min="8193" max="8193" width="16.375" style="56" customWidth="1"/>
    <col min="8194" max="8194" width="12.5" style="56" customWidth="1"/>
    <col min="8195" max="8195" width="20.875" style="56" customWidth="1"/>
    <col min="8196" max="8196" width="16.125" style="56" customWidth="1"/>
    <col min="8197" max="8197" width="11.75" style="56" customWidth="1"/>
    <col min="8198" max="8198" width="13.625" style="56" customWidth="1"/>
    <col min="8199" max="8200" width="14.25" style="56" customWidth="1"/>
    <col min="8201" max="8201" width="5.5" style="56" customWidth="1"/>
    <col min="8202" max="8202" width="8.75" style="56" customWidth="1"/>
    <col min="8203" max="8203" width="11.375" style="56" customWidth="1"/>
    <col min="8204" max="8206" width="8.75" style="56" customWidth="1"/>
    <col min="8207" max="8208" width="11.375" style="56" customWidth="1"/>
    <col min="8209" max="8209" width="8.75" style="56" customWidth="1"/>
    <col min="8210" max="8210" width="21.875" style="56" customWidth="1"/>
    <col min="8211" max="8211" width="6" style="56" customWidth="1"/>
    <col min="8212" max="8212" width="11" style="56" customWidth="1"/>
    <col min="8213" max="8213" width="13.625" style="56" customWidth="1"/>
    <col min="8214" max="8214" width="25.625" style="56" customWidth="1"/>
    <col min="8215" max="8215" width="7.875" style="56" customWidth="1"/>
    <col min="8216" max="8448" width="9" style="56"/>
    <col min="8449" max="8449" width="16.375" style="56" customWidth="1"/>
    <col min="8450" max="8450" width="12.5" style="56" customWidth="1"/>
    <col min="8451" max="8451" width="20.875" style="56" customWidth="1"/>
    <col min="8452" max="8452" width="16.125" style="56" customWidth="1"/>
    <col min="8453" max="8453" width="11.75" style="56" customWidth="1"/>
    <col min="8454" max="8454" width="13.625" style="56" customWidth="1"/>
    <col min="8455" max="8456" width="14.25" style="56" customWidth="1"/>
    <col min="8457" max="8457" width="5.5" style="56" customWidth="1"/>
    <col min="8458" max="8458" width="8.75" style="56" customWidth="1"/>
    <col min="8459" max="8459" width="11.375" style="56" customWidth="1"/>
    <col min="8460" max="8462" width="8.75" style="56" customWidth="1"/>
    <col min="8463" max="8464" width="11.375" style="56" customWidth="1"/>
    <col min="8465" max="8465" width="8.75" style="56" customWidth="1"/>
    <col min="8466" max="8466" width="21.875" style="56" customWidth="1"/>
    <col min="8467" max="8467" width="6" style="56" customWidth="1"/>
    <col min="8468" max="8468" width="11" style="56" customWidth="1"/>
    <col min="8469" max="8469" width="13.625" style="56" customWidth="1"/>
    <col min="8470" max="8470" width="25.625" style="56" customWidth="1"/>
    <col min="8471" max="8471" width="7.875" style="56" customWidth="1"/>
    <col min="8472" max="8704" width="9" style="56"/>
    <col min="8705" max="8705" width="16.375" style="56" customWidth="1"/>
    <col min="8706" max="8706" width="12.5" style="56" customWidth="1"/>
    <col min="8707" max="8707" width="20.875" style="56" customWidth="1"/>
    <col min="8708" max="8708" width="16.125" style="56" customWidth="1"/>
    <col min="8709" max="8709" width="11.75" style="56" customWidth="1"/>
    <col min="8710" max="8710" width="13.625" style="56" customWidth="1"/>
    <col min="8711" max="8712" width="14.25" style="56" customWidth="1"/>
    <col min="8713" max="8713" width="5.5" style="56" customWidth="1"/>
    <col min="8714" max="8714" width="8.75" style="56" customWidth="1"/>
    <col min="8715" max="8715" width="11.375" style="56" customWidth="1"/>
    <col min="8716" max="8718" width="8.75" style="56" customWidth="1"/>
    <col min="8719" max="8720" width="11.375" style="56" customWidth="1"/>
    <col min="8721" max="8721" width="8.75" style="56" customWidth="1"/>
    <col min="8722" max="8722" width="21.875" style="56" customWidth="1"/>
    <col min="8723" max="8723" width="6" style="56" customWidth="1"/>
    <col min="8724" max="8724" width="11" style="56" customWidth="1"/>
    <col min="8725" max="8725" width="13.625" style="56" customWidth="1"/>
    <col min="8726" max="8726" width="25.625" style="56" customWidth="1"/>
    <col min="8727" max="8727" width="7.875" style="56" customWidth="1"/>
    <col min="8728" max="8960" width="9" style="56"/>
    <col min="8961" max="8961" width="16.375" style="56" customWidth="1"/>
    <col min="8962" max="8962" width="12.5" style="56" customWidth="1"/>
    <col min="8963" max="8963" width="20.875" style="56" customWidth="1"/>
    <col min="8964" max="8964" width="16.125" style="56" customWidth="1"/>
    <col min="8965" max="8965" width="11.75" style="56" customWidth="1"/>
    <col min="8966" max="8966" width="13.625" style="56" customWidth="1"/>
    <col min="8967" max="8968" width="14.25" style="56" customWidth="1"/>
    <col min="8969" max="8969" width="5.5" style="56" customWidth="1"/>
    <col min="8970" max="8970" width="8.75" style="56" customWidth="1"/>
    <col min="8971" max="8971" width="11.375" style="56" customWidth="1"/>
    <col min="8972" max="8974" width="8.75" style="56" customWidth="1"/>
    <col min="8975" max="8976" width="11.375" style="56" customWidth="1"/>
    <col min="8977" max="8977" width="8.75" style="56" customWidth="1"/>
    <col min="8978" max="8978" width="21.875" style="56" customWidth="1"/>
    <col min="8979" max="8979" width="6" style="56" customWidth="1"/>
    <col min="8980" max="8980" width="11" style="56" customWidth="1"/>
    <col min="8981" max="8981" width="13.625" style="56" customWidth="1"/>
    <col min="8982" max="8982" width="25.625" style="56" customWidth="1"/>
    <col min="8983" max="8983" width="7.875" style="56" customWidth="1"/>
    <col min="8984" max="9216" width="9" style="56"/>
    <col min="9217" max="9217" width="16.375" style="56" customWidth="1"/>
    <col min="9218" max="9218" width="12.5" style="56" customWidth="1"/>
    <col min="9219" max="9219" width="20.875" style="56" customWidth="1"/>
    <col min="9220" max="9220" width="16.125" style="56" customWidth="1"/>
    <col min="9221" max="9221" width="11.75" style="56" customWidth="1"/>
    <col min="9222" max="9222" width="13.625" style="56" customWidth="1"/>
    <col min="9223" max="9224" width="14.25" style="56" customWidth="1"/>
    <col min="9225" max="9225" width="5.5" style="56" customWidth="1"/>
    <col min="9226" max="9226" width="8.75" style="56" customWidth="1"/>
    <col min="9227" max="9227" width="11.375" style="56" customWidth="1"/>
    <col min="9228" max="9230" width="8.75" style="56" customWidth="1"/>
    <col min="9231" max="9232" width="11.375" style="56" customWidth="1"/>
    <col min="9233" max="9233" width="8.75" style="56" customWidth="1"/>
    <col min="9234" max="9234" width="21.875" style="56" customWidth="1"/>
    <col min="9235" max="9235" width="6" style="56" customWidth="1"/>
    <col min="9236" max="9236" width="11" style="56" customWidth="1"/>
    <col min="9237" max="9237" width="13.625" style="56" customWidth="1"/>
    <col min="9238" max="9238" width="25.625" style="56" customWidth="1"/>
    <col min="9239" max="9239" width="7.875" style="56" customWidth="1"/>
    <col min="9240" max="9472" width="9" style="56"/>
    <col min="9473" max="9473" width="16.375" style="56" customWidth="1"/>
    <col min="9474" max="9474" width="12.5" style="56" customWidth="1"/>
    <col min="9475" max="9475" width="20.875" style="56" customWidth="1"/>
    <col min="9476" max="9476" width="16.125" style="56" customWidth="1"/>
    <col min="9477" max="9477" width="11.75" style="56" customWidth="1"/>
    <col min="9478" max="9478" width="13.625" style="56" customWidth="1"/>
    <col min="9479" max="9480" width="14.25" style="56" customWidth="1"/>
    <col min="9481" max="9481" width="5.5" style="56" customWidth="1"/>
    <col min="9482" max="9482" width="8.75" style="56" customWidth="1"/>
    <col min="9483" max="9483" width="11.375" style="56" customWidth="1"/>
    <col min="9484" max="9486" width="8.75" style="56" customWidth="1"/>
    <col min="9487" max="9488" width="11.375" style="56" customWidth="1"/>
    <col min="9489" max="9489" width="8.75" style="56" customWidth="1"/>
    <col min="9490" max="9490" width="21.875" style="56" customWidth="1"/>
    <col min="9491" max="9491" width="6" style="56" customWidth="1"/>
    <col min="9492" max="9492" width="11" style="56" customWidth="1"/>
    <col min="9493" max="9493" width="13.625" style="56" customWidth="1"/>
    <col min="9494" max="9494" width="25.625" style="56" customWidth="1"/>
    <col min="9495" max="9495" width="7.875" style="56" customWidth="1"/>
    <col min="9496" max="9728" width="9" style="56"/>
    <col min="9729" max="9729" width="16.375" style="56" customWidth="1"/>
    <col min="9730" max="9730" width="12.5" style="56" customWidth="1"/>
    <col min="9731" max="9731" width="20.875" style="56" customWidth="1"/>
    <col min="9732" max="9732" width="16.125" style="56" customWidth="1"/>
    <col min="9733" max="9733" width="11.75" style="56" customWidth="1"/>
    <col min="9734" max="9734" width="13.625" style="56" customWidth="1"/>
    <col min="9735" max="9736" width="14.25" style="56" customWidth="1"/>
    <col min="9737" max="9737" width="5.5" style="56" customWidth="1"/>
    <col min="9738" max="9738" width="8.75" style="56" customWidth="1"/>
    <col min="9739" max="9739" width="11.375" style="56" customWidth="1"/>
    <col min="9740" max="9742" width="8.75" style="56" customWidth="1"/>
    <col min="9743" max="9744" width="11.375" style="56" customWidth="1"/>
    <col min="9745" max="9745" width="8.75" style="56" customWidth="1"/>
    <col min="9746" max="9746" width="21.875" style="56" customWidth="1"/>
    <col min="9747" max="9747" width="6" style="56" customWidth="1"/>
    <col min="9748" max="9748" width="11" style="56" customWidth="1"/>
    <col min="9749" max="9749" width="13.625" style="56" customWidth="1"/>
    <col min="9750" max="9750" width="25.625" style="56" customWidth="1"/>
    <col min="9751" max="9751" width="7.875" style="56" customWidth="1"/>
    <col min="9752" max="9984" width="9" style="56"/>
    <col min="9985" max="9985" width="16.375" style="56" customWidth="1"/>
    <col min="9986" max="9986" width="12.5" style="56" customWidth="1"/>
    <col min="9987" max="9987" width="20.875" style="56" customWidth="1"/>
    <col min="9988" max="9988" width="16.125" style="56" customWidth="1"/>
    <col min="9989" max="9989" width="11.75" style="56" customWidth="1"/>
    <col min="9990" max="9990" width="13.625" style="56" customWidth="1"/>
    <col min="9991" max="9992" width="14.25" style="56" customWidth="1"/>
    <col min="9993" max="9993" width="5.5" style="56" customWidth="1"/>
    <col min="9994" max="9994" width="8.75" style="56" customWidth="1"/>
    <col min="9995" max="9995" width="11.375" style="56" customWidth="1"/>
    <col min="9996" max="9998" width="8.75" style="56" customWidth="1"/>
    <col min="9999" max="10000" width="11.375" style="56" customWidth="1"/>
    <col min="10001" max="10001" width="8.75" style="56" customWidth="1"/>
    <col min="10002" max="10002" width="21.875" style="56" customWidth="1"/>
    <col min="10003" max="10003" width="6" style="56" customWidth="1"/>
    <col min="10004" max="10004" width="11" style="56" customWidth="1"/>
    <col min="10005" max="10005" width="13.625" style="56" customWidth="1"/>
    <col min="10006" max="10006" width="25.625" style="56" customWidth="1"/>
    <col min="10007" max="10007" width="7.875" style="56" customWidth="1"/>
    <col min="10008" max="10240" width="9" style="56"/>
    <col min="10241" max="10241" width="16.375" style="56" customWidth="1"/>
    <col min="10242" max="10242" width="12.5" style="56" customWidth="1"/>
    <col min="10243" max="10243" width="20.875" style="56" customWidth="1"/>
    <col min="10244" max="10244" width="16.125" style="56" customWidth="1"/>
    <col min="10245" max="10245" width="11.75" style="56" customWidth="1"/>
    <col min="10246" max="10246" width="13.625" style="56" customWidth="1"/>
    <col min="10247" max="10248" width="14.25" style="56" customWidth="1"/>
    <col min="10249" max="10249" width="5.5" style="56" customWidth="1"/>
    <col min="10250" max="10250" width="8.75" style="56" customWidth="1"/>
    <col min="10251" max="10251" width="11.375" style="56" customWidth="1"/>
    <col min="10252" max="10254" width="8.75" style="56" customWidth="1"/>
    <col min="10255" max="10256" width="11.375" style="56" customWidth="1"/>
    <col min="10257" max="10257" width="8.75" style="56" customWidth="1"/>
    <col min="10258" max="10258" width="21.875" style="56" customWidth="1"/>
    <col min="10259" max="10259" width="6" style="56" customWidth="1"/>
    <col min="10260" max="10260" width="11" style="56" customWidth="1"/>
    <col min="10261" max="10261" width="13.625" style="56" customWidth="1"/>
    <col min="10262" max="10262" width="25.625" style="56" customWidth="1"/>
    <col min="10263" max="10263" width="7.875" style="56" customWidth="1"/>
    <col min="10264" max="10496" width="9" style="56"/>
    <col min="10497" max="10497" width="16.375" style="56" customWidth="1"/>
    <col min="10498" max="10498" width="12.5" style="56" customWidth="1"/>
    <col min="10499" max="10499" width="20.875" style="56" customWidth="1"/>
    <col min="10500" max="10500" width="16.125" style="56" customWidth="1"/>
    <col min="10501" max="10501" width="11.75" style="56" customWidth="1"/>
    <col min="10502" max="10502" width="13.625" style="56" customWidth="1"/>
    <col min="10503" max="10504" width="14.25" style="56" customWidth="1"/>
    <col min="10505" max="10505" width="5.5" style="56" customWidth="1"/>
    <col min="10506" max="10506" width="8.75" style="56" customWidth="1"/>
    <col min="10507" max="10507" width="11.375" style="56" customWidth="1"/>
    <col min="10508" max="10510" width="8.75" style="56" customWidth="1"/>
    <col min="10511" max="10512" width="11.375" style="56" customWidth="1"/>
    <col min="10513" max="10513" width="8.75" style="56" customWidth="1"/>
    <col min="10514" max="10514" width="21.875" style="56" customWidth="1"/>
    <col min="10515" max="10515" width="6" style="56" customWidth="1"/>
    <col min="10516" max="10516" width="11" style="56" customWidth="1"/>
    <col min="10517" max="10517" width="13.625" style="56" customWidth="1"/>
    <col min="10518" max="10518" width="25.625" style="56" customWidth="1"/>
    <col min="10519" max="10519" width="7.875" style="56" customWidth="1"/>
    <col min="10520" max="10752" width="9" style="56"/>
    <col min="10753" max="10753" width="16.375" style="56" customWidth="1"/>
    <col min="10754" max="10754" width="12.5" style="56" customWidth="1"/>
    <col min="10755" max="10755" width="20.875" style="56" customWidth="1"/>
    <col min="10756" max="10756" width="16.125" style="56" customWidth="1"/>
    <col min="10757" max="10757" width="11.75" style="56" customWidth="1"/>
    <col min="10758" max="10758" width="13.625" style="56" customWidth="1"/>
    <col min="10759" max="10760" width="14.25" style="56" customWidth="1"/>
    <col min="10761" max="10761" width="5.5" style="56" customWidth="1"/>
    <col min="10762" max="10762" width="8.75" style="56" customWidth="1"/>
    <col min="10763" max="10763" width="11.375" style="56" customWidth="1"/>
    <col min="10764" max="10766" width="8.75" style="56" customWidth="1"/>
    <col min="10767" max="10768" width="11.375" style="56" customWidth="1"/>
    <col min="10769" max="10769" width="8.75" style="56" customWidth="1"/>
    <col min="10770" max="10770" width="21.875" style="56" customWidth="1"/>
    <col min="10771" max="10771" width="6" style="56" customWidth="1"/>
    <col min="10772" max="10772" width="11" style="56" customWidth="1"/>
    <col min="10773" max="10773" width="13.625" style="56" customWidth="1"/>
    <col min="10774" max="10774" width="25.625" style="56" customWidth="1"/>
    <col min="10775" max="10775" width="7.875" style="56" customWidth="1"/>
    <col min="10776" max="11008" width="9" style="56"/>
    <col min="11009" max="11009" width="16.375" style="56" customWidth="1"/>
    <col min="11010" max="11010" width="12.5" style="56" customWidth="1"/>
    <col min="11011" max="11011" width="20.875" style="56" customWidth="1"/>
    <col min="11012" max="11012" width="16.125" style="56" customWidth="1"/>
    <col min="11013" max="11013" width="11.75" style="56" customWidth="1"/>
    <col min="11014" max="11014" width="13.625" style="56" customWidth="1"/>
    <col min="11015" max="11016" width="14.25" style="56" customWidth="1"/>
    <col min="11017" max="11017" width="5.5" style="56" customWidth="1"/>
    <col min="11018" max="11018" width="8.75" style="56" customWidth="1"/>
    <col min="11019" max="11019" width="11.375" style="56" customWidth="1"/>
    <col min="11020" max="11022" width="8.75" style="56" customWidth="1"/>
    <col min="11023" max="11024" width="11.375" style="56" customWidth="1"/>
    <col min="11025" max="11025" width="8.75" style="56" customWidth="1"/>
    <col min="11026" max="11026" width="21.875" style="56" customWidth="1"/>
    <col min="11027" max="11027" width="6" style="56" customWidth="1"/>
    <col min="11028" max="11028" width="11" style="56" customWidth="1"/>
    <col min="11029" max="11029" width="13.625" style="56" customWidth="1"/>
    <col min="11030" max="11030" width="25.625" style="56" customWidth="1"/>
    <col min="11031" max="11031" width="7.875" style="56" customWidth="1"/>
    <col min="11032" max="11264" width="9" style="56"/>
    <col min="11265" max="11265" width="16.375" style="56" customWidth="1"/>
    <col min="11266" max="11266" width="12.5" style="56" customWidth="1"/>
    <col min="11267" max="11267" width="20.875" style="56" customWidth="1"/>
    <col min="11268" max="11268" width="16.125" style="56" customWidth="1"/>
    <col min="11269" max="11269" width="11.75" style="56" customWidth="1"/>
    <col min="11270" max="11270" width="13.625" style="56" customWidth="1"/>
    <col min="11271" max="11272" width="14.25" style="56" customWidth="1"/>
    <col min="11273" max="11273" width="5.5" style="56" customWidth="1"/>
    <col min="11274" max="11274" width="8.75" style="56" customWidth="1"/>
    <col min="11275" max="11275" width="11.375" style="56" customWidth="1"/>
    <col min="11276" max="11278" width="8.75" style="56" customWidth="1"/>
    <col min="11279" max="11280" width="11.375" style="56" customWidth="1"/>
    <col min="11281" max="11281" width="8.75" style="56" customWidth="1"/>
    <col min="11282" max="11282" width="21.875" style="56" customWidth="1"/>
    <col min="11283" max="11283" width="6" style="56" customWidth="1"/>
    <col min="11284" max="11284" width="11" style="56" customWidth="1"/>
    <col min="11285" max="11285" width="13.625" style="56" customWidth="1"/>
    <col min="11286" max="11286" width="25.625" style="56" customWidth="1"/>
    <col min="11287" max="11287" width="7.875" style="56" customWidth="1"/>
    <col min="11288" max="11520" width="9" style="56"/>
    <col min="11521" max="11521" width="16.375" style="56" customWidth="1"/>
    <col min="11522" max="11522" width="12.5" style="56" customWidth="1"/>
    <col min="11523" max="11523" width="20.875" style="56" customWidth="1"/>
    <col min="11524" max="11524" width="16.125" style="56" customWidth="1"/>
    <col min="11525" max="11525" width="11.75" style="56" customWidth="1"/>
    <col min="11526" max="11526" width="13.625" style="56" customWidth="1"/>
    <col min="11527" max="11528" width="14.25" style="56" customWidth="1"/>
    <col min="11529" max="11529" width="5.5" style="56" customWidth="1"/>
    <col min="11530" max="11530" width="8.75" style="56" customWidth="1"/>
    <col min="11531" max="11531" width="11.375" style="56" customWidth="1"/>
    <col min="11532" max="11534" width="8.75" style="56" customWidth="1"/>
    <col min="11535" max="11536" width="11.375" style="56" customWidth="1"/>
    <col min="11537" max="11537" width="8.75" style="56" customWidth="1"/>
    <col min="11538" max="11538" width="21.875" style="56" customWidth="1"/>
    <col min="11539" max="11539" width="6" style="56" customWidth="1"/>
    <col min="11540" max="11540" width="11" style="56" customWidth="1"/>
    <col min="11541" max="11541" width="13.625" style="56" customWidth="1"/>
    <col min="11542" max="11542" width="25.625" style="56" customWidth="1"/>
    <col min="11543" max="11543" width="7.875" style="56" customWidth="1"/>
    <col min="11544" max="11776" width="9" style="56"/>
    <col min="11777" max="11777" width="16.375" style="56" customWidth="1"/>
    <col min="11778" max="11778" width="12.5" style="56" customWidth="1"/>
    <col min="11779" max="11779" width="20.875" style="56" customWidth="1"/>
    <col min="11780" max="11780" width="16.125" style="56" customWidth="1"/>
    <col min="11781" max="11781" width="11.75" style="56" customWidth="1"/>
    <col min="11782" max="11782" width="13.625" style="56" customWidth="1"/>
    <col min="11783" max="11784" width="14.25" style="56" customWidth="1"/>
    <col min="11785" max="11785" width="5.5" style="56" customWidth="1"/>
    <col min="11786" max="11786" width="8.75" style="56" customWidth="1"/>
    <col min="11787" max="11787" width="11.375" style="56" customWidth="1"/>
    <col min="11788" max="11790" width="8.75" style="56" customWidth="1"/>
    <col min="11791" max="11792" width="11.375" style="56" customWidth="1"/>
    <col min="11793" max="11793" width="8.75" style="56" customWidth="1"/>
    <col min="11794" max="11794" width="21.875" style="56" customWidth="1"/>
    <col min="11795" max="11795" width="6" style="56" customWidth="1"/>
    <col min="11796" max="11796" width="11" style="56" customWidth="1"/>
    <col min="11797" max="11797" width="13.625" style="56" customWidth="1"/>
    <col min="11798" max="11798" width="25.625" style="56" customWidth="1"/>
    <col min="11799" max="11799" width="7.875" style="56" customWidth="1"/>
    <col min="11800" max="12032" width="9" style="56"/>
    <col min="12033" max="12033" width="16.375" style="56" customWidth="1"/>
    <col min="12034" max="12034" width="12.5" style="56" customWidth="1"/>
    <col min="12035" max="12035" width="20.875" style="56" customWidth="1"/>
    <col min="12036" max="12036" width="16.125" style="56" customWidth="1"/>
    <col min="12037" max="12037" width="11.75" style="56" customWidth="1"/>
    <col min="12038" max="12038" width="13.625" style="56" customWidth="1"/>
    <col min="12039" max="12040" width="14.25" style="56" customWidth="1"/>
    <col min="12041" max="12041" width="5.5" style="56" customWidth="1"/>
    <col min="12042" max="12042" width="8.75" style="56" customWidth="1"/>
    <col min="12043" max="12043" width="11.375" style="56" customWidth="1"/>
    <col min="12044" max="12046" width="8.75" style="56" customWidth="1"/>
    <col min="12047" max="12048" width="11.375" style="56" customWidth="1"/>
    <col min="12049" max="12049" width="8.75" style="56" customWidth="1"/>
    <col min="12050" max="12050" width="21.875" style="56" customWidth="1"/>
    <col min="12051" max="12051" width="6" style="56" customWidth="1"/>
    <col min="12052" max="12052" width="11" style="56" customWidth="1"/>
    <col min="12053" max="12053" width="13.625" style="56" customWidth="1"/>
    <col min="12054" max="12054" width="25.625" style="56" customWidth="1"/>
    <col min="12055" max="12055" width="7.875" style="56" customWidth="1"/>
    <col min="12056" max="12288" width="9" style="56"/>
    <col min="12289" max="12289" width="16.375" style="56" customWidth="1"/>
    <col min="12290" max="12290" width="12.5" style="56" customWidth="1"/>
    <col min="12291" max="12291" width="20.875" style="56" customWidth="1"/>
    <col min="12292" max="12292" width="16.125" style="56" customWidth="1"/>
    <col min="12293" max="12293" width="11.75" style="56" customWidth="1"/>
    <col min="12294" max="12294" width="13.625" style="56" customWidth="1"/>
    <col min="12295" max="12296" width="14.25" style="56" customWidth="1"/>
    <col min="12297" max="12297" width="5.5" style="56" customWidth="1"/>
    <col min="12298" max="12298" width="8.75" style="56" customWidth="1"/>
    <col min="12299" max="12299" width="11.375" style="56" customWidth="1"/>
    <col min="12300" max="12302" width="8.75" style="56" customWidth="1"/>
    <col min="12303" max="12304" width="11.375" style="56" customWidth="1"/>
    <col min="12305" max="12305" width="8.75" style="56" customWidth="1"/>
    <col min="12306" max="12306" width="21.875" style="56" customWidth="1"/>
    <col min="12307" max="12307" width="6" style="56" customWidth="1"/>
    <col min="12308" max="12308" width="11" style="56" customWidth="1"/>
    <col min="12309" max="12309" width="13.625" style="56" customWidth="1"/>
    <col min="12310" max="12310" width="25.625" style="56" customWidth="1"/>
    <col min="12311" max="12311" width="7.875" style="56" customWidth="1"/>
    <col min="12312" max="12544" width="9" style="56"/>
    <col min="12545" max="12545" width="16.375" style="56" customWidth="1"/>
    <col min="12546" max="12546" width="12.5" style="56" customWidth="1"/>
    <col min="12547" max="12547" width="20.875" style="56" customWidth="1"/>
    <col min="12548" max="12548" width="16.125" style="56" customWidth="1"/>
    <col min="12549" max="12549" width="11.75" style="56" customWidth="1"/>
    <col min="12550" max="12550" width="13.625" style="56" customWidth="1"/>
    <col min="12551" max="12552" width="14.25" style="56" customWidth="1"/>
    <col min="12553" max="12553" width="5.5" style="56" customWidth="1"/>
    <col min="12554" max="12554" width="8.75" style="56" customWidth="1"/>
    <col min="12555" max="12555" width="11.375" style="56" customWidth="1"/>
    <col min="12556" max="12558" width="8.75" style="56" customWidth="1"/>
    <col min="12559" max="12560" width="11.375" style="56" customWidth="1"/>
    <col min="12561" max="12561" width="8.75" style="56" customWidth="1"/>
    <col min="12562" max="12562" width="21.875" style="56" customWidth="1"/>
    <col min="12563" max="12563" width="6" style="56" customWidth="1"/>
    <col min="12564" max="12564" width="11" style="56" customWidth="1"/>
    <col min="12565" max="12565" width="13.625" style="56" customWidth="1"/>
    <col min="12566" max="12566" width="25.625" style="56" customWidth="1"/>
    <col min="12567" max="12567" width="7.875" style="56" customWidth="1"/>
    <col min="12568" max="12800" width="9" style="56"/>
    <col min="12801" max="12801" width="16.375" style="56" customWidth="1"/>
    <col min="12802" max="12802" width="12.5" style="56" customWidth="1"/>
    <col min="12803" max="12803" width="20.875" style="56" customWidth="1"/>
    <col min="12804" max="12804" width="16.125" style="56" customWidth="1"/>
    <col min="12805" max="12805" width="11.75" style="56" customWidth="1"/>
    <col min="12806" max="12806" width="13.625" style="56" customWidth="1"/>
    <col min="12807" max="12808" width="14.25" style="56" customWidth="1"/>
    <col min="12809" max="12809" width="5.5" style="56" customWidth="1"/>
    <col min="12810" max="12810" width="8.75" style="56" customWidth="1"/>
    <col min="12811" max="12811" width="11.375" style="56" customWidth="1"/>
    <col min="12812" max="12814" width="8.75" style="56" customWidth="1"/>
    <col min="12815" max="12816" width="11.375" style="56" customWidth="1"/>
    <col min="12817" max="12817" width="8.75" style="56" customWidth="1"/>
    <col min="12818" max="12818" width="21.875" style="56" customWidth="1"/>
    <col min="12819" max="12819" width="6" style="56" customWidth="1"/>
    <col min="12820" max="12820" width="11" style="56" customWidth="1"/>
    <col min="12821" max="12821" width="13.625" style="56" customWidth="1"/>
    <col min="12822" max="12822" width="25.625" style="56" customWidth="1"/>
    <col min="12823" max="12823" width="7.875" style="56" customWidth="1"/>
    <col min="12824" max="13056" width="9" style="56"/>
    <col min="13057" max="13057" width="16.375" style="56" customWidth="1"/>
    <col min="13058" max="13058" width="12.5" style="56" customWidth="1"/>
    <col min="13059" max="13059" width="20.875" style="56" customWidth="1"/>
    <col min="13060" max="13060" width="16.125" style="56" customWidth="1"/>
    <col min="13061" max="13061" width="11.75" style="56" customWidth="1"/>
    <col min="13062" max="13062" width="13.625" style="56" customWidth="1"/>
    <col min="13063" max="13064" width="14.25" style="56" customWidth="1"/>
    <col min="13065" max="13065" width="5.5" style="56" customWidth="1"/>
    <col min="13066" max="13066" width="8.75" style="56" customWidth="1"/>
    <col min="13067" max="13067" width="11.375" style="56" customWidth="1"/>
    <col min="13068" max="13070" width="8.75" style="56" customWidth="1"/>
    <col min="13071" max="13072" width="11.375" style="56" customWidth="1"/>
    <col min="13073" max="13073" width="8.75" style="56" customWidth="1"/>
    <col min="13074" max="13074" width="21.875" style="56" customWidth="1"/>
    <col min="13075" max="13075" width="6" style="56" customWidth="1"/>
    <col min="13076" max="13076" width="11" style="56" customWidth="1"/>
    <col min="13077" max="13077" width="13.625" style="56" customWidth="1"/>
    <col min="13078" max="13078" width="25.625" style="56" customWidth="1"/>
    <col min="13079" max="13079" width="7.875" style="56" customWidth="1"/>
    <col min="13080" max="13312" width="9" style="56"/>
    <col min="13313" max="13313" width="16.375" style="56" customWidth="1"/>
    <col min="13314" max="13314" width="12.5" style="56" customWidth="1"/>
    <col min="13315" max="13315" width="20.875" style="56" customWidth="1"/>
    <col min="13316" max="13316" width="16.125" style="56" customWidth="1"/>
    <col min="13317" max="13317" width="11.75" style="56" customWidth="1"/>
    <col min="13318" max="13318" width="13.625" style="56" customWidth="1"/>
    <col min="13319" max="13320" width="14.25" style="56" customWidth="1"/>
    <col min="13321" max="13321" width="5.5" style="56" customWidth="1"/>
    <col min="13322" max="13322" width="8.75" style="56" customWidth="1"/>
    <col min="13323" max="13323" width="11.375" style="56" customWidth="1"/>
    <col min="13324" max="13326" width="8.75" style="56" customWidth="1"/>
    <col min="13327" max="13328" width="11.375" style="56" customWidth="1"/>
    <col min="13329" max="13329" width="8.75" style="56" customWidth="1"/>
    <col min="13330" max="13330" width="21.875" style="56" customWidth="1"/>
    <col min="13331" max="13331" width="6" style="56" customWidth="1"/>
    <col min="13332" max="13332" width="11" style="56" customWidth="1"/>
    <col min="13333" max="13333" width="13.625" style="56" customWidth="1"/>
    <col min="13334" max="13334" width="25.625" style="56" customWidth="1"/>
    <col min="13335" max="13335" width="7.875" style="56" customWidth="1"/>
    <col min="13336" max="13568" width="9" style="56"/>
    <col min="13569" max="13569" width="16.375" style="56" customWidth="1"/>
    <col min="13570" max="13570" width="12.5" style="56" customWidth="1"/>
    <col min="13571" max="13571" width="20.875" style="56" customWidth="1"/>
    <col min="13572" max="13572" width="16.125" style="56" customWidth="1"/>
    <col min="13573" max="13573" width="11.75" style="56" customWidth="1"/>
    <col min="13574" max="13574" width="13.625" style="56" customWidth="1"/>
    <col min="13575" max="13576" width="14.25" style="56" customWidth="1"/>
    <col min="13577" max="13577" width="5.5" style="56" customWidth="1"/>
    <col min="13578" max="13578" width="8.75" style="56" customWidth="1"/>
    <col min="13579" max="13579" width="11.375" style="56" customWidth="1"/>
    <col min="13580" max="13582" width="8.75" style="56" customWidth="1"/>
    <col min="13583" max="13584" width="11.375" style="56" customWidth="1"/>
    <col min="13585" max="13585" width="8.75" style="56" customWidth="1"/>
    <col min="13586" max="13586" width="21.875" style="56" customWidth="1"/>
    <col min="13587" max="13587" width="6" style="56" customWidth="1"/>
    <col min="13588" max="13588" width="11" style="56" customWidth="1"/>
    <col min="13589" max="13589" width="13.625" style="56" customWidth="1"/>
    <col min="13590" max="13590" width="25.625" style="56" customWidth="1"/>
    <col min="13591" max="13591" width="7.875" style="56" customWidth="1"/>
    <col min="13592" max="13824" width="9" style="56"/>
    <col min="13825" max="13825" width="16.375" style="56" customWidth="1"/>
    <col min="13826" max="13826" width="12.5" style="56" customWidth="1"/>
    <col min="13827" max="13827" width="20.875" style="56" customWidth="1"/>
    <col min="13828" max="13828" width="16.125" style="56" customWidth="1"/>
    <col min="13829" max="13829" width="11.75" style="56" customWidth="1"/>
    <col min="13830" max="13830" width="13.625" style="56" customWidth="1"/>
    <col min="13831" max="13832" width="14.25" style="56" customWidth="1"/>
    <col min="13833" max="13833" width="5.5" style="56" customWidth="1"/>
    <col min="13834" max="13834" width="8.75" style="56" customWidth="1"/>
    <col min="13835" max="13835" width="11.375" style="56" customWidth="1"/>
    <col min="13836" max="13838" width="8.75" style="56" customWidth="1"/>
    <col min="13839" max="13840" width="11.375" style="56" customWidth="1"/>
    <col min="13841" max="13841" width="8.75" style="56" customWidth="1"/>
    <col min="13842" max="13842" width="21.875" style="56" customWidth="1"/>
    <col min="13843" max="13843" width="6" style="56" customWidth="1"/>
    <col min="13844" max="13844" width="11" style="56" customWidth="1"/>
    <col min="13845" max="13845" width="13.625" style="56" customWidth="1"/>
    <col min="13846" max="13846" width="25.625" style="56" customWidth="1"/>
    <col min="13847" max="13847" width="7.875" style="56" customWidth="1"/>
    <col min="13848" max="14080" width="9" style="56"/>
    <col min="14081" max="14081" width="16.375" style="56" customWidth="1"/>
    <col min="14082" max="14082" width="12.5" style="56" customWidth="1"/>
    <col min="14083" max="14083" width="20.875" style="56" customWidth="1"/>
    <col min="14084" max="14084" width="16.125" style="56" customWidth="1"/>
    <col min="14085" max="14085" width="11.75" style="56" customWidth="1"/>
    <col min="14086" max="14086" width="13.625" style="56" customWidth="1"/>
    <col min="14087" max="14088" width="14.25" style="56" customWidth="1"/>
    <col min="14089" max="14089" width="5.5" style="56" customWidth="1"/>
    <col min="14090" max="14090" width="8.75" style="56" customWidth="1"/>
    <col min="14091" max="14091" width="11.375" style="56" customWidth="1"/>
    <col min="14092" max="14094" width="8.75" style="56" customWidth="1"/>
    <col min="14095" max="14096" width="11.375" style="56" customWidth="1"/>
    <col min="14097" max="14097" width="8.75" style="56" customWidth="1"/>
    <col min="14098" max="14098" width="21.875" style="56" customWidth="1"/>
    <col min="14099" max="14099" width="6" style="56" customWidth="1"/>
    <col min="14100" max="14100" width="11" style="56" customWidth="1"/>
    <col min="14101" max="14101" width="13.625" style="56" customWidth="1"/>
    <col min="14102" max="14102" width="25.625" style="56" customWidth="1"/>
    <col min="14103" max="14103" width="7.875" style="56" customWidth="1"/>
    <col min="14104" max="14336" width="9" style="56"/>
    <col min="14337" max="14337" width="16.375" style="56" customWidth="1"/>
    <col min="14338" max="14338" width="12.5" style="56" customWidth="1"/>
    <col min="14339" max="14339" width="20.875" style="56" customWidth="1"/>
    <col min="14340" max="14340" width="16.125" style="56" customWidth="1"/>
    <col min="14341" max="14341" width="11.75" style="56" customWidth="1"/>
    <col min="14342" max="14342" width="13.625" style="56" customWidth="1"/>
    <col min="14343" max="14344" width="14.25" style="56" customWidth="1"/>
    <col min="14345" max="14345" width="5.5" style="56" customWidth="1"/>
    <col min="14346" max="14346" width="8.75" style="56" customWidth="1"/>
    <col min="14347" max="14347" width="11.375" style="56" customWidth="1"/>
    <col min="14348" max="14350" width="8.75" style="56" customWidth="1"/>
    <col min="14351" max="14352" width="11.375" style="56" customWidth="1"/>
    <col min="14353" max="14353" width="8.75" style="56" customWidth="1"/>
    <col min="14354" max="14354" width="21.875" style="56" customWidth="1"/>
    <col min="14355" max="14355" width="6" style="56" customWidth="1"/>
    <col min="14356" max="14356" width="11" style="56" customWidth="1"/>
    <col min="14357" max="14357" width="13.625" style="56" customWidth="1"/>
    <col min="14358" max="14358" width="25.625" style="56" customWidth="1"/>
    <col min="14359" max="14359" width="7.875" style="56" customWidth="1"/>
    <col min="14360" max="14592" width="9" style="56"/>
    <col min="14593" max="14593" width="16.375" style="56" customWidth="1"/>
    <col min="14594" max="14594" width="12.5" style="56" customWidth="1"/>
    <col min="14595" max="14595" width="20.875" style="56" customWidth="1"/>
    <col min="14596" max="14596" width="16.125" style="56" customWidth="1"/>
    <col min="14597" max="14597" width="11.75" style="56" customWidth="1"/>
    <col min="14598" max="14598" width="13.625" style="56" customWidth="1"/>
    <col min="14599" max="14600" width="14.25" style="56" customWidth="1"/>
    <col min="14601" max="14601" width="5.5" style="56" customWidth="1"/>
    <col min="14602" max="14602" width="8.75" style="56" customWidth="1"/>
    <col min="14603" max="14603" width="11.375" style="56" customWidth="1"/>
    <col min="14604" max="14606" width="8.75" style="56" customWidth="1"/>
    <col min="14607" max="14608" width="11.375" style="56" customWidth="1"/>
    <col min="14609" max="14609" width="8.75" style="56" customWidth="1"/>
    <col min="14610" max="14610" width="21.875" style="56" customWidth="1"/>
    <col min="14611" max="14611" width="6" style="56" customWidth="1"/>
    <col min="14612" max="14612" width="11" style="56" customWidth="1"/>
    <col min="14613" max="14613" width="13.625" style="56" customWidth="1"/>
    <col min="14614" max="14614" width="25.625" style="56" customWidth="1"/>
    <col min="14615" max="14615" width="7.875" style="56" customWidth="1"/>
    <col min="14616" max="14848" width="9" style="56"/>
    <col min="14849" max="14849" width="16.375" style="56" customWidth="1"/>
    <col min="14850" max="14850" width="12.5" style="56" customWidth="1"/>
    <col min="14851" max="14851" width="20.875" style="56" customWidth="1"/>
    <col min="14852" max="14852" width="16.125" style="56" customWidth="1"/>
    <col min="14853" max="14853" width="11.75" style="56" customWidth="1"/>
    <col min="14854" max="14854" width="13.625" style="56" customWidth="1"/>
    <col min="14855" max="14856" width="14.25" style="56" customWidth="1"/>
    <col min="14857" max="14857" width="5.5" style="56" customWidth="1"/>
    <col min="14858" max="14858" width="8.75" style="56" customWidth="1"/>
    <col min="14859" max="14859" width="11.375" style="56" customWidth="1"/>
    <col min="14860" max="14862" width="8.75" style="56" customWidth="1"/>
    <col min="14863" max="14864" width="11.375" style="56" customWidth="1"/>
    <col min="14865" max="14865" width="8.75" style="56" customWidth="1"/>
    <col min="14866" max="14866" width="21.875" style="56" customWidth="1"/>
    <col min="14867" max="14867" width="6" style="56" customWidth="1"/>
    <col min="14868" max="14868" width="11" style="56" customWidth="1"/>
    <col min="14869" max="14869" width="13.625" style="56" customWidth="1"/>
    <col min="14870" max="14870" width="25.625" style="56" customWidth="1"/>
    <col min="14871" max="14871" width="7.875" style="56" customWidth="1"/>
    <col min="14872" max="15104" width="9" style="56"/>
    <col min="15105" max="15105" width="16.375" style="56" customWidth="1"/>
    <col min="15106" max="15106" width="12.5" style="56" customWidth="1"/>
    <col min="15107" max="15107" width="20.875" style="56" customWidth="1"/>
    <col min="15108" max="15108" width="16.125" style="56" customWidth="1"/>
    <col min="15109" max="15109" width="11.75" style="56" customWidth="1"/>
    <col min="15110" max="15110" width="13.625" style="56" customWidth="1"/>
    <col min="15111" max="15112" width="14.25" style="56" customWidth="1"/>
    <col min="15113" max="15113" width="5.5" style="56" customWidth="1"/>
    <col min="15114" max="15114" width="8.75" style="56" customWidth="1"/>
    <col min="15115" max="15115" width="11.375" style="56" customWidth="1"/>
    <col min="15116" max="15118" width="8.75" style="56" customWidth="1"/>
    <col min="15119" max="15120" width="11.375" style="56" customWidth="1"/>
    <col min="15121" max="15121" width="8.75" style="56" customWidth="1"/>
    <col min="15122" max="15122" width="21.875" style="56" customWidth="1"/>
    <col min="15123" max="15123" width="6" style="56" customWidth="1"/>
    <col min="15124" max="15124" width="11" style="56" customWidth="1"/>
    <col min="15125" max="15125" width="13.625" style="56" customWidth="1"/>
    <col min="15126" max="15126" width="25.625" style="56" customWidth="1"/>
    <col min="15127" max="15127" width="7.875" style="56" customWidth="1"/>
    <col min="15128" max="15360" width="9" style="56"/>
    <col min="15361" max="15361" width="16.375" style="56" customWidth="1"/>
    <col min="15362" max="15362" width="12.5" style="56" customWidth="1"/>
    <col min="15363" max="15363" width="20.875" style="56" customWidth="1"/>
    <col min="15364" max="15364" width="16.125" style="56" customWidth="1"/>
    <col min="15365" max="15365" width="11.75" style="56" customWidth="1"/>
    <col min="15366" max="15366" width="13.625" style="56" customWidth="1"/>
    <col min="15367" max="15368" width="14.25" style="56" customWidth="1"/>
    <col min="15369" max="15369" width="5.5" style="56" customWidth="1"/>
    <col min="15370" max="15370" width="8.75" style="56" customWidth="1"/>
    <col min="15371" max="15371" width="11.375" style="56" customWidth="1"/>
    <col min="15372" max="15374" width="8.75" style="56" customWidth="1"/>
    <col min="15375" max="15376" width="11.375" style="56" customWidth="1"/>
    <col min="15377" max="15377" width="8.75" style="56" customWidth="1"/>
    <col min="15378" max="15378" width="21.875" style="56" customWidth="1"/>
    <col min="15379" max="15379" width="6" style="56" customWidth="1"/>
    <col min="15380" max="15380" width="11" style="56" customWidth="1"/>
    <col min="15381" max="15381" width="13.625" style="56" customWidth="1"/>
    <col min="15382" max="15382" width="25.625" style="56" customWidth="1"/>
    <col min="15383" max="15383" width="7.875" style="56" customWidth="1"/>
    <col min="15384" max="15616" width="9" style="56"/>
    <col min="15617" max="15617" width="16.375" style="56" customWidth="1"/>
    <col min="15618" max="15618" width="12.5" style="56" customWidth="1"/>
    <col min="15619" max="15619" width="20.875" style="56" customWidth="1"/>
    <col min="15620" max="15620" width="16.125" style="56" customWidth="1"/>
    <col min="15621" max="15621" width="11.75" style="56" customWidth="1"/>
    <col min="15622" max="15622" width="13.625" style="56" customWidth="1"/>
    <col min="15623" max="15624" width="14.25" style="56" customWidth="1"/>
    <col min="15625" max="15625" width="5.5" style="56" customWidth="1"/>
    <col min="15626" max="15626" width="8.75" style="56" customWidth="1"/>
    <col min="15627" max="15627" width="11.375" style="56" customWidth="1"/>
    <col min="15628" max="15630" width="8.75" style="56" customWidth="1"/>
    <col min="15631" max="15632" width="11.375" style="56" customWidth="1"/>
    <col min="15633" max="15633" width="8.75" style="56" customWidth="1"/>
    <col min="15634" max="15634" width="21.875" style="56" customWidth="1"/>
    <col min="15635" max="15635" width="6" style="56" customWidth="1"/>
    <col min="15636" max="15636" width="11" style="56" customWidth="1"/>
    <col min="15637" max="15637" width="13.625" style="56" customWidth="1"/>
    <col min="15638" max="15638" width="25.625" style="56" customWidth="1"/>
    <col min="15639" max="15639" width="7.875" style="56" customWidth="1"/>
    <col min="15640" max="15872" width="9" style="56"/>
    <col min="15873" max="15873" width="16.375" style="56" customWidth="1"/>
    <col min="15874" max="15874" width="12.5" style="56" customWidth="1"/>
    <col min="15875" max="15875" width="20.875" style="56" customWidth="1"/>
    <col min="15876" max="15876" width="16.125" style="56" customWidth="1"/>
    <col min="15877" max="15877" width="11.75" style="56" customWidth="1"/>
    <col min="15878" max="15878" width="13.625" style="56" customWidth="1"/>
    <col min="15879" max="15880" width="14.25" style="56" customWidth="1"/>
    <col min="15881" max="15881" width="5.5" style="56" customWidth="1"/>
    <col min="15882" max="15882" width="8.75" style="56" customWidth="1"/>
    <col min="15883" max="15883" width="11.375" style="56" customWidth="1"/>
    <col min="15884" max="15886" width="8.75" style="56" customWidth="1"/>
    <col min="15887" max="15888" width="11.375" style="56" customWidth="1"/>
    <col min="15889" max="15889" width="8.75" style="56" customWidth="1"/>
    <col min="15890" max="15890" width="21.875" style="56" customWidth="1"/>
    <col min="15891" max="15891" width="6" style="56" customWidth="1"/>
    <col min="15892" max="15892" width="11" style="56" customWidth="1"/>
    <col min="15893" max="15893" width="13.625" style="56" customWidth="1"/>
    <col min="15894" max="15894" width="25.625" style="56" customWidth="1"/>
    <col min="15895" max="15895" width="7.875" style="56" customWidth="1"/>
    <col min="15896" max="16128" width="9" style="56"/>
    <col min="16129" max="16129" width="16.375" style="56" customWidth="1"/>
    <col min="16130" max="16130" width="12.5" style="56" customWidth="1"/>
    <col min="16131" max="16131" width="20.875" style="56" customWidth="1"/>
    <col min="16132" max="16132" width="16.125" style="56" customWidth="1"/>
    <col min="16133" max="16133" width="11.75" style="56" customWidth="1"/>
    <col min="16134" max="16134" width="13.625" style="56" customWidth="1"/>
    <col min="16135" max="16136" width="14.25" style="56" customWidth="1"/>
    <col min="16137" max="16137" width="5.5" style="56" customWidth="1"/>
    <col min="16138" max="16138" width="8.75" style="56" customWidth="1"/>
    <col min="16139" max="16139" width="11.375" style="56" customWidth="1"/>
    <col min="16140" max="16142" width="8.75" style="56" customWidth="1"/>
    <col min="16143" max="16144" width="11.375" style="56" customWidth="1"/>
    <col min="16145" max="16145" width="8.75" style="56" customWidth="1"/>
    <col min="16146" max="16146" width="21.875" style="56" customWidth="1"/>
    <col min="16147" max="16147" width="6" style="56" customWidth="1"/>
    <col min="16148" max="16148" width="11" style="56" customWidth="1"/>
    <col min="16149" max="16149" width="13.625" style="56" customWidth="1"/>
    <col min="16150" max="16150" width="25.625" style="56" customWidth="1"/>
    <col min="16151" max="16151" width="7.875" style="56" customWidth="1"/>
    <col min="16152" max="16384" width="9" style="56"/>
  </cols>
  <sheetData>
    <row r="1" spans="1:22" ht="18.75" customHeight="1">
      <c r="A1" s="54" t="s">
        <v>1949</v>
      </c>
      <c r="B1" s="55" t="s">
        <v>1950</v>
      </c>
      <c r="C1" s="54" t="s">
        <v>1951</v>
      </c>
      <c r="D1" s="54" t="s">
        <v>1952</v>
      </c>
      <c r="E1" s="54" t="s">
        <v>1063</v>
      </c>
      <c r="F1" s="54" t="s">
        <v>1953</v>
      </c>
      <c r="G1" s="54" t="s">
        <v>1954</v>
      </c>
      <c r="H1" s="54" t="s">
        <v>1955</v>
      </c>
      <c r="I1" s="54" t="s">
        <v>1956</v>
      </c>
      <c r="J1" s="54" t="s">
        <v>1957</v>
      </c>
      <c r="K1" s="55" t="s">
        <v>1958</v>
      </c>
      <c r="L1" s="55" t="s">
        <v>1959</v>
      </c>
      <c r="M1" s="55" t="s">
        <v>1960</v>
      </c>
      <c r="N1" s="55" t="s">
        <v>1961</v>
      </c>
      <c r="O1" s="54" t="s">
        <v>1962</v>
      </c>
      <c r="P1" s="54" t="s">
        <v>1963</v>
      </c>
      <c r="Q1" s="54" t="s">
        <v>1964</v>
      </c>
      <c r="R1" s="54" t="s">
        <v>1965</v>
      </c>
      <c r="S1" s="54" t="s">
        <v>1966</v>
      </c>
      <c r="T1" s="54" t="s">
        <v>1967</v>
      </c>
      <c r="U1" s="54" t="s">
        <v>1968</v>
      </c>
      <c r="V1" s="54" t="s">
        <v>1969</v>
      </c>
    </row>
    <row r="2" spans="1:22" ht="16.5" customHeight="1">
      <c r="A2" s="54" t="s">
        <v>1970</v>
      </c>
      <c r="B2" s="55"/>
      <c r="C2" s="54" t="s">
        <v>1971</v>
      </c>
      <c r="D2" s="54" t="s">
        <v>1972</v>
      </c>
      <c r="E2" s="54" t="s">
        <v>1973</v>
      </c>
      <c r="F2" s="54" t="s">
        <v>1974</v>
      </c>
      <c r="G2" s="54" t="s">
        <v>1975</v>
      </c>
      <c r="H2" s="54" t="s">
        <v>1976</v>
      </c>
      <c r="I2" s="54" t="s">
        <v>1977</v>
      </c>
      <c r="J2" s="54" t="s">
        <v>1978</v>
      </c>
      <c r="K2" s="55" t="s">
        <v>1979</v>
      </c>
      <c r="L2" s="55" t="s">
        <v>1980</v>
      </c>
      <c r="M2" s="55" t="s">
        <v>1981</v>
      </c>
      <c r="N2" s="55" t="s">
        <v>1982</v>
      </c>
      <c r="O2" s="54" t="s">
        <v>1983</v>
      </c>
      <c r="P2" s="54" t="s">
        <v>1984</v>
      </c>
      <c r="Q2" s="54" t="s">
        <v>1985</v>
      </c>
      <c r="R2" s="54" t="s">
        <v>1986</v>
      </c>
      <c r="S2" s="54" t="s">
        <v>1966</v>
      </c>
      <c r="T2" s="54" t="s">
        <v>1987</v>
      </c>
      <c r="U2" s="57" t="s">
        <v>1988</v>
      </c>
      <c r="V2" s="54" t="s">
        <v>1989</v>
      </c>
    </row>
    <row r="3" spans="1:22" ht="16.5" customHeight="1">
      <c r="A3" s="58"/>
      <c r="B3" s="58" t="s">
        <v>1990</v>
      </c>
      <c r="C3" s="58" t="s">
        <v>1991</v>
      </c>
      <c r="D3" s="58" t="s">
        <v>1991</v>
      </c>
      <c r="E3" s="58" t="s">
        <v>1992</v>
      </c>
      <c r="F3" s="58" t="s">
        <v>1993</v>
      </c>
      <c r="G3" s="58" t="s">
        <v>1994</v>
      </c>
      <c r="H3" s="58" t="s">
        <v>1995</v>
      </c>
      <c r="I3" s="59" t="s">
        <v>1996</v>
      </c>
      <c r="J3" s="60" t="s">
        <v>1997</v>
      </c>
      <c r="K3" s="61">
        <v>363</v>
      </c>
      <c r="L3" s="62" t="s">
        <v>1998</v>
      </c>
      <c r="M3" s="63">
        <v>5</v>
      </c>
      <c r="N3" s="64"/>
      <c r="O3" s="61">
        <v>68.099999999999994</v>
      </c>
      <c r="P3" s="61">
        <v>70.599999999999994</v>
      </c>
      <c r="Q3" s="62" t="s">
        <v>1999</v>
      </c>
      <c r="R3" s="60" t="s">
        <v>2000</v>
      </c>
      <c r="S3" s="58"/>
      <c r="T3" s="65">
        <v>2.2200000000000002</v>
      </c>
      <c r="U3" s="61">
        <v>805.86</v>
      </c>
      <c r="V3" s="58"/>
    </row>
    <row r="4" spans="1:22" ht="16.5" customHeight="1">
      <c r="A4" s="58"/>
      <c r="B4" s="58" t="s">
        <v>1990</v>
      </c>
      <c r="C4" s="58" t="s">
        <v>1991</v>
      </c>
      <c r="D4" s="58" t="s">
        <v>1991</v>
      </c>
      <c r="E4" s="58" t="s">
        <v>1992</v>
      </c>
      <c r="F4" s="58" t="s">
        <v>2001</v>
      </c>
      <c r="G4" s="58" t="s">
        <v>1994</v>
      </c>
      <c r="H4" s="58" t="s">
        <v>1995</v>
      </c>
      <c r="I4" s="59" t="s">
        <v>1996</v>
      </c>
      <c r="J4" s="60" t="s">
        <v>2002</v>
      </c>
      <c r="K4" s="61">
        <v>116</v>
      </c>
      <c r="L4" s="62" t="s">
        <v>1998</v>
      </c>
      <c r="M4" s="63">
        <v>2</v>
      </c>
      <c r="N4" s="64"/>
      <c r="O4" s="61">
        <v>21</v>
      </c>
      <c r="P4" s="61">
        <v>22</v>
      </c>
      <c r="Q4" s="62" t="s">
        <v>1999</v>
      </c>
      <c r="R4" s="60" t="s">
        <v>2003</v>
      </c>
      <c r="S4" s="58"/>
      <c r="T4" s="65">
        <v>2.2200000000000002</v>
      </c>
      <c r="U4" s="61">
        <v>257.52</v>
      </c>
      <c r="V4" s="58"/>
    </row>
    <row r="5" spans="1:22" ht="16.5" customHeight="1">
      <c r="A5" s="58"/>
      <c r="B5" s="58" t="s">
        <v>1990</v>
      </c>
      <c r="C5" s="58" t="s">
        <v>2004</v>
      </c>
      <c r="D5" s="58" t="s">
        <v>2004</v>
      </c>
      <c r="E5" s="58" t="s">
        <v>1992</v>
      </c>
      <c r="F5" s="58" t="s">
        <v>2005</v>
      </c>
      <c r="G5" s="58" t="s">
        <v>1994</v>
      </c>
      <c r="H5" s="58" t="s">
        <v>1995</v>
      </c>
      <c r="I5" s="59" t="s">
        <v>1996</v>
      </c>
      <c r="J5" s="60" t="s">
        <v>2006</v>
      </c>
      <c r="K5" s="61">
        <v>358</v>
      </c>
      <c r="L5" s="62" t="s">
        <v>1998</v>
      </c>
      <c r="M5" s="63">
        <v>5</v>
      </c>
      <c r="N5" s="64"/>
      <c r="O5" s="61">
        <v>65.5</v>
      </c>
      <c r="P5" s="61">
        <v>68</v>
      </c>
      <c r="Q5" s="62" t="s">
        <v>1999</v>
      </c>
      <c r="R5" s="60" t="s">
        <v>2007</v>
      </c>
      <c r="S5" s="58"/>
      <c r="T5" s="65">
        <v>2.2200000000000002</v>
      </c>
      <c r="U5" s="61">
        <v>794.76</v>
      </c>
      <c r="V5" s="58"/>
    </row>
    <row r="6" spans="1:22" ht="16.5" customHeight="1">
      <c r="A6" s="58"/>
      <c r="B6" s="58" t="s">
        <v>1990</v>
      </c>
      <c r="C6" s="58" t="s">
        <v>1991</v>
      </c>
      <c r="D6" s="58" t="s">
        <v>1991</v>
      </c>
      <c r="E6" s="58" t="s">
        <v>1992</v>
      </c>
      <c r="F6" s="58" t="s">
        <v>2008</v>
      </c>
      <c r="G6" s="58" t="s">
        <v>1994</v>
      </c>
      <c r="H6" s="58" t="s">
        <v>1995</v>
      </c>
      <c r="I6" s="59" t="s">
        <v>1996</v>
      </c>
      <c r="J6" s="60" t="s">
        <v>2009</v>
      </c>
      <c r="K6" s="61">
        <v>370</v>
      </c>
      <c r="L6" s="62" t="s">
        <v>1998</v>
      </c>
      <c r="M6" s="63">
        <v>6</v>
      </c>
      <c r="N6" s="64"/>
      <c r="O6" s="61">
        <v>69.900000000000006</v>
      </c>
      <c r="P6" s="61">
        <v>72.900000000000006</v>
      </c>
      <c r="Q6" s="62" t="s">
        <v>1999</v>
      </c>
      <c r="R6" s="60" t="s">
        <v>2010</v>
      </c>
      <c r="S6" s="58"/>
      <c r="T6" s="65">
        <v>2.2200000000000002</v>
      </c>
      <c r="U6" s="61">
        <v>821.4</v>
      </c>
      <c r="V6" s="58"/>
    </row>
    <row r="7" spans="1:22" ht="16.5" customHeight="1">
      <c r="A7" s="58"/>
      <c r="B7" s="58" t="s">
        <v>1990</v>
      </c>
      <c r="C7" s="58" t="s">
        <v>2004</v>
      </c>
      <c r="D7" s="58" t="s">
        <v>2004</v>
      </c>
      <c r="E7" s="58" t="s">
        <v>1992</v>
      </c>
      <c r="F7" s="58" t="s">
        <v>2011</v>
      </c>
      <c r="G7" s="58" t="s">
        <v>1994</v>
      </c>
      <c r="H7" s="58" t="s">
        <v>1995</v>
      </c>
      <c r="I7" s="59" t="s">
        <v>1996</v>
      </c>
      <c r="J7" s="60" t="s">
        <v>2012</v>
      </c>
      <c r="K7" s="61">
        <v>347</v>
      </c>
      <c r="L7" s="62" t="s">
        <v>1998</v>
      </c>
      <c r="M7" s="63">
        <v>6</v>
      </c>
      <c r="N7" s="64"/>
      <c r="O7" s="61">
        <v>65.3</v>
      </c>
      <c r="P7" s="61">
        <v>68.3</v>
      </c>
      <c r="Q7" s="62" t="s">
        <v>1999</v>
      </c>
      <c r="R7" s="60" t="s">
        <v>2013</v>
      </c>
      <c r="S7" s="58"/>
      <c r="T7" s="65">
        <v>2.2200000000000002</v>
      </c>
      <c r="U7" s="61">
        <v>770.34</v>
      </c>
      <c r="V7" s="58"/>
    </row>
    <row r="8" spans="1:22" ht="16.5" customHeight="1">
      <c r="A8" s="58"/>
      <c r="B8" s="58" t="s">
        <v>1990</v>
      </c>
      <c r="C8" s="58" t="s">
        <v>2014</v>
      </c>
      <c r="D8" s="58" t="s">
        <v>2014</v>
      </c>
      <c r="E8" s="58" t="s">
        <v>1992</v>
      </c>
      <c r="F8" s="58" t="s">
        <v>2015</v>
      </c>
      <c r="G8" s="58" t="s">
        <v>1994</v>
      </c>
      <c r="H8" s="58" t="s">
        <v>1995</v>
      </c>
      <c r="I8" s="59" t="s">
        <v>1996</v>
      </c>
      <c r="J8" s="60" t="s">
        <v>2012</v>
      </c>
      <c r="K8" s="61">
        <v>300</v>
      </c>
      <c r="L8" s="62" t="s">
        <v>1998</v>
      </c>
      <c r="M8" s="63">
        <v>4</v>
      </c>
      <c r="N8" s="64"/>
      <c r="O8" s="61">
        <v>57.1</v>
      </c>
      <c r="P8" s="61">
        <v>59.1</v>
      </c>
      <c r="Q8" s="62" t="s">
        <v>1999</v>
      </c>
      <c r="R8" s="60" t="s">
        <v>2016</v>
      </c>
      <c r="S8" s="58"/>
      <c r="T8" s="65">
        <v>2.2200000000000002</v>
      </c>
      <c r="U8" s="61">
        <v>666</v>
      </c>
      <c r="V8" s="58"/>
    </row>
    <row r="9" spans="1:22" ht="16.5" customHeight="1">
      <c r="A9" s="66"/>
      <c r="K9" s="67">
        <f>SUM(K$3:$K8)</f>
        <v>1854</v>
      </c>
      <c r="M9" s="68">
        <f>SUM($M$3:M8)</f>
        <v>28</v>
      </c>
      <c r="O9" s="67">
        <f>SUM($O$3:O8)</f>
        <v>346.90000000000003</v>
      </c>
      <c r="P9" s="67">
        <f>SUM($P$3:P8)</f>
        <v>360.90000000000003</v>
      </c>
      <c r="T9" s="69"/>
      <c r="U9" s="67">
        <f>SUM($U$3:U8)</f>
        <v>4115.88</v>
      </c>
    </row>
  </sheetData>
  <phoneticPr fontId="3" type="noConversion"/>
  <pageMargins left="0.7" right="0.7" top="0.75" bottom="0.75" header="0.3" footer="0.3"/>
  <pageSetup paperSize="9"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具名範圍</vt:lpstr>
      </vt:variant>
      <vt:variant>
        <vt:i4>3</vt:i4>
      </vt:variant>
    </vt:vector>
  </HeadingPairs>
  <TitlesOfParts>
    <vt:vector size="8" baseType="lpstr">
      <vt:lpstr>1356 Pkgs INVOICE</vt:lpstr>
      <vt:lpstr>1356 Pkgs PACKING</vt:lpstr>
      <vt:lpstr>(CS )618  Rolls packing details</vt:lpstr>
      <vt:lpstr>(BY)28 Rolls  packing  details</vt:lpstr>
      <vt:lpstr>(BY summary)28 Rolls</vt:lpstr>
      <vt:lpstr>'1356 Pkgs PACKING'!Print_Area</vt:lpstr>
      <vt:lpstr>'1356 Pkgs INVOICE'!Print_Titles</vt:lpstr>
      <vt:lpstr>'1356 Pkgs PACKING'!Print_Titles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FK-Daisy Tsai</cp:lastModifiedBy>
  <cp:lastPrinted>2026-09-10T03:30:17Z</cp:lastPrinted>
  <dcterms:created xsi:type="dcterms:W3CDTF">2026-09-04T07:39:53Z</dcterms:created>
  <dcterms:modified xsi:type="dcterms:W3CDTF">2026-09-10T03:47:48Z</dcterms:modified>
</cp:coreProperties>
</file>