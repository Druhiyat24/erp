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6 月2026年\1150617 TWN to Nirwana(Jun 27) 遠東+ECLAT +旭浩 (768 Pkgs)\"/>
    </mc:Choice>
  </mc:AlternateContent>
  <xr:revisionPtr revIDLastSave="0" documentId="13_ncr:1_{7DD0D771-75A1-418C-B0BB-B07F3C33CC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</sheets>
  <definedNames>
    <definedName name="_xlnm.Print_Area" localSheetId="1">PACKING!$A$1:$R$397</definedName>
    <definedName name="_xlnm.Print_Titles" localSheetId="0">INVOICE!$14:$14</definedName>
    <definedName name="_xlnm.Print_Titles" localSheetId="1">PACKING!$16:$16</definedName>
  </definedNames>
  <calcPr calcId="181029"/>
</workbook>
</file>

<file path=xl/calcChain.xml><?xml version="1.0" encoding="utf-8"?>
<calcChain xmlns="http://schemas.openxmlformats.org/spreadsheetml/2006/main">
  <c r="M371" i="5" l="1"/>
  <c r="P371" i="5"/>
  <c r="O367" i="5"/>
  <c r="O368" i="5"/>
  <c r="K100" i="4"/>
  <c r="P97" i="4"/>
  <c r="P100" i="4" s="1"/>
</calcChain>
</file>

<file path=xl/sharedStrings.xml><?xml version="1.0" encoding="utf-8"?>
<sst xmlns="http://schemas.openxmlformats.org/spreadsheetml/2006/main" count="1666" uniqueCount="461">
  <si>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</si>
  <si>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</si>
  <si>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</si>
  <si>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</si>
  <si>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</si>
  <si>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</si>
  <si>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</si>
  <si>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</si>
  <si>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</si>
  <si>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</si>
  <si>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For account and risk of Messrs.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</si>
  <si>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</si>
  <si>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</si>
  <si>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</si>
  <si>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</si>
  <si>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FU KWOK KNITTING &amp; GARMENT CO., LTD.</t>
  </si>
  <si>
    <t>No. 110, Nanzih Dist., Kaohsiung City 811, Taiwan (R.O.C.)</t>
  </si>
  <si>
    <t>TTUY26061312</t>
  </si>
  <si>
    <t>PT.NIRWANA ALABARE GARMENT</t>
  </si>
  <si>
    <t>JL. RAYA RANCAEKEK - MAJALAYA NO.289, DESA SOLOKAN JERUK, KEC.SOLOKAN JERUK, _x000D_
KABUPATEN BANDUNG,JAWA BARAT 40382 INDONESIA 6222-85962076 ATTN: CINHUI/NINA _x000D_
NPWP CODE: 0745 4069 2644 4000</t>
    <phoneticPr fontId="3" type="noConversion"/>
  </si>
  <si>
    <t>VANCOUVER V.056S</t>
  </si>
  <si>
    <t>KAOHSIUNG,TAIWAN</t>
  </si>
  <si>
    <t>JAKARTA,INDONESIA</t>
  </si>
  <si>
    <t>JUNE.27,2026</t>
  </si>
  <si>
    <t>----------</t>
  </si>
  <si>
    <t>KNITTED FABRIC 100% POLYESTER</t>
  </si>
  <si>
    <t>HS CODE: 600632</t>
  </si>
  <si>
    <t xml:space="preserve">#074418 + knit + Piece Dye + </t>
  </si>
  <si>
    <t>Synthetic fiber + 100% Polyester</t>
  </si>
  <si>
    <t>+ 60 IN * 180 g/m2</t>
  </si>
  <si>
    <t>ORDER NO.: 26K5010300 (27CD74418A1)</t>
  </si>
  <si>
    <t>---------------------</t>
  </si>
  <si>
    <t>FEPO: 6K060255</t>
  </si>
  <si>
    <t>STYLE: AM0126</t>
  </si>
  <si>
    <t>PO#FK-NIRWANA-CSS27-0529BUY</t>
  </si>
  <si>
    <t>COLOR COGR2 COLUMBIA GREY</t>
  </si>
  <si>
    <t xml:space="preserve"> YDS</t>
  </si>
  <si>
    <t>USD</t>
  </si>
  <si>
    <t xml:space="preserve"> </t>
  </si>
  <si>
    <t>ORDER NO.: 26K6001800 (27CD74418A2)</t>
  </si>
  <si>
    <t xml:space="preserve">FEPO: 6K060255,256,257,258,6K060816 </t>
  </si>
  <si>
    <t>STYLE: AM,AS,AT,AX0126,XM6930</t>
  </si>
  <si>
    <t>PO#FK-NIRWANA-CS S27-0527BUY</t>
  </si>
  <si>
    <t>COLOR ANFO1 Ancient Fossil</t>
  </si>
  <si>
    <t>COLOR BLA1 BLACK</t>
  </si>
  <si>
    <t>COLOR CABL2 CANYON BLUE</t>
  </si>
  <si>
    <t>COLOR CONA2 COLLEGIATE NAVY</t>
  </si>
  <si>
    <t>COLOR DAMO2 DARK MOUNTAIN</t>
  </si>
  <si>
    <t>COLOR GRA1 GRAPHITE</t>
  </si>
  <si>
    <t>COLOR MORE1 MOUNTAIN RED</t>
  </si>
  <si>
    <t>ORDER NO.: 26K6015400 (27CD74418A4)</t>
  </si>
  <si>
    <t>----------------------</t>
  </si>
  <si>
    <t>PO#FK-NIRWANA-CS S27-0624 PREORDER BUY</t>
  </si>
  <si>
    <t>COLOR GRI1 GRILL</t>
  </si>
  <si>
    <t>COLOR WHI1 WHITE</t>
  </si>
  <si>
    <t>FLAT KNIT 100% POLYESTER</t>
  </si>
  <si>
    <t>HS CODE: 621710</t>
  </si>
  <si>
    <t xml:space="preserve">#074419-PD + knit + Piece Dye </t>
  </si>
  <si>
    <t>+ Flat Knit + 100%POLYESTER 627GSM</t>
  </si>
  <si>
    <t>ORDER NO.: 26K5010500 (27CD74419A1)</t>
  </si>
  <si>
    <t>PO#FK-NIRWANA-CSS27-0529 BUY</t>
  </si>
  <si>
    <t xml:space="preserve"> PCS</t>
  </si>
  <si>
    <t>COLOR COGR1 COOL GREY</t>
  </si>
  <si>
    <t>COLOR STGR1 STONE GREEN</t>
  </si>
  <si>
    <t>KNITTED FABRIC</t>
  </si>
  <si>
    <t>Beyond Yoga-H26-Bulk</t>
  </si>
  <si>
    <t>ITEM:RT1204120DB</t>
  </si>
  <si>
    <t>POLYESTER(87%) ELASTANE(13%)</t>
  </si>
  <si>
    <t>58" 370G/Y 266G.SQM</t>
  </si>
  <si>
    <t>----------------------------</t>
  </si>
  <si>
    <t>PO#6KBDYB31/B32/B33；style:SD1257D/7971D/7972D</t>
  </si>
  <si>
    <t>COLOR:DARK CHOCOLATE HEATHER</t>
  </si>
  <si>
    <t>PO#6KBDYB32/B33/F52；style:SD7971D/7972D/1367</t>
  </si>
  <si>
    <t>COLOR:DARKEST NIGHT</t>
  </si>
  <si>
    <t>COLOR:NOCTURNAL NAVY</t>
  </si>
  <si>
    <t>COLOR:SILVER MIST</t>
  </si>
  <si>
    <t>-----------------------------------------</t>
  </si>
  <si>
    <t>vvv</t>
  </si>
  <si>
    <t>vvvvvvvvvv</t>
  </si>
  <si>
    <t>vvvvvv</t>
  </si>
  <si>
    <t>vvvv</t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</si>
  <si>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</si>
  <si>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</si>
  <si>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</si>
  <si>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</si>
  <si>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</si>
  <si>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</si>
  <si>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Shipped by</t>
    <phoneticPr fontId="8" type="noConversion"/>
  </si>
  <si>
    <t>For account and risk of Messrs.</t>
    <phoneticPr fontId="9" type="noConversion"/>
  </si>
  <si>
    <t>MARKS &amp; NOS:</t>
    <phoneticPr fontId="9" type="noConversion"/>
  </si>
  <si>
    <t xml:space="preserve">PACKING LIST of </t>
    <phoneticPr fontId="8" type="noConversion"/>
  </si>
  <si>
    <t>Dated:</t>
  </si>
  <si>
    <t>No.</t>
    <phoneticPr fontId="8" type="noConversion"/>
  </si>
  <si>
    <t>PACKING LIST</t>
    <phoneticPr fontId="8" type="noConversion"/>
  </si>
  <si>
    <t>JL. RAYA RANCAEKEK - MAJALAYA NO.289, DESA SOLOKAN JERUK, KEC.SOLOKAN JERUK, _x000D_
KABUPATEN BANDUNG,JAWA BARAT 40382 INDONESIA 6222-85962076 ATTN: CINHUI/NINA _x000D_
NPWP CODE: 0745 4069 2644 4000</t>
    <phoneticPr fontId="3" type="noConversion"/>
  </si>
  <si>
    <t>B011-B015,B017</t>
  </si>
  <si>
    <t xml:space="preserve"> KGS</t>
  </si>
  <si>
    <t>B001-B002,B001-</t>
  </si>
  <si>
    <t>B014,B016-B019</t>
  </si>
  <si>
    <t>C001-C018,C196-</t>
  </si>
  <si>
    <t>C198,B001-B042,</t>
  </si>
  <si>
    <t>B067-B082</t>
  </si>
  <si>
    <t>C001-C002,C007-</t>
  </si>
  <si>
    <t>C012,C019-C022,</t>
  </si>
  <si>
    <t>C024</t>
  </si>
  <si>
    <t>A064-A069</t>
  </si>
  <si>
    <t>B001-B037</t>
  </si>
  <si>
    <t>E0004</t>
  </si>
  <si>
    <t>E015-E017</t>
  </si>
  <si>
    <t>D001-D035,A001,</t>
  </si>
  <si>
    <t>A003,A015,A018-</t>
  </si>
  <si>
    <t>036</t>
  </si>
  <si>
    <t>B038-B144</t>
  </si>
  <si>
    <t>E001-E004,E007</t>
  </si>
  <si>
    <t>A001-A024,A049-</t>
  </si>
  <si>
    <t>A055,A073-A091,</t>
  </si>
  <si>
    <t>A093-A097,A097-</t>
  </si>
  <si>
    <t>A144</t>
  </si>
  <si>
    <t>F01-F21</t>
  </si>
  <si>
    <t>F57-F69</t>
  </si>
  <si>
    <t>F22-F34</t>
  </si>
  <si>
    <t>F35-F56</t>
  </si>
  <si>
    <t xml:space="preserve">KNITTED FABRIC    </t>
  </si>
  <si>
    <t xml:space="preserve">ITEM:RT1204120DB    </t>
  </si>
  <si>
    <t xml:space="preserve">POLYESTER(87%) ELASTANE (13%)    </t>
  </si>
  <si>
    <t xml:space="preserve">58" 370G/Y 266G.SQM    </t>
  </si>
  <si>
    <t xml:space="preserve">----------------------------    </t>
  </si>
  <si>
    <t xml:space="preserve">PO#6KBDYB31/B32/B33；style:SD1257D/7971D/7972D    </t>
  </si>
  <si>
    <t xml:space="preserve">COLOR:DARK CHOCOLATE HEATHER    </t>
  </si>
  <si>
    <t xml:space="preserve">44R./2479YDS.    </t>
  </si>
  <si>
    <t xml:space="preserve">DYE LOT NO.B561945A    </t>
  </si>
  <si>
    <t>B3</t>
  </si>
  <si>
    <t xml:space="preserve">    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</si>
  <si>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</si>
  <si>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</si>
  <si>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</si>
  <si>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</si>
  <si>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</si>
  <si>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</si>
  <si>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</si>
  <si>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</si>
  <si>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</si>
  <si>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</si>
  <si>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</si>
  <si>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</si>
  <si>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</si>
  <si>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</si>
  <si>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</si>
  <si>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</si>
  <si>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</si>
  <si>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</si>
  <si>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 xml:space="preserve">DYE LOT NO.B561944A    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</si>
  <si>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</si>
  <si>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</si>
  <si>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</si>
  <si>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</si>
  <si>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</si>
  <si>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</si>
  <si>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</si>
  <si>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</si>
  <si>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</si>
  <si>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</si>
  <si>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</si>
  <si>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</si>
  <si>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</si>
  <si>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</si>
  <si>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</si>
  <si>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</si>
  <si>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</si>
  <si>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</si>
  <si>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</si>
  <si>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</si>
  <si>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</si>
  <si>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</si>
  <si>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</si>
  <si>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</si>
  <si>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B70</t>
  </si>
  <si>
    <t>PO#6KBDYB32/B33/F52；style:SD7971D/7972D</t>
  </si>
  <si>
    <t xml:space="preserve">/1367    </t>
  </si>
  <si>
    <t xml:space="preserve">COLOR:DARKEST NIGHT    </t>
  </si>
  <si>
    <t xml:space="preserve">106R./5664YDS.    </t>
  </si>
  <si>
    <t xml:space="preserve">DYE LOT NO.26040426    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</si>
  <si>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</si>
  <si>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</si>
  <si>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</si>
  <si>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</si>
  <si>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</si>
  <si>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</si>
  <si>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</si>
  <si>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</si>
  <si>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</si>
  <si>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</si>
  <si>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</si>
  <si>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</si>
  <si>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</si>
  <si>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</si>
  <si>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</si>
  <si>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</si>
  <si>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</si>
  <si>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</si>
  <si>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</si>
  <si>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 xml:space="preserve">DYE LOT NO.26040421    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</si>
  <si>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</si>
  <si>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</si>
  <si>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</si>
  <si>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</si>
  <si>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</si>
  <si>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</si>
  <si>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</si>
  <si>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</si>
  <si>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</si>
  <si>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</si>
  <si>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</si>
  <si>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</si>
  <si>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</si>
  <si>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</si>
  <si>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</si>
  <si>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</si>
  <si>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</si>
  <si>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 xml:space="preserve">DYE LOT NO.26040484    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</si>
  <si>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</si>
  <si>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</si>
  <si>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</si>
  <si>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</si>
  <si>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</si>
  <si>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</si>
  <si>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</si>
  <si>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</si>
  <si>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</si>
  <si>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</si>
  <si>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</si>
  <si>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</si>
  <si>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</si>
  <si>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</si>
  <si>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</si>
  <si>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</si>
  <si>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</si>
  <si>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</si>
  <si>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</si>
  <si>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</si>
  <si>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</si>
  <si>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</si>
  <si>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</si>
  <si>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</si>
  <si>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</si>
  <si>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</si>
  <si>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</si>
  <si>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</si>
  <si>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</si>
  <si>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</si>
  <si>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</si>
  <si>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</si>
  <si>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</si>
  <si>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</si>
  <si>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</si>
  <si>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 xml:space="preserve">DYE LOT NO.26040424    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</si>
  <si>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</si>
  <si>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</si>
  <si>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</si>
  <si>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</si>
  <si>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</si>
  <si>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</si>
  <si>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</si>
  <si>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</si>
  <si>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</si>
  <si>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</si>
  <si>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</si>
  <si>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</si>
  <si>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</si>
  <si>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</si>
  <si>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</si>
  <si>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</si>
  <si>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</si>
  <si>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</si>
  <si>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</si>
  <si>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</si>
  <si>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</si>
  <si>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</si>
  <si>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</si>
  <si>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</si>
  <si>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</si>
  <si>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</si>
  <si>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</si>
  <si>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</si>
  <si>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</si>
  <si>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</si>
  <si>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</si>
  <si>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</si>
  <si>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</si>
  <si>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</si>
  <si>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</si>
  <si>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 xml:space="preserve">COLOR:NOCTURNAL NAVY    </t>
  </si>
  <si>
    <t xml:space="preserve">43R./2291YDS.    </t>
  </si>
  <si>
    <t xml:space="preserve">DYE LOT NO.26040542    </t>
  </si>
  <si>
    <t>D32</t>
  </si>
  <si>
    <t>D33</t>
  </si>
  <si>
    <t>D34</t>
  </si>
  <si>
    <t>D35</t>
  </si>
  <si>
    <t>D36</t>
  </si>
  <si>
    <t>D37</t>
  </si>
  <si>
    <t>D38</t>
  </si>
  <si>
    <t xml:space="preserve">DYE LOT NO.26040541    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</si>
  <si>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</si>
  <si>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</si>
  <si>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</si>
  <si>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</si>
  <si>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</si>
  <si>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</si>
  <si>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</si>
  <si>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</si>
  <si>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</si>
  <si>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</si>
  <si>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</si>
  <si>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</si>
  <si>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</si>
  <si>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</si>
  <si>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</si>
  <si>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</si>
  <si>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</si>
  <si>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</si>
  <si>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</si>
  <si>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</si>
  <si>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</si>
  <si>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</si>
  <si>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</si>
  <si>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</si>
  <si>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</si>
  <si>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</si>
  <si>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</si>
  <si>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</si>
  <si>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</si>
  <si>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</si>
  <si>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</si>
  <si>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</si>
  <si>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</si>
  <si>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</si>
  <si>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</si>
  <si>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</si>
  <si>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 xml:space="preserve">PO#6KBDYB32/B33/F52；style:SD7971D/7972D/1367    </t>
  </si>
  <si>
    <t xml:space="preserve">COLOR:SILVER MIST    </t>
  </si>
  <si>
    <t xml:space="preserve">57R./3117YDS.    </t>
  </si>
  <si>
    <t xml:space="preserve">DYE LOT NO.B561973A    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</si>
  <si>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</si>
  <si>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</si>
  <si>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</si>
  <si>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</si>
  <si>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</si>
  <si>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</si>
  <si>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</si>
  <si>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</si>
  <si>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</si>
  <si>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</si>
  <si>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</si>
  <si>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</si>
  <si>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</si>
  <si>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</si>
  <si>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</si>
  <si>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</si>
  <si>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</si>
  <si>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</si>
  <si>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</si>
  <si>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</si>
  <si>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</si>
  <si>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</si>
  <si>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</si>
  <si>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</si>
  <si>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 xml:space="preserve">DYE LOT NO.B561808B    </t>
  </si>
  <si>
    <t>E310</t>
  </si>
  <si>
    <t>E311</t>
  </si>
  <si>
    <t>E312</t>
  </si>
  <si>
    <t xml:space="preserve">DYE LOT NO.B559845B    </t>
  </si>
  <si>
    <t>E326</t>
  </si>
  <si>
    <t>E327</t>
  </si>
  <si>
    <t>E328</t>
  </si>
  <si>
    <t xml:space="preserve">DYE LOT NO.B561971A    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</si>
  <si>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</si>
  <si>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</si>
  <si>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</si>
  <si>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</si>
  <si>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</si>
  <si>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</si>
  <si>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</si>
  <si>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</si>
  <si>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</si>
  <si>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</si>
  <si>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</si>
  <si>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</si>
  <si>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</si>
  <si>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</si>
  <si>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</si>
  <si>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</si>
  <si>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</si>
  <si>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</si>
  <si>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</si>
  <si>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</si>
  <si>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</si>
  <si>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 xml:space="preserve">DYE LOT NO.B563855X    </t>
  </si>
  <si>
    <t>E342</t>
  </si>
  <si>
    <t>E343</t>
  </si>
  <si>
    <t>E344</t>
  </si>
  <si>
    <t>E345</t>
  </si>
  <si>
    <t>E346</t>
  </si>
  <si>
    <t>E347</t>
  </si>
  <si>
    <t>---------------------------------------------------------------------------------------------</t>
  </si>
  <si>
    <t xml:space="preserve"> ROLLS</t>
  </si>
  <si>
    <t xml:space="preserve"> BALES</t>
  </si>
  <si>
    <t>vvvvvvvvv</t>
  </si>
  <si>
    <t xml:space="preserve"> P'KGS)</t>
  </si>
  <si>
    <t>CONTAINER NO.: OOCU5871818/40'HQ</t>
  </si>
  <si>
    <t>MARKS &amp; NOS.:</t>
  </si>
  <si>
    <t xml:space="preserve"> 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</si>
  <si>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</si>
  <si>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</si>
  <si>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</si>
  <si>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</si>
  <si>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</si>
  <si>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</si>
  <si>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</si>
  <si>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</si>
  <si>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</si>
  <si>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</si>
  <si>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</si>
  <si>
    <t>PT. NIRWANA ALABARE</t>
  </si>
  <si>
    <t>GARMENT</t>
  </si>
  <si>
    <t>IN DIA.</t>
  </si>
  <si>
    <t>P.O.#</t>
  </si>
  <si>
    <t>STYLE#</t>
  </si>
  <si>
    <t>C/NO.1-250.</t>
  </si>
  <si>
    <t>MARKS &amp; NOS.:</t>
    <phoneticPr fontId="3" type="noConversion"/>
  </si>
  <si>
    <t>JAKARTA,INDONESIA</t>
    <phoneticPr fontId="3" type="noConversion"/>
  </si>
  <si>
    <t>CIF INDONESIA</t>
    <phoneticPr fontId="3" type="noConversion"/>
  </si>
  <si>
    <t>768 Pkgs</t>
    <phoneticPr fontId="3" type="noConversion"/>
  </si>
  <si>
    <t>Jun 18, 2026</t>
    <phoneticPr fontId="3" type="noConversion"/>
  </si>
  <si>
    <t xml:space="preserve"> </t>
    <phoneticPr fontId="3" type="noConversion"/>
  </si>
  <si>
    <t xml:space="preserve"> </t>
    <phoneticPr fontId="8" type="noConversion"/>
  </si>
  <si>
    <t xml:space="preserve">768 Pkgs </t>
    <phoneticPr fontId="3" type="noConversion"/>
  </si>
  <si>
    <t>WOVEN TAPE</t>
    <phoneticPr fontId="8" type="noConversion"/>
  </si>
  <si>
    <t xml:space="preserve">#036729 10MM Compass Blue stripe stretch Woven tape </t>
    <phoneticPr fontId="8" type="noConversion"/>
  </si>
  <si>
    <t>YDS</t>
    <phoneticPr fontId="8" type="noConversion"/>
  </si>
  <si>
    <t>F26-0527BUY</t>
    <phoneticPr fontId="8" type="noConversion"/>
  </si>
  <si>
    <t>6K060255</t>
    <phoneticPr fontId="8" type="noConversion"/>
  </si>
  <si>
    <t>AM0126 /</t>
    <phoneticPr fontId="8" type="noConversion"/>
  </si>
  <si>
    <t xml:space="preserve">SAY TOTAL U.S. DOLLARS ONE HUNDRED NINETY SEVEN THOUSAND THREE HUNDRED </t>
    <phoneticPr fontId="3" type="noConversion"/>
  </si>
  <si>
    <t>FORTY ONE AND CENTS NINETY ONE ONLY.</t>
    <phoneticPr fontId="3" type="noConversion"/>
  </si>
  <si>
    <t>KGS</t>
  </si>
  <si>
    <t>1-11</t>
    <phoneticPr fontId="3" type="noConversion"/>
  </si>
  <si>
    <t>12-12</t>
    <phoneticPr fontId="3" type="noConversion"/>
  </si>
  <si>
    <t xml:space="preserve">PT. NIRWANA  </t>
    <phoneticPr fontId="3" type="noConversion"/>
  </si>
  <si>
    <t>INDONESIA</t>
    <phoneticPr fontId="3" type="noConversion"/>
  </si>
  <si>
    <t>ITEM:</t>
    <phoneticPr fontId="3" type="noConversion"/>
  </si>
  <si>
    <t>COLOR:</t>
    <phoneticPr fontId="3" type="noConversion"/>
  </si>
  <si>
    <t>Q'TY:</t>
    <phoneticPr fontId="3" type="noConversion"/>
  </si>
  <si>
    <t>C/NO.:1-12</t>
    <phoneticPr fontId="3" type="noConversion"/>
  </si>
  <si>
    <t>MADE IN TAIWAN</t>
    <phoneticPr fontId="3" type="noConversion"/>
  </si>
  <si>
    <t>Ctns</t>
    <phoneticPr fontId="3" type="noConversion"/>
  </si>
  <si>
    <t>(768</t>
    <phoneticPr fontId="3" type="noConversion"/>
  </si>
  <si>
    <t>SAY TOTAL SIX HUNDRED EIGHTY SEVEN (687) ROLLS AND SIXTY NINE (69) BALES and (12) Ctns  ONLY.</t>
    <phoneticPr fontId="3" type="noConversion"/>
  </si>
  <si>
    <t>437 Rolls</t>
    <phoneticPr fontId="3" type="noConversion"/>
  </si>
  <si>
    <t>69 Bales</t>
    <phoneticPr fontId="3" type="noConversion"/>
  </si>
  <si>
    <t xml:space="preserve">250 Rolls </t>
    <phoneticPr fontId="3" type="noConversion"/>
  </si>
  <si>
    <t xml:space="preserve"> 12 Ctns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</si>
</sst>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#,##0.00;[Red]#,##0.00"/>
    <numFmt numFmtId="177" formatCode="_-* #,##0_-;\-* #,##0_-;_-* &quot;-&quot;??_-;_-@_-"/>
  </numFmts>
  <fonts count="2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6" fillId="0" borderId="0"/>
    <xf numFmtId="43" fontId="19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0" fontId="2" fillId="0" borderId="0" xfId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0" fontId="2" fillId="0" borderId="0" xfId="2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177" fontId="2" fillId="0" borderId="0" xfId="3" applyNumberFormat="1" applyFont="1" applyAlignment="1">
      <alignment horizontal="right"/>
    </xf>
    <xf numFmtId="43" fontId="2" fillId="0" borderId="0" xfId="3" applyFont="1" applyAlignment="1">
      <alignment horizontal="left"/>
    </xf>
    <xf numFmtId="0" fontId="20" fillId="0" borderId="0" xfId="0" applyFo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9" fontId="15" fillId="0" borderId="8" xfId="2" applyNumberFormat="1" applyFont="1" applyBorder="1" applyAlignment="1">
      <alignment horizontal="left" vertical="top"/>
    </xf>
    <xf numFmtId="49" fontId="2" fillId="0" borderId="8" xfId="2" applyNumberFormat="1" applyFont="1" applyBorder="1" applyAlignment="1">
      <alignment horizontal="left" vertical="top"/>
    </xf>
    <xf numFmtId="176" fontId="2" fillId="0" borderId="8" xfId="2" applyNumberFormat="1" applyFont="1" applyBorder="1" applyAlignment="1">
      <alignment horizontal="left" vertical="top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2" fillId="0" borderId="0" xfId="1" applyNumberFormat="1" applyFont="1" applyAlignment="1">
      <alignment horizontal="left" vertical="top" wrapText="1"/>
    </xf>
    <xf numFmtId="49" fontId="2" fillId="0" borderId="5" xfId="1" applyNumberFormat="1" applyFont="1" applyBorder="1" applyAlignment="1">
      <alignment horizontal="left" vertical="top" wrapText="1"/>
    </xf>
    <xf numFmtId="49" fontId="10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49" fontId="6" fillId="0" borderId="2" xfId="1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0" fontId="10" fillId="0" borderId="0" xfId="1" applyFont="1" applyAlignment="1">
      <alignment horizontal="left" vertical="top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49" fontId="18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0" fontId="9" fillId="0" borderId="0" xfId="2" applyFont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6" fillId="0" borderId="3" xfId="2" applyNumberFormat="1" applyFont="1" applyBorder="1" applyAlignment="1">
      <alignment horizontal="center" vertical="top"/>
    </xf>
    <xf numFmtId="0" fontId="2" fillId="0" borderId="5" xfId="2" applyFont="1" applyBorder="1" applyAlignment="1">
      <alignment horizontal="left" vertical="top" shrinkToFit="1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49" fontId="10" fillId="0" borderId="0" xfId="2" applyNumberFormat="1" applyFont="1" applyAlignment="1">
      <alignment horizontal="left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49" fontId="2" fillId="0" borderId="5" xfId="2" applyNumberFormat="1" applyFont="1" applyBorder="1" applyAlignment="1">
      <alignment horizontal="left" vertical="top" shrinkToFit="1"/>
    </xf>
    <xf numFmtId="0" fontId="10" fillId="0" borderId="0" xfId="2" applyFont="1" applyAlignment="1">
      <alignment horizontal="left" vertical="top"/>
    </xf>
    <xf numFmtId="0" fontId="10" fillId="0" borderId="6" xfId="2" applyFont="1" applyBorder="1" applyAlignment="1">
      <alignment horizontal="left" vertical="top"/>
    </xf>
    <xf numFmtId="0" fontId="2" fillId="0" borderId="4" xfId="2" applyFont="1" applyBorder="1" applyAlignment="1">
      <alignment horizontal="left" vertical="top" shrinkToFit="1"/>
    </xf>
    <xf numFmtId="49" fontId="5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 wrapText="1" shrinkToFit="1"/>
    </xf>
    <xf numFmtId="0" fontId="2" fillId="0" borderId="0" xfId="2" applyFont="1" applyAlignment="1">
      <alignment horizontal="left" vertical="top" wrapText="1" shrinkToFit="1"/>
    </xf>
    <xf numFmtId="49" fontId="14" fillId="0" borderId="0" xfId="2" applyNumberFormat="1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2" fillId="0" borderId="0" xfId="2" applyNumberFormat="1" applyFont="1" applyAlignment="1">
      <alignment horizontal="left" vertical="top"/>
    </xf>
    <xf numFmtId="49" fontId="2" fillId="2" borderId="0" xfId="2" applyNumberFormat="1" applyFont="1" applyFill="1" applyAlignment="1">
      <alignment horizontal="left" vertical="top"/>
    </xf>
  </cellXfs>
  <cellStyles count="4">
    <cellStyle name="一般" xfId="0" builtinId="0"/>
    <cellStyle name="一般 2" xfId="1" xr:uid="{00000000-0005-0000-0000-000001000000}"/>
    <cellStyle name="一般 3" xfId="2" xr:uid="{00000000-0005-0000-0000-000002000000}"/>
    <cellStyle name="千分位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"/>
  <sheetViews>
    <sheetView tabSelected="1" topLeftCell="A91" workbookViewId="0">
      <selection activeCell="E7" sqref="E7:P7"/>
    </sheetView>
  </sheetViews>
  <sheetFormatPr defaultColWidth="9"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3.625" style="1" customWidth="1"/>
    <col min="17" max="16384" width="9" style="1"/>
  </cols>
  <sheetData>
    <row r="1" spans="1:16" s="9" customFormat="1" ht="19.5">
      <c r="A1" s="41" t="s">
        <v>15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 s="6" customFormat="1" ht="15">
      <c r="A2" s="42" t="s">
        <v>16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6" s="6" customFormat="1" ht="15">
      <c r="A3" s="39"/>
      <c r="B3" s="39"/>
      <c r="C3" s="39"/>
      <c r="D3" s="39"/>
      <c r="E3" s="39"/>
      <c r="F3" s="39"/>
      <c r="G3" s="39"/>
      <c r="H3" s="39"/>
      <c r="I3" s="39"/>
      <c r="J3" s="40"/>
      <c r="K3" s="40"/>
      <c r="L3" s="40"/>
      <c r="M3" s="40"/>
      <c r="N3" s="40"/>
      <c r="O3" s="40"/>
      <c r="P3" s="40"/>
    </row>
    <row r="4" spans="1:16" s="9" customFormat="1" ht="19.5">
      <c r="A4" s="43" t="s">
        <v>14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6" t="s">
        <v>13</v>
      </c>
      <c r="B6" s="63" t="s">
        <v>17</v>
      </c>
      <c r="C6" s="64"/>
      <c r="D6" s="64"/>
      <c r="E6" s="64"/>
      <c r="F6" s="64"/>
      <c r="G6" s="65"/>
      <c r="L6" s="52" t="s">
        <v>12</v>
      </c>
      <c r="M6" s="53"/>
      <c r="N6" s="54" t="s">
        <v>432</v>
      </c>
      <c r="O6" s="54"/>
      <c r="P6" s="55"/>
    </row>
    <row r="7" spans="1:16" ht="15.75">
      <c r="A7" s="50" t="s">
        <v>11</v>
      </c>
      <c r="B7" s="50"/>
      <c r="C7" s="50"/>
      <c r="D7" s="51"/>
      <c r="E7" s="55" t="s">
        <v>431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</row>
    <row r="8" spans="1:16" ht="15">
      <c r="A8" s="49" t="s">
        <v>10</v>
      </c>
      <c r="B8" s="49"/>
      <c r="C8" s="49"/>
      <c r="D8" s="49"/>
      <c r="E8" s="49"/>
      <c r="F8" s="49"/>
      <c r="G8" s="54" t="s">
        <v>18</v>
      </c>
      <c r="H8" s="54"/>
      <c r="I8" s="55"/>
      <c r="J8" s="55"/>
      <c r="K8" s="55"/>
      <c r="L8" s="55"/>
      <c r="M8" s="55"/>
      <c r="N8" s="55"/>
      <c r="O8" s="55"/>
      <c r="P8" s="55"/>
    </row>
    <row r="9" spans="1:16" ht="14.25" customHeight="1">
      <c r="A9" s="47" t="s">
        <v>19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</row>
    <row r="10" spans="1:16" ht="14.25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ht="15">
      <c r="A11" s="49" t="s">
        <v>9</v>
      </c>
      <c r="B11" s="49"/>
      <c r="C11" s="49"/>
      <c r="D11" s="58"/>
      <c r="E11" s="58"/>
      <c r="F11" s="58"/>
      <c r="G11" s="58"/>
      <c r="H11" s="58"/>
      <c r="I11" s="59"/>
      <c r="J11" s="7" t="s">
        <v>8</v>
      </c>
      <c r="K11" s="58" t="s">
        <v>20</v>
      </c>
      <c r="L11" s="59"/>
      <c r="M11" s="59"/>
      <c r="N11" s="59"/>
      <c r="O11" s="59"/>
      <c r="P11" s="59"/>
    </row>
    <row r="12" spans="1:16" ht="15">
      <c r="A12" s="49" t="s">
        <v>7</v>
      </c>
      <c r="B12" s="49"/>
      <c r="C12" s="49"/>
      <c r="D12" s="62"/>
      <c r="E12" s="59" t="s">
        <v>23</v>
      </c>
      <c r="F12" s="59"/>
      <c r="G12" s="59"/>
      <c r="H12" s="5" t="s">
        <v>6</v>
      </c>
      <c r="I12" s="55" t="s">
        <v>21</v>
      </c>
      <c r="J12" s="55"/>
      <c r="K12" s="55"/>
      <c r="L12" s="4" t="s">
        <v>5</v>
      </c>
      <c r="M12" s="59" t="s">
        <v>429</v>
      </c>
      <c r="N12" s="59"/>
      <c r="O12" s="59"/>
      <c r="P12" s="59"/>
    </row>
    <row r="13" spans="1:16" ht="15" thickBot="1"/>
    <row r="14" spans="1:16" s="3" customFormat="1" ht="17.25" thickTop="1">
      <c r="A14" s="44" t="s">
        <v>4</v>
      </c>
      <c r="B14" s="45"/>
      <c r="C14" s="45"/>
      <c r="D14" s="46"/>
      <c r="E14" s="56" t="s">
        <v>3</v>
      </c>
      <c r="F14" s="45"/>
      <c r="G14" s="45"/>
      <c r="H14" s="45"/>
      <c r="I14" s="45"/>
      <c r="J14" s="45"/>
      <c r="K14" s="56" t="s">
        <v>2</v>
      </c>
      <c r="L14" s="60"/>
      <c r="M14" s="57" t="s">
        <v>1</v>
      </c>
      <c r="N14" s="61"/>
      <c r="O14" s="56" t="s">
        <v>0</v>
      </c>
      <c r="P14" s="57"/>
    </row>
    <row r="15" spans="1:16">
      <c r="N15" s="1" t="s">
        <v>430</v>
      </c>
    </row>
    <row r="16" spans="1:16">
      <c r="N16" s="1" t="s">
        <v>24</v>
      </c>
    </row>
    <row r="17" spans="1:16">
      <c r="E17" s="1" t="s">
        <v>25</v>
      </c>
    </row>
    <row r="18" spans="1:16">
      <c r="E18" s="1" t="s">
        <v>26</v>
      </c>
    </row>
    <row r="19" spans="1:16">
      <c r="E19" s="1" t="s">
        <v>27</v>
      </c>
    </row>
    <row r="20" spans="1:16">
      <c r="E20" s="1" t="s">
        <v>28</v>
      </c>
    </row>
    <row r="21" spans="1:16">
      <c r="E21" s="1" t="s">
        <v>29</v>
      </c>
    </row>
    <row r="22" spans="1:16">
      <c r="A22" s="2"/>
      <c r="B22" s="2"/>
      <c r="E22" s="1" t="s">
        <v>30</v>
      </c>
    </row>
    <row r="23" spans="1:16" ht="16.5">
      <c r="E23" s="10" t="s">
        <v>31</v>
      </c>
    </row>
    <row r="24" spans="1:16">
      <c r="E24" s="1" t="s">
        <v>32</v>
      </c>
    </row>
    <row r="25" spans="1:16">
      <c r="E25" s="1" t="s">
        <v>33</v>
      </c>
    </row>
    <row r="26" spans="1:16">
      <c r="E26" s="2" t="s">
        <v>34</v>
      </c>
    </row>
    <row r="27" spans="1:16">
      <c r="E27" s="1" t="s">
        <v>35</v>
      </c>
      <c r="K27" s="20">
        <v>302</v>
      </c>
      <c r="L27" s="1" t="s">
        <v>36</v>
      </c>
      <c r="M27" s="11" t="s">
        <v>37</v>
      </c>
      <c r="N27" s="20">
        <v>1.73</v>
      </c>
      <c r="O27" s="11" t="s">
        <v>37</v>
      </c>
      <c r="P27" s="22">
        <v>522.46</v>
      </c>
    </row>
    <row r="28" spans="1:16">
      <c r="E28" s="1" t="s">
        <v>35</v>
      </c>
      <c r="K28" s="20">
        <v>104</v>
      </c>
      <c r="L28" s="1" t="s">
        <v>36</v>
      </c>
      <c r="N28" s="20">
        <v>1.73</v>
      </c>
      <c r="P28" s="22">
        <v>179.92</v>
      </c>
    </row>
    <row r="29" spans="1:16">
      <c r="E29" s="1" t="s">
        <v>38</v>
      </c>
      <c r="P29" s="23"/>
    </row>
    <row r="30" spans="1:16">
      <c r="E30" s="1" t="s">
        <v>39</v>
      </c>
      <c r="P30" s="23"/>
    </row>
    <row r="31" spans="1:16" ht="16.5">
      <c r="E31" s="10" t="s">
        <v>31</v>
      </c>
      <c r="P31" s="23"/>
    </row>
    <row r="32" spans="1:16">
      <c r="E32" s="1" t="s">
        <v>40</v>
      </c>
      <c r="P32" s="23"/>
    </row>
    <row r="33" spans="5:16">
      <c r="E33" s="1" t="s">
        <v>41</v>
      </c>
      <c r="P33" s="23"/>
    </row>
    <row r="34" spans="5:16">
      <c r="E34" s="2" t="s">
        <v>42</v>
      </c>
      <c r="P34" s="23"/>
    </row>
    <row r="35" spans="5:16">
      <c r="E35" s="1" t="s">
        <v>43</v>
      </c>
      <c r="K35" s="21">
        <v>1584</v>
      </c>
      <c r="L35" s="1" t="s">
        <v>36</v>
      </c>
      <c r="N35" s="20">
        <v>1.73</v>
      </c>
      <c r="P35" s="22">
        <v>2740.32</v>
      </c>
    </row>
    <row r="36" spans="5:16">
      <c r="E36" s="1" t="s">
        <v>44</v>
      </c>
      <c r="K36" s="21">
        <v>6548</v>
      </c>
      <c r="L36" s="1" t="s">
        <v>36</v>
      </c>
      <c r="N36" s="20">
        <v>1.73</v>
      </c>
      <c r="P36" s="22">
        <v>11328.04</v>
      </c>
    </row>
    <row r="37" spans="5:16">
      <c r="E37" s="1" t="s">
        <v>44</v>
      </c>
      <c r="K37" s="20">
        <v>2</v>
      </c>
      <c r="L37" s="1" t="s">
        <v>36</v>
      </c>
      <c r="N37" s="20">
        <v>1.73</v>
      </c>
      <c r="P37" s="22">
        <v>3.46</v>
      </c>
    </row>
    <row r="38" spans="5:16">
      <c r="E38" s="1" t="s">
        <v>45</v>
      </c>
      <c r="K38" s="21">
        <v>1043</v>
      </c>
      <c r="L38" s="1" t="s">
        <v>36</v>
      </c>
      <c r="N38" s="20">
        <v>1.73</v>
      </c>
      <c r="P38" s="22">
        <v>1804.39</v>
      </c>
    </row>
    <row r="39" spans="5:16">
      <c r="E39" s="1" t="s">
        <v>45</v>
      </c>
      <c r="K39" s="20">
        <v>23</v>
      </c>
      <c r="L39" s="1" t="s">
        <v>36</v>
      </c>
      <c r="N39" s="20">
        <v>1.73</v>
      </c>
      <c r="P39" s="22">
        <v>39.79</v>
      </c>
    </row>
    <row r="40" spans="5:16">
      <c r="E40" s="1" t="s">
        <v>46</v>
      </c>
      <c r="K40" s="20">
        <v>484</v>
      </c>
      <c r="L40" s="1" t="s">
        <v>36</v>
      </c>
      <c r="N40" s="20">
        <v>1.73</v>
      </c>
      <c r="P40" s="22">
        <v>837.32</v>
      </c>
    </row>
    <row r="41" spans="5:16">
      <c r="E41" s="1" t="s">
        <v>46</v>
      </c>
      <c r="K41" s="20">
        <v>15</v>
      </c>
      <c r="L41" s="1" t="s">
        <v>36</v>
      </c>
      <c r="N41" s="20">
        <v>1.73</v>
      </c>
      <c r="P41" s="22">
        <v>25.95</v>
      </c>
    </row>
    <row r="42" spans="5:16">
      <c r="E42" s="1" t="s">
        <v>47</v>
      </c>
      <c r="K42" s="21">
        <v>3000</v>
      </c>
      <c r="L42" s="1" t="s">
        <v>36</v>
      </c>
      <c r="N42" s="20">
        <v>1.73</v>
      </c>
      <c r="P42" s="22">
        <v>5190</v>
      </c>
    </row>
    <row r="43" spans="5:16">
      <c r="E43" s="1" t="s">
        <v>47</v>
      </c>
      <c r="K43" s="20">
        <v>16</v>
      </c>
      <c r="L43" s="1" t="s">
        <v>36</v>
      </c>
      <c r="N43" s="20">
        <v>1.73</v>
      </c>
      <c r="P43" s="22">
        <v>27.68</v>
      </c>
    </row>
    <row r="44" spans="5:16">
      <c r="E44" s="1" t="s">
        <v>48</v>
      </c>
      <c r="K44" s="20">
        <v>69</v>
      </c>
      <c r="L44" s="1" t="s">
        <v>36</v>
      </c>
      <c r="N44" s="20">
        <v>1.73</v>
      </c>
      <c r="P44" s="22">
        <v>119.37</v>
      </c>
    </row>
    <row r="45" spans="5:16">
      <c r="E45" s="1" t="s">
        <v>48</v>
      </c>
      <c r="K45" s="20">
        <v>9</v>
      </c>
      <c r="L45" s="1" t="s">
        <v>36</v>
      </c>
      <c r="N45" s="20">
        <v>1.73</v>
      </c>
      <c r="P45" s="22">
        <v>15.57</v>
      </c>
    </row>
    <row r="46" spans="5:16">
      <c r="E46" s="1" t="s">
        <v>49</v>
      </c>
      <c r="K46" s="20">
        <v>240</v>
      </c>
      <c r="L46" s="1" t="s">
        <v>36</v>
      </c>
      <c r="N46" s="20">
        <v>1.73</v>
      </c>
      <c r="P46" s="22">
        <v>415.2</v>
      </c>
    </row>
    <row r="47" spans="5:16">
      <c r="E47" s="1" t="s">
        <v>38</v>
      </c>
      <c r="P47" s="23"/>
    </row>
    <row r="48" spans="5:16">
      <c r="E48" s="1" t="s">
        <v>50</v>
      </c>
      <c r="P48" s="23"/>
    </row>
    <row r="49" spans="5:16" ht="16.5">
      <c r="E49" s="10" t="s">
        <v>51</v>
      </c>
      <c r="P49" s="23"/>
    </row>
    <row r="50" spans="5:16">
      <c r="E50" s="1" t="s">
        <v>32</v>
      </c>
      <c r="P50" s="23"/>
    </row>
    <row r="51" spans="5:16">
      <c r="E51" s="1" t="s">
        <v>33</v>
      </c>
      <c r="P51" s="23"/>
    </row>
    <row r="52" spans="5:16">
      <c r="E52" s="2" t="s">
        <v>52</v>
      </c>
      <c r="P52" s="23"/>
    </row>
    <row r="53" spans="5:16">
      <c r="E53" s="1" t="s">
        <v>46</v>
      </c>
      <c r="K53" s="21">
        <v>3953</v>
      </c>
      <c r="L53" s="1" t="s">
        <v>36</v>
      </c>
      <c r="N53" s="20">
        <v>1.73</v>
      </c>
      <c r="P53" s="22">
        <v>6838.69</v>
      </c>
    </row>
    <row r="54" spans="5:16">
      <c r="E54" s="1" t="s">
        <v>46</v>
      </c>
      <c r="K54" s="20">
        <v>725</v>
      </c>
      <c r="L54" s="1" t="s">
        <v>36</v>
      </c>
      <c r="N54" s="20">
        <v>1.73</v>
      </c>
      <c r="P54" s="22">
        <v>1254.25</v>
      </c>
    </row>
    <row r="55" spans="5:16">
      <c r="E55" s="1" t="s">
        <v>47</v>
      </c>
      <c r="K55" s="21">
        <v>8564</v>
      </c>
      <c r="L55" s="1" t="s">
        <v>36</v>
      </c>
      <c r="N55" s="20">
        <v>1.73</v>
      </c>
      <c r="P55" s="22">
        <v>14815.72</v>
      </c>
    </row>
    <row r="56" spans="5:16">
      <c r="E56" s="1" t="s">
        <v>47</v>
      </c>
      <c r="K56" s="20">
        <v>62</v>
      </c>
      <c r="L56" s="1" t="s">
        <v>36</v>
      </c>
      <c r="M56" s="11" t="s">
        <v>37</v>
      </c>
      <c r="N56" s="20">
        <v>1.73</v>
      </c>
      <c r="O56" s="11" t="s">
        <v>37</v>
      </c>
      <c r="P56" s="22">
        <v>107.26</v>
      </c>
    </row>
    <row r="57" spans="5:16">
      <c r="E57" s="1" t="s">
        <v>53</v>
      </c>
      <c r="K57" s="20">
        <v>350</v>
      </c>
      <c r="L57" s="1" t="s">
        <v>36</v>
      </c>
      <c r="N57" s="20">
        <v>1.73</v>
      </c>
      <c r="P57" s="22">
        <v>605.5</v>
      </c>
    </row>
    <row r="58" spans="5:16">
      <c r="E58" s="1" t="s">
        <v>53</v>
      </c>
      <c r="K58" s="20">
        <v>54</v>
      </c>
      <c r="L58" s="1" t="s">
        <v>36</v>
      </c>
      <c r="N58" s="20">
        <v>1.73</v>
      </c>
      <c r="P58" s="22">
        <v>93.42</v>
      </c>
    </row>
    <row r="59" spans="5:16">
      <c r="E59" s="1" t="s">
        <v>54</v>
      </c>
      <c r="K59" s="21">
        <v>6785</v>
      </c>
      <c r="L59" s="1" t="s">
        <v>36</v>
      </c>
      <c r="N59" s="20">
        <v>1.73</v>
      </c>
      <c r="P59" s="22">
        <v>11738.05</v>
      </c>
    </row>
    <row r="60" spans="5:16">
      <c r="E60" s="1" t="s">
        <v>54</v>
      </c>
      <c r="K60" s="21">
        <v>1544</v>
      </c>
      <c r="L60" s="1" t="s">
        <v>36</v>
      </c>
      <c r="N60" s="20">
        <v>1.73</v>
      </c>
      <c r="P60" s="22">
        <v>2671.12</v>
      </c>
    </row>
    <row r="61" spans="5:16">
      <c r="E61" s="1" t="s">
        <v>38</v>
      </c>
      <c r="P61" s="23"/>
    </row>
    <row r="62" spans="5:16">
      <c r="E62" s="1" t="s">
        <v>55</v>
      </c>
      <c r="P62" s="23"/>
    </row>
    <row r="63" spans="5:16">
      <c r="E63" s="1" t="s">
        <v>56</v>
      </c>
      <c r="P63" s="23"/>
    </row>
    <row r="64" spans="5:16">
      <c r="E64" s="1" t="s">
        <v>57</v>
      </c>
      <c r="P64" s="23"/>
    </row>
    <row r="65" spans="5:16">
      <c r="E65" s="1" t="s">
        <v>58</v>
      </c>
      <c r="P65" s="23"/>
    </row>
    <row r="66" spans="5:16">
      <c r="E66" s="1" t="s">
        <v>59</v>
      </c>
      <c r="P66" s="23"/>
    </row>
    <row r="67" spans="5:16" ht="16.5">
      <c r="E67" s="10" t="s">
        <v>31</v>
      </c>
      <c r="P67" s="23"/>
    </row>
    <row r="68" spans="5:16">
      <c r="E68" s="1" t="s">
        <v>32</v>
      </c>
      <c r="P68" s="23"/>
    </row>
    <row r="69" spans="5:16">
      <c r="E69" s="1" t="s">
        <v>33</v>
      </c>
      <c r="P69" s="23"/>
    </row>
    <row r="70" spans="5:16">
      <c r="E70" s="2" t="s">
        <v>60</v>
      </c>
      <c r="P70" s="23"/>
    </row>
    <row r="71" spans="5:16">
      <c r="E71" s="1" t="s">
        <v>44</v>
      </c>
      <c r="K71" s="21">
        <v>11260</v>
      </c>
      <c r="L71" s="1" t="s">
        <v>61</v>
      </c>
      <c r="N71" s="20">
        <v>0.57999999999999996</v>
      </c>
      <c r="P71" s="22">
        <v>6530.8</v>
      </c>
    </row>
    <row r="72" spans="5:16">
      <c r="E72" s="1" t="s">
        <v>62</v>
      </c>
      <c r="K72" s="21">
        <v>7242</v>
      </c>
      <c r="L72" s="1" t="s">
        <v>61</v>
      </c>
      <c r="N72" s="20">
        <v>0.57999999999999996</v>
      </c>
      <c r="P72" s="22">
        <v>4200.3599999999997</v>
      </c>
    </row>
    <row r="73" spans="5:16">
      <c r="E73" s="1" t="s">
        <v>46</v>
      </c>
      <c r="K73" s="21">
        <v>7546</v>
      </c>
      <c r="L73" s="1" t="s">
        <v>61</v>
      </c>
      <c r="N73" s="20">
        <v>0.57999999999999996</v>
      </c>
      <c r="P73" s="22">
        <v>4376.68</v>
      </c>
    </row>
    <row r="74" spans="5:16">
      <c r="E74" s="1" t="s">
        <v>63</v>
      </c>
      <c r="K74" s="21">
        <v>12382</v>
      </c>
      <c r="L74" s="1" t="s">
        <v>61</v>
      </c>
      <c r="N74" s="20">
        <v>0.57999999999999996</v>
      </c>
      <c r="P74" s="22">
        <v>7181.56</v>
      </c>
    </row>
    <row r="75" spans="5:16">
      <c r="E75" s="1" t="s">
        <v>38</v>
      </c>
      <c r="P75" s="23"/>
    </row>
    <row r="76" spans="5:16">
      <c r="E76" s="1" t="s">
        <v>64</v>
      </c>
      <c r="P76" s="23"/>
    </row>
    <row r="77" spans="5:16">
      <c r="E77" s="1" t="s">
        <v>65</v>
      </c>
      <c r="P77" s="23"/>
    </row>
    <row r="78" spans="5:16">
      <c r="E78" s="1" t="s">
        <v>66</v>
      </c>
      <c r="P78" s="23"/>
    </row>
    <row r="79" spans="5:16">
      <c r="E79" s="1" t="s">
        <v>67</v>
      </c>
      <c r="P79" s="23"/>
    </row>
    <row r="80" spans="5:16">
      <c r="E80" s="1" t="s">
        <v>68</v>
      </c>
      <c r="P80" s="23"/>
    </row>
    <row r="81" spans="5:16" ht="16.5">
      <c r="E81" s="10" t="s">
        <v>69</v>
      </c>
      <c r="P81" s="23"/>
    </row>
    <row r="82" spans="5:16">
      <c r="E82" s="1" t="s">
        <v>70</v>
      </c>
      <c r="P82" s="23"/>
    </row>
    <row r="83" spans="5:16">
      <c r="E83" s="1" t="s">
        <v>71</v>
      </c>
      <c r="K83" s="21">
        <v>2479</v>
      </c>
      <c r="L83" s="1" t="s">
        <v>36</v>
      </c>
      <c r="N83" s="20">
        <v>7.45</v>
      </c>
      <c r="P83" s="22">
        <v>18468.55</v>
      </c>
    </row>
    <row r="84" spans="5:16">
      <c r="E84" s="1" t="s">
        <v>38</v>
      </c>
      <c r="P84" s="23"/>
    </row>
    <row r="85" spans="5:16">
      <c r="E85" s="1" t="s">
        <v>72</v>
      </c>
      <c r="P85" s="23"/>
    </row>
    <row r="86" spans="5:16">
      <c r="E86" s="1" t="s">
        <v>73</v>
      </c>
      <c r="K86" s="21">
        <v>5664</v>
      </c>
      <c r="L86" s="1" t="s">
        <v>36</v>
      </c>
      <c r="N86" s="20">
        <v>7.45</v>
      </c>
      <c r="P86" s="22">
        <v>42196.800000000003</v>
      </c>
    </row>
    <row r="87" spans="5:16">
      <c r="E87" s="1" t="s">
        <v>38</v>
      </c>
      <c r="P87" s="23"/>
    </row>
    <row r="88" spans="5:16">
      <c r="E88" s="1" t="s">
        <v>70</v>
      </c>
      <c r="P88" s="23"/>
    </row>
    <row r="89" spans="5:16">
      <c r="E89" s="1" t="s">
        <v>74</v>
      </c>
      <c r="K89" s="21">
        <v>2291</v>
      </c>
      <c r="L89" s="1" t="s">
        <v>36</v>
      </c>
      <c r="N89" s="20">
        <v>7.45</v>
      </c>
      <c r="P89" s="22">
        <v>17067.95</v>
      </c>
    </row>
    <row r="90" spans="5:16">
      <c r="E90" s="1" t="s">
        <v>38</v>
      </c>
      <c r="P90" s="23"/>
    </row>
    <row r="91" spans="5:16">
      <c r="E91" s="1" t="s">
        <v>72</v>
      </c>
      <c r="P91" s="23"/>
    </row>
    <row r="92" spans="5:16">
      <c r="E92" s="1" t="s">
        <v>75</v>
      </c>
      <c r="K92" s="21">
        <v>3117</v>
      </c>
      <c r="L92" s="1" t="s">
        <v>36</v>
      </c>
      <c r="N92" s="20">
        <v>7.45</v>
      </c>
      <c r="P92" s="22">
        <v>23221.65</v>
      </c>
    </row>
    <row r="93" spans="5:16">
      <c r="E93" s="1" t="s">
        <v>433</v>
      </c>
      <c r="P93" s="23"/>
    </row>
    <row r="94" spans="5:16">
      <c r="E94" s="29" t="s">
        <v>439</v>
      </c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</row>
    <row r="95" spans="5:16" ht="16.5">
      <c r="E95" s="33" t="s">
        <v>441</v>
      </c>
      <c r="G95" s="33" t="s">
        <v>440</v>
      </c>
      <c r="H95" s="29"/>
      <c r="I95" s="29"/>
      <c r="J95" s="29"/>
      <c r="K95" s="29"/>
      <c r="L95" s="29"/>
      <c r="M95" s="29"/>
      <c r="N95" s="29"/>
      <c r="O95" s="29"/>
      <c r="P95" s="29"/>
    </row>
    <row r="96" spans="5:16">
      <c r="E96" s="29" t="s">
        <v>436</v>
      </c>
      <c r="F96" s="29"/>
      <c r="G96" s="29"/>
      <c r="H96" s="29"/>
      <c r="I96" s="29"/>
      <c r="J96" s="29"/>
      <c r="K96" s="29"/>
      <c r="L96" s="29"/>
      <c r="M96" s="29"/>
      <c r="N96" s="30"/>
      <c r="O96" s="29"/>
      <c r="P96" s="29"/>
    </row>
    <row r="97" spans="5:16">
      <c r="E97" s="29" t="s">
        <v>437</v>
      </c>
      <c r="F97" s="29"/>
      <c r="G97" s="29"/>
      <c r="H97" s="29"/>
      <c r="I97" s="29"/>
      <c r="J97" s="29"/>
      <c r="K97" s="31">
        <v>53017</v>
      </c>
      <c r="L97" s="29" t="s">
        <v>438</v>
      </c>
      <c r="M97" s="29"/>
      <c r="N97" s="30">
        <v>0.24</v>
      </c>
      <c r="O97" s="29"/>
      <c r="P97" s="32">
        <f>K97*N97</f>
        <v>12724.08</v>
      </c>
    </row>
    <row r="98" spans="5:16">
      <c r="P98" s="23"/>
    </row>
    <row r="99" spans="5:16" ht="16.5">
      <c r="K99" s="10" t="s">
        <v>76</v>
      </c>
      <c r="P99" s="23"/>
    </row>
    <row r="100" spans="5:16">
      <c r="K100" s="21">
        <f>49027+K97</f>
        <v>102044</v>
      </c>
      <c r="L100" s="1" t="s">
        <v>36</v>
      </c>
      <c r="O100" s="11" t="s">
        <v>37</v>
      </c>
      <c r="P100" s="22">
        <f>184617.83+P97</f>
        <v>197341.90999999997</v>
      </c>
    </row>
    <row r="101" spans="5:16">
      <c r="K101" s="21">
        <v>38430</v>
      </c>
      <c r="L101" s="1" t="s">
        <v>61</v>
      </c>
      <c r="O101" s="11" t="s">
        <v>77</v>
      </c>
      <c r="P101" s="22" t="s">
        <v>78</v>
      </c>
    </row>
    <row r="102" spans="5:16">
      <c r="K102" s="11" t="s">
        <v>79</v>
      </c>
      <c r="L102" s="1" t="s">
        <v>80</v>
      </c>
    </row>
    <row r="103" spans="5:16">
      <c r="E103" s="1" t="s">
        <v>442</v>
      </c>
    </row>
    <row r="104" spans="5:16">
      <c r="E104" s="1" t="s">
        <v>443</v>
      </c>
    </row>
    <row r="105" spans="5:16">
      <c r="E105" s="1" t="s">
        <v>433</v>
      </c>
    </row>
    <row r="108" spans="5:16">
      <c r="E108" s="1" t="s">
        <v>409</v>
      </c>
    </row>
    <row r="109" spans="5:16">
      <c r="E109" s="1" t="s">
        <v>410</v>
      </c>
    </row>
    <row r="110" spans="5:16">
      <c r="E110" s="1" t="s">
        <v>411</v>
      </c>
    </row>
    <row r="111" spans="5:16">
      <c r="E111" s="1" t="s">
        <v>412</v>
      </c>
    </row>
    <row r="112" spans="5:16">
      <c r="E112" s="1" t="s">
        <v>413</v>
      </c>
    </row>
    <row r="113" spans="5:5">
      <c r="E113" s="1" t="s">
        <v>414</v>
      </c>
    </row>
    <row r="114" spans="5:5">
      <c r="E114" s="1" t="s">
        <v>415</v>
      </c>
    </row>
    <row r="115" spans="5:5">
      <c r="E115" s="1" t="s">
        <v>416</v>
      </c>
    </row>
    <row r="116" spans="5:5">
      <c r="E116" s="1" t="s">
        <v>417</v>
      </c>
    </row>
    <row r="117" spans="5:5">
      <c r="E117" s="1" t="s">
        <v>418</v>
      </c>
    </row>
    <row r="118" spans="5:5">
      <c r="E118" s="1" t="s">
        <v>419</v>
      </c>
    </row>
    <row r="119" spans="5:5">
      <c r="E119" s="1" t="s">
        <v>420</v>
      </c>
    </row>
    <row r="120" spans="5:5">
      <c r="E120" s="1" t="s">
        <v>421</v>
      </c>
    </row>
    <row r="122" spans="5:5">
      <c r="E122" s="1" t="s">
        <v>422</v>
      </c>
    </row>
    <row r="123" spans="5:5">
      <c r="E123" s="1" t="s">
        <v>423</v>
      </c>
    </row>
    <row r="124" spans="5:5">
      <c r="E124" s="1" t="s">
        <v>424</v>
      </c>
    </row>
    <row r="125" spans="5:5">
      <c r="E125" s="1" t="s">
        <v>425</v>
      </c>
    </row>
    <row r="126" spans="5:5">
      <c r="E126" s="1" t="s">
        <v>426</v>
      </c>
    </row>
    <row r="127" spans="5:5">
      <c r="E127" s="1" t="s">
        <v>427</v>
      </c>
    </row>
    <row r="128" spans="5:5">
      <c r="E128" s="1" t="s">
        <v>413</v>
      </c>
    </row>
    <row r="130" spans="5:5">
      <c r="E130" s="12" t="s">
        <v>447</v>
      </c>
    </row>
    <row r="131" spans="5:5">
      <c r="E131" s="12" t="s">
        <v>448</v>
      </c>
    </row>
    <row r="132" spans="5:5">
      <c r="E132" s="12" t="s">
        <v>425</v>
      </c>
    </row>
    <row r="133" spans="5:5">
      <c r="E133" s="12" t="s">
        <v>449</v>
      </c>
    </row>
    <row r="134" spans="5:5">
      <c r="E134" s="12" t="s">
        <v>450</v>
      </c>
    </row>
    <row r="135" spans="5:5">
      <c r="E135" s="12" t="s">
        <v>451</v>
      </c>
    </row>
    <row r="136" spans="5:5">
      <c r="E136" s="12" t="s">
        <v>452</v>
      </c>
    </row>
    <row r="137" spans="5:5">
      <c r="E137" s="12" t="s">
        <v>453</v>
      </c>
    </row>
  </sheetData>
  <mergeCells count="25">
    <mergeCell ref="E12:G12"/>
    <mergeCell ref="G8:P8"/>
    <mergeCell ref="B6:G6"/>
    <mergeCell ref="E7:P7"/>
    <mergeCell ref="A14:D14"/>
    <mergeCell ref="A9:P10"/>
    <mergeCell ref="A8:F8"/>
    <mergeCell ref="A7:D7"/>
    <mergeCell ref="L6:M6"/>
    <mergeCell ref="N6:P6"/>
    <mergeCell ref="E14:J14"/>
    <mergeCell ref="A11:C11"/>
    <mergeCell ref="O14:P14"/>
    <mergeCell ref="K11:P11"/>
    <mergeCell ref="K14:L14"/>
    <mergeCell ref="I12:K12"/>
    <mergeCell ref="M14:N14"/>
    <mergeCell ref="M12:P12"/>
    <mergeCell ref="D11:I11"/>
    <mergeCell ref="A12:D12"/>
    <mergeCell ref="A3:I3"/>
    <mergeCell ref="J3:P3"/>
    <mergeCell ref="A1:P1"/>
    <mergeCell ref="A2:P2"/>
    <mergeCell ref="A4:P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06"/>
  <sheetViews>
    <sheetView topLeftCell="A343" zoomScaleNormal="100" workbookViewId="0">
      <selection activeCell="V360" sqref="U360:V360"/>
    </sheetView>
  </sheetViews>
  <sheetFormatPr defaultColWidth="9" defaultRowHeight="14.25"/>
  <cols>
    <col min="1" max="2" width="4.125" style="12" customWidth="1"/>
    <col min="3" max="3" width="7.875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9.625" style="12" customWidth="1"/>
    <col min="11" max="11" width="4.125" style="12" customWidth="1"/>
    <col min="12" max="12" width="1.625" style="12" customWidth="1"/>
    <col min="13" max="13" width="11" style="12" customWidth="1"/>
    <col min="14" max="14" width="4.125" style="12" customWidth="1"/>
    <col min="15" max="15" width="1.625" style="12" customWidth="1"/>
    <col min="16" max="16" width="10.75" style="12" customWidth="1"/>
    <col min="17" max="17" width="4.125" style="12" customWidth="1"/>
    <col min="18" max="18" width="1.625" style="12" customWidth="1"/>
    <col min="19" max="16384" width="9" style="12"/>
  </cols>
  <sheetData>
    <row r="1" spans="1:18" ht="18.75">
      <c r="A1" s="89" t="s">
        <v>15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</row>
    <row r="2" spans="1:18" ht="15">
      <c r="A2" s="91" t="s">
        <v>16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</row>
    <row r="3" spans="1:18" ht="15">
      <c r="A3" s="93"/>
      <c r="B3" s="93"/>
      <c r="C3" s="93"/>
      <c r="D3" s="93"/>
      <c r="E3" s="93"/>
      <c r="F3" s="93"/>
      <c r="G3" s="93"/>
      <c r="H3" s="93"/>
      <c r="I3" s="93"/>
      <c r="J3" s="92"/>
      <c r="K3" s="92"/>
      <c r="L3" s="92"/>
      <c r="M3" s="92"/>
      <c r="N3" s="92"/>
      <c r="O3" s="92"/>
      <c r="P3" s="92"/>
      <c r="Q3" s="92"/>
      <c r="R3" s="92"/>
    </row>
    <row r="4" spans="1:18" ht="18.75">
      <c r="A4" s="90" t="s">
        <v>93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</row>
    <row r="5" spans="1:18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5">
      <c r="A6" s="15" t="s">
        <v>92</v>
      </c>
      <c r="B6" s="82" t="s">
        <v>17</v>
      </c>
      <c r="C6" s="74"/>
      <c r="D6" s="74"/>
      <c r="E6" s="74"/>
      <c r="F6" s="74"/>
      <c r="N6" s="77" t="s">
        <v>91</v>
      </c>
      <c r="O6" s="94"/>
      <c r="P6" s="82"/>
      <c r="Q6" s="82"/>
      <c r="R6" s="82"/>
    </row>
    <row r="7" spans="1:18" ht="16.5">
      <c r="A7" s="86" t="s">
        <v>90</v>
      </c>
      <c r="B7" s="67"/>
      <c r="C7" s="67"/>
      <c r="D7" s="67"/>
      <c r="E7" s="74" t="s">
        <v>435</v>
      </c>
      <c r="F7" s="74"/>
      <c r="G7" s="74"/>
      <c r="H7" s="74"/>
      <c r="I7" s="74"/>
      <c r="J7" s="74"/>
      <c r="K7" s="74"/>
      <c r="L7" s="74"/>
      <c r="M7" s="74"/>
      <c r="N7" s="66" t="s">
        <v>89</v>
      </c>
      <c r="O7" s="67"/>
      <c r="P7" s="67"/>
      <c r="Q7" s="67"/>
      <c r="R7" s="67"/>
    </row>
    <row r="8" spans="1:18" ht="29.25" customHeight="1">
      <c r="A8" s="77" t="s">
        <v>88</v>
      </c>
      <c r="B8" s="83"/>
      <c r="C8" s="83"/>
      <c r="D8" s="83"/>
      <c r="E8" s="83"/>
      <c r="F8" s="82" t="s">
        <v>18</v>
      </c>
      <c r="G8" s="82"/>
      <c r="H8" s="82"/>
      <c r="I8" s="82"/>
      <c r="J8" s="82"/>
      <c r="K8" s="82"/>
      <c r="L8" s="74"/>
      <c r="M8" s="74"/>
      <c r="N8" s="68"/>
      <c r="O8" s="69"/>
      <c r="P8" s="69"/>
      <c r="Q8" s="69"/>
      <c r="R8" s="69"/>
    </row>
    <row r="9" spans="1:18">
      <c r="A9" s="87" t="s">
        <v>94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69"/>
      <c r="O9" s="69"/>
      <c r="P9" s="69"/>
      <c r="Q9" s="69"/>
      <c r="R9" s="69"/>
    </row>
    <row r="10" spans="1:18">
      <c r="A10" s="87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69"/>
      <c r="O10" s="69"/>
      <c r="P10" s="69"/>
      <c r="Q10" s="69"/>
      <c r="R10" s="69"/>
    </row>
    <row r="11" spans="1:18" ht="15">
      <c r="A11" s="84" t="s">
        <v>87</v>
      </c>
      <c r="B11" s="84"/>
      <c r="C11" s="84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69"/>
      <c r="O11" s="69"/>
      <c r="P11" s="69"/>
      <c r="Q11" s="69"/>
      <c r="R11" s="69"/>
    </row>
    <row r="12" spans="1:18" ht="16.5">
      <c r="A12" s="77" t="s">
        <v>86</v>
      </c>
      <c r="B12" s="67"/>
      <c r="C12" s="74" t="s">
        <v>20</v>
      </c>
      <c r="D12" s="74"/>
      <c r="E12" s="74"/>
      <c r="F12" s="74"/>
      <c r="G12" s="74"/>
      <c r="H12" s="78"/>
      <c r="I12" s="78"/>
      <c r="J12" s="78"/>
      <c r="K12" s="78"/>
      <c r="L12" s="78"/>
      <c r="M12" s="78"/>
      <c r="N12" s="69"/>
      <c r="O12" s="69"/>
      <c r="P12" s="69"/>
      <c r="Q12" s="69"/>
      <c r="R12" s="69"/>
    </row>
    <row r="13" spans="1:18" ht="16.5">
      <c r="A13" s="77" t="s">
        <v>7</v>
      </c>
      <c r="B13" s="67"/>
      <c r="C13" s="67"/>
      <c r="D13" s="67"/>
      <c r="E13" s="74"/>
      <c r="F13" s="78"/>
      <c r="G13" s="78"/>
      <c r="H13" s="78"/>
      <c r="I13" s="78"/>
      <c r="J13" s="78"/>
      <c r="K13" s="78"/>
      <c r="L13" s="78"/>
      <c r="M13" s="78"/>
      <c r="N13" s="69"/>
      <c r="O13" s="69"/>
      <c r="P13" s="69"/>
      <c r="Q13" s="69"/>
      <c r="R13" s="69"/>
    </row>
    <row r="14" spans="1:18" ht="15">
      <c r="A14" s="77" t="s">
        <v>6</v>
      </c>
      <c r="B14" s="83"/>
      <c r="C14" s="82" t="s">
        <v>21</v>
      </c>
      <c r="D14" s="74"/>
      <c r="E14" s="74"/>
      <c r="F14" s="74"/>
      <c r="G14" s="14" t="s">
        <v>5</v>
      </c>
      <c r="H14" s="74" t="s">
        <v>22</v>
      </c>
      <c r="I14" s="74"/>
      <c r="J14" s="74"/>
      <c r="K14" s="74"/>
      <c r="L14" s="74"/>
      <c r="M14" s="74"/>
      <c r="N14" s="69"/>
      <c r="O14" s="69"/>
      <c r="P14" s="69"/>
      <c r="Q14" s="69"/>
      <c r="R14" s="69"/>
    </row>
    <row r="15" spans="1:18" ht="15" thickBot="1">
      <c r="L15" s="13"/>
      <c r="M15" s="13"/>
      <c r="N15" s="70"/>
      <c r="O15" s="70"/>
      <c r="P15" s="70"/>
      <c r="Q15" s="70"/>
      <c r="R15" s="70"/>
    </row>
    <row r="16" spans="1:18" ht="17.25" thickTop="1">
      <c r="A16" s="72" t="s">
        <v>85</v>
      </c>
      <c r="B16" s="75"/>
      <c r="C16" s="76"/>
      <c r="D16" s="71" t="s">
        <v>84</v>
      </c>
      <c r="E16" s="75"/>
      <c r="F16" s="75"/>
      <c r="G16" s="75"/>
      <c r="H16" s="76"/>
      <c r="I16" s="71" t="s">
        <v>83</v>
      </c>
      <c r="J16" s="72"/>
      <c r="K16" s="73"/>
      <c r="L16" s="71" t="s">
        <v>82</v>
      </c>
      <c r="M16" s="80"/>
      <c r="N16" s="81"/>
      <c r="O16" s="79" t="s">
        <v>81</v>
      </c>
      <c r="P16" s="80"/>
      <c r="Q16" s="81"/>
      <c r="R16" s="28" t="s">
        <v>434</v>
      </c>
    </row>
    <row r="17" spans="1:19">
      <c r="D17" s="12" t="s">
        <v>25</v>
      </c>
    </row>
    <row r="18" spans="1:19">
      <c r="D18" s="12" t="s">
        <v>26</v>
      </c>
    </row>
    <row r="19" spans="1:19">
      <c r="D19" s="12" t="s">
        <v>27</v>
      </c>
    </row>
    <row r="20" spans="1:19">
      <c r="D20" s="12" t="s">
        <v>28</v>
      </c>
    </row>
    <row r="21" spans="1:19">
      <c r="D21" s="12" t="s">
        <v>29</v>
      </c>
    </row>
    <row r="22" spans="1:19">
      <c r="D22" s="12" t="s">
        <v>30</v>
      </c>
    </row>
    <row r="23" spans="1:19" ht="16.5">
      <c r="D23" s="17" t="s">
        <v>31</v>
      </c>
    </row>
    <row r="24" spans="1:19">
      <c r="D24" s="12" t="s">
        <v>32</v>
      </c>
    </row>
    <row r="25" spans="1:19">
      <c r="D25" s="12" t="s">
        <v>33</v>
      </c>
    </row>
    <row r="26" spans="1:19">
      <c r="D26" s="18" t="s">
        <v>34</v>
      </c>
    </row>
    <row r="27" spans="1:19">
      <c r="A27" s="12" t="s">
        <v>95</v>
      </c>
      <c r="D27" s="12" t="s">
        <v>35</v>
      </c>
      <c r="J27" s="24">
        <v>406</v>
      </c>
      <c r="K27" s="12" t="s">
        <v>36</v>
      </c>
      <c r="M27" s="26">
        <v>107.2</v>
      </c>
      <c r="N27" s="12" t="s">
        <v>96</v>
      </c>
      <c r="P27" s="26">
        <v>108.4</v>
      </c>
      <c r="Q27" s="12" t="s">
        <v>96</v>
      </c>
      <c r="S27" s="95" t="s">
        <v>457</v>
      </c>
    </row>
    <row r="28" spans="1:19">
      <c r="D28" s="12" t="s">
        <v>38</v>
      </c>
      <c r="M28" s="27"/>
      <c r="P28" s="27"/>
    </row>
    <row r="29" spans="1:19">
      <c r="D29" s="12" t="s">
        <v>39</v>
      </c>
      <c r="M29" s="27"/>
      <c r="P29" s="27"/>
    </row>
    <row r="30" spans="1:19" ht="16.5">
      <c r="D30" s="17" t="s">
        <v>31</v>
      </c>
      <c r="M30" s="27"/>
      <c r="P30" s="27"/>
    </row>
    <row r="31" spans="1:19">
      <c r="D31" s="12" t="s">
        <v>40</v>
      </c>
      <c r="M31" s="27"/>
      <c r="P31" s="27"/>
    </row>
    <row r="32" spans="1:19">
      <c r="D32" s="12" t="s">
        <v>41</v>
      </c>
      <c r="M32" s="27"/>
      <c r="P32" s="27"/>
    </row>
    <row r="33" spans="1:17">
      <c r="D33" s="18" t="s">
        <v>42</v>
      </c>
      <c r="M33" s="27"/>
      <c r="P33" s="27"/>
    </row>
    <row r="34" spans="1:17">
      <c r="A34" s="12" t="s">
        <v>97</v>
      </c>
      <c r="D34" s="12" t="s">
        <v>43</v>
      </c>
      <c r="J34" s="25">
        <v>1584</v>
      </c>
      <c r="K34" s="12" t="s">
        <v>36</v>
      </c>
      <c r="M34" s="26">
        <v>409.2</v>
      </c>
      <c r="N34" s="12" t="s">
        <v>96</v>
      </c>
      <c r="P34" s="26">
        <v>413.2</v>
      </c>
      <c r="Q34" s="12" t="s">
        <v>96</v>
      </c>
    </row>
    <row r="35" spans="1:17">
      <c r="A35" s="12" t="s">
        <v>98</v>
      </c>
      <c r="M35" s="27"/>
      <c r="P35" s="27"/>
    </row>
    <row r="36" spans="1:17">
      <c r="A36" s="12" t="s">
        <v>99</v>
      </c>
      <c r="D36" s="12" t="s">
        <v>44</v>
      </c>
      <c r="J36" s="25">
        <v>6550</v>
      </c>
      <c r="K36" s="12" t="s">
        <v>36</v>
      </c>
      <c r="M36" s="26">
        <v>1708.4</v>
      </c>
      <c r="N36" s="12" t="s">
        <v>96</v>
      </c>
      <c r="P36" s="26">
        <v>1724.2</v>
      </c>
      <c r="Q36" s="12" t="s">
        <v>96</v>
      </c>
    </row>
    <row r="37" spans="1:17">
      <c r="A37" s="12" t="s">
        <v>100</v>
      </c>
      <c r="M37" s="27"/>
      <c r="P37" s="27"/>
    </row>
    <row r="38" spans="1:17">
      <c r="A38" s="12" t="s">
        <v>101</v>
      </c>
      <c r="M38" s="27"/>
      <c r="P38" s="27"/>
    </row>
    <row r="39" spans="1:17">
      <c r="A39" s="12" t="s">
        <v>102</v>
      </c>
      <c r="D39" s="12" t="s">
        <v>45</v>
      </c>
      <c r="J39" s="25">
        <v>1066</v>
      </c>
      <c r="K39" s="12" t="s">
        <v>36</v>
      </c>
      <c r="M39" s="26">
        <v>277.2</v>
      </c>
      <c r="N39" s="12" t="s">
        <v>96</v>
      </c>
      <c r="P39" s="26">
        <v>279.8</v>
      </c>
      <c r="Q39" s="12" t="s">
        <v>96</v>
      </c>
    </row>
    <row r="40" spans="1:17">
      <c r="A40" s="12" t="s">
        <v>103</v>
      </c>
      <c r="M40" s="27"/>
      <c r="P40" s="27"/>
    </row>
    <row r="41" spans="1:17">
      <c r="A41" s="12" t="s">
        <v>104</v>
      </c>
      <c r="M41" s="27"/>
      <c r="P41" s="27"/>
    </row>
    <row r="42" spans="1:17">
      <c r="A42" s="12" t="s">
        <v>105</v>
      </c>
      <c r="D42" s="12" t="s">
        <v>46</v>
      </c>
      <c r="J42" s="24">
        <v>499</v>
      </c>
      <c r="K42" s="12" t="s">
        <v>36</v>
      </c>
      <c r="M42" s="26">
        <v>129</v>
      </c>
      <c r="N42" s="12" t="s">
        <v>96</v>
      </c>
      <c r="P42" s="26">
        <v>130.19999999999999</v>
      </c>
      <c r="Q42" s="12" t="s">
        <v>96</v>
      </c>
    </row>
    <row r="43" spans="1:17">
      <c r="A43" s="12" t="s">
        <v>106</v>
      </c>
      <c r="D43" s="12" t="s">
        <v>47</v>
      </c>
      <c r="J43" s="25">
        <v>3016</v>
      </c>
      <c r="K43" s="12" t="s">
        <v>36</v>
      </c>
      <c r="M43" s="26">
        <v>783.2</v>
      </c>
      <c r="N43" s="12" t="s">
        <v>96</v>
      </c>
      <c r="P43" s="26">
        <v>790.6</v>
      </c>
      <c r="Q43" s="12" t="s">
        <v>96</v>
      </c>
    </row>
    <row r="44" spans="1:17">
      <c r="A44" s="12" t="s">
        <v>107</v>
      </c>
      <c r="D44" s="12" t="s">
        <v>48</v>
      </c>
      <c r="J44" s="24">
        <v>78</v>
      </c>
      <c r="K44" s="12" t="s">
        <v>36</v>
      </c>
      <c r="M44" s="26">
        <v>20.2</v>
      </c>
      <c r="N44" s="12" t="s">
        <v>96</v>
      </c>
      <c r="P44" s="26">
        <v>20.399999999999999</v>
      </c>
      <c r="Q44" s="12" t="s">
        <v>96</v>
      </c>
    </row>
    <row r="45" spans="1:17">
      <c r="A45" s="12" t="s">
        <v>108</v>
      </c>
      <c r="D45" s="12" t="s">
        <v>49</v>
      </c>
      <c r="J45" s="24">
        <v>240</v>
      </c>
      <c r="K45" s="12" t="s">
        <v>36</v>
      </c>
      <c r="M45" s="26">
        <v>63.4</v>
      </c>
      <c r="N45" s="12" t="s">
        <v>96</v>
      </c>
      <c r="P45" s="26">
        <v>64</v>
      </c>
      <c r="Q45" s="12" t="s">
        <v>96</v>
      </c>
    </row>
    <row r="46" spans="1:17">
      <c r="D46" s="12" t="s">
        <v>38</v>
      </c>
      <c r="M46" s="27"/>
      <c r="P46" s="27"/>
    </row>
    <row r="47" spans="1:17">
      <c r="D47" s="12" t="s">
        <v>50</v>
      </c>
      <c r="M47" s="27"/>
      <c r="P47" s="27"/>
    </row>
    <row r="48" spans="1:17" ht="16.5">
      <c r="D48" s="17" t="s">
        <v>51</v>
      </c>
      <c r="M48" s="27"/>
      <c r="P48" s="27"/>
    </row>
    <row r="49" spans="1:17">
      <c r="D49" s="12" t="s">
        <v>32</v>
      </c>
      <c r="M49" s="27"/>
      <c r="P49" s="27"/>
    </row>
    <row r="50" spans="1:17">
      <c r="D50" s="12" t="s">
        <v>33</v>
      </c>
      <c r="M50" s="27"/>
      <c r="P50" s="27"/>
    </row>
    <row r="51" spans="1:17">
      <c r="D51" s="18" t="s">
        <v>52</v>
      </c>
      <c r="M51" s="27"/>
      <c r="P51" s="27"/>
    </row>
    <row r="52" spans="1:17">
      <c r="A52" s="12" t="s">
        <v>109</v>
      </c>
      <c r="D52" s="12" t="s">
        <v>46</v>
      </c>
      <c r="J52" s="25">
        <v>4678</v>
      </c>
      <c r="K52" s="12" t="s">
        <v>36</v>
      </c>
      <c r="M52" s="26">
        <v>1213.7</v>
      </c>
      <c r="N52" s="12" t="s">
        <v>96</v>
      </c>
      <c r="P52" s="26">
        <v>1225.0999999999999</v>
      </c>
      <c r="Q52" s="12" t="s">
        <v>96</v>
      </c>
    </row>
    <row r="53" spans="1:17">
      <c r="A53" s="12" t="s">
        <v>110</v>
      </c>
      <c r="M53" s="27"/>
      <c r="P53" s="27"/>
    </row>
    <row r="54" spans="1:17">
      <c r="A54" s="12" t="s">
        <v>111</v>
      </c>
      <c r="M54" s="27"/>
      <c r="P54" s="27"/>
    </row>
    <row r="55" spans="1:17">
      <c r="A55" s="12" t="s">
        <v>112</v>
      </c>
      <c r="D55" s="12" t="s">
        <v>47</v>
      </c>
      <c r="J55" s="25">
        <v>8626</v>
      </c>
      <c r="K55" s="12" t="s">
        <v>36</v>
      </c>
      <c r="M55" s="26">
        <v>2270.1</v>
      </c>
      <c r="N55" s="12" t="s">
        <v>96</v>
      </c>
      <c r="P55" s="26">
        <v>2291.5</v>
      </c>
      <c r="Q55" s="12" t="s">
        <v>96</v>
      </c>
    </row>
    <row r="56" spans="1:17">
      <c r="A56" s="12" t="s">
        <v>113</v>
      </c>
      <c r="D56" s="12" t="s">
        <v>53</v>
      </c>
      <c r="J56" s="24">
        <v>404</v>
      </c>
      <c r="K56" s="12" t="s">
        <v>36</v>
      </c>
      <c r="M56" s="26">
        <v>104.9</v>
      </c>
      <c r="N56" s="12" t="s">
        <v>96</v>
      </c>
      <c r="P56" s="26">
        <v>105.9</v>
      </c>
      <c r="Q56" s="12" t="s">
        <v>96</v>
      </c>
    </row>
    <row r="57" spans="1:17">
      <c r="A57" s="12" t="s">
        <v>114</v>
      </c>
      <c r="D57" s="12" t="s">
        <v>54</v>
      </c>
      <c r="J57" s="25">
        <v>8329</v>
      </c>
      <c r="K57" s="12" t="s">
        <v>36</v>
      </c>
      <c r="M57" s="26">
        <v>2166.8000000000002</v>
      </c>
      <c r="N57" s="12" t="s">
        <v>96</v>
      </c>
      <c r="P57" s="26">
        <v>2187.4</v>
      </c>
      <c r="Q57" s="12" t="s">
        <v>96</v>
      </c>
    </row>
    <row r="58" spans="1:17">
      <c r="A58" s="12" t="s">
        <v>115</v>
      </c>
      <c r="M58" s="27"/>
      <c r="P58" s="27"/>
    </row>
    <row r="59" spans="1:17">
      <c r="A59" s="12" t="s">
        <v>116</v>
      </c>
      <c r="M59" s="27"/>
      <c r="P59" s="27"/>
    </row>
    <row r="60" spans="1:17">
      <c r="A60" s="12" t="s">
        <v>117</v>
      </c>
      <c r="M60" s="27"/>
      <c r="P60" s="27"/>
    </row>
    <row r="61" spans="1:17">
      <c r="D61" s="12" t="s">
        <v>38</v>
      </c>
      <c r="M61" s="27"/>
      <c r="P61" s="27"/>
    </row>
    <row r="62" spans="1:17">
      <c r="D62" s="12" t="s">
        <v>55</v>
      </c>
      <c r="M62" s="27"/>
      <c r="P62" s="27"/>
    </row>
    <row r="63" spans="1:17">
      <c r="D63" s="12" t="s">
        <v>56</v>
      </c>
      <c r="M63" s="27"/>
      <c r="P63" s="27"/>
    </row>
    <row r="64" spans="1:17">
      <c r="D64" s="12" t="s">
        <v>57</v>
      </c>
      <c r="M64" s="27"/>
      <c r="P64" s="27"/>
    </row>
    <row r="65" spans="1:19">
      <c r="D65" s="12" t="s">
        <v>58</v>
      </c>
      <c r="M65" s="27"/>
      <c r="P65" s="27"/>
    </row>
    <row r="66" spans="1:19">
      <c r="D66" s="12" t="s">
        <v>59</v>
      </c>
      <c r="M66" s="27"/>
      <c r="P66" s="27"/>
    </row>
    <row r="67" spans="1:19" ht="16.5">
      <c r="D67" s="17" t="s">
        <v>31</v>
      </c>
      <c r="M67" s="27"/>
      <c r="P67" s="27"/>
    </row>
    <row r="68" spans="1:19">
      <c r="D68" s="12" t="s">
        <v>32</v>
      </c>
      <c r="M68" s="27"/>
      <c r="P68" s="27"/>
    </row>
    <row r="69" spans="1:19">
      <c r="D69" s="12" t="s">
        <v>33</v>
      </c>
      <c r="M69" s="27"/>
      <c r="P69" s="27"/>
    </row>
    <row r="70" spans="1:19">
      <c r="D70" s="18" t="s">
        <v>60</v>
      </c>
      <c r="M70" s="27"/>
      <c r="P70" s="27"/>
    </row>
    <row r="71" spans="1:19">
      <c r="A71" s="12" t="s">
        <v>118</v>
      </c>
      <c r="D71" s="12" t="s">
        <v>44</v>
      </c>
      <c r="J71" s="25">
        <v>11260</v>
      </c>
      <c r="K71" s="12" t="s">
        <v>61</v>
      </c>
      <c r="M71" s="26">
        <v>312.39999999999998</v>
      </c>
      <c r="N71" s="12" t="s">
        <v>96</v>
      </c>
      <c r="P71" s="26">
        <v>314.5</v>
      </c>
      <c r="Q71" s="12" t="s">
        <v>96</v>
      </c>
      <c r="S71" s="95" t="s">
        <v>458</v>
      </c>
    </row>
    <row r="72" spans="1:19">
      <c r="A72" s="12" t="s">
        <v>119</v>
      </c>
      <c r="D72" s="12" t="s">
        <v>62</v>
      </c>
      <c r="J72" s="25">
        <v>7242</v>
      </c>
      <c r="K72" s="12" t="s">
        <v>61</v>
      </c>
      <c r="M72" s="26">
        <v>194.9</v>
      </c>
      <c r="N72" s="12" t="s">
        <v>96</v>
      </c>
      <c r="P72" s="26">
        <v>196.2</v>
      </c>
      <c r="Q72" s="12" t="s">
        <v>96</v>
      </c>
    </row>
    <row r="73" spans="1:19">
      <c r="A73" s="12" t="s">
        <v>120</v>
      </c>
      <c r="D73" s="12" t="s">
        <v>46</v>
      </c>
      <c r="J73" s="25">
        <v>7546</v>
      </c>
      <c r="K73" s="12" t="s">
        <v>61</v>
      </c>
      <c r="M73" s="26">
        <v>205</v>
      </c>
      <c r="N73" s="12" t="s">
        <v>96</v>
      </c>
      <c r="P73" s="26">
        <v>206.3</v>
      </c>
      <c r="Q73" s="12" t="s">
        <v>96</v>
      </c>
    </row>
    <row r="74" spans="1:19">
      <c r="A74" s="12" t="s">
        <v>121</v>
      </c>
      <c r="D74" s="12" t="s">
        <v>63</v>
      </c>
      <c r="J74" s="25">
        <v>12382</v>
      </c>
      <c r="K74" s="12" t="s">
        <v>61</v>
      </c>
      <c r="M74" s="26">
        <v>337.3</v>
      </c>
      <c r="N74" s="12" t="s">
        <v>96</v>
      </c>
      <c r="P74" s="26">
        <v>339.5</v>
      </c>
      <c r="Q74" s="12" t="s">
        <v>96</v>
      </c>
    </row>
    <row r="75" spans="1:19">
      <c r="D75" s="12" t="s">
        <v>38</v>
      </c>
      <c r="M75" s="27"/>
      <c r="P75" s="27"/>
    </row>
    <row r="76" spans="1:19">
      <c r="D76" s="12" t="s">
        <v>122</v>
      </c>
      <c r="M76" s="27"/>
      <c r="P76" s="27"/>
    </row>
    <row r="77" spans="1:19">
      <c r="D77" s="12" t="s">
        <v>38</v>
      </c>
      <c r="M77" s="27"/>
      <c r="P77" s="27"/>
    </row>
    <row r="78" spans="1:19">
      <c r="D78" s="12" t="s">
        <v>123</v>
      </c>
      <c r="M78" s="27"/>
      <c r="P78" s="27"/>
    </row>
    <row r="79" spans="1:19">
      <c r="D79" s="12" t="s">
        <v>124</v>
      </c>
      <c r="M79" s="27"/>
      <c r="P79" s="27"/>
    </row>
    <row r="80" spans="1:19">
      <c r="D80" s="12" t="s">
        <v>125</v>
      </c>
      <c r="M80" s="27"/>
      <c r="P80" s="27"/>
    </row>
    <row r="81" spans="1:19">
      <c r="D81" s="12" t="s">
        <v>126</v>
      </c>
      <c r="M81" s="27"/>
      <c r="P81" s="27"/>
    </row>
    <row r="82" spans="1:19">
      <c r="D82" s="12" t="s">
        <v>127</v>
      </c>
      <c r="M82" s="27"/>
      <c r="P82" s="27"/>
    </row>
    <row r="83" spans="1:19">
      <c r="D83" s="12" t="s">
        <v>128</v>
      </c>
      <c r="M83" s="27"/>
      <c r="P83" s="27"/>
    </row>
    <row r="84" spans="1:19">
      <c r="D84" s="12" t="s">
        <v>129</v>
      </c>
      <c r="M84" s="27"/>
      <c r="P84" s="27"/>
    </row>
    <row r="85" spans="1:19">
      <c r="D85" s="12" t="s">
        <v>130</v>
      </c>
      <c r="M85" s="27"/>
      <c r="P85" s="27"/>
    </row>
    <row r="86" spans="1:19">
      <c r="A86" s="12" t="s">
        <v>131</v>
      </c>
      <c r="D86" s="12" t="s">
        <v>132</v>
      </c>
      <c r="J86" s="24">
        <v>58</v>
      </c>
      <c r="K86" s="12" t="s">
        <v>36</v>
      </c>
      <c r="M86" s="26">
        <v>22.16</v>
      </c>
      <c r="N86" s="12" t="s">
        <v>96</v>
      </c>
      <c r="P86" s="26">
        <v>22.66</v>
      </c>
      <c r="Q86" s="12" t="s">
        <v>96</v>
      </c>
      <c r="S86" s="95" t="s">
        <v>459</v>
      </c>
    </row>
    <row r="87" spans="1:19">
      <c r="A87" s="12" t="s">
        <v>133</v>
      </c>
      <c r="D87" s="12" t="s">
        <v>132</v>
      </c>
      <c r="J87" s="24">
        <v>42</v>
      </c>
      <c r="K87" s="12" t="s">
        <v>36</v>
      </c>
      <c r="M87" s="26">
        <v>15.62</v>
      </c>
      <c r="N87" s="12" t="s">
        <v>96</v>
      </c>
      <c r="P87" s="26">
        <v>16.12</v>
      </c>
      <c r="Q87" s="12" t="s">
        <v>96</v>
      </c>
    </row>
    <row r="88" spans="1:19">
      <c r="A88" s="12" t="s">
        <v>134</v>
      </c>
      <c r="D88" s="12" t="s">
        <v>132</v>
      </c>
      <c r="J88" s="24">
        <v>67</v>
      </c>
      <c r="K88" s="12" t="s">
        <v>36</v>
      </c>
      <c r="M88" s="26">
        <v>25.22</v>
      </c>
      <c r="N88" s="12" t="s">
        <v>96</v>
      </c>
      <c r="P88" s="26">
        <v>25.72</v>
      </c>
      <c r="Q88" s="12" t="s">
        <v>96</v>
      </c>
    </row>
    <row r="89" spans="1:19">
      <c r="A89" s="12" t="s">
        <v>135</v>
      </c>
      <c r="D89" s="12" t="s">
        <v>132</v>
      </c>
      <c r="J89" s="24">
        <v>49</v>
      </c>
      <c r="K89" s="12" t="s">
        <v>36</v>
      </c>
      <c r="M89" s="26">
        <v>18.52</v>
      </c>
      <c r="N89" s="12" t="s">
        <v>96</v>
      </c>
      <c r="P89" s="26">
        <v>19.02</v>
      </c>
      <c r="Q89" s="12" t="s">
        <v>96</v>
      </c>
    </row>
    <row r="90" spans="1:19">
      <c r="A90" s="12" t="s">
        <v>136</v>
      </c>
      <c r="D90" s="12" t="s">
        <v>132</v>
      </c>
      <c r="J90" s="24">
        <v>58</v>
      </c>
      <c r="K90" s="12" t="s">
        <v>36</v>
      </c>
      <c r="M90" s="26">
        <v>21.56</v>
      </c>
      <c r="N90" s="12" t="s">
        <v>96</v>
      </c>
      <c r="P90" s="26">
        <v>22.06</v>
      </c>
      <c r="Q90" s="12" t="s">
        <v>96</v>
      </c>
    </row>
    <row r="91" spans="1:19">
      <c r="A91" s="12" t="s">
        <v>137</v>
      </c>
      <c r="D91" s="12" t="s">
        <v>132</v>
      </c>
      <c r="J91" s="24">
        <v>59</v>
      </c>
      <c r="K91" s="12" t="s">
        <v>36</v>
      </c>
      <c r="M91" s="26">
        <v>22.58</v>
      </c>
      <c r="N91" s="12" t="s">
        <v>96</v>
      </c>
      <c r="P91" s="26">
        <v>23.08</v>
      </c>
      <c r="Q91" s="12" t="s">
        <v>96</v>
      </c>
    </row>
    <row r="92" spans="1:19">
      <c r="A92" s="12" t="s">
        <v>138</v>
      </c>
      <c r="D92" s="12" t="s">
        <v>132</v>
      </c>
      <c r="J92" s="24">
        <v>59</v>
      </c>
      <c r="K92" s="12" t="s">
        <v>36</v>
      </c>
      <c r="M92" s="26">
        <v>22.4</v>
      </c>
      <c r="N92" s="12" t="s">
        <v>96</v>
      </c>
      <c r="P92" s="26">
        <v>22.9</v>
      </c>
      <c r="Q92" s="12" t="s">
        <v>96</v>
      </c>
    </row>
    <row r="93" spans="1:19">
      <c r="A93" s="12" t="s">
        <v>139</v>
      </c>
      <c r="D93" s="12" t="s">
        <v>132</v>
      </c>
      <c r="J93" s="24">
        <v>46</v>
      </c>
      <c r="K93" s="12" t="s">
        <v>36</v>
      </c>
      <c r="M93" s="26">
        <v>17.36</v>
      </c>
      <c r="N93" s="12" t="s">
        <v>96</v>
      </c>
      <c r="P93" s="26">
        <v>17.86</v>
      </c>
      <c r="Q93" s="12" t="s">
        <v>96</v>
      </c>
    </row>
    <row r="94" spans="1:19">
      <c r="A94" s="12" t="s">
        <v>140</v>
      </c>
      <c r="D94" s="12" t="s">
        <v>132</v>
      </c>
      <c r="J94" s="24">
        <v>58</v>
      </c>
      <c r="K94" s="12" t="s">
        <v>36</v>
      </c>
      <c r="M94" s="26">
        <v>21.94</v>
      </c>
      <c r="N94" s="12" t="s">
        <v>96</v>
      </c>
      <c r="P94" s="26">
        <v>22.44</v>
      </c>
      <c r="Q94" s="12" t="s">
        <v>96</v>
      </c>
    </row>
    <row r="95" spans="1:19">
      <c r="A95" s="12" t="s">
        <v>141</v>
      </c>
      <c r="D95" s="12" t="s">
        <v>132</v>
      </c>
      <c r="J95" s="24">
        <v>60</v>
      </c>
      <c r="K95" s="12" t="s">
        <v>36</v>
      </c>
      <c r="M95" s="26">
        <v>22.5</v>
      </c>
      <c r="N95" s="12" t="s">
        <v>96</v>
      </c>
      <c r="P95" s="26">
        <v>23</v>
      </c>
      <c r="Q95" s="12" t="s">
        <v>96</v>
      </c>
    </row>
    <row r="96" spans="1:19">
      <c r="A96" s="12" t="s">
        <v>142</v>
      </c>
      <c r="D96" s="12" t="s">
        <v>132</v>
      </c>
      <c r="J96" s="24">
        <v>53</v>
      </c>
      <c r="K96" s="12" t="s">
        <v>36</v>
      </c>
      <c r="M96" s="26">
        <v>20.03</v>
      </c>
      <c r="N96" s="12" t="s">
        <v>96</v>
      </c>
      <c r="P96" s="26">
        <v>20.53</v>
      </c>
      <c r="Q96" s="12" t="s">
        <v>96</v>
      </c>
    </row>
    <row r="97" spans="1:17">
      <c r="A97" s="12" t="s">
        <v>143</v>
      </c>
      <c r="D97" s="12" t="s">
        <v>132</v>
      </c>
      <c r="J97" s="24">
        <v>59</v>
      </c>
      <c r="K97" s="12" t="s">
        <v>36</v>
      </c>
      <c r="M97" s="26">
        <v>22.46</v>
      </c>
      <c r="N97" s="12" t="s">
        <v>96</v>
      </c>
      <c r="P97" s="26">
        <v>22.96</v>
      </c>
      <c r="Q97" s="12" t="s">
        <v>96</v>
      </c>
    </row>
    <row r="98" spans="1:17">
      <c r="A98" s="12" t="s">
        <v>144</v>
      </c>
      <c r="D98" s="12" t="s">
        <v>132</v>
      </c>
      <c r="J98" s="24">
        <v>57</v>
      </c>
      <c r="K98" s="12" t="s">
        <v>36</v>
      </c>
      <c r="M98" s="26">
        <v>21.58</v>
      </c>
      <c r="N98" s="12" t="s">
        <v>96</v>
      </c>
      <c r="P98" s="26">
        <v>22.08</v>
      </c>
      <c r="Q98" s="12" t="s">
        <v>96</v>
      </c>
    </row>
    <row r="99" spans="1:17">
      <c r="A99" s="12" t="s">
        <v>145</v>
      </c>
      <c r="D99" s="12" t="s">
        <v>132</v>
      </c>
      <c r="J99" s="24">
        <v>59</v>
      </c>
      <c r="K99" s="12" t="s">
        <v>36</v>
      </c>
      <c r="M99" s="26">
        <v>22.3</v>
      </c>
      <c r="N99" s="12" t="s">
        <v>96</v>
      </c>
      <c r="P99" s="26">
        <v>22.8</v>
      </c>
      <c r="Q99" s="12" t="s">
        <v>96</v>
      </c>
    </row>
    <row r="100" spans="1:17">
      <c r="A100" s="12" t="s">
        <v>146</v>
      </c>
      <c r="D100" s="12" t="s">
        <v>132</v>
      </c>
      <c r="J100" s="24">
        <v>47</v>
      </c>
      <c r="K100" s="12" t="s">
        <v>36</v>
      </c>
      <c r="M100" s="26">
        <v>18.04</v>
      </c>
      <c r="N100" s="12" t="s">
        <v>96</v>
      </c>
      <c r="P100" s="26">
        <v>18.54</v>
      </c>
      <c r="Q100" s="12" t="s">
        <v>96</v>
      </c>
    </row>
    <row r="101" spans="1:17">
      <c r="A101" s="12" t="s">
        <v>147</v>
      </c>
      <c r="D101" s="12" t="s">
        <v>132</v>
      </c>
      <c r="J101" s="24">
        <v>42</v>
      </c>
      <c r="K101" s="12" t="s">
        <v>36</v>
      </c>
      <c r="M101" s="26">
        <v>15.72</v>
      </c>
      <c r="N101" s="12" t="s">
        <v>96</v>
      </c>
      <c r="P101" s="26">
        <v>16.22</v>
      </c>
      <c r="Q101" s="12" t="s">
        <v>96</v>
      </c>
    </row>
    <row r="102" spans="1:17">
      <c r="A102" s="12" t="s">
        <v>148</v>
      </c>
      <c r="D102" s="12" t="s">
        <v>132</v>
      </c>
      <c r="J102" s="24">
        <v>60</v>
      </c>
      <c r="K102" s="12" t="s">
        <v>36</v>
      </c>
      <c r="M102" s="26">
        <v>22.64</v>
      </c>
      <c r="N102" s="12" t="s">
        <v>96</v>
      </c>
      <c r="P102" s="26">
        <v>23.14</v>
      </c>
      <c r="Q102" s="12" t="s">
        <v>96</v>
      </c>
    </row>
    <row r="103" spans="1:17">
      <c r="A103" s="12" t="s">
        <v>149</v>
      </c>
      <c r="D103" s="12" t="s">
        <v>132</v>
      </c>
      <c r="J103" s="24">
        <v>58</v>
      </c>
      <c r="K103" s="12" t="s">
        <v>36</v>
      </c>
      <c r="M103" s="26">
        <v>21.96</v>
      </c>
      <c r="N103" s="12" t="s">
        <v>96</v>
      </c>
      <c r="P103" s="26">
        <v>22.46</v>
      </c>
      <c r="Q103" s="12" t="s">
        <v>96</v>
      </c>
    </row>
    <row r="104" spans="1:17">
      <c r="A104" s="12" t="s">
        <v>150</v>
      </c>
      <c r="D104" s="12" t="s">
        <v>132</v>
      </c>
      <c r="J104" s="24">
        <v>57</v>
      </c>
      <c r="K104" s="12" t="s">
        <v>36</v>
      </c>
      <c r="M104" s="26">
        <v>21.32</v>
      </c>
      <c r="N104" s="12" t="s">
        <v>96</v>
      </c>
      <c r="P104" s="26">
        <v>21.82</v>
      </c>
      <c r="Q104" s="12" t="s">
        <v>96</v>
      </c>
    </row>
    <row r="105" spans="1:17">
      <c r="D105" s="12" t="s">
        <v>151</v>
      </c>
      <c r="M105" s="27"/>
      <c r="P105" s="27"/>
    </row>
    <row r="106" spans="1:17">
      <c r="A106" s="12" t="s">
        <v>152</v>
      </c>
      <c r="D106" s="12" t="s">
        <v>132</v>
      </c>
      <c r="J106" s="24">
        <v>55</v>
      </c>
      <c r="K106" s="12" t="s">
        <v>36</v>
      </c>
      <c r="M106" s="26">
        <v>20.74</v>
      </c>
      <c r="N106" s="12" t="s">
        <v>96</v>
      </c>
      <c r="P106" s="26">
        <v>21.24</v>
      </c>
      <c r="Q106" s="12" t="s">
        <v>96</v>
      </c>
    </row>
    <row r="107" spans="1:17">
      <c r="A107" s="12" t="s">
        <v>153</v>
      </c>
      <c r="D107" s="12" t="s">
        <v>132</v>
      </c>
      <c r="J107" s="24">
        <v>52</v>
      </c>
      <c r="K107" s="12" t="s">
        <v>36</v>
      </c>
      <c r="M107" s="26">
        <v>19.440000000000001</v>
      </c>
      <c r="N107" s="12" t="s">
        <v>96</v>
      </c>
      <c r="P107" s="26">
        <v>19.940000000000001</v>
      </c>
      <c r="Q107" s="12" t="s">
        <v>96</v>
      </c>
    </row>
    <row r="108" spans="1:17">
      <c r="A108" s="12" t="s">
        <v>154</v>
      </c>
      <c r="D108" s="12" t="s">
        <v>132</v>
      </c>
      <c r="J108" s="24">
        <v>53</v>
      </c>
      <c r="K108" s="12" t="s">
        <v>36</v>
      </c>
      <c r="M108" s="26">
        <v>20.32</v>
      </c>
      <c r="N108" s="12" t="s">
        <v>96</v>
      </c>
      <c r="P108" s="26">
        <v>20.82</v>
      </c>
      <c r="Q108" s="12" t="s">
        <v>96</v>
      </c>
    </row>
    <row r="109" spans="1:17">
      <c r="A109" s="12" t="s">
        <v>155</v>
      </c>
      <c r="D109" s="12" t="s">
        <v>132</v>
      </c>
      <c r="J109" s="24">
        <v>57</v>
      </c>
      <c r="K109" s="12" t="s">
        <v>36</v>
      </c>
      <c r="M109" s="26">
        <v>21.64</v>
      </c>
      <c r="N109" s="12" t="s">
        <v>96</v>
      </c>
      <c r="P109" s="26">
        <v>22.14</v>
      </c>
      <c r="Q109" s="12" t="s">
        <v>96</v>
      </c>
    </row>
    <row r="110" spans="1:17">
      <c r="A110" s="12" t="s">
        <v>156</v>
      </c>
      <c r="D110" s="12" t="s">
        <v>132</v>
      </c>
      <c r="J110" s="24">
        <v>59</v>
      </c>
      <c r="K110" s="12" t="s">
        <v>36</v>
      </c>
      <c r="M110" s="26">
        <v>22.36</v>
      </c>
      <c r="N110" s="12" t="s">
        <v>96</v>
      </c>
      <c r="P110" s="26">
        <v>22.86</v>
      </c>
      <c r="Q110" s="12" t="s">
        <v>96</v>
      </c>
    </row>
    <row r="111" spans="1:17">
      <c r="A111" s="12" t="s">
        <v>157</v>
      </c>
      <c r="D111" s="12" t="s">
        <v>132</v>
      </c>
      <c r="J111" s="24">
        <v>54</v>
      </c>
      <c r="K111" s="12" t="s">
        <v>36</v>
      </c>
      <c r="M111" s="26">
        <v>20.11</v>
      </c>
      <c r="N111" s="12" t="s">
        <v>96</v>
      </c>
      <c r="P111" s="26">
        <v>20.61</v>
      </c>
      <c r="Q111" s="12" t="s">
        <v>96</v>
      </c>
    </row>
    <row r="112" spans="1:17">
      <c r="A112" s="12" t="s">
        <v>158</v>
      </c>
      <c r="D112" s="12" t="s">
        <v>132</v>
      </c>
      <c r="J112" s="24">
        <v>57</v>
      </c>
      <c r="K112" s="12" t="s">
        <v>36</v>
      </c>
      <c r="M112" s="26">
        <v>21.82</v>
      </c>
      <c r="N112" s="12" t="s">
        <v>96</v>
      </c>
      <c r="P112" s="26">
        <v>22.32</v>
      </c>
      <c r="Q112" s="12" t="s">
        <v>96</v>
      </c>
    </row>
    <row r="113" spans="1:17">
      <c r="A113" s="12" t="s">
        <v>159</v>
      </c>
      <c r="D113" s="12" t="s">
        <v>132</v>
      </c>
      <c r="J113" s="24">
        <v>60</v>
      </c>
      <c r="K113" s="12" t="s">
        <v>36</v>
      </c>
      <c r="M113" s="26">
        <v>22.86</v>
      </c>
      <c r="N113" s="12" t="s">
        <v>96</v>
      </c>
      <c r="P113" s="26">
        <v>23.36</v>
      </c>
      <c r="Q113" s="12" t="s">
        <v>96</v>
      </c>
    </row>
    <row r="114" spans="1:17">
      <c r="A114" s="12" t="s">
        <v>160</v>
      </c>
      <c r="D114" s="12" t="s">
        <v>132</v>
      </c>
      <c r="J114" s="24">
        <v>53</v>
      </c>
      <c r="K114" s="12" t="s">
        <v>36</v>
      </c>
      <c r="M114" s="26">
        <v>20.239999999999998</v>
      </c>
      <c r="N114" s="12" t="s">
        <v>96</v>
      </c>
      <c r="P114" s="26">
        <v>20.74</v>
      </c>
      <c r="Q114" s="12" t="s">
        <v>96</v>
      </c>
    </row>
    <row r="115" spans="1:17">
      <c r="A115" s="12" t="s">
        <v>161</v>
      </c>
      <c r="D115" s="12" t="s">
        <v>132</v>
      </c>
      <c r="J115" s="24">
        <v>59</v>
      </c>
      <c r="K115" s="12" t="s">
        <v>36</v>
      </c>
      <c r="M115" s="26">
        <v>22.44</v>
      </c>
      <c r="N115" s="12" t="s">
        <v>96</v>
      </c>
      <c r="P115" s="26">
        <v>22.94</v>
      </c>
      <c r="Q115" s="12" t="s">
        <v>96</v>
      </c>
    </row>
    <row r="116" spans="1:17">
      <c r="A116" s="12" t="s">
        <v>162</v>
      </c>
      <c r="D116" s="12" t="s">
        <v>132</v>
      </c>
      <c r="J116" s="24">
        <v>59</v>
      </c>
      <c r="K116" s="12" t="s">
        <v>36</v>
      </c>
      <c r="M116" s="26">
        <v>22.4</v>
      </c>
      <c r="N116" s="12" t="s">
        <v>96</v>
      </c>
      <c r="P116" s="26">
        <v>22.9</v>
      </c>
      <c r="Q116" s="12" t="s">
        <v>96</v>
      </c>
    </row>
    <row r="117" spans="1:17">
      <c r="A117" s="12" t="s">
        <v>163</v>
      </c>
      <c r="D117" s="12" t="s">
        <v>132</v>
      </c>
      <c r="J117" s="24">
        <v>58</v>
      </c>
      <c r="K117" s="12" t="s">
        <v>36</v>
      </c>
      <c r="M117" s="26">
        <v>22</v>
      </c>
      <c r="N117" s="12" t="s">
        <v>96</v>
      </c>
      <c r="P117" s="26">
        <v>22.5</v>
      </c>
      <c r="Q117" s="12" t="s">
        <v>96</v>
      </c>
    </row>
    <row r="118" spans="1:17">
      <c r="A118" s="12" t="s">
        <v>164</v>
      </c>
      <c r="D118" s="12" t="s">
        <v>132</v>
      </c>
      <c r="J118" s="24">
        <v>56</v>
      </c>
      <c r="K118" s="12" t="s">
        <v>36</v>
      </c>
      <c r="M118" s="26">
        <v>21.18</v>
      </c>
      <c r="N118" s="12" t="s">
        <v>96</v>
      </c>
      <c r="P118" s="26">
        <v>21.68</v>
      </c>
      <c r="Q118" s="12" t="s">
        <v>96</v>
      </c>
    </row>
    <row r="119" spans="1:17">
      <c r="A119" s="12" t="s">
        <v>165</v>
      </c>
      <c r="D119" s="12" t="s">
        <v>132</v>
      </c>
      <c r="J119" s="24">
        <v>59</v>
      </c>
      <c r="K119" s="12" t="s">
        <v>36</v>
      </c>
      <c r="M119" s="26">
        <v>22.36</v>
      </c>
      <c r="N119" s="12" t="s">
        <v>96</v>
      </c>
      <c r="P119" s="26">
        <v>22.86</v>
      </c>
      <c r="Q119" s="12" t="s">
        <v>96</v>
      </c>
    </row>
    <row r="120" spans="1:17">
      <c r="A120" s="12" t="s">
        <v>166</v>
      </c>
      <c r="D120" s="12" t="s">
        <v>132</v>
      </c>
      <c r="J120" s="24">
        <v>57</v>
      </c>
      <c r="K120" s="12" t="s">
        <v>36</v>
      </c>
      <c r="M120" s="26">
        <v>21.76</v>
      </c>
      <c r="N120" s="12" t="s">
        <v>96</v>
      </c>
      <c r="P120" s="26">
        <v>22.26</v>
      </c>
      <c r="Q120" s="12" t="s">
        <v>96</v>
      </c>
    </row>
    <row r="121" spans="1:17">
      <c r="A121" s="12" t="s">
        <v>167</v>
      </c>
      <c r="D121" s="12" t="s">
        <v>132</v>
      </c>
      <c r="J121" s="24">
        <v>59</v>
      </c>
      <c r="K121" s="12" t="s">
        <v>36</v>
      </c>
      <c r="M121" s="26">
        <v>22.4</v>
      </c>
      <c r="N121" s="12" t="s">
        <v>96</v>
      </c>
      <c r="P121" s="26">
        <v>22.9</v>
      </c>
      <c r="Q121" s="12" t="s">
        <v>96</v>
      </c>
    </row>
    <row r="122" spans="1:17">
      <c r="A122" s="12" t="s">
        <v>168</v>
      </c>
      <c r="D122" s="12" t="s">
        <v>132</v>
      </c>
      <c r="J122" s="24">
        <v>59</v>
      </c>
      <c r="K122" s="12" t="s">
        <v>36</v>
      </c>
      <c r="M122" s="26">
        <v>22.28</v>
      </c>
      <c r="N122" s="12" t="s">
        <v>96</v>
      </c>
      <c r="P122" s="26">
        <v>22.78</v>
      </c>
      <c r="Q122" s="12" t="s">
        <v>96</v>
      </c>
    </row>
    <row r="123" spans="1:17">
      <c r="A123" s="12" t="s">
        <v>169</v>
      </c>
      <c r="D123" s="12" t="s">
        <v>132</v>
      </c>
      <c r="J123" s="24">
        <v>60</v>
      </c>
      <c r="K123" s="12" t="s">
        <v>36</v>
      </c>
      <c r="M123" s="26">
        <v>22.4</v>
      </c>
      <c r="N123" s="12" t="s">
        <v>96</v>
      </c>
      <c r="P123" s="26">
        <v>22.9</v>
      </c>
      <c r="Q123" s="12" t="s">
        <v>96</v>
      </c>
    </row>
    <row r="124" spans="1:17">
      <c r="A124" s="12" t="s">
        <v>170</v>
      </c>
      <c r="D124" s="12" t="s">
        <v>132</v>
      </c>
      <c r="J124" s="24">
        <v>57</v>
      </c>
      <c r="K124" s="12" t="s">
        <v>36</v>
      </c>
      <c r="M124" s="26">
        <v>21.38</v>
      </c>
      <c r="N124" s="12" t="s">
        <v>96</v>
      </c>
      <c r="P124" s="26">
        <v>21.88</v>
      </c>
      <c r="Q124" s="12" t="s">
        <v>96</v>
      </c>
    </row>
    <row r="125" spans="1:17">
      <c r="A125" s="12" t="s">
        <v>171</v>
      </c>
      <c r="D125" s="12" t="s">
        <v>132</v>
      </c>
      <c r="J125" s="24">
        <v>51</v>
      </c>
      <c r="K125" s="12" t="s">
        <v>36</v>
      </c>
      <c r="M125" s="26">
        <v>19.46</v>
      </c>
      <c r="N125" s="12" t="s">
        <v>96</v>
      </c>
      <c r="P125" s="26">
        <v>19.96</v>
      </c>
      <c r="Q125" s="12" t="s">
        <v>96</v>
      </c>
    </row>
    <row r="126" spans="1:17">
      <c r="A126" s="12" t="s">
        <v>172</v>
      </c>
      <c r="D126" s="12" t="s">
        <v>132</v>
      </c>
      <c r="J126" s="24">
        <v>62</v>
      </c>
      <c r="K126" s="12" t="s">
        <v>36</v>
      </c>
      <c r="M126" s="26">
        <v>23.42</v>
      </c>
      <c r="N126" s="12" t="s">
        <v>96</v>
      </c>
      <c r="P126" s="26">
        <v>23.92</v>
      </c>
      <c r="Q126" s="12" t="s">
        <v>96</v>
      </c>
    </row>
    <row r="127" spans="1:17">
      <c r="A127" s="12" t="s">
        <v>173</v>
      </c>
      <c r="D127" s="12" t="s">
        <v>132</v>
      </c>
      <c r="J127" s="24">
        <v>60</v>
      </c>
      <c r="K127" s="12" t="s">
        <v>36</v>
      </c>
      <c r="M127" s="26">
        <v>22.4</v>
      </c>
      <c r="N127" s="12" t="s">
        <v>96</v>
      </c>
      <c r="P127" s="26">
        <v>22.9</v>
      </c>
      <c r="Q127" s="12" t="s">
        <v>96</v>
      </c>
    </row>
    <row r="128" spans="1:17">
      <c r="A128" s="12" t="s">
        <v>174</v>
      </c>
      <c r="D128" s="12" t="s">
        <v>132</v>
      </c>
      <c r="J128" s="24">
        <v>58</v>
      </c>
      <c r="K128" s="12" t="s">
        <v>36</v>
      </c>
      <c r="M128" s="26">
        <v>22</v>
      </c>
      <c r="N128" s="12" t="s">
        <v>96</v>
      </c>
      <c r="P128" s="26">
        <v>22.5</v>
      </c>
      <c r="Q128" s="12" t="s">
        <v>96</v>
      </c>
    </row>
    <row r="129" spans="1:17">
      <c r="A129" s="12" t="s">
        <v>175</v>
      </c>
      <c r="D129" s="12" t="s">
        <v>132</v>
      </c>
      <c r="J129" s="24">
        <v>59</v>
      </c>
      <c r="K129" s="12" t="s">
        <v>36</v>
      </c>
      <c r="M129" s="26">
        <v>22.24</v>
      </c>
      <c r="N129" s="12" t="s">
        <v>96</v>
      </c>
      <c r="P129" s="26">
        <v>22.74</v>
      </c>
      <c r="Q129" s="12" t="s">
        <v>96</v>
      </c>
    </row>
    <row r="130" spans="1:17">
      <c r="D130" s="12" t="s">
        <v>130</v>
      </c>
      <c r="M130" s="27"/>
      <c r="P130" s="27"/>
    </row>
    <row r="131" spans="1:17">
      <c r="A131" s="12" t="s">
        <v>176</v>
      </c>
      <c r="D131" s="12" t="s">
        <v>132</v>
      </c>
      <c r="J131" s="24">
        <v>58</v>
      </c>
      <c r="K131" s="12" t="s">
        <v>36</v>
      </c>
      <c r="M131" s="26">
        <v>21.68</v>
      </c>
      <c r="N131" s="12" t="s">
        <v>96</v>
      </c>
      <c r="P131" s="26">
        <v>22.18</v>
      </c>
      <c r="Q131" s="12" t="s">
        <v>96</v>
      </c>
    </row>
    <row r="132" spans="1:17">
      <c r="D132" s="12" t="s">
        <v>132</v>
      </c>
      <c r="M132" s="27"/>
      <c r="P132" s="27"/>
    </row>
    <row r="133" spans="1:17">
      <c r="D133" s="12" t="s">
        <v>177</v>
      </c>
      <c r="M133" s="27"/>
      <c r="P133" s="27"/>
    </row>
    <row r="134" spans="1:17">
      <c r="D134" s="12" t="s">
        <v>178</v>
      </c>
      <c r="M134" s="27"/>
      <c r="P134" s="27"/>
    </row>
    <row r="135" spans="1:17">
      <c r="D135" s="12" t="s">
        <v>179</v>
      </c>
      <c r="M135" s="27"/>
      <c r="P135" s="27"/>
    </row>
    <row r="136" spans="1:17">
      <c r="D136" s="12" t="s">
        <v>180</v>
      </c>
      <c r="M136" s="27"/>
      <c r="P136" s="27"/>
    </row>
    <row r="137" spans="1:17">
      <c r="D137" s="12" t="s">
        <v>181</v>
      </c>
      <c r="M137" s="27"/>
      <c r="P137" s="27"/>
    </row>
    <row r="138" spans="1:17">
      <c r="A138" s="12" t="s">
        <v>182</v>
      </c>
      <c r="D138" s="12" t="s">
        <v>132</v>
      </c>
      <c r="J138" s="24">
        <v>49</v>
      </c>
      <c r="K138" s="12" t="s">
        <v>36</v>
      </c>
      <c r="M138" s="26">
        <v>18.25</v>
      </c>
      <c r="N138" s="12" t="s">
        <v>96</v>
      </c>
      <c r="P138" s="26">
        <v>18.75</v>
      </c>
      <c r="Q138" s="12" t="s">
        <v>96</v>
      </c>
    </row>
    <row r="139" spans="1:17">
      <c r="A139" s="12" t="s">
        <v>183</v>
      </c>
      <c r="D139" s="12" t="s">
        <v>132</v>
      </c>
      <c r="J139" s="24">
        <v>51</v>
      </c>
      <c r="K139" s="12" t="s">
        <v>36</v>
      </c>
      <c r="M139" s="26">
        <v>19.32</v>
      </c>
      <c r="N139" s="12" t="s">
        <v>96</v>
      </c>
      <c r="P139" s="26">
        <v>19.82</v>
      </c>
      <c r="Q139" s="12" t="s">
        <v>96</v>
      </c>
    </row>
    <row r="140" spans="1:17">
      <c r="A140" s="12" t="s">
        <v>184</v>
      </c>
      <c r="D140" s="12" t="s">
        <v>132</v>
      </c>
      <c r="J140" s="24">
        <v>54</v>
      </c>
      <c r="K140" s="12" t="s">
        <v>36</v>
      </c>
      <c r="M140" s="26">
        <v>20.38</v>
      </c>
      <c r="N140" s="12" t="s">
        <v>96</v>
      </c>
      <c r="P140" s="26">
        <v>20.88</v>
      </c>
      <c r="Q140" s="12" t="s">
        <v>96</v>
      </c>
    </row>
    <row r="141" spans="1:17">
      <c r="A141" s="12" t="s">
        <v>185</v>
      </c>
      <c r="D141" s="12" t="s">
        <v>132</v>
      </c>
      <c r="J141" s="24">
        <v>54</v>
      </c>
      <c r="K141" s="12" t="s">
        <v>36</v>
      </c>
      <c r="M141" s="26">
        <v>20.28</v>
      </c>
      <c r="N141" s="12" t="s">
        <v>96</v>
      </c>
      <c r="P141" s="26">
        <v>20.78</v>
      </c>
      <c r="Q141" s="12" t="s">
        <v>96</v>
      </c>
    </row>
    <row r="142" spans="1:17">
      <c r="A142" s="12" t="s">
        <v>186</v>
      </c>
      <c r="D142" s="12" t="s">
        <v>132</v>
      </c>
      <c r="J142" s="24">
        <v>56</v>
      </c>
      <c r="K142" s="12" t="s">
        <v>36</v>
      </c>
      <c r="M142" s="26">
        <v>21.58</v>
      </c>
      <c r="N142" s="12" t="s">
        <v>96</v>
      </c>
      <c r="P142" s="26">
        <v>22.08</v>
      </c>
      <c r="Q142" s="12" t="s">
        <v>96</v>
      </c>
    </row>
    <row r="143" spans="1:17">
      <c r="A143" s="12" t="s">
        <v>187</v>
      </c>
      <c r="D143" s="12" t="s">
        <v>132</v>
      </c>
      <c r="J143" s="24">
        <v>42</v>
      </c>
      <c r="K143" s="12" t="s">
        <v>36</v>
      </c>
      <c r="M143" s="26">
        <v>15.92</v>
      </c>
      <c r="N143" s="12" t="s">
        <v>96</v>
      </c>
      <c r="P143" s="26">
        <v>16.420000000000002</v>
      </c>
      <c r="Q143" s="12" t="s">
        <v>96</v>
      </c>
    </row>
    <row r="144" spans="1:17">
      <c r="A144" s="12" t="s">
        <v>188</v>
      </c>
      <c r="D144" s="12" t="s">
        <v>132</v>
      </c>
      <c r="J144" s="24">
        <v>43</v>
      </c>
      <c r="K144" s="12" t="s">
        <v>36</v>
      </c>
      <c r="M144" s="26">
        <v>15.81</v>
      </c>
      <c r="N144" s="12" t="s">
        <v>96</v>
      </c>
      <c r="P144" s="26">
        <v>16.309999999999999</v>
      </c>
      <c r="Q144" s="12" t="s">
        <v>96</v>
      </c>
    </row>
    <row r="145" spans="1:17">
      <c r="A145" s="12" t="s">
        <v>189</v>
      </c>
      <c r="D145" s="12" t="s">
        <v>132</v>
      </c>
      <c r="J145" s="24">
        <v>54</v>
      </c>
      <c r="K145" s="12" t="s">
        <v>36</v>
      </c>
      <c r="M145" s="26">
        <v>20.96</v>
      </c>
      <c r="N145" s="12" t="s">
        <v>96</v>
      </c>
      <c r="P145" s="26">
        <v>21.46</v>
      </c>
      <c r="Q145" s="12" t="s">
        <v>96</v>
      </c>
    </row>
    <row r="146" spans="1:17">
      <c r="A146" s="12" t="s">
        <v>190</v>
      </c>
      <c r="D146" s="12" t="s">
        <v>132</v>
      </c>
      <c r="J146" s="24">
        <v>54</v>
      </c>
      <c r="K146" s="12" t="s">
        <v>36</v>
      </c>
      <c r="M146" s="26">
        <v>20.77</v>
      </c>
      <c r="N146" s="12" t="s">
        <v>96</v>
      </c>
      <c r="P146" s="26">
        <v>21.27</v>
      </c>
      <c r="Q146" s="12" t="s">
        <v>96</v>
      </c>
    </row>
    <row r="147" spans="1:17">
      <c r="A147" s="12" t="s">
        <v>191</v>
      </c>
      <c r="D147" s="12" t="s">
        <v>132</v>
      </c>
      <c r="J147" s="24">
        <v>55</v>
      </c>
      <c r="K147" s="12" t="s">
        <v>36</v>
      </c>
      <c r="M147" s="26">
        <v>21</v>
      </c>
      <c r="N147" s="12" t="s">
        <v>96</v>
      </c>
      <c r="P147" s="26">
        <v>21.5</v>
      </c>
      <c r="Q147" s="12" t="s">
        <v>96</v>
      </c>
    </row>
    <row r="148" spans="1:17">
      <c r="A148" s="12" t="s">
        <v>192</v>
      </c>
      <c r="D148" s="12" t="s">
        <v>132</v>
      </c>
      <c r="J148" s="24">
        <v>52</v>
      </c>
      <c r="K148" s="12" t="s">
        <v>36</v>
      </c>
      <c r="M148" s="26">
        <v>20.02</v>
      </c>
      <c r="N148" s="12" t="s">
        <v>96</v>
      </c>
      <c r="P148" s="26">
        <v>20.52</v>
      </c>
      <c r="Q148" s="12" t="s">
        <v>96</v>
      </c>
    </row>
    <row r="149" spans="1:17">
      <c r="A149" s="12" t="s">
        <v>193</v>
      </c>
      <c r="D149" s="12" t="s">
        <v>132</v>
      </c>
      <c r="J149" s="24">
        <v>48</v>
      </c>
      <c r="K149" s="12" t="s">
        <v>36</v>
      </c>
      <c r="M149" s="26">
        <v>18.32</v>
      </c>
      <c r="N149" s="12" t="s">
        <v>96</v>
      </c>
      <c r="P149" s="26">
        <v>18.82</v>
      </c>
      <c r="Q149" s="12" t="s">
        <v>96</v>
      </c>
    </row>
    <row r="150" spans="1:17">
      <c r="A150" s="12" t="s">
        <v>194</v>
      </c>
      <c r="D150" s="12" t="s">
        <v>132</v>
      </c>
      <c r="J150" s="24">
        <v>53</v>
      </c>
      <c r="K150" s="12" t="s">
        <v>36</v>
      </c>
      <c r="M150" s="26">
        <v>20.32</v>
      </c>
      <c r="N150" s="12" t="s">
        <v>96</v>
      </c>
      <c r="P150" s="26">
        <v>20.82</v>
      </c>
      <c r="Q150" s="12" t="s">
        <v>96</v>
      </c>
    </row>
    <row r="151" spans="1:17">
      <c r="A151" s="12" t="s">
        <v>195</v>
      </c>
      <c r="D151" s="12" t="s">
        <v>132</v>
      </c>
      <c r="J151" s="24">
        <v>56</v>
      </c>
      <c r="K151" s="12" t="s">
        <v>36</v>
      </c>
      <c r="M151" s="26">
        <v>20.75</v>
      </c>
      <c r="N151" s="12" t="s">
        <v>96</v>
      </c>
      <c r="P151" s="26">
        <v>21.25</v>
      </c>
      <c r="Q151" s="12" t="s">
        <v>96</v>
      </c>
    </row>
    <row r="152" spans="1:17">
      <c r="A152" s="12" t="s">
        <v>196</v>
      </c>
      <c r="D152" s="12" t="s">
        <v>132</v>
      </c>
      <c r="J152" s="24">
        <v>45</v>
      </c>
      <c r="K152" s="12" t="s">
        <v>36</v>
      </c>
      <c r="M152" s="26">
        <v>17.02</v>
      </c>
      <c r="N152" s="12" t="s">
        <v>96</v>
      </c>
      <c r="P152" s="26">
        <v>17.52</v>
      </c>
      <c r="Q152" s="12" t="s">
        <v>96</v>
      </c>
    </row>
    <row r="153" spans="1:17">
      <c r="A153" s="12" t="s">
        <v>197</v>
      </c>
      <c r="D153" s="12" t="s">
        <v>132</v>
      </c>
      <c r="J153" s="24">
        <v>55</v>
      </c>
      <c r="K153" s="12" t="s">
        <v>36</v>
      </c>
      <c r="M153" s="26">
        <v>20.9</v>
      </c>
      <c r="N153" s="12" t="s">
        <v>96</v>
      </c>
      <c r="P153" s="26">
        <v>21.4</v>
      </c>
      <c r="Q153" s="12" t="s">
        <v>96</v>
      </c>
    </row>
    <row r="154" spans="1:17">
      <c r="A154" s="12" t="s">
        <v>198</v>
      </c>
      <c r="D154" s="12" t="s">
        <v>132</v>
      </c>
      <c r="J154" s="24">
        <v>59</v>
      </c>
      <c r="K154" s="12" t="s">
        <v>36</v>
      </c>
      <c r="M154" s="26">
        <v>21.98</v>
      </c>
      <c r="N154" s="12" t="s">
        <v>96</v>
      </c>
      <c r="P154" s="26">
        <v>22.48</v>
      </c>
      <c r="Q154" s="12" t="s">
        <v>96</v>
      </c>
    </row>
    <row r="155" spans="1:17">
      <c r="A155" s="12" t="s">
        <v>199</v>
      </c>
      <c r="D155" s="12" t="s">
        <v>132</v>
      </c>
      <c r="J155" s="24">
        <v>57</v>
      </c>
      <c r="K155" s="12" t="s">
        <v>36</v>
      </c>
      <c r="M155" s="26">
        <v>21.82</v>
      </c>
      <c r="N155" s="12" t="s">
        <v>96</v>
      </c>
      <c r="P155" s="26">
        <v>22.32</v>
      </c>
      <c r="Q155" s="12" t="s">
        <v>96</v>
      </c>
    </row>
    <row r="156" spans="1:17">
      <c r="A156" s="12" t="s">
        <v>200</v>
      </c>
      <c r="D156" s="12" t="s">
        <v>132</v>
      </c>
      <c r="J156" s="24">
        <v>45</v>
      </c>
      <c r="K156" s="12" t="s">
        <v>36</v>
      </c>
      <c r="M156" s="26">
        <v>17.059999999999999</v>
      </c>
      <c r="N156" s="12" t="s">
        <v>96</v>
      </c>
      <c r="P156" s="26">
        <v>17.559999999999999</v>
      </c>
      <c r="Q156" s="12" t="s">
        <v>96</v>
      </c>
    </row>
    <row r="157" spans="1:17">
      <c r="D157" s="12" t="s">
        <v>201</v>
      </c>
      <c r="M157" s="27"/>
      <c r="P157" s="27"/>
    </row>
    <row r="158" spans="1:17">
      <c r="A158" s="12" t="s">
        <v>202</v>
      </c>
      <c r="D158" s="12" t="s">
        <v>132</v>
      </c>
      <c r="J158" s="24">
        <v>54</v>
      </c>
      <c r="K158" s="12" t="s">
        <v>36</v>
      </c>
      <c r="M158" s="26">
        <v>20.440000000000001</v>
      </c>
      <c r="N158" s="12" t="s">
        <v>96</v>
      </c>
      <c r="P158" s="26">
        <v>20.94</v>
      </c>
      <c r="Q158" s="12" t="s">
        <v>96</v>
      </c>
    </row>
    <row r="159" spans="1:17">
      <c r="A159" s="12" t="s">
        <v>203</v>
      </c>
      <c r="D159" s="12" t="s">
        <v>132</v>
      </c>
      <c r="J159" s="24">
        <v>58</v>
      </c>
      <c r="K159" s="12" t="s">
        <v>36</v>
      </c>
      <c r="M159" s="26">
        <v>21.68</v>
      </c>
      <c r="N159" s="12" t="s">
        <v>96</v>
      </c>
      <c r="P159" s="26">
        <v>22.18</v>
      </c>
      <c r="Q159" s="12" t="s">
        <v>96</v>
      </c>
    </row>
    <row r="160" spans="1:17">
      <c r="A160" s="12" t="s">
        <v>204</v>
      </c>
      <c r="D160" s="12" t="s">
        <v>132</v>
      </c>
      <c r="J160" s="24">
        <v>55</v>
      </c>
      <c r="K160" s="12" t="s">
        <v>36</v>
      </c>
      <c r="M160" s="26">
        <v>20.86</v>
      </c>
      <c r="N160" s="12" t="s">
        <v>96</v>
      </c>
      <c r="P160" s="26">
        <v>21.36</v>
      </c>
      <c r="Q160" s="12" t="s">
        <v>96</v>
      </c>
    </row>
    <row r="161" spans="1:17">
      <c r="A161" s="12" t="s">
        <v>205</v>
      </c>
      <c r="D161" s="12" t="s">
        <v>132</v>
      </c>
      <c r="J161" s="24">
        <v>56</v>
      </c>
      <c r="K161" s="12" t="s">
        <v>36</v>
      </c>
      <c r="M161" s="26">
        <v>21.34</v>
      </c>
      <c r="N161" s="12" t="s">
        <v>96</v>
      </c>
      <c r="P161" s="26">
        <v>21.84</v>
      </c>
      <c r="Q161" s="12" t="s">
        <v>96</v>
      </c>
    </row>
    <row r="162" spans="1:17">
      <c r="A162" s="12" t="s">
        <v>206</v>
      </c>
      <c r="D162" s="12" t="s">
        <v>132</v>
      </c>
      <c r="J162" s="24">
        <v>50</v>
      </c>
      <c r="K162" s="12" t="s">
        <v>36</v>
      </c>
      <c r="M162" s="26">
        <v>18.88</v>
      </c>
      <c r="N162" s="12" t="s">
        <v>96</v>
      </c>
      <c r="P162" s="26">
        <v>19.38</v>
      </c>
      <c r="Q162" s="12" t="s">
        <v>96</v>
      </c>
    </row>
    <row r="163" spans="1:17">
      <c r="A163" s="12" t="s">
        <v>207</v>
      </c>
      <c r="D163" s="12" t="s">
        <v>132</v>
      </c>
      <c r="J163" s="24">
        <v>55</v>
      </c>
      <c r="K163" s="12" t="s">
        <v>36</v>
      </c>
      <c r="M163" s="26">
        <v>20.8</v>
      </c>
      <c r="N163" s="12" t="s">
        <v>96</v>
      </c>
      <c r="P163" s="26">
        <v>21.3</v>
      </c>
      <c r="Q163" s="12" t="s">
        <v>96</v>
      </c>
    </row>
    <row r="164" spans="1:17">
      <c r="A164" s="12" t="s">
        <v>208</v>
      </c>
      <c r="D164" s="12" t="s">
        <v>132</v>
      </c>
      <c r="J164" s="24">
        <v>53</v>
      </c>
      <c r="K164" s="12" t="s">
        <v>36</v>
      </c>
      <c r="M164" s="26">
        <v>20.059999999999999</v>
      </c>
      <c r="N164" s="12" t="s">
        <v>96</v>
      </c>
      <c r="P164" s="26">
        <v>20.56</v>
      </c>
      <c r="Q164" s="12" t="s">
        <v>96</v>
      </c>
    </row>
    <row r="165" spans="1:17">
      <c r="A165" s="12" t="s">
        <v>209</v>
      </c>
      <c r="D165" s="12" t="s">
        <v>132</v>
      </c>
      <c r="J165" s="24">
        <v>55</v>
      </c>
      <c r="K165" s="12" t="s">
        <v>36</v>
      </c>
      <c r="M165" s="26">
        <v>20.36</v>
      </c>
      <c r="N165" s="12" t="s">
        <v>96</v>
      </c>
      <c r="P165" s="26">
        <v>20.86</v>
      </c>
      <c r="Q165" s="12" t="s">
        <v>96</v>
      </c>
    </row>
    <row r="166" spans="1:17">
      <c r="A166" s="12" t="s">
        <v>210</v>
      </c>
      <c r="D166" s="12" t="s">
        <v>132</v>
      </c>
      <c r="J166" s="24">
        <v>55</v>
      </c>
      <c r="K166" s="12" t="s">
        <v>36</v>
      </c>
      <c r="M166" s="26">
        <v>20.68</v>
      </c>
      <c r="N166" s="12" t="s">
        <v>96</v>
      </c>
      <c r="P166" s="26">
        <v>21.18</v>
      </c>
      <c r="Q166" s="12" t="s">
        <v>96</v>
      </c>
    </row>
    <row r="167" spans="1:17">
      <c r="A167" s="12" t="s">
        <v>211</v>
      </c>
      <c r="D167" s="12" t="s">
        <v>132</v>
      </c>
      <c r="J167" s="24">
        <v>57</v>
      </c>
      <c r="K167" s="12" t="s">
        <v>36</v>
      </c>
      <c r="M167" s="26">
        <v>21.76</v>
      </c>
      <c r="N167" s="12" t="s">
        <v>96</v>
      </c>
      <c r="P167" s="26">
        <v>22.26</v>
      </c>
      <c r="Q167" s="12" t="s">
        <v>96</v>
      </c>
    </row>
    <row r="168" spans="1:17">
      <c r="A168" s="12" t="s">
        <v>212</v>
      </c>
      <c r="D168" s="12" t="s">
        <v>132</v>
      </c>
      <c r="J168" s="24">
        <v>55</v>
      </c>
      <c r="K168" s="12" t="s">
        <v>36</v>
      </c>
      <c r="M168" s="26">
        <v>20.64</v>
      </c>
      <c r="N168" s="12" t="s">
        <v>96</v>
      </c>
      <c r="P168" s="26">
        <v>21.14</v>
      </c>
      <c r="Q168" s="12" t="s">
        <v>96</v>
      </c>
    </row>
    <row r="169" spans="1:17">
      <c r="A169" s="12" t="s">
        <v>213</v>
      </c>
      <c r="D169" s="12" t="s">
        <v>132</v>
      </c>
      <c r="J169" s="24">
        <v>57</v>
      </c>
      <c r="K169" s="12" t="s">
        <v>36</v>
      </c>
      <c r="M169" s="26">
        <v>21.64</v>
      </c>
      <c r="N169" s="12" t="s">
        <v>96</v>
      </c>
      <c r="P169" s="26">
        <v>22.14</v>
      </c>
      <c r="Q169" s="12" t="s">
        <v>96</v>
      </c>
    </row>
    <row r="170" spans="1:17">
      <c r="A170" s="12" t="s">
        <v>214</v>
      </c>
      <c r="D170" s="12" t="s">
        <v>132</v>
      </c>
      <c r="J170" s="24">
        <v>65</v>
      </c>
      <c r="K170" s="12" t="s">
        <v>36</v>
      </c>
      <c r="M170" s="26">
        <v>24.33</v>
      </c>
      <c r="N170" s="12" t="s">
        <v>96</v>
      </c>
      <c r="P170" s="26">
        <v>24.83</v>
      </c>
      <c r="Q170" s="12" t="s">
        <v>96</v>
      </c>
    </row>
    <row r="171" spans="1:17">
      <c r="A171" s="12" t="s">
        <v>215</v>
      </c>
      <c r="D171" s="12" t="s">
        <v>132</v>
      </c>
      <c r="J171" s="24">
        <v>64</v>
      </c>
      <c r="K171" s="12" t="s">
        <v>36</v>
      </c>
      <c r="M171" s="26">
        <v>24.15</v>
      </c>
      <c r="N171" s="12" t="s">
        <v>96</v>
      </c>
      <c r="P171" s="26">
        <v>24.65</v>
      </c>
      <c r="Q171" s="12" t="s">
        <v>96</v>
      </c>
    </row>
    <row r="172" spans="1:17">
      <c r="A172" s="12" t="s">
        <v>216</v>
      </c>
      <c r="D172" s="12" t="s">
        <v>132</v>
      </c>
      <c r="J172" s="24">
        <v>57</v>
      </c>
      <c r="K172" s="12" t="s">
        <v>36</v>
      </c>
      <c r="M172" s="26">
        <v>21.26</v>
      </c>
      <c r="N172" s="12" t="s">
        <v>96</v>
      </c>
      <c r="P172" s="26">
        <v>21.76</v>
      </c>
      <c r="Q172" s="12" t="s">
        <v>96</v>
      </c>
    </row>
    <row r="173" spans="1:17">
      <c r="A173" s="12" t="s">
        <v>217</v>
      </c>
      <c r="D173" s="12" t="s">
        <v>132</v>
      </c>
      <c r="J173" s="24">
        <v>54</v>
      </c>
      <c r="K173" s="12" t="s">
        <v>36</v>
      </c>
      <c r="M173" s="26">
        <v>20.6</v>
      </c>
      <c r="N173" s="12" t="s">
        <v>96</v>
      </c>
      <c r="P173" s="26">
        <v>21.1</v>
      </c>
      <c r="Q173" s="12" t="s">
        <v>96</v>
      </c>
    </row>
    <row r="174" spans="1:17">
      <c r="A174" s="12" t="s">
        <v>218</v>
      </c>
      <c r="D174" s="12" t="s">
        <v>132</v>
      </c>
      <c r="J174" s="24">
        <v>50</v>
      </c>
      <c r="K174" s="12" t="s">
        <v>36</v>
      </c>
      <c r="M174" s="26">
        <v>18.899999999999999</v>
      </c>
      <c r="N174" s="12" t="s">
        <v>96</v>
      </c>
      <c r="P174" s="26">
        <v>19.399999999999999</v>
      </c>
      <c r="Q174" s="12" t="s">
        <v>96</v>
      </c>
    </row>
    <row r="175" spans="1:17">
      <c r="D175" s="12" t="s">
        <v>219</v>
      </c>
      <c r="M175" s="27"/>
      <c r="P175" s="27"/>
    </row>
    <row r="176" spans="1:17">
      <c r="A176" s="12" t="s">
        <v>220</v>
      </c>
      <c r="D176" s="12" t="s">
        <v>132</v>
      </c>
      <c r="J176" s="24">
        <v>58</v>
      </c>
      <c r="K176" s="12" t="s">
        <v>36</v>
      </c>
      <c r="M176" s="26">
        <v>21.72</v>
      </c>
      <c r="N176" s="12" t="s">
        <v>96</v>
      </c>
      <c r="P176" s="26">
        <v>22.22</v>
      </c>
      <c r="Q176" s="12" t="s">
        <v>96</v>
      </c>
    </row>
    <row r="177" spans="1:17">
      <c r="A177" s="12" t="s">
        <v>221</v>
      </c>
      <c r="D177" s="12" t="s">
        <v>132</v>
      </c>
      <c r="J177" s="24">
        <v>50</v>
      </c>
      <c r="K177" s="12" t="s">
        <v>36</v>
      </c>
      <c r="M177" s="26">
        <v>18.600000000000001</v>
      </c>
      <c r="N177" s="12" t="s">
        <v>96</v>
      </c>
      <c r="P177" s="26">
        <v>19.100000000000001</v>
      </c>
      <c r="Q177" s="12" t="s">
        <v>96</v>
      </c>
    </row>
    <row r="178" spans="1:17">
      <c r="A178" s="12" t="s">
        <v>222</v>
      </c>
      <c r="D178" s="12" t="s">
        <v>132</v>
      </c>
      <c r="J178" s="24">
        <v>57</v>
      </c>
      <c r="K178" s="12" t="s">
        <v>36</v>
      </c>
      <c r="M178" s="26">
        <v>21.34</v>
      </c>
      <c r="N178" s="12" t="s">
        <v>96</v>
      </c>
      <c r="P178" s="26">
        <v>21.84</v>
      </c>
      <c r="Q178" s="12" t="s">
        <v>96</v>
      </c>
    </row>
    <row r="179" spans="1:17">
      <c r="A179" s="12" t="s">
        <v>223</v>
      </c>
      <c r="D179" s="12" t="s">
        <v>132</v>
      </c>
      <c r="J179" s="24">
        <v>55</v>
      </c>
      <c r="K179" s="12" t="s">
        <v>36</v>
      </c>
      <c r="M179" s="26">
        <v>20.5</v>
      </c>
      <c r="N179" s="12" t="s">
        <v>96</v>
      </c>
      <c r="P179" s="26">
        <v>21</v>
      </c>
      <c r="Q179" s="12" t="s">
        <v>96</v>
      </c>
    </row>
    <row r="180" spans="1:17">
      <c r="A180" s="12" t="s">
        <v>224</v>
      </c>
      <c r="D180" s="12" t="s">
        <v>132</v>
      </c>
      <c r="J180" s="24">
        <v>48</v>
      </c>
      <c r="K180" s="12" t="s">
        <v>36</v>
      </c>
      <c r="M180" s="26">
        <v>17.96</v>
      </c>
      <c r="N180" s="12" t="s">
        <v>96</v>
      </c>
      <c r="P180" s="26">
        <v>18.46</v>
      </c>
      <c r="Q180" s="12" t="s">
        <v>96</v>
      </c>
    </row>
    <row r="181" spans="1:17">
      <c r="A181" s="12" t="s">
        <v>225</v>
      </c>
      <c r="D181" s="12" t="s">
        <v>132</v>
      </c>
      <c r="J181" s="24">
        <v>52</v>
      </c>
      <c r="K181" s="12" t="s">
        <v>36</v>
      </c>
      <c r="M181" s="26">
        <v>19.12</v>
      </c>
      <c r="N181" s="12" t="s">
        <v>96</v>
      </c>
      <c r="P181" s="26">
        <v>19.62</v>
      </c>
      <c r="Q181" s="12" t="s">
        <v>96</v>
      </c>
    </row>
    <row r="182" spans="1:17">
      <c r="A182" s="12" t="s">
        <v>226</v>
      </c>
      <c r="D182" s="12" t="s">
        <v>132</v>
      </c>
      <c r="J182" s="24">
        <v>55</v>
      </c>
      <c r="K182" s="12" t="s">
        <v>36</v>
      </c>
      <c r="M182" s="26">
        <v>20.46</v>
      </c>
      <c r="N182" s="12" t="s">
        <v>96</v>
      </c>
      <c r="P182" s="26">
        <v>20.96</v>
      </c>
      <c r="Q182" s="12" t="s">
        <v>96</v>
      </c>
    </row>
    <row r="183" spans="1:17">
      <c r="A183" s="12" t="s">
        <v>227</v>
      </c>
      <c r="D183" s="12" t="s">
        <v>132</v>
      </c>
      <c r="J183" s="24">
        <v>53</v>
      </c>
      <c r="K183" s="12" t="s">
        <v>36</v>
      </c>
      <c r="M183" s="26">
        <v>19.86</v>
      </c>
      <c r="N183" s="12" t="s">
        <v>96</v>
      </c>
      <c r="P183" s="26">
        <v>20.36</v>
      </c>
      <c r="Q183" s="12" t="s">
        <v>96</v>
      </c>
    </row>
    <row r="184" spans="1:17">
      <c r="A184" s="12" t="s">
        <v>228</v>
      </c>
      <c r="D184" s="12" t="s">
        <v>132</v>
      </c>
      <c r="J184" s="24">
        <v>54</v>
      </c>
      <c r="K184" s="12" t="s">
        <v>36</v>
      </c>
      <c r="M184" s="26">
        <v>20.36</v>
      </c>
      <c r="N184" s="12" t="s">
        <v>96</v>
      </c>
      <c r="P184" s="26">
        <v>20.86</v>
      </c>
      <c r="Q184" s="12" t="s">
        <v>96</v>
      </c>
    </row>
    <row r="185" spans="1:17">
      <c r="A185" s="12" t="s">
        <v>229</v>
      </c>
      <c r="D185" s="12" t="s">
        <v>132</v>
      </c>
      <c r="J185" s="24">
        <v>60</v>
      </c>
      <c r="K185" s="12" t="s">
        <v>36</v>
      </c>
      <c r="M185" s="26">
        <v>22.12</v>
      </c>
      <c r="N185" s="12" t="s">
        <v>96</v>
      </c>
      <c r="P185" s="26">
        <v>22.62</v>
      </c>
      <c r="Q185" s="12" t="s">
        <v>96</v>
      </c>
    </row>
    <row r="186" spans="1:17">
      <c r="A186" s="12" t="s">
        <v>230</v>
      </c>
      <c r="D186" s="12" t="s">
        <v>132</v>
      </c>
      <c r="J186" s="24">
        <v>51</v>
      </c>
      <c r="K186" s="12" t="s">
        <v>36</v>
      </c>
      <c r="M186" s="26">
        <v>19.100000000000001</v>
      </c>
      <c r="N186" s="12" t="s">
        <v>96</v>
      </c>
      <c r="P186" s="26">
        <v>19.600000000000001</v>
      </c>
      <c r="Q186" s="12" t="s">
        <v>96</v>
      </c>
    </row>
    <row r="187" spans="1:17">
      <c r="A187" s="12" t="s">
        <v>231</v>
      </c>
      <c r="D187" s="12" t="s">
        <v>132</v>
      </c>
      <c r="J187" s="24">
        <v>51</v>
      </c>
      <c r="K187" s="12" t="s">
        <v>36</v>
      </c>
      <c r="M187" s="26">
        <v>18.829999999999998</v>
      </c>
      <c r="N187" s="12" t="s">
        <v>96</v>
      </c>
      <c r="P187" s="26">
        <v>19.329999999999998</v>
      </c>
      <c r="Q187" s="12" t="s">
        <v>96</v>
      </c>
    </row>
    <row r="188" spans="1:17">
      <c r="A188" s="12" t="s">
        <v>232</v>
      </c>
      <c r="D188" s="12" t="s">
        <v>132</v>
      </c>
      <c r="J188" s="24">
        <v>51</v>
      </c>
      <c r="K188" s="12" t="s">
        <v>36</v>
      </c>
      <c r="M188" s="26">
        <v>19.04</v>
      </c>
      <c r="N188" s="12" t="s">
        <v>96</v>
      </c>
      <c r="P188" s="26">
        <v>19.54</v>
      </c>
      <c r="Q188" s="12" t="s">
        <v>96</v>
      </c>
    </row>
    <row r="189" spans="1:17">
      <c r="A189" s="12" t="s">
        <v>233</v>
      </c>
      <c r="D189" s="12" t="s">
        <v>132</v>
      </c>
      <c r="J189" s="24">
        <v>46</v>
      </c>
      <c r="K189" s="12" t="s">
        <v>36</v>
      </c>
      <c r="M189" s="26">
        <v>16.98</v>
      </c>
      <c r="N189" s="12" t="s">
        <v>96</v>
      </c>
      <c r="P189" s="26">
        <v>17.48</v>
      </c>
      <c r="Q189" s="12" t="s">
        <v>96</v>
      </c>
    </row>
    <row r="190" spans="1:17">
      <c r="A190" s="12" t="s">
        <v>234</v>
      </c>
      <c r="D190" s="12" t="s">
        <v>132</v>
      </c>
      <c r="J190" s="24">
        <v>50</v>
      </c>
      <c r="K190" s="12" t="s">
        <v>36</v>
      </c>
      <c r="M190" s="26">
        <v>18.649999999999999</v>
      </c>
      <c r="N190" s="12" t="s">
        <v>96</v>
      </c>
      <c r="P190" s="26">
        <v>19.149999999999999</v>
      </c>
      <c r="Q190" s="12" t="s">
        <v>96</v>
      </c>
    </row>
    <row r="191" spans="1:17">
      <c r="A191" s="12" t="s">
        <v>235</v>
      </c>
      <c r="D191" s="12" t="s">
        <v>132</v>
      </c>
      <c r="J191" s="24">
        <v>51</v>
      </c>
      <c r="K191" s="12" t="s">
        <v>36</v>
      </c>
      <c r="M191" s="26">
        <v>18.82</v>
      </c>
      <c r="N191" s="12" t="s">
        <v>96</v>
      </c>
      <c r="P191" s="26">
        <v>19.32</v>
      </c>
      <c r="Q191" s="12" t="s">
        <v>96</v>
      </c>
    </row>
    <row r="192" spans="1:17">
      <c r="A192" s="12" t="s">
        <v>236</v>
      </c>
      <c r="D192" s="12" t="s">
        <v>132</v>
      </c>
      <c r="J192" s="24">
        <v>44</v>
      </c>
      <c r="K192" s="12" t="s">
        <v>36</v>
      </c>
      <c r="M192" s="26">
        <v>16.420000000000002</v>
      </c>
      <c r="N192" s="12" t="s">
        <v>96</v>
      </c>
      <c r="P192" s="26">
        <v>16.920000000000002</v>
      </c>
      <c r="Q192" s="12" t="s">
        <v>96</v>
      </c>
    </row>
    <row r="193" spans="1:17">
      <c r="A193" s="12" t="s">
        <v>237</v>
      </c>
      <c r="D193" s="12" t="s">
        <v>132</v>
      </c>
      <c r="J193" s="24">
        <v>37</v>
      </c>
      <c r="K193" s="12" t="s">
        <v>36</v>
      </c>
      <c r="M193" s="26">
        <v>14.02</v>
      </c>
      <c r="N193" s="12" t="s">
        <v>96</v>
      </c>
      <c r="P193" s="26">
        <v>14.52</v>
      </c>
      <c r="Q193" s="12" t="s">
        <v>96</v>
      </c>
    </row>
    <row r="194" spans="1:17">
      <c r="A194" s="12" t="s">
        <v>238</v>
      </c>
      <c r="D194" s="12" t="s">
        <v>132</v>
      </c>
      <c r="J194" s="24">
        <v>56</v>
      </c>
      <c r="K194" s="12" t="s">
        <v>36</v>
      </c>
      <c r="M194" s="26">
        <v>21.1</v>
      </c>
      <c r="N194" s="12" t="s">
        <v>96</v>
      </c>
      <c r="P194" s="26">
        <v>21.6</v>
      </c>
      <c r="Q194" s="12" t="s">
        <v>96</v>
      </c>
    </row>
    <row r="195" spans="1:17">
      <c r="A195" s="12" t="s">
        <v>239</v>
      </c>
      <c r="D195" s="12" t="s">
        <v>132</v>
      </c>
      <c r="J195" s="24">
        <v>53</v>
      </c>
      <c r="K195" s="12" t="s">
        <v>36</v>
      </c>
      <c r="M195" s="26">
        <v>19.84</v>
      </c>
      <c r="N195" s="12" t="s">
        <v>96</v>
      </c>
      <c r="P195" s="26">
        <v>20.34</v>
      </c>
      <c r="Q195" s="12" t="s">
        <v>96</v>
      </c>
    </row>
    <row r="196" spans="1:17">
      <c r="A196" s="12" t="s">
        <v>240</v>
      </c>
      <c r="D196" s="12" t="s">
        <v>132</v>
      </c>
      <c r="J196" s="24">
        <v>62</v>
      </c>
      <c r="K196" s="12" t="s">
        <v>36</v>
      </c>
      <c r="M196" s="26">
        <v>23.08</v>
      </c>
      <c r="N196" s="12" t="s">
        <v>96</v>
      </c>
      <c r="P196" s="26">
        <v>23.58</v>
      </c>
      <c r="Q196" s="12" t="s">
        <v>96</v>
      </c>
    </row>
    <row r="197" spans="1:17">
      <c r="A197" s="12" t="s">
        <v>241</v>
      </c>
      <c r="D197" s="12" t="s">
        <v>132</v>
      </c>
      <c r="J197" s="24">
        <v>58</v>
      </c>
      <c r="K197" s="12" t="s">
        <v>36</v>
      </c>
      <c r="M197" s="26">
        <v>21.78</v>
      </c>
      <c r="N197" s="12" t="s">
        <v>96</v>
      </c>
      <c r="P197" s="26">
        <v>22.28</v>
      </c>
      <c r="Q197" s="12" t="s">
        <v>96</v>
      </c>
    </row>
    <row r="198" spans="1:17">
      <c r="A198" s="12" t="s">
        <v>242</v>
      </c>
      <c r="D198" s="12" t="s">
        <v>132</v>
      </c>
      <c r="J198" s="24">
        <v>59</v>
      </c>
      <c r="K198" s="12" t="s">
        <v>36</v>
      </c>
      <c r="M198" s="26">
        <v>21.88</v>
      </c>
      <c r="N198" s="12" t="s">
        <v>96</v>
      </c>
      <c r="P198" s="26">
        <v>22.38</v>
      </c>
      <c r="Q198" s="12" t="s">
        <v>96</v>
      </c>
    </row>
    <row r="199" spans="1:17">
      <c r="A199" s="12" t="s">
        <v>243</v>
      </c>
      <c r="D199" s="12" t="s">
        <v>132</v>
      </c>
      <c r="J199" s="24">
        <v>56</v>
      </c>
      <c r="K199" s="12" t="s">
        <v>36</v>
      </c>
      <c r="M199" s="26">
        <v>20.92</v>
      </c>
      <c r="N199" s="12" t="s">
        <v>96</v>
      </c>
      <c r="P199" s="26">
        <v>21.42</v>
      </c>
      <c r="Q199" s="12" t="s">
        <v>96</v>
      </c>
    </row>
    <row r="200" spans="1:17">
      <c r="A200" s="12" t="s">
        <v>244</v>
      </c>
      <c r="D200" s="12" t="s">
        <v>132</v>
      </c>
      <c r="J200" s="24">
        <v>46</v>
      </c>
      <c r="K200" s="12" t="s">
        <v>36</v>
      </c>
      <c r="M200" s="26">
        <v>17.28</v>
      </c>
      <c r="N200" s="12" t="s">
        <v>96</v>
      </c>
      <c r="P200" s="26">
        <v>17.78</v>
      </c>
      <c r="Q200" s="12" t="s">
        <v>96</v>
      </c>
    </row>
    <row r="201" spans="1:17">
      <c r="A201" s="12" t="s">
        <v>245</v>
      </c>
      <c r="D201" s="12" t="s">
        <v>132</v>
      </c>
      <c r="J201" s="24">
        <v>57</v>
      </c>
      <c r="K201" s="12" t="s">
        <v>36</v>
      </c>
      <c r="M201" s="26">
        <v>21.32</v>
      </c>
      <c r="N201" s="12" t="s">
        <v>96</v>
      </c>
      <c r="P201" s="26">
        <v>21.82</v>
      </c>
      <c r="Q201" s="12" t="s">
        <v>96</v>
      </c>
    </row>
    <row r="202" spans="1:17">
      <c r="A202" s="12" t="s">
        <v>246</v>
      </c>
      <c r="D202" s="12" t="s">
        <v>132</v>
      </c>
      <c r="J202" s="24">
        <v>51</v>
      </c>
      <c r="K202" s="12" t="s">
        <v>36</v>
      </c>
      <c r="M202" s="26">
        <v>18.940000000000001</v>
      </c>
      <c r="N202" s="12" t="s">
        <v>96</v>
      </c>
      <c r="P202" s="26">
        <v>19.440000000000001</v>
      </c>
      <c r="Q202" s="12" t="s">
        <v>96</v>
      </c>
    </row>
    <row r="203" spans="1:17">
      <c r="A203" s="12" t="s">
        <v>247</v>
      </c>
      <c r="D203" s="12" t="s">
        <v>132</v>
      </c>
      <c r="J203" s="24">
        <v>53</v>
      </c>
      <c r="K203" s="12" t="s">
        <v>36</v>
      </c>
      <c r="M203" s="26">
        <v>19.47</v>
      </c>
      <c r="N203" s="12" t="s">
        <v>96</v>
      </c>
      <c r="P203" s="26">
        <v>19.97</v>
      </c>
      <c r="Q203" s="12" t="s">
        <v>96</v>
      </c>
    </row>
    <row r="204" spans="1:17">
      <c r="A204" s="12" t="s">
        <v>248</v>
      </c>
      <c r="D204" s="12" t="s">
        <v>132</v>
      </c>
      <c r="J204" s="24">
        <v>58</v>
      </c>
      <c r="K204" s="12" t="s">
        <v>36</v>
      </c>
      <c r="M204" s="26">
        <v>21.56</v>
      </c>
      <c r="N204" s="12" t="s">
        <v>96</v>
      </c>
      <c r="P204" s="26">
        <v>22.06</v>
      </c>
      <c r="Q204" s="12" t="s">
        <v>96</v>
      </c>
    </row>
    <row r="205" spans="1:17">
      <c r="A205" s="12" t="s">
        <v>249</v>
      </c>
      <c r="D205" s="12" t="s">
        <v>132</v>
      </c>
      <c r="J205" s="24">
        <v>47</v>
      </c>
      <c r="K205" s="12" t="s">
        <v>36</v>
      </c>
      <c r="M205" s="26">
        <v>17.66</v>
      </c>
      <c r="N205" s="12" t="s">
        <v>96</v>
      </c>
      <c r="P205" s="26">
        <v>18.16</v>
      </c>
      <c r="Q205" s="12" t="s">
        <v>96</v>
      </c>
    </row>
    <row r="206" spans="1:17">
      <c r="A206" s="12" t="s">
        <v>250</v>
      </c>
      <c r="D206" s="12" t="s">
        <v>132</v>
      </c>
      <c r="J206" s="24">
        <v>57</v>
      </c>
      <c r="K206" s="12" t="s">
        <v>36</v>
      </c>
      <c r="M206" s="26">
        <v>21.26</v>
      </c>
      <c r="N206" s="12" t="s">
        <v>96</v>
      </c>
      <c r="P206" s="26">
        <v>21.76</v>
      </c>
      <c r="Q206" s="12" t="s">
        <v>96</v>
      </c>
    </row>
    <row r="207" spans="1:17">
      <c r="A207" s="12" t="s">
        <v>251</v>
      </c>
      <c r="D207" s="12" t="s">
        <v>132</v>
      </c>
      <c r="J207" s="24">
        <v>57</v>
      </c>
      <c r="K207" s="12" t="s">
        <v>36</v>
      </c>
      <c r="M207" s="26">
        <v>21.32</v>
      </c>
      <c r="N207" s="12" t="s">
        <v>96</v>
      </c>
      <c r="P207" s="26">
        <v>21.82</v>
      </c>
      <c r="Q207" s="12" t="s">
        <v>96</v>
      </c>
    </row>
    <row r="208" spans="1:17">
      <c r="A208" s="12" t="s">
        <v>252</v>
      </c>
      <c r="D208" s="12" t="s">
        <v>132</v>
      </c>
      <c r="J208" s="24">
        <v>54</v>
      </c>
      <c r="K208" s="12" t="s">
        <v>36</v>
      </c>
      <c r="M208" s="26">
        <v>20.34</v>
      </c>
      <c r="N208" s="12" t="s">
        <v>96</v>
      </c>
      <c r="P208" s="26">
        <v>20.84</v>
      </c>
      <c r="Q208" s="12" t="s">
        <v>96</v>
      </c>
    </row>
    <row r="209" spans="1:17">
      <c r="A209" s="12" t="s">
        <v>253</v>
      </c>
      <c r="D209" s="12" t="s">
        <v>132</v>
      </c>
      <c r="J209" s="24">
        <v>52</v>
      </c>
      <c r="K209" s="12" t="s">
        <v>36</v>
      </c>
      <c r="M209" s="26">
        <v>19.52</v>
      </c>
      <c r="N209" s="12" t="s">
        <v>96</v>
      </c>
      <c r="P209" s="26">
        <v>20.02</v>
      </c>
      <c r="Q209" s="12" t="s">
        <v>96</v>
      </c>
    </row>
    <row r="210" spans="1:17">
      <c r="A210" s="12" t="s">
        <v>254</v>
      </c>
      <c r="D210" s="12" t="s">
        <v>132</v>
      </c>
      <c r="J210" s="24">
        <v>55</v>
      </c>
      <c r="K210" s="12" t="s">
        <v>36</v>
      </c>
      <c r="M210" s="26">
        <v>20.58</v>
      </c>
      <c r="N210" s="12" t="s">
        <v>96</v>
      </c>
      <c r="P210" s="26">
        <v>21.08</v>
      </c>
      <c r="Q210" s="12" t="s">
        <v>96</v>
      </c>
    </row>
    <row r="211" spans="1:17">
      <c r="D211" s="12" t="s">
        <v>255</v>
      </c>
      <c r="M211" s="27"/>
      <c r="P211" s="27"/>
    </row>
    <row r="212" spans="1:17">
      <c r="A212" s="12" t="s">
        <v>256</v>
      </c>
      <c r="D212" s="12" t="s">
        <v>132</v>
      </c>
      <c r="J212" s="24">
        <v>43</v>
      </c>
      <c r="K212" s="12" t="s">
        <v>36</v>
      </c>
      <c r="M212" s="26">
        <v>16.28</v>
      </c>
      <c r="N212" s="12" t="s">
        <v>96</v>
      </c>
      <c r="P212" s="26">
        <v>16.78</v>
      </c>
      <c r="Q212" s="12" t="s">
        <v>96</v>
      </c>
    </row>
    <row r="213" spans="1:17">
      <c r="A213" s="12" t="s">
        <v>257</v>
      </c>
      <c r="D213" s="12" t="s">
        <v>132</v>
      </c>
      <c r="J213" s="24">
        <v>60</v>
      </c>
      <c r="K213" s="12" t="s">
        <v>36</v>
      </c>
      <c r="M213" s="26">
        <v>22.36</v>
      </c>
      <c r="N213" s="12" t="s">
        <v>96</v>
      </c>
      <c r="P213" s="26">
        <v>22.86</v>
      </c>
      <c r="Q213" s="12" t="s">
        <v>96</v>
      </c>
    </row>
    <row r="214" spans="1:17">
      <c r="A214" s="12" t="s">
        <v>258</v>
      </c>
      <c r="D214" s="12" t="s">
        <v>132</v>
      </c>
      <c r="J214" s="24">
        <v>62</v>
      </c>
      <c r="K214" s="12" t="s">
        <v>36</v>
      </c>
      <c r="M214" s="26">
        <v>23.04</v>
      </c>
      <c r="N214" s="12" t="s">
        <v>96</v>
      </c>
      <c r="P214" s="26">
        <v>23.54</v>
      </c>
      <c r="Q214" s="12" t="s">
        <v>96</v>
      </c>
    </row>
    <row r="215" spans="1:17">
      <c r="A215" s="12" t="s">
        <v>259</v>
      </c>
      <c r="D215" s="12" t="s">
        <v>132</v>
      </c>
      <c r="J215" s="24">
        <v>58</v>
      </c>
      <c r="K215" s="12" t="s">
        <v>36</v>
      </c>
      <c r="M215" s="26">
        <v>21.64</v>
      </c>
      <c r="N215" s="12" t="s">
        <v>96</v>
      </c>
      <c r="P215" s="26">
        <v>22.14</v>
      </c>
      <c r="Q215" s="12" t="s">
        <v>96</v>
      </c>
    </row>
    <row r="216" spans="1:17">
      <c r="A216" s="12" t="s">
        <v>260</v>
      </c>
      <c r="D216" s="12" t="s">
        <v>132</v>
      </c>
      <c r="J216" s="24">
        <v>60</v>
      </c>
      <c r="K216" s="12" t="s">
        <v>36</v>
      </c>
      <c r="M216" s="26">
        <v>22.14</v>
      </c>
      <c r="N216" s="12" t="s">
        <v>96</v>
      </c>
      <c r="P216" s="26">
        <v>22.64</v>
      </c>
      <c r="Q216" s="12" t="s">
        <v>96</v>
      </c>
    </row>
    <row r="217" spans="1:17">
      <c r="A217" s="12" t="s">
        <v>261</v>
      </c>
      <c r="D217" s="12" t="s">
        <v>132</v>
      </c>
      <c r="J217" s="24">
        <v>47</v>
      </c>
      <c r="K217" s="12" t="s">
        <v>36</v>
      </c>
      <c r="M217" s="26">
        <v>17.46</v>
      </c>
      <c r="N217" s="12" t="s">
        <v>96</v>
      </c>
      <c r="P217" s="26">
        <v>17.96</v>
      </c>
      <c r="Q217" s="12" t="s">
        <v>96</v>
      </c>
    </row>
    <row r="218" spans="1:17">
      <c r="A218" s="12" t="s">
        <v>262</v>
      </c>
      <c r="D218" s="12" t="s">
        <v>132</v>
      </c>
      <c r="J218" s="24">
        <v>42</v>
      </c>
      <c r="K218" s="12" t="s">
        <v>36</v>
      </c>
      <c r="M218" s="26">
        <v>15.52</v>
      </c>
      <c r="N218" s="12" t="s">
        <v>96</v>
      </c>
      <c r="P218" s="26">
        <v>16.02</v>
      </c>
      <c r="Q218" s="12" t="s">
        <v>96</v>
      </c>
    </row>
    <row r="219" spans="1:17">
      <c r="A219" s="12" t="s">
        <v>263</v>
      </c>
      <c r="D219" s="12" t="s">
        <v>132</v>
      </c>
      <c r="J219" s="24">
        <v>30</v>
      </c>
      <c r="K219" s="12" t="s">
        <v>36</v>
      </c>
      <c r="M219" s="26">
        <v>11.34</v>
      </c>
      <c r="N219" s="12" t="s">
        <v>96</v>
      </c>
      <c r="P219" s="26">
        <v>11.84</v>
      </c>
      <c r="Q219" s="12" t="s">
        <v>96</v>
      </c>
    </row>
    <row r="220" spans="1:17">
      <c r="A220" s="12" t="s">
        <v>264</v>
      </c>
      <c r="D220" s="12" t="s">
        <v>132</v>
      </c>
      <c r="J220" s="24">
        <v>55</v>
      </c>
      <c r="K220" s="12" t="s">
        <v>36</v>
      </c>
      <c r="M220" s="26">
        <v>20.68</v>
      </c>
      <c r="N220" s="12" t="s">
        <v>96</v>
      </c>
      <c r="P220" s="26">
        <v>21.18</v>
      </c>
      <c r="Q220" s="12" t="s">
        <v>96</v>
      </c>
    </row>
    <row r="221" spans="1:17">
      <c r="A221" s="12" t="s">
        <v>265</v>
      </c>
      <c r="D221" s="12" t="s">
        <v>132</v>
      </c>
      <c r="J221" s="24">
        <v>56</v>
      </c>
      <c r="K221" s="12" t="s">
        <v>36</v>
      </c>
      <c r="M221" s="26">
        <v>20.79</v>
      </c>
      <c r="N221" s="12" t="s">
        <v>96</v>
      </c>
      <c r="P221" s="26">
        <v>21.29</v>
      </c>
      <c r="Q221" s="12" t="s">
        <v>96</v>
      </c>
    </row>
    <row r="222" spans="1:17">
      <c r="A222" s="12" t="s">
        <v>266</v>
      </c>
      <c r="D222" s="12" t="s">
        <v>132</v>
      </c>
      <c r="J222" s="24">
        <v>67</v>
      </c>
      <c r="K222" s="12" t="s">
        <v>36</v>
      </c>
      <c r="M222" s="26">
        <v>25.04</v>
      </c>
      <c r="N222" s="12" t="s">
        <v>96</v>
      </c>
      <c r="P222" s="26">
        <v>25.54</v>
      </c>
      <c r="Q222" s="12" t="s">
        <v>96</v>
      </c>
    </row>
    <row r="223" spans="1:17">
      <c r="A223" s="12" t="s">
        <v>267</v>
      </c>
      <c r="D223" s="12" t="s">
        <v>132</v>
      </c>
      <c r="J223" s="24">
        <v>59</v>
      </c>
      <c r="K223" s="12" t="s">
        <v>36</v>
      </c>
      <c r="M223" s="26">
        <v>22.04</v>
      </c>
      <c r="N223" s="12" t="s">
        <v>96</v>
      </c>
      <c r="P223" s="26">
        <v>22.54</v>
      </c>
      <c r="Q223" s="12" t="s">
        <v>96</v>
      </c>
    </row>
    <row r="224" spans="1:17">
      <c r="A224" s="12" t="s">
        <v>268</v>
      </c>
      <c r="D224" s="12" t="s">
        <v>132</v>
      </c>
      <c r="J224" s="24">
        <v>54</v>
      </c>
      <c r="K224" s="12" t="s">
        <v>36</v>
      </c>
      <c r="M224" s="26">
        <v>20.5</v>
      </c>
      <c r="N224" s="12" t="s">
        <v>96</v>
      </c>
      <c r="P224" s="26">
        <v>21</v>
      </c>
      <c r="Q224" s="12" t="s">
        <v>96</v>
      </c>
    </row>
    <row r="225" spans="1:17">
      <c r="A225" s="12" t="s">
        <v>269</v>
      </c>
      <c r="D225" s="12" t="s">
        <v>132</v>
      </c>
      <c r="J225" s="24">
        <v>56</v>
      </c>
      <c r="K225" s="12" t="s">
        <v>36</v>
      </c>
      <c r="M225" s="26">
        <v>20.98</v>
      </c>
      <c r="N225" s="12" t="s">
        <v>96</v>
      </c>
      <c r="P225" s="26">
        <v>21.48</v>
      </c>
      <c r="Q225" s="12" t="s">
        <v>96</v>
      </c>
    </row>
    <row r="226" spans="1:17">
      <c r="A226" s="12" t="s">
        <v>270</v>
      </c>
      <c r="D226" s="12" t="s">
        <v>132</v>
      </c>
      <c r="J226" s="24">
        <v>55</v>
      </c>
      <c r="K226" s="12" t="s">
        <v>36</v>
      </c>
      <c r="M226" s="26">
        <v>20.3</v>
      </c>
      <c r="N226" s="12" t="s">
        <v>96</v>
      </c>
      <c r="P226" s="26">
        <v>20.8</v>
      </c>
      <c r="Q226" s="12" t="s">
        <v>96</v>
      </c>
    </row>
    <row r="227" spans="1:17">
      <c r="A227" s="12" t="s">
        <v>271</v>
      </c>
      <c r="D227" s="12" t="s">
        <v>132</v>
      </c>
      <c r="J227" s="24">
        <v>50</v>
      </c>
      <c r="K227" s="12" t="s">
        <v>36</v>
      </c>
      <c r="M227" s="26">
        <v>18.96</v>
      </c>
      <c r="N227" s="12" t="s">
        <v>96</v>
      </c>
      <c r="P227" s="26">
        <v>19.46</v>
      </c>
      <c r="Q227" s="12" t="s">
        <v>96</v>
      </c>
    </row>
    <row r="228" spans="1:17">
      <c r="A228" s="12" t="s">
        <v>272</v>
      </c>
      <c r="D228" s="12" t="s">
        <v>132</v>
      </c>
      <c r="J228" s="24">
        <v>44</v>
      </c>
      <c r="K228" s="12" t="s">
        <v>36</v>
      </c>
      <c r="M228" s="26">
        <v>16.579999999999998</v>
      </c>
      <c r="N228" s="12" t="s">
        <v>96</v>
      </c>
      <c r="P228" s="26">
        <v>17.079999999999998</v>
      </c>
      <c r="Q228" s="12" t="s">
        <v>96</v>
      </c>
    </row>
    <row r="229" spans="1:17">
      <c r="A229" s="12" t="s">
        <v>273</v>
      </c>
      <c r="D229" s="12" t="s">
        <v>132</v>
      </c>
      <c r="J229" s="24">
        <v>57</v>
      </c>
      <c r="K229" s="12" t="s">
        <v>36</v>
      </c>
      <c r="M229" s="26">
        <v>21.08</v>
      </c>
      <c r="N229" s="12" t="s">
        <v>96</v>
      </c>
      <c r="P229" s="26">
        <v>21.58</v>
      </c>
      <c r="Q229" s="12" t="s">
        <v>96</v>
      </c>
    </row>
    <row r="230" spans="1:17">
      <c r="A230" s="12" t="s">
        <v>274</v>
      </c>
      <c r="D230" s="12" t="s">
        <v>132</v>
      </c>
      <c r="J230" s="24">
        <v>46</v>
      </c>
      <c r="K230" s="12" t="s">
        <v>36</v>
      </c>
      <c r="M230" s="26">
        <v>16.920000000000002</v>
      </c>
      <c r="N230" s="12" t="s">
        <v>96</v>
      </c>
      <c r="P230" s="26">
        <v>17.420000000000002</v>
      </c>
      <c r="Q230" s="12" t="s">
        <v>96</v>
      </c>
    </row>
    <row r="231" spans="1:17">
      <c r="A231" s="12" t="s">
        <v>275</v>
      </c>
      <c r="D231" s="12" t="s">
        <v>132</v>
      </c>
      <c r="J231" s="24">
        <v>58</v>
      </c>
      <c r="K231" s="12" t="s">
        <v>36</v>
      </c>
      <c r="M231" s="26">
        <v>21.76</v>
      </c>
      <c r="N231" s="12" t="s">
        <v>96</v>
      </c>
      <c r="P231" s="26">
        <v>22.26</v>
      </c>
      <c r="Q231" s="12" t="s">
        <v>96</v>
      </c>
    </row>
    <row r="232" spans="1:17">
      <c r="A232" s="12" t="s">
        <v>276</v>
      </c>
      <c r="D232" s="12" t="s">
        <v>132</v>
      </c>
      <c r="J232" s="24">
        <v>41</v>
      </c>
      <c r="K232" s="12" t="s">
        <v>36</v>
      </c>
      <c r="M232" s="26">
        <v>15.28</v>
      </c>
      <c r="N232" s="12" t="s">
        <v>96</v>
      </c>
      <c r="P232" s="26">
        <v>15.78</v>
      </c>
      <c r="Q232" s="12" t="s">
        <v>96</v>
      </c>
    </row>
    <row r="233" spans="1:17">
      <c r="A233" s="12" t="s">
        <v>277</v>
      </c>
      <c r="D233" s="12" t="s">
        <v>132</v>
      </c>
      <c r="J233" s="24">
        <v>61</v>
      </c>
      <c r="K233" s="12" t="s">
        <v>36</v>
      </c>
      <c r="M233" s="26">
        <v>23.14</v>
      </c>
      <c r="N233" s="12" t="s">
        <v>96</v>
      </c>
      <c r="P233" s="26">
        <v>23.64</v>
      </c>
      <c r="Q233" s="12" t="s">
        <v>96</v>
      </c>
    </row>
    <row r="234" spans="1:17">
      <c r="A234" s="12" t="s">
        <v>278</v>
      </c>
      <c r="D234" s="12" t="s">
        <v>132</v>
      </c>
      <c r="J234" s="24">
        <v>61</v>
      </c>
      <c r="K234" s="12" t="s">
        <v>36</v>
      </c>
      <c r="M234" s="26">
        <v>22.73</v>
      </c>
      <c r="N234" s="12" t="s">
        <v>96</v>
      </c>
      <c r="P234" s="26">
        <v>23.23</v>
      </c>
      <c r="Q234" s="12" t="s">
        <v>96</v>
      </c>
    </row>
    <row r="235" spans="1:17">
      <c r="A235" s="12" t="s">
        <v>279</v>
      </c>
      <c r="D235" s="12" t="s">
        <v>132</v>
      </c>
      <c r="J235" s="24">
        <v>62</v>
      </c>
      <c r="K235" s="12" t="s">
        <v>36</v>
      </c>
      <c r="M235" s="26">
        <v>23.18</v>
      </c>
      <c r="N235" s="12" t="s">
        <v>96</v>
      </c>
      <c r="P235" s="26">
        <v>23.68</v>
      </c>
      <c r="Q235" s="12" t="s">
        <v>96</v>
      </c>
    </row>
    <row r="236" spans="1:17">
      <c r="A236" s="12" t="s">
        <v>280</v>
      </c>
      <c r="D236" s="12" t="s">
        <v>132</v>
      </c>
      <c r="J236" s="24">
        <v>55</v>
      </c>
      <c r="K236" s="12" t="s">
        <v>36</v>
      </c>
      <c r="M236" s="26">
        <v>20.46</v>
      </c>
      <c r="N236" s="12" t="s">
        <v>96</v>
      </c>
      <c r="P236" s="26">
        <v>20.96</v>
      </c>
      <c r="Q236" s="12" t="s">
        <v>96</v>
      </c>
    </row>
    <row r="237" spans="1:17">
      <c r="A237" s="12" t="s">
        <v>281</v>
      </c>
      <c r="D237" s="12" t="s">
        <v>132</v>
      </c>
      <c r="J237" s="24">
        <v>40</v>
      </c>
      <c r="K237" s="12" t="s">
        <v>36</v>
      </c>
      <c r="M237" s="26">
        <v>14.79</v>
      </c>
      <c r="N237" s="12" t="s">
        <v>96</v>
      </c>
      <c r="P237" s="26">
        <v>15.29</v>
      </c>
      <c r="Q237" s="12" t="s">
        <v>96</v>
      </c>
    </row>
    <row r="238" spans="1:17">
      <c r="A238" s="12" t="s">
        <v>282</v>
      </c>
      <c r="D238" s="12" t="s">
        <v>132</v>
      </c>
      <c r="J238" s="24">
        <v>54</v>
      </c>
      <c r="K238" s="12" t="s">
        <v>36</v>
      </c>
      <c r="M238" s="26">
        <v>20.52</v>
      </c>
      <c r="N238" s="12" t="s">
        <v>96</v>
      </c>
      <c r="P238" s="26">
        <v>21.02</v>
      </c>
      <c r="Q238" s="12" t="s">
        <v>96</v>
      </c>
    </row>
    <row r="239" spans="1:17">
      <c r="A239" s="12" t="s">
        <v>283</v>
      </c>
      <c r="D239" s="12" t="s">
        <v>132</v>
      </c>
      <c r="J239" s="24">
        <v>42</v>
      </c>
      <c r="K239" s="12" t="s">
        <v>36</v>
      </c>
      <c r="M239" s="26">
        <v>15.66</v>
      </c>
      <c r="N239" s="12" t="s">
        <v>96</v>
      </c>
      <c r="P239" s="26">
        <v>16.16</v>
      </c>
      <c r="Q239" s="12" t="s">
        <v>96</v>
      </c>
    </row>
    <row r="240" spans="1:17">
      <c r="A240" s="12" t="s">
        <v>284</v>
      </c>
      <c r="D240" s="12" t="s">
        <v>132</v>
      </c>
      <c r="J240" s="24">
        <v>60</v>
      </c>
      <c r="K240" s="12" t="s">
        <v>36</v>
      </c>
      <c r="M240" s="26">
        <v>22.42</v>
      </c>
      <c r="N240" s="12" t="s">
        <v>96</v>
      </c>
      <c r="P240" s="26">
        <v>22.92</v>
      </c>
      <c r="Q240" s="12" t="s">
        <v>96</v>
      </c>
    </row>
    <row r="241" spans="1:17">
      <c r="A241" s="12" t="s">
        <v>285</v>
      </c>
      <c r="D241" s="12" t="s">
        <v>132</v>
      </c>
      <c r="J241" s="24">
        <v>41</v>
      </c>
      <c r="K241" s="12" t="s">
        <v>36</v>
      </c>
      <c r="M241" s="26">
        <v>15.26</v>
      </c>
      <c r="N241" s="12" t="s">
        <v>96</v>
      </c>
      <c r="P241" s="26">
        <v>15.76</v>
      </c>
      <c r="Q241" s="12" t="s">
        <v>96</v>
      </c>
    </row>
    <row r="242" spans="1:17">
      <c r="A242" s="12" t="s">
        <v>286</v>
      </c>
      <c r="D242" s="12" t="s">
        <v>132</v>
      </c>
      <c r="J242" s="24">
        <v>62</v>
      </c>
      <c r="K242" s="12" t="s">
        <v>36</v>
      </c>
      <c r="M242" s="26">
        <v>23.08</v>
      </c>
      <c r="N242" s="12" t="s">
        <v>96</v>
      </c>
      <c r="P242" s="26">
        <v>23.58</v>
      </c>
      <c r="Q242" s="12" t="s">
        <v>96</v>
      </c>
    </row>
    <row r="243" spans="1:17">
      <c r="A243" s="12" t="s">
        <v>287</v>
      </c>
      <c r="D243" s="12" t="s">
        <v>132</v>
      </c>
      <c r="J243" s="24">
        <v>62</v>
      </c>
      <c r="K243" s="12" t="s">
        <v>36</v>
      </c>
      <c r="M243" s="26">
        <v>23.02</v>
      </c>
      <c r="N243" s="12" t="s">
        <v>96</v>
      </c>
      <c r="P243" s="26">
        <v>23.52</v>
      </c>
      <c r="Q243" s="12" t="s">
        <v>96</v>
      </c>
    </row>
    <row r="244" spans="1:17">
      <c r="A244" s="12" t="s">
        <v>288</v>
      </c>
      <c r="D244" s="12" t="s">
        <v>132</v>
      </c>
      <c r="J244" s="24">
        <v>61</v>
      </c>
      <c r="K244" s="12" t="s">
        <v>36</v>
      </c>
      <c r="M244" s="26">
        <v>23</v>
      </c>
      <c r="N244" s="12" t="s">
        <v>96</v>
      </c>
      <c r="P244" s="26">
        <v>23.5</v>
      </c>
      <c r="Q244" s="12" t="s">
        <v>96</v>
      </c>
    </row>
    <row r="245" spans="1:17">
      <c r="A245" s="12" t="s">
        <v>289</v>
      </c>
      <c r="D245" s="12" t="s">
        <v>132</v>
      </c>
      <c r="J245" s="24">
        <v>55</v>
      </c>
      <c r="K245" s="12" t="s">
        <v>36</v>
      </c>
      <c r="M245" s="26">
        <v>20.440000000000001</v>
      </c>
      <c r="N245" s="12" t="s">
        <v>96</v>
      </c>
      <c r="P245" s="26">
        <v>20.94</v>
      </c>
      <c r="Q245" s="12" t="s">
        <v>96</v>
      </c>
    </row>
    <row r="246" spans="1:17">
      <c r="A246" s="12" t="s">
        <v>290</v>
      </c>
      <c r="D246" s="12" t="s">
        <v>132</v>
      </c>
      <c r="J246" s="24">
        <v>62</v>
      </c>
      <c r="K246" s="12" t="s">
        <v>36</v>
      </c>
      <c r="M246" s="26">
        <v>23.36</v>
      </c>
      <c r="N246" s="12" t="s">
        <v>96</v>
      </c>
      <c r="P246" s="26">
        <v>23.86</v>
      </c>
      <c r="Q246" s="12" t="s">
        <v>96</v>
      </c>
    </row>
    <row r="247" spans="1:17">
      <c r="D247" s="12" t="s">
        <v>38</v>
      </c>
      <c r="M247" s="27"/>
      <c r="P247" s="27"/>
    </row>
    <row r="248" spans="1:17">
      <c r="D248" s="12" t="s">
        <v>127</v>
      </c>
      <c r="M248" s="27"/>
      <c r="P248" s="27"/>
    </row>
    <row r="249" spans="1:17">
      <c r="D249" s="12" t="s">
        <v>291</v>
      </c>
      <c r="M249" s="27"/>
      <c r="P249" s="27"/>
    </row>
    <row r="250" spans="1:17">
      <c r="D250" s="12" t="s">
        <v>292</v>
      </c>
      <c r="M250" s="27"/>
      <c r="P250" s="27"/>
    </row>
    <row r="251" spans="1:17">
      <c r="D251" s="12" t="s">
        <v>293</v>
      </c>
      <c r="M251" s="27"/>
      <c r="P251" s="27"/>
    </row>
    <row r="252" spans="1:17">
      <c r="A252" s="12" t="s">
        <v>294</v>
      </c>
      <c r="D252" s="12" t="s">
        <v>132</v>
      </c>
      <c r="J252" s="24">
        <v>56</v>
      </c>
      <c r="K252" s="12" t="s">
        <v>36</v>
      </c>
      <c r="M252" s="26">
        <v>20.8</v>
      </c>
      <c r="N252" s="12" t="s">
        <v>96</v>
      </c>
      <c r="P252" s="26">
        <v>21.3</v>
      </c>
      <c r="Q252" s="12" t="s">
        <v>96</v>
      </c>
    </row>
    <row r="253" spans="1:17">
      <c r="A253" s="12" t="s">
        <v>295</v>
      </c>
      <c r="D253" s="12" t="s">
        <v>132</v>
      </c>
      <c r="J253" s="24">
        <v>49</v>
      </c>
      <c r="K253" s="12" t="s">
        <v>36</v>
      </c>
      <c r="M253" s="26">
        <v>18.13</v>
      </c>
      <c r="N253" s="12" t="s">
        <v>96</v>
      </c>
      <c r="P253" s="26">
        <v>18.63</v>
      </c>
      <c r="Q253" s="12" t="s">
        <v>96</v>
      </c>
    </row>
    <row r="254" spans="1:17">
      <c r="A254" s="12" t="s">
        <v>296</v>
      </c>
      <c r="D254" s="12" t="s">
        <v>132</v>
      </c>
      <c r="J254" s="24">
        <v>54</v>
      </c>
      <c r="K254" s="12" t="s">
        <v>36</v>
      </c>
      <c r="M254" s="26">
        <v>20.399999999999999</v>
      </c>
      <c r="N254" s="12" t="s">
        <v>96</v>
      </c>
      <c r="P254" s="26">
        <v>20.9</v>
      </c>
      <c r="Q254" s="12" t="s">
        <v>96</v>
      </c>
    </row>
    <row r="255" spans="1:17">
      <c r="A255" s="12" t="s">
        <v>297</v>
      </c>
      <c r="D255" s="12" t="s">
        <v>132</v>
      </c>
      <c r="J255" s="24">
        <v>37</v>
      </c>
      <c r="K255" s="12" t="s">
        <v>36</v>
      </c>
      <c r="M255" s="26">
        <v>14.38</v>
      </c>
      <c r="N255" s="12" t="s">
        <v>96</v>
      </c>
      <c r="P255" s="26">
        <v>14.88</v>
      </c>
      <c r="Q255" s="12" t="s">
        <v>96</v>
      </c>
    </row>
    <row r="256" spans="1:17">
      <c r="A256" s="12" t="s">
        <v>298</v>
      </c>
      <c r="D256" s="12" t="s">
        <v>132</v>
      </c>
      <c r="J256" s="24">
        <v>56</v>
      </c>
      <c r="K256" s="12" t="s">
        <v>36</v>
      </c>
      <c r="M256" s="26">
        <v>20.96</v>
      </c>
      <c r="N256" s="12" t="s">
        <v>96</v>
      </c>
      <c r="P256" s="26">
        <v>21.46</v>
      </c>
      <c r="Q256" s="12" t="s">
        <v>96</v>
      </c>
    </row>
    <row r="257" spans="1:17">
      <c r="A257" s="12" t="s">
        <v>299</v>
      </c>
      <c r="D257" s="12" t="s">
        <v>132</v>
      </c>
      <c r="J257" s="24">
        <v>55</v>
      </c>
      <c r="K257" s="12" t="s">
        <v>36</v>
      </c>
      <c r="M257" s="26">
        <v>20.440000000000001</v>
      </c>
      <c r="N257" s="12" t="s">
        <v>96</v>
      </c>
      <c r="P257" s="26">
        <v>20.94</v>
      </c>
      <c r="Q257" s="12" t="s">
        <v>96</v>
      </c>
    </row>
    <row r="258" spans="1:17">
      <c r="A258" s="12" t="s">
        <v>300</v>
      </c>
      <c r="D258" s="12" t="s">
        <v>132</v>
      </c>
      <c r="J258" s="24">
        <v>49</v>
      </c>
      <c r="K258" s="12" t="s">
        <v>36</v>
      </c>
      <c r="M258" s="26">
        <v>18.440000000000001</v>
      </c>
      <c r="N258" s="12" t="s">
        <v>96</v>
      </c>
      <c r="P258" s="26">
        <v>18.940000000000001</v>
      </c>
      <c r="Q258" s="12" t="s">
        <v>96</v>
      </c>
    </row>
    <row r="259" spans="1:17">
      <c r="D259" s="12" t="s">
        <v>301</v>
      </c>
      <c r="M259" s="27"/>
      <c r="P259" s="27"/>
    </row>
    <row r="260" spans="1:17">
      <c r="A260" s="12" t="s">
        <v>302</v>
      </c>
      <c r="D260" s="12" t="s">
        <v>132</v>
      </c>
      <c r="J260" s="24">
        <v>51</v>
      </c>
      <c r="K260" s="12" t="s">
        <v>36</v>
      </c>
      <c r="M260" s="26">
        <v>19.100000000000001</v>
      </c>
      <c r="N260" s="12" t="s">
        <v>96</v>
      </c>
      <c r="P260" s="26">
        <v>19.600000000000001</v>
      </c>
      <c r="Q260" s="12" t="s">
        <v>96</v>
      </c>
    </row>
    <row r="261" spans="1:17">
      <c r="A261" s="12" t="s">
        <v>303</v>
      </c>
      <c r="D261" s="12" t="s">
        <v>132</v>
      </c>
      <c r="J261" s="24">
        <v>53</v>
      </c>
      <c r="K261" s="12" t="s">
        <v>36</v>
      </c>
      <c r="M261" s="26">
        <v>19.72</v>
      </c>
      <c r="N261" s="12" t="s">
        <v>96</v>
      </c>
      <c r="P261" s="26">
        <v>20.22</v>
      </c>
      <c r="Q261" s="12" t="s">
        <v>96</v>
      </c>
    </row>
    <row r="262" spans="1:17">
      <c r="A262" s="12" t="s">
        <v>304</v>
      </c>
      <c r="D262" s="12" t="s">
        <v>132</v>
      </c>
      <c r="J262" s="24">
        <v>53</v>
      </c>
      <c r="K262" s="12" t="s">
        <v>36</v>
      </c>
      <c r="M262" s="26">
        <v>19.86</v>
      </c>
      <c r="N262" s="12" t="s">
        <v>96</v>
      </c>
      <c r="P262" s="26">
        <v>20.36</v>
      </c>
      <c r="Q262" s="12" t="s">
        <v>96</v>
      </c>
    </row>
    <row r="263" spans="1:17">
      <c r="A263" s="12" t="s">
        <v>305</v>
      </c>
      <c r="D263" s="12" t="s">
        <v>132</v>
      </c>
      <c r="J263" s="24">
        <v>52</v>
      </c>
      <c r="K263" s="12" t="s">
        <v>36</v>
      </c>
      <c r="M263" s="26">
        <v>18.940000000000001</v>
      </c>
      <c r="N263" s="12" t="s">
        <v>96</v>
      </c>
      <c r="P263" s="26">
        <v>19.440000000000001</v>
      </c>
      <c r="Q263" s="12" t="s">
        <v>96</v>
      </c>
    </row>
    <row r="264" spans="1:17">
      <c r="A264" s="12" t="s">
        <v>306</v>
      </c>
      <c r="D264" s="12" t="s">
        <v>132</v>
      </c>
      <c r="J264" s="24">
        <v>53</v>
      </c>
      <c r="K264" s="12" t="s">
        <v>36</v>
      </c>
      <c r="M264" s="26">
        <v>19.64</v>
      </c>
      <c r="N264" s="12" t="s">
        <v>96</v>
      </c>
      <c r="P264" s="26">
        <v>20.14</v>
      </c>
      <c r="Q264" s="12" t="s">
        <v>96</v>
      </c>
    </row>
    <row r="265" spans="1:17">
      <c r="A265" s="12" t="s">
        <v>307</v>
      </c>
      <c r="D265" s="12" t="s">
        <v>132</v>
      </c>
      <c r="J265" s="24">
        <v>54</v>
      </c>
      <c r="K265" s="12" t="s">
        <v>36</v>
      </c>
      <c r="M265" s="26">
        <v>20.059999999999999</v>
      </c>
      <c r="N265" s="12" t="s">
        <v>96</v>
      </c>
      <c r="P265" s="26">
        <v>20.56</v>
      </c>
      <c r="Q265" s="12" t="s">
        <v>96</v>
      </c>
    </row>
    <row r="266" spans="1:17">
      <c r="A266" s="12" t="s">
        <v>308</v>
      </c>
      <c r="D266" s="12" t="s">
        <v>132</v>
      </c>
      <c r="J266" s="24">
        <v>53</v>
      </c>
      <c r="K266" s="12" t="s">
        <v>36</v>
      </c>
      <c r="M266" s="26">
        <v>19.920000000000002</v>
      </c>
      <c r="N266" s="12" t="s">
        <v>96</v>
      </c>
      <c r="P266" s="26">
        <v>20.420000000000002</v>
      </c>
      <c r="Q266" s="12" t="s">
        <v>96</v>
      </c>
    </row>
    <row r="267" spans="1:17">
      <c r="A267" s="12" t="s">
        <v>309</v>
      </c>
      <c r="D267" s="12" t="s">
        <v>132</v>
      </c>
      <c r="J267" s="24">
        <v>54</v>
      </c>
      <c r="K267" s="12" t="s">
        <v>36</v>
      </c>
      <c r="M267" s="26">
        <v>20.3</v>
      </c>
      <c r="N267" s="12" t="s">
        <v>96</v>
      </c>
      <c r="P267" s="26">
        <v>20.8</v>
      </c>
      <c r="Q267" s="12" t="s">
        <v>96</v>
      </c>
    </row>
    <row r="268" spans="1:17">
      <c r="A268" s="12" t="s">
        <v>310</v>
      </c>
      <c r="D268" s="12" t="s">
        <v>132</v>
      </c>
      <c r="J268" s="24">
        <v>53</v>
      </c>
      <c r="K268" s="12" t="s">
        <v>36</v>
      </c>
      <c r="M268" s="26">
        <v>20.36</v>
      </c>
      <c r="N268" s="12" t="s">
        <v>96</v>
      </c>
      <c r="P268" s="26">
        <v>20.86</v>
      </c>
      <c r="Q268" s="12" t="s">
        <v>96</v>
      </c>
    </row>
    <row r="269" spans="1:17">
      <c r="A269" s="12" t="s">
        <v>311</v>
      </c>
      <c r="D269" s="12" t="s">
        <v>132</v>
      </c>
      <c r="J269" s="24">
        <v>54</v>
      </c>
      <c r="K269" s="12" t="s">
        <v>36</v>
      </c>
      <c r="M269" s="26">
        <v>20.32</v>
      </c>
      <c r="N269" s="12" t="s">
        <v>96</v>
      </c>
      <c r="P269" s="26">
        <v>20.82</v>
      </c>
      <c r="Q269" s="12" t="s">
        <v>96</v>
      </c>
    </row>
    <row r="270" spans="1:17">
      <c r="A270" s="12" t="s">
        <v>312</v>
      </c>
      <c r="D270" s="12" t="s">
        <v>132</v>
      </c>
      <c r="J270" s="24">
        <v>53</v>
      </c>
      <c r="K270" s="12" t="s">
        <v>36</v>
      </c>
      <c r="M270" s="26">
        <v>20.04</v>
      </c>
      <c r="N270" s="12" t="s">
        <v>96</v>
      </c>
      <c r="P270" s="26">
        <v>20.54</v>
      </c>
      <c r="Q270" s="12" t="s">
        <v>96</v>
      </c>
    </row>
    <row r="271" spans="1:17">
      <c r="A271" s="12" t="s">
        <v>313</v>
      </c>
      <c r="D271" s="12" t="s">
        <v>132</v>
      </c>
      <c r="J271" s="24">
        <v>50</v>
      </c>
      <c r="K271" s="12" t="s">
        <v>36</v>
      </c>
      <c r="M271" s="26">
        <v>18.96</v>
      </c>
      <c r="N271" s="12" t="s">
        <v>96</v>
      </c>
      <c r="P271" s="26">
        <v>19.46</v>
      </c>
      <c r="Q271" s="12" t="s">
        <v>96</v>
      </c>
    </row>
    <row r="272" spans="1:17">
      <c r="A272" s="12" t="s">
        <v>314</v>
      </c>
      <c r="D272" s="12" t="s">
        <v>132</v>
      </c>
      <c r="J272" s="24">
        <v>55</v>
      </c>
      <c r="K272" s="12" t="s">
        <v>36</v>
      </c>
      <c r="M272" s="26">
        <v>20.74</v>
      </c>
      <c r="N272" s="12" t="s">
        <v>96</v>
      </c>
      <c r="P272" s="26">
        <v>21.24</v>
      </c>
      <c r="Q272" s="12" t="s">
        <v>96</v>
      </c>
    </row>
    <row r="273" spans="1:17">
      <c r="A273" s="12" t="s">
        <v>315</v>
      </c>
      <c r="D273" s="12" t="s">
        <v>132</v>
      </c>
      <c r="J273" s="24">
        <v>56</v>
      </c>
      <c r="K273" s="12" t="s">
        <v>36</v>
      </c>
      <c r="M273" s="26">
        <v>21.3</v>
      </c>
      <c r="N273" s="12" t="s">
        <v>96</v>
      </c>
      <c r="P273" s="26">
        <v>21.8</v>
      </c>
      <c r="Q273" s="12" t="s">
        <v>96</v>
      </c>
    </row>
    <row r="274" spans="1:17">
      <c r="A274" s="12" t="s">
        <v>316</v>
      </c>
      <c r="D274" s="12" t="s">
        <v>132</v>
      </c>
      <c r="J274" s="24">
        <v>50</v>
      </c>
      <c r="K274" s="12" t="s">
        <v>36</v>
      </c>
      <c r="M274" s="26">
        <v>18.940000000000001</v>
      </c>
      <c r="N274" s="12" t="s">
        <v>96</v>
      </c>
      <c r="P274" s="26">
        <v>19.440000000000001</v>
      </c>
      <c r="Q274" s="12" t="s">
        <v>96</v>
      </c>
    </row>
    <row r="275" spans="1:17">
      <c r="A275" s="12" t="s">
        <v>317</v>
      </c>
      <c r="D275" s="12" t="s">
        <v>132</v>
      </c>
      <c r="J275" s="24">
        <v>49</v>
      </c>
      <c r="K275" s="12" t="s">
        <v>36</v>
      </c>
      <c r="M275" s="26">
        <v>18.52</v>
      </c>
      <c r="N275" s="12" t="s">
        <v>96</v>
      </c>
      <c r="P275" s="26">
        <v>19.02</v>
      </c>
      <c r="Q275" s="12" t="s">
        <v>96</v>
      </c>
    </row>
    <row r="276" spans="1:17">
      <c r="A276" s="12" t="s">
        <v>318</v>
      </c>
      <c r="D276" s="12" t="s">
        <v>132</v>
      </c>
      <c r="J276" s="24">
        <v>53</v>
      </c>
      <c r="K276" s="12" t="s">
        <v>36</v>
      </c>
      <c r="M276" s="26">
        <v>20.12</v>
      </c>
      <c r="N276" s="12" t="s">
        <v>96</v>
      </c>
      <c r="P276" s="26">
        <v>20.62</v>
      </c>
      <c r="Q276" s="12" t="s">
        <v>96</v>
      </c>
    </row>
    <row r="277" spans="1:17">
      <c r="A277" s="12" t="s">
        <v>319</v>
      </c>
      <c r="D277" s="12" t="s">
        <v>132</v>
      </c>
      <c r="J277" s="24">
        <v>53</v>
      </c>
      <c r="K277" s="12" t="s">
        <v>36</v>
      </c>
      <c r="M277" s="26">
        <v>20.32</v>
      </c>
      <c r="N277" s="12" t="s">
        <v>96</v>
      </c>
      <c r="P277" s="26">
        <v>20.82</v>
      </c>
      <c r="Q277" s="12" t="s">
        <v>96</v>
      </c>
    </row>
    <row r="278" spans="1:17">
      <c r="A278" s="12" t="s">
        <v>320</v>
      </c>
      <c r="D278" s="12" t="s">
        <v>132</v>
      </c>
      <c r="J278" s="24">
        <v>54</v>
      </c>
      <c r="K278" s="12" t="s">
        <v>36</v>
      </c>
      <c r="M278" s="26">
        <v>20.34</v>
      </c>
      <c r="N278" s="12" t="s">
        <v>96</v>
      </c>
      <c r="P278" s="26">
        <v>20.84</v>
      </c>
      <c r="Q278" s="12" t="s">
        <v>96</v>
      </c>
    </row>
    <row r="279" spans="1:17">
      <c r="A279" s="12" t="s">
        <v>321</v>
      </c>
      <c r="D279" s="12" t="s">
        <v>132</v>
      </c>
      <c r="J279" s="24">
        <v>53</v>
      </c>
      <c r="K279" s="12" t="s">
        <v>36</v>
      </c>
      <c r="M279" s="26">
        <v>20.14</v>
      </c>
      <c r="N279" s="12" t="s">
        <v>96</v>
      </c>
      <c r="P279" s="26">
        <v>20.64</v>
      </c>
      <c r="Q279" s="12" t="s">
        <v>96</v>
      </c>
    </row>
    <row r="280" spans="1:17">
      <c r="A280" s="12" t="s">
        <v>322</v>
      </c>
      <c r="D280" s="12" t="s">
        <v>132</v>
      </c>
      <c r="J280" s="24">
        <v>53</v>
      </c>
      <c r="K280" s="12" t="s">
        <v>36</v>
      </c>
      <c r="M280" s="26">
        <v>19.98</v>
      </c>
      <c r="N280" s="12" t="s">
        <v>96</v>
      </c>
      <c r="P280" s="26">
        <v>20.48</v>
      </c>
      <c r="Q280" s="12" t="s">
        <v>96</v>
      </c>
    </row>
    <row r="281" spans="1:17">
      <c r="A281" s="12" t="s">
        <v>323</v>
      </c>
      <c r="D281" s="12" t="s">
        <v>132</v>
      </c>
      <c r="J281" s="24">
        <v>53</v>
      </c>
      <c r="K281" s="12" t="s">
        <v>36</v>
      </c>
      <c r="M281" s="26">
        <v>20.12</v>
      </c>
      <c r="N281" s="12" t="s">
        <v>96</v>
      </c>
      <c r="P281" s="26">
        <v>20.62</v>
      </c>
      <c r="Q281" s="12" t="s">
        <v>96</v>
      </c>
    </row>
    <row r="282" spans="1:17">
      <c r="A282" s="12" t="s">
        <v>324</v>
      </c>
      <c r="D282" s="12" t="s">
        <v>132</v>
      </c>
      <c r="J282" s="24">
        <v>54</v>
      </c>
      <c r="K282" s="12" t="s">
        <v>36</v>
      </c>
      <c r="M282" s="26">
        <v>20.16</v>
      </c>
      <c r="N282" s="12" t="s">
        <v>96</v>
      </c>
      <c r="P282" s="26">
        <v>20.66</v>
      </c>
      <c r="Q282" s="12" t="s">
        <v>96</v>
      </c>
    </row>
    <row r="283" spans="1:17">
      <c r="A283" s="12" t="s">
        <v>325</v>
      </c>
      <c r="D283" s="12" t="s">
        <v>132</v>
      </c>
      <c r="J283" s="24">
        <v>66</v>
      </c>
      <c r="K283" s="12" t="s">
        <v>36</v>
      </c>
      <c r="M283" s="26">
        <v>24.88</v>
      </c>
      <c r="N283" s="12" t="s">
        <v>96</v>
      </c>
      <c r="P283" s="26">
        <v>25.38</v>
      </c>
      <c r="Q283" s="12" t="s">
        <v>96</v>
      </c>
    </row>
    <row r="284" spans="1:17">
      <c r="A284" s="12" t="s">
        <v>326</v>
      </c>
      <c r="J284" s="24">
        <v>57</v>
      </c>
      <c r="K284" s="12" t="s">
        <v>36</v>
      </c>
      <c r="M284" s="26">
        <v>21.26</v>
      </c>
      <c r="N284" s="12" t="s">
        <v>96</v>
      </c>
      <c r="P284" s="26">
        <v>21.76</v>
      </c>
      <c r="Q284" s="12" t="s">
        <v>96</v>
      </c>
    </row>
    <row r="285" spans="1:17">
      <c r="A285" s="12" t="s">
        <v>327</v>
      </c>
      <c r="J285" s="24">
        <v>54</v>
      </c>
      <c r="K285" s="12" t="s">
        <v>36</v>
      </c>
      <c r="M285" s="26">
        <v>20.46</v>
      </c>
      <c r="N285" s="12" t="s">
        <v>96</v>
      </c>
      <c r="P285" s="26">
        <v>20.96</v>
      </c>
      <c r="Q285" s="12" t="s">
        <v>96</v>
      </c>
    </row>
    <row r="286" spans="1:17">
      <c r="A286" s="12" t="s">
        <v>328</v>
      </c>
      <c r="J286" s="24">
        <v>53</v>
      </c>
      <c r="K286" s="12" t="s">
        <v>36</v>
      </c>
      <c r="M286" s="26">
        <v>19.84</v>
      </c>
      <c r="N286" s="12" t="s">
        <v>96</v>
      </c>
      <c r="P286" s="26">
        <v>20.34</v>
      </c>
      <c r="Q286" s="12" t="s">
        <v>96</v>
      </c>
    </row>
    <row r="287" spans="1:17">
      <c r="A287" s="12" t="s">
        <v>329</v>
      </c>
      <c r="J287" s="24">
        <v>48</v>
      </c>
      <c r="K287" s="12" t="s">
        <v>36</v>
      </c>
      <c r="M287" s="26">
        <v>17.88</v>
      </c>
      <c r="N287" s="12" t="s">
        <v>96</v>
      </c>
      <c r="P287" s="26">
        <v>18.38</v>
      </c>
      <c r="Q287" s="12" t="s">
        <v>96</v>
      </c>
    </row>
    <row r="288" spans="1:17">
      <c r="A288" s="12" t="s">
        <v>330</v>
      </c>
      <c r="J288" s="24">
        <v>57</v>
      </c>
      <c r="K288" s="12" t="s">
        <v>36</v>
      </c>
      <c r="M288" s="26">
        <v>21.14</v>
      </c>
      <c r="N288" s="12" t="s">
        <v>96</v>
      </c>
      <c r="P288" s="26">
        <v>21.64</v>
      </c>
      <c r="Q288" s="12" t="s">
        <v>96</v>
      </c>
    </row>
    <row r="289" spans="1:17">
      <c r="A289" s="12" t="s">
        <v>331</v>
      </c>
      <c r="J289" s="24">
        <v>57</v>
      </c>
      <c r="K289" s="12" t="s">
        <v>36</v>
      </c>
      <c r="M289" s="26">
        <v>21.14</v>
      </c>
      <c r="N289" s="12" t="s">
        <v>96</v>
      </c>
      <c r="P289" s="26">
        <v>21.64</v>
      </c>
      <c r="Q289" s="12" t="s">
        <v>96</v>
      </c>
    </row>
    <row r="290" spans="1:17">
      <c r="A290" s="12" t="s">
        <v>332</v>
      </c>
      <c r="J290" s="24">
        <v>56</v>
      </c>
      <c r="K290" s="12" t="s">
        <v>36</v>
      </c>
      <c r="M290" s="26">
        <v>21.1</v>
      </c>
      <c r="N290" s="12" t="s">
        <v>96</v>
      </c>
      <c r="P290" s="26">
        <v>21.6</v>
      </c>
      <c r="Q290" s="12" t="s">
        <v>96</v>
      </c>
    </row>
    <row r="291" spans="1:17">
      <c r="A291" s="12" t="s">
        <v>333</v>
      </c>
      <c r="J291" s="24">
        <v>52</v>
      </c>
      <c r="K291" s="12" t="s">
        <v>36</v>
      </c>
      <c r="M291" s="26">
        <v>19.34</v>
      </c>
      <c r="N291" s="12" t="s">
        <v>96</v>
      </c>
      <c r="P291" s="26">
        <v>19.84</v>
      </c>
      <c r="Q291" s="12" t="s">
        <v>96</v>
      </c>
    </row>
    <row r="292" spans="1:17">
      <c r="A292" s="12" t="s">
        <v>334</v>
      </c>
      <c r="J292" s="24">
        <v>55</v>
      </c>
      <c r="K292" s="12" t="s">
        <v>36</v>
      </c>
      <c r="M292" s="26">
        <v>20.46</v>
      </c>
      <c r="N292" s="12" t="s">
        <v>96</v>
      </c>
      <c r="P292" s="26">
        <v>20.96</v>
      </c>
      <c r="Q292" s="12" t="s">
        <v>96</v>
      </c>
    </row>
    <row r="293" spans="1:17">
      <c r="A293" s="12" t="s">
        <v>335</v>
      </c>
      <c r="J293" s="24">
        <v>56</v>
      </c>
      <c r="K293" s="12" t="s">
        <v>36</v>
      </c>
      <c r="M293" s="26">
        <v>20.94</v>
      </c>
      <c r="N293" s="12" t="s">
        <v>96</v>
      </c>
      <c r="P293" s="26">
        <v>21.44</v>
      </c>
      <c r="Q293" s="12" t="s">
        <v>96</v>
      </c>
    </row>
    <row r="294" spans="1:17">
      <c r="A294" s="12" t="s">
        <v>336</v>
      </c>
      <c r="J294" s="24">
        <v>51</v>
      </c>
      <c r="K294" s="12" t="s">
        <v>36</v>
      </c>
      <c r="M294" s="26">
        <v>19.22</v>
      </c>
      <c r="N294" s="12" t="s">
        <v>96</v>
      </c>
      <c r="P294" s="26">
        <v>19.72</v>
      </c>
      <c r="Q294" s="12" t="s">
        <v>96</v>
      </c>
    </row>
    <row r="295" spans="1:17">
      <c r="A295" s="12" t="s">
        <v>337</v>
      </c>
      <c r="J295" s="24">
        <v>57</v>
      </c>
      <c r="K295" s="12" t="s">
        <v>36</v>
      </c>
      <c r="M295" s="26">
        <v>21.22</v>
      </c>
      <c r="N295" s="12" t="s">
        <v>96</v>
      </c>
      <c r="P295" s="26">
        <v>21.72</v>
      </c>
      <c r="Q295" s="12" t="s">
        <v>96</v>
      </c>
    </row>
    <row r="296" spans="1:17">
      <c r="D296" s="12" t="s">
        <v>38</v>
      </c>
      <c r="M296" s="27"/>
      <c r="P296" s="27"/>
    </row>
    <row r="297" spans="1:17">
      <c r="D297" s="12" t="s">
        <v>338</v>
      </c>
      <c r="M297" s="27"/>
      <c r="P297" s="27"/>
    </row>
    <row r="298" spans="1:17">
      <c r="D298" s="12" t="s">
        <v>339</v>
      </c>
      <c r="M298" s="27"/>
      <c r="P298" s="27"/>
    </row>
    <row r="299" spans="1:17">
      <c r="D299" s="12" t="s">
        <v>340</v>
      </c>
      <c r="M299" s="27"/>
      <c r="P299" s="27"/>
    </row>
    <row r="300" spans="1:17">
      <c r="D300" s="12" t="s">
        <v>341</v>
      </c>
      <c r="M300" s="27"/>
      <c r="P300" s="27"/>
    </row>
    <row r="301" spans="1:17">
      <c r="A301" s="12" t="s">
        <v>342</v>
      </c>
      <c r="D301" s="12" t="s">
        <v>132</v>
      </c>
      <c r="J301" s="24">
        <v>56</v>
      </c>
      <c r="K301" s="12" t="s">
        <v>36</v>
      </c>
      <c r="M301" s="26">
        <v>21.12</v>
      </c>
      <c r="N301" s="12" t="s">
        <v>96</v>
      </c>
      <c r="P301" s="26">
        <v>21.62</v>
      </c>
      <c r="Q301" s="12" t="s">
        <v>96</v>
      </c>
    </row>
    <row r="302" spans="1:17">
      <c r="A302" s="12" t="s">
        <v>343</v>
      </c>
      <c r="D302" s="12" t="s">
        <v>132</v>
      </c>
      <c r="J302" s="24">
        <v>63</v>
      </c>
      <c r="K302" s="12" t="s">
        <v>36</v>
      </c>
      <c r="M302" s="26">
        <v>23.6</v>
      </c>
      <c r="N302" s="12" t="s">
        <v>96</v>
      </c>
      <c r="P302" s="26">
        <v>24.1</v>
      </c>
      <c r="Q302" s="12" t="s">
        <v>96</v>
      </c>
    </row>
    <row r="303" spans="1:17">
      <c r="A303" s="12" t="s">
        <v>344</v>
      </c>
      <c r="D303" s="12" t="s">
        <v>132</v>
      </c>
      <c r="J303" s="24">
        <v>59</v>
      </c>
      <c r="K303" s="12" t="s">
        <v>36</v>
      </c>
      <c r="M303" s="26">
        <v>22.12</v>
      </c>
      <c r="N303" s="12" t="s">
        <v>96</v>
      </c>
      <c r="P303" s="26">
        <v>22.62</v>
      </c>
      <c r="Q303" s="12" t="s">
        <v>96</v>
      </c>
    </row>
    <row r="304" spans="1:17">
      <c r="A304" s="12" t="s">
        <v>345</v>
      </c>
      <c r="D304" s="12" t="s">
        <v>132</v>
      </c>
      <c r="J304" s="24">
        <v>56</v>
      </c>
      <c r="K304" s="12" t="s">
        <v>36</v>
      </c>
      <c r="M304" s="26">
        <v>20.91</v>
      </c>
      <c r="N304" s="12" t="s">
        <v>96</v>
      </c>
      <c r="P304" s="26">
        <v>21.41</v>
      </c>
      <c r="Q304" s="12" t="s">
        <v>96</v>
      </c>
    </row>
    <row r="305" spans="1:17">
      <c r="A305" s="12" t="s">
        <v>346</v>
      </c>
      <c r="D305" s="12" t="s">
        <v>132</v>
      </c>
      <c r="J305" s="24">
        <v>58</v>
      </c>
      <c r="K305" s="12" t="s">
        <v>36</v>
      </c>
      <c r="M305" s="26">
        <v>22.02</v>
      </c>
      <c r="N305" s="12" t="s">
        <v>96</v>
      </c>
      <c r="P305" s="26">
        <v>22.52</v>
      </c>
      <c r="Q305" s="12" t="s">
        <v>96</v>
      </c>
    </row>
    <row r="306" spans="1:17">
      <c r="A306" s="12" t="s">
        <v>347</v>
      </c>
      <c r="D306" s="12" t="s">
        <v>132</v>
      </c>
      <c r="J306" s="24">
        <v>52</v>
      </c>
      <c r="K306" s="12" t="s">
        <v>36</v>
      </c>
      <c r="M306" s="26">
        <v>19.61</v>
      </c>
      <c r="N306" s="12" t="s">
        <v>96</v>
      </c>
      <c r="P306" s="26">
        <v>20.11</v>
      </c>
      <c r="Q306" s="12" t="s">
        <v>96</v>
      </c>
    </row>
    <row r="307" spans="1:17">
      <c r="A307" s="12" t="s">
        <v>348</v>
      </c>
      <c r="D307" s="12" t="s">
        <v>132</v>
      </c>
      <c r="J307" s="24">
        <v>61</v>
      </c>
      <c r="K307" s="12" t="s">
        <v>36</v>
      </c>
      <c r="M307" s="26">
        <v>23</v>
      </c>
      <c r="N307" s="12" t="s">
        <v>96</v>
      </c>
      <c r="P307" s="26">
        <v>23.5</v>
      </c>
      <c r="Q307" s="12" t="s">
        <v>96</v>
      </c>
    </row>
    <row r="308" spans="1:17">
      <c r="A308" s="12" t="s">
        <v>349</v>
      </c>
      <c r="D308" s="12" t="s">
        <v>132</v>
      </c>
      <c r="J308" s="24">
        <v>41</v>
      </c>
      <c r="K308" s="12" t="s">
        <v>36</v>
      </c>
      <c r="M308" s="26">
        <v>15.88</v>
      </c>
      <c r="N308" s="12" t="s">
        <v>96</v>
      </c>
      <c r="P308" s="26">
        <v>16.38</v>
      </c>
      <c r="Q308" s="12" t="s">
        <v>96</v>
      </c>
    </row>
    <row r="309" spans="1:17">
      <c r="A309" s="12" t="s">
        <v>350</v>
      </c>
      <c r="D309" s="12" t="s">
        <v>132</v>
      </c>
      <c r="J309" s="24">
        <v>52</v>
      </c>
      <c r="K309" s="12" t="s">
        <v>36</v>
      </c>
      <c r="M309" s="26">
        <v>19.809999999999999</v>
      </c>
      <c r="N309" s="12" t="s">
        <v>96</v>
      </c>
      <c r="P309" s="26">
        <v>20.309999999999999</v>
      </c>
      <c r="Q309" s="12" t="s">
        <v>96</v>
      </c>
    </row>
    <row r="310" spans="1:17">
      <c r="A310" s="12" t="s">
        <v>351</v>
      </c>
      <c r="D310" s="12" t="s">
        <v>132</v>
      </c>
      <c r="J310" s="24">
        <v>55</v>
      </c>
      <c r="K310" s="12" t="s">
        <v>36</v>
      </c>
      <c r="M310" s="26">
        <v>20.8</v>
      </c>
      <c r="N310" s="12" t="s">
        <v>96</v>
      </c>
      <c r="P310" s="26">
        <v>21.3</v>
      </c>
      <c r="Q310" s="12" t="s">
        <v>96</v>
      </c>
    </row>
    <row r="311" spans="1:17">
      <c r="A311" s="12" t="s">
        <v>352</v>
      </c>
      <c r="D311" s="12" t="s">
        <v>132</v>
      </c>
      <c r="J311" s="24">
        <v>59</v>
      </c>
      <c r="K311" s="12" t="s">
        <v>36</v>
      </c>
      <c r="M311" s="26">
        <v>22.32</v>
      </c>
      <c r="N311" s="12" t="s">
        <v>96</v>
      </c>
      <c r="P311" s="26">
        <v>22.82</v>
      </c>
      <c r="Q311" s="12" t="s">
        <v>96</v>
      </c>
    </row>
    <row r="312" spans="1:17">
      <c r="A312" s="12" t="s">
        <v>353</v>
      </c>
      <c r="D312" s="12" t="s">
        <v>132</v>
      </c>
      <c r="J312" s="24">
        <v>44</v>
      </c>
      <c r="K312" s="12" t="s">
        <v>36</v>
      </c>
      <c r="M312" s="26">
        <v>16.88</v>
      </c>
      <c r="N312" s="12" t="s">
        <v>96</v>
      </c>
      <c r="P312" s="26">
        <v>17.38</v>
      </c>
      <c r="Q312" s="12" t="s">
        <v>96</v>
      </c>
    </row>
    <row r="313" spans="1:17">
      <c r="A313" s="12" t="s">
        <v>354</v>
      </c>
      <c r="D313" s="12" t="s">
        <v>132</v>
      </c>
      <c r="J313" s="24">
        <v>60</v>
      </c>
      <c r="K313" s="12" t="s">
        <v>36</v>
      </c>
      <c r="M313" s="26">
        <v>22.32</v>
      </c>
      <c r="N313" s="12" t="s">
        <v>96</v>
      </c>
      <c r="P313" s="26">
        <v>22.82</v>
      </c>
      <c r="Q313" s="12" t="s">
        <v>96</v>
      </c>
    </row>
    <row r="314" spans="1:17">
      <c r="A314" s="12" t="s">
        <v>355</v>
      </c>
      <c r="D314" s="12" t="s">
        <v>132</v>
      </c>
      <c r="J314" s="24">
        <v>56</v>
      </c>
      <c r="K314" s="12" t="s">
        <v>36</v>
      </c>
      <c r="M314" s="26">
        <v>21.12</v>
      </c>
      <c r="N314" s="12" t="s">
        <v>96</v>
      </c>
      <c r="P314" s="26">
        <v>21.62</v>
      </c>
      <c r="Q314" s="12" t="s">
        <v>96</v>
      </c>
    </row>
    <row r="315" spans="1:17">
      <c r="A315" s="12" t="s">
        <v>356</v>
      </c>
      <c r="D315" s="12" t="s">
        <v>132</v>
      </c>
      <c r="J315" s="24">
        <v>61</v>
      </c>
      <c r="K315" s="12" t="s">
        <v>36</v>
      </c>
      <c r="M315" s="26">
        <v>22.92</v>
      </c>
      <c r="N315" s="12" t="s">
        <v>96</v>
      </c>
      <c r="P315" s="26">
        <v>23.42</v>
      </c>
      <c r="Q315" s="12" t="s">
        <v>96</v>
      </c>
    </row>
    <row r="316" spans="1:17">
      <c r="A316" s="12" t="s">
        <v>357</v>
      </c>
      <c r="D316" s="12" t="s">
        <v>132</v>
      </c>
      <c r="J316" s="24">
        <v>52</v>
      </c>
      <c r="K316" s="12" t="s">
        <v>36</v>
      </c>
      <c r="M316" s="26">
        <v>19.739999999999998</v>
      </c>
      <c r="N316" s="12" t="s">
        <v>96</v>
      </c>
      <c r="P316" s="26">
        <v>20.239999999999998</v>
      </c>
      <c r="Q316" s="12" t="s">
        <v>96</v>
      </c>
    </row>
    <row r="317" spans="1:17">
      <c r="A317" s="12" t="s">
        <v>358</v>
      </c>
      <c r="D317" s="12" t="s">
        <v>132</v>
      </c>
      <c r="J317" s="24">
        <v>54</v>
      </c>
      <c r="K317" s="12" t="s">
        <v>36</v>
      </c>
      <c r="M317" s="26">
        <v>20.11</v>
      </c>
      <c r="N317" s="12" t="s">
        <v>96</v>
      </c>
      <c r="P317" s="26">
        <v>20.61</v>
      </c>
      <c r="Q317" s="12" t="s">
        <v>96</v>
      </c>
    </row>
    <row r="318" spans="1:17">
      <c r="A318" s="12" t="s">
        <v>359</v>
      </c>
      <c r="D318" s="12" t="s">
        <v>132</v>
      </c>
      <c r="J318" s="24">
        <v>59</v>
      </c>
      <c r="K318" s="12" t="s">
        <v>36</v>
      </c>
      <c r="M318" s="26">
        <v>22.52</v>
      </c>
      <c r="N318" s="12" t="s">
        <v>96</v>
      </c>
      <c r="P318" s="26">
        <v>23.02</v>
      </c>
      <c r="Q318" s="12" t="s">
        <v>96</v>
      </c>
    </row>
    <row r="319" spans="1:17">
      <c r="A319" s="12" t="s">
        <v>360</v>
      </c>
      <c r="D319" s="12" t="s">
        <v>132</v>
      </c>
      <c r="J319" s="24">
        <v>61</v>
      </c>
      <c r="K319" s="12" t="s">
        <v>36</v>
      </c>
      <c r="M319" s="26">
        <v>22.63</v>
      </c>
      <c r="N319" s="12" t="s">
        <v>96</v>
      </c>
      <c r="P319" s="26">
        <v>23.13</v>
      </c>
      <c r="Q319" s="12" t="s">
        <v>96</v>
      </c>
    </row>
    <row r="320" spans="1:17">
      <c r="A320" s="12" t="s">
        <v>361</v>
      </c>
      <c r="D320" s="12" t="s">
        <v>132</v>
      </c>
      <c r="J320" s="24">
        <v>45</v>
      </c>
      <c r="K320" s="12" t="s">
        <v>36</v>
      </c>
      <c r="M320" s="26">
        <v>17.399999999999999</v>
      </c>
      <c r="N320" s="12" t="s">
        <v>96</v>
      </c>
      <c r="P320" s="26">
        <v>17.899999999999999</v>
      </c>
      <c r="Q320" s="12" t="s">
        <v>96</v>
      </c>
    </row>
    <row r="321" spans="1:17">
      <c r="A321" s="12" t="s">
        <v>362</v>
      </c>
      <c r="D321" s="12" t="s">
        <v>132</v>
      </c>
      <c r="J321" s="24">
        <v>59</v>
      </c>
      <c r="K321" s="12" t="s">
        <v>36</v>
      </c>
      <c r="M321" s="26">
        <v>22.46</v>
      </c>
      <c r="N321" s="12" t="s">
        <v>96</v>
      </c>
      <c r="P321" s="26">
        <v>22.96</v>
      </c>
      <c r="Q321" s="12" t="s">
        <v>96</v>
      </c>
    </row>
    <row r="322" spans="1:17">
      <c r="A322" s="12" t="s">
        <v>363</v>
      </c>
      <c r="D322" s="12" t="s">
        <v>132</v>
      </c>
      <c r="J322" s="24">
        <v>59</v>
      </c>
      <c r="K322" s="12" t="s">
        <v>36</v>
      </c>
      <c r="M322" s="26">
        <v>22.38</v>
      </c>
      <c r="N322" s="12" t="s">
        <v>96</v>
      </c>
      <c r="P322" s="26">
        <v>22.88</v>
      </c>
      <c r="Q322" s="12" t="s">
        <v>96</v>
      </c>
    </row>
    <row r="323" spans="1:17">
      <c r="A323" s="12" t="s">
        <v>364</v>
      </c>
      <c r="D323" s="12" t="s">
        <v>132</v>
      </c>
      <c r="J323" s="24">
        <v>59</v>
      </c>
      <c r="K323" s="12" t="s">
        <v>36</v>
      </c>
      <c r="M323" s="26">
        <v>22.12</v>
      </c>
      <c r="N323" s="12" t="s">
        <v>96</v>
      </c>
      <c r="P323" s="26">
        <v>22.62</v>
      </c>
      <c r="Q323" s="12" t="s">
        <v>96</v>
      </c>
    </row>
    <row r="324" spans="1:17">
      <c r="A324" s="12" t="s">
        <v>365</v>
      </c>
      <c r="D324" s="12" t="s">
        <v>132</v>
      </c>
      <c r="J324" s="24">
        <v>60</v>
      </c>
      <c r="K324" s="12" t="s">
        <v>36</v>
      </c>
      <c r="M324" s="26">
        <v>22.46</v>
      </c>
      <c r="N324" s="12" t="s">
        <v>96</v>
      </c>
      <c r="P324" s="26">
        <v>22.96</v>
      </c>
      <c r="Q324" s="12" t="s">
        <v>96</v>
      </c>
    </row>
    <row r="325" spans="1:17">
      <c r="D325" s="12" t="s">
        <v>366</v>
      </c>
      <c r="M325" s="27"/>
      <c r="P325" s="27"/>
    </row>
    <row r="326" spans="1:17">
      <c r="A326" s="12" t="s">
        <v>367</v>
      </c>
      <c r="D326" s="12" t="s">
        <v>132</v>
      </c>
      <c r="J326" s="24">
        <v>49</v>
      </c>
      <c r="K326" s="12" t="s">
        <v>36</v>
      </c>
      <c r="M326" s="26">
        <v>18.579999999999998</v>
      </c>
      <c r="N326" s="12" t="s">
        <v>96</v>
      </c>
      <c r="P326" s="26">
        <v>19.079999999999998</v>
      </c>
      <c r="Q326" s="12" t="s">
        <v>96</v>
      </c>
    </row>
    <row r="327" spans="1:17">
      <c r="A327" s="12" t="s">
        <v>368</v>
      </c>
      <c r="D327" s="12" t="s">
        <v>132</v>
      </c>
      <c r="J327" s="24">
        <v>21</v>
      </c>
      <c r="K327" s="12" t="s">
        <v>36</v>
      </c>
      <c r="M327" s="26">
        <v>8.1</v>
      </c>
      <c r="N327" s="12" t="s">
        <v>96</v>
      </c>
      <c r="P327" s="26">
        <v>8.6</v>
      </c>
      <c r="Q327" s="12" t="s">
        <v>96</v>
      </c>
    </row>
    <row r="328" spans="1:17">
      <c r="A328" s="12" t="s">
        <v>369</v>
      </c>
      <c r="D328" s="12" t="s">
        <v>132</v>
      </c>
      <c r="J328" s="24">
        <v>54</v>
      </c>
      <c r="K328" s="12" t="s">
        <v>36</v>
      </c>
      <c r="M328" s="26">
        <v>19.829999999999998</v>
      </c>
      <c r="N328" s="12" t="s">
        <v>96</v>
      </c>
      <c r="P328" s="26">
        <v>20.329999999999998</v>
      </c>
      <c r="Q328" s="12" t="s">
        <v>96</v>
      </c>
    </row>
    <row r="329" spans="1:17">
      <c r="D329" s="12" t="s">
        <v>370</v>
      </c>
      <c r="M329" s="27"/>
      <c r="P329" s="27"/>
    </row>
    <row r="330" spans="1:17">
      <c r="A330" s="12" t="s">
        <v>371</v>
      </c>
      <c r="D330" s="12" t="s">
        <v>132</v>
      </c>
      <c r="J330" s="24">
        <v>34</v>
      </c>
      <c r="K330" s="12" t="s">
        <v>36</v>
      </c>
      <c r="M330" s="26">
        <v>12.74</v>
      </c>
      <c r="N330" s="12" t="s">
        <v>96</v>
      </c>
      <c r="P330" s="26">
        <v>13.24</v>
      </c>
      <c r="Q330" s="12" t="s">
        <v>96</v>
      </c>
    </row>
    <row r="331" spans="1:17">
      <c r="A331" s="12" t="s">
        <v>372</v>
      </c>
      <c r="D331" s="12" t="s">
        <v>132</v>
      </c>
      <c r="J331" s="24">
        <v>38</v>
      </c>
      <c r="K331" s="12" t="s">
        <v>36</v>
      </c>
      <c r="M331" s="26">
        <v>14.37</v>
      </c>
      <c r="N331" s="12" t="s">
        <v>96</v>
      </c>
      <c r="P331" s="26">
        <v>14.87</v>
      </c>
      <c r="Q331" s="12" t="s">
        <v>96</v>
      </c>
    </row>
    <row r="332" spans="1:17">
      <c r="A332" s="12" t="s">
        <v>373</v>
      </c>
      <c r="D332" s="12" t="s">
        <v>132</v>
      </c>
      <c r="J332" s="24">
        <v>40</v>
      </c>
      <c r="K332" s="12" t="s">
        <v>36</v>
      </c>
      <c r="M332" s="26">
        <v>15.18</v>
      </c>
      <c r="N332" s="12" t="s">
        <v>96</v>
      </c>
      <c r="P332" s="26">
        <v>15.68</v>
      </c>
      <c r="Q332" s="12" t="s">
        <v>96</v>
      </c>
    </row>
    <row r="333" spans="1:17">
      <c r="D333" s="12" t="s">
        <v>374</v>
      </c>
      <c r="M333" s="27"/>
      <c r="P333" s="27"/>
    </row>
    <row r="334" spans="1:17">
      <c r="A334" s="12" t="s">
        <v>375</v>
      </c>
      <c r="D334" s="12" t="s">
        <v>132</v>
      </c>
      <c r="J334" s="24">
        <v>60</v>
      </c>
      <c r="K334" s="12" t="s">
        <v>36</v>
      </c>
      <c r="M334" s="26">
        <v>21.96</v>
      </c>
      <c r="N334" s="12" t="s">
        <v>96</v>
      </c>
      <c r="P334" s="26">
        <v>22.46</v>
      </c>
      <c r="Q334" s="12" t="s">
        <v>96</v>
      </c>
    </row>
    <row r="335" spans="1:17">
      <c r="A335" s="12" t="s">
        <v>376</v>
      </c>
      <c r="D335" s="12" t="s">
        <v>132</v>
      </c>
      <c r="J335" s="24">
        <v>53</v>
      </c>
      <c r="K335" s="12" t="s">
        <v>36</v>
      </c>
      <c r="M335" s="26">
        <v>19.489999999999998</v>
      </c>
      <c r="N335" s="12" t="s">
        <v>96</v>
      </c>
      <c r="P335" s="26">
        <v>19.989999999999998</v>
      </c>
      <c r="Q335" s="12" t="s">
        <v>96</v>
      </c>
    </row>
    <row r="336" spans="1:17">
      <c r="A336" s="12" t="s">
        <v>377</v>
      </c>
      <c r="D336" s="12" t="s">
        <v>132</v>
      </c>
      <c r="J336" s="24">
        <v>63</v>
      </c>
      <c r="K336" s="12" t="s">
        <v>36</v>
      </c>
      <c r="M336" s="26">
        <v>23</v>
      </c>
      <c r="N336" s="12" t="s">
        <v>96</v>
      </c>
      <c r="P336" s="26">
        <v>23.5</v>
      </c>
      <c r="Q336" s="12" t="s">
        <v>96</v>
      </c>
    </row>
    <row r="337" spans="1:17">
      <c r="A337" s="12" t="s">
        <v>378</v>
      </c>
      <c r="D337" s="12" t="s">
        <v>132</v>
      </c>
      <c r="J337" s="24">
        <v>60</v>
      </c>
      <c r="K337" s="12" t="s">
        <v>36</v>
      </c>
      <c r="M337" s="26">
        <v>22.1</v>
      </c>
      <c r="N337" s="12" t="s">
        <v>96</v>
      </c>
      <c r="P337" s="26">
        <v>22.6</v>
      </c>
      <c r="Q337" s="12" t="s">
        <v>96</v>
      </c>
    </row>
    <row r="338" spans="1:17">
      <c r="A338" s="12" t="s">
        <v>379</v>
      </c>
      <c r="D338" s="12" t="s">
        <v>132</v>
      </c>
      <c r="J338" s="24">
        <v>63</v>
      </c>
      <c r="K338" s="12" t="s">
        <v>36</v>
      </c>
      <c r="M338" s="26">
        <v>23.02</v>
      </c>
      <c r="N338" s="12" t="s">
        <v>96</v>
      </c>
      <c r="P338" s="26">
        <v>23.52</v>
      </c>
      <c r="Q338" s="12" t="s">
        <v>96</v>
      </c>
    </row>
    <row r="339" spans="1:17">
      <c r="A339" s="12" t="s">
        <v>380</v>
      </c>
      <c r="D339" s="12" t="s">
        <v>132</v>
      </c>
      <c r="J339" s="24">
        <v>58</v>
      </c>
      <c r="K339" s="12" t="s">
        <v>36</v>
      </c>
      <c r="M339" s="26">
        <v>21.96</v>
      </c>
      <c r="N339" s="12" t="s">
        <v>96</v>
      </c>
      <c r="P339" s="26">
        <v>22.46</v>
      </c>
      <c r="Q339" s="12" t="s">
        <v>96</v>
      </c>
    </row>
    <row r="340" spans="1:17">
      <c r="A340" s="12" t="s">
        <v>381</v>
      </c>
      <c r="D340" s="12" t="s">
        <v>132</v>
      </c>
      <c r="J340" s="24">
        <v>59</v>
      </c>
      <c r="K340" s="12" t="s">
        <v>36</v>
      </c>
      <c r="M340" s="26">
        <v>21.98</v>
      </c>
      <c r="N340" s="12" t="s">
        <v>96</v>
      </c>
      <c r="P340" s="26">
        <v>22.48</v>
      </c>
      <c r="Q340" s="12" t="s">
        <v>96</v>
      </c>
    </row>
    <row r="341" spans="1:17">
      <c r="A341" s="12" t="s">
        <v>382</v>
      </c>
      <c r="D341" s="12" t="s">
        <v>132</v>
      </c>
      <c r="J341" s="24">
        <v>60</v>
      </c>
      <c r="K341" s="12" t="s">
        <v>36</v>
      </c>
      <c r="M341" s="26">
        <v>22.62</v>
      </c>
      <c r="N341" s="12" t="s">
        <v>96</v>
      </c>
      <c r="P341" s="26">
        <v>23.12</v>
      </c>
      <c r="Q341" s="12" t="s">
        <v>96</v>
      </c>
    </row>
    <row r="342" spans="1:17">
      <c r="A342" s="12" t="s">
        <v>383</v>
      </c>
      <c r="D342" s="12" t="s">
        <v>132</v>
      </c>
      <c r="J342" s="24">
        <v>41</v>
      </c>
      <c r="K342" s="12" t="s">
        <v>36</v>
      </c>
      <c r="M342" s="26">
        <v>15.18</v>
      </c>
      <c r="N342" s="12" t="s">
        <v>96</v>
      </c>
      <c r="P342" s="26">
        <v>15.68</v>
      </c>
      <c r="Q342" s="12" t="s">
        <v>96</v>
      </c>
    </row>
    <row r="343" spans="1:17">
      <c r="A343" s="12" t="s">
        <v>384</v>
      </c>
      <c r="D343" s="12" t="s">
        <v>132</v>
      </c>
      <c r="J343" s="24">
        <v>61</v>
      </c>
      <c r="K343" s="12" t="s">
        <v>36</v>
      </c>
      <c r="M343" s="26">
        <v>22.48</v>
      </c>
      <c r="N343" s="12" t="s">
        <v>96</v>
      </c>
      <c r="P343" s="26">
        <v>22.98</v>
      </c>
      <c r="Q343" s="12" t="s">
        <v>96</v>
      </c>
    </row>
    <row r="344" spans="1:17">
      <c r="A344" s="12" t="s">
        <v>385</v>
      </c>
      <c r="D344" s="12" t="s">
        <v>132</v>
      </c>
      <c r="J344" s="24">
        <v>55</v>
      </c>
      <c r="K344" s="12" t="s">
        <v>36</v>
      </c>
      <c r="M344" s="26">
        <v>20.43</v>
      </c>
      <c r="N344" s="12" t="s">
        <v>96</v>
      </c>
      <c r="P344" s="26">
        <v>20.93</v>
      </c>
      <c r="Q344" s="12" t="s">
        <v>96</v>
      </c>
    </row>
    <row r="345" spans="1:17">
      <c r="A345" s="12" t="s">
        <v>386</v>
      </c>
      <c r="D345" s="12" t="s">
        <v>132</v>
      </c>
      <c r="J345" s="24">
        <v>39</v>
      </c>
      <c r="K345" s="12" t="s">
        <v>36</v>
      </c>
      <c r="M345" s="26">
        <v>14.68</v>
      </c>
      <c r="N345" s="12" t="s">
        <v>96</v>
      </c>
      <c r="P345" s="26">
        <v>15.18</v>
      </c>
      <c r="Q345" s="12" t="s">
        <v>96</v>
      </c>
    </row>
    <row r="346" spans="1:17">
      <c r="A346" s="12" t="s">
        <v>387</v>
      </c>
      <c r="D346" s="12" t="s">
        <v>132</v>
      </c>
      <c r="J346" s="24">
        <v>56</v>
      </c>
      <c r="K346" s="12" t="s">
        <v>36</v>
      </c>
      <c r="M346" s="26">
        <v>20.66</v>
      </c>
      <c r="N346" s="12" t="s">
        <v>96</v>
      </c>
      <c r="P346" s="26">
        <v>21.16</v>
      </c>
      <c r="Q346" s="12" t="s">
        <v>96</v>
      </c>
    </row>
    <row r="347" spans="1:17">
      <c r="A347" s="12" t="s">
        <v>388</v>
      </c>
      <c r="D347" s="12" t="s">
        <v>132</v>
      </c>
      <c r="J347" s="24">
        <v>62</v>
      </c>
      <c r="K347" s="12" t="s">
        <v>36</v>
      </c>
      <c r="M347" s="26">
        <v>22.7</v>
      </c>
      <c r="N347" s="12" t="s">
        <v>96</v>
      </c>
      <c r="P347" s="26">
        <v>23.2</v>
      </c>
      <c r="Q347" s="12" t="s">
        <v>96</v>
      </c>
    </row>
    <row r="348" spans="1:17">
      <c r="A348" s="12" t="s">
        <v>389</v>
      </c>
      <c r="D348" s="12" t="s">
        <v>132</v>
      </c>
      <c r="J348" s="24">
        <v>59</v>
      </c>
      <c r="K348" s="12" t="s">
        <v>36</v>
      </c>
      <c r="M348" s="26">
        <v>21.96</v>
      </c>
      <c r="N348" s="12" t="s">
        <v>96</v>
      </c>
      <c r="P348" s="26">
        <v>22.46</v>
      </c>
      <c r="Q348" s="12" t="s">
        <v>96</v>
      </c>
    </row>
    <row r="349" spans="1:17">
      <c r="A349" s="12" t="s">
        <v>390</v>
      </c>
      <c r="D349" s="12" t="s">
        <v>132</v>
      </c>
      <c r="J349" s="24">
        <v>60</v>
      </c>
      <c r="K349" s="12" t="s">
        <v>36</v>
      </c>
      <c r="M349" s="26">
        <v>22.5</v>
      </c>
      <c r="N349" s="12" t="s">
        <v>96</v>
      </c>
      <c r="P349" s="26">
        <v>23</v>
      </c>
      <c r="Q349" s="12" t="s">
        <v>96</v>
      </c>
    </row>
    <row r="350" spans="1:17">
      <c r="A350" s="12" t="s">
        <v>391</v>
      </c>
      <c r="D350" s="12" t="s">
        <v>132</v>
      </c>
      <c r="J350" s="24">
        <v>50</v>
      </c>
      <c r="K350" s="12" t="s">
        <v>36</v>
      </c>
      <c r="M350" s="26">
        <v>18.72</v>
      </c>
      <c r="N350" s="12" t="s">
        <v>96</v>
      </c>
      <c r="P350" s="26">
        <v>19.22</v>
      </c>
      <c r="Q350" s="12" t="s">
        <v>96</v>
      </c>
    </row>
    <row r="351" spans="1:17">
      <c r="A351" s="12" t="s">
        <v>392</v>
      </c>
      <c r="D351" s="12" t="s">
        <v>132</v>
      </c>
      <c r="J351" s="24">
        <v>53</v>
      </c>
      <c r="K351" s="12" t="s">
        <v>36</v>
      </c>
      <c r="M351" s="26">
        <v>19.579999999999998</v>
      </c>
      <c r="N351" s="12" t="s">
        <v>96</v>
      </c>
      <c r="P351" s="26">
        <v>20.079999999999998</v>
      </c>
      <c r="Q351" s="12" t="s">
        <v>96</v>
      </c>
    </row>
    <row r="352" spans="1:17">
      <c r="A352" s="12" t="s">
        <v>393</v>
      </c>
      <c r="D352" s="12" t="s">
        <v>132</v>
      </c>
      <c r="J352" s="24">
        <v>46</v>
      </c>
      <c r="K352" s="12" t="s">
        <v>36</v>
      </c>
      <c r="M352" s="26">
        <v>16.899999999999999</v>
      </c>
      <c r="N352" s="12" t="s">
        <v>96</v>
      </c>
      <c r="P352" s="26">
        <v>17.399999999999999</v>
      </c>
      <c r="Q352" s="12" t="s">
        <v>96</v>
      </c>
    </row>
    <row r="353" spans="1:19">
      <c r="A353" s="12" t="s">
        <v>394</v>
      </c>
      <c r="D353" s="12" t="s">
        <v>132</v>
      </c>
      <c r="J353" s="24">
        <v>57</v>
      </c>
      <c r="K353" s="12" t="s">
        <v>36</v>
      </c>
      <c r="M353" s="26">
        <v>20.72</v>
      </c>
      <c r="N353" s="12" t="s">
        <v>96</v>
      </c>
      <c r="P353" s="26">
        <v>21.22</v>
      </c>
      <c r="Q353" s="12" t="s">
        <v>96</v>
      </c>
    </row>
    <row r="354" spans="1:19">
      <c r="A354" s="12" t="s">
        <v>395</v>
      </c>
      <c r="D354" s="12" t="s">
        <v>132</v>
      </c>
      <c r="J354" s="24">
        <v>62</v>
      </c>
      <c r="K354" s="12" t="s">
        <v>36</v>
      </c>
      <c r="M354" s="26">
        <v>23.14</v>
      </c>
      <c r="N354" s="12" t="s">
        <v>96</v>
      </c>
      <c r="P354" s="26">
        <v>23.64</v>
      </c>
      <c r="Q354" s="12" t="s">
        <v>96</v>
      </c>
    </row>
    <row r="355" spans="1:19">
      <c r="D355" s="12" t="s">
        <v>396</v>
      </c>
      <c r="M355" s="27"/>
      <c r="P355" s="27"/>
    </row>
    <row r="356" spans="1:19">
      <c r="A356" s="12" t="s">
        <v>397</v>
      </c>
      <c r="J356" s="24">
        <v>63</v>
      </c>
      <c r="K356" s="12" t="s">
        <v>36</v>
      </c>
      <c r="M356" s="26">
        <v>23.16</v>
      </c>
      <c r="N356" s="12" t="s">
        <v>96</v>
      </c>
      <c r="P356" s="26">
        <v>23.66</v>
      </c>
      <c r="Q356" s="12" t="s">
        <v>96</v>
      </c>
    </row>
    <row r="357" spans="1:19">
      <c r="A357" s="12" t="s">
        <v>398</v>
      </c>
      <c r="J357" s="24">
        <v>62</v>
      </c>
      <c r="K357" s="12" t="s">
        <v>36</v>
      </c>
      <c r="M357" s="26">
        <v>22.8</v>
      </c>
      <c r="N357" s="12" t="s">
        <v>96</v>
      </c>
      <c r="P357" s="26">
        <v>23.3</v>
      </c>
      <c r="Q357" s="12" t="s">
        <v>96</v>
      </c>
    </row>
    <row r="358" spans="1:19">
      <c r="A358" s="12" t="s">
        <v>399</v>
      </c>
      <c r="J358" s="24">
        <v>59</v>
      </c>
      <c r="K358" s="12" t="s">
        <v>36</v>
      </c>
      <c r="M358" s="26">
        <v>21.76</v>
      </c>
      <c r="N358" s="12" t="s">
        <v>96</v>
      </c>
      <c r="P358" s="26">
        <v>22.26</v>
      </c>
      <c r="Q358" s="12" t="s">
        <v>96</v>
      </c>
    </row>
    <row r="359" spans="1:19">
      <c r="A359" s="12" t="s">
        <v>400</v>
      </c>
      <c r="J359" s="24">
        <v>58</v>
      </c>
      <c r="K359" s="12" t="s">
        <v>36</v>
      </c>
      <c r="M359" s="26">
        <v>21.09</v>
      </c>
      <c r="N359" s="12" t="s">
        <v>96</v>
      </c>
      <c r="P359" s="26">
        <v>21.59</v>
      </c>
      <c r="Q359" s="12" t="s">
        <v>96</v>
      </c>
    </row>
    <row r="360" spans="1:19">
      <c r="A360" s="12" t="s">
        <v>401</v>
      </c>
      <c r="J360" s="24">
        <v>61</v>
      </c>
      <c r="K360" s="12" t="s">
        <v>36</v>
      </c>
      <c r="M360" s="26">
        <v>22.82</v>
      </c>
      <c r="N360" s="12" t="s">
        <v>96</v>
      </c>
      <c r="P360" s="26">
        <v>23.32</v>
      </c>
      <c r="Q360" s="12" t="s">
        <v>96</v>
      </c>
    </row>
    <row r="361" spans="1:19">
      <c r="A361" s="12" t="s">
        <v>402</v>
      </c>
      <c r="J361" s="24">
        <v>60</v>
      </c>
      <c r="K361" s="12" t="s">
        <v>36</v>
      </c>
      <c r="M361" s="26">
        <v>22.04</v>
      </c>
      <c r="N361" s="12" t="s">
        <v>96</v>
      </c>
      <c r="P361" s="26">
        <v>22.54</v>
      </c>
      <c r="Q361" s="12" t="s">
        <v>96</v>
      </c>
    </row>
    <row r="362" spans="1:19" ht="16.5">
      <c r="A362" s="17" t="s">
        <v>403</v>
      </c>
      <c r="M362" s="27"/>
      <c r="P362" s="27"/>
    </row>
    <row r="363" spans="1:19" ht="16.5">
      <c r="A363" s="17"/>
      <c r="M363" s="27"/>
      <c r="P363" s="27"/>
    </row>
    <row r="364" spans="1:19">
      <c r="A364" s="30"/>
      <c r="B364" s="30"/>
      <c r="C364" s="30"/>
      <c r="D364" s="29" t="s">
        <v>439</v>
      </c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34"/>
      <c r="Q364" s="35"/>
    </row>
    <row r="365" spans="1:19" ht="16.5">
      <c r="A365" s="30"/>
      <c r="B365" s="30"/>
      <c r="C365" s="30"/>
      <c r="D365" s="33" t="s">
        <v>441</v>
      </c>
      <c r="E365" s="33" t="s">
        <v>440</v>
      </c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34"/>
      <c r="Q365" s="35"/>
    </row>
    <row r="366" spans="1:19">
      <c r="A366" s="30"/>
      <c r="B366" s="30"/>
      <c r="C366" s="30"/>
      <c r="D366" s="29" t="s">
        <v>436</v>
      </c>
      <c r="E366" s="29"/>
      <c r="F366" s="29"/>
      <c r="G366" s="29"/>
      <c r="H366" s="29"/>
      <c r="I366" s="29"/>
      <c r="J366" s="29"/>
      <c r="K366" s="29"/>
      <c r="L366" s="29"/>
      <c r="M366" s="30"/>
      <c r="N366" s="29"/>
      <c r="O366" s="29"/>
      <c r="P366" s="34"/>
      <c r="Q366" s="35"/>
    </row>
    <row r="367" spans="1:19">
      <c r="A367" s="29" t="s">
        <v>445</v>
      </c>
      <c r="C367" s="30"/>
      <c r="D367" s="29" t="s">
        <v>437</v>
      </c>
      <c r="E367" s="29"/>
      <c r="F367" s="29"/>
      <c r="G367" s="29"/>
      <c r="H367" s="29"/>
      <c r="I367" s="29"/>
      <c r="J367" s="31">
        <v>49500</v>
      </c>
      <c r="K367" s="29" t="s">
        <v>438</v>
      </c>
      <c r="L367" s="29"/>
      <c r="M367" s="34">
        <v>203.5</v>
      </c>
      <c r="N367" s="34" t="s">
        <v>444</v>
      </c>
      <c r="O367" s="32">
        <f>J367*M367</f>
        <v>10073250</v>
      </c>
      <c r="P367" s="34">
        <v>232.1</v>
      </c>
      <c r="Q367" s="34" t="s">
        <v>444</v>
      </c>
      <c r="S367" s="95" t="s">
        <v>460</v>
      </c>
    </row>
    <row r="368" spans="1:19">
      <c r="A368" s="29" t="s">
        <v>446</v>
      </c>
      <c r="C368" s="30"/>
      <c r="D368" s="29"/>
      <c r="E368" s="29"/>
      <c r="F368" s="29"/>
      <c r="G368" s="29"/>
      <c r="H368" s="29"/>
      <c r="I368" s="29"/>
      <c r="J368" s="31">
        <v>3517</v>
      </c>
      <c r="K368" s="29" t="s">
        <v>438</v>
      </c>
      <c r="L368" s="29"/>
      <c r="M368" s="34">
        <v>14.5</v>
      </c>
      <c r="N368" s="34" t="s">
        <v>444</v>
      </c>
      <c r="O368" s="32">
        <f>J368*M368</f>
        <v>50996.5</v>
      </c>
      <c r="P368" s="34">
        <v>16.600000000000001</v>
      </c>
      <c r="Q368" s="34" t="s">
        <v>444</v>
      </c>
    </row>
    <row r="369" spans="1:18" ht="17.25" thickBot="1">
      <c r="A369" s="36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8"/>
      <c r="N369" s="37"/>
      <c r="O369" s="37"/>
      <c r="P369" s="38"/>
      <c r="Q369" s="37"/>
      <c r="R369" s="37"/>
    </row>
    <row r="370" spans="1:18">
      <c r="A370" s="24">
        <v>12</v>
      </c>
      <c r="B370" s="12" t="s">
        <v>454</v>
      </c>
      <c r="M370" s="27"/>
      <c r="P370" s="27"/>
    </row>
    <row r="371" spans="1:18">
      <c r="A371" s="24">
        <v>687</v>
      </c>
      <c r="B371" s="12" t="s">
        <v>404</v>
      </c>
      <c r="J371" s="25">
        <v>102044</v>
      </c>
      <c r="K371" s="12" t="s">
        <v>36</v>
      </c>
      <c r="M371" s="26">
        <f>15389.31+M367+M368</f>
        <v>15607.31</v>
      </c>
      <c r="N371" s="12" t="s">
        <v>96</v>
      </c>
      <c r="P371" s="26">
        <f>15608.61+P367+P368</f>
        <v>15857.310000000001</v>
      </c>
      <c r="Q371" s="12" t="s">
        <v>96</v>
      </c>
    </row>
    <row r="372" spans="1:18">
      <c r="A372" s="24">
        <v>69</v>
      </c>
      <c r="B372" s="12" t="s">
        <v>405</v>
      </c>
      <c r="J372" s="25">
        <v>38430</v>
      </c>
      <c r="K372" s="12" t="s">
        <v>61</v>
      </c>
      <c r="M372" s="26" t="s">
        <v>406</v>
      </c>
      <c r="N372" s="12" t="s">
        <v>80</v>
      </c>
      <c r="P372" s="26" t="s">
        <v>406</v>
      </c>
      <c r="Q372" s="12" t="s">
        <v>80</v>
      </c>
    </row>
    <row r="373" spans="1:18">
      <c r="A373" s="19" t="s">
        <v>80</v>
      </c>
      <c r="B373" s="12" t="s">
        <v>79</v>
      </c>
      <c r="J373" s="19" t="s">
        <v>79</v>
      </c>
      <c r="K373" s="12" t="s">
        <v>80</v>
      </c>
    </row>
    <row r="374" spans="1:18">
      <c r="A374" s="19" t="s">
        <v>455</v>
      </c>
      <c r="B374" s="12" t="s">
        <v>407</v>
      </c>
    </row>
    <row r="375" spans="1:18">
      <c r="D375" s="12" t="s">
        <v>456</v>
      </c>
    </row>
    <row r="376" spans="1:18">
      <c r="D376" s="12" t="s">
        <v>408</v>
      </c>
    </row>
    <row r="377" spans="1:18">
      <c r="A377" s="12" t="s">
        <v>428</v>
      </c>
    </row>
    <row r="378" spans="1:18">
      <c r="A378" s="12" t="s">
        <v>410</v>
      </c>
    </row>
    <row r="379" spans="1:18">
      <c r="A379" s="12" t="s">
        <v>411</v>
      </c>
    </row>
    <row r="380" spans="1:18">
      <c r="A380" s="12" t="s">
        <v>412</v>
      </c>
    </row>
    <row r="381" spans="1:18">
      <c r="A381" s="12" t="s">
        <v>413</v>
      </c>
    </row>
    <row r="382" spans="1:18">
      <c r="A382" s="12" t="s">
        <v>414</v>
      </c>
    </row>
    <row r="383" spans="1:18">
      <c r="A383" s="12" t="s">
        <v>415</v>
      </c>
    </row>
    <row r="384" spans="1:18">
      <c r="A384" s="12" t="s">
        <v>416</v>
      </c>
    </row>
    <row r="385" spans="1:1">
      <c r="A385" s="12" t="s">
        <v>417</v>
      </c>
    </row>
    <row r="386" spans="1:1">
      <c r="A386" s="12" t="s">
        <v>418</v>
      </c>
    </row>
    <row r="387" spans="1:1">
      <c r="A387" s="12" t="s">
        <v>419</v>
      </c>
    </row>
    <row r="388" spans="1:1">
      <c r="A388" s="12" t="s">
        <v>420</v>
      </c>
    </row>
    <row r="389" spans="1:1">
      <c r="A389" s="12" t="s">
        <v>421</v>
      </c>
    </row>
    <row r="391" spans="1:1">
      <c r="A391" s="12" t="s">
        <v>422</v>
      </c>
    </row>
    <row r="392" spans="1:1">
      <c r="A392" s="12" t="s">
        <v>423</v>
      </c>
    </row>
    <row r="393" spans="1:1">
      <c r="A393" s="12" t="s">
        <v>424</v>
      </c>
    </row>
    <row r="394" spans="1:1">
      <c r="A394" s="12" t="s">
        <v>425</v>
      </c>
    </row>
    <row r="395" spans="1:1">
      <c r="A395" s="12" t="s">
        <v>426</v>
      </c>
    </row>
    <row r="396" spans="1:1">
      <c r="A396" s="12" t="s">
        <v>427</v>
      </c>
    </row>
    <row r="397" spans="1:1">
      <c r="A397" s="12" t="s">
        <v>413</v>
      </c>
    </row>
    <row r="399" spans="1:1">
      <c r="A399" s="12" t="s">
        <v>447</v>
      </c>
    </row>
    <row r="400" spans="1:1">
      <c r="A400" s="12" t="s">
        <v>448</v>
      </c>
    </row>
    <row r="401" spans="1:1">
      <c r="A401" s="12" t="s">
        <v>425</v>
      </c>
    </row>
    <row r="402" spans="1:1">
      <c r="A402" s="12" t="s">
        <v>449</v>
      </c>
    </row>
    <row r="403" spans="1:1">
      <c r="A403" s="12" t="s">
        <v>450</v>
      </c>
    </row>
    <row r="404" spans="1:1">
      <c r="A404" s="12" t="s">
        <v>451</v>
      </c>
    </row>
    <row r="405" spans="1:1">
      <c r="A405" s="12" t="s">
        <v>452</v>
      </c>
    </row>
    <row r="406" spans="1:1">
      <c r="A406" s="12" t="s">
        <v>453</v>
      </c>
    </row>
  </sheetData>
  <mergeCells count="29">
    <mergeCell ref="A1:R1"/>
    <mergeCell ref="A4:R4"/>
    <mergeCell ref="P6:R6"/>
    <mergeCell ref="A2:R2"/>
    <mergeCell ref="J3:R3"/>
    <mergeCell ref="B6:F6"/>
    <mergeCell ref="A3:I3"/>
    <mergeCell ref="N6:O6"/>
    <mergeCell ref="A7:D7"/>
    <mergeCell ref="E7:M7"/>
    <mergeCell ref="A8:E8"/>
    <mergeCell ref="F8:M8"/>
    <mergeCell ref="A9:M10"/>
    <mergeCell ref="N7:R7"/>
    <mergeCell ref="N8:R15"/>
    <mergeCell ref="I16:K16"/>
    <mergeCell ref="H14:M14"/>
    <mergeCell ref="D16:H16"/>
    <mergeCell ref="A13:D13"/>
    <mergeCell ref="E13:M13"/>
    <mergeCell ref="C12:M12"/>
    <mergeCell ref="A12:B12"/>
    <mergeCell ref="O16:Q16"/>
    <mergeCell ref="L16:N16"/>
    <mergeCell ref="C14:F14"/>
    <mergeCell ref="A16:C16"/>
    <mergeCell ref="A14:B14"/>
    <mergeCell ref="A11:C11"/>
    <mergeCell ref="D11:M11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scale="97" orientation="portrait" horizontalDpi="180" verticalDpi="180" r:id="rId1"/>
  <headerFooter alignWithMargins="0">
    <oddFooter>&amp;C&amp;"Times New Roman,標準"PAGE: &amp;P</oddFooter>
  </headerFooter>
  <rowBreaks count="2" manualBreakCount="2">
    <brk id="46" max="17" man="1"/>
    <brk id="75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3</vt:i4>
      </vt:variant>
    </vt:vector>
  </HeadingPairs>
  <TitlesOfParts>
    <vt:vector size="5" baseType="lpstr">
      <vt:lpstr>INVOICE</vt:lpstr>
      <vt:lpstr>PACKING</vt:lpstr>
      <vt:lpstr>PACKING!Print_Area</vt:lpstr>
      <vt:lpstr>INVOICE!Print_Titles</vt:lpstr>
      <vt:lpstr>PACKING!Print_Titles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cp:lastPrinted>2026-06-22T08:09:30Z</cp:lastPrinted>
  <dcterms:created xsi:type="dcterms:W3CDTF">2026-06-22T07:26:45Z</dcterms:created>
  <dcterms:modified xsi:type="dcterms:W3CDTF">2026-06-23T02:08:51Z</dcterms:modified>
</cp:coreProperties>
</file>