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18.05.2026\"/>
    </mc:Choice>
  </mc:AlternateContent>
  <xr:revisionPtr revIDLastSave="0" documentId="13_ncr:1_{EE327894-0365-4453-A6D6-26201134F7E6}" xr6:coauthVersionLast="47" xr6:coauthVersionMax="47" xr10:uidLastSave="{00000000-0000-0000-0000-000000000000}"/>
  <bookViews>
    <workbookView xWindow="-120" yWindow="-120" windowWidth="20730" windowHeight="11160" firstSheet="10" activeTab="23" xr2:uid="{00000000-000D-0000-FFFF-FFFF00000000}"/>
  </bookViews>
  <sheets>
    <sheet name="Sheet1" sheetId="128" r:id="rId1"/>
    <sheet name="reff" sheetId="162" r:id="rId2"/>
    <sheet name="244" sheetId="129" r:id="rId3"/>
    <sheet name="245" sheetId="133" r:id="rId4"/>
    <sheet name="246" sheetId="134" r:id="rId5"/>
    <sheet name="247" sheetId="135" r:id="rId6"/>
    <sheet name="248" sheetId="137" r:id="rId7"/>
    <sheet name="249" sheetId="138" r:id="rId8"/>
    <sheet name="250" sheetId="141" r:id="rId9"/>
    <sheet name="251" sheetId="142" r:id="rId10"/>
    <sheet name="252" sheetId="143" r:id="rId11"/>
    <sheet name="253" sheetId="163" r:id="rId12"/>
    <sheet name="254" sheetId="164" r:id="rId13"/>
    <sheet name="255" sheetId="165" r:id="rId14"/>
    <sheet name="256" sheetId="166" r:id="rId15"/>
    <sheet name="257" sheetId="167" r:id="rId16"/>
    <sheet name="258" sheetId="168" r:id="rId17"/>
    <sheet name="259" sheetId="169" r:id="rId18"/>
    <sheet name="260" sheetId="170" r:id="rId19"/>
    <sheet name="261" sheetId="171" r:id="rId20"/>
    <sheet name="262" sheetId="172" r:id="rId21"/>
    <sheet name="263" sheetId="173" r:id="rId22"/>
    <sheet name="264" sheetId="174" r:id="rId23"/>
    <sheet name="265" sheetId="175" r:id="rId24"/>
  </sheets>
  <externalReferences>
    <externalReference r:id="rId25"/>
    <externalReference r:id="rId26"/>
    <externalReference r:id="rId27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 localSheetId="17">[2]xdata!#REF!</definedName>
    <definedName name="a" localSheetId="18">[2]xdata!#REF!</definedName>
    <definedName name="a" localSheetId="19">[2]xdata!#REF!</definedName>
    <definedName name="a" localSheetId="20">[2]xdata!#REF!</definedName>
    <definedName name="a" localSheetId="21">[2]xdata!#REF!</definedName>
    <definedName name="a" localSheetId="22">[2]xdata!#REF!</definedName>
    <definedName name="a" localSheetId="23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 localSheetId="17">[2]xdata!#REF!</definedName>
    <definedName name="b" localSheetId="18">[2]xdata!#REF!</definedName>
    <definedName name="b" localSheetId="19">[2]xdata!#REF!</definedName>
    <definedName name="b" localSheetId="20">[2]xdata!#REF!</definedName>
    <definedName name="b" localSheetId="21">[2]xdata!#REF!</definedName>
    <definedName name="b" localSheetId="22">[2]xdata!#REF!</definedName>
    <definedName name="b" localSheetId="23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 localSheetId="17">[2]xdata!#REF!</definedName>
    <definedName name="C_O" localSheetId="18">[2]xdata!#REF!</definedName>
    <definedName name="C_O" localSheetId="19">[2]xdata!#REF!</definedName>
    <definedName name="C_O" localSheetId="20">[2]xdata!#REF!</definedName>
    <definedName name="C_O" localSheetId="21">[2]xdata!#REF!</definedName>
    <definedName name="C_O" localSheetId="22">[2]xdata!#REF!</definedName>
    <definedName name="C_O" localSheetId="2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 localSheetId="17">[2]xdata!#REF!</definedName>
    <definedName name="Dept_no" localSheetId="18">[2]xdata!#REF!</definedName>
    <definedName name="Dept_no" localSheetId="19">[2]xdata!#REF!</definedName>
    <definedName name="Dept_no" localSheetId="20">[2]xdata!#REF!</definedName>
    <definedName name="Dept_no" localSheetId="21">[2]xdata!#REF!</definedName>
    <definedName name="Dept_no" localSheetId="22">[2]xdata!#REF!</definedName>
    <definedName name="Dept_no" localSheetId="2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 localSheetId="17">[2]xdata!#REF!</definedName>
    <definedName name="E_L" localSheetId="18">[2]xdata!#REF!</definedName>
    <definedName name="E_L" localSheetId="19">[2]xdata!#REF!</definedName>
    <definedName name="E_L" localSheetId="20">[2]xdata!#REF!</definedName>
    <definedName name="E_L" localSheetId="21">[2]xdata!#REF!</definedName>
    <definedName name="E_L" localSheetId="22">[2]xdata!#REF!</definedName>
    <definedName name="E_L" localSheetId="23">[2]xdata!#REF!</definedName>
    <definedName name="E_L">[2]xdata!#REF!</definedName>
    <definedName name="INVOICE">[2]xdata!$B$2</definedName>
    <definedName name="_xlnm.Print_Area" localSheetId="2">'244'!$B$1:$I$58</definedName>
    <definedName name="_xlnm.Print_Area" localSheetId="3">'245'!$B$1:$I$57</definedName>
    <definedName name="_xlnm.Print_Area" localSheetId="4">'246'!$B$1:$I$58</definedName>
    <definedName name="_xlnm.Print_Area" localSheetId="5">'247'!$B$1:$I$57</definedName>
    <definedName name="_xlnm.Print_Area" localSheetId="6">'248'!$B$1:$I$57</definedName>
    <definedName name="_xlnm.Print_Area" localSheetId="7">'249'!$B$1:$I$57</definedName>
    <definedName name="_xlnm.Print_Area" localSheetId="8">'250'!$B$1:$I$58</definedName>
    <definedName name="_xlnm.Print_Area" localSheetId="9">'251'!$B$1:$I$57</definedName>
    <definedName name="_xlnm.Print_Area" localSheetId="10">'252'!$B$1:$I$57</definedName>
    <definedName name="_xlnm.Print_Area" localSheetId="11">'253'!$B$1:$I$57</definedName>
    <definedName name="_xlnm.Print_Area" localSheetId="12">'254'!$B$1:$I$57</definedName>
    <definedName name="_xlnm.Print_Area" localSheetId="13">'255'!$B$1:$I$58</definedName>
    <definedName name="_xlnm.Print_Area" localSheetId="14">'256'!$B$1:$I$57</definedName>
    <definedName name="_xlnm.Print_Area" localSheetId="15">'257'!$B$1:$I$57</definedName>
    <definedName name="_xlnm.Print_Area" localSheetId="16">'258'!$B$1:$I$58</definedName>
    <definedName name="_xlnm.Print_Area" localSheetId="17">'259'!$B$1:$I$58</definedName>
    <definedName name="_xlnm.Print_Area" localSheetId="18">'260'!$B$1:$I$57</definedName>
    <definedName name="_xlnm.Print_Area" localSheetId="19">'261'!$B$1:$I$57</definedName>
    <definedName name="_xlnm.Print_Area" localSheetId="20">'262'!$B$1:$I$57</definedName>
    <definedName name="_xlnm.Print_Area" localSheetId="21">'263'!$B$1:$I$57</definedName>
    <definedName name="_xlnm.Print_Area" localSheetId="22">'264'!$B$1:$I$57</definedName>
    <definedName name="_xlnm.Print_Area" localSheetId="23">'265'!$B$1:$I$58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 localSheetId="17">[2]xdata!#REF!</definedName>
    <definedName name="v" localSheetId="18">[2]xdata!#REF!</definedName>
    <definedName name="v" localSheetId="19">[2]xdata!#REF!</definedName>
    <definedName name="v" localSheetId="20">[2]xdata!#REF!</definedName>
    <definedName name="v" localSheetId="21">[2]xdata!#REF!</definedName>
    <definedName name="v" localSheetId="22">[2]xdata!#REF!</definedName>
    <definedName name="v" localSheetId="2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175" l="1"/>
  <c r="I33" i="175"/>
  <c r="F32" i="171"/>
  <c r="F35" i="169"/>
  <c r="I33" i="169"/>
  <c r="I33" i="168"/>
  <c r="I33" i="165"/>
  <c r="I33" i="141"/>
  <c r="I32" i="138"/>
  <c r="I33" i="138"/>
  <c r="F34" i="138"/>
  <c r="I33" i="134"/>
  <c r="I33" i="129"/>
  <c r="I34" i="138" l="1"/>
  <c r="F32" i="133" l="1"/>
  <c r="F34" i="133" s="1"/>
  <c r="F32" i="167"/>
  <c r="F35" i="129" l="1"/>
  <c r="F32" i="170"/>
  <c r="F32" i="143"/>
  <c r="F32" i="142"/>
  <c r="F34" i="142" s="1"/>
  <c r="I32" i="134"/>
  <c r="H53" i="175"/>
  <c r="B27" i="175"/>
  <c r="I23" i="175"/>
  <c r="H23" i="175"/>
  <c r="G23" i="175"/>
  <c r="F23" i="175"/>
  <c r="E23" i="175"/>
  <c r="E21" i="175"/>
  <c r="D21" i="175"/>
  <c r="C21" i="175"/>
  <c r="B21" i="175"/>
  <c r="B15" i="175"/>
  <c r="B16" i="175" s="1"/>
  <c r="B17" i="175" s="1"/>
  <c r="B18" i="175" s="1"/>
  <c r="G14" i="175"/>
  <c r="G15" i="175" s="1"/>
  <c r="G16" i="175" s="1"/>
  <c r="G17" i="175" s="1"/>
  <c r="H21" i="175" s="1"/>
  <c r="H3" i="175"/>
  <c r="H52" i="174"/>
  <c r="F32" i="174"/>
  <c r="I32" i="174" s="1"/>
  <c r="I34" i="174" s="1"/>
  <c r="I36" i="174" s="1"/>
  <c r="I38" i="174" s="1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3" i="174"/>
  <c r="H52" i="173"/>
  <c r="F32" i="173"/>
  <c r="I32" i="173" s="1"/>
  <c r="I34" i="173" s="1"/>
  <c r="I36" i="173" s="1"/>
  <c r="I38" i="173" s="1"/>
  <c r="B27" i="173"/>
  <c r="I23" i="173"/>
  <c r="H23" i="173"/>
  <c r="G23" i="173"/>
  <c r="F23" i="173"/>
  <c r="E23" i="173"/>
  <c r="E21" i="173"/>
  <c r="D21" i="173"/>
  <c r="C21" i="173"/>
  <c r="B21" i="173"/>
  <c r="B15" i="173"/>
  <c r="B16" i="173" s="1"/>
  <c r="B17" i="173" s="1"/>
  <c r="B18" i="173" s="1"/>
  <c r="G14" i="173"/>
  <c r="G15" i="173" s="1"/>
  <c r="G16" i="173" s="1"/>
  <c r="G17" i="173" s="1"/>
  <c r="H21" i="173" s="1"/>
  <c r="H3" i="173"/>
  <c r="H52" i="172"/>
  <c r="F32" i="172"/>
  <c r="I32" i="172" s="1"/>
  <c r="I34" i="172" s="1"/>
  <c r="I36" i="172" s="1"/>
  <c r="I38" i="172" s="1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H3" i="172"/>
  <c r="H52" i="171"/>
  <c r="I32" i="171"/>
  <c r="B27" i="171"/>
  <c r="I23" i="171"/>
  <c r="H23" i="171"/>
  <c r="G23" i="171"/>
  <c r="F23" i="171"/>
  <c r="E23" i="171"/>
  <c r="E21" i="171"/>
  <c r="D21" i="171"/>
  <c r="C21" i="171"/>
  <c r="B21" i="171"/>
  <c r="B15" i="171"/>
  <c r="B16" i="171" s="1"/>
  <c r="B17" i="171" s="1"/>
  <c r="B18" i="171" s="1"/>
  <c r="G14" i="171"/>
  <c r="G15" i="171" s="1"/>
  <c r="G16" i="171" s="1"/>
  <c r="G17" i="171" s="1"/>
  <c r="H21" i="171" s="1"/>
  <c r="H3" i="171"/>
  <c r="H52" i="170"/>
  <c r="F34" i="170"/>
  <c r="B27" i="170"/>
  <c r="I23" i="170"/>
  <c r="H23" i="170"/>
  <c r="G23" i="170"/>
  <c r="F23" i="170"/>
  <c r="E23" i="170"/>
  <c r="E21" i="170"/>
  <c r="D21" i="170"/>
  <c r="C21" i="170"/>
  <c r="B21" i="170"/>
  <c r="B16" i="170"/>
  <c r="B17" i="170" s="1"/>
  <c r="B18" i="170" s="1"/>
  <c r="B15" i="170"/>
  <c r="G14" i="170"/>
  <c r="G15" i="170" s="1"/>
  <c r="G16" i="170" s="1"/>
  <c r="G17" i="170" s="1"/>
  <c r="H21" i="170" s="1"/>
  <c r="H3" i="170"/>
  <c r="H53" i="169"/>
  <c r="I32" i="169"/>
  <c r="B27" i="169"/>
  <c r="I23" i="169"/>
  <c r="H23" i="169"/>
  <c r="G23" i="169"/>
  <c r="F23" i="169"/>
  <c r="E23" i="169"/>
  <c r="E21" i="169"/>
  <c r="D21" i="169"/>
  <c r="C21" i="169"/>
  <c r="B21" i="169"/>
  <c r="B15" i="169"/>
  <c r="B16" i="169" s="1"/>
  <c r="B17" i="169" s="1"/>
  <c r="B18" i="169" s="1"/>
  <c r="G14" i="169"/>
  <c r="G15" i="169" s="1"/>
  <c r="G16" i="169" s="1"/>
  <c r="G17" i="169" s="1"/>
  <c r="H21" i="169" s="1"/>
  <c r="H3" i="169"/>
  <c r="H53" i="168"/>
  <c r="F35" i="168"/>
  <c r="B27" i="168"/>
  <c r="I23" i="168"/>
  <c r="H23" i="168"/>
  <c r="G23" i="168"/>
  <c r="F23" i="168"/>
  <c r="E23" i="168"/>
  <c r="E21" i="168"/>
  <c r="D21" i="168"/>
  <c r="C21" i="168"/>
  <c r="B21" i="168"/>
  <c r="B15" i="168"/>
  <c r="B16" i="168" s="1"/>
  <c r="B17" i="168" s="1"/>
  <c r="B18" i="168" s="1"/>
  <c r="G14" i="168"/>
  <c r="G15" i="168" s="1"/>
  <c r="G16" i="168" s="1"/>
  <c r="G17" i="168" s="1"/>
  <c r="H21" i="168" s="1"/>
  <c r="H3" i="168"/>
  <c r="H52" i="167"/>
  <c r="I32" i="167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3" i="167"/>
  <c r="H52" i="166"/>
  <c r="F32" i="166"/>
  <c r="I32" i="166" s="1"/>
  <c r="I34" i="166" s="1"/>
  <c r="I36" i="166" s="1"/>
  <c r="I38" i="166" s="1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3" i="166"/>
  <c r="H53" i="165"/>
  <c r="I32" i="165"/>
  <c r="I35" i="165" s="1"/>
  <c r="I37" i="165" s="1"/>
  <c r="I39" i="165" s="1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H3" i="165"/>
  <c r="C3" i="133"/>
  <c r="F35" i="141"/>
  <c r="F32" i="137"/>
  <c r="H3" i="164"/>
  <c r="H3" i="163"/>
  <c r="H3" i="143"/>
  <c r="H3" i="142"/>
  <c r="H3" i="141"/>
  <c r="H3" i="138"/>
  <c r="H3" i="137"/>
  <c r="H3" i="135"/>
  <c r="H3" i="134"/>
  <c r="H3" i="133"/>
  <c r="F32" i="164"/>
  <c r="F32" i="163"/>
  <c r="F32" i="135"/>
  <c r="I35" i="169" l="1"/>
  <c r="I37" i="169" s="1"/>
  <c r="I39" i="169" s="1"/>
  <c r="F34" i="166"/>
  <c r="F34" i="174"/>
  <c r="F34" i="172"/>
  <c r="I34" i="171"/>
  <c r="I36" i="171" s="1"/>
  <c r="I38" i="171" s="1"/>
  <c r="F34" i="167"/>
  <c r="I34" i="167"/>
  <c r="I36" i="167" s="1"/>
  <c r="I38" i="167" s="1"/>
  <c r="F34" i="173"/>
  <c r="F34" i="171"/>
  <c r="F35" i="165"/>
  <c r="I32" i="175"/>
  <c r="I35" i="175" s="1"/>
  <c r="I37" i="175" s="1"/>
  <c r="I39" i="175" s="1"/>
  <c r="I32" i="170"/>
  <c r="I34" i="170" s="1"/>
  <c r="I36" i="170" s="1"/>
  <c r="I38" i="170" s="1"/>
  <c r="I32" i="168"/>
  <c r="I35" i="168" s="1"/>
  <c r="I37" i="168" s="1"/>
  <c r="I39" i="168" s="1"/>
  <c r="I32" i="141"/>
  <c r="I35" i="141" s="1"/>
  <c r="F34" i="137"/>
  <c r="F34" i="135"/>
  <c r="I32" i="129" l="1"/>
  <c r="I32" i="137"/>
  <c r="F35" i="134"/>
  <c r="I32" i="133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2" i="163"/>
  <c r="F34" i="163"/>
  <c r="I32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B27" i="135"/>
  <c r="B27" i="134"/>
  <c r="I34" i="163" l="1"/>
  <c r="I36" i="163" s="1"/>
  <c r="I38" i="163" s="1"/>
  <c r="I32" i="164"/>
  <c r="I34" i="164" s="1"/>
  <c r="I36" i="164" s="1"/>
  <c r="I38" i="164" s="1"/>
  <c r="E21" i="129" l="1"/>
  <c r="H52" i="142" l="1"/>
  <c r="E21" i="133"/>
  <c r="E21" i="135"/>
  <c r="E21" i="137"/>
  <c r="E21" i="138"/>
  <c r="E21" i="141"/>
  <c r="E21" i="142"/>
  <c r="E21" i="143"/>
  <c r="E21" i="134"/>
  <c r="H53" i="141"/>
  <c r="C21" i="129"/>
  <c r="C21" i="134"/>
  <c r="C21" i="135"/>
  <c r="C21" i="137"/>
  <c r="C21" i="138"/>
  <c r="C21" i="141"/>
  <c r="C21" i="142"/>
  <c r="C21" i="143"/>
  <c r="C21" i="133"/>
  <c r="H53" i="129"/>
  <c r="H53" i="134"/>
  <c r="H52" i="135"/>
  <c r="H52" i="137"/>
  <c r="H52" i="138"/>
  <c r="H52" i="143"/>
  <c r="H52" i="13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7" i="141"/>
  <c r="I39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34" i="135" s="1"/>
  <c r="I36" i="135" s="1"/>
  <c r="I38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8" l="1"/>
  <c r="I38" i="138" s="1"/>
  <c r="I35" i="134"/>
  <c r="I37" i="134" s="1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5" i="129"/>
  <c r="I37" i="129" s="1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  <c r="C3" i="163" s="1"/>
  <c r="C3" i="164" l="1"/>
  <c r="C3" i="165" s="1"/>
  <c r="C3" i="166" s="1"/>
  <c r="C3" i="167" s="1"/>
  <c r="C3" i="168" s="1"/>
  <c r="C3" i="169" s="1"/>
  <c r="C3" i="170" s="1"/>
  <c r="C3" i="171" s="1"/>
  <c r="C3" i="172" s="1"/>
  <c r="C3" i="173" s="1"/>
  <c r="C3" i="174" s="1"/>
  <c r="C3" i="175" s="1"/>
</calcChain>
</file>

<file path=xl/sharedStrings.xml><?xml version="1.0" encoding="utf-8"?>
<sst xmlns="http://schemas.openxmlformats.org/spreadsheetml/2006/main" count="1934" uniqueCount="219">
  <si>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</si>
  <si>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</si>
  <si>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</si>
  <si>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</si>
  <si>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</si>
  <si>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</si>
  <si>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</si>
  <si>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</si>
  <si>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</si>
  <si>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</si>
  <si>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</si>
  <si>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</si>
  <si>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</si>
  <si>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</si>
  <si>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</si>
  <si>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</si>
  <si>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</si>
  <si>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</si>
  <si>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</si>
  <si>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</si>
  <si>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</si>
  <si>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</si>
  <si>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</si>
  <si>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</si>
  <si>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</si>
  <si>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</si>
  <si>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</si>
  <si>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</si>
  <si>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</si>
  <si>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</si>
  <si>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</si>
  <si>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</si>
  <si>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</si>
  <si>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</si>
  <si>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</si>
  <si>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</si>
  <si>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</si>
  <si>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</si>
  <si>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</si>
  <si>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</si>
  <si>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</si>
  <si>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</si>
  <si>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</si>
  <si>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</si>
  <si>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</si>
  <si>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</si>
  <si>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</si>
  <si>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</si>
  <si>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</si>
  <si>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</si>
  <si>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</si>
  <si>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</si>
  <si>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</si>
  <si>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</si>
  <si>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</si>
  <si>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</si>
  <si>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</si>
  <si>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</si>
  <si>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</si>
  <si>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</si>
  <si>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</si>
  <si>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</si>
  <si>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</si>
  <si>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</si>
  <si>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</si>
  <si>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</si>
  <si>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</si>
  <si>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</si>
  <si>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</si>
  <si>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</si>
  <si>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</si>
  <si>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</si>
  <si>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</si>
  <si>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</si>
  <si>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</si>
  <si>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</si>
  <si>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</si>
  <si>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</si>
  <si>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</si>
  <si>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</si>
  <si>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</si>
  <si>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</si>
  <si>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</si>
  <si>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</si>
  <si>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</si>
  <si>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</si>
  <si>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</si>
  <si>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</si>
  <si>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</si>
  <si>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</si>
  <si>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</si>
  <si>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</si>
  <si>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</si>
  <si>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</si>
  <si>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</si>
  <si>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</si>
  <si>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</si>
  <si>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</si>
  <si>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</si>
  <si>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</si>
  <si>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</si>
  <si>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</si>
  <si>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</si>
  <si>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</si>
  <si>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</si>
  <si>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</si>
  <si>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</si>
  <si>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</si>
  <si>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</si>
  <si>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</si>
  <si>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</si>
  <si>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</si>
  <si>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</si>
  <si>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</si>
  <si>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</si>
  <si>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</si>
  <si>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</si>
  <si>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</si>
  <si>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</si>
  <si>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</si>
  <si>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</si>
  <si>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</si>
  <si>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</si>
  <si>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</si>
  <si>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</si>
  <si>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</si>
  <si>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</si>
  <si>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</si>
  <si>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</si>
  <si>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</si>
  <si>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</si>
  <si>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</si>
  <si>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</si>
  <si>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</si>
  <si>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</si>
  <si>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</si>
  <si>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</si>
  <si>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</si>
  <si>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</si>
  <si>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</si>
  <si>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</si>
  <si>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</si>
  <si>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</si>
  <si>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</si>
  <si>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</si>
  <si>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</si>
  <si>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</si>
  <si>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</si>
  <si>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</si>
  <si>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</si>
  <si>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</si>
  <si>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</si>
  <si>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</si>
  <si>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</si>
  <si>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</si>
  <si>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</si>
  <si>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</si>
  <si>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</si>
  <si>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</si>
  <si>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</si>
  <si>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</si>
  <si>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</si>
  <si>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</si>
  <si>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</si>
  <si>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</si>
  <si>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</si>
  <si>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</si>
  <si>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</si>
  <si>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</si>
  <si>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</si>
  <si>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</si>
  <si>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</si>
  <si>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</si>
  <si>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</si>
  <si>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</si>
  <si>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</si>
  <si>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</si>
  <si>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</si>
  <si>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CALLA LILY 451</t>
  </si>
  <si>
    <t>ONLINE</t>
  </si>
  <si>
    <t>RETAIL</t>
  </si>
  <si>
    <t>00, 01</t>
  </si>
  <si>
    <t>01</t>
  </si>
  <si>
    <t>265K0059</t>
  </si>
  <si>
    <t>BLACK LEOPARD, PINK LEOPARD HEART</t>
  </si>
  <si>
    <t>GIRLS COTTON FIBERS, KNIT PULLOVER, WITH NO NECK CLOSURE, STITCH COUNT IS GREATER THAN 9/2CM, REACHES WAIST [100% COTTON]</t>
  </si>
  <si>
    <t>DUSKY LAVENDER, PRESSED FLOWER</t>
  </si>
  <si>
    <t>265K0051</t>
  </si>
  <si>
    <t>265K0052</t>
  </si>
  <si>
    <t>265K0057</t>
  </si>
  <si>
    <t>265K0058</t>
  </si>
  <si>
    <t>265K0056</t>
  </si>
  <si>
    <t>265K0005</t>
  </si>
  <si>
    <t>BRIGHT WHITE</t>
  </si>
  <si>
    <t>04</t>
  </si>
  <si>
    <t>INK BLUE, MONET BLUE</t>
  </si>
  <si>
    <t>05, 02</t>
  </si>
  <si>
    <t>Boys Cotton Fibers, Knit Shirt, With Neck Closure, Stitch Count Equal Or Is Greater Than 10/1cm, Hem Bottom [60% Cotton 40% Polyester]</t>
  </si>
  <si>
    <t>RED TAPE</t>
  </si>
  <si>
    <t>BLACK JACK, FAUX HEATHER GREY</t>
  </si>
  <si>
    <t>00, 03</t>
  </si>
  <si>
    <t>BLUE TANGO</t>
  </si>
  <si>
    <t>07</t>
  </si>
  <si>
    <t>BLACK JACK, CALLA LILY 451, DARK GREEN, INK BLUE, MONET BLUE, RED TAPE, RON BURGUNDY</t>
  </si>
  <si>
    <t>04, 00, 06, 02, 03, 01, 05</t>
  </si>
  <si>
    <t xml:space="preserve">	Boys Cotton Fibers, Knit Shirt, With Neck Closure, Stitch Count Equal Or Is Greater Than 10/1cm, Hem Bottom [60% Cotton 40% Polyester]</t>
  </si>
  <si>
    <t>MONET BLUE</t>
  </si>
  <si>
    <t>05</t>
  </si>
  <si>
    <t>BOYS COTTON FIBERS, KNIT SHIRT, WITH NECK CLOSURE, STITCH COUNT EQUAL OR IS GREATER THAN 10/1CM, HEM BOTTOM [60% COTTON 40% POLYESTER]</t>
  </si>
  <si>
    <t>BLUE TANGO, RED TAPE</t>
  </si>
  <si>
    <t>07, 01</t>
  </si>
  <si>
    <t>BLACK JACK, CALLA LILY 451, DARK GREEN, INK BLUE, MONET BLUE, RED TAPE, RON BURGUND</t>
  </si>
  <si>
    <t>BLACKJACK JAS, BLUSH HUE</t>
  </si>
  <si>
    <t>01, 02</t>
  </si>
  <si>
    <t>Girls Cotton Fibers, Knit T-Shirt, With No Neck Closure, Stitch Count Is Greater Than 9/2cm, Reaches Waist [60% Cotton 40% Recycled Polyester]</t>
  </si>
  <si>
    <t>01, 00</t>
  </si>
  <si>
    <t>BLACKJACK JAS, BLUSH HUEBLUSH HUE</t>
  </si>
  <si>
    <t>GIRLS COTTON FIBERS, KNIT PULLOVER, WITH NO NECK CLOSURE, STITCH COUNT IS GREATER THAN 9/2CM, REACHES WAIST [60% COTTON 40% RECYCLED POLYESTER]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</si>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</sst>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0C5909B-F016-4DE8-AE85-7AC459771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6688F-BC2D-48D6-9D9D-9DD719765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A08B9F40-FE0A-4508-B974-441FAA12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7BBF2-9A2F-4908-B3E2-29907A84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509D1C96-1BD2-4706-95F0-6B7F272E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3A44F2-D137-4AB0-A499-7E672390F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CD22CA3B-F326-45C5-AAFB-101E7979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568F4-CAEB-469F-8131-1393C74D0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18D38F5-E63E-440B-B72E-2DB8446B7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222A7-5509-40BE-B908-50CEC928B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E5C28DDD-6B21-4CD2-9A05-E4B7FE9EB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5C9DAD-26C1-480A-AA55-50EB1A092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2A47057C-CE83-415F-AE42-1F15E267B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660F0-BA61-4362-85FC-DC716153E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885F903-D206-41B8-8124-8BAF8EAF9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1727AC-E67A-48CF-B372-61A033E20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10348373-71CD-47F2-9555-7F1455E2A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4EB10-B438-4FBD-8BE8-96AB2449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91DA30F8-9ABD-4EBF-BE34-89BB2D1C6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35EB4-605B-4887-B45B-5588A5BF5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B479BA1-6526-4555-A20A-42A83E488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4ED5D1-11AD-476C-895B-958652AFC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23" sqref="I23"/>
    </sheetView>
  </sheetViews>
  <sheetFormatPr defaultRowHeight="12.75" x14ac:dyDescent="0.2"/>
  <sheetData>
    <row r="2" spans="2:9" ht="15" x14ac:dyDescent="0.25">
      <c r="B2" s="60">
        <v>1</v>
      </c>
      <c r="C2" t="s">
        <v>187</v>
      </c>
      <c r="E2" s="60">
        <v>1</v>
      </c>
      <c r="F2">
        <v>416363</v>
      </c>
      <c r="H2" s="60">
        <v>1</v>
      </c>
      <c r="I2" s="61" t="s">
        <v>179</v>
      </c>
    </row>
    <row r="3" spans="2:9" ht="15" x14ac:dyDescent="0.25">
      <c r="B3" s="60">
        <v>2</v>
      </c>
      <c r="C3" t="s">
        <v>187</v>
      </c>
      <c r="E3" s="60">
        <v>2</v>
      </c>
      <c r="F3">
        <v>416363</v>
      </c>
      <c r="H3" s="60">
        <v>2</v>
      </c>
      <c r="I3" s="61" t="s">
        <v>179</v>
      </c>
    </row>
    <row r="4" spans="2:9" ht="15" x14ac:dyDescent="0.25">
      <c r="B4" s="60">
        <v>3</v>
      </c>
      <c r="C4" t="s">
        <v>187</v>
      </c>
      <c r="E4" s="60">
        <v>3</v>
      </c>
      <c r="F4">
        <v>416363</v>
      </c>
      <c r="H4" s="60">
        <v>3</v>
      </c>
      <c r="I4" s="61" t="s">
        <v>179</v>
      </c>
    </row>
    <row r="5" spans="2:9" ht="15" x14ac:dyDescent="0.25">
      <c r="B5" s="60">
        <v>4</v>
      </c>
      <c r="C5" t="s">
        <v>188</v>
      </c>
      <c r="E5" s="60">
        <v>4</v>
      </c>
      <c r="F5">
        <v>767468</v>
      </c>
      <c r="H5" s="60">
        <v>4</v>
      </c>
      <c r="I5" s="61" t="s">
        <v>179</v>
      </c>
    </row>
    <row r="6" spans="2:9" ht="15" x14ac:dyDescent="0.25">
      <c r="B6" s="60">
        <v>5</v>
      </c>
      <c r="C6" t="s">
        <v>188</v>
      </c>
      <c r="E6" s="60">
        <v>5</v>
      </c>
      <c r="F6">
        <v>767468</v>
      </c>
      <c r="H6" s="60">
        <v>5</v>
      </c>
      <c r="I6" s="61" t="s">
        <v>179</v>
      </c>
    </row>
    <row r="7" spans="2:9" ht="15" x14ac:dyDescent="0.25">
      <c r="B7" s="60">
        <v>6</v>
      </c>
      <c r="C7" t="s">
        <v>187</v>
      </c>
      <c r="E7" s="60">
        <v>6</v>
      </c>
      <c r="F7">
        <v>416363</v>
      </c>
      <c r="H7" s="60">
        <v>6</v>
      </c>
      <c r="I7" s="61" t="s">
        <v>180</v>
      </c>
    </row>
    <row r="8" spans="2:9" ht="15" x14ac:dyDescent="0.25">
      <c r="B8" s="60">
        <v>7</v>
      </c>
      <c r="C8" t="s">
        <v>187</v>
      </c>
      <c r="E8" s="60">
        <v>7</v>
      </c>
      <c r="F8">
        <v>416363</v>
      </c>
      <c r="H8" s="60">
        <v>7</v>
      </c>
      <c r="I8" s="61" t="s">
        <v>179</v>
      </c>
    </row>
    <row r="9" spans="2:9" ht="15" x14ac:dyDescent="0.25">
      <c r="B9" s="60">
        <v>8</v>
      </c>
      <c r="C9" t="s">
        <v>187</v>
      </c>
      <c r="E9" s="60">
        <v>8</v>
      </c>
      <c r="F9">
        <v>416363</v>
      </c>
      <c r="H9" s="60">
        <v>8</v>
      </c>
      <c r="I9" s="61" t="s">
        <v>179</v>
      </c>
    </row>
    <row r="10" spans="2:9" ht="15" x14ac:dyDescent="0.25">
      <c r="B10" s="60">
        <v>9</v>
      </c>
      <c r="C10" t="s">
        <v>188</v>
      </c>
      <c r="E10" s="60">
        <v>9</v>
      </c>
      <c r="F10">
        <v>767468</v>
      </c>
      <c r="H10" s="60">
        <v>9</v>
      </c>
      <c r="I10" s="61" t="s">
        <v>179</v>
      </c>
    </row>
    <row r="11" spans="2:9" ht="15" x14ac:dyDescent="0.25">
      <c r="B11" s="60">
        <v>10</v>
      </c>
      <c r="C11" t="s">
        <v>188</v>
      </c>
      <c r="E11" s="60">
        <v>10</v>
      </c>
      <c r="F11">
        <v>767468</v>
      </c>
      <c r="H11" s="60">
        <v>10</v>
      </c>
      <c r="I11" s="61" t="s">
        <v>179</v>
      </c>
    </row>
    <row r="12" spans="2:9" ht="15" x14ac:dyDescent="0.25">
      <c r="B12" s="60">
        <v>11</v>
      </c>
      <c r="C12" t="s">
        <v>187</v>
      </c>
      <c r="E12" s="60">
        <v>11</v>
      </c>
      <c r="F12">
        <v>416363</v>
      </c>
      <c r="H12" s="60">
        <v>11</v>
      </c>
      <c r="I12" s="61" t="s">
        <v>179</v>
      </c>
    </row>
    <row r="13" spans="2:9" ht="15" x14ac:dyDescent="0.25">
      <c r="B13" s="60">
        <v>12</v>
      </c>
      <c r="C13" t="s">
        <v>187</v>
      </c>
      <c r="E13" s="60">
        <v>12</v>
      </c>
      <c r="F13">
        <v>416363</v>
      </c>
      <c r="H13" s="60">
        <v>12</v>
      </c>
      <c r="I13" s="61" t="s">
        <v>179</v>
      </c>
    </row>
    <row r="14" spans="2:9" ht="15" x14ac:dyDescent="0.25">
      <c r="B14" s="60">
        <v>13</v>
      </c>
      <c r="C14" t="s">
        <v>188</v>
      </c>
      <c r="E14" s="60">
        <v>13</v>
      </c>
      <c r="F14">
        <v>767468</v>
      </c>
      <c r="H14" s="60">
        <v>13</v>
      </c>
      <c r="I14" s="61" t="s">
        <v>179</v>
      </c>
    </row>
    <row r="15" spans="2:9" ht="15" x14ac:dyDescent="0.25">
      <c r="B15" s="60">
        <v>14</v>
      </c>
      <c r="C15" t="s">
        <v>188</v>
      </c>
      <c r="E15" s="60">
        <v>14</v>
      </c>
      <c r="F15">
        <v>767468</v>
      </c>
      <c r="H15" s="60">
        <v>14</v>
      </c>
      <c r="I15" s="61" t="s">
        <v>179</v>
      </c>
    </row>
    <row r="16" spans="2:9" ht="15" x14ac:dyDescent="0.25">
      <c r="B16" s="60">
        <v>15</v>
      </c>
      <c r="C16" t="s">
        <v>189</v>
      </c>
      <c r="E16" s="60">
        <v>15</v>
      </c>
      <c r="F16">
        <v>867788</v>
      </c>
      <c r="H16" s="60">
        <v>15</v>
      </c>
      <c r="I16" s="61" t="s">
        <v>179</v>
      </c>
    </row>
    <row r="17" spans="2:11" ht="15" x14ac:dyDescent="0.25">
      <c r="B17" s="60">
        <v>16</v>
      </c>
      <c r="C17" t="s">
        <v>189</v>
      </c>
      <c r="E17" s="60">
        <v>16</v>
      </c>
      <c r="F17">
        <v>867788</v>
      </c>
      <c r="H17" s="60">
        <v>16</v>
      </c>
      <c r="I17" s="61" t="s">
        <v>180</v>
      </c>
    </row>
    <row r="18" spans="2:11" ht="15" x14ac:dyDescent="0.25">
      <c r="B18" s="60">
        <v>17</v>
      </c>
      <c r="C18" t="s">
        <v>190</v>
      </c>
      <c r="E18" s="60">
        <v>17</v>
      </c>
      <c r="F18">
        <v>905994</v>
      </c>
      <c r="H18" s="60">
        <v>17</v>
      </c>
      <c r="I18" s="61" t="s">
        <v>179</v>
      </c>
    </row>
    <row r="19" spans="2:11" ht="15" x14ac:dyDescent="0.25">
      <c r="B19" s="60">
        <v>18</v>
      </c>
      <c r="C19" t="s">
        <v>183</v>
      </c>
      <c r="E19" s="60">
        <v>18</v>
      </c>
      <c r="F19">
        <v>906033</v>
      </c>
      <c r="H19" s="60">
        <v>18</v>
      </c>
      <c r="I19" s="61" t="s">
        <v>179</v>
      </c>
    </row>
    <row r="20" spans="2:11" ht="15" x14ac:dyDescent="0.25">
      <c r="B20" s="60">
        <v>19</v>
      </c>
      <c r="C20" t="s">
        <v>190</v>
      </c>
      <c r="E20" s="60">
        <v>19</v>
      </c>
      <c r="F20">
        <v>905994</v>
      </c>
      <c r="H20" s="60">
        <v>19</v>
      </c>
      <c r="I20" s="61" t="s">
        <v>179</v>
      </c>
    </row>
    <row r="21" spans="2:11" ht="15" x14ac:dyDescent="0.25">
      <c r="B21" s="60">
        <v>20</v>
      </c>
      <c r="C21" t="s">
        <v>183</v>
      </c>
      <c r="E21" s="60">
        <v>20</v>
      </c>
      <c r="F21">
        <v>906033</v>
      </c>
      <c r="H21" s="60">
        <v>20</v>
      </c>
      <c r="I21" s="61" t="s">
        <v>180</v>
      </c>
    </row>
    <row r="22" spans="2:11" ht="15" x14ac:dyDescent="0.25">
      <c r="B22" s="60">
        <v>21</v>
      </c>
      <c r="C22" t="s">
        <v>191</v>
      </c>
      <c r="E22" s="60">
        <v>21</v>
      </c>
      <c r="F22">
        <v>903770</v>
      </c>
      <c r="H22" s="60">
        <v>21</v>
      </c>
      <c r="I22" s="61" t="s">
        <v>180</v>
      </c>
      <c r="K22" t="s">
        <v>63</v>
      </c>
    </row>
    <row r="23" spans="2:11" ht="15" x14ac:dyDescent="0.25">
      <c r="B23" s="60">
        <v>22</v>
      </c>
      <c r="C23" t="s">
        <v>192</v>
      </c>
      <c r="E23" s="60">
        <v>22</v>
      </c>
      <c r="F23">
        <v>867788</v>
      </c>
      <c r="H23" s="60">
        <v>22</v>
      </c>
      <c r="I23" s="61" t="s">
        <v>180</v>
      </c>
    </row>
    <row r="24" spans="2:11" ht="15" x14ac:dyDescent="0.25">
      <c r="B24" s="60">
        <v>23</v>
      </c>
      <c r="E24" s="60">
        <v>23</v>
      </c>
      <c r="H24" s="60">
        <v>23</v>
      </c>
      <c r="I24" s="61"/>
    </row>
    <row r="25" spans="2:11" ht="15" x14ac:dyDescent="0.25">
      <c r="B25" s="60">
        <v>24</v>
      </c>
      <c r="E25" s="60">
        <v>24</v>
      </c>
      <c r="H25" s="60">
        <v>24</v>
      </c>
      <c r="I25" s="61"/>
    </row>
    <row r="26" spans="2:11" ht="15" x14ac:dyDescent="0.25">
      <c r="B26" s="60">
        <v>25</v>
      </c>
      <c r="E26" s="60">
        <v>25</v>
      </c>
      <c r="H26" s="60">
        <v>25</v>
      </c>
      <c r="I26" s="61"/>
    </row>
    <row r="27" spans="2:11" ht="15" x14ac:dyDescent="0.25">
      <c r="B27" s="60">
        <v>26</v>
      </c>
      <c r="E27" s="60">
        <v>26</v>
      </c>
      <c r="H27" s="60">
        <v>26</v>
      </c>
      <c r="I27" s="61"/>
    </row>
    <row r="28" spans="2:11" x14ac:dyDescent="0.2">
      <c r="B28" s="60">
        <v>27</v>
      </c>
      <c r="E28" s="60">
        <v>27</v>
      </c>
      <c r="H28" s="60">
        <v>27</v>
      </c>
    </row>
    <row r="29" spans="2:11" x14ac:dyDescent="0.2">
      <c r="B29" s="60">
        <v>28</v>
      </c>
      <c r="E29" s="60">
        <v>28</v>
      </c>
      <c r="H29" s="60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view="pageBreakPreview" topLeftCell="A21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61461184</v>
      </c>
      <c r="K2" s="50">
        <v>7260</v>
      </c>
      <c r="L2" s="44">
        <v>82</v>
      </c>
      <c r="M2" s="44">
        <v>858.03</v>
      </c>
      <c r="N2" s="44">
        <v>872.55</v>
      </c>
      <c r="O2" s="44">
        <v>948.95</v>
      </c>
      <c r="P2" s="44" t="s">
        <v>54</v>
      </c>
      <c r="Q2" s="44">
        <v>4.6189999999999998</v>
      </c>
      <c r="R2" s="44" t="s">
        <v>62</v>
      </c>
    </row>
    <row r="3" spans="2:22" x14ac:dyDescent="0.2">
      <c r="B3" s="6" t="s">
        <v>53</v>
      </c>
      <c r="C3" s="69">
        <v>244</v>
      </c>
      <c r="D3" s="5"/>
      <c r="E3" s="5"/>
      <c r="F3" s="5"/>
      <c r="G3" s="5" t="s">
        <v>52</v>
      </c>
      <c r="H3" s="31"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61461184</v>
      </c>
      <c r="C21" s="52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1" t="s">
        <v>35</v>
      </c>
      <c r="G21" s="51"/>
      <c r="H21" s="49" t="str">
        <f>IF(LEFT(G17,2)="CA","CA",IF(LEFT(G17,2)="UN","US",IF(LEFT(G17,2)="PA","PA",IF(LEFT(G17,2)="JA","JP"))))</f>
        <v>CA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948.95</v>
      </c>
      <c r="G23" s="23">
        <f>+N2</f>
        <v>872.55</v>
      </c>
      <c r="H23" s="23">
        <f>+M2</f>
        <v>858.03</v>
      </c>
      <c r="I23" s="51">
        <f>+L2</f>
        <v>82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87" t="s">
        <v>19</v>
      </c>
      <c r="E31" s="87"/>
      <c r="F31" s="87" t="s">
        <v>18</v>
      </c>
      <c r="G31" s="87"/>
      <c r="H31" s="51" t="s">
        <v>17</v>
      </c>
      <c r="I31" s="19" t="s">
        <v>16</v>
      </c>
      <c r="M31"/>
    </row>
    <row r="32" spans="2:13" ht="30.75" customHeight="1" x14ac:dyDescent="0.2">
      <c r="B32" s="41" t="s">
        <v>194</v>
      </c>
      <c r="C32" s="19" t="s">
        <v>193</v>
      </c>
      <c r="D32" s="70"/>
      <c r="E32" s="71"/>
      <c r="F32" s="70">
        <v>4290</v>
      </c>
      <c r="G32" s="71"/>
      <c r="H32" s="17">
        <v>0.9</v>
      </c>
      <c r="I32" s="18">
        <f>+H32*F32</f>
        <v>3861</v>
      </c>
      <c r="K32" s="48"/>
      <c r="M32" s="39"/>
    </row>
    <row r="33" spans="2:13" ht="36.75" customHeight="1" x14ac:dyDescent="0.2">
      <c r="B33" s="41" t="s">
        <v>196</v>
      </c>
      <c r="C33" s="19" t="s">
        <v>195</v>
      </c>
      <c r="D33" s="70"/>
      <c r="E33" s="71"/>
      <c r="F33" s="70">
        <v>2970</v>
      </c>
      <c r="G33" s="71"/>
      <c r="H33" s="17">
        <v>0.9</v>
      </c>
      <c r="I33" s="18">
        <f>+H33*F33</f>
        <v>2673</v>
      </c>
      <c r="K33" s="48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51"/>
    </row>
    <row r="35" spans="2:13" ht="21.75" customHeight="1" x14ac:dyDescent="0.2">
      <c r="B35" s="15" t="s">
        <v>14</v>
      </c>
      <c r="C35" s="15"/>
      <c r="D35" s="74"/>
      <c r="E35" s="75"/>
      <c r="F35" s="70">
        <f>SUM(F31:G34)</f>
        <v>7260</v>
      </c>
      <c r="G35" s="71"/>
      <c r="H35" s="15"/>
      <c r="I35" s="14">
        <f>SUM(I32:I34)</f>
        <v>6534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1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6534</v>
      </c>
    </row>
    <row r="38" spans="2:13" ht="20.25" customHeight="1" x14ac:dyDescent="0.2">
      <c r="B38" s="15" t="s">
        <v>80</v>
      </c>
      <c r="C38" s="72" t="s">
        <v>11</v>
      </c>
      <c r="D38" s="77"/>
      <c r="E38" s="77"/>
      <c r="F38" s="77"/>
      <c r="G38" s="77"/>
      <c r="H38" s="73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6534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B2:I2"/>
    <mergeCell ref="B26:I26"/>
    <mergeCell ref="B27:I27"/>
    <mergeCell ref="D31:E31"/>
    <mergeCell ref="F31:G31"/>
    <mergeCell ref="F32:G32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1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61465193</v>
      </c>
      <c r="K2" s="44">
        <v>690</v>
      </c>
      <c r="L2" s="44">
        <v>10</v>
      </c>
      <c r="M2" s="44">
        <v>72.855000000000004</v>
      </c>
      <c r="N2" s="44">
        <v>74.234999999999999</v>
      </c>
      <c r="O2" s="44">
        <v>82.635000000000005</v>
      </c>
      <c r="P2" s="44" t="s">
        <v>54</v>
      </c>
      <c r="Q2" s="44">
        <v>0.41399999999999998</v>
      </c>
      <c r="R2" s="44" t="s">
        <v>62</v>
      </c>
    </row>
    <row r="3" spans="2:22" x14ac:dyDescent="0.2">
      <c r="B3" s="6" t="s">
        <v>53</v>
      </c>
      <c r="C3" s="69">
        <f>+'244'!C3+1</f>
        <v>245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61465193</v>
      </c>
      <c r="C21" s="52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1" t="s">
        <v>35</v>
      </c>
      <c r="G21" s="51"/>
      <c r="H21" s="49" t="str">
        <f>IF(LEFT(G17,2)="CA","CA",IF(LEFT(G17,2)="UN","US",IF(LEFT(G17,2)="PA","PA",IF(LEFT(G17,2)="JA","JP"))))</f>
        <v>CA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82.635000000000005</v>
      </c>
      <c r="G23" s="23">
        <f>+N2</f>
        <v>74.234999999999999</v>
      </c>
      <c r="H23" s="23">
        <f>+M2</f>
        <v>72.855000000000004</v>
      </c>
      <c r="I23" s="51">
        <f>+L2</f>
        <v>10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87" t="s">
        <v>19</v>
      </c>
      <c r="E31" s="87"/>
      <c r="F31" s="87" t="s">
        <v>18</v>
      </c>
      <c r="G31" s="87"/>
      <c r="H31" s="51" t="s">
        <v>17</v>
      </c>
      <c r="I31" s="19" t="s">
        <v>16</v>
      </c>
      <c r="M31"/>
    </row>
    <row r="32" spans="2:13" ht="27.75" customHeight="1" x14ac:dyDescent="0.2">
      <c r="B32" s="41" t="s">
        <v>182</v>
      </c>
      <c r="C32" s="19" t="s">
        <v>198</v>
      </c>
      <c r="D32" s="70"/>
      <c r="E32" s="71"/>
      <c r="F32" s="70">
        <f>+K2</f>
        <v>690</v>
      </c>
      <c r="G32" s="71"/>
      <c r="H32" s="17">
        <v>0.9</v>
      </c>
      <c r="I32" s="18">
        <f>+H32*F32</f>
        <v>621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1"/>
    </row>
    <row r="34" spans="2:11" ht="21.75" customHeight="1" x14ac:dyDescent="0.2">
      <c r="B34" s="15" t="s">
        <v>14</v>
      </c>
      <c r="C34" s="15"/>
      <c r="D34" s="74"/>
      <c r="E34" s="75"/>
      <c r="F34" s="70">
        <f>SUM(F31:G33)</f>
        <v>690</v>
      </c>
      <c r="G34" s="71"/>
      <c r="H34" s="15"/>
      <c r="I34" s="14">
        <f>SUM(I32:I33)</f>
        <v>621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1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621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621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9"/>
  <sheetViews>
    <sheetView view="pageBreakPreview" topLeftCell="A24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61476487</v>
      </c>
      <c r="K2" s="50">
        <v>4046</v>
      </c>
      <c r="L2" s="44">
        <v>55</v>
      </c>
      <c r="M2" s="44">
        <v>468.72800000000001</v>
      </c>
      <c r="N2" s="44">
        <v>476.82</v>
      </c>
      <c r="O2" s="44">
        <v>524.52</v>
      </c>
      <c r="P2" s="44" t="s">
        <v>54</v>
      </c>
      <c r="Q2" s="44">
        <v>2.5720000000000001</v>
      </c>
      <c r="R2" s="44" t="s">
        <v>62</v>
      </c>
    </row>
    <row r="3" spans="2:22" x14ac:dyDescent="0.2">
      <c r="B3" s="6" t="s">
        <v>53</v>
      </c>
      <c r="C3" s="69">
        <f>+'245'!C3+1</f>
        <v>246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61476487</v>
      </c>
      <c r="C21" s="56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7" t="s">
        <v>35</v>
      </c>
      <c r="G21" s="57"/>
      <c r="H21" s="49" t="str">
        <f>IF(LEFT(G17,2)="CA","CA",IF(LEFT(G17,2)="UN","US",IF(LEFT(G17,2)="PA","PA",IF(LEFT(G17,2)="JA","JP"))))</f>
        <v>CA</v>
      </c>
      <c r="I21" s="57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524.52</v>
      </c>
      <c r="G23" s="23">
        <f>+N2</f>
        <v>476.82</v>
      </c>
      <c r="H23" s="23">
        <f>+M2</f>
        <v>468.72800000000001</v>
      </c>
      <c r="I23" s="57">
        <f>+L2</f>
        <v>55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87" t="s">
        <v>19</v>
      </c>
      <c r="E31" s="87"/>
      <c r="F31" s="87" t="s">
        <v>18</v>
      </c>
      <c r="G31" s="87"/>
      <c r="H31" s="57" t="s">
        <v>17</v>
      </c>
      <c r="I31" s="19" t="s">
        <v>16</v>
      </c>
      <c r="M31"/>
    </row>
    <row r="32" spans="2:13" ht="27.75" customHeight="1" x14ac:dyDescent="0.2">
      <c r="B32" s="41" t="s">
        <v>200</v>
      </c>
      <c r="C32" s="19" t="s">
        <v>199</v>
      </c>
      <c r="D32" s="70"/>
      <c r="E32" s="71"/>
      <c r="F32" s="70">
        <v>3110</v>
      </c>
      <c r="G32" s="71"/>
      <c r="H32" s="17">
        <v>0.9</v>
      </c>
      <c r="I32" s="18">
        <f>+H32*F32</f>
        <v>2799</v>
      </c>
      <c r="K32" s="48"/>
      <c r="M32" s="39"/>
    </row>
    <row r="33" spans="2:13" ht="27.75" customHeight="1" x14ac:dyDescent="0.2">
      <c r="B33" s="41" t="s">
        <v>202</v>
      </c>
      <c r="C33" s="19" t="s">
        <v>201</v>
      </c>
      <c r="D33" s="70"/>
      <c r="E33" s="71"/>
      <c r="F33" s="70">
        <v>936</v>
      </c>
      <c r="G33" s="71"/>
      <c r="H33" s="17">
        <v>0.9</v>
      </c>
      <c r="I33" s="18">
        <f>+H33*F33</f>
        <v>842.4</v>
      </c>
      <c r="K33" s="48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57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4046</v>
      </c>
      <c r="G35" s="71"/>
      <c r="H35" s="15"/>
      <c r="I35" s="14">
        <f>SUM(I32:I34)</f>
        <v>3641.4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3641.4</v>
      </c>
    </row>
    <row r="38" spans="2:13" ht="20.25" customHeight="1" x14ac:dyDescent="0.2">
      <c r="B38" s="15" t="s">
        <v>80</v>
      </c>
      <c r="C38" s="72" t="s">
        <v>11</v>
      </c>
      <c r="D38" s="77"/>
      <c r="E38" s="77"/>
      <c r="F38" s="77"/>
      <c r="G38" s="77"/>
      <c r="H38" s="73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3641.4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6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61472566</v>
      </c>
      <c r="K2" s="50">
        <v>6015</v>
      </c>
      <c r="L2" s="44">
        <v>101</v>
      </c>
      <c r="M2" s="44">
        <v>778.72</v>
      </c>
      <c r="N2" s="44">
        <v>899.02</v>
      </c>
      <c r="O2" s="44">
        <v>988.72</v>
      </c>
      <c r="P2" s="44" t="s">
        <v>54</v>
      </c>
      <c r="Q2" s="44">
        <v>5.01</v>
      </c>
      <c r="R2" s="44" t="s">
        <v>62</v>
      </c>
    </row>
    <row r="3" spans="2:22" x14ac:dyDescent="0.2">
      <c r="B3" s="6" t="s">
        <v>53</v>
      </c>
      <c r="C3" s="69">
        <f>+'246'!C3+1</f>
        <v>247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61472566</v>
      </c>
      <c r="C21" s="5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CA</v>
      </c>
      <c r="I21" s="58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988.72</v>
      </c>
      <c r="G23" s="23">
        <f>+N2</f>
        <v>899.02</v>
      </c>
      <c r="H23" s="23">
        <f>+M2</f>
        <v>778.72</v>
      </c>
      <c r="I23" s="58">
        <f>+L2</f>
        <v>101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 xml:space="preserve">	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87" t="s">
        <v>19</v>
      </c>
      <c r="E31" s="87"/>
      <c r="F31" s="87" t="s">
        <v>18</v>
      </c>
      <c r="G31" s="87"/>
      <c r="H31" s="58" t="s">
        <v>17</v>
      </c>
      <c r="I31" s="19" t="s">
        <v>16</v>
      </c>
      <c r="M31"/>
    </row>
    <row r="32" spans="2:13" ht="63.75" x14ac:dyDescent="0.2">
      <c r="B32" s="41" t="s">
        <v>204</v>
      </c>
      <c r="C32" s="19" t="s">
        <v>203</v>
      </c>
      <c r="D32" s="70"/>
      <c r="E32" s="71"/>
      <c r="F32" s="70">
        <f>+K2</f>
        <v>6015</v>
      </c>
      <c r="G32" s="71"/>
      <c r="H32" s="17">
        <v>1.05</v>
      </c>
      <c r="I32" s="18">
        <f>+H32*F32</f>
        <v>6315.75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4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6015</v>
      </c>
      <c r="G34" s="71"/>
      <c r="H34" s="15"/>
      <c r="I34" s="14">
        <f>SUM(I32:I32)</f>
        <v>6315.75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6315.75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6315.75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9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61476389</v>
      </c>
      <c r="K2" s="44">
        <v>470</v>
      </c>
      <c r="L2" s="44">
        <v>8</v>
      </c>
      <c r="M2" s="44">
        <v>59.46</v>
      </c>
      <c r="N2" s="44">
        <v>68.86</v>
      </c>
      <c r="O2" s="44">
        <v>75.86</v>
      </c>
      <c r="P2" s="44" t="s">
        <v>54</v>
      </c>
      <c r="Q2" s="44">
        <v>0.38</v>
      </c>
      <c r="R2" s="44" t="s">
        <v>62</v>
      </c>
    </row>
    <row r="3" spans="2:22" x14ac:dyDescent="0.2">
      <c r="B3" s="6" t="s">
        <v>53</v>
      </c>
      <c r="C3" s="69">
        <f>+'247'!C3+1</f>
        <v>248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61476389</v>
      </c>
      <c r="C21" s="5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CA</v>
      </c>
      <c r="I21" s="58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75.86</v>
      </c>
      <c r="G23" s="23">
        <f>+N2</f>
        <v>68.86</v>
      </c>
      <c r="H23" s="23">
        <f>+M2</f>
        <v>59.46</v>
      </c>
      <c r="I23" s="58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 xml:space="preserve">	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87" t="s">
        <v>19</v>
      </c>
      <c r="E31" s="87"/>
      <c r="F31" s="87" t="s">
        <v>18</v>
      </c>
      <c r="G31" s="87"/>
      <c r="H31" s="58" t="s">
        <v>17</v>
      </c>
      <c r="I31" s="19" t="s">
        <v>16</v>
      </c>
      <c r="M31"/>
    </row>
    <row r="32" spans="2:13" ht="27.75" customHeight="1" x14ac:dyDescent="0.2">
      <c r="B32" s="41" t="s">
        <v>202</v>
      </c>
      <c r="C32" s="19" t="s">
        <v>201</v>
      </c>
      <c r="D32" s="70"/>
      <c r="E32" s="71"/>
      <c r="F32" s="70">
        <f>+K2</f>
        <v>470</v>
      </c>
      <c r="G32" s="71"/>
      <c r="H32" s="17">
        <v>1.05</v>
      </c>
      <c r="I32" s="18">
        <f>+H32*F32</f>
        <v>493.5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8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470</v>
      </c>
      <c r="G34" s="71"/>
      <c r="H34" s="15"/>
      <c r="I34" s="14">
        <f>SUM(I32:I33)</f>
        <v>493.5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493.5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493.5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8"/>
  <sheetViews>
    <sheetView view="pageBreakPreview" topLeftCell="A24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61473110</v>
      </c>
      <c r="K2" s="44">
        <v>719</v>
      </c>
      <c r="L2" s="44">
        <v>11</v>
      </c>
      <c r="M2" s="44">
        <v>67.671999999999997</v>
      </c>
      <c r="N2" s="44">
        <v>69.11</v>
      </c>
      <c r="O2" s="44">
        <v>77.11</v>
      </c>
      <c r="P2" s="44" t="s">
        <v>54</v>
      </c>
      <c r="Q2" s="44">
        <v>0.40300000000000002</v>
      </c>
      <c r="R2" s="44" t="s">
        <v>62</v>
      </c>
    </row>
    <row r="3" spans="2:22" x14ac:dyDescent="0.2">
      <c r="B3" s="6" t="s">
        <v>53</v>
      </c>
      <c r="C3" s="69">
        <f>+'248'!C3+1</f>
        <v>249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61473110</v>
      </c>
      <c r="C21" s="59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77.11</v>
      </c>
      <c r="G23" s="23">
        <f>+N2</f>
        <v>69.11</v>
      </c>
      <c r="H23" s="23">
        <f>+M2</f>
        <v>67.671999999999997</v>
      </c>
      <c r="I23" s="58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87" t="s">
        <v>19</v>
      </c>
      <c r="E31" s="87"/>
      <c r="F31" s="87" t="s">
        <v>18</v>
      </c>
      <c r="G31" s="87"/>
      <c r="H31" s="58" t="s">
        <v>17</v>
      </c>
      <c r="I31" s="19" t="s">
        <v>16</v>
      </c>
      <c r="M31"/>
    </row>
    <row r="32" spans="2:13" ht="27.75" customHeight="1" x14ac:dyDescent="0.2">
      <c r="B32" s="41" t="s">
        <v>194</v>
      </c>
      <c r="C32" s="19" t="s">
        <v>193</v>
      </c>
      <c r="D32" s="70"/>
      <c r="E32" s="71"/>
      <c r="F32" s="70">
        <v>439</v>
      </c>
      <c r="G32" s="71"/>
      <c r="H32" s="17">
        <v>0.9</v>
      </c>
      <c r="I32" s="18">
        <f>+H32*F32</f>
        <v>395.1</v>
      </c>
      <c r="K32" s="48"/>
      <c r="M32" s="39"/>
    </row>
    <row r="33" spans="2:13" ht="27.75" customHeight="1" x14ac:dyDescent="0.2">
      <c r="B33" s="41" t="s">
        <v>207</v>
      </c>
      <c r="C33" s="19" t="s">
        <v>206</v>
      </c>
      <c r="D33" s="70"/>
      <c r="E33" s="71"/>
      <c r="F33" s="70">
        <v>280</v>
      </c>
      <c r="G33" s="71"/>
      <c r="H33" s="17">
        <v>0.9</v>
      </c>
      <c r="I33" s="18">
        <f>+H33*F33</f>
        <v>252</v>
      </c>
      <c r="K33" s="48"/>
      <c r="M33" s="39"/>
    </row>
    <row r="34" spans="2:13" ht="21.75" customHeight="1" x14ac:dyDescent="0.2">
      <c r="B34" s="15" t="s">
        <v>14</v>
      </c>
      <c r="C34" s="15"/>
      <c r="D34" s="74"/>
      <c r="E34" s="75"/>
      <c r="F34" s="70">
        <f>SUM(F32:G33)</f>
        <v>719</v>
      </c>
      <c r="G34" s="71"/>
      <c r="H34" s="15"/>
      <c r="I34" s="14">
        <f>SUM(I32:I33)</f>
        <v>647.1</v>
      </c>
      <c r="J34" s="40"/>
      <c r="K34" s="40"/>
    </row>
    <row r="35" spans="2:13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8"/>
      <c r="J35" s="40"/>
    </row>
    <row r="36" spans="2:13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647.1</v>
      </c>
    </row>
    <row r="37" spans="2:13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3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647.1</v>
      </c>
    </row>
    <row r="39" spans="2:13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3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3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3" x14ac:dyDescent="0.2">
      <c r="B43" s="6"/>
      <c r="C43" s="5"/>
      <c r="D43" s="5"/>
      <c r="E43" s="5"/>
      <c r="F43" s="5"/>
      <c r="G43" s="5"/>
      <c r="H43" s="5"/>
      <c r="I43" s="4"/>
    </row>
    <row r="44" spans="2:13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3" x14ac:dyDescent="0.2">
      <c r="B45" s="6"/>
      <c r="C45" s="5"/>
      <c r="D45" s="5"/>
      <c r="E45" s="5"/>
      <c r="F45" s="5"/>
      <c r="G45" s="5"/>
      <c r="H45" s="5"/>
      <c r="I45" s="4"/>
    </row>
    <row r="46" spans="2:13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3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3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9"/>
  <sheetViews>
    <sheetView view="pageBreakPreview" topLeftCell="A27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61464363</v>
      </c>
      <c r="K2" s="50">
        <v>2097</v>
      </c>
      <c r="L2" s="44">
        <v>27</v>
      </c>
      <c r="M2" s="44">
        <v>277.93099999999998</v>
      </c>
      <c r="N2" s="44">
        <v>282.125</v>
      </c>
      <c r="O2" s="44">
        <v>307.02499999999998</v>
      </c>
      <c r="P2" s="44" t="s">
        <v>54</v>
      </c>
      <c r="Q2" s="44">
        <v>1.476</v>
      </c>
      <c r="R2" s="44" t="s">
        <v>62</v>
      </c>
    </row>
    <row r="3" spans="2:22" x14ac:dyDescent="0.2">
      <c r="B3" s="6" t="s">
        <v>53</v>
      </c>
      <c r="C3" s="69">
        <f>+'249'!C3+1</f>
        <v>250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61464363</v>
      </c>
      <c r="C21" s="59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307.02499999999998</v>
      </c>
      <c r="G23" s="23">
        <f>+N2</f>
        <v>282.125</v>
      </c>
      <c r="H23" s="23">
        <f>+M2</f>
        <v>277.93099999999998</v>
      </c>
      <c r="I23" s="58">
        <f>+L2</f>
        <v>27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87" t="s">
        <v>19</v>
      </c>
      <c r="E31" s="87"/>
      <c r="F31" s="87" t="s">
        <v>18</v>
      </c>
      <c r="G31" s="87"/>
      <c r="H31" s="58" t="s">
        <v>17</v>
      </c>
      <c r="I31" s="19" t="s">
        <v>16</v>
      </c>
      <c r="M31"/>
    </row>
    <row r="32" spans="2:13" ht="27.75" customHeight="1" x14ac:dyDescent="0.2">
      <c r="B32" s="41" t="s">
        <v>194</v>
      </c>
      <c r="C32" s="19" t="s">
        <v>193</v>
      </c>
      <c r="D32" s="70"/>
      <c r="E32" s="71"/>
      <c r="F32" s="70">
        <v>1320</v>
      </c>
      <c r="G32" s="71"/>
      <c r="H32" s="17">
        <v>0.9</v>
      </c>
      <c r="I32" s="18">
        <f>+H32*F32</f>
        <v>1188</v>
      </c>
      <c r="K32" s="48"/>
      <c r="M32" s="39"/>
    </row>
    <row r="33" spans="2:13" ht="27.75" customHeight="1" x14ac:dyDescent="0.2">
      <c r="B33" s="41" t="s">
        <v>207</v>
      </c>
      <c r="C33" s="19" t="s">
        <v>206</v>
      </c>
      <c r="D33" s="70"/>
      <c r="E33" s="71"/>
      <c r="F33" s="70">
        <v>777</v>
      </c>
      <c r="G33" s="71"/>
      <c r="H33" s="17">
        <v>0.9</v>
      </c>
      <c r="I33" s="18">
        <f>+H33*F33</f>
        <v>699.30000000000007</v>
      </c>
      <c r="K33" s="48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5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2097</v>
      </c>
      <c r="G35" s="71"/>
      <c r="H35" s="15"/>
      <c r="I35" s="14">
        <f>SUM(I32:I34)</f>
        <v>1887.3000000000002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8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1887.3000000000002</v>
      </c>
    </row>
    <row r="38" spans="2:13" ht="20.25" customHeight="1" x14ac:dyDescent="0.2">
      <c r="B38" s="15" t="s">
        <v>80</v>
      </c>
      <c r="C38" s="72" t="s">
        <v>11</v>
      </c>
      <c r="D38" s="77"/>
      <c r="E38" s="77"/>
      <c r="F38" s="77"/>
      <c r="G38" s="77"/>
      <c r="H38" s="73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1887.3000000000002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7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  <c r="K56">
        <v>7</v>
      </c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topLeftCell="A25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61475256</v>
      </c>
      <c r="K2" s="44">
        <v>726</v>
      </c>
      <c r="L2" s="44">
        <v>11</v>
      </c>
      <c r="M2" s="44">
        <v>95.347999999999999</v>
      </c>
      <c r="N2" s="44">
        <v>96.8</v>
      </c>
      <c r="O2" s="44">
        <v>106.5</v>
      </c>
      <c r="P2" s="44" t="s">
        <v>54</v>
      </c>
      <c r="Q2" s="44">
        <v>0.52600000000000002</v>
      </c>
      <c r="R2" s="44" t="s">
        <v>62</v>
      </c>
    </row>
    <row r="3" spans="2:22" x14ac:dyDescent="0.2">
      <c r="B3" s="6" t="s">
        <v>53</v>
      </c>
      <c r="C3" s="69">
        <f>+'250'!C3+1</f>
        <v>251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61475256</v>
      </c>
      <c r="C21" s="59">
        <f>VLOOKUP($K55,reff!E2:F29,2,0)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106.5</v>
      </c>
      <c r="G23" s="23">
        <f>+N2</f>
        <v>96.8</v>
      </c>
      <c r="H23" s="23">
        <f>+M2</f>
        <v>95.347999999999999</v>
      </c>
      <c r="I23" s="58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87" t="s">
        <v>19</v>
      </c>
      <c r="E31" s="87"/>
      <c r="F31" s="87" t="s">
        <v>18</v>
      </c>
      <c r="G31" s="87"/>
      <c r="H31" s="58" t="s">
        <v>17</v>
      </c>
      <c r="I31" s="19" t="s">
        <v>16</v>
      </c>
      <c r="M31"/>
    </row>
    <row r="32" spans="2:13" ht="27.75" customHeight="1" x14ac:dyDescent="0.2">
      <c r="B32" s="41" t="s">
        <v>210</v>
      </c>
      <c r="C32" s="19" t="s">
        <v>209</v>
      </c>
      <c r="D32" s="70"/>
      <c r="E32" s="71"/>
      <c r="F32" s="70">
        <f>+K2</f>
        <v>726</v>
      </c>
      <c r="G32" s="71"/>
      <c r="H32" s="17">
        <v>0.9</v>
      </c>
      <c r="I32" s="18">
        <f>+H32*F32</f>
        <v>653.4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8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726</v>
      </c>
      <c r="G34" s="71"/>
      <c r="H34" s="15"/>
      <c r="I34" s="14">
        <f>SUM(I32:I33)</f>
        <v>653.4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653.4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653.4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view="pageBreakPreview" topLeftCell="A27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61472473</v>
      </c>
      <c r="K2" s="50">
        <v>3778</v>
      </c>
      <c r="L2" s="44">
        <v>93</v>
      </c>
      <c r="M2" s="44">
        <v>522.22</v>
      </c>
      <c r="N2" s="44">
        <v>597.78</v>
      </c>
      <c r="O2" s="44">
        <v>672.88</v>
      </c>
      <c r="P2" s="44" t="s">
        <v>54</v>
      </c>
      <c r="Q2" s="44">
        <v>3.4670000000000001</v>
      </c>
      <c r="R2" s="44" t="s">
        <v>62</v>
      </c>
    </row>
    <row r="3" spans="2:22" x14ac:dyDescent="0.2">
      <c r="B3" s="6" t="s">
        <v>53</v>
      </c>
      <c r="C3" s="69">
        <f>+'251'!C3+1</f>
        <v>252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61472473</v>
      </c>
      <c r="C21" s="5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672.88</v>
      </c>
      <c r="G23" s="23">
        <f>+N2</f>
        <v>597.78</v>
      </c>
      <c r="H23" s="23">
        <f>+M2</f>
        <v>522.22</v>
      </c>
      <c r="I23" s="58">
        <f>+L2</f>
        <v>93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87" t="s">
        <v>19</v>
      </c>
      <c r="E31" s="87"/>
      <c r="F31" s="87" t="s">
        <v>18</v>
      </c>
      <c r="G31" s="87"/>
      <c r="H31" s="58" t="s">
        <v>17</v>
      </c>
      <c r="I31" s="19" t="s">
        <v>16</v>
      </c>
      <c r="M31"/>
    </row>
    <row r="32" spans="2:13" ht="63.75" x14ac:dyDescent="0.2">
      <c r="B32" s="41" t="s">
        <v>204</v>
      </c>
      <c r="C32" s="19" t="s">
        <v>211</v>
      </c>
      <c r="D32" s="70"/>
      <c r="E32" s="71"/>
      <c r="F32" s="70">
        <f>+K2</f>
        <v>3778</v>
      </c>
      <c r="G32" s="71"/>
      <c r="H32" s="17">
        <v>1.05</v>
      </c>
      <c r="I32" s="18">
        <f>+H32*F32</f>
        <v>3966.9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8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3778</v>
      </c>
      <c r="G34" s="71"/>
      <c r="H34" s="15"/>
      <c r="I34" s="14">
        <f>SUM(I32:I33)</f>
        <v>3966.9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3966.9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3966.9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V58"/>
  <sheetViews>
    <sheetView view="pageBreakPreview" topLeftCell="A24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61476482</v>
      </c>
      <c r="K2" s="44">
        <v>374</v>
      </c>
      <c r="L2" s="44">
        <v>8</v>
      </c>
      <c r="M2" s="44">
        <v>50.58</v>
      </c>
      <c r="N2" s="44">
        <v>58.06</v>
      </c>
      <c r="O2" s="44">
        <v>64.56</v>
      </c>
      <c r="P2" s="44" t="s">
        <v>54</v>
      </c>
      <c r="Q2" s="44">
        <v>0.30199999999999999</v>
      </c>
      <c r="R2" s="44" t="s">
        <v>62</v>
      </c>
    </row>
    <row r="3" spans="2:22" x14ac:dyDescent="0.2">
      <c r="B3" s="6" t="s">
        <v>53</v>
      </c>
      <c r="C3" s="69">
        <f>'252'!C3+1</f>
        <v>253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61476482</v>
      </c>
      <c r="C21" s="62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64.56</v>
      </c>
      <c r="G23" s="23">
        <f>+N2</f>
        <v>58.06</v>
      </c>
      <c r="H23" s="23">
        <f>+M2</f>
        <v>50.58</v>
      </c>
      <c r="I23" s="63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7" t="s">
        <v>19</v>
      </c>
      <c r="E31" s="87"/>
      <c r="F31" s="87" t="s">
        <v>18</v>
      </c>
      <c r="G31" s="87"/>
      <c r="H31" s="63" t="s">
        <v>17</v>
      </c>
      <c r="I31" s="19" t="s">
        <v>16</v>
      </c>
      <c r="M31"/>
    </row>
    <row r="32" spans="2:13" ht="39" customHeight="1" x14ac:dyDescent="0.2">
      <c r="B32" s="41" t="s">
        <v>202</v>
      </c>
      <c r="C32" s="19" t="s">
        <v>201</v>
      </c>
      <c r="D32" s="70"/>
      <c r="E32" s="71"/>
      <c r="F32" s="70">
        <f>+K2</f>
        <v>374</v>
      </c>
      <c r="G32" s="71"/>
      <c r="H32" s="17">
        <v>1.05</v>
      </c>
      <c r="I32" s="18">
        <f>+H32*F32</f>
        <v>392.7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3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374</v>
      </c>
      <c r="G34" s="71"/>
      <c r="H34" s="15"/>
      <c r="I34" s="14">
        <f>SUM(I32:I33)</f>
        <v>392.7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3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392.7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392.7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10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B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B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V58"/>
  <sheetViews>
    <sheetView view="pageBreakPreview" topLeftCell="A27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61475254</v>
      </c>
      <c r="K2" s="50">
        <v>1785</v>
      </c>
      <c r="L2" s="44">
        <v>23</v>
      </c>
      <c r="M2" s="44">
        <v>234.285</v>
      </c>
      <c r="N2" s="44">
        <v>237.85499999999999</v>
      </c>
      <c r="O2" s="44">
        <v>259.15499999999997</v>
      </c>
      <c r="P2" s="44" t="s">
        <v>54</v>
      </c>
      <c r="Q2" s="44">
        <v>1.264</v>
      </c>
      <c r="R2" s="44" t="s">
        <v>62</v>
      </c>
    </row>
    <row r="3" spans="2:22" x14ac:dyDescent="0.2">
      <c r="B3" s="6" t="s">
        <v>53</v>
      </c>
      <c r="C3" s="69">
        <f>'253'!C3+1</f>
        <v>254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3">
        <f>J2</f>
        <v>61475254</v>
      </c>
      <c r="C21" s="62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3" t="s">
        <v>35</v>
      </c>
      <c r="G21" s="63"/>
      <c r="H21" s="49" t="str">
        <f>IF(LEFT(G17,2)="CA","CA",IF(LEFT(G17,2)="UN","US",IF(LEFT(G17,2)="PA","PA",IF(LEFT(G17,2)="JA","JP"))))</f>
        <v>US</v>
      </c>
      <c r="I21" s="63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3" t="s">
        <v>25</v>
      </c>
      <c r="C23" s="63"/>
      <c r="D23" s="63" t="s">
        <v>24</v>
      </c>
      <c r="E23" s="63" t="str">
        <f>+D23</f>
        <v>JAKARTA,ID</v>
      </c>
      <c r="F23" s="23">
        <f>+O2</f>
        <v>259.15499999999997</v>
      </c>
      <c r="G23" s="23">
        <f>+N2</f>
        <v>237.85499999999999</v>
      </c>
      <c r="H23" s="23">
        <f>+M2</f>
        <v>234.285</v>
      </c>
      <c r="I23" s="63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3" t="s">
        <v>21</v>
      </c>
      <c r="C31" s="63" t="s">
        <v>20</v>
      </c>
      <c r="D31" s="87" t="s">
        <v>19</v>
      </c>
      <c r="E31" s="87"/>
      <c r="F31" s="87" t="s">
        <v>18</v>
      </c>
      <c r="G31" s="87"/>
      <c r="H31" s="63" t="s">
        <v>17</v>
      </c>
      <c r="I31" s="19" t="s">
        <v>16</v>
      </c>
      <c r="M31"/>
    </row>
    <row r="32" spans="2:13" ht="39" customHeight="1" x14ac:dyDescent="0.2">
      <c r="B32" s="41" t="s">
        <v>210</v>
      </c>
      <c r="C32" s="19" t="s">
        <v>209</v>
      </c>
      <c r="D32" s="70"/>
      <c r="E32" s="71"/>
      <c r="F32" s="70">
        <f>+K2</f>
        <v>1785</v>
      </c>
      <c r="G32" s="71"/>
      <c r="H32" s="17">
        <v>0.9</v>
      </c>
      <c r="I32" s="18">
        <f>+H32*F32</f>
        <v>1606.5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3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1785</v>
      </c>
      <c r="G34" s="71"/>
      <c r="H34" s="15"/>
      <c r="I34" s="14">
        <f>SUM(I32:I33)</f>
        <v>1606.5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3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1606.5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1606.5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11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C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C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622-0C14-4DE1-B095-6F38E9934A5C}">
  <sheetPr>
    <pageSetUpPr fitToPage="1"/>
  </sheetPr>
  <dimension ref="B1:V59"/>
  <sheetViews>
    <sheetView view="pageBreakPreview" topLeftCell="A26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61464361</v>
      </c>
      <c r="K2" s="50">
        <v>5160</v>
      </c>
      <c r="L2" s="44">
        <v>61</v>
      </c>
      <c r="M2" s="44">
        <v>684.03</v>
      </c>
      <c r="N2" s="44">
        <v>694.35</v>
      </c>
      <c r="O2" s="44">
        <v>752.45</v>
      </c>
      <c r="P2" s="44" t="s">
        <v>54</v>
      </c>
      <c r="Q2" s="44">
        <v>3.6339999999999999</v>
      </c>
      <c r="R2" s="44" t="s">
        <v>62</v>
      </c>
    </row>
    <row r="3" spans="2:22" x14ac:dyDescent="0.2">
      <c r="B3" s="6" t="s">
        <v>53</v>
      </c>
      <c r="C3" s="69">
        <f>+'254'!C3+1</f>
        <v>255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61464361</v>
      </c>
      <c r="C21" s="66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752.45</v>
      </c>
      <c r="G23" s="23">
        <f>+N2</f>
        <v>694.35</v>
      </c>
      <c r="H23" s="23">
        <f>+M2</f>
        <v>684.03</v>
      </c>
      <c r="I23" s="67">
        <f>+L2</f>
        <v>61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7" t="s">
        <v>19</v>
      </c>
      <c r="E31" s="87"/>
      <c r="F31" s="87" t="s">
        <v>18</v>
      </c>
      <c r="G31" s="87"/>
      <c r="H31" s="67" t="s">
        <v>17</v>
      </c>
      <c r="I31" s="19" t="s">
        <v>16</v>
      </c>
      <c r="M31"/>
    </row>
    <row r="32" spans="2:13" ht="39" customHeight="1" x14ac:dyDescent="0.2">
      <c r="B32" s="41" t="s">
        <v>194</v>
      </c>
      <c r="C32" s="19" t="s">
        <v>193</v>
      </c>
      <c r="D32" s="70"/>
      <c r="E32" s="71"/>
      <c r="F32" s="70">
        <v>3242</v>
      </c>
      <c r="G32" s="71"/>
      <c r="H32" s="17">
        <v>0.9</v>
      </c>
      <c r="I32" s="18">
        <f>+H32*F32</f>
        <v>2917.8</v>
      </c>
      <c r="K32" s="48"/>
      <c r="M32" s="39"/>
    </row>
    <row r="33" spans="2:13" ht="39" customHeight="1" x14ac:dyDescent="0.2">
      <c r="B33" s="41" t="s">
        <v>207</v>
      </c>
      <c r="C33" s="19" t="s">
        <v>206</v>
      </c>
      <c r="D33" s="70"/>
      <c r="E33" s="71"/>
      <c r="F33" s="70">
        <v>1918</v>
      </c>
      <c r="G33" s="71"/>
      <c r="H33" s="17">
        <v>0.9</v>
      </c>
      <c r="I33" s="18">
        <f>+H33*F33</f>
        <v>1726.2</v>
      </c>
      <c r="K33" s="48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7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5160</v>
      </c>
      <c r="G35" s="71"/>
      <c r="H35" s="15"/>
      <c r="I35" s="14">
        <f>SUM(I32:I34)</f>
        <v>4644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4644</v>
      </c>
    </row>
    <row r="38" spans="2:13" ht="20.25" customHeight="1" x14ac:dyDescent="0.2">
      <c r="B38" s="15" t="s">
        <v>80</v>
      </c>
      <c r="C38" s="72" t="s">
        <v>11</v>
      </c>
      <c r="D38" s="77"/>
      <c r="E38" s="77"/>
      <c r="F38" s="77"/>
      <c r="G38" s="77"/>
      <c r="H38" s="73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4644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12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>
        <v>12</v>
      </c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AFC6512-9B06-421B-AFF0-7835EC1108E8}">
          <x14:formula1>
            <xm:f>Sheet1!$K$5:$K$12</xm:f>
          </x14:formula1>
          <xm:sqref>B14</xm:sqref>
        </x14:dataValidation>
        <x14:dataValidation type="list" allowBlank="1" showInputMessage="1" showErrorMessage="1" xr:uid="{845F5CD3-75AC-4BC8-B90C-B97FA977A87C}">
          <x14:formula1>
            <xm:f>Sheet1!$B$17:$B$18</xm:f>
          </x14:formula1>
          <xm:sqref>G5</xm:sqref>
        </x14:dataValidation>
        <x14:dataValidation type="list" allowBlank="1" showInputMessage="1" showErrorMessage="1" xr:uid="{63B3F182-BA30-4E9F-9DFC-60A60C700FEF}">
          <x14:formula1>
            <xm:f>Sheet1!$L$5:$L$25</xm:f>
          </x14:formula1>
          <xm:sqref>G13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0DA6-9D0E-4919-8EA7-82A26E7A99A8}">
  <sheetPr>
    <pageSetUpPr fitToPage="1"/>
  </sheetPr>
  <dimension ref="B1:V58"/>
  <sheetViews>
    <sheetView view="pageBreakPreview" topLeftCell="A27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61472464</v>
      </c>
      <c r="K2" s="50">
        <v>6918</v>
      </c>
      <c r="L2" s="44">
        <v>143</v>
      </c>
      <c r="M2" s="44">
        <v>956.41</v>
      </c>
      <c r="N2" s="68">
        <v>1094.77</v>
      </c>
      <c r="O2" s="68">
        <v>1215.8699999999999</v>
      </c>
      <c r="P2" s="44" t="s">
        <v>54</v>
      </c>
      <c r="Q2" s="44">
        <v>6.1619999999999999</v>
      </c>
      <c r="R2" s="44" t="s">
        <v>62</v>
      </c>
    </row>
    <row r="3" spans="2:22" x14ac:dyDescent="0.2">
      <c r="B3" s="6" t="s">
        <v>53</v>
      </c>
      <c r="C3" s="69">
        <f>+'255'!C3+1</f>
        <v>256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61472464</v>
      </c>
      <c r="C21" s="6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1215.8699999999999</v>
      </c>
      <c r="G23" s="23">
        <f>+N2</f>
        <v>1094.77</v>
      </c>
      <c r="H23" s="23">
        <f>+M2</f>
        <v>956.41</v>
      </c>
      <c r="I23" s="67">
        <f>+L2</f>
        <v>143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7" t="s">
        <v>19</v>
      </c>
      <c r="E31" s="87"/>
      <c r="F31" s="87" t="s">
        <v>18</v>
      </c>
      <c r="G31" s="87"/>
      <c r="H31" s="67" t="s">
        <v>17</v>
      </c>
      <c r="I31" s="19" t="s">
        <v>16</v>
      </c>
      <c r="M31"/>
    </row>
    <row r="32" spans="2:13" ht="76.5" x14ac:dyDescent="0.2">
      <c r="B32" s="41" t="s">
        <v>204</v>
      </c>
      <c r="C32" s="19" t="s">
        <v>203</v>
      </c>
      <c r="D32" s="70"/>
      <c r="E32" s="71"/>
      <c r="F32" s="70">
        <f>+K2</f>
        <v>6918</v>
      </c>
      <c r="G32" s="71"/>
      <c r="H32" s="17">
        <v>1.05</v>
      </c>
      <c r="I32" s="18">
        <f>+H32*F32</f>
        <v>7263.9000000000005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6918</v>
      </c>
      <c r="G34" s="71"/>
      <c r="H34" s="15"/>
      <c r="I34" s="14">
        <f>SUM(I32:I33)</f>
        <v>7263.9000000000005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7263.9000000000005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7263.9000000000005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13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3B75E7-ACBA-46AA-8C70-8C98EBADC7EA}">
          <x14:formula1>
            <xm:f>Sheet1!$L$5:$L$25</xm:f>
          </x14:formula1>
          <xm:sqref>G13</xm:sqref>
        </x14:dataValidation>
        <x14:dataValidation type="list" allowBlank="1" showInputMessage="1" showErrorMessage="1" xr:uid="{AC79E212-3EA6-4BDB-8C91-8ADAB50900C8}">
          <x14:formula1>
            <xm:f>Sheet1!$B$17:$B$18</xm:f>
          </x14:formula1>
          <xm:sqref>G5</xm:sqref>
        </x14:dataValidation>
        <x14:dataValidation type="list" allowBlank="1" showInputMessage="1" showErrorMessage="1" xr:uid="{5A53E507-43A5-41F1-8FD3-C00E11684353}">
          <x14:formula1>
            <xm:f>Sheet1!$K$5:$K$12</xm:f>
          </x14:formula1>
          <xm:sqref>B14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EDF-D78C-4BD5-A59A-4CB6E8E43A86}">
  <sheetPr>
    <pageSetUpPr fitToPage="1"/>
  </sheetPr>
  <dimension ref="B1:V58"/>
  <sheetViews>
    <sheetView view="pageBreakPreview" topLeftCell="A21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61476478</v>
      </c>
      <c r="K2" s="44">
        <v>689</v>
      </c>
      <c r="L2" s="44">
        <v>13</v>
      </c>
      <c r="M2" s="44">
        <v>93.19</v>
      </c>
      <c r="N2" s="44">
        <v>106.97</v>
      </c>
      <c r="O2" s="44">
        <v>118.17</v>
      </c>
      <c r="P2" s="44" t="s">
        <v>54</v>
      </c>
      <c r="Q2" s="44">
        <v>0.58199999999999996</v>
      </c>
      <c r="R2" s="44" t="s">
        <v>62</v>
      </c>
    </row>
    <row r="3" spans="2:22" x14ac:dyDescent="0.2">
      <c r="B3" s="6" t="s">
        <v>53</v>
      </c>
      <c r="C3" s="69">
        <f>+'256'!C3+1</f>
        <v>257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61476478</v>
      </c>
      <c r="C21" s="6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118.17</v>
      </c>
      <c r="G23" s="23">
        <f>+N2</f>
        <v>106.97</v>
      </c>
      <c r="H23" s="23">
        <f>+M2</f>
        <v>93.19</v>
      </c>
      <c r="I23" s="67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7" t="s">
        <v>19</v>
      </c>
      <c r="E31" s="87"/>
      <c r="F31" s="87" t="s">
        <v>18</v>
      </c>
      <c r="G31" s="87"/>
      <c r="H31" s="67" t="s">
        <v>17</v>
      </c>
      <c r="I31" s="19" t="s">
        <v>16</v>
      </c>
      <c r="M31"/>
    </row>
    <row r="32" spans="2:13" ht="39" customHeight="1" x14ac:dyDescent="0.2">
      <c r="B32" s="41" t="s">
        <v>202</v>
      </c>
      <c r="C32" s="19" t="s">
        <v>201</v>
      </c>
      <c r="D32" s="70"/>
      <c r="E32" s="71"/>
      <c r="F32" s="70">
        <f>+K2</f>
        <v>689</v>
      </c>
      <c r="G32" s="71"/>
      <c r="H32" s="17">
        <v>1.05</v>
      </c>
      <c r="I32" s="18">
        <f>+H32*F32</f>
        <v>723.45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689</v>
      </c>
      <c r="G34" s="71"/>
      <c r="H34" s="15"/>
      <c r="I34" s="14">
        <f>SUM(I32:I33)</f>
        <v>723.45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723.45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723.45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14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385FA0-00A2-4BF3-B1F4-76598AD3B19E}">
          <x14:formula1>
            <xm:f>Sheet1!$K$5:$K$12</xm:f>
          </x14:formula1>
          <xm:sqref>B14</xm:sqref>
        </x14:dataValidation>
        <x14:dataValidation type="list" allowBlank="1" showInputMessage="1" showErrorMessage="1" xr:uid="{B9DEF07A-1FF0-49EB-8209-A913FE833878}">
          <x14:formula1>
            <xm:f>Sheet1!$B$17:$B$18</xm:f>
          </x14:formula1>
          <xm:sqref>G5</xm:sqref>
        </x14:dataValidation>
        <x14:dataValidation type="list" allowBlank="1" showInputMessage="1" showErrorMessage="1" xr:uid="{DBE23F1E-C6D8-4134-8DE8-B0E944B506E4}">
          <x14:formula1>
            <xm:f>Sheet1!$L$5:$L$25</xm:f>
          </x14:formula1>
          <xm:sqref>G13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D0C0-839C-43AA-A48C-27453BFD2E53}">
  <sheetPr>
    <pageSetUpPr fitToPage="1"/>
  </sheetPr>
  <dimension ref="B1:V59"/>
  <sheetViews>
    <sheetView view="pageBreakPreview" topLeftCell="A22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61608744</v>
      </c>
      <c r="K2" s="44">
        <v>900</v>
      </c>
      <c r="L2" s="44">
        <v>11</v>
      </c>
      <c r="M2" s="44">
        <v>63.125</v>
      </c>
      <c r="N2" s="44">
        <v>64.924999999999997</v>
      </c>
      <c r="O2" s="44">
        <v>73.625</v>
      </c>
      <c r="P2" s="44" t="s">
        <v>54</v>
      </c>
      <c r="Q2" s="44">
        <v>0.38</v>
      </c>
      <c r="R2" s="44" t="s">
        <v>62</v>
      </c>
    </row>
    <row r="3" spans="2:22" x14ac:dyDescent="0.2">
      <c r="B3" s="6" t="s">
        <v>53</v>
      </c>
      <c r="C3" s="69">
        <f>'257'!C3+1</f>
        <v>258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61608744</v>
      </c>
      <c r="C21" s="6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CA</v>
      </c>
      <c r="I21" s="67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73.625</v>
      </c>
      <c r="G23" s="23">
        <f>+N2</f>
        <v>64.924999999999997</v>
      </c>
      <c r="H23" s="23">
        <f>+M2</f>
        <v>63.125</v>
      </c>
      <c r="I23" s="67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Girls Cotton Fibers, Knit T-Shirt, With No Neck Closure, Stitch Count Is Greater Than 9/2cm, Reaches Waist [60% Cotton 40% Recycled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7" t="s">
        <v>19</v>
      </c>
      <c r="E31" s="87"/>
      <c r="F31" s="87" t="s">
        <v>18</v>
      </c>
      <c r="G31" s="87"/>
      <c r="H31" s="67" t="s">
        <v>17</v>
      </c>
      <c r="I31" s="19" t="s">
        <v>16</v>
      </c>
      <c r="M31"/>
    </row>
    <row r="32" spans="2:13" ht="39" customHeight="1" x14ac:dyDescent="0.2">
      <c r="B32" s="41" t="s">
        <v>213</v>
      </c>
      <c r="C32" s="19" t="s">
        <v>212</v>
      </c>
      <c r="D32" s="70"/>
      <c r="E32" s="71"/>
      <c r="F32" s="70">
        <v>800</v>
      </c>
      <c r="G32" s="71"/>
      <c r="H32" s="17">
        <v>0.71</v>
      </c>
      <c r="I32" s="18">
        <f>+H32*F32</f>
        <v>568</v>
      </c>
      <c r="K32" s="48"/>
      <c r="M32" s="39"/>
    </row>
    <row r="33" spans="2:13" ht="39" customHeight="1" x14ac:dyDescent="0.2">
      <c r="B33" s="41" t="s">
        <v>177</v>
      </c>
      <c r="C33" s="19" t="s">
        <v>178</v>
      </c>
      <c r="D33" s="70"/>
      <c r="E33" s="71"/>
      <c r="F33" s="70">
        <v>100</v>
      </c>
      <c r="G33" s="71"/>
      <c r="H33" s="17">
        <v>0.71</v>
      </c>
      <c r="I33" s="18">
        <f>+H33*F33</f>
        <v>71</v>
      </c>
      <c r="K33" s="48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7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900</v>
      </c>
      <c r="G35" s="71"/>
      <c r="H35" s="15"/>
      <c r="I35" s="14">
        <f>SUM(I32:I34)</f>
        <v>639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639</v>
      </c>
    </row>
    <row r="38" spans="2:13" ht="20.25" customHeight="1" x14ac:dyDescent="0.2">
      <c r="B38" s="15" t="s">
        <v>80</v>
      </c>
      <c r="C38" s="72" t="s">
        <v>11</v>
      </c>
      <c r="D38" s="77"/>
      <c r="E38" s="77"/>
      <c r="F38" s="77"/>
      <c r="G38" s="77"/>
      <c r="H38" s="73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639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15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>
        <v>15</v>
      </c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C14458-43FE-4821-871D-20F1CA0ADC79}">
          <x14:formula1>
            <xm:f>Sheet1!$L$5:$L$25</xm:f>
          </x14:formula1>
          <xm:sqref>G13</xm:sqref>
        </x14:dataValidation>
        <x14:dataValidation type="list" allowBlank="1" showInputMessage="1" showErrorMessage="1" xr:uid="{1C0341E8-5D8F-4E00-B1A2-D65DA0616BAB}">
          <x14:formula1>
            <xm:f>Sheet1!$B$17:$B$18</xm:f>
          </x14:formula1>
          <xm:sqref>G5</xm:sqref>
        </x14:dataValidation>
        <x14:dataValidation type="list" allowBlank="1" showInputMessage="1" showErrorMessage="1" xr:uid="{C14BC80E-9E41-47E5-AB23-76C4DA9ABC11}">
          <x14:formula1>
            <xm:f>Sheet1!$K$5:$K$12</xm:f>
          </x14:formula1>
          <xm:sqref>B14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6B2E-8706-42C0-8489-AEEFB43EAF90}">
  <sheetPr>
    <pageSetUpPr fitToPage="1"/>
  </sheetPr>
  <dimension ref="B1:V59"/>
  <sheetViews>
    <sheetView view="pageBreakPreview" topLeftCell="A23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61663465</v>
      </c>
      <c r="K2" s="50">
        <v>4152</v>
      </c>
      <c r="L2" s="44">
        <v>46</v>
      </c>
      <c r="M2" s="44">
        <v>288.48099999999999</v>
      </c>
      <c r="N2" s="44">
        <v>296.78500000000003</v>
      </c>
      <c r="O2" s="44">
        <v>329.98500000000001</v>
      </c>
      <c r="P2" s="44" t="s">
        <v>54</v>
      </c>
      <c r="Q2" s="44">
        <v>1.778</v>
      </c>
      <c r="R2" s="44" t="s">
        <v>62</v>
      </c>
    </row>
    <row r="3" spans="2:22" x14ac:dyDescent="0.2">
      <c r="B3" s="6" t="s">
        <v>53</v>
      </c>
      <c r="C3" s="69">
        <f>'258'!C3+1</f>
        <v>259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61663465</v>
      </c>
      <c r="C21" s="6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9" t="str">
        <f>IF(LEFT(G17,2)="CA","CA",IF(LEFT(G17,2)="UN","US",IF(LEFT(G17,2)="PA","PA",IF(LEFT(G17,2)="JA","JP"))))</f>
        <v>CA</v>
      </c>
      <c r="I21" s="67" t="s">
        <v>34</v>
      </c>
      <c r="K21" s="20">
        <v>16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329.98500000000001</v>
      </c>
      <c r="G23" s="23">
        <f>+N2</f>
        <v>296.78500000000003</v>
      </c>
      <c r="H23" s="23">
        <f>+M2</f>
        <v>288.48099999999999</v>
      </c>
      <c r="I23" s="67">
        <f>+L2</f>
        <v>46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Girls Cotton Fibers, Knit T-Shirt, With No Neck Closure, Stitch Count Is Greater Than 9/2cm, Reaches Waist [60% Cotton 40% Recycled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7" t="s">
        <v>19</v>
      </c>
      <c r="E31" s="87"/>
      <c r="F31" s="87" t="s">
        <v>18</v>
      </c>
      <c r="G31" s="87"/>
      <c r="H31" s="67" t="s">
        <v>17</v>
      </c>
      <c r="I31" s="19" t="s">
        <v>16</v>
      </c>
      <c r="M31"/>
    </row>
    <row r="32" spans="2:13" ht="39" customHeight="1" x14ac:dyDescent="0.2">
      <c r="B32" s="41" t="s">
        <v>213</v>
      </c>
      <c r="C32" s="19" t="s">
        <v>212</v>
      </c>
      <c r="D32" s="70"/>
      <c r="E32" s="71"/>
      <c r="F32" s="70">
        <v>2922</v>
      </c>
      <c r="G32" s="71"/>
      <c r="H32" s="17">
        <v>0.71</v>
      </c>
      <c r="I32" s="18">
        <f>+H32*F32</f>
        <v>2074.62</v>
      </c>
      <c r="K32" s="48"/>
      <c r="M32" s="39"/>
    </row>
    <row r="33" spans="2:13" ht="39" customHeight="1" x14ac:dyDescent="0.2">
      <c r="B33" s="41" t="s">
        <v>177</v>
      </c>
      <c r="C33" s="19" t="s">
        <v>178</v>
      </c>
      <c r="D33" s="70"/>
      <c r="E33" s="71"/>
      <c r="F33" s="70">
        <v>1230</v>
      </c>
      <c r="G33" s="71"/>
      <c r="H33" s="17">
        <v>0.71</v>
      </c>
      <c r="I33" s="18">
        <f>+H33*F33</f>
        <v>873.3</v>
      </c>
      <c r="K33" s="48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7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4152</v>
      </c>
      <c r="G35" s="71"/>
      <c r="H35" s="15"/>
      <c r="I35" s="14">
        <f>SUM(I32:I34)</f>
        <v>2947.92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2947.92</v>
      </c>
    </row>
    <row r="38" spans="2:13" ht="20.25" customHeight="1" x14ac:dyDescent="0.2">
      <c r="B38" s="15" t="s">
        <v>80</v>
      </c>
      <c r="C38" s="72" t="s">
        <v>11</v>
      </c>
      <c r="D38" s="77"/>
      <c r="E38" s="77"/>
      <c r="F38" s="77"/>
      <c r="G38" s="77"/>
      <c r="H38" s="73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2947.92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16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>
        <v>16</v>
      </c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BFF53B-25F1-4A47-B074-04D7C1F6B135}">
          <x14:formula1>
            <xm:f>Sheet1!$K$5:$K$12</xm:f>
          </x14:formula1>
          <xm:sqref>B14</xm:sqref>
        </x14:dataValidation>
        <x14:dataValidation type="list" allowBlank="1" showInputMessage="1" showErrorMessage="1" xr:uid="{C0457828-C7EA-43AF-A56E-15EDA2A7A2E8}">
          <x14:formula1>
            <xm:f>Sheet1!$B$17:$B$18</xm:f>
          </x14:formula1>
          <xm:sqref>G5</xm:sqref>
        </x14:dataValidation>
        <x14:dataValidation type="list" allowBlank="1" showInputMessage="1" showErrorMessage="1" xr:uid="{60F58A6D-9B01-4421-A21B-3CE2D342C83A}">
          <x14:formula1>
            <xm:f>Sheet1!$L$5:$L$25</xm:f>
          </x14:formula1>
          <xm:sqref>G13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C045-2D25-40E7-A1EE-72AAADF43FF8}">
  <sheetPr>
    <pageSetUpPr fitToPage="1"/>
  </sheetPr>
  <dimension ref="B1:V58"/>
  <sheetViews>
    <sheetView view="pageBreakPreview" topLeftCell="A23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61647079</v>
      </c>
      <c r="K2" s="50">
        <v>1917</v>
      </c>
      <c r="L2" s="44">
        <v>19</v>
      </c>
      <c r="M2" s="44">
        <v>140.93100000000001</v>
      </c>
      <c r="N2" s="44">
        <v>144.76499999999999</v>
      </c>
      <c r="O2" s="44">
        <v>160.66499999999999</v>
      </c>
      <c r="P2" s="44" t="s">
        <v>54</v>
      </c>
      <c r="Q2" s="44">
        <v>0.80500000000000005</v>
      </c>
      <c r="R2" s="44" t="s">
        <v>62</v>
      </c>
    </row>
    <row r="3" spans="2:22" x14ac:dyDescent="0.2">
      <c r="B3" s="6" t="s">
        <v>53</v>
      </c>
      <c r="C3" s="69">
        <f>'259'!C3+1</f>
        <v>260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61647079</v>
      </c>
      <c r="C21" s="6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160.66499999999999</v>
      </c>
      <c r="G23" s="23">
        <f>+N2</f>
        <v>144.76499999999999</v>
      </c>
      <c r="H23" s="23">
        <f>+M2</f>
        <v>140.93100000000001</v>
      </c>
      <c r="I23" s="67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GIRLS COTTON FIBERS, KNIT PULLOVER, WITH NO NECK CLOSURE, STITCH COUNT IS GREATER THAN 9/2CM, REACHES WAIST [100% COTTON]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7" t="s">
        <v>19</v>
      </c>
      <c r="E31" s="87"/>
      <c r="F31" s="87" t="s">
        <v>18</v>
      </c>
      <c r="G31" s="87"/>
      <c r="H31" s="67" t="s">
        <v>17</v>
      </c>
      <c r="I31" s="19" t="s">
        <v>16</v>
      </c>
      <c r="M31"/>
    </row>
    <row r="32" spans="2:13" ht="39" customHeight="1" x14ac:dyDescent="0.2">
      <c r="B32" s="41" t="s">
        <v>181</v>
      </c>
      <c r="C32" s="19" t="s">
        <v>184</v>
      </c>
      <c r="D32" s="70"/>
      <c r="E32" s="71"/>
      <c r="F32" s="70">
        <f>+K2</f>
        <v>1917</v>
      </c>
      <c r="G32" s="71"/>
      <c r="H32" s="17">
        <v>0.81</v>
      </c>
      <c r="I32" s="18">
        <f>+H32*F32</f>
        <v>1552.7700000000002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1917</v>
      </c>
      <c r="G34" s="71"/>
      <c r="H34" s="15"/>
      <c r="I34" s="14">
        <f>SUM(I32:I33)</f>
        <v>1552.7700000000002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1552.7700000000002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1552.7700000000002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17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17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19B34E-BDA4-4D35-A1EF-5877DEDD1966}">
          <x14:formula1>
            <xm:f>Sheet1!$L$5:$L$25</xm:f>
          </x14:formula1>
          <xm:sqref>G13</xm:sqref>
        </x14:dataValidation>
        <x14:dataValidation type="list" allowBlank="1" showInputMessage="1" showErrorMessage="1" xr:uid="{A1836E8F-FB22-4361-888E-49262A10B299}">
          <x14:formula1>
            <xm:f>Sheet1!$B$17:$B$18</xm:f>
          </x14:formula1>
          <xm:sqref>G5</xm:sqref>
        </x14:dataValidation>
        <x14:dataValidation type="list" allowBlank="1" showInputMessage="1" showErrorMessage="1" xr:uid="{4A3E3AE3-8B36-4463-93F7-CC9915F86495}">
          <x14:formula1>
            <xm:f>Sheet1!$K$5:$K$12</xm:f>
          </x14:formula1>
          <xm:sqref>B14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303E-BE8D-422B-9956-018A4C4845EF}">
  <sheetPr>
    <pageSetUpPr fitToPage="1"/>
  </sheetPr>
  <dimension ref="B1:V58"/>
  <sheetViews>
    <sheetView view="pageBreakPreview" topLeftCell="A22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61647067</v>
      </c>
      <c r="K2" s="50">
        <v>3892</v>
      </c>
      <c r="L2" s="44">
        <v>40</v>
      </c>
      <c r="M2" s="44">
        <v>325.92599999999999</v>
      </c>
      <c r="N2" s="44">
        <v>333.71</v>
      </c>
      <c r="O2" s="44">
        <v>370.01</v>
      </c>
      <c r="P2" s="44" t="s">
        <v>54</v>
      </c>
      <c r="Q2" s="44">
        <v>2.0910000000000002</v>
      </c>
      <c r="R2" s="44" t="s">
        <v>62</v>
      </c>
    </row>
    <row r="3" spans="2:22" x14ac:dyDescent="0.2">
      <c r="B3" s="6" t="s">
        <v>53</v>
      </c>
      <c r="C3" s="69">
        <f>'260'!C3+1</f>
        <v>261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61647067</v>
      </c>
      <c r="C21" s="6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370.01</v>
      </c>
      <c r="G23" s="23">
        <f>+N2</f>
        <v>333.71</v>
      </c>
      <c r="H23" s="23">
        <f>+M2</f>
        <v>325.92599999999999</v>
      </c>
      <c r="I23" s="67">
        <f>+L2</f>
        <v>40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GIRLS COTTON FIBERS, KNIT PULLOVER, WITH NO NECK CLOSURE, STITCH COUNT IS GREATER THAN 9/2CM, REACHES WAIST [100% COTTON]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7" t="s">
        <v>19</v>
      </c>
      <c r="E31" s="87"/>
      <c r="F31" s="87" t="s">
        <v>18</v>
      </c>
      <c r="G31" s="87"/>
      <c r="H31" s="67" t="s">
        <v>17</v>
      </c>
      <c r="I31" s="19" t="s">
        <v>16</v>
      </c>
      <c r="M31"/>
    </row>
    <row r="32" spans="2:13" ht="39" customHeight="1" x14ac:dyDescent="0.2">
      <c r="B32" s="41" t="s">
        <v>181</v>
      </c>
      <c r="C32" s="19" t="s">
        <v>184</v>
      </c>
      <c r="D32" s="70"/>
      <c r="E32" s="71"/>
      <c r="F32" s="70">
        <f>+K2</f>
        <v>3892</v>
      </c>
      <c r="G32" s="71"/>
      <c r="H32" s="17">
        <v>0.84</v>
      </c>
      <c r="I32" s="18">
        <f>+H32*F32</f>
        <v>3269.2799999999997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3892</v>
      </c>
      <c r="G34" s="71"/>
      <c r="H34" s="15"/>
      <c r="I34" s="14">
        <f>SUM(I32:I33)</f>
        <v>3269.2799999999997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3269.2799999999997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3269.2799999999997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18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18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5B8E7A2-2E99-457E-B8BE-12349531D318}">
          <x14:formula1>
            <xm:f>Sheet1!$K$5:$K$12</xm:f>
          </x14:formula1>
          <xm:sqref>B14</xm:sqref>
        </x14:dataValidation>
        <x14:dataValidation type="list" allowBlank="1" showInputMessage="1" showErrorMessage="1" xr:uid="{4EE8CB6E-83A6-4F23-B199-5C44F19C430D}">
          <x14:formula1>
            <xm:f>Sheet1!$B$17:$B$18</xm:f>
          </x14:formula1>
          <xm:sqref>G5</xm:sqref>
        </x14:dataValidation>
        <x14:dataValidation type="list" allowBlank="1" showInputMessage="1" showErrorMessage="1" xr:uid="{5CC2DC08-FCA9-44E4-9862-161AA06578D4}">
          <x14:formula1>
            <xm:f>Sheet1!$L$5:$L$25</xm:f>
          </x14:formula1>
          <xm:sqref>G13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86F8-8A07-4445-8EA1-F643438DB709}">
  <sheetPr>
    <pageSetUpPr fitToPage="1"/>
  </sheetPr>
  <dimension ref="B1:V58"/>
  <sheetViews>
    <sheetView view="pageBreakPreview" topLeftCell="A22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61647083</v>
      </c>
      <c r="K2" s="44">
        <v>954</v>
      </c>
      <c r="L2" s="44">
        <v>11</v>
      </c>
      <c r="M2" s="44">
        <v>70.057000000000002</v>
      </c>
      <c r="N2" s="44">
        <v>71.965000000000003</v>
      </c>
      <c r="O2" s="44">
        <v>80.864999999999995</v>
      </c>
      <c r="P2" s="44" t="s">
        <v>54</v>
      </c>
      <c r="Q2" s="44">
        <v>0.40300000000000002</v>
      </c>
      <c r="R2" s="44" t="s">
        <v>62</v>
      </c>
    </row>
    <row r="3" spans="2:22" x14ac:dyDescent="0.2">
      <c r="B3" s="6" t="s">
        <v>53</v>
      </c>
      <c r="C3" s="69">
        <f>'261'!C3+1</f>
        <v>262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61647083</v>
      </c>
      <c r="C21" s="6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19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80.864999999999995</v>
      </c>
      <c r="G23" s="23">
        <f>+N2</f>
        <v>71.965000000000003</v>
      </c>
      <c r="H23" s="23">
        <f>+M2</f>
        <v>70.057000000000002</v>
      </c>
      <c r="I23" s="67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GIRLS COTTON FIBERS, KNIT PULLOVER, WITH NO NECK CLOSURE, STITCH COUNT IS GREATER THAN 9/2CM, REACHES WAIST [100% COTTON]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7" t="s">
        <v>19</v>
      </c>
      <c r="E31" s="87"/>
      <c r="F31" s="87" t="s">
        <v>18</v>
      </c>
      <c r="G31" s="87"/>
      <c r="H31" s="67" t="s">
        <v>17</v>
      </c>
      <c r="I31" s="19" t="s">
        <v>16</v>
      </c>
      <c r="M31"/>
    </row>
    <row r="32" spans="2:13" ht="39" customHeight="1" x14ac:dyDescent="0.2">
      <c r="B32" s="41" t="s">
        <v>181</v>
      </c>
      <c r="C32" s="19" t="s">
        <v>184</v>
      </c>
      <c r="D32" s="70"/>
      <c r="E32" s="71"/>
      <c r="F32" s="70">
        <f>+K2</f>
        <v>954</v>
      </c>
      <c r="G32" s="71"/>
      <c r="H32" s="17">
        <v>0.81</v>
      </c>
      <c r="I32" s="18">
        <f>+H32*F32</f>
        <v>772.74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954</v>
      </c>
      <c r="G34" s="71"/>
      <c r="H34" s="15"/>
      <c r="I34" s="14">
        <f>SUM(I32:I33)</f>
        <v>772.74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772.74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772.74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19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19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5544CA-A8B7-48C2-B720-999183C890D9}">
          <x14:formula1>
            <xm:f>Sheet1!$L$5:$L$25</xm:f>
          </x14:formula1>
          <xm:sqref>G13</xm:sqref>
        </x14:dataValidation>
        <x14:dataValidation type="list" allowBlank="1" showInputMessage="1" showErrorMessage="1" xr:uid="{CA743E78-B6F8-4A42-9D85-838C21FB34CF}">
          <x14:formula1>
            <xm:f>Sheet1!$B$17:$B$18</xm:f>
          </x14:formula1>
          <xm:sqref>G5</xm:sqref>
        </x14:dataValidation>
        <x14:dataValidation type="list" allowBlank="1" showInputMessage="1" showErrorMessage="1" xr:uid="{96D8FF2E-A875-497A-BE2E-2FB41FD7F7FD}">
          <x14:formula1>
            <xm:f>Sheet1!$K$5:$K$12</xm:f>
          </x14:formula1>
          <xm:sqref>B14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E5F8-8345-446C-A1C1-99CC24FE6C6D}">
  <sheetPr>
    <pageSetUpPr fitToPage="1"/>
  </sheetPr>
  <dimension ref="B1:V58"/>
  <sheetViews>
    <sheetView view="pageBreakPreview" topLeftCell="A26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61613707</v>
      </c>
      <c r="K2" s="50">
        <v>19092</v>
      </c>
      <c r="L2" s="44">
        <v>166</v>
      </c>
      <c r="M2" s="68">
        <v>1548.8409999999999</v>
      </c>
      <c r="N2" s="68">
        <v>1587.0250000000001</v>
      </c>
      <c r="O2" s="68">
        <v>1745.075</v>
      </c>
      <c r="P2" s="44" t="s">
        <v>54</v>
      </c>
      <c r="Q2" s="44">
        <v>10.182</v>
      </c>
      <c r="R2" s="44" t="s">
        <v>62</v>
      </c>
    </row>
    <row r="3" spans="2:22" x14ac:dyDescent="0.2">
      <c r="B3" s="6" t="s">
        <v>53</v>
      </c>
      <c r="C3" s="69">
        <f>'262'!C3+1</f>
        <v>263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61613707</v>
      </c>
      <c r="C21" s="6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20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1745.075</v>
      </c>
      <c r="G23" s="23">
        <f>+N2</f>
        <v>1587.0250000000001</v>
      </c>
      <c r="H23" s="23">
        <f>+M2</f>
        <v>1548.8409999999999</v>
      </c>
      <c r="I23" s="67">
        <f>+L2</f>
        <v>166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GIRLS COTTON FIBERS, KNIT PULLOVER, WITH NO NECK CLOSURE, STITCH COUNT IS GREATER THAN 9/2CM, REACHES WAIST [100% COTTON]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7" t="s">
        <v>19</v>
      </c>
      <c r="E31" s="87"/>
      <c r="F31" s="87" t="s">
        <v>18</v>
      </c>
      <c r="G31" s="87"/>
      <c r="H31" s="67" t="s">
        <v>17</v>
      </c>
      <c r="I31" s="19" t="s">
        <v>16</v>
      </c>
      <c r="M31"/>
    </row>
    <row r="32" spans="2:13" ht="39" customHeight="1" x14ac:dyDescent="0.2">
      <c r="B32" s="41" t="s">
        <v>215</v>
      </c>
      <c r="C32" s="19" t="s">
        <v>184</v>
      </c>
      <c r="D32" s="70"/>
      <c r="E32" s="71"/>
      <c r="F32" s="70">
        <f>+K2</f>
        <v>19092</v>
      </c>
      <c r="G32" s="71"/>
      <c r="H32" s="17">
        <v>0.84</v>
      </c>
      <c r="I32" s="18">
        <f>+H32*F32</f>
        <v>16037.279999999999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19092</v>
      </c>
      <c r="G34" s="71"/>
      <c r="H34" s="15"/>
      <c r="I34" s="14">
        <f>SUM(I32:I33)</f>
        <v>16037.279999999999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16037.279999999999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16037.279999999999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20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20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C31CC9-0454-4FFC-9D88-B184C314C33A}">
          <x14:formula1>
            <xm:f>Sheet1!$K$5:$K$12</xm:f>
          </x14:formula1>
          <xm:sqref>B14</xm:sqref>
        </x14:dataValidation>
        <x14:dataValidation type="list" allowBlank="1" showInputMessage="1" showErrorMessage="1" xr:uid="{C4F85756-A0CD-4B82-BF90-1BFB7C7DCF00}">
          <x14:formula1>
            <xm:f>Sheet1!$B$17:$B$18</xm:f>
          </x14:formula1>
          <xm:sqref>G5</xm:sqref>
        </x14:dataValidation>
        <x14:dataValidation type="list" allowBlank="1" showInputMessage="1" showErrorMessage="1" xr:uid="{5A1D0F38-528D-4980-973F-7F8CDE36EE0F}">
          <x14:formula1>
            <xm:f>Sheet1!$L$5:$L$25</xm:f>
          </x14:formula1>
          <xm:sqref>G13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B587-50EE-4FA7-A60D-F9103065417B}">
  <sheetPr>
    <pageSetUpPr fitToPage="1"/>
  </sheetPr>
  <dimension ref="B1:V58"/>
  <sheetViews>
    <sheetView view="pageBreakPreview" topLeftCell="A21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61420129</v>
      </c>
      <c r="K2" s="50">
        <v>3570</v>
      </c>
      <c r="L2" s="44">
        <v>35</v>
      </c>
      <c r="M2" s="44">
        <v>251.85499999999999</v>
      </c>
      <c r="N2" s="44">
        <v>258.995</v>
      </c>
      <c r="O2" s="44">
        <v>286.495</v>
      </c>
      <c r="P2" s="44" t="s">
        <v>54</v>
      </c>
      <c r="Q2" s="44">
        <v>1.51</v>
      </c>
      <c r="R2" s="44" t="s">
        <v>62</v>
      </c>
    </row>
    <row r="3" spans="2:22" x14ac:dyDescent="0.2">
      <c r="B3" s="6" t="s">
        <v>53</v>
      </c>
      <c r="C3" s="69">
        <f>'263'!C3+1</f>
        <v>264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61420129</v>
      </c>
      <c r="C21" s="66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21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286.495</v>
      </c>
      <c r="G23" s="23">
        <f>+N2</f>
        <v>258.995</v>
      </c>
      <c r="H23" s="23">
        <f>+M2</f>
        <v>251.85499999999999</v>
      </c>
      <c r="I23" s="67">
        <f>+L2</f>
        <v>35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GIRLS COTTON FIBERS, KNIT PULLOVER, WITH NO NECK CLOSURE, STITCH COUNT IS GREATER THAN 9/2CM, REACHES WAIST [100% COTTON]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7" t="s">
        <v>19</v>
      </c>
      <c r="E31" s="87"/>
      <c r="F31" s="87" t="s">
        <v>18</v>
      </c>
      <c r="G31" s="87"/>
      <c r="H31" s="67" t="s">
        <v>17</v>
      </c>
      <c r="I31" s="19" t="s">
        <v>16</v>
      </c>
      <c r="M31"/>
    </row>
    <row r="32" spans="2:13" ht="39" customHeight="1" x14ac:dyDescent="0.2">
      <c r="B32" s="41" t="s">
        <v>181</v>
      </c>
      <c r="C32" s="19" t="s">
        <v>186</v>
      </c>
      <c r="D32" s="70"/>
      <c r="E32" s="71"/>
      <c r="F32" s="70">
        <f>+K2</f>
        <v>3570</v>
      </c>
      <c r="G32" s="71"/>
      <c r="H32" s="17">
        <v>0.81</v>
      </c>
      <c r="I32" s="18">
        <f>+H32*F32</f>
        <v>2891.7000000000003</v>
      </c>
      <c r="K32" s="48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7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3570</v>
      </c>
      <c r="G34" s="71"/>
      <c r="H34" s="15"/>
      <c r="I34" s="14">
        <f>SUM(I32:I33)</f>
        <v>2891.7000000000003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2891.7000000000003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2891.7000000000003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21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21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3C5D77-14CF-458A-BF67-60EE630FE679}">
          <x14:formula1>
            <xm:f>Sheet1!$L$5:$L$25</xm:f>
          </x14:formula1>
          <xm:sqref>G13</xm:sqref>
        </x14:dataValidation>
        <x14:dataValidation type="list" allowBlank="1" showInputMessage="1" showErrorMessage="1" xr:uid="{7456C35F-B27E-429F-A2D2-C7864EE099AF}">
          <x14:formula1>
            <xm:f>Sheet1!$B$17:$B$18</xm:f>
          </x14:formula1>
          <xm:sqref>G5</xm:sqref>
        </x14:dataValidation>
        <x14:dataValidation type="list" allowBlank="1" showInputMessage="1" showErrorMessage="1" xr:uid="{FEB047CC-32AD-4C59-B3C5-EF67CC1B8DA6}">
          <x14:formula1>
            <xm:f>Sheet1!$K$5:$K$12</xm:f>
          </x14:formula1>
          <xm:sqref>B14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6598-8101-46D9-8888-8EDF331B9C5D}">
  <sheetPr>
    <pageSetUpPr fitToPage="1"/>
  </sheetPr>
  <dimension ref="B1:V59"/>
  <sheetViews>
    <sheetView tabSelected="1" view="pageBreakPreview" zoomScaleNormal="100" zoomScaleSheetLayoutView="100" workbookViewId="0">
      <selection activeCell="H18" sqref="H1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218</v>
      </c>
      <c r="C2" s="82"/>
      <c r="D2" s="82"/>
      <c r="E2" s="82"/>
      <c r="F2" s="82"/>
      <c r="G2" s="82"/>
      <c r="H2" s="82"/>
      <c r="I2" s="83"/>
      <c r="J2" s="43">
        <v>61863617</v>
      </c>
      <c r="K2" s="50">
        <v>3530</v>
      </c>
      <c r="L2" s="44">
        <v>21</v>
      </c>
      <c r="M2" s="44">
        <v>258.97000000000003</v>
      </c>
      <c r="N2" s="44">
        <v>266.02999999999997</v>
      </c>
      <c r="O2" s="44">
        <v>287.02999999999997</v>
      </c>
      <c r="P2" s="44" t="s">
        <v>54</v>
      </c>
      <c r="Q2" s="44">
        <v>1.409</v>
      </c>
      <c r="R2" s="44" t="s">
        <v>62</v>
      </c>
    </row>
    <row r="3" spans="2:22" x14ac:dyDescent="0.2">
      <c r="B3" s="6" t="s">
        <v>53</v>
      </c>
      <c r="C3" s="69">
        <f>'264'!C3+1</f>
        <v>265</v>
      </c>
      <c r="D3" s="5"/>
      <c r="E3" s="5"/>
      <c r="F3" s="5"/>
      <c r="G3" s="5" t="s">
        <v>52</v>
      </c>
      <c r="H3" s="31">
        <f>+'244'!H3+0</f>
        <v>46160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217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61863617</v>
      </c>
      <c r="C21" s="6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9" t="str">
        <f>IF(LEFT(G17,2)="CA","CA",IF(LEFT(G17,2)="UN","US",IF(LEFT(G17,2)="PA","PA",IF(LEFT(G17,2)="JA","JP"))))</f>
        <v>US</v>
      </c>
      <c r="I21" s="67" t="s">
        <v>34</v>
      </c>
      <c r="K21" s="20">
        <v>22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287.02999999999997</v>
      </c>
      <c r="G23" s="23">
        <f>+N2</f>
        <v>266.02999999999997</v>
      </c>
      <c r="H23" s="23">
        <f>+M2</f>
        <v>258.97000000000003</v>
      </c>
      <c r="I23" s="67">
        <f>+L2</f>
        <v>21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GIRLS COTTON FIBERS, KNIT PULLOVER, WITH NO NECK CLOSURE, STITCH COUNT IS GREATER THAN 9/2CM, REACHES WAIST [60% COTTON 40% RECYCLED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7" t="s">
        <v>19</v>
      </c>
      <c r="E31" s="87"/>
      <c r="F31" s="87" t="s">
        <v>18</v>
      </c>
      <c r="G31" s="87"/>
      <c r="H31" s="67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178</v>
      </c>
      <c r="D32" s="70"/>
      <c r="E32" s="71"/>
      <c r="F32" s="70">
        <v>180</v>
      </c>
      <c r="G32" s="71"/>
      <c r="H32" s="17">
        <v>0.71</v>
      </c>
      <c r="I32" s="18">
        <f>+H32*F32</f>
        <v>127.8</v>
      </c>
      <c r="K32" s="48"/>
      <c r="M32" s="39"/>
    </row>
    <row r="33" spans="2:13" ht="39" customHeight="1" x14ac:dyDescent="0.2">
      <c r="B33" s="41" t="s">
        <v>213</v>
      </c>
      <c r="C33" s="19" t="s">
        <v>216</v>
      </c>
      <c r="D33" s="70"/>
      <c r="E33" s="71"/>
      <c r="F33" s="70">
        <v>3350</v>
      </c>
      <c r="G33" s="71"/>
      <c r="H33" s="17">
        <v>0.71</v>
      </c>
      <c r="I33" s="18">
        <f>+H33*F33</f>
        <v>2378.5</v>
      </c>
      <c r="K33" s="48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7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3530</v>
      </c>
      <c r="G35" s="71"/>
      <c r="H35" s="15"/>
      <c r="I35" s="14">
        <f>SUM(I32:I34)</f>
        <v>2506.3000000000002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2506.3000000000002</v>
      </c>
    </row>
    <row r="38" spans="2:13" ht="20.25" customHeight="1" x14ac:dyDescent="0.2">
      <c r="B38" s="15" t="s">
        <v>80</v>
      </c>
      <c r="C38" s="72" t="s">
        <v>11</v>
      </c>
      <c r="D38" s="77"/>
      <c r="E38" s="77"/>
      <c r="F38" s="77"/>
      <c r="G38" s="77"/>
      <c r="H38" s="73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2506.3000000000002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22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>
        <v>22</v>
      </c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73EA3C8-BA15-4AD8-908E-4FE418CC9332}">
          <x14:formula1>
            <xm:f>Sheet1!$K$5:$K$12</xm:f>
          </x14:formula1>
          <xm:sqref>B14</xm:sqref>
        </x14:dataValidation>
        <x14:dataValidation type="list" allowBlank="1" showInputMessage="1" showErrorMessage="1" xr:uid="{0F970B23-E996-4948-BEAC-E16F4A422A2E}">
          <x14:formula1>
            <xm:f>Sheet1!$B$17:$B$18</xm:f>
          </x14:formula1>
          <xm:sqref>G5</xm:sqref>
        </x14:dataValidation>
        <x14:dataValidation type="list" allowBlank="1" showInputMessage="1" showErrorMessage="1" xr:uid="{3F290E02-7581-47B8-9037-AB7AD8A0EB3B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22</vt:i4>
      </vt:variant>
    </vt:vector>
  </HeadingPairs>
  <TitlesOfParts>
    <vt:vector size="46" baseType="lpstr">
      <vt:lpstr>Sheet1</vt:lpstr>
      <vt:lpstr>reff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'244'!Print_Area</vt:lpstr>
      <vt:lpstr>'245'!Print_Area</vt:lpstr>
      <vt:lpstr>'246'!Print_Area</vt:lpstr>
      <vt:lpstr>'247'!Print_Area</vt:lpstr>
      <vt:lpstr>'248'!Print_Area</vt:lpstr>
      <vt:lpstr>'249'!Print_Area</vt:lpstr>
      <vt:lpstr>'250'!Print_Area</vt:lpstr>
      <vt:lpstr>'251'!Print_Area</vt:lpstr>
      <vt:lpstr>'252'!Print_Area</vt:lpstr>
      <vt:lpstr>'253'!Print_Area</vt:lpstr>
      <vt:lpstr>'254'!Print_Area</vt:lpstr>
      <vt:lpstr>'255'!Print_Area</vt:lpstr>
      <vt:lpstr>'256'!Print_Area</vt:lpstr>
      <vt:lpstr>'257'!Print_Area</vt:lpstr>
      <vt:lpstr>'258'!Print_Area</vt:lpstr>
      <vt:lpstr>'259'!Print_Area</vt:lpstr>
      <vt:lpstr>'260'!Print_Area</vt:lpstr>
      <vt:lpstr>'261'!Print_Area</vt:lpstr>
      <vt:lpstr>'262'!Print_Area</vt:lpstr>
      <vt:lpstr>'263'!Print_Area</vt:lpstr>
      <vt:lpstr>'264'!Print_Area</vt:lpstr>
      <vt:lpstr>'265'!Print_Area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2026-05-18T02:30:09Z</cp:lastPrinted>
  <dcterms:created xsi:type="dcterms:W3CDTF">2024-04-17T09:56:05Z</dcterms:created>
  <dcterms:modified xsi:type="dcterms:W3CDTF">2026-05-18T02:30:18Z</dcterms:modified>
</cp:coreProperties>
</file>