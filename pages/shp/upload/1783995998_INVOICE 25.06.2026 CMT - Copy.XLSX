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25.06.2026\"/>
    </mc:Choice>
  </mc:AlternateContent>
  <xr:revisionPtr revIDLastSave="0" documentId="13_ncr:1_{3703B84F-A660-48CF-A57F-29C6269EA79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365" sheetId="129" r:id="rId3"/>
    <sheet name="366" sheetId="133" r:id="rId4"/>
    <sheet name="367" sheetId="134" r:id="rId5"/>
    <sheet name="368" sheetId="135" r:id="rId6"/>
    <sheet name="369" sheetId="137" r:id="rId7"/>
    <sheet name="370" sheetId="138" r:id="rId8"/>
    <sheet name="371" sheetId="141" r:id="rId9"/>
  </sheets>
  <externalReferences>
    <externalReference r:id="rId10"/>
    <externalReference r:id="rId11"/>
    <externalReference r:id="rId12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>[2]xdata!#REF!</definedName>
    <definedName name="INVOICE">[2]xdata!$B$2</definedName>
    <definedName name="_xlnm.Print_Area" localSheetId="2">'365'!$B$1:$I$57</definedName>
    <definedName name="_xlnm.Print_Area" localSheetId="3">'366'!$B$1:$I$57</definedName>
    <definedName name="_xlnm.Print_Area" localSheetId="4">'367'!$B$1:$I$57</definedName>
    <definedName name="_xlnm.Print_Area" localSheetId="5">'368'!$B$1:$I$57</definedName>
    <definedName name="_xlnm.Print_Area" localSheetId="6">'369'!$B$1:$I$57</definedName>
    <definedName name="_xlnm.Print_Area" localSheetId="7">'370'!$B$1:$I$58</definedName>
    <definedName name="_xlnm.Print_Area" localSheetId="8">'371'!$B$1:$I$57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38" l="1"/>
  <c r="I33" i="138"/>
  <c r="F32" i="135"/>
  <c r="F34" i="135"/>
  <c r="F32" i="133"/>
  <c r="F32" i="129"/>
  <c r="F32" i="141"/>
  <c r="F32" i="134" l="1"/>
  <c r="I32" i="138" l="1"/>
  <c r="I35" i="138" s="1"/>
  <c r="F34" i="133" l="1"/>
  <c r="F34" i="129" l="1"/>
  <c r="I32" i="134"/>
  <c r="C3" i="133"/>
  <c r="F34" i="141"/>
  <c r="F32" i="137"/>
  <c r="H3" i="141"/>
  <c r="H3" i="138"/>
  <c r="H3" i="137"/>
  <c r="H3" i="135"/>
  <c r="H3" i="134"/>
  <c r="H3" i="133"/>
  <c r="I32" i="141" l="1"/>
  <c r="I34" i="141" s="1"/>
  <c r="F34" i="137"/>
  <c r="I32" i="129" l="1"/>
  <c r="I34" i="129" s="1"/>
  <c r="I32" i="137"/>
  <c r="F34" i="134"/>
  <c r="I32" i="133"/>
  <c r="B27" i="135" l="1"/>
  <c r="B27" i="134"/>
  <c r="E21" i="129" l="1"/>
  <c r="E21" i="133" l="1"/>
  <c r="E21" i="135"/>
  <c r="E21" i="137"/>
  <c r="E21" i="138"/>
  <c r="E21" i="141"/>
  <c r="E21" i="134"/>
  <c r="H52" i="141"/>
  <c r="C21" i="129"/>
  <c r="C21" i="134"/>
  <c r="C21" i="135"/>
  <c r="C21" i="137"/>
  <c r="C21" i="138"/>
  <c r="C21" i="141"/>
  <c r="C21" i="133"/>
  <c r="H52" i="129"/>
  <c r="H52" i="134"/>
  <c r="H52" i="135"/>
  <c r="H52" i="137"/>
  <c r="H53" i="138"/>
  <c r="H52" i="133"/>
  <c r="I36" i="141" l="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7" i="138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<sst xmlns="http://schemas.openxmlformats.org/spreadsheetml/2006/main" count="721" uniqueCount="205">
  <si>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</si>
  <si>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</si>
  <si>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</si>
  <si>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</si>
  <si>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</si>
  <si>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</si>
  <si>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</si>
  <si>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</si>
  <si>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</si>
  <si>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</si>
  <si>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</si>
  <si>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</si>
  <si>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</si>
  <si>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</si>
  <si>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</si>
  <si>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</si>
  <si>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</si>
  <si>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</si>
  <si>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</si>
  <si>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</si>
  <si>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</si>
  <si>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</si>
  <si>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</si>
  <si>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</si>
  <si>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</si>
  <si>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</si>
  <si>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</si>
  <si>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</si>
  <si>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</si>
  <si>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</si>
  <si>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</si>
  <si>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</si>
  <si>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</si>
  <si>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</si>
  <si>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</si>
  <si>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</si>
  <si>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</si>
  <si>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</si>
  <si>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</si>
  <si>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</si>
  <si>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</si>
  <si>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</si>
  <si>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</si>
  <si>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</si>
  <si>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</si>
  <si>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</si>
  <si>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</si>
  <si>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</si>
  <si>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</si>
  <si>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</si>
  <si>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</si>
  <si>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</si>
  <si>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</si>
  <si>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</si>
  <si>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</si>
  <si>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</si>
  <si>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</si>
  <si>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</si>
  <si>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</si>
  <si>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</si>
  <si>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</si>
  <si>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</si>
  <si>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</si>
  <si>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</si>
  <si>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</si>
  <si>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</si>
  <si>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</si>
  <si>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</si>
  <si>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</si>
  <si>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</si>
  <si>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</si>
  <si>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</si>
  <si>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</si>
  <si>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</si>
  <si>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</si>
  <si>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</si>
  <si>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</si>
  <si>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</si>
  <si>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</si>
  <si>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</si>
  <si>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</si>
  <si>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</si>
  <si>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</si>
  <si>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</si>
  <si>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</si>
  <si>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</si>
  <si>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</si>
  <si>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</si>
  <si>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</si>
  <si>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</si>
  <si>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</si>
  <si>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</si>
  <si>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</si>
  <si>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</si>
  <si>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</si>
  <si>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</si>
  <si>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</si>
  <si>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</si>
  <si>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</si>
  <si>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</si>
  <si>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</si>
  <si>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</si>
  <si>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</si>
  <si>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</si>
  <si>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</si>
  <si>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</si>
  <si>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</si>
  <si>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</si>
  <si>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</si>
  <si>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</si>
  <si>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</si>
  <si>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</si>
  <si>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</si>
  <si>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</si>
  <si>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</si>
  <si>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</si>
  <si>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</si>
  <si>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</si>
  <si>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</si>
  <si>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</si>
  <si>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</si>
  <si>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</si>
  <si>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</si>
  <si>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</si>
  <si>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</si>
  <si>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</si>
  <si>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</si>
  <si>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</si>
  <si>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</si>
  <si>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</si>
  <si>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</si>
  <si>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</si>
  <si>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</si>
  <si>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</si>
  <si>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</si>
  <si>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</si>
  <si>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</si>
  <si>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</si>
  <si>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</si>
  <si>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</si>
  <si>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</si>
  <si>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</si>
  <si>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</si>
  <si>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</si>
  <si>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</si>
  <si>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</si>
  <si>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</si>
  <si>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</si>
  <si>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</si>
  <si>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</si>
  <si>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</si>
  <si>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</si>
  <si>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</si>
  <si>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</si>
  <si>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</si>
  <si>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</si>
  <si>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</si>
  <si>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</si>
  <si>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</si>
  <si>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</si>
  <si>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</si>
  <si>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</si>
  <si>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</si>
  <si>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</si>
  <si>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</si>
  <si>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</si>
  <si>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</si>
  <si>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</si>
  <si>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</si>
  <si>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</si>
  <si>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</si>
  <si>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</si>
  <si>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</si>
  <si>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</si>
  <si>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</si>
  <si>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</si>
  <si>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</si>
  <si>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</si>
  <si>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</si>
  <si>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</si>
  <si>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GIRLS COTTON FIBERS, KNIT PULLOVER, WITH NO NECK CLOSURE, STITCH COUNT IS GREATER THAN 9/2CM, REACHES WAIST [100% COTTON]</t>
  </si>
  <si>
    <t>265K0051</t>
  </si>
  <si>
    <t xml:space="preserve"> 265K0075 </t>
  </si>
  <si>
    <t>265K0052</t>
  </si>
  <si>
    <t>BOYS COTTON FIBERS, KNIT SHIRT, WITH NECK CLOSURE, STITCH COUNT EQUAL OR IS GREATER THAN 10/1CM, HEM BOTTOM [60% COTTON 40% POLYESTER]</t>
  </si>
  <si>
    <t>CALLA LILY 451, INK BLUE, MONET BLUE</t>
  </si>
  <si>
    <t>00, 02, 03</t>
  </si>
  <si>
    <t>CALLA LILY 451</t>
  </si>
  <si>
    <t>00</t>
  </si>
  <si>
    <t>GIRLS COTTON FIBERS, KNIT PULLOVER, WITH NO NECK CLOSURE, STITCH COUNT IS GREATER THAN 9/2CM, REACHES WAIST [60% COTTON 40% RECYCLED POLYESTER]</t>
  </si>
  <si>
    <t>01, 02</t>
  </si>
  <si>
    <t>265K0056</t>
  </si>
  <si>
    <t>265K0057</t>
  </si>
  <si>
    <t>INK BLUE, MONET BLUE</t>
  </si>
  <si>
    <t>02, 05</t>
  </si>
  <si>
    <t>BLACK JACK, RED TAPE, RON BURGUNDY</t>
  </si>
  <si>
    <t>04, 01, 05</t>
  </si>
  <si>
    <t>BLUE TANGO, DARK GREEN</t>
  </si>
  <si>
    <t>07, 06</t>
  </si>
  <si>
    <t>DUSKY LAVENDER, PRESSED FLOWER</t>
  </si>
  <si>
    <t>BLACKJACK JAS, BLUSH HUE</t>
  </si>
  <si>
    <t>BLACK COFFEE, BLACK JACK 3, CALLA LILY 2</t>
  </si>
  <si>
    <t>13, 15, 20</t>
  </si>
  <si>
    <t>WOMENS COTTON FIBERS, KNIT PULLOVER, WITH NO NECK CLOSURE, STITCH COUNT IS GREATER THAN 9/2CM, REACHES WAIST, SLEEVELESS [96% COTTON 4% SPANDEX]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</si>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</sst>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4" fontId="14" fillId="3" borderId="0" xfId="0" applyNumberFormat="1" applyFont="1" applyFill="1" applyAlignment="1">
      <alignment horizontal="right" vertical="center" wrapText="1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8" sqref="I8"/>
    </sheetView>
  </sheetViews>
  <sheetFormatPr defaultRowHeight="12.75" x14ac:dyDescent="0.2"/>
  <sheetData>
    <row r="2" spans="2:9" ht="15" x14ac:dyDescent="0.25">
      <c r="B2" s="57">
        <v>1</v>
      </c>
      <c r="C2" t="s">
        <v>181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183</v>
      </c>
      <c r="E3" s="57">
        <v>2</v>
      </c>
      <c r="F3">
        <v>767468</v>
      </c>
      <c r="H3" s="57">
        <v>2</v>
      </c>
      <c r="I3" s="58" t="s">
        <v>177</v>
      </c>
    </row>
    <row r="4" spans="2:9" ht="15" x14ac:dyDescent="0.25">
      <c r="B4" s="57">
        <v>3</v>
      </c>
      <c r="C4" t="s">
        <v>183</v>
      </c>
      <c r="E4" s="57">
        <v>3</v>
      </c>
      <c r="F4">
        <v>767468</v>
      </c>
      <c r="H4" s="57">
        <v>3</v>
      </c>
      <c r="I4" s="58" t="s">
        <v>177</v>
      </c>
    </row>
    <row r="5" spans="2:9" ht="15" x14ac:dyDescent="0.25">
      <c r="B5" s="57">
        <v>4</v>
      </c>
      <c r="C5" t="s">
        <v>183</v>
      </c>
      <c r="E5" s="57">
        <v>4</v>
      </c>
      <c r="F5">
        <v>767468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191</v>
      </c>
      <c r="E6" s="57">
        <v>5</v>
      </c>
      <c r="F6">
        <v>903770</v>
      </c>
      <c r="H6" s="57">
        <v>5</v>
      </c>
      <c r="I6" s="58" t="s">
        <v>178</v>
      </c>
    </row>
    <row r="7" spans="2:9" ht="15" x14ac:dyDescent="0.25">
      <c r="B7" s="57">
        <v>6</v>
      </c>
      <c r="C7" t="s">
        <v>192</v>
      </c>
      <c r="E7" s="57">
        <v>6</v>
      </c>
      <c r="F7">
        <v>867788</v>
      </c>
      <c r="H7" s="57">
        <v>6</v>
      </c>
      <c r="I7" s="58" t="s">
        <v>177</v>
      </c>
    </row>
    <row r="8" spans="2:9" ht="15" x14ac:dyDescent="0.25">
      <c r="B8" s="57">
        <v>7</v>
      </c>
      <c r="C8" t="s">
        <v>182</v>
      </c>
      <c r="E8" s="57">
        <v>7</v>
      </c>
      <c r="F8">
        <v>692926</v>
      </c>
      <c r="H8" s="57">
        <v>7</v>
      </c>
      <c r="I8" s="58" t="s">
        <v>178</v>
      </c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204</v>
      </c>
      <c r="C2" s="80"/>
      <c r="D2" s="80"/>
      <c r="E2" s="80"/>
      <c r="F2" s="80"/>
      <c r="G2" s="80"/>
      <c r="H2" s="80"/>
      <c r="I2" s="81"/>
      <c r="J2" s="61">
        <v>61730695</v>
      </c>
      <c r="K2" s="62">
        <v>4708</v>
      </c>
      <c r="L2" s="63">
        <v>53</v>
      </c>
      <c r="M2" s="63">
        <v>516.029</v>
      </c>
      <c r="N2" s="63">
        <v>538.56100000000004</v>
      </c>
      <c r="O2" s="63">
        <v>585.56100000000004</v>
      </c>
      <c r="P2" s="63" t="s">
        <v>54</v>
      </c>
      <c r="Q2" s="63">
        <v>2.8849999999999998</v>
      </c>
      <c r="R2" s="63" t="s">
        <v>62</v>
      </c>
    </row>
    <row r="3" spans="2:22" x14ac:dyDescent="0.2">
      <c r="B3" s="6" t="s">
        <v>53</v>
      </c>
      <c r="C3" s="64">
        <v>365</v>
      </c>
      <c r="D3" s="5"/>
      <c r="E3" s="5"/>
      <c r="F3" s="5"/>
      <c r="G3" s="5" t="s">
        <v>52</v>
      </c>
      <c r="H3" s="31">
        <v>46208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61730695</v>
      </c>
      <c r="C21" s="4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585.56100000000004</v>
      </c>
      <c r="G23" s="23">
        <f>+N2</f>
        <v>538.56100000000004</v>
      </c>
      <c r="H23" s="23">
        <f>+M2</f>
        <v>516.029</v>
      </c>
      <c r="I23" s="48">
        <f>+L2</f>
        <v>53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5"/>
      <c r="D26" s="75"/>
      <c r="E26" s="75"/>
      <c r="F26" s="75"/>
      <c r="G26" s="75"/>
      <c r="H26" s="75"/>
      <c r="I26" s="69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5" t="s">
        <v>19</v>
      </c>
      <c r="E31" s="85"/>
      <c r="F31" s="85" t="s">
        <v>18</v>
      </c>
      <c r="G31" s="85"/>
      <c r="H31" s="48" t="s">
        <v>17</v>
      </c>
      <c r="I31" s="19" t="s">
        <v>16</v>
      </c>
      <c r="M31"/>
    </row>
    <row r="32" spans="2:13" ht="30.75" customHeight="1" x14ac:dyDescent="0.2">
      <c r="B32" s="41" t="s">
        <v>194</v>
      </c>
      <c r="C32" s="19" t="s">
        <v>193</v>
      </c>
      <c r="D32" s="72"/>
      <c r="E32" s="73"/>
      <c r="F32" s="72">
        <f>+K2</f>
        <v>4708</v>
      </c>
      <c r="G32" s="73"/>
      <c r="H32" s="17">
        <v>0.9</v>
      </c>
      <c r="I32" s="18">
        <f>+H32*F32</f>
        <v>4237.2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48"/>
    </row>
    <row r="34" spans="2:11" ht="21.75" customHeight="1" x14ac:dyDescent="0.2">
      <c r="B34" s="15" t="s">
        <v>14</v>
      </c>
      <c r="C34" s="15"/>
      <c r="D34" s="70"/>
      <c r="E34" s="71"/>
      <c r="F34" s="72">
        <f>SUM(F31:G33)</f>
        <v>4708</v>
      </c>
      <c r="G34" s="73"/>
      <c r="H34" s="15"/>
      <c r="I34" s="14">
        <f>SUM(I32:I33)</f>
        <v>4237.2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4237.2</v>
      </c>
    </row>
    <row r="37" spans="2:11" ht="20.25" customHeight="1" x14ac:dyDescent="0.2">
      <c r="B37" s="15" t="s">
        <v>80</v>
      </c>
      <c r="C37" s="68" t="s">
        <v>11</v>
      </c>
      <c r="D37" s="75"/>
      <c r="E37" s="75"/>
      <c r="F37" s="75"/>
      <c r="G37" s="75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4237.2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204</v>
      </c>
      <c r="C2" s="80"/>
      <c r="D2" s="80"/>
      <c r="E2" s="80"/>
      <c r="F2" s="80"/>
      <c r="G2" s="80"/>
      <c r="H2" s="80"/>
      <c r="I2" s="81"/>
      <c r="J2" s="61">
        <v>61475309</v>
      </c>
      <c r="K2" s="62">
        <v>1232</v>
      </c>
      <c r="L2" s="63">
        <v>28</v>
      </c>
      <c r="M2" s="63">
        <v>174.05099999999999</v>
      </c>
      <c r="N2" s="63">
        <v>189.619</v>
      </c>
      <c r="O2" s="63">
        <v>212.41900000000001</v>
      </c>
      <c r="P2" s="63" t="s">
        <v>54</v>
      </c>
      <c r="Q2" s="63">
        <v>1.0740000000000001</v>
      </c>
      <c r="R2" s="63" t="s">
        <v>62</v>
      </c>
    </row>
    <row r="3" spans="2:22" x14ac:dyDescent="0.2">
      <c r="B3" s="6" t="s">
        <v>53</v>
      </c>
      <c r="C3" s="64">
        <f>+'365'!C3+1</f>
        <v>366</v>
      </c>
      <c r="D3" s="5"/>
      <c r="E3" s="5"/>
      <c r="F3" s="5"/>
      <c r="G3" s="5" t="s">
        <v>52</v>
      </c>
      <c r="H3" s="31">
        <f>+'365'!H3+0</f>
        <v>46208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61475309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212.41900000000001</v>
      </c>
      <c r="G23" s="23">
        <f>+N2</f>
        <v>189.619</v>
      </c>
      <c r="H23" s="23">
        <f>+M2</f>
        <v>174.05099999999999</v>
      </c>
      <c r="I23" s="48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5"/>
      <c r="D26" s="75"/>
      <c r="E26" s="75"/>
      <c r="F26" s="75"/>
      <c r="G26" s="75"/>
      <c r="H26" s="75"/>
      <c r="I26" s="69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5" t="s">
        <v>19</v>
      </c>
      <c r="E31" s="85"/>
      <c r="F31" s="85" t="s">
        <v>18</v>
      </c>
      <c r="G31" s="85"/>
      <c r="H31" s="48" t="s">
        <v>17</v>
      </c>
      <c r="I31" s="19" t="s">
        <v>16</v>
      </c>
      <c r="M31"/>
    </row>
    <row r="32" spans="2:13" ht="27.75" customHeight="1" x14ac:dyDescent="0.2">
      <c r="B32" s="41" t="s">
        <v>196</v>
      </c>
      <c r="C32" s="19" t="s">
        <v>195</v>
      </c>
      <c r="D32" s="72"/>
      <c r="E32" s="73"/>
      <c r="F32" s="72">
        <f>+K2</f>
        <v>1232</v>
      </c>
      <c r="G32" s="73"/>
      <c r="H32" s="17">
        <v>1.05</v>
      </c>
      <c r="I32" s="18">
        <f>+H32*F32</f>
        <v>1293.6000000000001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48"/>
    </row>
    <row r="34" spans="2:11" ht="21.75" customHeight="1" x14ac:dyDescent="0.2">
      <c r="B34" s="15" t="s">
        <v>14</v>
      </c>
      <c r="C34" s="15"/>
      <c r="D34" s="70"/>
      <c r="E34" s="71"/>
      <c r="F34" s="72">
        <f>SUM(F31:G33)</f>
        <v>1232</v>
      </c>
      <c r="G34" s="73"/>
      <c r="H34" s="15"/>
      <c r="I34" s="14">
        <f>SUM(I32:I33)</f>
        <v>1293.6000000000001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1293.6000000000001</v>
      </c>
    </row>
    <row r="37" spans="2:11" ht="20.25" customHeight="1" x14ac:dyDescent="0.2">
      <c r="B37" s="15" t="s">
        <v>80</v>
      </c>
      <c r="C37" s="68" t="s">
        <v>11</v>
      </c>
      <c r="D37" s="75"/>
      <c r="E37" s="75"/>
      <c r="F37" s="75"/>
      <c r="G37" s="75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1293.6000000000001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204</v>
      </c>
      <c r="C2" s="80"/>
      <c r="D2" s="80"/>
      <c r="E2" s="80"/>
      <c r="F2" s="80"/>
      <c r="G2" s="80"/>
      <c r="H2" s="80"/>
      <c r="I2" s="81"/>
      <c r="J2" s="61">
        <v>61558574</v>
      </c>
      <c r="K2" s="63">
        <v>684</v>
      </c>
      <c r="L2" s="63">
        <v>13</v>
      </c>
      <c r="M2" s="63">
        <v>91.59</v>
      </c>
      <c r="N2" s="63">
        <v>105.27</v>
      </c>
      <c r="O2" s="63">
        <v>116.47</v>
      </c>
      <c r="P2" s="63" t="s">
        <v>54</v>
      </c>
      <c r="Q2" s="63">
        <v>0.59299999999999997</v>
      </c>
      <c r="R2" s="63" t="s">
        <v>62</v>
      </c>
    </row>
    <row r="3" spans="2:22" x14ac:dyDescent="0.2">
      <c r="B3" s="6" t="s">
        <v>53</v>
      </c>
      <c r="C3" s="64">
        <f>+'366'!C3+1</f>
        <v>367</v>
      </c>
      <c r="D3" s="5"/>
      <c r="E3" s="5"/>
      <c r="F3" s="5"/>
      <c r="G3" s="5" t="s">
        <v>52</v>
      </c>
      <c r="H3" s="31">
        <f>+'365'!H3+0</f>
        <v>46208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61558574</v>
      </c>
      <c r="C21" s="53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116.47</v>
      </c>
      <c r="G23" s="23">
        <f>+N2</f>
        <v>105.27</v>
      </c>
      <c r="H23" s="23">
        <f>+M2</f>
        <v>91.59</v>
      </c>
      <c r="I23" s="54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5"/>
      <c r="D26" s="75"/>
      <c r="E26" s="75"/>
      <c r="F26" s="75"/>
      <c r="G26" s="75"/>
      <c r="H26" s="75"/>
      <c r="I26" s="69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5" t="s">
        <v>19</v>
      </c>
      <c r="E31" s="85"/>
      <c r="F31" s="85" t="s">
        <v>18</v>
      </c>
      <c r="G31" s="85"/>
      <c r="H31" s="54" t="s">
        <v>17</v>
      </c>
      <c r="I31" s="19" t="s">
        <v>16</v>
      </c>
      <c r="M31"/>
    </row>
    <row r="32" spans="2:13" ht="27.75" customHeight="1" x14ac:dyDescent="0.2">
      <c r="B32" s="41" t="s">
        <v>198</v>
      </c>
      <c r="C32" s="19" t="s">
        <v>197</v>
      </c>
      <c r="D32" s="72"/>
      <c r="E32" s="73"/>
      <c r="F32" s="72">
        <f>+K2</f>
        <v>684</v>
      </c>
      <c r="G32" s="73"/>
      <c r="H32" s="17">
        <v>1.05</v>
      </c>
      <c r="I32" s="18">
        <f>+H32*F32</f>
        <v>718.2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54"/>
    </row>
    <row r="34" spans="2:11" ht="21.75" customHeight="1" x14ac:dyDescent="0.2">
      <c r="B34" s="15" t="s">
        <v>14</v>
      </c>
      <c r="C34" s="15"/>
      <c r="D34" s="70"/>
      <c r="E34" s="71"/>
      <c r="F34" s="72">
        <f>SUM(F32:G33)</f>
        <v>684</v>
      </c>
      <c r="G34" s="73"/>
      <c r="H34" s="15"/>
      <c r="I34" s="14">
        <f>SUM(I32:I33)</f>
        <v>718.2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718.2</v>
      </c>
    </row>
    <row r="37" spans="2:11" ht="20.25" customHeight="1" x14ac:dyDescent="0.2">
      <c r="B37" s="15" t="s">
        <v>80</v>
      </c>
      <c r="C37" s="68" t="s">
        <v>11</v>
      </c>
      <c r="D37" s="75"/>
      <c r="E37" s="75"/>
      <c r="F37" s="75"/>
      <c r="G37" s="75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718.2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204</v>
      </c>
      <c r="C2" s="80"/>
      <c r="D2" s="80"/>
      <c r="E2" s="80"/>
      <c r="F2" s="80"/>
      <c r="G2" s="80"/>
      <c r="H2" s="80"/>
      <c r="I2" s="81"/>
      <c r="J2" s="61">
        <v>61717522</v>
      </c>
      <c r="K2" s="62">
        <v>1965</v>
      </c>
      <c r="L2" s="63">
        <v>43</v>
      </c>
      <c r="M2" s="63">
        <v>272.52800000000002</v>
      </c>
      <c r="N2" s="63">
        <v>305.60000000000002</v>
      </c>
      <c r="O2" s="63">
        <v>341.2</v>
      </c>
      <c r="P2" s="63" t="s">
        <v>54</v>
      </c>
      <c r="Q2" s="63">
        <v>1.7450000000000001</v>
      </c>
      <c r="R2" s="63" t="s">
        <v>62</v>
      </c>
    </row>
    <row r="3" spans="2:22" x14ac:dyDescent="0.2">
      <c r="B3" s="6" t="s">
        <v>53</v>
      </c>
      <c r="C3" s="64">
        <f>+'367'!C3+1</f>
        <v>368</v>
      </c>
      <c r="D3" s="5"/>
      <c r="E3" s="5"/>
      <c r="F3" s="5"/>
      <c r="G3" s="5" t="s">
        <v>52</v>
      </c>
      <c r="H3" s="31">
        <f>+'365'!H3+0</f>
        <v>46208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61717522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341.2</v>
      </c>
      <c r="G23" s="23">
        <f>+N2</f>
        <v>305.60000000000002</v>
      </c>
      <c r="H23" s="23">
        <f>+M2</f>
        <v>272.52800000000002</v>
      </c>
      <c r="I23" s="55">
        <f>+L2</f>
        <v>43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5"/>
      <c r="D26" s="75"/>
      <c r="E26" s="75"/>
      <c r="F26" s="75"/>
      <c r="G26" s="75"/>
      <c r="H26" s="75"/>
      <c r="I26" s="69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33" customHeight="1" x14ac:dyDescent="0.2">
      <c r="B32" s="41" t="s">
        <v>186</v>
      </c>
      <c r="C32" s="19" t="s">
        <v>185</v>
      </c>
      <c r="D32" s="72"/>
      <c r="E32" s="73"/>
      <c r="F32" s="72">
        <f>+K2</f>
        <v>1965</v>
      </c>
      <c r="G32" s="73"/>
      <c r="H32" s="17">
        <v>1.05</v>
      </c>
      <c r="I32" s="18">
        <f>+H32*F32</f>
        <v>2063.25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59"/>
    </row>
    <row r="34" spans="2:11" ht="21.75" customHeight="1" x14ac:dyDescent="0.2">
      <c r="B34" s="15" t="s">
        <v>14</v>
      </c>
      <c r="C34" s="15"/>
      <c r="D34" s="70"/>
      <c r="E34" s="71"/>
      <c r="F34" s="72">
        <f>SUM(F32:G33)</f>
        <v>1965</v>
      </c>
      <c r="G34" s="73"/>
      <c r="H34" s="15"/>
      <c r="I34" s="14">
        <f>SUM(I32:I32)</f>
        <v>2063.25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2063.25</v>
      </c>
    </row>
    <row r="37" spans="2:11" ht="20.25" customHeight="1" x14ac:dyDescent="0.2">
      <c r="B37" s="15" t="s">
        <v>80</v>
      </c>
      <c r="C37" s="68" t="s">
        <v>11</v>
      </c>
      <c r="D37" s="75"/>
      <c r="E37" s="75"/>
      <c r="F37" s="75"/>
      <c r="G37" s="75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2063.25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204</v>
      </c>
      <c r="C2" s="80"/>
      <c r="D2" s="80"/>
      <c r="E2" s="80"/>
      <c r="F2" s="80"/>
      <c r="G2" s="80"/>
      <c r="H2" s="80"/>
      <c r="I2" s="81"/>
      <c r="J2" s="61">
        <v>61420134</v>
      </c>
      <c r="K2" s="62">
        <v>2119</v>
      </c>
      <c r="L2" s="63">
        <v>23</v>
      </c>
      <c r="M2" s="63">
        <v>150.952</v>
      </c>
      <c r="N2" s="63">
        <v>155.19</v>
      </c>
      <c r="O2" s="63">
        <v>172.39</v>
      </c>
      <c r="P2" s="63" t="s">
        <v>54</v>
      </c>
      <c r="Q2" s="63">
        <v>0.90600000000000003</v>
      </c>
      <c r="R2" s="63" t="s">
        <v>62</v>
      </c>
    </row>
    <row r="3" spans="2:22" x14ac:dyDescent="0.2">
      <c r="B3" s="6" t="s">
        <v>53</v>
      </c>
      <c r="C3" s="64">
        <f>+'368'!C3+1</f>
        <v>369</v>
      </c>
      <c r="D3" s="5"/>
      <c r="E3" s="5"/>
      <c r="F3" s="5"/>
      <c r="G3" s="5" t="s">
        <v>52</v>
      </c>
      <c r="H3" s="31">
        <f>+'365'!H3+0</f>
        <v>46208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61420134</v>
      </c>
      <c r="C21" s="56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172.39</v>
      </c>
      <c r="G23" s="23">
        <f>+N2</f>
        <v>155.19</v>
      </c>
      <c r="H23" s="23">
        <f>+M2</f>
        <v>150.952</v>
      </c>
      <c r="I23" s="55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5"/>
      <c r="D26" s="75"/>
      <c r="E26" s="75"/>
      <c r="F26" s="75"/>
      <c r="G26" s="75"/>
      <c r="H26" s="75"/>
      <c r="I26" s="69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34.5" customHeight="1" x14ac:dyDescent="0.2">
      <c r="B32" s="66" t="s">
        <v>179</v>
      </c>
      <c r="C32" s="19" t="s">
        <v>199</v>
      </c>
      <c r="D32" s="72"/>
      <c r="E32" s="73"/>
      <c r="F32" s="72">
        <f>+K2</f>
        <v>2119</v>
      </c>
      <c r="G32" s="73"/>
      <c r="H32" s="17">
        <v>0.81</v>
      </c>
      <c r="I32" s="18">
        <f>+H32*F32</f>
        <v>1716.39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55"/>
    </row>
    <row r="34" spans="2:11" ht="21.75" customHeight="1" x14ac:dyDescent="0.2">
      <c r="B34" s="15" t="s">
        <v>14</v>
      </c>
      <c r="C34" s="15"/>
      <c r="D34" s="70"/>
      <c r="E34" s="71"/>
      <c r="F34" s="72">
        <f>SUM(F32:G33)</f>
        <v>2119</v>
      </c>
      <c r="G34" s="73"/>
      <c r="H34" s="15"/>
      <c r="I34" s="14">
        <f>SUM(I32:I33)</f>
        <v>1716.39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1716.39</v>
      </c>
    </row>
    <row r="37" spans="2:11" ht="20.25" customHeight="1" x14ac:dyDescent="0.2">
      <c r="B37" s="15" t="s">
        <v>80</v>
      </c>
      <c r="C37" s="68" t="s">
        <v>11</v>
      </c>
      <c r="D37" s="75"/>
      <c r="E37" s="75"/>
      <c r="F37" s="75"/>
      <c r="G37" s="75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1716.39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9"/>
  <sheetViews>
    <sheetView view="pageBreakPreview" topLeftCell="A27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204</v>
      </c>
      <c r="C2" s="80"/>
      <c r="D2" s="80"/>
      <c r="E2" s="80"/>
      <c r="F2" s="80"/>
      <c r="G2" s="80"/>
      <c r="H2" s="80"/>
      <c r="I2" s="81"/>
      <c r="J2" s="61">
        <v>61733990</v>
      </c>
      <c r="K2" s="62">
        <v>3975</v>
      </c>
      <c r="L2" s="63">
        <v>39</v>
      </c>
      <c r="M2" s="63">
        <v>282.58999999999997</v>
      </c>
      <c r="N2" s="63">
        <v>290.54000000000002</v>
      </c>
      <c r="O2" s="63">
        <v>323.44</v>
      </c>
      <c r="P2" s="63" t="s">
        <v>54</v>
      </c>
      <c r="Q2" s="63">
        <v>1.6659999999999999</v>
      </c>
      <c r="R2" s="63" t="s">
        <v>62</v>
      </c>
    </row>
    <row r="3" spans="2:22" x14ac:dyDescent="0.2">
      <c r="B3" s="6" t="s">
        <v>53</v>
      </c>
      <c r="C3" s="64">
        <f>+'369'!C3+1</f>
        <v>370</v>
      </c>
      <c r="D3" s="5"/>
      <c r="E3" s="5"/>
      <c r="F3" s="5"/>
      <c r="G3" s="5" t="s">
        <v>52</v>
      </c>
      <c r="H3" s="31">
        <f>+'365'!H3+0</f>
        <v>46208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61733990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323.44</v>
      </c>
      <c r="G23" s="23">
        <f>+N2</f>
        <v>290.54000000000002</v>
      </c>
      <c r="H23" s="23">
        <f>+M2</f>
        <v>282.58999999999997</v>
      </c>
      <c r="I23" s="55">
        <f>+L2</f>
        <v>39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5"/>
      <c r="D26" s="75"/>
      <c r="E26" s="75"/>
      <c r="F26" s="75"/>
      <c r="G26" s="75"/>
      <c r="H26" s="75"/>
      <c r="I26" s="69"/>
    </row>
    <row r="27" spans="2:13" ht="24.75" customHeight="1" x14ac:dyDescent="0.2">
      <c r="B27" s="82" t="str">
        <f>+K4</f>
        <v>GIRLS COTTON FIBERS, KNIT PULLOVER, WITH NO NECK CLOSURE, STITCH COUNT IS GREATER THAN 9/2CM, REACHES WAIST [60% COTTON 40% RECYCLED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200</v>
      </c>
      <c r="D32" s="72"/>
      <c r="E32" s="73"/>
      <c r="F32" s="72">
        <v>2840</v>
      </c>
      <c r="G32" s="73"/>
      <c r="H32" s="17">
        <v>0.71</v>
      </c>
      <c r="I32" s="18">
        <f>+H32*F32</f>
        <v>2016.3999999999999</v>
      </c>
      <c r="K32" s="46"/>
      <c r="M32" s="39"/>
    </row>
    <row r="33" spans="2:13" ht="27.75" customHeight="1" x14ac:dyDescent="0.2">
      <c r="B33" s="41" t="s">
        <v>188</v>
      </c>
      <c r="C33" s="19" t="s">
        <v>187</v>
      </c>
      <c r="D33" s="72"/>
      <c r="E33" s="73"/>
      <c r="F33" s="72">
        <v>1135</v>
      </c>
      <c r="G33" s="73"/>
      <c r="H33" s="17">
        <v>0.71</v>
      </c>
      <c r="I33" s="18">
        <f>+H33*F33</f>
        <v>805.84999999999991</v>
      </c>
      <c r="K33" s="46"/>
      <c r="M33" s="39"/>
    </row>
    <row r="34" spans="2:13" ht="21" customHeight="1" x14ac:dyDescent="0.2">
      <c r="B34" s="15" t="s">
        <v>15</v>
      </c>
      <c r="C34" s="15"/>
      <c r="D34" s="68"/>
      <c r="E34" s="69"/>
      <c r="F34" s="68"/>
      <c r="G34" s="69"/>
      <c r="H34" s="17"/>
      <c r="I34" s="65"/>
    </row>
    <row r="35" spans="2:13" ht="21.75" customHeight="1" x14ac:dyDescent="0.2">
      <c r="B35" s="15" t="s">
        <v>14</v>
      </c>
      <c r="C35" s="15"/>
      <c r="D35" s="70"/>
      <c r="E35" s="71"/>
      <c r="F35" s="72">
        <f>SUM(F32:G33)</f>
        <v>3975</v>
      </c>
      <c r="G35" s="73"/>
      <c r="H35" s="15"/>
      <c r="I35" s="14">
        <f>SUM(I32:I33)</f>
        <v>2822.25</v>
      </c>
      <c r="J35" s="40"/>
      <c r="K35" s="40"/>
    </row>
    <row r="36" spans="2:13" ht="21.75" customHeight="1" x14ac:dyDescent="0.2">
      <c r="B36" s="16" t="s">
        <v>13</v>
      </c>
      <c r="C36" s="15"/>
      <c r="D36" s="68"/>
      <c r="E36" s="69"/>
      <c r="F36" s="68"/>
      <c r="G36" s="69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8"/>
      <c r="E37" s="69"/>
      <c r="F37" s="68"/>
      <c r="G37" s="69"/>
      <c r="H37" s="15"/>
      <c r="I37" s="14">
        <f>+I35</f>
        <v>2822.25</v>
      </c>
    </row>
    <row r="38" spans="2:13" ht="20.25" customHeight="1" x14ac:dyDescent="0.2">
      <c r="B38" s="15" t="s">
        <v>80</v>
      </c>
      <c r="C38" s="68" t="s">
        <v>11</v>
      </c>
      <c r="D38" s="75"/>
      <c r="E38" s="75"/>
      <c r="F38" s="75"/>
      <c r="G38" s="75"/>
      <c r="H38" s="69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2822.25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6" t="s">
        <v>7</v>
      </c>
      <c r="C47" s="76"/>
      <c r="D47" s="76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7" t="s">
        <v>1</v>
      </c>
      <c r="D56" s="77"/>
      <c r="E56" s="5"/>
      <c r="F56" s="5"/>
      <c r="G56" s="5"/>
      <c r="H56" s="5"/>
      <c r="I56" s="4"/>
    </row>
    <row r="57" spans="2:11" x14ac:dyDescent="0.2">
      <c r="B57" s="6"/>
      <c r="C57" s="78" t="s">
        <v>0</v>
      </c>
      <c r="D57" s="78"/>
      <c r="E57" s="5"/>
      <c r="F57" s="5"/>
      <c r="G57" s="5"/>
      <c r="H57" s="5"/>
      <c r="I57" s="4"/>
      <c r="K57">
        <v>6</v>
      </c>
    </row>
    <row r="58" spans="2:11" x14ac:dyDescent="0.2">
      <c r="B58" s="2"/>
      <c r="C58" s="74"/>
      <c r="D58" s="74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zoomScaleNormal="100" zoomScaleSheetLayoutView="100" workbookViewId="0">
      <selection activeCell="E14" sqref="E1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204</v>
      </c>
      <c r="C2" s="80"/>
      <c r="D2" s="80"/>
      <c r="E2" s="80"/>
      <c r="F2" s="80"/>
      <c r="G2" s="80"/>
      <c r="H2" s="80"/>
      <c r="I2" s="81"/>
      <c r="J2" s="61">
        <v>61751583</v>
      </c>
      <c r="K2" s="62">
        <v>7574</v>
      </c>
      <c r="L2" s="63">
        <v>161</v>
      </c>
      <c r="M2" s="63">
        <v>797.74</v>
      </c>
      <c r="N2" s="67">
        <v>1062.83</v>
      </c>
      <c r="O2" s="67">
        <v>1217.03</v>
      </c>
      <c r="P2" s="63" t="s">
        <v>54</v>
      </c>
      <c r="Q2" s="63">
        <v>9.6620000000000008</v>
      </c>
      <c r="R2" s="63" t="s">
        <v>62</v>
      </c>
    </row>
    <row r="3" spans="2:22" x14ac:dyDescent="0.2">
      <c r="B3" s="6" t="s">
        <v>53</v>
      </c>
      <c r="C3" s="64">
        <f>+'370'!C3+1</f>
        <v>371</v>
      </c>
      <c r="D3" s="5"/>
      <c r="E3" s="5"/>
      <c r="F3" s="5"/>
      <c r="G3" s="5" t="s">
        <v>52</v>
      </c>
      <c r="H3" s="31">
        <f>+'365'!H3+0</f>
        <v>46208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61751583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1217.03</v>
      </c>
      <c r="G23" s="23">
        <f>+N2</f>
        <v>1062.83</v>
      </c>
      <c r="H23" s="23">
        <f>+M2</f>
        <v>797.74</v>
      </c>
      <c r="I23" s="55">
        <f>+L2</f>
        <v>161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5"/>
      <c r="D26" s="75"/>
      <c r="E26" s="75"/>
      <c r="F26" s="75"/>
      <c r="G26" s="75"/>
      <c r="H26" s="75"/>
      <c r="I26" s="69"/>
    </row>
    <row r="27" spans="2:13" ht="24.75" customHeight="1" x14ac:dyDescent="0.2">
      <c r="B27" s="82" t="str">
        <f>+K4</f>
        <v>WOMENS COTTON FIBERS, KNIT PULLOVER, WITH NO NECK CLOSURE, STITCH COUNT IS GREATER THAN 9/2CM, REACHES WAIST, SLEEVELESS [96% COTTON 4% SPANDEX]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5" t="s">
        <v>19</v>
      </c>
      <c r="E31" s="85"/>
      <c r="F31" s="85" t="s">
        <v>18</v>
      </c>
      <c r="G31" s="85"/>
      <c r="H31" s="55" t="s">
        <v>17</v>
      </c>
      <c r="I31" s="19" t="s">
        <v>16</v>
      </c>
      <c r="M31"/>
    </row>
    <row r="32" spans="2:13" ht="43.5" customHeight="1" x14ac:dyDescent="0.2">
      <c r="B32" s="41" t="s">
        <v>202</v>
      </c>
      <c r="C32" s="19" t="s">
        <v>201</v>
      </c>
      <c r="D32" s="72"/>
      <c r="E32" s="73"/>
      <c r="F32" s="72">
        <f>+K2</f>
        <v>7574</v>
      </c>
      <c r="G32" s="73"/>
      <c r="H32" s="17">
        <v>0.76</v>
      </c>
      <c r="I32" s="18">
        <f>+H32*F32</f>
        <v>5756.24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60"/>
    </row>
    <row r="34" spans="2:11" ht="21.75" customHeight="1" x14ac:dyDescent="0.2">
      <c r="B34" s="15" t="s">
        <v>14</v>
      </c>
      <c r="C34" s="15"/>
      <c r="D34" s="70"/>
      <c r="E34" s="71"/>
      <c r="F34" s="72">
        <f>SUM(F32:G33)</f>
        <v>7574</v>
      </c>
      <c r="G34" s="73"/>
      <c r="H34" s="15"/>
      <c r="I34" s="14">
        <f>SUM(I32:I33)</f>
        <v>5756.24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5756.24</v>
      </c>
    </row>
    <row r="37" spans="2:11" ht="20.25" customHeight="1" x14ac:dyDescent="0.2">
      <c r="B37" s="15" t="s">
        <v>80</v>
      </c>
      <c r="C37" s="68" t="s">
        <v>11</v>
      </c>
      <c r="D37" s="75"/>
      <c r="E37" s="75"/>
      <c r="F37" s="75"/>
      <c r="G37" s="75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5756.24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Sheet1</vt:lpstr>
      <vt:lpstr>reff</vt:lpstr>
      <vt:lpstr>365</vt:lpstr>
      <vt:lpstr>366</vt:lpstr>
      <vt:lpstr>367</vt:lpstr>
      <vt:lpstr>368</vt:lpstr>
      <vt:lpstr>369</vt:lpstr>
      <vt:lpstr>370</vt:lpstr>
      <vt:lpstr>371</vt:lpstr>
      <vt:lpstr>'365'!Print_Area</vt:lpstr>
      <vt:lpstr>'366'!Print_Area</vt:lpstr>
      <vt:lpstr>'367'!Print_Area</vt:lpstr>
      <vt:lpstr>'368'!Print_Area</vt:lpstr>
      <vt:lpstr>'369'!Print_Area</vt:lpstr>
      <vt:lpstr>'370'!Print_Area</vt:lpstr>
      <vt:lpstr>'371'!Print_Area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2026-06-11T05:15:22Z</cp:lastPrinted>
  <dcterms:created xsi:type="dcterms:W3CDTF">2024-04-17T09:56:05Z</dcterms:created>
  <dcterms:modified xsi:type="dcterms:W3CDTF">2026-06-26T01:31:25Z</dcterms:modified>
</cp:coreProperties>
</file>