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09.04.2026\MOBIL 2\"/>
    </mc:Choice>
  </mc:AlternateContent>
  <xr:revisionPtr revIDLastSave="0" documentId="13_ncr:1_{CD874804-B563-4BBD-8B9D-8A0009B95D05}" xr6:coauthVersionLast="47" xr6:coauthVersionMax="47" xr10:uidLastSave="{00000000-0000-0000-0000-000000000000}"/>
  <bookViews>
    <workbookView xWindow="-120" yWindow="-120" windowWidth="20730" windowHeight="11160" firstSheet="3" activeTab="2" xr2:uid="{00000000-000D-0000-FFFF-FFFF00000000}"/>
  </bookViews>
  <sheets>
    <sheet name="Sheet1" sheetId="128" r:id="rId1"/>
    <sheet name="reff" sheetId="162" r:id="rId2"/>
    <sheet name="163" sheetId="135" r:id="rId3"/>
    <sheet name="164" sheetId="137" r:id="rId4"/>
    <sheet name="165" sheetId="138" r:id="rId5"/>
    <sheet name="166" sheetId="141" r:id="rId6"/>
    <sheet name="167" sheetId="142" r:id="rId7"/>
    <sheet name="168" sheetId="143" r:id="rId8"/>
    <sheet name="169" sheetId="163" r:id="rId9"/>
    <sheet name="170" sheetId="164" r:id="rId10"/>
    <sheet name="171" sheetId="165" r:id="rId11"/>
    <sheet name="172" sheetId="166" r:id="rId12"/>
    <sheet name="173" sheetId="167" r:id="rId13"/>
    <sheet name="174" sheetId="168" r:id="rId14"/>
    <sheet name="175" sheetId="169" r:id="rId15"/>
    <sheet name="176" sheetId="170" r:id="rId16"/>
    <sheet name="177" sheetId="171" r:id="rId17"/>
  </sheets>
  <externalReferences>
    <externalReference r:id="rId18"/>
    <externalReference r:id="rId19"/>
    <externalReference r:id="rId20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>[2]xdata!#REF!</definedName>
    <definedName name="INVOICE">[2]xdata!$B$2</definedName>
    <definedName name="_xlnm.Print_Area" localSheetId="2">'163'!$B$1:$I$57</definedName>
    <definedName name="_xlnm.Print_Area" localSheetId="3">'164'!$B$1:$I$57</definedName>
    <definedName name="_xlnm.Print_Area" localSheetId="4">'165'!$B$1:$I$56</definedName>
    <definedName name="_xlnm.Print_Area" localSheetId="5">'166'!$B$1:$I$57</definedName>
    <definedName name="_xlnm.Print_Area" localSheetId="6">'167'!$B$1:$I$57</definedName>
    <definedName name="_xlnm.Print_Area" localSheetId="7">'168'!$B$1:$I$57</definedName>
    <definedName name="_xlnm.Print_Area" localSheetId="8">'169'!$B$1:$I$57</definedName>
    <definedName name="_xlnm.Print_Area" localSheetId="9">'170'!$B$1:$I$57</definedName>
    <definedName name="_xlnm.Print_Area" localSheetId="10">'171'!$B$1:$I$57</definedName>
    <definedName name="_xlnm.Print_Area" localSheetId="11">'172'!$B$1:$I$57</definedName>
    <definedName name="_xlnm.Print_Area" localSheetId="12">'173'!$B$1:$I$57</definedName>
    <definedName name="_xlnm.Print_Area" localSheetId="13">'174'!$B$1:$I$57</definedName>
    <definedName name="_xlnm.Print_Area" localSheetId="14">'175'!$B$1:$I$57</definedName>
    <definedName name="_xlnm.Print_Area" localSheetId="15">'176'!$B$1:$I$57</definedName>
    <definedName name="_xlnm.Print_Area" localSheetId="16">'177'!$B$1:$I$57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71" l="1"/>
  <c r="H3" i="170"/>
  <c r="H3" i="169"/>
  <c r="H3" i="168"/>
  <c r="H3" i="167"/>
  <c r="H3" i="166"/>
  <c r="H3" i="165"/>
  <c r="H3" i="164"/>
  <c r="H3" i="163"/>
  <c r="H3" i="143"/>
  <c r="H3" i="142"/>
  <c r="H3" i="141"/>
  <c r="H3" i="138"/>
  <c r="H3" i="137"/>
  <c r="F32" i="169" l="1"/>
  <c r="F32" i="171"/>
  <c r="F32" i="167"/>
  <c r="F32" i="170" l="1"/>
  <c r="F34" i="170" s="1"/>
  <c r="F32" i="143"/>
  <c r="F32" i="142"/>
  <c r="F34" i="142" s="1"/>
  <c r="F32" i="138"/>
  <c r="F33" i="138" s="1"/>
  <c r="H52" i="171"/>
  <c r="I32" i="171"/>
  <c r="B27" i="171"/>
  <c r="I23" i="171"/>
  <c r="H23" i="171"/>
  <c r="G23" i="171"/>
  <c r="F23" i="171"/>
  <c r="E23" i="171"/>
  <c r="E21" i="171"/>
  <c r="D21" i="171"/>
  <c r="C21" i="171"/>
  <c r="B21" i="171"/>
  <c r="B15" i="171"/>
  <c r="B16" i="171" s="1"/>
  <c r="B17" i="171" s="1"/>
  <c r="B18" i="171" s="1"/>
  <c r="G14" i="171"/>
  <c r="G15" i="171" s="1"/>
  <c r="G16" i="171" s="1"/>
  <c r="G17" i="171" s="1"/>
  <c r="H21" i="171" s="1"/>
  <c r="H52" i="170"/>
  <c r="B27" i="170"/>
  <c r="I23" i="170"/>
  <c r="H23" i="170"/>
  <c r="G23" i="170"/>
  <c r="F23" i="170"/>
  <c r="E23" i="170"/>
  <c r="E21" i="170"/>
  <c r="D21" i="170"/>
  <c r="C21" i="170"/>
  <c r="B21" i="170"/>
  <c r="B16" i="170"/>
  <c r="B17" i="170" s="1"/>
  <c r="B18" i="170" s="1"/>
  <c r="B15" i="170"/>
  <c r="G14" i="170"/>
  <c r="G15" i="170" s="1"/>
  <c r="G16" i="170" s="1"/>
  <c r="G17" i="170" s="1"/>
  <c r="H21" i="170" s="1"/>
  <c r="H52" i="169"/>
  <c r="I32" i="169"/>
  <c r="I34" i="169" s="1"/>
  <c r="I36" i="169" s="1"/>
  <c r="I38" i="169" s="1"/>
  <c r="B27" i="169"/>
  <c r="I23" i="169"/>
  <c r="H23" i="169"/>
  <c r="G23" i="169"/>
  <c r="F23" i="169"/>
  <c r="E23" i="169"/>
  <c r="E21" i="169"/>
  <c r="D21" i="169"/>
  <c r="C21" i="169"/>
  <c r="B21" i="169"/>
  <c r="B15" i="169"/>
  <c r="B16" i="169" s="1"/>
  <c r="B17" i="169" s="1"/>
  <c r="B18" i="169" s="1"/>
  <c r="G14" i="169"/>
  <c r="G15" i="169" s="1"/>
  <c r="G16" i="169" s="1"/>
  <c r="G17" i="169" s="1"/>
  <c r="H21" i="169" s="1"/>
  <c r="H52" i="168"/>
  <c r="F32" i="168"/>
  <c r="F34" i="168" s="1"/>
  <c r="B27" i="168"/>
  <c r="I23" i="168"/>
  <c r="H23" i="168"/>
  <c r="G23" i="168"/>
  <c r="F23" i="168"/>
  <c r="E23" i="168"/>
  <c r="E21" i="168"/>
  <c r="D21" i="168"/>
  <c r="C21" i="168"/>
  <c r="B21" i="168"/>
  <c r="B16" i="168"/>
  <c r="B17" i="168" s="1"/>
  <c r="B18" i="168" s="1"/>
  <c r="B15" i="168"/>
  <c r="G14" i="168"/>
  <c r="G15" i="168" s="1"/>
  <c r="G16" i="168" s="1"/>
  <c r="G17" i="168" s="1"/>
  <c r="H21" i="168" s="1"/>
  <c r="H52" i="167"/>
  <c r="I32" i="167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52" i="166"/>
  <c r="F34" i="166"/>
  <c r="F32" i="166"/>
  <c r="I32" i="166" s="1"/>
  <c r="I34" i="166" s="1"/>
  <c r="I36" i="166" s="1"/>
  <c r="I38" i="166" s="1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52" i="165"/>
  <c r="F32" i="165"/>
  <c r="I32" i="165" s="1"/>
  <c r="I34" i="165" s="1"/>
  <c r="I36" i="165" s="1"/>
  <c r="I38" i="165" s="1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F32" i="141"/>
  <c r="F34" i="141" s="1"/>
  <c r="F32" i="137"/>
  <c r="F32" i="164"/>
  <c r="F32" i="163"/>
  <c r="F32" i="135"/>
  <c r="I34" i="171" l="1"/>
  <c r="I36" i="171" s="1"/>
  <c r="I38" i="171" s="1"/>
  <c r="F34" i="167"/>
  <c r="I34" i="167"/>
  <c r="I36" i="167" s="1"/>
  <c r="I38" i="167" s="1"/>
  <c r="F34" i="171"/>
  <c r="F34" i="169"/>
  <c r="F34" i="165"/>
  <c r="I32" i="170"/>
  <c r="I34" i="170" s="1"/>
  <c r="I36" i="170" s="1"/>
  <c r="I38" i="170" s="1"/>
  <c r="I32" i="168"/>
  <c r="I34" i="168" s="1"/>
  <c r="I36" i="168" s="1"/>
  <c r="I38" i="168" s="1"/>
  <c r="I32" i="138"/>
  <c r="I33" i="138" s="1"/>
  <c r="I32" i="141"/>
  <c r="I34" i="141" s="1"/>
  <c r="F34" i="137"/>
  <c r="F34" i="135"/>
  <c r="I32" i="137" l="1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2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B27" i="135"/>
  <c r="I34" i="163" l="1"/>
  <c r="I36" i="163" s="1"/>
  <c r="I38" i="163" s="1"/>
  <c r="I32" i="164"/>
  <c r="I34" i="164" s="1"/>
  <c r="I36" i="164" s="1"/>
  <c r="I38" i="164" s="1"/>
  <c r="H52" i="142" l="1"/>
  <c r="E21" i="135"/>
  <c r="E21" i="137"/>
  <c r="E21" i="138"/>
  <c r="E21" i="141"/>
  <c r="E21" i="142"/>
  <c r="E21" i="143"/>
  <c r="H52" i="141"/>
  <c r="C21" i="135"/>
  <c r="C21" i="137"/>
  <c r="C21" i="138"/>
  <c r="C21" i="141"/>
  <c r="C21" i="142"/>
  <c r="C21" i="143"/>
  <c r="H52" i="135"/>
  <c r="H52" i="137"/>
  <c r="H51" i="138"/>
  <c r="H52" i="14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4" i="135" s="1"/>
  <c r="I36" i="135" s="1"/>
  <c r="I38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5" i="138" l="1"/>
  <c r="I37" i="138" s="1"/>
  <c r="C3" i="137" l="1"/>
  <c r="C3" i="138" s="1"/>
  <c r="C3" i="141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  <c r="C3" i="163" s="1"/>
  <c r="C3" i="164" l="1"/>
  <c r="C3" i="165" s="1"/>
  <c r="C3" i="166" s="1"/>
  <c r="C3" i="167" s="1"/>
  <c r="C3" i="168" s="1"/>
  <c r="C3" i="169" s="1"/>
  <c r="C3" i="170" s="1"/>
  <c r="C3" i="171" s="1"/>
</calcChain>
</file>

<file path=xl/sharedStrings.xml><?xml version="1.0" encoding="utf-8"?>
<sst xmlns="http://schemas.openxmlformats.org/spreadsheetml/2006/main" count="1364" uniqueCount="207">
  <si>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</si>
  <si>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</si>
  <si>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</si>
  <si>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</si>
  <si>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</si>
  <si>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</si>
  <si>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</si>
  <si>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</si>
  <si>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</si>
  <si>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</si>
  <si>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</si>
  <si>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</si>
  <si>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</si>
  <si>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</si>
  <si>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</si>
  <si>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</si>
  <si>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</si>
  <si>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</si>
  <si>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</si>
  <si>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</si>
  <si>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</si>
  <si>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</si>
  <si>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</si>
  <si>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</si>
  <si>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</si>
  <si>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</si>
  <si>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</si>
  <si>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</si>
  <si>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</si>
  <si>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</si>
  <si>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</si>
  <si>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</si>
  <si>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</si>
  <si>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</si>
  <si>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</si>
  <si>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</si>
  <si>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</si>
  <si>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</si>
  <si>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</si>
  <si>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</si>
  <si>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</si>
  <si>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</si>
  <si>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</si>
  <si>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</si>
  <si>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</si>
  <si>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</si>
  <si>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</si>
  <si>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</si>
  <si>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</si>
  <si>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</si>
  <si>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</si>
  <si>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</si>
  <si>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</si>
  <si>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</si>
  <si>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</si>
  <si>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</si>
  <si>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</si>
  <si>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</si>
  <si>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</si>
  <si>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</si>
  <si>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</si>
  <si>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</si>
  <si>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</si>
  <si>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</si>
  <si>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</si>
  <si>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</si>
  <si>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</si>
  <si>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</si>
  <si>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</si>
  <si>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</si>
  <si>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</si>
  <si>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</si>
  <si>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</si>
  <si>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</si>
  <si>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</si>
  <si>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</si>
  <si>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</si>
  <si>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</si>
  <si>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</si>
  <si>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</si>
  <si>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</si>
  <si>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</si>
  <si>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</si>
  <si>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</si>
  <si>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</si>
  <si>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</si>
  <si>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</si>
  <si>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</si>
  <si>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</si>
  <si>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</si>
  <si>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</si>
  <si>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</si>
  <si>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</si>
  <si>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</si>
  <si>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</si>
  <si>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</si>
  <si>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</si>
  <si>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</si>
  <si>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</si>
  <si>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</si>
  <si>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</si>
  <si>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</si>
  <si>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</si>
  <si>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</si>
  <si>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</si>
  <si>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</si>
  <si>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</si>
  <si>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</si>
  <si>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</si>
  <si>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</si>
  <si>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</si>
  <si>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</si>
  <si>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</si>
  <si>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</si>
  <si>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</si>
  <si>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</si>
  <si>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</si>
  <si>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</si>
  <si>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</si>
  <si>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</si>
  <si>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</si>
  <si>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</si>
  <si>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</si>
  <si>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</si>
  <si>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</si>
  <si>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</si>
  <si>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</si>
  <si>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</si>
  <si>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</si>
  <si>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</si>
  <si>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</si>
  <si>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</si>
  <si>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</si>
  <si>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</si>
  <si>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</si>
  <si>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</si>
  <si>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</si>
  <si>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</si>
  <si>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</si>
  <si>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</si>
  <si>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</si>
  <si>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</si>
  <si>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</si>
  <si>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</si>
  <si>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</si>
  <si>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</si>
  <si>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</si>
  <si>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</si>
  <si>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</si>
  <si>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</si>
  <si>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</si>
  <si>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</si>
  <si>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</si>
  <si>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</si>
  <si>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</si>
  <si>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</si>
  <si>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</si>
  <si>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</si>
  <si>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</si>
  <si>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</si>
  <si>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</si>
  <si>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</si>
  <si>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</si>
  <si>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</si>
  <si>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</si>
  <si>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</si>
  <si>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</si>
  <si>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</si>
  <si>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</si>
  <si>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</si>
  <si>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</si>
  <si>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</si>
  <si>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</si>
  <si>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</si>
  <si>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</si>
  <si>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</si>
  <si>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</si>
  <si>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</si>
  <si>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GIRLS COTTON FIBERS, KNIT PULLOVER, WITH NO NECK CLOSURE, STITCH COUNT IS GREATER THAN 9/2CM, REACHES WAIST [60% COTTON 40% POLYESTER]</t>
  </si>
  <si>
    <t>02</t>
  </si>
  <si>
    <t>CALLA LILY 451</t>
  </si>
  <si>
    <t>ONLINE</t>
  </si>
  <si>
    <t>RETAIL</t>
  </si>
  <si>
    <t>00, 01</t>
  </si>
  <si>
    <t>265K0030</t>
  </si>
  <si>
    <t>265K0028</t>
  </si>
  <si>
    <t>265K0031</t>
  </si>
  <si>
    <t>POLKA DOT</t>
  </si>
  <si>
    <t>01</t>
  </si>
  <si>
    <t>ICED WATER</t>
  </si>
  <si>
    <t>265K0035</t>
  </si>
  <si>
    <t>265K0032</t>
  </si>
  <si>
    <t>265K0029</t>
  </si>
  <si>
    <t>HEART FLAG</t>
  </si>
  <si>
    <t>GIRLS COTTON FIBERS, KNIT PULLOVER, WITH NO NECK CLOSURE, STITCH COUNT IS GREATER THAN 9/2CM, REACHES WAIST [100% COTTON]</t>
  </si>
  <si>
    <t>DUSKY LAVENDER, PRESSED FLOWER</t>
  </si>
  <si>
    <t>265K0041</t>
  </si>
  <si>
    <t>265K0042</t>
  </si>
  <si>
    <t>265K0045</t>
  </si>
  <si>
    <t>BLUSH ON YOU, SHOOTING STAR</t>
  </si>
  <si>
    <t>22, 21</t>
  </si>
  <si>
    <t>WOMENS COTTON FIBERS, KNIT PULLOVER, WITH NO NECK CLOSURE, STITCH COUNT IS GREATER THAN 9/2CM, REACHES WAIST, SLEEVELESS [95% COTTON 5% ELASTANE]</t>
  </si>
  <si>
    <t>BLACK COFFEE, BLACK JACK 3, CALLA LILY 2, IN THE NAVY</t>
  </si>
  <si>
    <t>13, 15, 20, 16</t>
  </si>
  <si>
    <t>MOCHA TAFFY</t>
  </si>
  <si>
    <t>19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</si>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</sst>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46</xdr:row>
      <xdr:rowOff>9525</xdr:rowOff>
    </xdr:from>
    <xdr:to>
      <xdr:col>4</xdr:col>
      <xdr:colOff>322160</xdr:colOff>
      <xdr:row>54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0C5909B-F016-4DE8-AE85-7AC459771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6688F-BC2D-48D6-9D9D-9DD71976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A08B9F40-FE0A-4508-B974-441FAA12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7BBF2-9A2F-4908-B3E2-29907A84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509D1C96-1BD2-4706-95F0-6B7F272E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3A44F2-D137-4AB0-A499-7E672390F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CD22CA3B-F326-45C5-AAFB-101E7979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568F4-CAEB-469F-8131-1393C74D0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18D38F5-E63E-440B-B72E-2DB8446B7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222A7-5509-40BE-B908-50CEC928B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E5C28DDD-6B21-4CD2-9A05-E4B7FE9EB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C9DAD-26C1-480A-AA55-50EB1A092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2A47057C-CE83-415F-AE42-1F15E267B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660F0-BA61-4362-85FC-DC716153E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1" customWidth="1"/>
    <col min="4" max="4" width="31.5703125" customWidth="1"/>
    <col min="5" max="5" width="2.140625" style="51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2" t="s">
        <v>83</v>
      </c>
      <c r="D6" s="52" t="s">
        <v>65</v>
      </c>
      <c r="F6" s="52" t="s">
        <v>68</v>
      </c>
      <c r="G6" s="52" t="s">
        <v>68</v>
      </c>
      <c r="H6" s="52" t="s">
        <v>77</v>
      </c>
      <c r="I6" s="52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2" t="s">
        <v>84</v>
      </c>
      <c r="D7" s="52" t="s">
        <v>66</v>
      </c>
      <c r="F7" s="52" t="s">
        <v>69</v>
      </c>
      <c r="G7" s="52" t="s">
        <v>69</v>
      </c>
      <c r="H7" s="52" t="s">
        <v>78</v>
      </c>
      <c r="I7" s="52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3" t="s">
        <v>97</v>
      </c>
      <c r="D8" s="53" t="s">
        <v>75</v>
      </c>
      <c r="F8" s="53" t="s">
        <v>76</v>
      </c>
      <c r="G8" s="53" t="s">
        <v>76</v>
      </c>
      <c r="H8" s="53" t="s">
        <v>79</v>
      </c>
      <c r="I8" s="53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2" t="s">
        <v>138</v>
      </c>
      <c r="D12" s="52" t="s">
        <v>118</v>
      </c>
      <c r="F12" s="52" t="s">
        <v>104</v>
      </c>
      <c r="G12" s="52" t="s">
        <v>106</v>
      </c>
      <c r="H12" s="52" t="s">
        <v>110</v>
      </c>
      <c r="I12" s="52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2" t="s">
        <v>139</v>
      </c>
      <c r="D13" s="52" t="s">
        <v>119</v>
      </c>
      <c r="F13" s="52" t="s">
        <v>101</v>
      </c>
      <c r="G13" s="52" t="s">
        <v>107</v>
      </c>
      <c r="H13" s="52" t="s">
        <v>111</v>
      </c>
      <c r="I13" s="52" t="s">
        <v>115</v>
      </c>
      <c r="L13" t="str">
        <f>F17</f>
        <v>BDC-0015</v>
      </c>
    </row>
    <row r="14" spans="2:12" x14ac:dyDescent="0.2">
      <c r="B14" s="52" t="s">
        <v>141</v>
      </c>
      <c r="D14" s="53" t="s">
        <v>120</v>
      </c>
      <c r="F14" s="53" t="s">
        <v>102</v>
      </c>
      <c r="G14" s="53" t="s">
        <v>108</v>
      </c>
      <c r="H14" s="53" t="s">
        <v>112</v>
      </c>
      <c r="I14" s="53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2" t="s">
        <v>71</v>
      </c>
      <c r="F18" s="52" t="s">
        <v>71</v>
      </c>
      <c r="G18" s="52" t="s">
        <v>71</v>
      </c>
      <c r="H18" s="52" t="s">
        <v>91</v>
      </c>
      <c r="I18" s="52" t="s">
        <v>122</v>
      </c>
      <c r="L18" t="str">
        <f>G23</f>
        <v>EDC(EU FRANCHISE HUB)</v>
      </c>
    </row>
    <row r="19" spans="2:12" x14ac:dyDescent="0.2">
      <c r="D19" s="52" t="s">
        <v>72</v>
      </c>
      <c r="F19" s="52" t="s">
        <v>72</v>
      </c>
      <c r="G19" s="52" t="s">
        <v>72</v>
      </c>
      <c r="H19" s="52" t="s">
        <v>92</v>
      </c>
      <c r="I19" s="52" t="s">
        <v>123</v>
      </c>
      <c r="L19" t="str">
        <f>H23</f>
        <v>EXPEDITORS INT'L GPS STRATEGIC ALLIANCES, LLC</v>
      </c>
    </row>
    <row r="20" spans="2:12" x14ac:dyDescent="0.2">
      <c r="D20" s="52" t="s">
        <v>73</v>
      </c>
      <c r="F20" s="52" t="s">
        <v>73</v>
      </c>
      <c r="G20" s="52" t="s">
        <v>73</v>
      </c>
      <c r="H20" s="53" t="s">
        <v>93</v>
      </c>
      <c r="I20" s="52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2" t="s">
        <v>128</v>
      </c>
      <c r="F24" s="52" t="s">
        <v>135</v>
      </c>
      <c r="G24" s="52" t="s">
        <v>146</v>
      </c>
      <c r="H24" s="52" t="s">
        <v>151</v>
      </c>
      <c r="I24" s="52" t="s">
        <v>157</v>
      </c>
      <c r="L24" t="str">
        <f>I29</f>
        <v>PDC-0014</v>
      </c>
    </row>
    <row r="25" spans="2:12" x14ac:dyDescent="0.2">
      <c r="D25" s="52" t="s">
        <v>129</v>
      </c>
      <c r="F25" s="52" t="s">
        <v>136</v>
      </c>
      <c r="G25" s="52" t="s">
        <v>147</v>
      </c>
      <c r="H25" s="52" t="s">
        <v>152</v>
      </c>
      <c r="I25" s="52" t="s">
        <v>158</v>
      </c>
      <c r="L25" t="str">
        <f>F35</f>
        <v>JPD-0030</v>
      </c>
    </row>
    <row r="26" spans="2:12" x14ac:dyDescent="0.2">
      <c r="D26" s="52" t="s">
        <v>130</v>
      </c>
      <c r="F26" s="52" t="s">
        <v>133</v>
      </c>
      <c r="G26" s="52" t="s">
        <v>148</v>
      </c>
      <c r="H26" s="52" t="s">
        <v>153</v>
      </c>
      <c r="I26" s="53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2" t="s">
        <v>143</v>
      </c>
      <c r="F30" s="52" t="s">
        <v>161</v>
      </c>
      <c r="G30" s="52" t="s">
        <v>163</v>
      </c>
      <c r="H30" s="52" t="s">
        <v>163</v>
      </c>
      <c r="I30" s="52" t="s">
        <v>166</v>
      </c>
    </row>
    <row r="31" spans="2:12" x14ac:dyDescent="0.2">
      <c r="D31" s="52" t="s">
        <v>144</v>
      </c>
      <c r="F31" s="52" t="s">
        <v>111</v>
      </c>
      <c r="G31" s="52" t="s">
        <v>69</v>
      </c>
      <c r="H31" s="52" t="s">
        <v>69</v>
      </c>
      <c r="I31" s="52" t="s">
        <v>101</v>
      </c>
    </row>
    <row r="32" spans="2:12" x14ac:dyDescent="0.2">
      <c r="D32" s="52" t="s">
        <v>130</v>
      </c>
      <c r="F32" s="53" t="s">
        <v>112</v>
      </c>
      <c r="G32" s="53" t="s">
        <v>76</v>
      </c>
      <c r="H32" s="53" t="s">
        <v>76</v>
      </c>
      <c r="I32" s="53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2" t="s">
        <v>118</v>
      </c>
      <c r="F36" s="52" t="s">
        <v>173</v>
      </c>
    </row>
    <row r="37" spans="4:9" x14ac:dyDescent="0.2">
      <c r="D37" s="52" t="s">
        <v>119</v>
      </c>
      <c r="F37" s="52" t="s">
        <v>174</v>
      </c>
    </row>
    <row r="38" spans="4:9" x14ac:dyDescent="0.2">
      <c r="D38" s="53" t="s">
        <v>120</v>
      </c>
      <c r="F38" s="52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2" t="s">
        <v>65</v>
      </c>
    </row>
    <row r="43" spans="4:9" x14ac:dyDescent="0.2">
      <c r="D43" s="52" t="s">
        <v>66</v>
      </c>
    </row>
    <row r="44" spans="4:9" x14ac:dyDescent="0.2">
      <c r="D44" s="53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2" t="s">
        <v>168</v>
      </c>
    </row>
    <row r="49" spans="4:4" x14ac:dyDescent="0.2">
      <c r="D49" s="52" t="s">
        <v>169</v>
      </c>
    </row>
    <row r="50" spans="4:4" x14ac:dyDescent="0.2">
      <c r="D50" s="53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C5" sqref="C5"/>
    </sheetView>
  </sheetViews>
  <sheetFormatPr defaultRowHeight="12.75" x14ac:dyDescent="0.2"/>
  <sheetData>
    <row r="2" spans="2:9" ht="15" x14ac:dyDescent="0.25">
      <c r="B2" s="56">
        <v>1</v>
      </c>
      <c r="C2" t="s">
        <v>196</v>
      </c>
      <c r="E2" s="56">
        <v>1</v>
      </c>
      <c r="F2">
        <v>767468</v>
      </c>
      <c r="H2" s="56">
        <v>1</v>
      </c>
      <c r="I2" s="57" t="s">
        <v>181</v>
      </c>
    </row>
    <row r="3" spans="2:9" ht="15" x14ac:dyDescent="0.25">
      <c r="B3" s="56">
        <v>2</v>
      </c>
      <c r="C3" t="s">
        <v>196</v>
      </c>
      <c r="E3" s="56">
        <v>2</v>
      </c>
      <c r="F3">
        <v>767468</v>
      </c>
      <c r="H3" s="56">
        <v>2</v>
      </c>
      <c r="I3" s="57" t="s">
        <v>181</v>
      </c>
    </row>
    <row r="4" spans="2:9" ht="15" x14ac:dyDescent="0.25">
      <c r="B4" s="56">
        <v>3</v>
      </c>
      <c r="C4" t="s">
        <v>197</v>
      </c>
      <c r="E4" s="56">
        <v>3</v>
      </c>
      <c r="F4">
        <v>769950</v>
      </c>
      <c r="H4" s="56">
        <v>3</v>
      </c>
      <c r="I4" s="57" t="s">
        <v>181</v>
      </c>
    </row>
    <row r="5" spans="2:9" ht="15" x14ac:dyDescent="0.25">
      <c r="B5" s="56">
        <v>4</v>
      </c>
      <c r="C5" t="s">
        <v>191</v>
      </c>
      <c r="E5" s="56">
        <v>4</v>
      </c>
      <c r="F5">
        <v>893947</v>
      </c>
      <c r="H5" s="56">
        <v>4</v>
      </c>
      <c r="I5" s="57" t="s">
        <v>182</v>
      </c>
    </row>
    <row r="6" spans="2:9" ht="15" x14ac:dyDescent="0.25">
      <c r="B6" s="56">
        <v>5</v>
      </c>
      <c r="C6" t="s">
        <v>184</v>
      </c>
      <c r="E6" s="56">
        <v>5</v>
      </c>
      <c r="F6">
        <v>893957</v>
      </c>
      <c r="H6" s="56">
        <v>5</v>
      </c>
      <c r="I6" s="57" t="s">
        <v>182</v>
      </c>
    </row>
    <row r="7" spans="2:9" ht="15" x14ac:dyDescent="0.25">
      <c r="B7" s="56">
        <v>6</v>
      </c>
      <c r="C7" t="s">
        <v>185</v>
      </c>
      <c r="E7" s="56">
        <v>6</v>
      </c>
      <c r="F7">
        <v>896206</v>
      </c>
      <c r="H7" s="56">
        <v>6</v>
      </c>
      <c r="I7" s="57" t="s">
        <v>182</v>
      </c>
    </row>
    <row r="8" spans="2:9" ht="15" x14ac:dyDescent="0.25">
      <c r="B8" s="56">
        <v>7</v>
      </c>
      <c r="C8" t="s">
        <v>186</v>
      </c>
      <c r="E8" s="56">
        <v>7</v>
      </c>
      <c r="F8">
        <v>893958</v>
      </c>
      <c r="H8" s="56">
        <v>7</v>
      </c>
      <c r="I8" s="57" t="s">
        <v>182</v>
      </c>
    </row>
    <row r="9" spans="2:9" ht="15" x14ac:dyDescent="0.25">
      <c r="B9" s="56">
        <v>8</v>
      </c>
      <c r="C9" t="s">
        <v>190</v>
      </c>
      <c r="E9" s="56">
        <v>8</v>
      </c>
      <c r="F9">
        <v>903770</v>
      </c>
      <c r="H9" s="56">
        <v>8</v>
      </c>
      <c r="I9" s="57" t="s">
        <v>182</v>
      </c>
    </row>
    <row r="10" spans="2:9" ht="15" x14ac:dyDescent="0.25">
      <c r="B10" s="56">
        <v>9</v>
      </c>
      <c r="C10" t="s">
        <v>190</v>
      </c>
      <c r="E10" s="56">
        <v>9</v>
      </c>
      <c r="F10">
        <v>903770</v>
      </c>
      <c r="H10" s="56">
        <v>9</v>
      </c>
      <c r="I10" s="57" t="s">
        <v>181</v>
      </c>
    </row>
    <row r="11" spans="2:9" ht="15" x14ac:dyDescent="0.25">
      <c r="B11" s="56">
        <v>10</v>
      </c>
      <c r="C11" t="s">
        <v>185</v>
      </c>
      <c r="E11" s="56">
        <v>10</v>
      </c>
      <c r="F11">
        <v>896206</v>
      </c>
      <c r="H11" s="56">
        <v>10</v>
      </c>
      <c r="I11" s="57" t="s">
        <v>181</v>
      </c>
    </row>
    <row r="12" spans="2:9" ht="15" x14ac:dyDescent="0.25">
      <c r="B12" s="56">
        <v>11</v>
      </c>
      <c r="C12" t="s">
        <v>186</v>
      </c>
      <c r="E12" s="56">
        <v>11</v>
      </c>
      <c r="F12">
        <v>893958</v>
      </c>
      <c r="H12" s="56">
        <v>11</v>
      </c>
      <c r="I12" s="57" t="s">
        <v>181</v>
      </c>
    </row>
    <row r="13" spans="2:9" ht="15" x14ac:dyDescent="0.25">
      <c r="B13" s="56">
        <v>12</v>
      </c>
      <c r="C13" t="s">
        <v>191</v>
      </c>
      <c r="E13" s="56">
        <v>12</v>
      </c>
      <c r="F13">
        <v>893947</v>
      </c>
      <c r="H13" s="56">
        <v>12</v>
      </c>
      <c r="I13" s="57" t="s">
        <v>181</v>
      </c>
    </row>
    <row r="14" spans="2:9" ht="15" x14ac:dyDescent="0.25">
      <c r="B14" s="56">
        <v>13</v>
      </c>
      <c r="C14" t="s">
        <v>184</v>
      </c>
      <c r="E14" s="56">
        <v>13</v>
      </c>
      <c r="F14">
        <v>893957</v>
      </c>
      <c r="H14" s="56">
        <v>13</v>
      </c>
      <c r="I14" s="57" t="s">
        <v>181</v>
      </c>
    </row>
    <row r="15" spans="2:9" ht="15" x14ac:dyDescent="0.25">
      <c r="B15" s="56">
        <v>14</v>
      </c>
      <c r="C15" t="s">
        <v>192</v>
      </c>
      <c r="E15" s="56">
        <v>14</v>
      </c>
      <c r="F15">
        <v>893987</v>
      </c>
      <c r="H15" s="56">
        <v>14</v>
      </c>
      <c r="I15" s="57" t="s">
        <v>181</v>
      </c>
    </row>
    <row r="16" spans="2:9" ht="15" x14ac:dyDescent="0.25">
      <c r="B16" s="56">
        <v>15</v>
      </c>
      <c r="C16" t="s">
        <v>198</v>
      </c>
      <c r="E16" s="56">
        <v>15</v>
      </c>
      <c r="F16">
        <v>692926</v>
      </c>
      <c r="H16" s="56">
        <v>15</v>
      </c>
      <c r="I16" s="57" t="s">
        <v>181</v>
      </c>
    </row>
    <row r="17" spans="2:11" ht="15" x14ac:dyDescent="0.25">
      <c r="B17" s="56">
        <v>16</v>
      </c>
      <c r="C17" t="s">
        <v>198</v>
      </c>
      <c r="E17" s="56">
        <v>16</v>
      </c>
      <c r="F17">
        <v>692926</v>
      </c>
      <c r="H17" s="56">
        <v>16</v>
      </c>
      <c r="I17" s="57" t="s">
        <v>181</v>
      </c>
    </row>
    <row r="18" spans="2:11" ht="15" x14ac:dyDescent="0.25">
      <c r="B18" s="56">
        <v>17</v>
      </c>
      <c r="C18" t="s">
        <v>198</v>
      </c>
      <c r="E18" s="56">
        <v>17</v>
      </c>
      <c r="F18">
        <v>692926</v>
      </c>
      <c r="H18" s="56">
        <v>17</v>
      </c>
      <c r="I18" s="57" t="s">
        <v>182</v>
      </c>
    </row>
    <row r="19" spans="2:11" ht="15" x14ac:dyDescent="0.25">
      <c r="B19" s="56">
        <v>18</v>
      </c>
      <c r="C19" t="s">
        <v>198</v>
      </c>
      <c r="E19" s="56">
        <v>18</v>
      </c>
      <c r="F19">
        <v>692926</v>
      </c>
      <c r="H19" s="56">
        <v>18</v>
      </c>
      <c r="I19" s="57" t="s">
        <v>182</v>
      </c>
    </row>
    <row r="20" spans="2:11" ht="15" x14ac:dyDescent="0.25">
      <c r="B20" s="56">
        <v>19</v>
      </c>
      <c r="E20" s="56">
        <v>19</v>
      </c>
      <c r="H20" s="56">
        <v>19</v>
      </c>
      <c r="I20" s="57"/>
    </row>
    <row r="21" spans="2:11" ht="15" x14ac:dyDescent="0.25">
      <c r="B21" s="56">
        <v>20</v>
      </c>
      <c r="E21" s="56">
        <v>20</v>
      </c>
      <c r="H21" s="56">
        <v>20</v>
      </c>
      <c r="I21" s="57"/>
    </row>
    <row r="22" spans="2:11" ht="15" x14ac:dyDescent="0.25">
      <c r="B22" s="56">
        <v>21</v>
      </c>
      <c r="E22" s="56">
        <v>21</v>
      </c>
      <c r="H22" s="56">
        <v>21</v>
      </c>
      <c r="I22" s="57"/>
      <c r="K22" t="s">
        <v>63</v>
      </c>
    </row>
    <row r="23" spans="2:11" ht="15" x14ac:dyDescent="0.25">
      <c r="B23" s="56">
        <v>22</v>
      </c>
      <c r="E23" s="56">
        <v>22</v>
      </c>
      <c r="H23" s="56">
        <v>22</v>
      </c>
      <c r="I23" s="57"/>
    </row>
    <row r="24" spans="2:11" ht="15" x14ac:dyDescent="0.25">
      <c r="B24" s="56">
        <v>23</v>
      </c>
      <c r="E24" s="56">
        <v>23</v>
      </c>
      <c r="H24" s="56">
        <v>23</v>
      </c>
      <c r="I24" s="57"/>
    </row>
    <row r="25" spans="2:11" ht="15" x14ac:dyDescent="0.25">
      <c r="B25" s="56">
        <v>24</v>
      </c>
      <c r="E25" s="56">
        <v>24</v>
      </c>
      <c r="H25" s="56">
        <v>24</v>
      </c>
      <c r="I25" s="57"/>
    </row>
    <row r="26" spans="2:11" ht="15" x14ac:dyDescent="0.25">
      <c r="B26" s="56">
        <v>25</v>
      </c>
      <c r="E26" s="56">
        <v>25</v>
      </c>
      <c r="H26" s="56">
        <v>25</v>
      </c>
      <c r="I26" s="57"/>
    </row>
    <row r="27" spans="2:11" ht="15" x14ac:dyDescent="0.25">
      <c r="B27" s="56">
        <v>26</v>
      </c>
      <c r="E27" s="56">
        <v>26</v>
      </c>
      <c r="H27" s="56">
        <v>26</v>
      </c>
      <c r="I27" s="57"/>
    </row>
    <row r="28" spans="2:11" x14ac:dyDescent="0.2">
      <c r="B28" s="56">
        <v>27</v>
      </c>
      <c r="E28" s="56">
        <v>27</v>
      </c>
      <c r="H28" s="56">
        <v>27</v>
      </c>
    </row>
    <row r="29" spans="2:11" x14ac:dyDescent="0.2">
      <c r="B29" s="56">
        <v>28</v>
      </c>
      <c r="E29" s="56">
        <v>28</v>
      </c>
      <c r="H29" s="56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tabSelected="1" view="pageBreakPreview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61296240</v>
      </c>
      <c r="K2" s="50">
        <v>5616</v>
      </c>
      <c r="L2" s="44">
        <v>39</v>
      </c>
      <c r="M2" s="44">
        <v>454.65300000000002</v>
      </c>
      <c r="N2" s="44">
        <v>465.88499999999999</v>
      </c>
      <c r="O2" s="44">
        <v>502.935</v>
      </c>
      <c r="P2" s="44" t="s">
        <v>54</v>
      </c>
      <c r="Q2" s="44">
        <v>2.3319999999999999</v>
      </c>
      <c r="R2" s="44" t="s">
        <v>62</v>
      </c>
    </row>
    <row r="3" spans="2:22" x14ac:dyDescent="0.2">
      <c r="B3" s="6" t="s">
        <v>53</v>
      </c>
      <c r="C3" s="65">
        <v>163</v>
      </c>
      <c r="D3" s="5"/>
      <c r="E3" s="5"/>
      <c r="F3" s="5"/>
      <c r="G3" s="5" t="s">
        <v>52</v>
      </c>
      <c r="H3" s="31"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61296240</v>
      </c>
      <c r="C21" s="55">
        <f>VLOOKUP($K56,reff!E2:F29,2,0)</f>
        <v>893947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502.935</v>
      </c>
      <c r="G23" s="23">
        <f>+N2</f>
        <v>465.88499999999999</v>
      </c>
      <c r="H23" s="23">
        <f>+M2</f>
        <v>454.65300000000002</v>
      </c>
      <c r="I23" s="54">
        <f>+L2</f>
        <v>39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GIRLS COTTON FIBERS, KNIT PULLOVER, WITH NO NECK CLOSURE, STITCH COUNT IS GREATER THAN 9/2CM, REACHES WAIST [60% COTTON 40% POLYESTER]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7" t="s">
        <v>19</v>
      </c>
      <c r="E31" s="77"/>
      <c r="F31" s="77" t="s">
        <v>18</v>
      </c>
      <c r="G31" s="77"/>
      <c r="H31" s="54" t="s">
        <v>17</v>
      </c>
      <c r="I31" s="19" t="s">
        <v>16</v>
      </c>
      <c r="M31"/>
    </row>
    <row r="32" spans="2:13" ht="24" customHeight="1" x14ac:dyDescent="0.2">
      <c r="B32" s="41" t="s">
        <v>177</v>
      </c>
      <c r="C32" s="19" t="s">
        <v>193</v>
      </c>
      <c r="D32" s="68"/>
      <c r="E32" s="69"/>
      <c r="F32" s="68">
        <f>+K2</f>
        <v>5616</v>
      </c>
      <c r="G32" s="69"/>
      <c r="H32" s="17">
        <v>1.1000000000000001</v>
      </c>
      <c r="I32" s="18">
        <f>+H32*F32</f>
        <v>6177.6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60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5616</v>
      </c>
      <c r="G34" s="69"/>
      <c r="H34" s="15"/>
      <c r="I34" s="14">
        <f>SUM(I32:I32)</f>
        <v>6177.6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6177.6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6177.6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265K0032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tabSelected="1" view="pageBreakPreview" topLeftCell="A25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61296244</v>
      </c>
      <c r="K2" s="50">
        <v>4095</v>
      </c>
      <c r="L2" s="44">
        <v>29</v>
      </c>
      <c r="M2" s="44">
        <v>332.04500000000002</v>
      </c>
      <c r="N2" s="44">
        <v>340.23500000000001</v>
      </c>
      <c r="O2" s="44">
        <v>367.48500000000001</v>
      </c>
      <c r="P2" s="44" t="s">
        <v>54</v>
      </c>
      <c r="Q2" s="44">
        <v>1.694</v>
      </c>
      <c r="R2" s="44" t="s">
        <v>62</v>
      </c>
    </row>
    <row r="3" spans="2:22" x14ac:dyDescent="0.2">
      <c r="B3" s="6" t="s">
        <v>53</v>
      </c>
      <c r="C3" s="65">
        <f>+'163'!C3+1</f>
        <v>164</v>
      </c>
      <c r="D3" s="5"/>
      <c r="E3" s="5"/>
      <c r="F3" s="5"/>
      <c r="G3" s="5" t="s">
        <v>52</v>
      </c>
      <c r="H3" s="31">
        <f>+'163'!H3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61296244</v>
      </c>
      <c r="C21" s="55">
        <f>VLOOKUP($K56,reff!E2:F29,2,0)</f>
        <v>893957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367.48500000000001</v>
      </c>
      <c r="G23" s="23">
        <f>+N2</f>
        <v>340.23500000000001</v>
      </c>
      <c r="H23" s="23">
        <f>+M2</f>
        <v>332.04500000000002</v>
      </c>
      <c r="I23" s="54">
        <f>+L2</f>
        <v>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7" t="s">
        <v>19</v>
      </c>
      <c r="E31" s="77"/>
      <c r="F31" s="77" t="s">
        <v>18</v>
      </c>
      <c r="G31" s="77"/>
      <c r="H31" s="54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180</v>
      </c>
      <c r="D32" s="68"/>
      <c r="E32" s="69"/>
      <c r="F32" s="68">
        <f>+K2</f>
        <v>4095</v>
      </c>
      <c r="G32" s="69"/>
      <c r="H32" s="17">
        <v>0.78</v>
      </c>
      <c r="I32" s="18">
        <f>+H32*F32</f>
        <v>3194.1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54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4095</v>
      </c>
      <c r="G34" s="69"/>
      <c r="H34" s="15"/>
      <c r="I34" s="14">
        <f>SUM(I32:I33)</f>
        <v>3194.1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3194.1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3194.1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265K0030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7"/>
  <sheetViews>
    <sheetView tabSelected="1" view="pageBreakPreview" topLeftCell="A21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61364830</v>
      </c>
      <c r="K2" s="50">
        <v>3682</v>
      </c>
      <c r="L2" s="44">
        <v>29</v>
      </c>
      <c r="M2" s="44">
        <v>296.596</v>
      </c>
      <c r="N2" s="44">
        <v>303.95999999999998</v>
      </c>
      <c r="O2" s="44">
        <v>329.71</v>
      </c>
      <c r="P2" s="44" t="s">
        <v>54</v>
      </c>
      <c r="Q2" s="44">
        <v>1.526</v>
      </c>
      <c r="R2" s="44" t="s">
        <v>62</v>
      </c>
    </row>
    <row r="3" spans="2:22" x14ac:dyDescent="0.2">
      <c r="B3" s="6" t="s">
        <v>53</v>
      </c>
      <c r="C3" s="65">
        <f>+'164'!C3+1</f>
        <v>165</v>
      </c>
      <c r="D3" s="5"/>
      <c r="E3" s="5"/>
      <c r="F3" s="5"/>
      <c r="G3" s="5" t="s">
        <v>52</v>
      </c>
      <c r="H3" s="31">
        <f>+'164'!H3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61364830</v>
      </c>
      <c r="C21" s="55">
        <f>VLOOKUP($K55,reff!E2:F29,2,0)</f>
        <v>896206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329.71</v>
      </c>
      <c r="G23" s="23">
        <f>+N2</f>
        <v>303.95999999999998</v>
      </c>
      <c r="H23" s="23">
        <f>+M2</f>
        <v>296.596</v>
      </c>
      <c r="I23" s="54">
        <f>+L2</f>
        <v>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GIRLS COTTON FIBERS, KNIT PULLOVER, WITH NO NECK CLOSURE, STITCH COUNT IS GREATER THAN 9/2CM, REACHES WAIST [60% COTTON 40% POLYESTER]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7" t="s">
        <v>19</v>
      </c>
      <c r="E31" s="77"/>
      <c r="F31" s="77" t="s">
        <v>18</v>
      </c>
      <c r="G31" s="77"/>
      <c r="H31" s="54" t="s">
        <v>17</v>
      </c>
      <c r="I31" s="19" t="s">
        <v>16</v>
      </c>
      <c r="M31"/>
    </row>
    <row r="32" spans="2:13" ht="27.75" customHeight="1" x14ac:dyDescent="0.2">
      <c r="B32" s="41" t="s">
        <v>188</v>
      </c>
      <c r="C32" s="19" t="s">
        <v>187</v>
      </c>
      <c r="D32" s="68"/>
      <c r="E32" s="69"/>
      <c r="F32" s="68">
        <f>+K2</f>
        <v>3682</v>
      </c>
      <c r="G32" s="69"/>
      <c r="H32" s="17">
        <v>0.81</v>
      </c>
      <c r="I32" s="18">
        <f>+H32*F32</f>
        <v>2982.42</v>
      </c>
      <c r="K32" s="48"/>
      <c r="M32" s="39"/>
    </row>
    <row r="33" spans="2:11" ht="21.75" customHeight="1" x14ac:dyDescent="0.2">
      <c r="B33" s="15" t="s">
        <v>14</v>
      </c>
      <c r="C33" s="15"/>
      <c r="D33" s="78"/>
      <c r="E33" s="79"/>
      <c r="F33" s="68">
        <f>SUM(F32:G32)</f>
        <v>3682</v>
      </c>
      <c r="G33" s="69"/>
      <c r="H33" s="15"/>
      <c r="I33" s="14">
        <f>SUM(I32:I32)</f>
        <v>2982.42</v>
      </c>
      <c r="J33" s="40"/>
      <c r="K33" s="40"/>
    </row>
    <row r="34" spans="2:11" ht="21.75" customHeight="1" x14ac:dyDescent="0.2">
      <c r="B34" s="16" t="s">
        <v>13</v>
      </c>
      <c r="C34" s="15"/>
      <c r="D34" s="66"/>
      <c r="E34" s="67"/>
      <c r="F34" s="66"/>
      <c r="G34" s="67"/>
      <c r="H34" s="15"/>
      <c r="I34" s="54"/>
      <c r="J34" s="40"/>
    </row>
    <row r="35" spans="2:11" ht="21.75" customHeight="1" x14ac:dyDescent="0.2">
      <c r="B35" s="16" t="s">
        <v>12</v>
      </c>
      <c r="C35" s="15"/>
      <c r="D35" s="66"/>
      <c r="E35" s="67"/>
      <c r="F35" s="66"/>
      <c r="G35" s="67"/>
      <c r="H35" s="15"/>
      <c r="I35" s="14">
        <f>+I33</f>
        <v>2982.42</v>
      </c>
    </row>
    <row r="36" spans="2:11" ht="20.25" customHeight="1" x14ac:dyDescent="0.2">
      <c r="B36" s="15" t="s">
        <v>80</v>
      </c>
      <c r="C36" s="66" t="s">
        <v>11</v>
      </c>
      <c r="D36" s="73"/>
      <c r="E36" s="73"/>
      <c r="F36" s="73"/>
      <c r="G36" s="73"/>
      <c r="H36" s="67"/>
      <c r="I36" s="47"/>
    </row>
    <row r="37" spans="2:11" ht="21" customHeight="1" x14ac:dyDescent="0.2">
      <c r="B37" s="16" t="s">
        <v>10</v>
      </c>
      <c r="C37" s="15"/>
      <c r="D37" s="15"/>
      <c r="E37" s="15"/>
      <c r="F37" s="15"/>
      <c r="G37" s="15"/>
      <c r="H37" s="15"/>
      <c r="I37" s="14">
        <f>+I35+I36</f>
        <v>2982.42</v>
      </c>
    </row>
    <row r="38" spans="2:11" ht="18.75" customHeight="1" x14ac:dyDescent="0.2">
      <c r="B38" s="6"/>
      <c r="C38" s="5"/>
      <c r="D38" s="5"/>
      <c r="E38" s="5"/>
      <c r="F38" s="5"/>
      <c r="G38" s="5"/>
      <c r="H38" s="5"/>
      <c r="I38" s="4"/>
    </row>
    <row r="39" spans="2:1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13" t="s">
        <v>9</v>
      </c>
      <c r="C40" s="12"/>
      <c r="D40" s="12"/>
      <c r="E40" s="12"/>
      <c r="F40" s="12"/>
      <c r="G40" s="12"/>
      <c r="H40" s="12"/>
      <c r="I40" s="11"/>
    </row>
    <row r="41" spans="2:11" x14ac:dyDescent="0.2">
      <c r="B41" s="2" t="s">
        <v>86</v>
      </c>
      <c r="C41" s="1"/>
      <c r="D41" s="1"/>
      <c r="E41" s="1"/>
      <c r="F41" s="1"/>
      <c r="G41" s="1"/>
      <c r="H41" s="1"/>
      <c r="I41" s="3"/>
    </row>
    <row r="42" spans="2:11" x14ac:dyDescent="0.2">
      <c r="B42" s="6"/>
      <c r="C42" s="5"/>
      <c r="D42" s="5"/>
      <c r="E42" s="5"/>
      <c r="F42" s="5"/>
      <c r="G42" s="5"/>
      <c r="H42" s="5"/>
      <c r="I42" s="4"/>
    </row>
    <row r="43" spans="2:11" x14ac:dyDescent="0.2">
      <c r="B43" s="6" t="s">
        <v>8</v>
      </c>
      <c r="C43" s="5"/>
      <c r="D43" s="5"/>
      <c r="E43" s="5"/>
      <c r="F43" s="5"/>
      <c r="G43" s="5"/>
      <c r="H43" s="5"/>
      <c r="I43" s="4"/>
    </row>
    <row r="44" spans="2:11" x14ac:dyDescent="0.2">
      <c r="B44" s="6"/>
      <c r="C44" s="5"/>
      <c r="D44" s="5"/>
      <c r="E44" s="5"/>
      <c r="F44" s="5"/>
      <c r="G44" s="5"/>
      <c r="H44" s="5"/>
      <c r="I44" s="4"/>
    </row>
    <row r="45" spans="2:11" x14ac:dyDescent="0.2">
      <c r="B45" s="81" t="s">
        <v>7</v>
      </c>
      <c r="C45" s="81"/>
      <c r="D45" s="81"/>
      <c r="E45" s="10" t="s">
        <v>6</v>
      </c>
      <c r="F45" s="10"/>
      <c r="G45" s="10"/>
      <c r="H45" s="10"/>
      <c r="I45" s="10"/>
    </row>
    <row r="46" spans="2:11" x14ac:dyDescent="0.2">
      <c r="B46" s="2"/>
      <c r="C46" s="1"/>
      <c r="D46" s="3"/>
      <c r="E46" s="9" t="s">
        <v>5</v>
      </c>
      <c r="F46" s="9"/>
      <c r="G46" s="9"/>
      <c r="H46" s="2"/>
      <c r="I46" s="3"/>
    </row>
    <row r="47" spans="2:11" x14ac:dyDescent="0.2">
      <c r="B47" s="6"/>
      <c r="C47" s="5"/>
      <c r="D47" s="5"/>
      <c r="E47" s="5"/>
      <c r="F47" s="5"/>
      <c r="G47" s="5"/>
      <c r="H47" s="5"/>
      <c r="I47" s="4"/>
    </row>
    <row r="48" spans="2:11" x14ac:dyDescent="0.2">
      <c r="B48" s="6" t="s">
        <v>4</v>
      </c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3</v>
      </c>
      <c r="C49" s="5"/>
      <c r="D49" s="5"/>
      <c r="E49" s="5"/>
      <c r="F49" s="5"/>
      <c r="G49" s="5"/>
      <c r="H49" s="5"/>
      <c r="I49" s="4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 t="s">
        <v>2</v>
      </c>
      <c r="H51" s="5" t="str">
        <f>VLOOKUP($K51,reff!B2:C29,2,0)</f>
        <v>265K0028</v>
      </c>
      <c r="I51" s="8"/>
      <c r="K51">
        <v>6</v>
      </c>
    </row>
    <row r="52" spans="2:11" x14ac:dyDescent="0.2">
      <c r="B52" s="6"/>
      <c r="C52" s="5"/>
      <c r="D52" s="5"/>
      <c r="E52" s="5"/>
      <c r="F52" s="5"/>
      <c r="G52" s="5"/>
      <c r="H52" s="7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82" t="s">
        <v>1</v>
      </c>
      <c r="D54" s="82"/>
      <c r="E54" s="5"/>
      <c r="F54" s="5"/>
      <c r="G54" s="5"/>
      <c r="H54" s="5"/>
      <c r="I54" s="4"/>
    </row>
    <row r="55" spans="2:11" x14ac:dyDescent="0.2">
      <c r="B55" s="6"/>
      <c r="C55" s="83" t="s">
        <v>0</v>
      </c>
      <c r="D55" s="83"/>
      <c r="E55" s="5"/>
      <c r="F55" s="5"/>
      <c r="G55" s="5"/>
      <c r="H55" s="5"/>
      <c r="I55" s="4"/>
      <c r="K55">
        <v>6</v>
      </c>
    </row>
    <row r="56" spans="2:11" x14ac:dyDescent="0.2">
      <c r="B56" s="2"/>
      <c r="C56" s="80"/>
      <c r="D56" s="80"/>
      <c r="E56" s="1"/>
      <c r="F56" s="1"/>
      <c r="G56" s="1"/>
      <c r="H56" s="1"/>
      <c r="I56" s="1"/>
    </row>
    <row r="57" spans="2:11" x14ac:dyDescent="0.2">
      <c r="B57" s="5"/>
      <c r="C57" s="5"/>
      <c r="D57" s="5"/>
      <c r="E57" s="5"/>
      <c r="F57" s="5"/>
      <c r="G57" s="5"/>
      <c r="H57" s="5"/>
      <c r="I57" s="5"/>
    </row>
  </sheetData>
  <mergeCells count="18">
    <mergeCell ref="D33:E33"/>
    <mergeCell ref="F33:G33"/>
    <mergeCell ref="D34:E34"/>
    <mergeCell ref="F34:G34"/>
    <mergeCell ref="C56:D56"/>
    <mergeCell ref="D35:E35"/>
    <mergeCell ref="F35:G35"/>
    <mergeCell ref="C36:H36"/>
    <mergeCell ref="B45:D45"/>
    <mergeCell ref="C54:D54"/>
    <mergeCell ref="C55:D5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tabSelected="1" view="pageBreakPreview" topLeftCell="A27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61364818</v>
      </c>
      <c r="K2" s="50">
        <v>4327</v>
      </c>
      <c r="L2" s="44">
        <v>30</v>
      </c>
      <c r="M2" s="44">
        <v>348.52100000000002</v>
      </c>
      <c r="N2" s="44">
        <v>359.84199999999998</v>
      </c>
      <c r="O2" s="44">
        <v>387.94200000000001</v>
      </c>
      <c r="P2" s="44" t="s">
        <v>54</v>
      </c>
      <c r="Q2" s="44">
        <v>1.778</v>
      </c>
      <c r="R2" s="44" t="s">
        <v>62</v>
      </c>
    </row>
    <row r="3" spans="2:22" x14ac:dyDescent="0.2">
      <c r="B3" s="6" t="s">
        <v>53</v>
      </c>
      <c r="C3" s="65">
        <f>+'165'!C3+1</f>
        <v>166</v>
      </c>
      <c r="D3" s="5"/>
      <c r="E3" s="5"/>
      <c r="F3" s="5"/>
      <c r="G3" s="5" t="s">
        <v>52</v>
      </c>
      <c r="H3" s="31">
        <f>+'165'!H3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61364818</v>
      </c>
      <c r="C21" s="55">
        <f>VLOOKUP($K55,reff!E2:F29,2,0)</f>
        <v>893958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387.94200000000001</v>
      </c>
      <c r="G23" s="23">
        <f>+N2</f>
        <v>359.84199999999998</v>
      </c>
      <c r="H23" s="23">
        <f>+M2</f>
        <v>348.52100000000002</v>
      </c>
      <c r="I23" s="54">
        <f>+L2</f>
        <v>30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7" t="s">
        <v>19</v>
      </c>
      <c r="E31" s="77"/>
      <c r="F31" s="77" t="s">
        <v>18</v>
      </c>
      <c r="G31" s="77"/>
      <c r="H31" s="54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189</v>
      </c>
      <c r="D32" s="68"/>
      <c r="E32" s="69"/>
      <c r="F32" s="68">
        <f>+K2</f>
        <v>4327</v>
      </c>
      <c r="G32" s="69"/>
      <c r="H32" s="17">
        <v>0.78</v>
      </c>
      <c r="I32" s="18">
        <f>+H32*F32</f>
        <v>3375.06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61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4327</v>
      </c>
      <c r="G34" s="69"/>
      <c r="H34" s="15"/>
      <c r="I34" s="14">
        <f>SUM(I32:I33)</f>
        <v>3375.06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3375.06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3375.06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265K0031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tabSelected="1" view="pageBreakPreview" topLeftCell="A25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61420121</v>
      </c>
      <c r="K2" s="50">
        <v>13167</v>
      </c>
      <c r="L2" s="44">
        <v>96</v>
      </c>
      <c r="M2" s="44">
        <v>811.11</v>
      </c>
      <c r="N2" s="64">
        <v>1074.45</v>
      </c>
      <c r="O2" s="64">
        <v>1160.9000000000001</v>
      </c>
      <c r="P2" s="44" t="s">
        <v>54</v>
      </c>
      <c r="Q2" s="44">
        <v>5.3849999999999998</v>
      </c>
      <c r="R2" s="44" t="s">
        <v>62</v>
      </c>
    </row>
    <row r="3" spans="2:22" x14ac:dyDescent="0.2">
      <c r="B3" s="6" t="s">
        <v>53</v>
      </c>
      <c r="C3" s="65">
        <f>+'166'!C3+1</f>
        <v>167</v>
      </c>
      <c r="D3" s="5"/>
      <c r="E3" s="5"/>
      <c r="F3" s="5"/>
      <c r="G3" s="5" t="s">
        <v>52</v>
      </c>
      <c r="H3" s="31">
        <f>+'166'!H3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61420121</v>
      </c>
      <c r="C21" s="55">
        <f>VLOOKUP($K55,reff!E2:F29,2,0)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1160.9000000000001</v>
      </c>
      <c r="G23" s="23">
        <f>+N2</f>
        <v>1074.45</v>
      </c>
      <c r="H23" s="23">
        <f>+M2</f>
        <v>811.11</v>
      </c>
      <c r="I23" s="54">
        <f>+L2</f>
        <v>96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7" t="s">
        <v>19</v>
      </c>
      <c r="E31" s="77"/>
      <c r="F31" s="77" t="s">
        <v>18</v>
      </c>
      <c r="G31" s="77"/>
      <c r="H31" s="54" t="s">
        <v>17</v>
      </c>
      <c r="I31" s="19" t="s">
        <v>16</v>
      </c>
      <c r="M31"/>
    </row>
    <row r="32" spans="2:13" ht="27.75" customHeight="1" x14ac:dyDescent="0.2">
      <c r="B32" s="41" t="s">
        <v>183</v>
      </c>
      <c r="C32" s="19" t="s">
        <v>195</v>
      </c>
      <c r="D32" s="68"/>
      <c r="E32" s="69"/>
      <c r="F32" s="68">
        <f>+K2</f>
        <v>13167</v>
      </c>
      <c r="G32" s="69"/>
      <c r="H32" s="17">
        <v>0.81</v>
      </c>
      <c r="I32" s="18">
        <f>+H32*F32</f>
        <v>10665.27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54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13167</v>
      </c>
      <c r="G34" s="69"/>
      <c r="H34" s="15"/>
      <c r="I34" s="14">
        <f>SUM(I32:I33)</f>
        <v>10665.27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10665.27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10665.27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265K0035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tabSelected="1" view="pageBreakPreview" topLeftCell="A22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61414234</v>
      </c>
      <c r="K2" s="50">
        <v>3296</v>
      </c>
      <c r="L2" s="44">
        <v>31</v>
      </c>
      <c r="M2" s="44">
        <v>212.87</v>
      </c>
      <c r="N2" s="44">
        <v>278.79000000000002</v>
      </c>
      <c r="O2" s="44">
        <v>305.49</v>
      </c>
      <c r="P2" s="44" t="s">
        <v>54</v>
      </c>
      <c r="Q2" s="44">
        <v>1.3979999999999999</v>
      </c>
      <c r="R2" s="44" t="s">
        <v>62</v>
      </c>
    </row>
    <row r="3" spans="2:22" x14ac:dyDescent="0.2">
      <c r="B3" s="6" t="s">
        <v>53</v>
      </c>
      <c r="C3" s="65">
        <f>+'167'!C3+1</f>
        <v>168</v>
      </c>
      <c r="D3" s="5"/>
      <c r="E3" s="5"/>
      <c r="F3" s="5"/>
      <c r="G3" s="5" t="s">
        <v>52</v>
      </c>
      <c r="H3" s="31">
        <f>+'167'!H3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61414234</v>
      </c>
      <c r="C21" s="55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305.49</v>
      </c>
      <c r="G23" s="23">
        <f>+N2</f>
        <v>278.79000000000002</v>
      </c>
      <c r="H23" s="23">
        <f>+M2</f>
        <v>212.87</v>
      </c>
      <c r="I23" s="54">
        <f>+L2</f>
        <v>31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7" t="s">
        <v>19</v>
      </c>
      <c r="E31" s="77"/>
      <c r="F31" s="77" t="s">
        <v>18</v>
      </c>
      <c r="G31" s="77"/>
      <c r="H31" s="54" t="s">
        <v>17</v>
      </c>
      <c r="I31" s="19" t="s">
        <v>16</v>
      </c>
      <c r="M31"/>
    </row>
    <row r="32" spans="2:13" ht="27.75" customHeight="1" x14ac:dyDescent="0.2">
      <c r="B32" s="41" t="s">
        <v>183</v>
      </c>
      <c r="C32" s="19" t="s">
        <v>195</v>
      </c>
      <c r="D32" s="68"/>
      <c r="E32" s="69"/>
      <c r="F32" s="68">
        <f>+K2</f>
        <v>3296</v>
      </c>
      <c r="G32" s="69"/>
      <c r="H32" s="17">
        <v>0.81</v>
      </c>
      <c r="I32" s="18">
        <f>+H32*F32</f>
        <v>2669.76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54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3296</v>
      </c>
      <c r="G34" s="69"/>
      <c r="H34" s="15"/>
      <c r="I34" s="14">
        <f>SUM(I32:I33)</f>
        <v>2669.76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2669.76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2669.76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265K0035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V58"/>
  <sheetViews>
    <sheetView tabSelected="1" view="pageBreakPreview" topLeftCell="A25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61365567</v>
      </c>
      <c r="K2" s="50">
        <v>2125</v>
      </c>
      <c r="L2" s="44">
        <v>19</v>
      </c>
      <c r="M2" s="44">
        <v>172.655</v>
      </c>
      <c r="N2" s="44">
        <v>178.18100000000001</v>
      </c>
      <c r="O2" s="44">
        <v>194.881</v>
      </c>
      <c r="P2" s="44" t="s">
        <v>54</v>
      </c>
      <c r="Q2" s="44">
        <v>0.90600000000000003</v>
      </c>
      <c r="R2" s="44" t="s">
        <v>62</v>
      </c>
    </row>
    <row r="3" spans="2:22" x14ac:dyDescent="0.2">
      <c r="B3" s="6" t="s">
        <v>53</v>
      </c>
      <c r="C3" s="65">
        <f>'168'!C3+1</f>
        <v>169</v>
      </c>
      <c r="D3" s="5"/>
      <c r="E3" s="5"/>
      <c r="F3" s="5"/>
      <c r="G3" s="5" t="s">
        <v>52</v>
      </c>
      <c r="H3" s="31">
        <f>+'168'!H3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9">
        <f>J2</f>
        <v>61365567</v>
      </c>
      <c r="C21" s="58">
        <f>VLOOKUP($K56,reff!E2:F29,2,0)</f>
        <v>896206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9" t="s">
        <v>35</v>
      </c>
      <c r="G21" s="59"/>
      <c r="H21" s="49" t="str">
        <f>IF(LEFT(G17,2)="CA","CA",IF(LEFT(G17,2)="UN","US",IF(LEFT(G17,2)="PA","PA",IF(LEFT(G17,2)="JA","JP"))))</f>
        <v>US</v>
      </c>
      <c r="I21" s="59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9" t="s">
        <v>25</v>
      </c>
      <c r="C23" s="59"/>
      <c r="D23" s="59" t="s">
        <v>24</v>
      </c>
      <c r="E23" s="59" t="str">
        <f>+D23</f>
        <v>JAKARTA,ID</v>
      </c>
      <c r="F23" s="23">
        <f>+O2</f>
        <v>194.881</v>
      </c>
      <c r="G23" s="23">
        <f>+N2</f>
        <v>178.18100000000001</v>
      </c>
      <c r="H23" s="23">
        <f>+M2</f>
        <v>172.655</v>
      </c>
      <c r="I23" s="59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GIRLS COTTON FIBERS, KNIT PULLOVER, WITH NO NECK CLOSURE, STITCH COUNT IS GREATER THAN 9/2CM, REACHES WAIST [60% COTTON 40% POLYESTER]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9" t="s">
        <v>21</v>
      </c>
      <c r="C31" s="59" t="s">
        <v>20</v>
      </c>
      <c r="D31" s="77" t="s">
        <v>19</v>
      </c>
      <c r="E31" s="77"/>
      <c r="F31" s="77" t="s">
        <v>18</v>
      </c>
      <c r="G31" s="77"/>
      <c r="H31" s="59" t="s">
        <v>17</v>
      </c>
      <c r="I31" s="19" t="s">
        <v>16</v>
      </c>
      <c r="M31"/>
    </row>
    <row r="32" spans="2:13" ht="39" customHeight="1" x14ac:dyDescent="0.2">
      <c r="B32" s="41" t="s">
        <v>188</v>
      </c>
      <c r="C32" s="19" t="s">
        <v>187</v>
      </c>
      <c r="D32" s="68"/>
      <c r="E32" s="69"/>
      <c r="F32" s="68">
        <f>+K2</f>
        <v>2125</v>
      </c>
      <c r="G32" s="69"/>
      <c r="H32" s="17">
        <v>0.81</v>
      </c>
      <c r="I32" s="18">
        <f>+H32*F32</f>
        <v>1721.25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59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2125</v>
      </c>
      <c r="G34" s="69"/>
      <c r="H34" s="15"/>
      <c r="I34" s="14">
        <f>SUM(I32:I33)</f>
        <v>1721.25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59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1721.25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1721.25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265K0028</v>
      </c>
      <c r="I52" s="8"/>
      <c r="K52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10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B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B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58"/>
  <sheetViews>
    <sheetView tabSelected="1" view="pageBreakPreview" topLeftCell="A25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61365559</v>
      </c>
      <c r="K2" s="50">
        <v>2137</v>
      </c>
      <c r="L2" s="44">
        <v>18</v>
      </c>
      <c r="M2" s="44">
        <v>173.64099999999999</v>
      </c>
      <c r="N2" s="44">
        <v>179.13499999999999</v>
      </c>
      <c r="O2" s="44">
        <v>195.435</v>
      </c>
      <c r="P2" s="44" t="s">
        <v>54</v>
      </c>
      <c r="Q2" s="44">
        <v>0.92800000000000005</v>
      </c>
      <c r="R2" s="44" t="s">
        <v>62</v>
      </c>
    </row>
    <row r="3" spans="2:22" x14ac:dyDescent="0.2">
      <c r="B3" s="6" t="s">
        <v>53</v>
      </c>
      <c r="C3" s="65">
        <f>'169'!C3+1</f>
        <v>170</v>
      </c>
      <c r="D3" s="5"/>
      <c r="E3" s="5"/>
      <c r="F3" s="5"/>
      <c r="G3" s="5" t="s">
        <v>52</v>
      </c>
      <c r="H3" s="31">
        <f>+'169'!H3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9">
        <f>J2</f>
        <v>61365559</v>
      </c>
      <c r="C21" s="58">
        <f>VLOOKUP($K56,reff!E2:F29,2,0)</f>
        <v>893958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9" t="s">
        <v>35</v>
      </c>
      <c r="G21" s="59"/>
      <c r="H21" s="49" t="str">
        <f>IF(LEFT(G17,2)="CA","CA",IF(LEFT(G17,2)="UN","US",IF(LEFT(G17,2)="PA","PA",IF(LEFT(G17,2)="JA","JP"))))</f>
        <v>US</v>
      </c>
      <c r="I21" s="59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9" t="s">
        <v>25</v>
      </c>
      <c r="C23" s="59"/>
      <c r="D23" s="59" t="s">
        <v>24</v>
      </c>
      <c r="E23" s="59" t="str">
        <f>+D23</f>
        <v>JAKARTA,ID</v>
      </c>
      <c r="F23" s="23">
        <f>+O2</f>
        <v>195.435</v>
      </c>
      <c r="G23" s="23">
        <f>+N2</f>
        <v>179.13499999999999</v>
      </c>
      <c r="H23" s="23">
        <f>+M2</f>
        <v>173.64099999999999</v>
      </c>
      <c r="I23" s="59">
        <f>+L2</f>
        <v>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9" t="s">
        <v>21</v>
      </c>
      <c r="C31" s="59" t="s">
        <v>20</v>
      </c>
      <c r="D31" s="77" t="s">
        <v>19</v>
      </c>
      <c r="E31" s="77"/>
      <c r="F31" s="77" t="s">
        <v>18</v>
      </c>
      <c r="G31" s="77"/>
      <c r="H31" s="59" t="s">
        <v>17</v>
      </c>
      <c r="I31" s="19" t="s">
        <v>16</v>
      </c>
      <c r="M31"/>
    </row>
    <row r="32" spans="2:13" ht="39" customHeight="1" x14ac:dyDescent="0.2">
      <c r="B32" s="41" t="s">
        <v>179</v>
      </c>
      <c r="C32" s="19" t="s">
        <v>189</v>
      </c>
      <c r="D32" s="68"/>
      <c r="E32" s="69"/>
      <c r="F32" s="68">
        <f>+K2</f>
        <v>2137</v>
      </c>
      <c r="G32" s="69"/>
      <c r="H32" s="17">
        <v>0.78</v>
      </c>
      <c r="I32" s="18">
        <f>+H32*F32</f>
        <v>1666.8600000000001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59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2137</v>
      </c>
      <c r="G34" s="69"/>
      <c r="H34" s="15"/>
      <c r="I34" s="14">
        <f>SUM(I32:I33)</f>
        <v>1666.8600000000001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59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1666.8600000000001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1666.8600000000001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265K0031</v>
      </c>
      <c r="I52" s="8"/>
      <c r="K52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11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C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C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622-0C14-4DE1-B095-6F38E9934A5C}">
  <sheetPr>
    <pageSetUpPr fitToPage="1"/>
  </sheetPr>
  <dimension ref="B1:V58"/>
  <sheetViews>
    <sheetView tabSelected="1" view="pageBreakPreview" topLeftCell="A21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61309089</v>
      </c>
      <c r="K2" s="50">
        <v>1942</v>
      </c>
      <c r="L2" s="44">
        <v>18</v>
      </c>
      <c r="M2" s="44">
        <v>157.786</v>
      </c>
      <c r="N2" s="44">
        <v>162.78</v>
      </c>
      <c r="O2" s="44">
        <v>178.58</v>
      </c>
      <c r="P2" s="44" t="s">
        <v>54</v>
      </c>
      <c r="Q2" s="44">
        <v>0.85</v>
      </c>
      <c r="R2" s="44" t="s">
        <v>62</v>
      </c>
    </row>
    <row r="3" spans="2:22" x14ac:dyDescent="0.2">
      <c r="B3" s="6" t="s">
        <v>53</v>
      </c>
      <c r="C3" s="65">
        <f>+'170'!C3+1</f>
        <v>171</v>
      </c>
      <c r="D3" s="5"/>
      <c r="E3" s="5"/>
      <c r="F3" s="5"/>
      <c r="G3" s="5" t="s">
        <v>52</v>
      </c>
      <c r="H3" s="31">
        <f>+'170'!H3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61309089</v>
      </c>
      <c r="C21" s="62">
        <f>VLOOKUP($K56,reff!E2:F29,2,0)</f>
        <v>893947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178.58</v>
      </c>
      <c r="G23" s="23">
        <f>+N2</f>
        <v>162.78</v>
      </c>
      <c r="H23" s="23">
        <f>+M2</f>
        <v>157.786</v>
      </c>
      <c r="I23" s="63">
        <f>+L2</f>
        <v>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GIRLS COTTON FIBERS, KNIT PULLOVER, WITH NO NECK CLOSURE, STITCH COUNT IS GREATER THAN 9/2CM, REACHES WAIST [60% COTTON 40% POLYESTER]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77" t="s">
        <v>19</v>
      </c>
      <c r="E31" s="77"/>
      <c r="F31" s="77" t="s">
        <v>18</v>
      </c>
      <c r="G31" s="77"/>
      <c r="H31" s="63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193</v>
      </c>
      <c r="D32" s="68"/>
      <c r="E32" s="69"/>
      <c r="F32" s="68">
        <f>+K2</f>
        <v>1942</v>
      </c>
      <c r="G32" s="69"/>
      <c r="H32" s="17">
        <v>1.1000000000000001</v>
      </c>
      <c r="I32" s="18">
        <f>+H32*F32</f>
        <v>2136.2000000000003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63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1942</v>
      </c>
      <c r="G34" s="69"/>
      <c r="H34" s="15"/>
      <c r="I34" s="14">
        <f>SUM(I32:I33)</f>
        <v>2136.2000000000003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63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2136.2000000000003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2136.2000000000003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265K0032</v>
      </c>
      <c r="I52" s="8"/>
      <c r="K52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12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AFC6512-9B06-421B-AFF0-7835EC1108E8}">
          <x14:formula1>
            <xm:f>Sheet1!$K$5:$K$12</xm:f>
          </x14:formula1>
          <xm:sqref>B14</xm:sqref>
        </x14:dataValidation>
        <x14:dataValidation type="list" allowBlank="1" showInputMessage="1" showErrorMessage="1" xr:uid="{845F5CD3-75AC-4BC8-B90C-B97FA977A87C}">
          <x14:formula1>
            <xm:f>Sheet1!$B$17:$B$18</xm:f>
          </x14:formula1>
          <xm:sqref>G5</xm:sqref>
        </x14:dataValidation>
        <x14:dataValidation type="list" allowBlank="1" showInputMessage="1" showErrorMessage="1" xr:uid="{63B3F182-BA30-4E9F-9DFC-60A60C700FEF}">
          <x14:formula1>
            <xm:f>Sheet1!$L$5:$L$25</xm:f>
          </x14:formula1>
          <xm:sqref>G13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0DA6-9D0E-4919-8EA7-82A26E7A99A8}">
  <sheetPr>
    <pageSetUpPr fitToPage="1"/>
  </sheetPr>
  <dimension ref="B1:V58"/>
  <sheetViews>
    <sheetView tabSelected="1" view="pageBreakPreview" topLeftCell="A25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61309093</v>
      </c>
      <c r="K2" s="44">
        <v>808</v>
      </c>
      <c r="L2" s="44">
        <v>9</v>
      </c>
      <c r="M2" s="44">
        <v>65.649000000000001</v>
      </c>
      <c r="N2" s="44">
        <v>67.724999999999994</v>
      </c>
      <c r="O2" s="44">
        <v>75.125</v>
      </c>
      <c r="P2" s="44" t="s">
        <v>54</v>
      </c>
      <c r="Q2" s="44">
        <v>0.35799999999999998</v>
      </c>
      <c r="R2" s="44" t="s">
        <v>62</v>
      </c>
    </row>
    <row r="3" spans="2:22" x14ac:dyDescent="0.2">
      <c r="B3" s="6" t="s">
        <v>53</v>
      </c>
      <c r="C3" s="65">
        <f>+'171'!C3+1</f>
        <v>172</v>
      </c>
      <c r="D3" s="5"/>
      <c r="E3" s="5"/>
      <c r="F3" s="5"/>
      <c r="G3" s="5" t="s">
        <v>52</v>
      </c>
      <c r="H3" s="31">
        <f>+'171'!H3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61309093</v>
      </c>
      <c r="C21" s="62">
        <f>VLOOKUP($K56,reff!E2:F29,2,0)</f>
        <v>893957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75.125</v>
      </c>
      <c r="G23" s="23">
        <f>+N2</f>
        <v>67.724999999999994</v>
      </c>
      <c r="H23" s="23">
        <f>+M2</f>
        <v>65.649000000000001</v>
      </c>
      <c r="I23" s="63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77" t="s">
        <v>19</v>
      </c>
      <c r="E31" s="77"/>
      <c r="F31" s="77" t="s">
        <v>18</v>
      </c>
      <c r="G31" s="77"/>
      <c r="H31" s="63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180</v>
      </c>
      <c r="D32" s="68"/>
      <c r="E32" s="69"/>
      <c r="F32" s="68">
        <f>+K2</f>
        <v>808</v>
      </c>
      <c r="G32" s="69"/>
      <c r="H32" s="17">
        <v>0.78</v>
      </c>
      <c r="I32" s="18">
        <f>+H32*F32</f>
        <v>630.24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63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808</v>
      </c>
      <c r="G34" s="69"/>
      <c r="H34" s="15"/>
      <c r="I34" s="14">
        <f>SUM(I32:I33)</f>
        <v>630.24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63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630.24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630.24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265K0030</v>
      </c>
      <c r="I52" s="8"/>
      <c r="K52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13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3B75E7-ACBA-46AA-8C70-8C98EBADC7EA}">
          <x14:formula1>
            <xm:f>Sheet1!$L$5:$L$25</xm:f>
          </x14:formula1>
          <xm:sqref>G13</xm:sqref>
        </x14:dataValidation>
        <x14:dataValidation type="list" allowBlank="1" showInputMessage="1" showErrorMessage="1" xr:uid="{AC79E212-3EA6-4BDB-8C91-8ADAB50900C8}">
          <x14:formula1>
            <xm:f>Sheet1!$B$17:$B$18</xm:f>
          </x14:formula1>
          <xm:sqref>G5</xm:sqref>
        </x14:dataValidation>
        <x14:dataValidation type="list" allowBlank="1" showInputMessage="1" showErrorMessage="1" xr:uid="{5A53E507-43A5-41F1-8FD3-C00E11684353}">
          <x14:formula1>
            <xm:f>Sheet1!$K$5:$K$12</xm:f>
          </x14:formula1>
          <xm:sqref>B14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EDF-D78C-4BD5-A59A-4CB6E8E43A86}">
  <sheetPr>
    <pageSetUpPr fitToPage="1"/>
  </sheetPr>
  <dimension ref="B1:V58"/>
  <sheetViews>
    <sheetView tabSelected="1" view="pageBreakPreview" topLeftCell="A21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61309099</v>
      </c>
      <c r="K2" s="44">
        <v>430</v>
      </c>
      <c r="L2" s="44">
        <v>8</v>
      </c>
      <c r="M2" s="44">
        <v>44.66</v>
      </c>
      <c r="N2" s="44">
        <v>53.204999999999998</v>
      </c>
      <c r="O2" s="44">
        <v>59.604999999999997</v>
      </c>
      <c r="P2" s="44" t="s">
        <v>54</v>
      </c>
      <c r="Q2" s="44">
        <v>0.28000000000000003</v>
      </c>
      <c r="R2" s="44" t="s">
        <v>62</v>
      </c>
    </row>
    <row r="3" spans="2:22" x14ac:dyDescent="0.2">
      <c r="B3" s="6" t="s">
        <v>53</v>
      </c>
      <c r="C3" s="65">
        <f>+'172'!C3+1</f>
        <v>173</v>
      </c>
      <c r="D3" s="5"/>
      <c r="E3" s="5"/>
      <c r="F3" s="5"/>
      <c r="G3" s="5" t="s">
        <v>52</v>
      </c>
      <c r="H3" s="31">
        <f>+'172'!H3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61309099</v>
      </c>
      <c r="C21" s="62">
        <f>VLOOKUP($K56,reff!E2:F29,2,0)</f>
        <v>893987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59.604999999999997</v>
      </c>
      <c r="G23" s="23">
        <f>+N2</f>
        <v>53.204999999999998</v>
      </c>
      <c r="H23" s="23">
        <f>+M2</f>
        <v>44.66</v>
      </c>
      <c r="I23" s="63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GIRLS COTTON FIBERS, KNIT PULLOVER, WITH NO NECK CLOSURE, STITCH COUNT IS GREATER THAN 9/2CM, REACHES WAIST [60% COTTON 40% POLYESTER]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77" t="s">
        <v>19</v>
      </c>
      <c r="E31" s="77"/>
      <c r="F31" s="77" t="s">
        <v>18</v>
      </c>
      <c r="G31" s="77"/>
      <c r="H31" s="63" t="s">
        <v>17</v>
      </c>
      <c r="I31" s="19" t="s">
        <v>16</v>
      </c>
      <c r="M31"/>
    </row>
    <row r="32" spans="2:13" ht="39" customHeight="1" x14ac:dyDescent="0.2">
      <c r="B32" s="41" t="s">
        <v>179</v>
      </c>
      <c r="C32" s="19" t="s">
        <v>180</v>
      </c>
      <c r="D32" s="68"/>
      <c r="E32" s="69"/>
      <c r="F32" s="68">
        <f>+K2</f>
        <v>430</v>
      </c>
      <c r="G32" s="69"/>
      <c r="H32" s="17">
        <v>0.82</v>
      </c>
      <c r="I32" s="18">
        <f>+H32*F32</f>
        <v>352.59999999999997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63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430</v>
      </c>
      <c r="G34" s="69"/>
      <c r="H34" s="15"/>
      <c r="I34" s="14">
        <f>SUM(I32:I33)</f>
        <v>352.59999999999997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63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352.59999999999997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352.59999999999997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265K0029</v>
      </c>
      <c r="I52" s="8"/>
      <c r="K52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14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385FA0-00A2-4BF3-B1F4-76598AD3B19E}">
          <x14:formula1>
            <xm:f>Sheet1!$K$5:$K$12</xm:f>
          </x14:formula1>
          <xm:sqref>B14</xm:sqref>
        </x14:dataValidation>
        <x14:dataValidation type="list" allowBlank="1" showInputMessage="1" showErrorMessage="1" xr:uid="{B9DEF07A-1FF0-49EB-8209-A913FE833878}">
          <x14:formula1>
            <xm:f>Sheet1!$B$17:$B$18</xm:f>
          </x14:formula1>
          <xm:sqref>G5</xm:sqref>
        </x14:dataValidation>
        <x14:dataValidation type="list" allowBlank="1" showInputMessage="1" showErrorMessage="1" xr:uid="{DBE23F1E-C6D8-4134-8DE8-B0E944B506E4}">
          <x14:formula1>
            <xm:f>Sheet1!$L$5:$L$25</xm:f>
          </x14:formula1>
          <xm:sqref>G13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D0C0-839C-43AA-A48C-27453BFD2E53}">
  <sheetPr>
    <pageSetUpPr fitToPage="1"/>
  </sheetPr>
  <dimension ref="B1:V58"/>
  <sheetViews>
    <sheetView tabSelected="1" view="pageBreakPreview" topLeftCell="A21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61397576</v>
      </c>
      <c r="K2" s="50">
        <v>1036</v>
      </c>
      <c r="L2" s="44">
        <v>21</v>
      </c>
      <c r="M2" s="44">
        <v>111.72</v>
      </c>
      <c r="N2" s="44">
        <v>122.08</v>
      </c>
      <c r="O2" s="44">
        <v>138.58000000000001</v>
      </c>
      <c r="P2" s="44" t="s">
        <v>54</v>
      </c>
      <c r="Q2" s="44">
        <v>0.71599999999999997</v>
      </c>
      <c r="R2" s="44" t="s">
        <v>62</v>
      </c>
    </row>
    <row r="3" spans="2:22" x14ac:dyDescent="0.2">
      <c r="B3" s="6" t="s">
        <v>53</v>
      </c>
      <c r="C3" s="65">
        <f>'173'!C3+1</f>
        <v>174</v>
      </c>
      <c r="D3" s="5"/>
      <c r="E3" s="5"/>
      <c r="F3" s="5"/>
      <c r="G3" s="5" t="s">
        <v>52</v>
      </c>
      <c r="H3" s="31">
        <f>+'173'!H3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201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61397576</v>
      </c>
      <c r="C21" s="6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138.58000000000001</v>
      </c>
      <c r="G23" s="23">
        <f>+N2</f>
        <v>122.08</v>
      </c>
      <c r="H23" s="23">
        <f>+M2</f>
        <v>111.72</v>
      </c>
      <c r="I23" s="63">
        <f>+L2</f>
        <v>21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77" t="s">
        <v>19</v>
      </c>
      <c r="E31" s="77"/>
      <c r="F31" s="77" t="s">
        <v>18</v>
      </c>
      <c r="G31" s="77"/>
      <c r="H31" s="63" t="s">
        <v>17</v>
      </c>
      <c r="I31" s="19" t="s">
        <v>16</v>
      </c>
      <c r="M31"/>
    </row>
    <row r="32" spans="2:13" ht="39" customHeight="1" x14ac:dyDescent="0.2">
      <c r="B32" s="41" t="s">
        <v>200</v>
      </c>
      <c r="C32" s="19" t="s">
        <v>199</v>
      </c>
      <c r="D32" s="68"/>
      <c r="E32" s="69"/>
      <c r="F32" s="68">
        <f>+K2</f>
        <v>1036</v>
      </c>
      <c r="G32" s="69"/>
      <c r="H32" s="17">
        <v>0.76</v>
      </c>
      <c r="I32" s="18">
        <f>+H32*F32</f>
        <v>787.36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63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1036</v>
      </c>
      <c r="G34" s="69"/>
      <c r="H34" s="15"/>
      <c r="I34" s="14">
        <f>SUM(I32:I33)</f>
        <v>787.36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63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787.36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787.36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15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C14458-43FE-4821-871D-20F1CA0ADC79}">
          <x14:formula1>
            <xm:f>Sheet1!$L$5:$L$25</xm:f>
          </x14:formula1>
          <xm:sqref>G13</xm:sqref>
        </x14:dataValidation>
        <x14:dataValidation type="list" allowBlank="1" showInputMessage="1" showErrorMessage="1" xr:uid="{1C0341E8-5D8F-4E00-B1A2-D65DA0616BAB}">
          <x14:formula1>
            <xm:f>Sheet1!$B$17:$B$18</xm:f>
          </x14:formula1>
          <xm:sqref>G5</xm:sqref>
        </x14:dataValidation>
        <x14:dataValidation type="list" allowBlank="1" showInputMessage="1" showErrorMessage="1" xr:uid="{C14BC80E-9E41-47E5-AB23-76C4DA9ABC11}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6B2E-8706-42C0-8489-AEEFB43EAF90}">
  <sheetPr>
    <pageSetUpPr fitToPage="1"/>
  </sheetPr>
  <dimension ref="B1:V58"/>
  <sheetViews>
    <sheetView tabSelected="1" view="pageBreakPreview" topLeftCell="A25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61430810</v>
      </c>
      <c r="K2" s="50">
        <v>7237</v>
      </c>
      <c r="L2" s="44">
        <v>128</v>
      </c>
      <c r="M2" s="44">
        <v>782.35</v>
      </c>
      <c r="N2" s="44">
        <v>854.72</v>
      </c>
      <c r="O2" s="44">
        <v>959.02</v>
      </c>
      <c r="P2" s="44" t="s">
        <v>54</v>
      </c>
      <c r="Q2" s="44">
        <v>4.9210000000000003</v>
      </c>
      <c r="R2" s="44" t="s">
        <v>62</v>
      </c>
    </row>
    <row r="3" spans="2:22" x14ac:dyDescent="0.2">
      <c r="B3" s="6" t="s">
        <v>53</v>
      </c>
      <c r="C3" s="65">
        <f>'174'!C3+1</f>
        <v>175</v>
      </c>
      <c r="D3" s="5"/>
      <c r="E3" s="5"/>
      <c r="F3" s="5"/>
      <c r="G3" s="5" t="s">
        <v>52</v>
      </c>
      <c r="H3" s="31">
        <f>+'174'!H3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201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61430810</v>
      </c>
      <c r="C21" s="6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959.02</v>
      </c>
      <c r="G23" s="23">
        <f>+N2</f>
        <v>854.72</v>
      </c>
      <c r="H23" s="23">
        <f>+M2</f>
        <v>782.35</v>
      </c>
      <c r="I23" s="63">
        <f>+L2</f>
        <v>128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77" t="s">
        <v>19</v>
      </c>
      <c r="E31" s="77"/>
      <c r="F31" s="77" t="s">
        <v>18</v>
      </c>
      <c r="G31" s="77"/>
      <c r="H31" s="63" t="s">
        <v>17</v>
      </c>
      <c r="I31" s="19" t="s">
        <v>16</v>
      </c>
      <c r="M31"/>
    </row>
    <row r="32" spans="2:13" ht="39" customHeight="1" x14ac:dyDescent="0.2">
      <c r="B32" s="41" t="s">
        <v>203</v>
      </c>
      <c r="C32" s="19" t="s">
        <v>202</v>
      </c>
      <c r="D32" s="68"/>
      <c r="E32" s="69"/>
      <c r="F32" s="68">
        <f>+K2</f>
        <v>7237</v>
      </c>
      <c r="G32" s="69"/>
      <c r="H32" s="17">
        <v>0.76</v>
      </c>
      <c r="I32" s="18">
        <f>+H32*F32</f>
        <v>5500.12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63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7237</v>
      </c>
      <c r="G34" s="69"/>
      <c r="H34" s="15"/>
      <c r="I34" s="14">
        <f>SUM(I32:I33)</f>
        <v>5500.12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63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5500.12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5500.12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16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BFF53B-25F1-4A47-B074-04D7C1F6B135}">
          <x14:formula1>
            <xm:f>Sheet1!$K$5:$K$12</xm:f>
          </x14:formula1>
          <xm:sqref>B14</xm:sqref>
        </x14:dataValidation>
        <x14:dataValidation type="list" allowBlank="1" showInputMessage="1" showErrorMessage="1" xr:uid="{C0457828-C7EA-43AF-A56E-15EDA2A7A2E8}">
          <x14:formula1>
            <xm:f>Sheet1!$B$17:$B$18</xm:f>
          </x14:formula1>
          <xm:sqref>G5</xm:sqref>
        </x14:dataValidation>
        <x14:dataValidation type="list" allowBlank="1" showInputMessage="1" showErrorMessage="1" xr:uid="{60F58A6D-9B01-4421-A21B-3CE2D342C83A}">
          <x14:formula1>
            <xm:f>Sheet1!$L$5:$L$25</xm:f>
          </x14:formula1>
          <xm:sqref>G13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C045-2D25-40E7-A1EE-72AAADF43FF8}">
  <sheetPr>
    <pageSetUpPr fitToPage="1"/>
  </sheetPr>
  <dimension ref="B1:V58"/>
  <sheetViews>
    <sheetView tabSelected="1" view="pageBreakPreview" topLeftCell="A21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61429364</v>
      </c>
      <c r="K2" s="44">
        <v>994</v>
      </c>
      <c r="L2" s="44">
        <v>23</v>
      </c>
      <c r="M2" s="44">
        <v>100.8</v>
      </c>
      <c r="N2" s="44">
        <v>135.59</v>
      </c>
      <c r="O2" s="44">
        <v>156.99</v>
      </c>
      <c r="P2" s="44" t="s">
        <v>54</v>
      </c>
      <c r="Q2" s="44">
        <v>1.2749999999999999</v>
      </c>
      <c r="R2" s="44" t="s">
        <v>62</v>
      </c>
    </row>
    <row r="3" spans="2:22" x14ac:dyDescent="0.2">
      <c r="B3" s="6" t="s">
        <v>53</v>
      </c>
      <c r="C3" s="65">
        <f>'175'!C3+1</f>
        <v>176</v>
      </c>
      <c r="D3" s="5"/>
      <c r="E3" s="5"/>
      <c r="F3" s="5"/>
      <c r="G3" s="5" t="s">
        <v>52</v>
      </c>
      <c r="H3" s="31">
        <f>+'175'!H3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201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61429364</v>
      </c>
      <c r="C21" s="6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156.99</v>
      </c>
      <c r="G23" s="23">
        <f>+N2</f>
        <v>135.59</v>
      </c>
      <c r="H23" s="23">
        <f>+M2</f>
        <v>100.8</v>
      </c>
      <c r="I23" s="63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77" t="s">
        <v>19</v>
      </c>
      <c r="E31" s="77"/>
      <c r="F31" s="77" t="s">
        <v>18</v>
      </c>
      <c r="G31" s="77"/>
      <c r="H31" s="63" t="s">
        <v>17</v>
      </c>
      <c r="I31" s="19" t="s">
        <v>16</v>
      </c>
      <c r="M31"/>
    </row>
    <row r="32" spans="2:13" ht="39" customHeight="1" x14ac:dyDescent="0.2">
      <c r="B32" s="41" t="s">
        <v>205</v>
      </c>
      <c r="C32" s="19" t="s">
        <v>204</v>
      </c>
      <c r="D32" s="68"/>
      <c r="E32" s="69"/>
      <c r="F32" s="68">
        <f>+K2</f>
        <v>994</v>
      </c>
      <c r="G32" s="69"/>
      <c r="H32" s="17">
        <v>0.76</v>
      </c>
      <c r="I32" s="18">
        <f>+H32*F32</f>
        <v>755.44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63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994</v>
      </c>
      <c r="G34" s="69"/>
      <c r="H34" s="15"/>
      <c r="I34" s="14">
        <f>SUM(I32:I33)</f>
        <v>755.44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63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755.44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755.44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17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19B34E-BDA4-4D35-A1EF-5877DEDD1966}">
          <x14:formula1>
            <xm:f>Sheet1!$L$5:$L$25</xm:f>
          </x14:formula1>
          <xm:sqref>G13</xm:sqref>
        </x14:dataValidation>
        <x14:dataValidation type="list" allowBlank="1" showInputMessage="1" showErrorMessage="1" xr:uid="{A1836E8F-FB22-4361-888E-49262A10B299}">
          <x14:formula1>
            <xm:f>Sheet1!$B$17:$B$18</xm:f>
          </x14:formula1>
          <xm:sqref>G5</xm:sqref>
        </x14:dataValidation>
        <x14:dataValidation type="list" allowBlank="1" showInputMessage="1" showErrorMessage="1" xr:uid="{4A3E3AE3-8B36-4463-93F7-CC9915F86495}">
          <x14:formula1>
            <xm:f>Sheet1!$K$5:$K$12</xm:f>
          </x14:formula1>
          <xm:sqref>B14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303E-BE8D-422B-9956-018A4C4845EF}">
  <sheetPr>
    <pageSetUpPr fitToPage="1"/>
  </sheetPr>
  <dimension ref="B1:V58"/>
  <sheetViews>
    <sheetView tabSelected="1" view="pageBreakPreview" topLeftCell="A25" zoomScaleNormal="100" zoomScaleSheetLayoutView="100" workbookViewId="0">
      <selection activeCell="D8" sqref="D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206</v>
      </c>
      <c r="C2" s="71"/>
      <c r="D2" s="71"/>
      <c r="E2" s="71"/>
      <c r="F2" s="71"/>
      <c r="G2" s="71"/>
      <c r="H2" s="71"/>
      <c r="I2" s="72"/>
      <c r="J2" s="43">
        <v>61432437</v>
      </c>
      <c r="K2" s="50">
        <v>15831</v>
      </c>
      <c r="L2" s="44">
        <v>335</v>
      </c>
      <c r="M2" s="64">
        <v>1627.14</v>
      </c>
      <c r="N2" s="64">
        <v>2181.2249999999999</v>
      </c>
      <c r="O2" s="64">
        <v>2499.8249999999998</v>
      </c>
      <c r="P2" s="44" t="s">
        <v>54</v>
      </c>
      <c r="Q2" s="44">
        <v>19.727</v>
      </c>
      <c r="R2" s="44" t="s">
        <v>62</v>
      </c>
    </row>
    <row r="3" spans="2:22" x14ac:dyDescent="0.2">
      <c r="B3" s="6" t="s">
        <v>53</v>
      </c>
      <c r="C3" s="65">
        <f>'176'!C3+1</f>
        <v>177</v>
      </c>
      <c r="D3" s="5"/>
      <c r="E3" s="5"/>
      <c r="F3" s="5"/>
      <c r="G3" s="5" t="s">
        <v>52</v>
      </c>
      <c r="H3" s="31">
        <f>+'176'!H3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201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61432437</v>
      </c>
      <c r="C21" s="6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2499.8249999999998</v>
      </c>
      <c r="G23" s="23">
        <f>+N2</f>
        <v>2181.2249999999999</v>
      </c>
      <c r="H23" s="23">
        <f>+M2</f>
        <v>1627.14</v>
      </c>
      <c r="I23" s="63">
        <f>+L2</f>
        <v>335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6" t="s">
        <v>23</v>
      </c>
      <c r="C26" s="73"/>
      <c r="D26" s="73"/>
      <c r="E26" s="73"/>
      <c r="F26" s="73"/>
      <c r="G26" s="73"/>
      <c r="H26" s="73"/>
      <c r="I26" s="67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77" t="s">
        <v>19</v>
      </c>
      <c r="E31" s="77"/>
      <c r="F31" s="77" t="s">
        <v>18</v>
      </c>
      <c r="G31" s="77"/>
      <c r="H31" s="63" t="s">
        <v>17</v>
      </c>
      <c r="I31" s="19" t="s">
        <v>16</v>
      </c>
      <c r="M31"/>
    </row>
    <row r="32" spans="2:13" ht="39" customHeight="1" x14ac:dyDescent="0.2">
      <c r="B32" s="41" t="s">
        <v>203</v>
      </c>
      <c r="C32" s="19" t="s">
        <v>202</v>
      </c>
      <c r="D32" s="68"/>
      <c r="E32" s="69"/>
      <c r="F32" s="68">
        <f>+K2</f>
        <v>15831</v>
      </c>
      <c r="G32" s="69"/>
      <c r="H32" s="17">
        <v>0.76</v>
      </c>
      <c r="I32" s="18">
        <f>+H32*F32</f>
        <v>12031.56</v>
      </c>
      <c r="K32" s="48"/>
      <c r="M32" s="39"/>
    </row>
    <row r="33" spans="2:11" ht="21" customHeight="1" x14ac:dyDescent="0.2">
      <c r="B33" s="15" t="s">
        <v>15</v>
      </c>
      <c r="C33" s="15"/>
      <c r="D33" s="66"/>
      <c r="E33" s="67"/>
      <c r="F33" s="66"/>
      <c r="G33" s="67"/>
      <c r="H33" s="17"/>
      <c r="I33" s="63"/>
    </row>
    <row r="34" spans="2:11" ht="21.75" customHeight="1" x14ac:dyDescent="0.2">
      <c r="B34" s="15" t="s">
        <v>14</v>
      </c>
      <c r="C34" s="15"/>
      <c r="D34" s="78"/>
      <c r="E34" s="79"/>
      <c r="F34" s="68">
        <f>SUM(F32:G33)</f>
        <v>15831</v>
      </c>
      <c r="G34" s="69"/>
      <c r="H34" s="15"/>
      <c r="I34" s="14">
        <f>SUM(I32:I33)</f>
        <v>12031.56</v>
      </c>
      <c r="J34" s="40"/>
      <c r="K34" s="40"/>
    </row>
    <row r="35" spans="2:11" ht="21.75" customHeight="1" x14ac:dyDescent="0.2">
      <c r="B35" s="16" t="s">
        <v>13</v>
      </c>
      <c r="C35" s="15"/>
      <c r="D35" s="66"/>
      <c r="E35" s="67"/>
      <c r="F35" s="66"/>
      <c r="G35" s="67"/>
      <c r="H35" s="15"/>
      <c r="I35" s="63"/>
      <c r="J35" s="40"/>
    </row>
    <row r="36" spans="2:11" ht="21.75" customHeight="1" x14ac:dyDescent="0.2">
      <c r="B36" s="16" t="s">
        <v>12</v>
      </c>
      <c r="C36" s="15"/>
      <c r="D36" s="66"/>
      <c r="E36" s="67"/>
      <c r="F36" s="66"/>
      <c r="G36" s="67"/>
      <c r="H36" s="15"/>
      <c r="I36" s="14">
        <f>+I34</f>
        <v>12031.56</v>
      </c>
    </row>
    <row r="37" spans="2:11" ht="20.25" customHeight="1" x14ac:dyDescent="0.2">
      <c r="B37" s="15" t="s">
        <v>80</v>
      </c>
      <c r="C37" s="66" t="s">
        <v>11</v>
      </c>
      <c r="D37" s="73"/>
      <c r="E37" s="73"/>
      <c r="F37" s="73"/>
      <c r="G37" s="73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12031.56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18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5B8E7A2-2E99-457E-B8BE-12349531D318}">
          <x14:formula1>
            <xm:f>Sheet1!$K$5:$K$12</xm:f>
          </x14:formula1>
          <xm:sqref>B14</xm:sqref>
        </x14:dataValidation>
        <x14:dataValidation type="list" allowBlank="1" showInputMessage="1" showErrorMessage="1" xr:uid="{4EE8CB6E-83A6-4F23-B199-5C44F19C430D}">
          <x14:formula1>
            <xm:f>Sheet1!$B$17:$B$18</xm:f>
          </x14:formula1>
          <xm:sqref>G5</xm:sqref>
        </x14:dataValidation>
        <x14:dataValidation type="list" allowBlank="1" showInputMessage="1" showErrorMessage="1" xr:uid="{5CC2DC08-FCA9-44E4-9862-161AA06578D4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Sheet1</vt:lpstr>
      <vt:lpstr>reff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'163'!Print_Area</vt:lpstr>
      <vt:lpstr>'164'!Print_Area</vt:lpstr>
      <vt:lpstr>'165'!Print_Area</vt:lpstr>
      <vt:lpstr>'166'!Print_Area</vt:lpstr>
      <vt:lpstr>'167'!Print_Area</vt:lpstr>
      <vt:lpstr>'168'!Print_Area</vt:lpstr>
      <vt:lpstr>'169'!Print_Area</vt:lpstr>
      <vt:lpstr>'170'!Print_Area</vt:lpstr>
      <vt:lpstr>'171'!Print_Area</vt:lpstr>
      <vt:lpstr>'172'!Print_Area</vt:lpstr>
      <vt:lpstr>'173'!Print_Area</vt:lpstr>
      <vt:lpstr>'174'!Print_Area</vt:lpstr>
      <vt:lpstr>'175'!Print_Area</vt:lpstr>
      <vt:lpstr>'176'!Print_Area</vt:lpstr>
      <vt:lpstr>'177'!Print_Area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2026-04-06T03:21:07Z</cp:lastPrinted>
  <dcterms:created xsi:type="dcterms:W3CDTF">2024-04-17T09:56:05Z</dcterms:created>
  <dcterms:modified xsi:type="dcterms:W3CDTF">2026-04-08T10:50:43Z</dcterms:modified>
</cp:coreProperties>
</file>