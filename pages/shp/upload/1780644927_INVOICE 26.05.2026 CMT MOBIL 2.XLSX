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26.05.2026\MOBIL 2\"/>
    </mc:Choice>
  </mc:AlternateContent>
  <xr:revisionPtr revIDLastSave="0" documentId="13_ncr:1_{CA4F1F11-842A-4DAF-B694-4192079DE70A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28" r:id="rId1"/>
    <sheet name="reff" sheetId="162" r:id="rId2"/>
    <sheet name="434" sheetId="129" r:id="rId3"/>
    <sheet name="435" sheetId="133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2">[2]xdata!#REF!</definedName>
    <definedName name="a" localSheetId="3">[2]xdata!#REF!</definedName>
    <definedName name="a">[2]xdata!#REF!</definedName>
    <definedName name="b" localSheetId="2">[2]xdata!#REF!</definedName>
    <definedName name="b" localSheetId="3">[2]xdata!#REF!</definedName>
    <definedName name="b">[2]xdata!#REF!</definedName>
    <definedName name="C_O" localSheetId="2">[2]xdata!#REF!</definedName>
    <definedName name="C_O" localSheetId="3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>[2]xdata!#REF!</definedName>
    <definedName name="INVOICE">[2]xdata!$B$2</definedName>
    <definedName name="_xlnm.Print_Area" localSheetId="2">'434'!$B$1:$I$57</definedName>
    <definedName name="_xlnm.Print_Area" localSheetId="3">'435'!$B$1:$I$57</definedName>
    <definedName name="v" localSheetId="2">[2]xdata!#REF!</definedName>
    <definedName name="v" localSheetId="3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29" l="1"/>
  <c r="H52" i="133" l="1"/>
  <c r="F32" i="133"/>
  <c r="F34" i="133" s="1"/>
  <c r="B27" i="133"/>
  <c r="I23" i="133"/>
  <c r="H23" i="133"/>
  <c r="G23" i="133"/>
  <c r="F23" i="133"/>
  <c r="E23" i="133"/>
  <c r="E21" i="133"/>
  <c r="D21" i="133"/>
  <c r="C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H3" i="133"/>
  <c r="C3" i="133"/>
  <c r="H52" i="129"/>
  <c r="F34" i="129"/>
  <c r="I32" i="129"/>
  <c r="I34" i="129" s="1"/>
  <c r="I36" i="129" s="1"/>
  <c r="I38" i="129" s="1"/>
  <c r="B27" i="129"/>
  <c r="I23" i="129"/>
  <c r="H23" i="129"/>
  <c r="G23" i="129"/>
  <c r="F23" i="129"/>
  <c r="E23" i="129"/>
  <c r="E21" i="129"/>
  <c r="D21" i="129"/>
  <c r="C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L25" i="128"/>
  <c r="L24" i="128"/>
  <c r="L23" i="128"/>
  <c r="L22" i="128"/>
  <c r="L21" i="128"/>
  <c r="L20" i="128"/>
  <c r="L19" i="128"/>
  <c r="L18" i="128"/>
  <c r="B18" i="128"/>
  <c r="L17" i="128"/>
  <c r="B17" i="128"/>
  <c r="L16" i="128"/>
  <c r="L15" i="128"/>
  <c r="L14" i="128"/>
  <c r="L13" i="128"/>
  <c r="L12" i="128"/>
  <c r="K12" i="128"/>
  <c r="L11" i="128"/>
  <c r="K11" i="128"/>
  <c r="L10" i="128"/>
  <c r="K10" i="128"/>
  <c r="L9" i="128"/>
  <c r="K9" i="128"/>
  <c r="L8" i="128"/>
  <c r="K8" i="128"/>
  <c r="L7" i="128"/>
  <c r="K7" i="128"/>
  <c r="L6" i="128"/>
  <c r="K6" i="128"/>
  <c r="L5" i="128"/>
  <c r="K5" i="128"/>
  <c r="I32" i="133" l="1"/>
  <c r="I34" i="133" s="1"/>
  <c r="I36" i="133" s="1"/>
  <c r="I38" i="133" s="1"/>
</calcChain>
</file>

<file path=xl/sharedStrings.xml><?xml version="1.0" encoding="utf-8"?>
<sst xmlns="http://schemas.openxmlformats.org/spreadsheetml/2006/main" count="319" uniqueCount="185">
  <si>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</si>
  <si>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</si>
  <si>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</si>
  <si>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</si>
  <si>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</si>
  <si>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</si>
  <si>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</si>
  <si>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</si>
  <si>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</si>
  <si>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</si>
  <si>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</si>
  <si>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</si>
  <si>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</si>
  <si>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</si>
  <si>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</si>
  <si>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</si>
  <si>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</si>
  <si>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</si>
  <si>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</si>
  <si>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</si>
  <si>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</si>
  <si>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</si>
  <si>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</si>
  <si>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</si>
  <si>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</si>
  <si>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</si>
  <si>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</si>
  <si>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</si>
  <si>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</si>
  <si>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</si>
  <si>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</si>
  <si>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</si>
  <si>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</si>
  <si>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</si>
  <si>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</si>
  <si>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</si>
  <si>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</si>
  <si>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</si>
  <si>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</si>
  <si>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</si>
  <si>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</si>
  <si>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</si>
  <si>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</si>
  <si>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</si>
  <si>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</si>
  <si>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</si>
  <si>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</si>
  <si>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</si>
  <si>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</si>
  <si>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</si>
  <si>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</si>
  <si>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</si>
  <si>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</si>
  <si>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</si>
  <si>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</si>
  <si>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</si>
  <si>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</si>
  <si>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</si>
  <si>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</si>
  <si>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</si>
  <si>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</si>
  <si>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</si>
  <si>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</si>
  <si>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</si>
  <si>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</si>
  <si>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</si>
  <si>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</si>
  <si>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</si>
  <si>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</si>
  <si>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</si>
  <si>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</si>
  <si>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</si>
  <si>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</si>
  <si>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</si>
  <si>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</si>
  <si>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</si>
  <si>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</si>
  <si>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</si>
  <si>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</si>
  <si>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</si>
  <si>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</si>
  <si>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</si>
  <si>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</si>
  <si>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</si>
  <si>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</si>
  <si>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</si>
  <si>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</si>
  <si>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</si>
  <si>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</si>
  <si>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</si>
  <si>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</si>
  <si>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</si>
  <si>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</si>
  <si>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</si>
  <si>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</si>
  <si>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</si>
  <si>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</si>
  <si>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</si>
  <si>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</si>
  <si>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</si>
  <si>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</si>
  <si>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</si>
  <si>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</si>
  <si>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</si>
  <si>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</si>
  <si>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</si>
  <si>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</si>
  <si>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</si>
  <si>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</si>
  <si>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</si>
  <si>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</si>
  <si>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</si>
  <si>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</si>
  <si>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</si>
  <si>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</si>
  <si>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</si>
  <si>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</si>
  <si>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</si>
  <si>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</si>
  <si>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</si>
  <si>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</si>
  <si>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</si>
  <si>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</si>
  <si>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</si>
  <si>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</si>
  <si>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</si>
  <si>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</si>
  <si>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</si>
  <si>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</si>
  <si>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</si>
  <si>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</si>
  <si>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</si>
  <si>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</si>
  <si>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</si>
  <si>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</si>
  <si>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</si>
  <si>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</si>
  <si>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</si>
  <si>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</si>
  <si>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</si>
  <si>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</si>
  <si>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</si>
  <si>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</si>
  <si>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</si>
  <si>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</si>
  <si>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</si>
  <si>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</si>
  <si>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</si>
  <si>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</si>
  <si>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</si>
  <si>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</si>
  <si>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</si>
  <si>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</si>
  <si>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</si>
  <si>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</si>
  <si>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</si>
  <si>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</si>
  <si>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</si>
  <si>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</si>
  <si>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</si>
  <si>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</si>
  <si>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</si>
  <si>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</si>
  <si>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</si>
  <si>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</si>
  <si>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</si>
  <si>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</si>
  <si>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</si>
  <si>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</si>
  <si>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</si>
  <si>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</si>
  <si>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</si>
  <si>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</si>
  <si>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</si>
  <si>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</si>
  <si>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</si>
  <si>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</si>
  <si>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</si>
  <si>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 xml:space="preserve"> 265K0075 </t>
  </si>
  <si>
    <t>BLACK COFFEE, IN THE NAVY</t>
  </si>
  <si>
    <t>13, 16</t>
  </si>
  <si>
    <t>WOMENS COTTON FIBERS, KNIT PULLOVER, WITH NO NECK CLOSURE, STITCH COUNT IS GREATER THAN 9/2CM, REACHES WAIST, SLEEVELESS [95% COTTON 5% ELASTANE]</t>
  </si>
  <si>
    <t>SHOOTING STAR</t>
  </si>
  <si>
    <t>21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</si>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</sst>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3" fillId="0" borderId="0" xfId="0" applyFont="1"/>
    <xf numFmtId="169" fontId="0" fillId="0" borderId="0" xfId="0" quotePrefix="1" applyNumberFormat="1" applyBorder="1" applyAlignment="1">
      <alignment horizontal="left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4" fontId="14" fillId="3" borderId="0" xfId="0" applyNumberFormat="1" applyFont="1" applyFill="1" applyAlignment="1">
      <alignment horizontal="right" vertical="center" wrapText="1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3" sqref="I3"/>
    </sheetView>
  </sheetViews>
  <sheetFormatPr defaultRowHeight="12.75" x14ac:dyDescent="0.2"/>
  <sheetData>
    <row r="2" spans="2:9" ht="15" x14ac:dyDescent="0.25">
      <c r="B2" s="53">
        <v>1</v>
      </c>
      <c r="C2" t="s">
        <v>178</v>
      </c>
      <c r="E2" s="53">
        <v>1</v>
      </c>
      <c r="F2">
        <v>692926</v>
      </c>
      <c r="H2" s="53">
        <v>1</v>
      </c>
      <c r="I2" s="54" t="s">
        <v>177</v>
      </c>
    </row>
    <row r="3" spans="2:9" ht="15" x14ac:dyDescent="0.25">
      <c r="B3" s="53">
        <v>2</v>
      </c>
      <c r="C3" t="s">
        <v>178</v>
      </c>
      <c r="E3" s="53">
        <v>2</v>
      </c>
      <c r="F3">
        <v>692926</v>
      </c>
      <c r="H3" s="53">
        <v>2</v>
      </c>
      <c r="I3" s="54" t="s">
        <v>177</v>
      </c>
    </row>
    <row r="4" spans="2:9" ht="15" x14ac:dyDescent="0.25">
      <c r="B4" s="53">
        <v>3</v>
      </c>
      <c r="E4" s="53">
        <v>3</v>
      </c>
      <c r="H4" s="53">
        <v>3</v>
      </c>
      <c r="I4" s="54"/>
    </row>
    <row r="5" spans="2:9" ht="15" x14ac:dyDescent="0.25">
      <c r="B5" s="53">
        <v>4</v>
      </c>
      <c r="E5" s="53">
        <v>4</v>
      </c>
      <c r="H5" s="53">
        <v>4</v>
      </c>
      <c r="I5" s="54"/>
    </row>
    <row r="6" spans="2:9" ht="15" x14ac:dyDescent="0.25">
      <c r="B6" s="53">
        <v>5</v>
      </c>
      <c r="E6" s="53">
        <v>5</v>
      </c>
      <c r="H6" s="53">
        <v>5</v>
      </c>
      <c r="I6" s="54"/>
    </row>
    <row r="7" spans="2:9" ht="15" x14ac:dyDescent="0.25">
      <c r="B7" s="53">
        <v>6</v>
      </c>
      <c r="E7" s="53">
        <v>6</v>
      </c>
      <c r="H7" s="53">
        <v>6</v>
      </c>
      <c r="I7" s="54"/>
    </row>
    <row r="8" spans="2:9" ht="15" x14ac:dyDescent="0.25">
      <c r="B8" s="53">
        <v>7</v>
      </c>
      <c r="E8" s="53">
        <v>7</v>
      </c>
      <c r="H8" s="53">
        <v>7</v>
      </c>
      <c r="I8" s="54"/>
    </row>
    <row r="9" spans="2:9" ht="15" x14ac:dyDescent="0.25">
      <c r="B9" s="53">
        <v>8</v>
      </c>
      <c r="E9" s="53">
        <v>8</v>
      </c>
      <c r="H9" s="53">
        <v>8</v>
      </c>
      <c r="I9" s="54"/>
    </row>
    <row r="10" spans="2:9" ht="15" x14ac:dyDescent="0.25">
      <c r="B10" s="53">
        <v>9</v>
      </c>
      <c r="E10" s="53">
        <v>9</v>
      </c>
      <c r="H10" s="53">
        <v>9</v>
      </c>
      <c r="I10" s="54"/>
    </row>
    <row r="11" spans="2:9" ht="15" x14ac:dyDescent="0.25">
      <c r="B11" s="53">
        <v>10</v>
      </c>
      <c r="E11" s="53">
        <v>10</v>
      </c>
      <c r="H11" s="53">
        <v>10</v>
      </c>
      <c r="I11" s="54"/>
    </row>
    <row r="12" spans="2:9" ht="15" x14ac:dyDescent="0.25">
      <c r="B12" s="53">
        <v>11</v>
      </c>
      <c r="E12" s="53">
        <v>11</v>
      </c>
      <c r="H12" s="53">
        <v>11</v>
      </c>
      <c r="I12" s="54"/>
    </row>
    <row r="13" spans="2:9" ht="15" x14ac:dyDescent="0.25">
      <c r="B13" s="53">
        <v>12</v>
      </c>
      <c r="E13" s="53">
        <v>12</v>
      </c>
      <c r="H13" s="53">
        <v>12</v>
      </c>
      <c r="I13" s="54"/>
    </row>
    <row r="14" spans="2:9" ht="15" x14ac:dyDescent="0.25">
      <c r="B14" s="53">
        <v>13</v>
      </c>
      <c r="E14" s="53">
        <v>13</v>
      </c>
      <c r="H14" s="53">
        <v>13</v>
      </c>
      <c r="I14" s="54"/>
    </row>
    <row r="15" spans="2:9" ht="15" x14ac:dyDescent="0.25">
      <c r="B15" s="53">
        <v>14</v>
      </c>
      <c r="E15" s="53">
        <v>14</v>
      </c>
      <c r="H15" s="53">
        <v>14</v>
      </c>
      <c r="I15" s="54"/>
    </row>
    <row r="16" spans="2:9" ht="15" x14ac:dyDescent="0.25">
      <c r="B16" s="53">
        <v>15</v>
      </c>
      <c r="E16" s="53">
        <v>15</v>
      </c>
      <c r="H16" s="53">
        <v>15</v>
      </c>
      <c r="I16" s="54"/>
    </row>
    <row r="17" spans="2:11" ht="15" x14ac:dyDescent="0.25">
      <c r="B17" s="53">
        <v>16</v>
      </c>
      <c r="E17" s="53">
        <v>16</v>
      </c>
      <c r="H17" s="53">
        <v>16</v>
      </c>
      <c r="I17" s="54"/>
    </row>
    <row r="18" spans="2:11" ht="15" x14ac:dyDescent="0.25">
      <c r="B18" s="53">
        <v>17</v>
      </c>
      <c r="E18" s="53">
        <v>17</v>
      </c>
      <c r="H18" s="53">
        <v>17</v>
      </c>
      <c r="I18" s="54"/>
    </row>
    <row r="19" spans="2:11" ht="15" x14ac:dyDescent="0.25">
      <c r="B19" s="53">
        <v>18</v>
      </c>
      <c r="E19" s="53">
        <v>18</v>
      </c>
      <c r="H19" s="53">
        <v>18</v>
      </c>
      <c r="I19" s="54"/>
    </row>
    <row r="20" spans="2:11" ht="15" x14ac:dyDescent="0.25">
      <c r="B20" s="53">
        <v>19</v>
      </c>
      <c r="E20" s="53">
        <v>19</v>
      </c>
      <c r="H20" s="53">
        <v>19</v>
      </c>
      <c r="I20" s="54"/>
    </row>
    <row r="21" spans="2:11" ht="15" x14ac:dyDescent="0.25">
      <c r="B21" s="53">
        <v>20</v>
      </c>
      <c r="E21" s="53">
        <v>20</v>
      </c>
      <c r="H21" s="53">
        <v>20</v>
      </c>
      <c r="I21" s="54"/>
    </row>
    <row r="22" spans="2:11" ht="15" x14ac:dyDescent="0.25">
      <c r="B22" s="53">
        <v>21</v>
      </c>
      <c r="E22" s="53">
        <v>21</v>
      </c>
      <c r="H22" s="53">
        <v>21</v>
      </c>
      <c r="I22" s="54"/>
      <c r="K22" t="s">
        <v>63</v>
      </c>
    </row>
    <row r="23" spans="2:11" ht="15" x14ac:dyDescent="0.25">
      <c r="B23" s="53">
        <v>22</v>
      </c>
      <c r="E23" s="53">
        <v>22</v>
      </c>
      <c r="H23" s="53">
        <v>22</v>
      </c>
      <c r="I23" s="54"/>
    </row>
    <row r="24" spans="2:11" ht="15" x14ac:dyDescent="0.25">
      <c r="B24" s="53">
        <v>23</v>
      </c>
      <c r="E24" s="53">
        <v>23</v>
      </c>
      <c r="H24" s="53">
        <v>23</v>
      </c>
      <c r="I24" s="54"/>
    </row>
    <row r="25" spans="2:11" ht="15" x14ac:dyDescent="0.25">
      <c r="B25" s="53">
        <v>24</v>
      </c>
      <c r="E25" s="53">
        <v>24</v>
      </c>
      <c r="H25" s="53">
        <v>24</v>
      </c>
      <c r="I25" s="54"/>
    </row>
    <row r="26" spans="2:11" ht="15" x14ac:dyDescent="0.25">
      <c r="B26" s="53">
        <v>25</v>
      </c>
      <c r="E26" s="53">
        <v>25</v>
      </c>
      <c r="H26" s="53">
        <v>25</v>
      </c>
      <c r="I26" s="54"/>
    </row>
    <row r="27" spans="2:11" ht="15" x14ac:dyDescent="0.25">
      <c r="B27" s="53">
        <v>26</v>
      </c>
      <c r="E27" s="53">
        <v>26</v>
      </c>
      <c r="H27" s="53">
        <v>26</v>
      </c>
      <c r="I27" s="54"/>
    </row>
    <row r="28" spans="2:11" x14ac:dyDescent="0.2">
      <c r="B28" s="53">
        <v>27</v>
      </c>
      <c r="E28" s="53">
        <v>27</v>
      </c>
      <c r="H28" s="53">
        <v>27</v>
      </c>
    </row>
    <row r="29" spans="2:11" x14ac:dyDescent="0.2">
      <c r="B29" s="53">
        <v>28</v>
      </c>
      <c r="E29" s="53">
        <v>28</v>
      </c>
      <c r="H29" s="53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view="pageBreakPreview" zoomScaleNormal="100" zoomScaleSheetLayoutView="100" workbookViewId="0">
      <selection activeCell="B2" sqref="B2:I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2" t="s">
        <v>184</v>
      </c>
      <c r="C2" s="63"/>
      <c r="D2" s="63"/>
      <c r="E2" s="63"/>
      <c r="F2" s="63"/>
      <c r="G2" s="63"/>
      <c r="H2" s="63"/>
      <c r="I2" s="64"/>
      <c r="J2" s="56">
        <v>61744352</v>
      </c>
      <c r="K2" s="57">
        <v>10197</v>
      </c>
      <c r="L2" s="58">
        <v>126</v>
      </c>
      <c r="M2" s="59">
        <v>1096.8399999999999</v>
      </c>
      <c r="N2" s="59">
        <v>1198.81</v>
      </c>
      <c r="O2" s="59">
        <v>1310.91</v>
      </c>
      <c r="P2" s="58" t="s">
        <v>54</v>
      </c>
      <c r="Q2" s="58">
        <v>6.3070000000000004</v>
      </c>
      <c r="R2" s="58" t="s">
        <v>62</v>
      </c>
    </row>
    <row r="3" spans="2:22" x14ac:dyDescent="0.2">
      <c r="B3" s="6" t="s">
        <v>53</v>
      </c>
      <c r="C3" s="55">
        <v>434</v>
      </c>
      <c r="D3" s="5"/>
      <c r="E3" s="5"/>
      <c r="F3" s="5"/>
      <c r="G3" s="5" t="s">
        <v>52</v>
      </c>
      <c r="H3" s="31">
        <v>46168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61744352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1310.91</v>
      </c>
      <c r="G23" s="23">
        <f>+N2</f>
        <v>1198.81</v>
      </c>
      <c r="H23" s="23">
        <f>+M2</f>
        <v>1096.8399999999999</v>
      </c>
      <c r="I23" s="48">
        <f>+L2</f>
        <v>126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66"/>
      <c r="D26" s="66"/>
      <c r="E26" s="66"/>
      <c r="F26" s="66"/>
      <c r="G26" s="66"/>
      <c r="H26" s="66"/>
      <c r="I26" s="67"/>
    </row>
    <row r="27" spans="2:13" ht="24.75" customHeight="1" x14ac:dyDescent="0.2">
      <c r="B27" s="68" t="str">
        <f>+K4</f>
        <v>WOMENS COTTON FIBERS, KNIT PULLOVER, WITH NO NECK CLOSURE, STITCH COUNT IS GREATER THAN 9/2CM, REACHES WAIST, SLEEVELESS [95% COTTON 5% ELASTANE]</v>
      </c>
      <c r="C27" s="69"/>
      <c r="D27" s="69"/>
      <c r="E27" s="69"/>
      <c r="F27" s="69"/>
      <c r="G27" s="69"/>
      <c r="H27" s="69"/>
      <c r="I27" s="7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1" t="s">
        <v>19</v>
      </c>
      <c r="E31" s="71"/>
      <c r="F31" s="71" t="s">
        <v>18</v>
      </c>
      <c r="G31" s="71"/>
      <c r="H31" s="48" t="s">
        <v>17</v>
      </c>
      <c r="I31" s="19" t="s">
        <v>16</v>
      </c>
      <c r="M31"/>
    </row>
    <row r="32" spans="2:13" ht="30.75" customHeight="1" x14ac:dyDescent="0.2">
      <c r="B32" s="41" t="s">
        <v>180</v>
      </c>
      <c r="C32" s="19" t="s">
        <v>179</v>
      </c>
      <c r="D32" s="60"/>
      <c r="E32" s="61"/>
      <c r="F32" s="60">
        <f>+K2</f>
        <v>10197</v>
      </c>
      <c r="G32" s="61"/>
      <c r="H32" s="17">
        <v>0.76</v>
      </c>
      <c r="I32" s="18">
        <f>+H32*F32</f>
        <v>7749.72</v>
      </c>
      <c r="K32" s="46"/>
      <c r="M32" s="39"/>
    </row>
    <row r="33" spans="2:11" ht="21" customHeight="1" x14ac:dyDescent="0.2">
      <c r="B33" s="15" t="s">
        <v>15</v>
      </c>
      <c r="C33" s="15"/>
      <c r="D33" s="65"/>
      <c r="E33" s="67"/>
      <c r="F33" s="65"/>
      <c r="G33" s="67"/>
      <c r="H33" s="17"/>
      <c r="I33" s="48"/>
    </row>
    <row r="34" spans="2:11" ht="21.75" customHeight="1" x14ac:dyDescent="0.2">
      <c r="B34" s="15" t="s">
        <v>14</v>
      </c>
      <c r="C34" s="15"/>
      <c r="D34" s="76"/>
      <c r="E34" s="77"/>
      <c r="F34" s="60">
        <f>SUM(F31:G33)</f>
        <v>10197</v>
      </c>
      <c r="G34" s="61"/>
      <c r="H34" s="15"/>
      <c r="I34" s="14">
        <f>SUM(I32:I33)</f>
        <v>7749.72</v>
      </c>
      <c r="J34" s="40"/>
      <c r="K34" s="40"/>
    </row>
    <row r="35" spans="2:11" ht="21.75" customHeight="1" x14ac:dyDescent="0.2">
      <c r="B35" s="16" t="s">
        <v>13</v>
      </c>
      <c r="C35" s="15"/>
      <c r="D35" s="65"/>
      <c r="E35" s="67"/>
      <c r="F35" s="65"/>
      <c r="G35" s="67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5"/>
      <c r="E36" s="67"/>
      <c r="F36" s="65"/>
      <c r="G36" s="67"/>
      <c r="H36" s="15"/>
      <c r="I36" s="14">
        <f>+I34</f>
        <v>7749.72</v>
      </c>
    </row>
    <row r="37" spans="2:11" ht="20.25" customHeight="1" x14ac:dyDescent="0.2">
      <c r="B37" s="15" t="s">
        <v>80</v>
      </c>
      <c r="C37" s="65" t="s">
        <v>11</v>
      </c>
      <c r="D37" s="66"/>
      <c r="E37" s="66"/>
      <c r="F37" s="66"/>
      <c r="G37" s="66"/>
      <c r="H37" s="6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7749.72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2"/>
      <c r="D57" s="7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tabSelected="1" view="pageBreakPreview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2" t="s">
        <v>184</v>
      </c>
      <c r="C2" s="63"/>
      <c r="D2" s="63"/>
      <c r="E2" s="63"/>
      <c r="F2" s="63"/>
      <c r="G2" s="63"/>
      <c r="H2" s="63"/>
      <c r="I2" s="64"/>
      <c r="J2" s="56">
        <v>61811918</v>
      </c>
      <c r="K2" s="58">
        <v>720</v>
      </c>
      <c r="L2" s="58">
        <v>14</v>
      </c>
      <c r="M2" s="58">
        <v>77.59</v>
      </c>
      <c r="N2" s="58">
        <v>84.79</v>
      </c>
      <c r="O2" s="58">
        <v>95.79</v>
      </c>
      <c r="P2" s="58" t="s">
        <v>54</v>
      </c>
      <c r="Q2" s="58">
        <v>0.48099999999999998</v>
      </c>
      <c r="R2" s="58" t="s">
        <v>62</v>
      </c>
    </row>
    <row r="3" spans="2:22" x14ac:dyDescent="0.2">
      <c r="B3" s="6" t="s">
        <v>53</v>
      </c>
      <c r="C3" s="55">
        <f>+'434'!C3+1</f>
        <v>435</v>
      </c>
      <c r="D3" s="5"/>
      <c r="E3" s="5"/>
      <c r="F3" s="5"/>
      <c r="G3" s="5" t="s">
        <v>52</v>
      </c>
      <c r="H3" s="31">
        <f>+'434'!H3+0</f>
        <v>46168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61811918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95.79</v>
      </c>
      <c r="G23" s="23">
        <f>+N2</f>
        <v>84.79</v>
      </c>
      <c r="H23" s="23">
        <f>+M2</f>
        <v>77.59</v>
      </c>
      <c r="I23" s="48">
        <f>+L2</f>
        <v>14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66"/>
      <c r="D26" s="66"/>
      <c r="E26" s="66"/>
      <c r="F26" s="66"/>
      <c r="G26" s="66"/>
      <c r="H26" s="66"/>
      <c r="I26" s="67"/>
    </row>
    <row r="27" spans="2:13" ht="24.75" customHeight="1" x14ac:dyDescent="0.2">
      <c r="B27" s="68" t="str">
        <f>+K4</f>
        <v>WOMENS COTTON FIBERS, KNIT PULLOVER, WITH NO NECK CLOSURE, STITCH COUNT IS GREATER THAN 9/2CM, REACHES WAIST, SLEEVELESS [95% COTTON 5% ELASTANE]</v>
      </c>
      <c r="C27" s="69"/>
      <c r="D27" s="69"/>
      <c r="E27" s="69"/>
      <c r="F27" s="69"/>
      <c r="G27" s="69"/>
      <c r="H27" s="69"/>
      <c r="I27" s="7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1" t="s">
        <v>19</v>
      </c>
      <c r="E31" s="71"/>
      <c r="F31" s="71" t="s">
        <v>18</v>
      </c>
      <c r="G31" s="71"/>
      <c r="H31" s="48" t="s">
        <v>17</v>
      </c>
      <c r="I31" s="19" t="s">
        <v>16</v>
      </c>
      <c r="M31"/>
    </row>
    <row r="32" spans="2:13" ht="27.75" customHeight="1" x14ac:dyDescent="0.2">
      <c r="B32" s="41" t="s">
        <v>183</v>
      </c>
      <c r="C32" s="19" t="s">
        <v>182</v>
      </c>
      <c r="D32" s="60"/>
      <c r="E32" s="61"/>
      <c r="F32" s="60">
        <f>+K2</f>
        <v>720</v>
      </c>
      <c r="G32" s="61"/>
      <c r="H32" s="17">
        <v>0.76</v>
      </c>
      <c r="I32" s="18">
        <f>+H32*F32</f>
        <v>547.20000000000005</v>
      </c>
      <c r="K32" s="46"/>
      <c r="M32" s="39"/>
    </row>
    <row r="33" spans="2:11" ht="21" customHeight="1" x14ac:dyDescent="0.2">
      <c r="B33" s="15" t="s">
        <v>15</v>
      </c>
      <c r="C33" s="15"/>
      <c r="D33" s="65"/>
      <c r="E33" s="67"/>
      <c r="F33" s="65"/>
      <c r="G33" s="67"/>
      <c r="H33" s="17"/>
      <c r="I33" s="48"/>
    </row>
    <row r="34" spans="2:11" ht="21.75" customHeight="1" x14ac:dyDescent="0.2">
      <c r="B34" s="15" t="s">
        <v>14</v>
      </c>
      <c r="C34" s="15"/>
      <c r="D34" s="76"/>
      <c r="E34" s="77"/>
      <c r="F34" s="60">
        <f>SUM(F31:G33)</f>
        <v>720</v>
      </c>
      <c r="G34" s="61"/>
      <c r="H34" s="15"/>
      <c r="I34" s="14">
        <f>SUM(I32:I33)</f>
        <v>547.20000000000005</v>
      </c>
      <c r="J34" s="40"/>
      <c r="K34" s="40"/>
    </row>
    <row r="35" spans="2:11" ht="21.75" customHeight="1" x14ac:dyDescent="0.2">
      <c r="B35" s="16" t="s">
        <v>13</v>
      </c>
      <c r="C35" s="15"/>
      <c r="D35" s="65"/>
      <c r="E35" s="67"/>
      <c r="F35" s="65"/>
      <c r="G35" s="67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5"/>
      <c r="E36" s="67"/>
      <c r="F36" s="65"/>
      <c r="G36" s="67"/>
      <c r="H36" s="15"/>
      <c r="I36" s="14">
        <f>+I34</f>
        <v>547.20000000000005</v>
      </c>
    </row>
    <row r="37" spans="2:11" ht="20.25" customHeight="1" x14ac:dyDescent="0.2">
      <c r="B37" s="15" t="s">
        <v>80</v>
      </c>
      <c r="C37" s="65" t="s">
        <v>11</v>
      </c>
      <c r="D37" s="66"/>
      <c r="E37" s="66"/>
      <c r="F37" s="66"/>
      <c r="G37" s="66"/>
      <c r="H37" s="6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547.20000000000005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2"/>
      <c r="D57" s="7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434</vt:lpstr>
      <vt:lpstr>435</vt:lpstr>
      <vt:lpstr>'434'!Print_Area</vt:lpstr>
      <vt:lpstr>'435'!Print_Area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2026-05-25T02:06:11Z</cp:lastPrinted>
  <dcterms:created xsi:type="dcterms:W3CDTF">2024-04-17T09:56:05Z</dcterms:created>
  <dcterms:modified xsi:type="dcterms:W3CDTF">2026-05-26T03:36:06Z</dcterms:modified>
</cp:coreProperties>
</file>