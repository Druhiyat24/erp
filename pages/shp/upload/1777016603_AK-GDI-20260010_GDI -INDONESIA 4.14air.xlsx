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 activeTab="2"/>
  </bookViews>
  <sheets>
    <sheet name="INV" sheetId="8" r:id="rId1"/>
    <sheet name="DPL" sheetId="1" r:id="rId2"/>
    <sheet name="PL" sheetId="9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INV!$A$29:$J$59</definedName>
    <definedName name="_xlnm._FilterDatabase" localSheetId="1" hidden="1">DPL!$A$29:$AG$77</definedName>
    <definedName name="_xlnm._FilterDatabase" localSheetId="2" hidden="1">PL!$A$29:$AC$40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0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0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0">'[18]NHẬP KHO'!$B:$B</definedName>
    <definedName name="NGAY_NK">'[18]NHẬP KHO'!$B:$B</definedName>
    <definedName name="NGAY_XK" localSheetId="6">'[18]XUẤT KHO'!$B:$B</definedName>
    <definedName name="NGAY_XK" localSheetId="0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0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0">INV!$A$1:$J$59</definedName>
    <definedName name="_xlnm.Print_Area" localSheetId="1">DPL!$A$1:$M$77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0">'[18]NHẬP KHO'!$F:$F</definedName>
    <definedName name="SL_NK">'[18]NHẬP KHO'!$F:$F</definedName>
    <definedName name="SL_XK" localSheetId="6">'[18]XUẤT KHO'!$G:$G</definedName>
    <definedName name="SL_XK" localSheetId="0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0">'[18]NHẬP KHO'!$D:$D</definedName>
    <definedName name="TENHANG_NK">'[18]NHẬP KHO'!$D:$D</definedName>
    <definedName name="TENHANG_XK" localSheetId="6">'[18]XUẤT KHO'!$E:$E</definedName>
    <definedName name="TENHANG_XK" localSheetId="0">'[18]XUẤT KHO'!$E:$E</definedName>
    <definedName name="TENHANG_XK">'[18]XUẤT KHO'!$E:$E</definedName>
    <definedName name="TENNGUYENLIEU" localSheetId="6">#REF!</definedName>
    <definedName name="TENNGUYENLIEU" localSheetId="0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0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0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  <definedName name="_xlnm.Print_Area" localSheetId="2">PL!$A$1:$K$40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<sst xmlns="http://schemas.openxmlformats.org/spreadsheetml/2006/main" count="1231" uniqueCount="276">
  <si>
    <t>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</si>
  <si>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</si>
  <si>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</si>
  <si>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COMMERCIAL INVOICE</t>
  </si>
  <si>
    <t>Shipper / Exporter:</t>
  </si>
  <si>
    <t>No. / Date of Invoice :</t>
  </si>
  <si>
    <t>ADVANCE KNITTING VIETNAM CO.,LTD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</si>
  <si>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</si>
  <si>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</si>
  <si>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</si>
  <si>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</si>
  <si>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</si>
  <si>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</si>
  <si>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FLAT H, 2/F MANSION INDUSTRIAL BUILDING,</t>
  </si>
  <si>
    <t>8 A KUNG NGAM VILLAGE LANE, SHAU KEI WAN, HONG KONG</t>
  </si>
  <si>
    <t xml:space="preserve">Consignee: </t>
  </si>
  <si>
    <r>
      <rPr>
        <b/>
        <u/>
        <sz val="11"/>
        <color theme="1"/>
        <rFont val="Arial Narrow"/>
        <charset val="134"/>
      </rPr>
      <t>Term of Delivery:</t>
    </r>
    <r>
      <rPr>
        <sz val="11"/>
        <color theme="1"/>
        <rFont val="Arial Narrow"/>
        <charset val="134"/>
      </rPr>
      <t xml:space="preserve"> CFR JAKARTA INDONESIA</t>
    </r>
  </si>
  <si>
    <r>
      <rPr>
        <b/>
        <u/>
        <sz val="11"/>
        <color theme="1"/>
        <rFont val="Arial Narrow"/>
        <charset val="134"/>
      </rPr>
      <t>Origin of Goods:</t>
    </r>
    <r>
      <rPr>
        <sz val="11"/>
        <color theme="1"/>
        <rFont val="Arial Narrow"/>
        <charset val="134"/>
      </rPr>
      <t xml:space="preserve"> Vietnam</t>
    </r>
  </si>
  <si>
    <t>Loading:</t>
  </si>
  <si>
    <t>Discharge:</t>
  </si>
  <si>
    <t>FLIGHT NO:</t>
  </si>
  <si>
    <t>Delivery date</t>
  </si>
  <si>
    <t xml:space="preserve"> ETA:</t>
  </si>
  <si>
    <r>
      <rPr>
        <b/>
        <u/>
        <sz val="11"/>
        <color theme="1"/>
        <rFont val="Arial Narrow"/>
        <charset val="134"/>
      </rPr>
      <t>Term of Payment:</t>
    </r>
    <r>
      <rPr>
        <sz val="11"/>
        <color theme="1"/>
        <rFont val="Arial Narrow"/>
        <charset val="134"/>
      </rPr>
      <t xml:space="preserve"> By T/T</t>
    </r>
  </si>
  <si>
    <t>PO</t>
  </si>
  <si>
    <t>REF#</t>
  </si>
  <si>
    <t>ITEM NO</t>
  </si>
  <si>
    <t>DESCRIPTION OF GOODS</t>
  </si>
  <si>
    <t>COLOR</t>
  </si>
  <si>
    <t>SIZE</t>
  </si>
  <si>
    <t>QUANTITY</t>
  </si>
  <si>
    <t>Unit</t>
  </si>
  <si>
    <t>UNIT PRICE
(USD)</t>
  </si>
  <si>
    <t>AMOUNT
(USD)</t>
  </si>
  <si>
    <t>SIOB260205005</t>
  </si>
  <si>
    <t>KD00397 265K0051-1ST LOT/ 
S/416363</t>
  </si>
  <si>
    <t>60% BETTER COTTON (BCI) 40% POLYESTER 32S/1x4 PLY FLAT KNIT  COLLAR</t>
  </si>
  <si>
    <t>CALLA LILY 451漂白</t>
  </si>
  <si>
    <t>XS</t>
  </si>
  <si>
    <t>PCS</t>
  </si>
  <si>
    <t>S</t>
  </si>
  <si>
    <t>M</t>
  </si>
  <si>
    <t>L</t>
  </si>
  <si>
    <t>XL</t>
  </si>
  <si>
    <t>XXL</t>
  </si>
  <si>
    <t>XL HUSKY</t>
  </si>
  <si>
    <t>XXL HUSKY</t>
  </si>
  <si>
    <t>MONET BLUE 744油画蓝</t>
  </si>
  <si>
    <t>RED TAPE 729正红色</t>
  </si>
  <si>
    <t>WINE STAIN 853酒红</t>
  </si>
  <si>
    <t>SIOB260205012</t>
  </si>
  <si>
    <t>KD00400 265K0052 -1ST LOT/ S/767468</t>
  </si>
  <si>
    <t>L HUSKY</t>
  </si>
  <si>
    <t>TOTAL</t>
  </si>
  <si>
    <t>USD</t>
  </si>
  <si>
    <t>SAY:</t>
  </si>
  <si>
    <t>US DOLLAR FIVE THOUSAND EIGHT HUNDRED TWO AND NINE CENTS ONLY.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</si>
  <si>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</si>
  <si>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</si>
  <si>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</si>
  <si>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 xml:space="preserve"> ADVANCE KNITTING VIETNAM CO., LTD</t>
  </si>
  <si>
    <t>PACKING LIST</t>
  </si>
  <si>
    <t>No. / Date of Packing List :</t>
  </si>
  <si>
    <t>AK/GDI-20260010</t>
  </si>
  <si>
    <t>No. / Date of Contract :</t>
  </si>
  <si>
    <t>AK/GDI/CT-202602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</si>
  <si>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</si>
  <si>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</si>
  <si>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</si>
  <si>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</si>
  <si>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</si>
  <si>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</t>
    </r>
  </si>
  <si>
    <t>CFR JAKARTA INDONESIA</t>
  </si>
  <si>
    <t>HO CHI MINH</t>
  </si>
  <si>
    <t>JAKARTA</t>
  </si>
  <si>
    <t xml:space="preserve">Origin of Goods: </t>
  </si>
  <si>
    <t>Vietnam</t>
  </si>
  <si>
    <t>PO No:</t>
  </si>
  <si>
    <t>Term of Payment:</t>
  </si>
  <si>
    <t>By T/T</t>
  </si>
  <si>
    <t>POLYESTER KNITTED RIB</t>
  </si>
  <si>
    <t>CARTON NO</t>
  </si>
  <si>
    <t xml:space="preserve">
PO
</t>
  </si>
  <si>
    <t>DESCRIPTION 
OF GOODS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</si>
  <si>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</si>
  <si>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</si>
  <si>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</si>
  <si>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</si>
  <si>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</si>
  <si>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</si>
  <si>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13-3/4"x3.375”</t>
  </si>
  <si>
    <t>ĐƠN 10</t>
  </si>
  <si>
    <t>14-1/4"x3.625”</t>
  </si>
  <si>
    <t>15"x3.625”</t>
  </si>
  <si>
    <t>16"x3.625”</t>
  </si>
  <si>
    <t>17"x3.625”</t>
  </si>
  <si>
    <t>16-1/2"x3.625”</t>
  </si>
  <si>
    <t>17-1/2"x3.625”</t>
  </si>
  <si>
    <t>14"x3.625”</t>
  </si>
  <si>
    <t>13-1/4"x3.375”</t>
  </si>
  <si>
    <t>ĐƠN 11</t>
  </si>
  <si>
    <t>MADE IN VIETNAM</t>
  </si>
  <si>
    <t>TTL CARTONS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</si>
  <si>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</si>
  <si>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</si>
  <si>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</si>
  <si>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</si>
  <si>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</si>
  <si>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</si>
  <si>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</si>
  <si>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</si>
  <si>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</si>
  <si>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</si>
  <si>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</si>
  <si>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</si>
  <si>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</si>
  <si>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</si>
  <si>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</si>
  <si>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</si>
  <si>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</si>
  <si>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</si>
  <si>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</si>
  <si>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</si>
  <si>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</si>
  <si>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</si>
  <si>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</si>
  <si>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</si>
  <si>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</si>
  <si>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Signature, full name, seal</t>
  </si>
  <si>
    <t>DELIVERY INSTRUCTION</t>
  </si>
  <si>
    <t>No.</t>
  </si>
  <si>
    <t>:</t>
  </si>
  <si>
    <t>Date</t>
  </si>
  <si>
    <t>Pursuant to Contract No.</t>
  </si>
  <si>
    <t>AK/GDI/CT-202512 on Dec. 17,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</si>
  <si>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</si>
  <si>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</si>
  <si>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</si>
  <si>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</si>
  <si>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</si>
  <si>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</si>
  <si>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</si>
  <si>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</si>
  <si>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</si>
  <si>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</si>
  <si>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</si>
  <si>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</si>
  <si>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</si>
  <si>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</si>
  <si>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</si>
  <si>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</si>
  <si>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BLACK JACK 400黑色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</si>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</sst>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0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\ &quot;Cartons&quot;"/>
    <numFmt numFmtId="199" formatCode="#,##0.00\ &quot;MET&quot;"/>
    <numFmt numFmtId="200" formatCode="0_ "/>
    <numFmt numFmtId="201" formatCode="0.000"/>
    <numFmt numFmtId="202" formatCode="#,##0.00000"/>
  </numFmts>
  <fonts count="119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sz val="11"/>
      <color rgb="FF000000"/>
      <name val="Calibri"/>
      <charset val="134"/>
    </font>
    <font>
      <sz val="15"/>
      <color theme="1"/>
      <name val="Arial Narrow"/>
      <charset val="134"/>
    </font>
    <font>
      <b/>
      <sz val="20"/>
      <color theme="1"/>
      <name val="Arial Narrow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color indexed="8"/>
      <name val="Arial Narrow"/>
      <charset val="134"/>
    </font>
    <font>
      <sz val="12"/>
      <name val="Arial Narrow"/>
      <charset val="134"/>
    </font>
    <font>
      <sz val="12"/>
      <color rgb="FF0070C0"/>
      <name val="Arial Narrow"/>
      <charset val="134"/>
    </font>
    <font>
      <b/>
      <u/>
      <sz val="12"/>
      <color indexed="8"/>
      <name val="Arial Narrow"/>
      <charset val="134"/>
    </font>
    <font>
      <b/>
      <sz val="14"/>
      <color theme="1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8"/>
      <color theme="1"/>
      <name val="Arial Narrow"/>
      <charset val="134"/>
    </font>
    <font>
      <sz val="12"/>
      <name val=".VnTime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0" fillId="5" borderId="67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68" applyNumberFormat="0" applyFill="0" applyAlignment="0" applyProtection="0">
      <alignment vertical="center"/>
    </xf>
    <xf numFmtId="0" fontId="92" fillId="0" borderId="68" applyNumberFormat="0" applyFill="0" applyAlignment="0" applyProtection="0">
      <alignment vertical="center"/>
    </xf>
    <xf numFmtId="0" fontId="93" fillId="0" borderId="69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6" borderId="70" applyNumberFormat="0" applyAlignment="0" applyProtection="0">
      <alignment vertical="center"/>
    </xf>
    <xf numFmtId="0" fontId="95" fillId="7" borderId="71" applyNumberFormat="0" applyAlignment="0" applyProtection="0">
      <alignment vertical="center"/>
    </xf>
    <xf numFmtId="0" fontId="96" fillId="7" borderId="70" applyNumberFormat="0" applyAlignment="0" applyProtection="0">
      <alignment vertical="center"/>
    </xf>
    <xf numFmtId="0" fontId="97" fillId="8" borderId="72" applyNumberFormat="0" applyAlignment="0" applyProtection="0">
      <alignment vertical="center"/>
    </xf>
    <xf numFmtId="0" fontId="98" fillId="0" borderId="73" applyNumberFormat="0" applyFill="0" applyAlignment="0" applyProtection="0">
      <alignment vertical="center"/>
    </xf>
    <xf numFmtId="0" fontId="99" fillId="0" borderId="74" applyNumberFormat="0" applyFill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8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3" fillId="35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85" fillId="0" borderId="0" applyFont="0" applyFill="0" applyBorder="0" applyAlignment="0" applyProtection="0"/>
    <xf numFmtId="178" fontId="106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05" fillId="0" borderId="0" applyFont="0" applyFill="0" applyBorder="0" applyAlignment="0" applyProtection="0"/>
    <xf numFmtId="182" fontId="0" fillId="0" borderId="0" applyFont="0" applyFill="0" applyBorder="0" applyProtection="0">
      <alignment horizontal="right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ont="0" applyFill="0" applyBorder="0" applyProtection="0">
      <alignment horizontal="left" indent="1"/>
    </xf>
    <xf numFmtId="0" fontId="109" fillId="0" borderId="0" applyNumberFormat="0" applyFill="0" applyBorder="0" applyProtection="0">
      <alignment horizontal="left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0" fillId="0" borderId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1" fillId="0" borderId="0">
      <alignment vertical="top"/>
    </xf>
    <xf numFmtId="0" fontId="112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5" fillId="0" borderId="0"/>
    <xf numFmtId="0" fontId="85" fillId="0" borderId="0"/>
    <xf numFmtId="0" fontId="0" fillId="0" borderId="0"/>
    <xf numFmtId="0" fontId="85" fillId="0" borderId="0"/>
    <xf numFmtId="0" fontId="85" fillId="0" borderId="0"/>
    <xf numFmtId="0" fontId="85" fillId="0" borderId="0"/>
    <xf numFmtId="0" fontId="105" fillId="0" borderId="0" applyNumberFormat="0" applyFont="0"/>
    <xf numFmtId="0" fontId="64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13" fillId="0" borderId="0"/>
    <xf numFmtId="0" fontId="114" fillId="0" borderId="0"/>
    <xf numFmtId="0" fontId="114" fillId="0" borderId="0"/>
    <xf numFmtId="184" fontId="115" fillId="0" borderId="0"/>
    <xf numFmtId="0" fontId="116" fillId="28" borderId="0" applyNumberFormat="0" applyBorder="0" applyAlignment="0" applyProtection="0"/>
    <xf numFmtId="0" fontId="117" fillId="0" borderId="0">
      <alignment horizontal="center" vertical="center"/>
    </xf>
    <xf numFmtId="0" fontId="108" fillId="2" borderId="0" applyNumberFormat="0" applyFont="0" applyBorder="0" applyAlignment="0" applyProtection="0"/>
    <xf numFmtId="0" fontId="1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8" fillId="0" borderId="0"/>
  </cellStyleXfs>
  <cellXfs count="602">
    <xf numFmtId="0" fontId="0" fillId="0" borderId="0" xfId="0"/>
    <xf numFmtId="0" fontId="1" fillId="0" borderId="0" xfId="114" applyFont="1" applyBorder="1" applyAlignment="1">
      <alignment vertical="center"/>
    </xf>
    <xf numFmtId="0" fontId="2" fillId="0" borderId="0" xfId="114" applyFont="1" applyBorder="1" applyAlignment="1">
      <alignment vertical="center"/>
    </xf>
    <xf numFmtId="0" fontId="3" fillId="0" borderId="0" xfId="114" applyFont="1" applyBorder="1" applyAlignment="1">
      <alignment vertical="center"/>
    </xf>
    <xf numFmtId="0" fontId="0" fillId="0" borderId="0" xfId="114"/>
    <xf numFmtId="0" fontId="4" fillId="0" borderId="0" xfId="114" applyFont="1" applyBorder="1" applyAlignment="1">
      <alignment vertical="center"/>
    </xf>
    <xf numFmtId="0" fontId="5" fillId="0" borderId="0" xfId="114" applyFont="1" applyAlignment="1">
      <alignment vertical="center"/>
    </xf>
    <xf numFmtId="2" fontId="5" fillId="0" borderId="0" xfId="56" applyNumberFormat="1" applyFont="1" applyAlignment="1">
      <alignment vertical="center"/>
    </xf>
    <xf numFmtId="185" fontId="5" fillId="0" borderId="0" xfId="56" applyNumberFormat="1" applyFont="1" applyAlignment="1">
      <alignment vertical="center"/>
    </xf>
    <xf numFmtId="186" fontId="5" fillId="0" borderId="0" xfId="56" applyNumberFormat="1" applyFont="1" applyAlignment="1">
      <alignment vertical="center"/>
    </xf>
    <xf numFmtId="0" fontId="5" fillId="0" borderId="0" xfId="114" applyFont="1" applyBorder="1" applyAlignment="1">
      <alignment vertical="center"/>
    </xf>
    <xf numFmtId="0" fontId="6" fillId="0" borderId="0" xfId="114" applyFont="1" applyBorder="1" applyAlignment="1">
      <alignment vertical="center"/>
    </xf>
    <xf numFmtId="0" fontId="7" fillId="0" borderId="0" xfId="114" applyFont="1" applyBorder="1" applyAlignment="1">
      <alignment vertical="center"/>
    </xf>
    <xf numFmtId="2" fontId="7" fillId="0" borderId="0" xfId="56" applyNumberFormat="1" applyFont="1" applyBorder="1" applyAlignment="1">
      <alignment vertical="center"/>
    </xf>
    <xf numFmtId="185" fontId="7" fillId="0" borderId="0" xfId="56" applyNumberFormat="1" applyFont="1" applyBorder="1" applyAlignment="1">
      <alignment vertical="center"/>
    </xf>
    <xf numFmtId="186" fontId="8" fillId="0" borderId="0" xfId="56" applyNumberFormat="1" applyFont="1" applyBorder="1" applyAlignment="1">
      <alignment horizontal="center" vertical="center"/>
    </xf>
    <xf numFmtId="0" fontId="9" fillId="0" borderId="0" xfId="114" applyFont="1" applyBorder="1" applyAlignment="1">
      <alignment vertical="center" wrapText="1"/>
    </xf>
    <xf numFmtId="0" fontId="9" fillId="0" borderId="0" xfId="114" applyFont="1" applyBorder="1" applyAlignment="1">
      <alignment horizontal="center" vertical="center" wrapText="1"/>
    </xf>
    <xf numFmtId="0" fontId="9" fillId="0" borderId="0" xfId="114" applyFont="1" applyBorder="1" applyAlignment="1">
      <alignment vertical="center"/>
    </xf>
    <xf numFmtId="186" fontId="10" fillId="0" borderId="0" xfId="56" applyNumberFormat="1" applyFont="1" applyBorder="1" applyAlignment="1">
      <alignment vertical="center"/>
    </xf>
    <xf numFmtId="186" fontId="11" fillId="0" borderId="0" xfId="56" applyNumberFormat="1" applyFont="1" applyBorder="1" applyAlignment="1">
      <alignment vertical="center"/>
    </xf>
    <xf numFmtId="0" fontId="12" fillId="0" borderId="0" xfId="114" applyFont="1" applyBorder="1" applyAlignment="1">
      <alignment horizontal="left" vertical="center" wrapText="1"/>
    </xf>
    <xf numFmtId="0" fontId="13" fillId="0" borderId="0" xfId="114" applyFont="1" applyBorder="1" applyAlignment="1">
      <alignment wrapText="1"/>
    </xf>
    <xf numFmtId="187" fontId="1" fillId="0" borderId="0" xfId="114" applyNumberFormat="1" applyFont="1" applyBorder="1" applyAlignment="1">
      <alignment horizontal="center" vertical="center"/>
    </xf>
    <xf numFmtId="186" fontId="14" fillId="0" borderId="0" xfId="56" applyNumberFormat="1" applyFont="1" applyBorder="1" applyAlignment="1">
      <alignment vertical="center"/>
    </xf>
    <xf numFmtId="186" fontId="5" fillId="0" borderId="0" xfId="56" applyNumberFormat="1" applyFont="1" applyAlignment="1">
      <alignment horizontal="right" vertical="center"/>
    </xf>
    <xf numFmtId="2" fontId="5" fillId="0" borderId="0" xfId="56" applyNumberFormat="1" applyFont="1" applyAlignment="1">
      <alignment horizontal="right" vertical="center"/>
    </xf>
    <xf numFmtId="186" fontId="5" fillId="0" borderId="0" xfId="56" applyNumberFormat="1" applyFont="1" applyAlignment="1">
      <alignment horizontal="left" vertical="center"/>
    </xf>
    <xf numFmtId="0" fontId="1" fillId="2" borderId="0" xfId="56" applyNumberFormat="1" applyFont="1" applyFill="1" applyBorder="1" applyAlignment="1">
      <alignment horizontal="right" vertical="center"/>
    </xf>
    <xf numFmtId="0" fontId="5" fillId="0" borderId="0" xfId="114" applyFont="1" applyAlignment="1">
      <alignment horizontal="right" vertical="center" wrapText="1"/>
    </xf>
    <xf numFmtId="0" fontId="1" fillId="0" borderId="0" xfId="56" applyNumberFormat="1" applyFont="1" applyFill="1" applyBorder="1" applyAlignment="1">
      <alignment horizontal="right" vertical="center"/>
    </xf>
    <xf numFmtId="185" fontId="5" fillId="0" borderId="0" xfId="56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86" fontId="1" fillId="0" borderId="0" xfId="56" applyNumberFormat="1" applyFont="1" applyBorder="1" applyAlignment="1">
      <alignment vertical="center" wrapText="1"/>
    </xf>
    <xf numFmtId="0" fontId="2" fillId="0" borderId="1" xfId="114" applyFont="1" applyBorder="1" applyAlignment="1">
      <alignment horizontal="center" vertical="center"/>
    </xf>
    <xf numFmtId="0" fontId="2" fillId="0" borderId="2" xfId="114" applyFont="1" applyBorder="1" applyAlignment="1">
      <alignment horizontal="center" vertical="center" wrapText="1"/>
    </xf>
    <xf numFmtId="0" fontId="15" fillId="3" borderId="2" xfId="118" applyNumberFormat="1" applyFont="1" applyFill="1" applyBorder="1" applyAlignment="1">
      <alignment horizontal="center" vertical="center" wrapText="1" shrinkToFit="1"/>
    </xf>
    <xf numFmtId="186" fontId="16" fillId="0" borderId="2" xfId="56" applyNumberFormat="1" applyFont="1" applyBorder="1" applyAlignment="1">
      <alignment horizontal="center" vertical="center" wrapText="1"/>
    </xf>
    <xf numFmtId="186" fontId="2" fillId="0" borderId="2" xfId="56" applyNumberFormat="1" applyFont="1" applyBorder="1" applyAlignment="1">
      <alignment horizontal="center" vertical="center" wrapText="1"/>
    </xf>
    <xf numFmtId="186" fontId="2" fillId="0" borderId="3" xfId="56" applyNumberFormat="1" applyFont="1" applyBorder="1" applyAlignment="1">
      <alignment horizontal="center" vertical="center" wrapText="1"/>
    </xf>
    <xf numFmtId="0" fontId="2" fillId="0" borderId="4" xfId="114" applyFont="1" applyBorder="1" applyAlignment="1">
      <alignment horizontal="center" vertical="center"/>
    </xf>
    <xf numFmtId="0" fontId="2" fillId="0" borderId="5" xfId="114" applyFont="1" applyBorder="1" applyAlignment="1">
      <alignment horizontal="center" vertical="center" wrapText="1"/>
    </xf>
    <xf numFmtId="0" fontId="15" fillId="3" borderId="5" xfId="118" applyNumberFormat="1" applyFont="1" applyFill="1" applyBorder="1" applyAlignment="1">
      <alignment horizontal="center" vertical="center" wrapText="1" shrinkToFit="1"/>
    </xf>
    <xf numFmtId="0" fontId="2" fillId="0" borderId="5" xfId="114" applyFont="1" applyBorder="1" applyAlignment="1">
      <alignment horizontal="center" vertical="center"/>
    </xf>
    <xf numFmtId="185" fontId="17" fillId="0" borderId="5" xfId="56" applyNumberFormat="1" applyFont="1" applyBorder="1" applyAlignment="1">
      <alignment horizontal="center" vertical="center" wrapText="1"/>
    </xf>
    <xf numFmtId="186" fontId="2" fillId="0" borderId="5" xfId="56" applyNumberFormat="1" applyFont="1" applyBorder="1" applyAlignment="1">
      <alignment horizontal="center" vertical="center" wrapText="1"/>
    </xf>
    <xf numFmtId="186" fontId="2" fillId="0" borderId="6" xfId="56" applyNumberFormat="1" applyFont="1" applyBorder="1" applyAlignment="1">
      <alignment horizontal="center" vertical="center" wrapText="1"/>
    </xf>
    <xf numFmtId="0" fontId="1" fillId="0" borderId="4" xfId="8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9" fillId="4" borderId="5" xfId="114" applyNumberFormat="1" applyFont="1" applyFill="1" applyBorder="1" applyAlignment="1">
      <alignment horizontal="center" vertical="center"/>
    </xf>
    <xf numFmtId="0" fontId="6" fillId="2" borderId="5" xfId="114" applyFont="1" applyFill="1" applyBorder="1" applyAlignment="1">
      <alignment horizontal="center" vertical="center" wrapText="1"/>
    </xf>
    <xf numFmtId="0" fontId="5" fillId="2" borderId="7" xfId="114" applyFont="1" applyFill="1" applyBorder="1" applyAlignment="1">
      <alignment horizontal="center" vertical="center" wrapText="1"/>
    </xf>
    <xf numFmtId="0" fontId="5" fillId="2" borderId="8" xfId="114" applyFont="1" applyFill="1" applyBorder="1" applyAlignment="1">
      <alignment horizontal="center" vertical="center" wrapText="1"/>
    </xf>
    <xf numFmtId="0" fontId="20" fillId="2" borderId="5" xfId="98" applyFont="1" applyFill="1" applyBorder="1" applyAlignment="1">
      <alignment horizontal="center" vertical="center" wrapText="1"/>
    </xf>
    <xf numFmtId="186" fontId="5" fillId="0" borderId="5" xfId="1" applyNumberFormat="1" applyFont="1" applyBorder="1" applyAlignment="1">
      <alignment horizontal="center" vertical="center" wrapText="1"/>
    </xf>
    <xf numFmtId="186" fontId="21" fillId="0" borderId="5" xfId="56" applyNumberFormat="1" applyFont="1" applyBorder="1" applyAlignment="1">
      <alignment horizontal="center" vertical="center"/>
    </xf>
    <xf numFmtId="186" fontId="21" fillId="0" borderId="6" xfId="56" applyNumberFormat="1" applyFont="1" applyBorder="1" applyAlignment="1">
      <alignment horizontal="center" vertical="center"/>
    </xf>
    <xf numFmtId="186" fontId="21" fillId="0" borderId="7" xfId="56" applyNumberFormat="1" applyFont="1" applyBorder="1" applyAlignment="1">
      <alignment horizontal="center" vertical="center"/>
    </xf>
    <xf numFmtId="186" fontId="21" fillId="0" borderId="9" xfId="56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" fillId="2" borderId="5" xfId="114" applyFont="1" applyFill="1" applyBorder="1" applyAlignment="1">
      <alignment horizontal="center" vertical="center" wrapText="1"/>
    </xf>
    <xf numFmtId="49" fontId="23" fillId="4" borderId="5" xfId="114" applyNumberFormat="1" applyFont="1" applyFill="1" applyBorder="1" applyAlignment="1">
      <alignment horizontal="center" vertical="center"/>
    </xf>
    <xf numFmtId="0" fontId="22" fillId="2" borderId="5" xfId="99" applyFont="1" applyFill="1" applyBorder="1" applyAlignment="1">
      <alignment horizontal="center" vertical="center" wrapText="1"/>
    </xf>
    <xf numFmtId="0" fontId="22" fillId="0" borderId="7" xfId="99" applyFont="1" applyFill="1" applyBorder="1" applyAlignment="1">
      <alignment horizontal="center" vertical="center" wrapText="1"/>
    </xf>
    <xf numFmtId="0" fontId="22" fillId="0" borderId="8" xfId="99" applyFont="1" applyFill="1" applyBorder="1" applyAlignment="1">
      <alignment horizontal="center" vertical="center" wrapText="1"/>
    </xf>
    <xf numFmtId="0" fontId="24" fillId="0" borderId="10" xfId="114" applyFont="1" applyBorder="1" applyAlignment="1">
      <alignment horizontal="center" vertical="center"/>
    </xf>
    <xf numFmtId="0" fontId="24" fillId="0" borderId="11" xfId="114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4" fillId="0" borderId="11" xfId="56" applyNumberFormat="1" applyFont="1" applyBorder="1" applyAlignment="1">
      <alignment horizontal="center" vertical="center"/>
    </xf>
    <xf numFmtId="186" fontId="24" fillId="0" borderId="12" xfId="56" applyNumberFormat="1" applyFont="1" applyBorder="1" applyAlignment="1">
      <alignment horizontal="center" vertical="center"/>
    </xf>
    <xf numFmtId="0" fontId="3" fillId="0" borderId="0" xfId="114" applyFont="1" applyBorder="1" applyAlignment="1">
      <alignment vertical="center" wrapText="1"/>
    </xf>
    <xf numFmtId="0" fontId="3" fillId="0" borderId="0" xfId="114" applyFont="1" applyBorder="1" applyAlignment="1">
      <alignment horizontal="left" vertical="center" wrapText="1"/>
    </xf>
    <xf numFmtId="186" fontId="25" fillId="0" borderId="0" xfId="114" applyNumberFormat="1" applyFont="1" applyAlignment="1">
      <alignment horizontal="center"/>
    </xf>
    <xf numFmtId="0" fontId="25" fillId="0" borderId="0" xfId="114" applyFont="1" applyAlignment="1">
      <alignment horizontal="center"/>
    </xf>
    <xf numFmtId="0" fontId="25" fillId="0" borderId="0" xfId="114" applyFont="1"/>
    <xf numFmtId="2" fontId="25" fillId="0" borderId="0" xfId="114" applyNumberFormat="1" applyFont="1"/>
    <xf numFmtId="185" fontId="25" fillId="0" borderId="0" xfId="56" applyNumberFormat="1" applyFont="1"/>
    <xf numFmtId="0" fontId="26" fillId="0" borderId="0" xfId="114" applyFont="1" applyBorder="1" applyAlignment="1">
      <alignment horizontal="center" vertical="center" wrapText="1"/>
    </xf>
    <xf numFmtId="0" fontId="26" fillId="0" borderId="0" xfId="114" applyFont="1" applyAlignment="1">
      <alignment horizontal="center" vertical="center" wrapText="1"/>
    </xf>
    <xf numFmtId="0" fontId="26" fillId="0" borderId="0" xfId="114" applyFont="1" applyBorder="1" applyAlignment="1"/>
    <xf numFmtId="0" fontId="26" fillId="0" borderId="0" xfId="114" applyFont="1" applyAlignment="1">
      <alignment vertical="center" wrapText="1"/>
    </xf>
    <xf numFmtId="0" fontId="2" fillId="0" borderId="0" xfId="114" applyFont="1" applyBorder="1" applyAlignment="1"/>
    <xf numFmtId="185" fontId="26" fillId="0" borderId="0" xfId="56" applyNumberFormat="1" applyFont="1" applyBorder="1" applyAlignment="1"/>
    <xf numFmtId="0" fontId="21" fillId="0" borderId="0" xfId="114" applyFont="1" applyBorder="1" applyAlignment="1">
      <alignment vertical="center"/>
    </xf>
    <xf numFmtId="0" fontId="2" fillId="0" borderId="0" xfId="114" applyFont="1" applyAlignment="1">
      <alignment horizontal="center" vertical="center"/>
    </xf>
    <xf numFmtId="0" fontId="2" fillId="0" borderId="0" xfId="114" applyFont="1" applyAlignment="1">
      <alignment vertical="center"/>
    </xf>
    <xf numFmtId="0" fontId="26" fillId="0" borderId="0" xfId="114" applyFont="1" applyAlignment="1">
      <alignment horizontal="center" vertical="center"/>
    </xf>
    <xf numFmtId="22" fontId="21" fillId="0" borderId="0" xfId="114" applyNumberFormat="1" applyFont="1" applyAlignment="1">
      <alignment horizontal="center" vertical="center"/>
    </xf>
    <xf numFmtId="0" fontId="5" fillId="0" borderId="0" xfId="114" applyFont="1" applyAlignment="1">
      <alignment horizontal="left" vertical="center"/>
    </xf>
    <xf numFmtId="0" fontId="1" fillId="0" borderId="0" xfId="114" applyFont="1"/>
    <xf numFmtId="0" fontId="5" fillId="2" borderId="0" xfId="114" applyFont="1" applyFill="1" applyBorder="1" applyAlignment="1">
      <alignment horizontal="left"/>
    </xf>
    <xf numFmtId="0" fontId="2" fillId="0" borderId="0" xfId="114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" fillId="0" borderId="0" xfId="104" applyFont="1"/>
    <xf numFmtId="0" fontId="28" fillId="0" borderId="0" xfId="104" applyFont="1"/>
    <xf numFmtId="0" fontId="29" fillId="0" borderId="13" xfId="99" applyFont="1" applyBorder="1" applyAlignment="1">
      <alignment horizontal="center" vertical="center"/>
    </xf>
    <xf numFmtId="0" fontId="29" fillId="0" borderId="14" xfId="99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15" xfId="99" applyFont="1" applyBorder="1" applyAlignment="1">
      <alignment horizontal="center" vertical="center"/>
    </xf>
    <xf numFmtId="0" fontId="29" fillId="0" borderId="16" xfId="99" applyFont="1" applyBorder="1" applyAlignment="1">
      <alignment horizontal="center" vertical="center"/>
    </xf>
    <xf numFmtId="0" fontId="29" fillId="0" borderId="16" xfId="99" applyFont="1" applyBorder="1" applyAlignment="1">
      <alignment vertical="center"/>
    </xf>
    <xf numFmtId="0" fontId="29" fillId="0" borderId="17" xfId="99" applyFont="1" applyBorder="1" applyAlignment="1">
      <alignment horizontal="center" vertical="center"/>
    </xf>
    <xf numFmtId="0" fontId="29" fillId="0" borderId="18" xfId="99" applyFont="1" applyBorder="1" applyAlignment="1">
      <alignment horizontal="center" vertical="center"/>
    </xf>
    <xf numFmtId="0" fontId="29" fillId="0" borderId="18" xfId="99" applyFont="1" applyBorder="1" applyAlignment="1">
      <alignment vertical="center"/>
    </xf>
    <xf numFmtId="0" fontId="30" fillId="0" borderId="16" xfId="104" applyNumberFormat="1" applyFont="1" applyFill="1" applyBorder="1" applyAlignment="1" applyProtection="1">
      <alignment horizontal="center"/>
    </xf>
    <xf numFmtId="0" fontId="30" fillId="0" borderId="0" xfId="104" applyNumberFormat="1" applyFont="1" applyFill="1" applyBorder="1" applyAlignment="1" applyProtection="1">
      <alignment horizontal="center"/>
    </xf>
    <xf numFmtId="0" fontId="31" fillId="0" borderId="19" xfId="99" applyFont="1" applyBorder="1" applyAlignment="1">
      <alignment vertical="center"/>
    </xf>
    <xf numFmtId="0" fontId="31" fillId="0" borderId="0" xfId="99" applyFont="1" applyBorder="1" applyAlignment="1">
      <alignment vertical="center"/>
    </xf>
    <xf numFmtId="0" fontId="32" fillId="0" borderId="0" xfId="99" applyFont="1" applyBorder="1" applyAlignment="1">
      <alignment vertical="center"/>
    </xf>
    <xf numFmtId="0" fontId="1" fillId="0" borderId="0" xfId="104" applyFont="1" applyAlignment="1">
      <alignment horizontal="right" vertical="center"/>
    </xf>
    <xf numFmtId="0" fontId="1" fillId="0" borderId="0" xfId="104" applyFont="1" applyFill="1" applyBorder="1" applyAlignment="1">
      <alignment vertical="center"/>
    </xf>
    <xf numFmtId="0" fontId="33" fillId="0" borderId="19" xfId="99" applyFont="1" applyBorder="1" applyAlignment="1">
      <alignment horizontal="left" vertical="justify" wrapText="1"/>
    </xf>
    <xf numFmtId="0" fontId="33" fillId="0" borderId="0" xfId="99" applyFont="1" applyBorder="1" applyAlignment="1">
      <alignment horizontal="left" vertical="justify" wrapText="1"/>
    </xf>
    <xf numFmtId="0" fontId="1" fillId="0" borderId="0" xfId="104" applyFont="1" applyBorder="1" applyAlignment="1">
      <alignment horizontal="right" vertical="center"/>
    </xf>
    <xf numFmtId="188" fontId="1" fillId="0" borderId="0" xfId="104" applyNumberFormat="1" applyFont="1" applyBorder="1" applyAlignment="1">
      <alignment horizontal="left" vertical="center"/>
    </xf>
    <xf numFmtId="0" fontId="34" fillId="0" borderId="19" xfId="69" applyFont="1" applyBorder="1" applyAlignment="1" applyProtection="1">
      <alignment vertical="center"/>
    </xf>
    <xf numFmtId="0" fontId="34" fillId="0" borderId="0" xfId="69" applyFont="1" applyBorder="1" applyAlignment="1" applyProtection="1">
      <alignment vertical="center"/>
    </xf>
    <xf numFmtId="0" fontId="33" fillId="0" borderId="0" xfId="99" applyFont="1" applyAlignment="1">
      <alignment vertical="center"/>
    </xf>
    <xf numFmtId="0" fontId="32" fillId="0" borderId="0" xfId="99" applyFont="1" applyAlignment="1">
      <alignment vertical="center"/>
    </xf>
    <xf numFmtId="0" fontId="33" fillId="0" borderId="19" xfId="99" applyFont="1" applyBorder="1" applyAlignment="1">
      <alignment horizontal="left" vertical="center" wrapText="1"/>
    </xf>
    <xf numFmtId="0" fontId="33" fillId="0" borderId="0" xfId="99" applyFont="1" applyBorder="1" applyAlignment="1">
      <alignment horizontal="left" vertical="center" wrapText="1"/>
    </xf>
    <xf numFmtId="0" fontId="35" fillId="0" borderId="0" xfId="104" applyNumberFormat="1" applyFont="1" applyFill="1" applyBorder="1" applyAlignment="1" applyProtection="1">
      <alignment horizontal="left" vertical="top"/>
    </xf>
    <xf numFmtId="0" fontId="28" fillId="0" borderId="0" xfId="104" applyFont="1" applyAlignment="1">
      <alignment horizontal="left"/>
    </xf>
    <xf numFmtId="0" fontId="33" fillId="0" borderId="19" xfId="99" applyFont="1" applyBorder="1" applyAlignment="1">
      <alignment vertical="center"/>
    </xf>
    <xf numFmtId="0" fontId="33" fillId="0" borderId="0" xfId="99" applyFont="1" applyBorder="1" applyAlignment="1">
      <alignment vertical="center"/>
    </xf>
    <xf numFmtId="0" fontId="36" fillId="0" borderId="0" xfId="99" applyFont="1" applyAlignment="1">
      <alignment vertical="center"/>
    </xf>
    <xf numFmtId="0" fontId="33" fillId="0" borderId="0" xfId="99" applyFont="1" applyAlignment="1">
      <alignment horizontal="right" vertical="center"/>
    </xf>
    <xf numFmtId="0" fontId="37" fillId="0" borderId="1" xfId="99" applyFont="1" applyBorder="1" applyAlignment="1">
      <alignment horizontal="center" vertical="center" wrapText="1"/>
    </xf>
    <xf numFmtId="0" fontId="37" fillId="0" borderId="20" xfId="99" applyFont="1" applyBorder="1" applyAlignment="1">
      <alignment horizontal="center" vertical="center" wrapText="1"/>
    </xf>
    <xf numFmtId="0" fontId="37" fillId="0" borderId="2" xfId="99" applyFont="1" applyBorder="1" applyAlignment="1">
      <alignment horizontal="center" vertical="center" wrapText="1"/>
    </xf>
    <xf numFmtId="186" fontId="37" fillId="0" borderId="2" xfId="62" applyNumberFormat="1" applyFont="1" applyBorder="1" applyAlignment="1">
      <alignment horizontal="center" vertical="center" wrapText="1"/>
    </xf>
    <xf numFmtId="0" fontId="37" fillId="0" borderId="3" xfId="99" applyFont="1" applyBorder="1" applyAlignment="1">
      <alignment horizontal="center" vertical="center" wrapText="1"/>
    </xf>
    <xf numFmtId="0" fontId="18" fillId="2" borderId="5" xfId="90" applyNumberFormat="1" applyFont="1" applyFill="1" applyBorder="1" applyAlignment="1">
      <alignment horizontal="center" vertical="center" wrapText="1"/>
    </xf>
    <xf numFmtId="0" fontId="18" fillId="2" borderId="5" xfId="90" applyNumberFormat="1" applyFont="1" applyFill="1" applyBorder="1" applyAlignment="1">
      <alignment horizontal="center" vertical="center"/>
    </xf>
    <xf numFmtId="0" fontId="18" fillId="0" borderId="21" xfId="99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2" fontId="18" fillId="0" borderId="22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189" fontId="38" fillId="2" borderId="24" xfId="99" applyNumberFormat="1" applyFont="1" applyFill="1" applyBorder="1" applyAlignment="1">
      <alignment vertical="center"/>
    </xf>
    <xf numFmtId="189" fontId="38" fillId="2" borderId="25" xfId="99" applyNumberFormat="1" applyFont="1" applyFill="1" applyBorder="1" applyAlignment="1">
      <alignment vertical="center"/>
    </xf>
    <xf numFmtId="189" fontId="38" fillId="2" borderId="11" xfId="99" applyNumberFormat="1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 wrapText="1"/>
    </xf>
    <xf numFmtId="186" fontId="40" fillId="2" borderId="11" xfId="99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24" fillId="0" borderId="0" xfId="104" applyFont="1" applyAlignment="1">
      <alignment horizontal="left"/>
    </xf>
    <xf numFmtId="0" fontId="24" fillId="0" borderId="0" xfId="104" applyFont="1" applyBorder="1" applyAlignment="1">
      <alignment horizontal="left"/>
    </xf>
    <xf numFmtId="0" fontId="24" fillId="0" borderId="0" xfId="104" applyFont="1" applyBorder="1" applyAlignment="1">
      <alignment horizontal="center"/>
    </xf>
    <xf numFmtId="3" fontId="15" fillId="0" borderId="0" xfId="104" applyNumberFormat="1" applyFont="1" applyBorder="1" applyAlignment="1">
      <alignment horizontal="right"/>
    </xf>
    <xf numFmtId="4" fontId="24" fillId="0" borderId="0" xfId="104" applyNumberFormat="1" applyFont="1" applyBorder="1" applyAlignment="1">
      <alignment horizontal="right"/>
    </xf>
    <xf numFmtId="0" fontId="15" fillId="0" borderId="0" xfId="104" applyNumberFormat="1" applyFont="1" applyFill="1" applyBorder="1" applyAlignment="1" applyProtection="1">
      <alignment horizontal="center"/>
    </xf>
    <xf numFmtId="186" fontId="32" fillId="0" borderId="0" xfId="51" applyNumberFormat="1" applyFont="1" applyBorder="1" applyAlignment="1">
      <alignment vertical="center" wrapText="1"/>
    </xf>
    <xf numFmtId="190" fontId="41" fillId="0" borderId="0" xfId="51" applyNumberFormat="1" applyFont="1" applyBorder="1" applyAlignment="1">
      <alignment horizontal="center" vertical="center" wrapText="1"/>
    </xf>
    <xf numFmtId="0" fontId="33" fillId="0" borderId="0" xfId="99" applyFont="1" applyAlignment="1">
      <alignment vertical="center" wrapText="1"/>
    </xf>
    <xf numFmtId="191" fontId="32" fillId="0" borderId="0" xfId="99" applyNumberFormat="1" applyFont="1" applyAlignment="1">
      <alignment horizontal="left" vertical="center"/>
    </xf>
    <xf numFmtId="4" fontId="33" fillId="0" borderId="0" xfId="99" applyNumberFormat="1" applyFont="1" applyAlignment="1">
      <alignment vertical="center"/>
    </xf>
    <xf numFmtId="0" fontId="33" fillId="0" borderId="19" xfId="99" applyFont="1" applyBorder="1" applyAlignment="1">
      <alignment vertical="center" wrapText="1"/>
    </xf>
    <xf numFmtId="0" fontId="33" fillId="0" borderId="0" xfId="99" applyFont="1" applyBorder="1" applyAlignment="1">
      <alignment vertical="center" wrapText="1"/>
    </xf>
    <xf numFmtId="0" fontId="33" fillId="0" borderId="0" xfId="99" applyFont="1" applyAlignment="1">
      <alignment horizontal="right" vertical="center" wrapText="1"/>
    </xf>
    <xf numFmtId="0" fontId="33" fillId="0" borderId="0" xfId="99" applyFont="1" applyAlignment="1">
      <alignment horizontal="left" vertical="center"/>
    </xf>
    <xf numFmtId="4" fontId="33" fillId="0" borderId="0" xfId="99" applyNumberFormat="1" applyFont="1" applyAlignment="1">
      <alignment horizontal="right" vertical="center"/>
    </xf>
    <xf numFmtId="4" fontId="33" fillId="0" borderId="0" xfId="99" applyNumberFormat="1" applyFont="1" applyBorder="1" applyAlignment="1">
      <alignment horizontal="right" vertical="center"/>
    </xf>
    <xf numFmtId="4" fontId="33" fillId="0" borderId="0" xfId="99" applyNumberFormat="1" applyFont="1" applyAlignment="1">
      <alignment horizontal="center" vertical="center"/>
    </xf>
    <xf numFmtId="4" fontId="33" fillId="0" borderId="0" xfId="99" applyNumberFormat="1" applyFont="1" applyBorder="1" applyAlignment="1">
      <alignment horizontal="center" vertical="center"/>
    </xf>
    <xf numFmtId="1" fontId="33" fillId="0" borderId="0" xfId="99" applyNumberFormat="1" applyFont="1" applyAlignment="1">
      <alignment horizontal="left" vertical="center"/>
    </xf>
    <xf numFmtId="0" fontId="33" fillId="0" borderId="19" xfId="99" applyFont="1" applyBorder="1" applyAlignment="1">
      <alignment horizontal="left" vertical="center"/>
    </xf>
    <xf numFmtId="0" fontId="33" fillId="0" borderId="0" xfId="99" applyFont="1" applyBorder="1" applyAlignment="1">
      <alignment horizontal="left" vertical="center"/>
    </xf>
    <xf numFmtId="188" fontId="33" fillId="0" borderId="0" xfId="99" applyNumberFormat="1" applyFont="1" applyAlignment="1">
      <alignment horizontal="left" vertical="center"/>
    </xf>
    <xf numFmtId="15" fontId="33" fillId="0" borderId="0" xfId="99" applyNumberFormat="1" applyFont="1" applyAlignment="1">
      <alignment vertical="center"/>
    </xf>
    <xf numFmtId="0" fontId="33" fillId="0" borderId="0" xfId="99" applyFont="1" applyAlignment="1">
      <alignment horizontal="left" vertical="center" wrapText="1"/>
    </xf>
    <xf numFmtId="0" fontId="32" fillId="0" borderId="0" xfId="99" applyFont="1" applyAlignment="1">
      <alignment vertical="center" wrapText="1"/>
    </xf>
    <xf numFmtId="0" fontId="32" fillId="0" borderId="0" xfId="99" applyFont="1" applyAlignment="1">
      <alignment horizontal="center" vertical="center" wrapText="1"/>
    </xf>
    <xf numFmtId="0" fontId="32" fillId="0" borderId="0" xfId="99" applyFont="1" applyBorder="1" applyAlignment="1">
      <alignment horizontal="center" vertical="center" wrapText="1"/>
    </xf>
    <xf numFmtId="0" fontId="36" fillId="0" borderId="0" xfId="99" applyFont="1" applyAlignment="1">
      <alignment horizontal="left" vertical="center"/>
    </xf>
    <xf numFmtId="0" fontId="32" fillId="0" borderId="19" xfId="99" applyFont="1" applyBorder="1" applyAlignment="1">
      <alignment horizontal="center" vertical="center"/>
    </xf>
    <xf numFmtId="0" fontId="32" fillId="0" borderId="0" xfId="99" applyFont="1" applyBorder="1" applyAlignment="1">
      <alignment horizontal="center" vertical="center"/>
    </xf>
    <xf numFmtId="0" fontId="33" fillId="0" borderId="19" xfId="99" applyFont="1" applyBorder="1" applyAlignment="1">
      <alignment horizontal="center" vertical="center"/>
    </xf>
    <xf numFmtId="0" fontId="33" fillId="0" borderId="0" xfId="99" applyFont="1" applyBorder="1" applyAlignment="1">
      <alignment horizontal="center" vertical="center"/>
    </xf>
    <xf numFmtId="0" fontId="33" fillId="0" borderId="0" xfId="99" applyFont="1" applyAlignment="1">
      <alignment horizontal="center" vertical="center"/>
    </xf>
    <xf numFmtId="4" fontId="33" fillId="0" borderId="19" xfId="99" applyNumberFormat="1" applyFont="1" applyBorder="1" applyAlignment="1">
      <alignment horizontal="center" vertical="center"/>
    </xf>
    <xf numFmtId="192" fontId="33" fillId="0" borderId="0" xfId="99" applyNumberFormat="1" applyFont="1" applyAlignment="1">
      <alignment horizontal="left" vertical="center"/>
    </xf>
    <xf numFmtId="0" fontId="42" fillId="0" borderId="0" xfId="104" applyNumberFormat="1" applyFont="1" applyFill="1" applyBorder="1" applyAlignment="1" applyProtection="1"/>
    <xf numFmtId="0" fontId="28" fillId="0" borderId="0" xfId="104" applyFont="1" applyAlignment="1">
      <alignment vertical="center"/>
    </xf>
    <xf numFmtId="0" fontId="43" fillId="0" borderId="0" xfId="85" applyFont="1"/>
    <xf numFmtId="0" fontId="43" fillId="0" borderId="0" xfId="104" applyFont="1"/>
    <xf numFmtId="0" fontId="43" fillId="0" borderId="0" xfId="104" applyFont="1" applyBorder="1"/>
    <xf numFmtId="0" fontId="44" fillId="0" borderId="0" xfId="85" applyFont="1" applyBorder="1"/>
    <xf numFmtId="0" fontId="45" fillId="0" borderId="0" xfId="85" applyFont="1" applyBorder="1" applyAlignment="1"/>
    <xf numFmtId="0" fontId="46" fillId="0" borderId="0" xfId="85" applyFont="1" applyBorder="1"/>
    <xf numFmtId="0" fontId="47" fillId="0" borderId="0" xfId="85" applyFont="1" applyBorder="1" applyAlignment="1">
      <alignment horizontal="center"/>
    </xf>
    <xf numFmtId="0" fontId="48" fillId="0" borderId="0" xfId="85" applyFont="1" applyAlignment="1">
      <alignment horizontal="left"/>
    </xf>
    <xf numFmtId="0" fontId="49" fillId="0" borderId="0" xfId="85" applyFont="1" applyAlignment="1">
      <alignment horizontal="left"/>
    </xf>
    <xf numFmtId="0" fontId="50" fillId="0" borderId="0" xfId="104" applyNumberFormat="1" applyFont="1" applyFill="1" applyBorder="1" applyAlignment="1" applyProtection="1"/>
    <xf numFmtId="0" fontId="0" fillId="0" borderId="0" xfId="81"/>
    <xf numFmtId="0" fontId="51" fillId="0" borderId="0" xfId="81" applyFont="1" applyAlignment="1">
      <alignment horizontal="center" vertical="center"/>
    </xf>
    <xf numFmtId="0" fontId="51" fillId="0" borderId="0" xfId="81" applyFont="1" applyAlignment="1">
      <alignment vertical="center"/>
    </xf>
    <xf numFmtId="0" fontId="52" fillId="0" borderId="0" xfId="81" applyFont="1" applyAlignment="1">
      <alignment horizontal="left"/>
    </xf>
    <xf numFmtId="0" fontId="53" fillId="0" borderId="0" xfId="81" applyFont="1"/>
    <xf numFmtId="188" fontId="52" fillId="0" borderId="0" xfId="81" applyNumberFormat="1" applyFont="1" applyAlignment="1">
      <alignment horizontal="left"/>
    </xf>
    <xf numFmtId="0" fontId="53" fillId="0" borderId="0" xfId="81" applyFont="1" applyAlignment="1"/>
    <xf numFmtId="0" fontId="52" fillId="0" borderId="0" xfId="81" applyFont="1"/>
    <xf numFmtId="0" fontId="53" fillId="0" borderId="0" xfId="81" applyFont="1" applyAlignment="1">
      <alignment vertical="justify" wrapText="1"/>
    </xf>
    <xf numFmtId="0" fontId="53" fillId="0" borderId="0" xfId="81" applyFont="1" applyAlignment="1">
      <alignment horizontal="left" vertical="top" wrapText="1"/>
    </xf>
    <xf numFmtId="0" fontId="53" fillId="0" borderId="0" xfId="81" applyFont="1" applyAlignment="1">
      <alignment vertical="top" wrapText="1"/>
    </xf>
    <xf numFmtId="0" fontId="53" fillId="0" borderId="0" xfId="81" applyFont="1" applyAlignment="1">
      <alignment horizontal="left" vertical="justify" wrapText="1"/>
    </xf>
    <xf numFmtId="0" fontId="0" fillId="0" borderId="0" xfId="81" applyFont="1"/>
    <xf numFmtId="0" fontId="52" fillId="0" borderId="0" xfId="81" applyFont="1" applyAlignment="1">
      <alignment horizontal="left" vertical="center" wrapText="1"/>
    </xf>
    <xf numFmtId="0" fontId="53" fillId="0" borderId="0" xfId="81" applyFont="1" applyAlignment="1">
      <alignment horizontal="left" vertical="center" wrapText="1"/>
    </xf>
    <xf numFmtId="0" fontId="0" fillId="0" borderId="0" xfId="81" applyBorder="1"/>
    <xf numFmtId="0" fontId="0" fillId="0" borderId="26" xfId="81" applyBorder="1"/>
    <xf numFmtId="0" fontId="37" fillId="0" borderId="27" xfId="99" applyFont="1" applyBorder="1" applyAlignment="1">
      <alignment horizontal="center" vertical="center" wrapText="1"/>
    </xf>
    <xf numFmtId="0" fontId="37" fillId="0" borderId="28" xfId="99" applyFont="1" applyBorder="1" applyAlignment="1">
      <alignment horizontal="center" vertical="center" wrapText="1"/>
    </xf>
    <xf numFmtId="186" fontId="37" fillId="0" borderId="29" xfId="62" applyNumberFormat="1" applyFont="1" applyBorder="1" applyAlignment="1">
      <alignment horizontal="center" vertical="center" wrapText="1"/>
    </xf>
    <xf numFmtId="0" fontId="37" fillId="0" borderId="29" xfId="99" applyFont="1" applyBorder="1" applyAlignment="1">
      <alignment horizontal="center" vertical="center" wrapText="1"/>
    </xf>
    <xf numFmtId="0" fontId="18" fillId="2" borderId="7" xfId="90" applyNumberFormat="1" applyFont="1" applyFill="1" applyBorder="1" applyAlignment="1">
      <alignment horizontal="center" vertical="center" wrapText="1"/>
    </xf>
    <xf numFmtId="0" fontId="18" fillId="2" borderId="8" xfId="90" applyNumberFormat="1" applyFont="1" applyFill="1" applyBorder="1" applyAlignment="1">
      <alignment horizontal="center" vertical="center" wrapText="1"/>
    </xf>
    <xf numFmtId="0" fontId="18" fillId="0" borderId="21" xfId="101" applyFont="1" applyFill="1" applyBorder="1" applyAlignment="1">
      <alignment horizontal="center" vertical="center" wrapText="1"/>
    </xf>
    <xf numFmtId="0" fontId="34" fillId="0" borderId="21" xfId="101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/>
    </xf>
    <xf numFmtId="189" fontId="38" fillId="2" borderId="24" xfId="101" applyNumberFormat="1" applyFont="1" applyFill="1" applyBorder="1" applyAlignment="1">
      <alignment horizontal="center" vertical="center"/>
    </xf>
    <xf numFmtId="189" fontId="38" fillId="2" borderId="25" xfId="101" applyNumberFormat="1" applyFont="1" applyFill="1" applyBorder="1" applyAlignment="1">
      <alignment horizontal="center" vertical="center"/>
    </xf>
    <xf numFmtId="189" fontId="38" fillId="2" borderId="11" xfId="101" applyNumberFormat="1" applyFont="1" applyFill="1" applyBorder="1" applyAlignment="1">
      <alignment horizontal="center" vertical="center"/>
    </xf>
    <xf numFmtId="0" fontId="39" fillId="2" borderId="11" xfId="0" applyNumberFormat="1" applyFont="1" applyFill="1" applyBorder="1" applyAlignment="1">
      <alignment horizontal="center" vertical="center" wrapText="1"/>
    </xf>
    <xf numFmtId="193" fontId="40" fillId="2" borderId="11" xfId="101" applyNumberFormat="1" applyFont="1" applyFill="1" applyBorder="1" applyAlignment="1">
      <alignment horizontal="center" vertical="center"/>
    </xf>
    <xf numFmtId="186" fontId="39" fillId="2" borderId="11" xfId="99" applyNumberFormat="1" applyFont="1" applyFill="1" applyBorder="1" applyAlignment="1">
      <alignment horizontal="center" vertical="center"/>
    </xf>
    <xf numFmtId="176" fontId="39" fillId="2" borderId="12" xfId="1" applyNumberFormat="1" applyFont="1" applyFill="1" applyBorder="1" applyAlignment="1">
      <alignment horizontal="center" vertical="center"/>
    </xf>
    <xf numFmtId="0" fontId="54" fillId="0" borderId="0" xfId="81" applyFont="1"/>
    <xf numFmtId="188" fontId="53" fillId="0" borderId="0" xfId="81" applyNumberFormat="1" applyFont="1" applyAlignment="1">
      <alignment horizontal="left"/>
    </xf>
    <xf numFmtId="0" fontId="0" fillId="0" borderId="0" xfId="81" applyAlignment="1">
      <alignment wrapText="1"/>
    </xf>
    <xf numFmtId="0" fontId="55" fillId="0" borderId="0" xfId="106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6" fillId="0" borderId="19" xfId="99" applyFont="1" applyFill="1" applyBorder="1" applyAlignment="1">
      <alignment vertical="center" wrapText="1"/>
    </xf>
    <xf numFmtId="0" fontId="56" fillId="0" borderId="0" xfId="99" applyFont="1" applyFill="1" applyBorder="1" applyAlignment="1">
      <alignment vertical="center" wrapText="1"/>
    </xf>
    <xf numFmtId="0" fontId="18" fillId="0" borderId="0" xfId="99" applyFont="1" applyBorder="1" applyAlignment="1">
      <alignment vertical="center"/>
    </xf>
    <xf numFmtId="0" fontId="18" fillId="0" borderId="0" xfId="99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29" fillId="2" borderId="1" xfId="99" applyFont="1" applyFill="1" applyBorder="1" applyAlignment="1">
      <alignment horizontal="center" vertical="center" wrapText="1"/>
    </xf>
    <xf numFmtId="0" fontId="29" fillId="0" borderId="2" xfId="99" applyFont="1" applyFill="1" applyBorder="1" applyAlignment="1">
      <alignment horizontal="center" vertical="center" wrapText="1"/>
    </xf>
    <xf numFmtId="0" fontId="29" fillId="0" borderId="2" xfId="99" applyFont="1" applyFill="1" applyBorder="1" applyAlignment="1">
      <alignment horizontal="center" vertical="center"/>
    </xf>
    <xf numFmtId="0" fontId="29" fillId="2" borderId="2" xfId="99" applyFont="1" applyFill="1" applyBorder="1" applyAlignment="1">
      <alignment horizontal="center" vertical="center" wrapText="1"/>
    </xf>
    <xf numFmtId="2" fontId="29" fillId="2" borderId="2" xfId="51" applyNumberFormat="1" applyFont="1" applyFill="1" applyBorder="1" applyAlignment="1">
      <alignment horizontal="center" vertical="center" wrapText="1"/>
    </xf>
    <xf numFmtId="194" fontId="29" fillId="2" borderId="3" xfId="51" applyNumberFormat="1" applyFont="1" applyFill="1" applyBorder="1" applyAlignment="1">
      <alignment horizontal="center" vertical="center" wrapText="1"/>
    </xf>
    <xf numFmtId="0" fontId="34" fillId="2" borderId="4" xfId="99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34" fillId="0" borderId="5" xfId="99" applyFont="1" applyFill="1" applyBorder="1" applyAlignment="1">
      <alignment horizontal="center" vertical="center" wrapText="1"/>
    </xf>
    <xf numFmtId="0" fontId="34" fillId="2" borderId="5" xfId="99" applyFont="1" applyFill="1" applyBorder="1" applyAlignment="1">
      <alignment horizontal="center" vertical="center" wrapText="1"/>
    </xf>
    <xf numFmtId="2" fontId="34" fillId="2" borderId="5" xfId="99" applyNumberFormat="1" applyFont="1" applyFill="1" applyBorder="1" applyAlignment="1">
      <alignment horizontal="center" vertical="center" wrapText="1"/>
    </xf>
    <xf numFmtId="2" fontId="34" fillId="2" borderId="6" xfId="99" applyNumberFormat="1" applyFont="1" applyFill="1" applyBorder="1" applyAlignment="1">
      <alignment horizontal="center" vertical="center" wrapText="1"/>
    </xf>
    <xf numFmtId="195" fontId="29" fillId="0" borderId="10" xfId="79" applyNumberFormat="1" applyFont="1" applyFill="1" applyBorder="1" applyAlignment="1">
      <alignment horizontal="center" vertical="center"/>
    </xf>
    <xf numFmtId="195" fontId="29" fillId="0" borderId="11" xfId="79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9" fillId="0" borderId="11" xfId="99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/>
    </xf>
    <xf numFmtId="196" fontId="29" fillId="0" borderId="11" xfId="51" applyNumberFormat="1" applyFont="1" applyFill="1" applyBorder="1" applyAlignment="1">
      <alignment horizontal="center" vertical="center" wrapText="1"/>
    </xf>
    <xf numFmtId="197" fontId="29" fillId="0" borderId="12" xfId="51" applyNumberFormat="1" applyFont="1" applyFill="1" applyBorder="1" applyAlignment="1">
      <alignment horizontal="center" vertical="center" wrapText="1"/>
    </xf>
    <xf numFmtId="0" fontId="29" fillId="0" borderId="0" xfId="116" applyFont="1" applyBorder="1" applyAlignment="1">
      <alignment horizontal="center" vertical="center" wrapText="1"/>
    </xf>
    <xf numFmtId="0" fontId="34" fillId="0" borderId="0" xfId="99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0" fillId="2" borderId="19" xfId="99" applyFont="1" applyFill="1" applyBorder="1" applyAlignment="1">
      <alignment horizontal="center" vertical="center"/>
    </xf>
    <xf numFmtId="0" fontId="29" fillId="0" borderId="0" xfId="99" applyFont="1" applyBorder="1" applyAlignment="1">
      <alignment horizontal="center" vertical="center" wrapText="1"/>
    </xf>
    <xf numFmtId="0" fontId="29" fillId="0" borderId="0" xfId="99" applyFont="1" applyBorder="1" applyAlignment="1">
      <alignment horizontal="center" vertical="center"/>
    </xf>
    <xf numFmtId="4" fontId="34" fillId="2" borderId="19" xfId="99" applyNumberFormat="1" applyFont="1" applyFill="1" applyBorder="1" applyAlignment="1">
      <alignment horizontal="center" vertical="center"/>
    </xf>
    <xf numFmtId="4" fontId="34" fillId="0" borderId="0" xfId="99" applyNumberFormat="1" applyFont="1" applyBorder="1" applyAlignment="1">
      <alignment horizontal="center" vertical="center"/>
    </xf>
    <xf numFmtId="0" fontId="61" fillId="0" borderId="0" xfId="99" applyFont="1" applyBorder="1" applyAlignment="1">
      <alignment horizontal="center" vertical="center"/>
    </xf>
    <xf numFmtId="0" fontId="61" fillId="2" borderId="0" xfId="99" applyFont="1" applyFill="1" applyBorder="1" applyAlignment="1">
      <alignment horizontal="center" vertical="center"/>
    </xf>
    <xf numFmtId="0" fontId="62" fillId="0" borderId="0" xfId="99" applyFont="1" applyBorder="1" applyAlignment="1">
      <alignment horizontal="center" vertical="center"/>
    </xf>
    <xf numFmtId="0" fontId="63" fillId="0" borderId="0" xfId="99" applyFont="1" applyBorder="1" applyAlignment="1">
      <alignment horizontal="center" vertical="center"/>
    </xf>
    <xf numFmtId="0" fontId="64" fillId="0" borderId="0" xfId="107" applyAlignment="1">
      <alignment vertical="center"/>
    </xf>
    <xf numFmtId="0" fontId="65" fillId="2" borderId="15" xfId="97" applyNumberFormat="1" applyFont="1" applyFill="1" applyBorder="1" applyAlignment="1">
      <alignment vertical="center"/>
    </xf>
    <xf numFmtId="0" fontId="18" fillId="2" borderId="0" xfId="107" applyFont="1" applyFill="1" applyAlignment="1">
      <alignment vertical="center"/>
    </xf>
    <xf numFmtId="0" fontId="0" fillId="0" borderId="0" xfId="73" applyAlignment="1">
      <alignment vertical="center"/>
    </xf>
    <xf numFmtId="0" fontId="64" fillId="0" borderId="0" xfId="105" applyAlignment="1">
      <alignment vertical="center"/>
    </xf>
    <xf numFmtId="0" fontId="0" fillId="0" borderId="0" xfId="72" applyAlignment="1">
      <alignment vertical="center"/>
    </xf>
    <xf numFmtId="0" fontId="29" fillId="0" borderId="32" xfId="99" applyFont="1" applyBorder="1" applyAlignment="1">
      <alignment horizontal="center" vertical="center"/>
    </xf>
    <xf numFmtId="0" fontId="29" fillId="0" borderId="33" xfId="99" applyFont="1" applyBorder="1" applyAlignment="1">
      <alignment horizontal="center" vertical="center"/>
    </xf>
    <xf numFmtId="0" fontId="29" fillId="0" borderId="34" xfId="99" applyFont="1" applyBorder="1" applyAlignment="1">
      <alignment horizontal="center" vertical="center"/>
    </xf>
    <xf numFmtId="0" fontId="66" fillId="0" borderId="15" xfId="99" applyFont="1" applyBorder="1" applyAlignment="1">
      <alignment horizontal="center" vertical="center"/>
    </xf>
    <xf numFmtId="0" fontId="66" fillId="0" borderId="16" xfId="99" applyFont="1" applyBorder="1" applyAlignment="1">
      <alignment horizontal="center" vertical="center"/>
    </xf>
    <xf numFmtId="0" fontId="66" fillId="0" borderId="33" xfId="99" applyFont="1" applyBorder="1" applyAlignment="1">
      <alignment horizontal="center" vertical="center"/>
    </xf>
    <xf numFmtId="0" fontId="66" fillId="0" borderId="19" xfId="99" applyFont="1" applyBorder="1" applyAlignment="1">
      <alignment horizontal="center" vertical="center"/>
    </xf>
    <xf numFmtId="0" fontId="66" fillId="0" borderId="0" xfId="99" applyFont="1" applyBorder="1" applyAlignment="1">
      <alignment horizontal="center" vertical="center"/>
    </xf>
    <xf numFmtId="0" fontId="66" fillId="0" borderId="31" xfId="99" applyFont="1" applyBorder="1" applyAlignment="1">
      <alignment horizontal="center" vertical="center"/>
    </xf>
    <xf numFmtId="0" fontId="57" fillId="2" borderId="19" xfId="99" applyFont="1" applyFill="1" applyBorder="1" applyAlignment="1">
      <alignment vertical="center"/>
    </xf>
    <xf numFmtId="0" fontId="57" fillId="2" borderId="0" xfId="99" applyFont="1" applyFill="1" applyBorder="1" applyAlignment="1">
      <alignment vertical="center"/>
    </xf>
    <xf numFmtId="0" fontId="37" fillId="0" borderId="0" xfId="99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57" fillId="2" borderId="35" xfId="99" applyFont="1" applyFill="1" applyBorder="1" applyAlignment="1">
      <alignment vertical="center"/>
    </xf>
    <xf numFmtId="0" fontId="57" fillId="0" borderId="36" xfId="99" applyFont="1" applyBorder="1" applyAlignment="1">
      <alignment vertical="center"/>
    </xf>
    <xf numFmtId="0" fontId="37" fillId="0" borderId="37" xfId="99" applyFont="1" applyBorder="1" applyAlignment="1">
      <alignment vertical="center"/>
    </xf>
    <xf numFmtId="0" fontId="37" fillId="2" borderId="19" xfId="99" applyFont="1" applyFill="1" applyBorder="1" applyAlignment="1">
      <alignment vertical="center"/>
    </xf>
    <xf numFmtId="0" fontId="37" fillId="2" borderId="0" xfId="99" applyFont="1" applyFill="1" applyBorder="1" applyAlignment="1">
      <alignment vertical="center"/>
    </xf>
    <xf numFmtId="0" fontId="67" fillId="2" borderId="30" xfId="99" applyFont="1" applyFill="1" applyBorder="1" applyAlignment="1">
      <alignment vertical="center"/>
    </xf>
    <xf numFmtId="0" fontId="67" fillId="0" borderId="0" xfId="0" applyFont="1" applyBorder="1" applyAlignment="1">
      <alignment vertical="center"/>
    </xf>
    <xf numFmtId="188" fontId="67" fillId="0" borderId="31" xfId="99" applyNumberFormat="1" applyFont="1" applyFill="1" applyBorder="1" applyAlignment="1">
      <alignment horizontal="center" vertical="center"/>
    </xf>
    <xf numFmtId="0" fontId="18" fillId="0" borderId="19" xfId="99" applyFont="1" applyBorder="1" applyAlignment="1">
      <alignment horizontal="left" vertical="center" wrapText="1"/>
    </xf>
    <xf numFmtId="0" fontId="18" fillId="0" borderId="0" xfId="99" applyFont="1" applyBorder="1" applyAlignment="1">
      <alignment horizontal="left" vertical="center" wrapText="1"/>
    </xf>
    <xf numFmtId="0" fontId="18" fillId="0" borderId="0" xfId="99" applyFont="1" applyBorder="1" applyAlignment="1">
      <alignment horizontal="center" vertical="center" wrapText="1"/>
    </xf>
    <xf numFmtId="0" fontId="18" fillId="0" borderId="0" xfId="99" applyFont="1" applyBorder="1" applyAlignment="1">
      <alignment vertical="center" wrapText="1"/>
    </xf>
    <xf numFmtId="0" fontId="57" fillId="2" borderId="30" xfId="99" applyFont="1" applyFill="1" applyBorder="1" applyAlignment="1">
      <alignment vertical="center"/>
    </xf>
    <xf numFmtId="0" fontId="18" fillId="0" borderId="31" xfId="99" applyFont="1" applyBorder="1" applyAlignment="1">
      <alignment vertical="center"/>
    </xf>
    <xf numFmtId="0" fontId="18" fillId="2" borderId="19" xfId="99" applyFont="1" applyFill="1" applyBorder="1" applyAlignment="1">
      <alignment vertical="center"/>
    </xf>
    <xf numFmtId="0" fontId="18" fillId="2" borderId="0" xfId="99" applyFont="1" applyFill="1" applyBorder="1" applyAlignment="1">
      <alignment vertical="center"/>
    </xf>
    <xf numFmtId="0" fontId="18" fillId="2" borderId="30" xfId="99" applyFont="1" applyFill="1" applyBorder="1" applyAlignment="1">
      <alignment vertical="center"/>
    </xf>
    <xf numFmtId="0" fontId="18" fillId="0" borderId="0" xfId="99" applyFont="1" applyFill="1" applyBorder="1" applyAlignment="1">
      <alignment vertical="center"/>
    </xf>
    <xf numFmtId="188" fontId="18" fillId="0" borderId="31" xfId="99" applyNumberFormat="1" applyFont="1" applyFill="1" applyBorder="1" applyAlignment="1">
      <alignment horizontal="center" vertical="center"/>
    </xf>
    <xf numFmtId="0" fontId="57" fillId="2" borderId="38" xfId="99" applyFont="1" applyFill="1" applyBorder="1" applyAlignment="1">
      <alignment vertical="center"/>
    </xf>
    <xf numFmtId="0" fontId="57" fillId="2" borderId="36" xfId="99" applyFont="1" applyFill="1" applyBorder="1" applyAlignment="1">
      <alignment vertical="center"/>
    </xf>
    <xf numFmtId="0" fontId="18" fillId="0" borderId="36" xfId="99" applyFont="1" applyBorder="1" applyAlignment="1">
      <alignment vertical="center"/>
    </xf>
    <xf numFmtId="0" fontId="18" fillId="0" borderId="36" xfId="99" applyFont="1" applyBorder="1" applyAlignment="1">
      <alignment horizontal="center" vertical="center"/>
    </xf>
    <xf numFmtId="0" fontId="18" fillId="0" borderId="36" xfId="0" applyFont="1" applyBorder="1" applyAlignment="1">
      <alignment vertical="center"/>
    </xf>
    <xf numFmtId="0" fontId="68" fillId="0" borderId="19" xfId="99" applyFont="1" applyFill="1" applyBorder="1" applyAlignment="1">
      <alignment vertical="center" wrapText="1"/>
    </xf>
    <xf numFmtId="0" fontId="68" fillId="0" borderId="0" xfId="99" applyFont="1" applyFill="1" applyBorder="1" applyAlignment="1">
      <alignment vertical="center" wrapText="1"/>
    </xf>
    <xf numFmtId="0" fontId="69" fillId="0" borderId="19" xfId="99" applyFont="1" applyFill="1" applyBorder="1" applyAlignment="1">
      <alignment horizontal="left" vertical="center" wrapText="1"/>
    </xf>
    <xf numFmtId="0" fontId="69" fillId="0" borderId="0" xfId="99" applyFont="1" applyFill="1" applyBorder="1" applyAlignment="1">
      <alignment horizontal="left" vertical="center" wrapText="1"/>
    </xf>
    <xf numFmtId="0" fontId="69" fillId="0" borderId="39" xfId="99" applyFont="1" applyFill="1" applyBorder="1" applyAlignment="1">
      <alignment vertical="center" wrapText="1"/>
    </xf>
    <xf numFmtId="0" fontId="70" fillId="0" borderId="0" xfId="0" applyFont="1" applyFill="1" applyBorder="1" applyAlignment="1">
      <alignment vertical="center"/>
    </xf>
    <xf numFmtId="0" fontId="70" fillId="0" borderId="0" xfId="0" applyFont="1" applyBorder="1" applyAlignment="1">
      <alignment vertical="center"/>
    </xf>
    <xf numFmtId="188" fontId="70" fillId="0" borderId="31" xfId="99" applyNumberFormat="1" applyFont="1" applyFill="1" applyBorder="1" applyAlignment="1">
      <alignment horizontal="center" vertical="center"/>
    </xf>
    <xf numFmtId="0" fontId="69" fillId="0" borderId="19" xfId="99" applyFont="1" applyFill="1" applyBorder="1" applyAlignment="1">
      <alignment vertical="center" wrapText="1"/>
    </xf>
    <xf numFmtId="0" fontId="69" fillId="0" borderId="0" xfId="99" applyFont="1" applyFill="1" applyBorder="1" applyAlignment="1">
      <alignment vertical="center" wrapText="1"/>
    </xf>
    <xf numFmtId="0" fontId="69" fillId="0" borderId="0" xfId="99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vertical="center"/>
    </xf>
    <xf numFmtId="0" fontId="71" fillId="0" borderId="0" xfId="0" applyFont="1" applyFill="1" applyBorder="1" applyAlignment="1">
      <alignment vertical="center"/>
    </xf>
    <xf numFmtId="0" fontId="71" fillId="0" borderId="0" xfId="0" applyFont="1" applyBorder="1" applyAlignment="1">
      <alignment vertical="center"/>
    </xf>
    <xf numFmtId="188" fontId="71" fillId="0" borderId="31" xfId="99" applyNumberFormat="1" applyFont="1" applyFill="1" applyBorder="1" applyAlignment="1">
      <alignment horizontal="center" vertical="center"/>
    </xf>
    <xf numFmtId="0" fontId="69" fillId="0" borderId="40" xfId="99" applyFont="1" applyFill="1" applyBorder="1" applyAlignment="1">
      <alignment vertical="center" wrapText="1"/>
    </xf>
    <xf numFmtId="0" fontId="70" fillId="2" borderId="0" xfId="0" applyFont="1" applyFill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72" fillId="2" borderId="38" xfId="99" applyFont="1" applyFill="1" applyBorder="1" applyAlignment="1">
      <alignment vertical="center"/>
    </xf>
    <xf numFmtId="0" fontId="72" fillId="2" borderId="36" xfId="99" applyFont="1" applyFill="1" applyBorder="1" applyAlignment="1">
      <alignment vertical="center"/>
    </xf>
    <xf numFmtId="0" fontId="69" fillId="0" borderId="36" xfId="99" applyFont="1" applyFill="1" applyBorder="1" applyAlignment="1">
      <alignment vertical="center"/>
    </xf>
    <xf numFmtId="0" fontId="69" fillId="0" borderId="36" xfId="99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vertical="center"/>
    </xf>
    <xf numFmtId="0" fontId="57" fillId="2" borderId="0" xfId="0" applyFont="1" applyFill="1" applyBorder="1" applyAlignment="1">
      <alignment vertical="center"/>
    </xf>
    <xf numFmtId="0" fontId="68" fillId="0" borderId="19" xfId="99" applyFont="1" applyFill="1" applyBorder="1" applyAlignment="1">
      <alignment vertical="center"/>
    </xf>
    <xf numFmtId="0" fontId="68" fillId="0" borderId="0" xfId="99" applyFont="1" applyFill="1" applyBorder="1" applyAlignment="1">
      <alignment vertical="center"/>
    </xf>
    <xf numFmtId="188" fontId="18" fillId="2" borderId="31" xfId="0" applyNumberFormat="1" applyFont="1" applyFill="1" applyBorder="1" applyAlignment="1">
      <alignment horizontal="center" vertical="center"/>
    </xf>
    <xf numFmtId="0" fontId="70" fillId="2" borderId="19" xfId="99" applyFont="1" applyFill="1" applyBorder="1" applyAlignment="1">
      <alignment vertical="center"/>
    </xf>
    <xf numFmtId="0" fontId="70" fillId="2" borderId="0" xfId="99" applyFont="1" applyFill="1" applyBorder="1" applyAlignment="1">
      <alignment vertical="center"/>
    </xf>
    <xf numFmtId="0" fontId="70" fillId="0" borderId="0" xfId="99" applyFont="1" applyFill="1" applyBorder="1" applyAlignment="1">
      <alignment vertical="center"/>
    </xf>
    <xf numFmtId="0" fontId="69" fillId="0" borderId="0" xfId="99" applyFont="1" applyFill="1" applyBorder="1" applyAlignment="1">
      <alignment horizontal="center" vertical="center"/>
    </xf>
    <xf numFmtId="0" fontId="69" fillId="0" borderId="39" xfId="99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70" fillId="0" borderId="19" xfId="99" applyFont="1" applyFill="1" applyBorder="1" applyAlignment="1">
      <alignment vertical="center" wrapText="1"/>
    </xf>
    <xf numFmtId="0" fontId="70" fillId="0" borderId="0" xfId="99" applyFont="1" applyFill="1" applyBorder="1" applyAlignment="1">
      <alignment vertical="center" wrapText="1"/>
    </xf>
    <xf numFmtId="0" fontId="70" fillId="0" borderId="42" xfId="99" applyFont="1" applyFill="1" applyBorder="1" applyAlignment="1">
      <alignment vertical="center" wrapText="1"/>
    </xf>
    <xf numFmtId="0" fontId="70" fillId="0" borderId="40" xfId="99" applyFont="1" applyFill="1" applyBorder="1" applyAlignment="1">
      <alignment vertical="center" wrapText="1"/>
    </xf>
    <xf numFmtId="0" fontId="69" fillId="0" borderId="40" xfId="99" applyFont="1" applyFill="1" applyBorder="1" applyAlignment="1">
      <alignment horizontal="center" vertical="center"/>
    </xf>
    <xf numFmtId="0" fontId="69" fillId="0" borderId="43" xfId="99" applyFont="1" applyFill="1" applyBorder="1" applyAlignment="1">
      <alignment vertical="center"/>
    </xf>
    <xf numFmtId="0" fontId="57" fillId="0" borderId="30" xfId="99" applyFont="1" applyBorder="1" applyAlignment="1">
      <alignment vertical="center"/>
    </xf>
    <xf numFmtId="0" fontId="18" fillId="0" borderId="30" xfId="99" applyFont="1" applyBorder="1" applyAlignment="1">
      <alignment vertical="center"/>
    </xf>
    <xf numFmtId="198" fontId="18" fillId="0" borderId="0" xfId="99" applyNumberFormat="1" applyFont="1" applyBorder="1" applyAlignment="1">
      <alignment vertical="center"/>
    </xf>
    <xf numFmtId="198" fontId="18" fillId="0" borderId="31" xfId="99" applyNumberFormat="1" applyFont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57" fillId="2" borderId="0" xfId="99" applyFont="1" applyFill="1" applyBorder="1" applyAlignment="1">
      <alignment vertical="center" wrapText="1"/>
    </xf>
    <xf numFmtId="0" fontId="37" fillId="2" borderId="38" xfId="99" applyFont="1" applyFill="1" applyBorder="1" applyAlignment="1">
      <alignment vertical="center"/>
    </xf>
    <xf numFmtId="0" fontId="37" fillId="2" borderId="36" xfId="99" applyFont="1" applyFill="1" applyBorder="1" applyAlignment="1">
      <alignment vertical="center"/>
    </xf>
    <xf numFmtId="0" fontId="57" fillId="0" borderId="35" xfId="99" applyFont="1" applyBorder="1" applyAlignment="1">
      <alignment vertical="center"/>
    </xf>
    <xf numFmtId="0" fontId="18" fillId="0" borderId="36" xfId="0" applyFont="1" applyBorder="1" applyAlignment="1">
      <alignment horizontal="center" vertical="center"/>
    </xf>
    <xf numFmtId="0" fontId="57" fillId="2" borderId="30" xfId="99" applyFont="1" applyFill="1" applyBorder="1" applyAlignment="1">
      <alignment vertical="center" wrapText="1"/>
    </xf>
    <xf numFmtId="188" fontId="67" fillId="0" borderId="44" xfId="99" applyNumberFormat="1" applyFont="1" applyFill="1" applyBorder="1" applyAlignment="1">
      <alignment horizontal="left" vertical="center"/>
    </xf>
    <xf numFmtId="188" fontId="67" fillId="0" borderId="45" xfId="99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57" fillId="2" borderId="44" xfId="99" applyFont="1" applyFill="1" applyBorder="1" applyAlignment="1">
      <alignment vertical="center"/>
    </xf>
    <xf numFmtId="0" fontId="18" fillId="0" borderId="46" xfId="99" applyFont="1" applyBorder="1" applyAlignment="1">
      <alignment vertical="center" wrapText="1"/>
    </xf>
    <xf numFmtId="0" fontId="29" fillId="2" borderId="19" xfId="99" applyFont="1" applyFill="1" applyBorder="1" applyAlignment="1">
      <alignment horizontal="center" vertical="center"/>
    </xf>
    <xf numFmtId="0" fontId="29" fillId="2" borderId="0" xfId="99" applyFont="1" applyFill="1" applyBorder="1" applyAlignment="1">
      <alignment horizontal="center" vertical="center"/>
    </xf>
    <xf numFmtId="188" fontId="29" fillId="0" borderId="47" xfId="99" applyNumberFormat="1" applyFont="1" applyFill="1" applyBorder="1" applyAlignment="1">
      <alignment horizontal="center" vertical="center"/>
    </xf>
    <xf numFmtId="188" fontId="29" fillId="0" borderId="26" xfId="99" applyNumberFormat="1" applyFont="1" applyFill="1" applyBorder="1" applyAlignment="1">
      <alignment horizontal="center" vertical="center"/>
    </xf>
    <xf numFmtId="188" fontId="29" fillId="0" borderId="0" xfId="99" applyNumberFormat="1" applyFont="1" applyFill="1" applyBorder="1" applyAlignment="1">
      <alignment horizontal="left" vertical="center"/>
    </xf>
    <xf numFmtId="0" fontId="60" fillId="0" borderId="0" xfId="99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73" fillId="2" borderId="1" xfId="103" applyFont="1" applyFill="1" applyBorder="1" applyAlignment="1">
      <alignment horizontal="center" vertical="center" wrapText="1"/>
    </xf>
    <xf numFmtId="0" fontId="73" fillId="2" borderId="2" xfId="103" applyFont="1" applyFill="1" applyBorder="1" applyAlignment="1">
      <alignment horizontal="center" vertical="center" wrapText="1"/>
    </xf>
    <xf numFmtId="0" fontId="73" fillId="2" borderId="2" xfId="103" applyFont="1" applyFill="1" applyBorder="1" applyAlignment="1">
      <alignment horizontal="center" vertical="center"/>
    </xf>
    <xf numFmtId="0" fontId="73" fillId="2" borderId="2" xfId="102" applyFont="1" applyFill="1" applyBorder="1" applyAlignment="1">
      <alignment horizontal="center" vertical="center" wrapText="1"/>
    </xf>
    <xf numFmtId="2" fontId="73" fillId="2" borderId="3" xfId="55" applyNumberFormat="1" applyFont="1" applyFill="1" applyBorder="1" applyAlignment="1">
      <alignment horizontal="center" vertical="center" wrapText="1"/>
    </xf>
    <xf numFmtId="0" fontId="64" fillId="0" borderId="0" xfId="107" applyBorder="1" applyAlignment="1">
      <alignment vertical="center"/>
    </xf>
    <xf numFmtId="0" fontId="65" fillId="2" borderId="4" xfId="96" applyNumberFormat="1" applyFont="1" applyFill="1" applyBorder="1" applyAlignment="1">
      <alignment horizontal="center" vertical="center"/>
    </xf>
    <xf numFmtId="0" fontId="65" fillId="2" borderId="5" xfId="96" applyNumberFormat="1" applyFont="1" applyFill="1" applyBorder="1" applyAlignment="1">
      <alignment horizontal="center" vertical="center"/>
    </xf>
    <xf numFmtId="0" fontId="65" fillId="2" borderId="5" xfId="96" applyNumberFormat="1" applyFont="1" applyFill="1" applyBorder="1" applyAlignment="1">
      <alignment horizontal="center" vertical="center" wrapText="1"/>
    </xf>
    <xf numFmtId="0" fontId="65" fillId="2" borderId="6" xfId="96" applyNumberFormat="1" applyFont="1" applyFill="1" applyBorder="1" applyAlignment="1">
      <alignment horizontal="center" vertical="center"/>
    </xf>
    <xf numFmtId="0" fontId="65" fillId="2" borderId="0" xfId="97" applyNumberFormat="1" applyFont="1" applyFill="1" applyBorder="1" applyAlignment="1">
      <alignment vertical="center"/>
    </xf>
    <xf numFmtId="0" fontId="65" fillId="2" borderId="16" xfId="97" applyNumberFormat="1" applyFont="1" applyFill="1" applyBorder="1" applyAlignment="1">
      <alignment vertical="center"/>
    </xf>
    <xf numFmtId="0" fontId="65" fillId="2" borderId="48" xfId="96" applyNumberFormat="1" applyFont="1" applyFill="1" applyBorder="1" applyAlignment="1">
      <alignment horizontal="center" vertical="center"/>
    </xf>
    <xf numFmtId="0" fontId="65" fillId="2" borderId="21" xfId="96" applyNumberFormat="1" applyFont="1" applyFill="1" applyBorder="1" applyAlignment="1">
      <alignment horizontal="center" vertical="center"/>
    </xf>
    <xf numFmtId="0" fontId="65" fillId="2" borderId="22" xfId="96" applyNumberFormat="1" applyFont="1" applyFill="1" applyBorder="1" applyAlignment="1">
      <alignment horizontal="center" vertical="center"/>
    </xf>
    <xf numFmtId="0" fontId="65" fillId="0" borderId="5" xfId="96" applyNumberFormat="1" applyFont="1" applyFill="1" applyBorder="1" applyAlignment="1">
      <alignment horizontal="center" vertical="center" wrapText="1"/>
    </xf>
    <xf numFmtId="0" fontId="29" fillId="0" borderId="10" xfId="86" applyFont="1" applyBorder="1" applyAlignment="1">
      <alignment horizontal="center" vertical="center"/>
    </xf>
    <xf numFmtId="0" fontId="29" fillId="0" borderId="11" xfId="86" applyFont="1" applyBorder="1" applyAlignment="1">
      <alignment horizontal="center" vertical="center"/>
    </xf>
    <xf numFmtId="195" fontId="29" fillId="2" borderId="11" xfId="86" applyNumberFormat="1" applyFont="1" applyFill="1" applyBorder="1" applyAlignment="1">
      <alignment horizontal="center" vertical="center"/>
    </xf>
    <xf numFmtId="0" fontId="29" fillId="2" borderId="11" xfId="86" applyFont="1" applyFill="1" applyBorder="1" applyAlignment="1">
      <alignment vertical="center"/>
    </xf>
    <xf numFmtId="198" fontId="74" fillId="2" borderId="11" xfId="86" applyNumberFormat="1" applyFont="1" applyFill="1" applyBorder="1" applyAlignment="1">
      <alignment horizontal="center" vertical="center"/>
    </xf>
    <xf numFmtId="199" fontId="29" fillId="2" borderId="11" xfId="55" applyNumberFormat="1" applyFont="1" applyFill="1" applyBorder="1" applyAlignment="1">
      <alignment horizontal="center" vertical="center" wrapText="1"/>
    </xf>
    <xf numFmtId="200" fontId="29" fillId="2" borderId="11" xfId="55" applyNumberFormat="1" applyFont="1" applyFill="1" applyBorder="1" applyAlignment="1">
      <alignment horizontal="center" vertical="center" wrapText="1"/>
    </xf>
    <xf numFmtId="1" fontId="29" fillId="0" borderId="11" xfId="55" applyNumberFormat="1" applyFont="1" applyFill="1" applyBorder="1" applyAlignment="1">
      <alignment horizontal="center" vertical="center" wrapText="1"/>
    </xf>
    <xf numFmtId="0" fontId="75" fillId="0" borderId="11" xfId="107" applyFont="1" applyBorder="1" applyAlignment="1">
      <alignment horizontal="center" vertical="center"/>
    </xf>
    <xf numFmtId="196" fontId="76" fillId="0" borderId="11" xfId="107" applyNumberFormat="1" applyFont="1" applyBorder="1" applyAlignment="1">
      <alignment horizontal="center" vertical="center"/>
    </xf>
    <xf numFmtId="196" fontId="76" fillId="0" borderId="12" xfId="107" applyNumberFormat="1" applyFont="1" applyBorder="1" applyAlignment="1">
      <alignment horizontal="center" vertical="center"/>
    </xf>
    <xf numFmtId="0" fontId="18" fillId="2" borderId="0" xfId="107" applyFont="1" applyFill="1" applyBorder="1" applyAlignment="1">
      <alignment vertical="center"/>
    </xf>
    <xf numFmtId="0" fontId="29" fillId="0" borderId="0" xfId="117" applyFont="1" applyBorder="1" applyAlignment="1">
      <alignment horizontal="left" vertical="center" wrapText="1"/>
    </xf>
    <xf numFmtId="0" fontId="34" fillId="2" borderId="0" xfId="107" applyFont="1" applyFill="1" applyAlignment="1">
      <alignment horizontal="center" vertical="center"/>
    </xf>
    <xf numFmtId="0" fontId="60" fillId="2" borderId="19" xfId="103" applyFont="1" applyFill="1" applyBorder="1" applyAlignment="1">
      <alignment horizontal="center" vertical="center"/>
    </xf>
    <xf numFmtId="0" fontId="34" fillId="2" borderId="0" xfId="103" applyFont="1" applyFill="1" applyAlignment="1">
      <alignment horizontal="center" vertical="center"/>
    </xf>
    <xf numFmtId="0" fontId="29" fillId="0" borderId="0" xfId="103" applyFont="1" applyAlignment="1">
      <alignment vertical="center"/>
    </xf>
    <xf numFmtId="0" fontId="29" fillId="0" borderId="0" xfId="103" applyFont="1" applyAlignment="1">
      <alignment horizontal="center" vertical="center"/>
    </xf>
    <xf numFmtId="0" fontId="0" fillId="2" borderId="0" xfId="73" applyFill="1" applyAlignment="1">
      <alignment vertical="center"/>
    </xf>
    <xf numFmtId="0" fontId="0" fillId="0" borderId="0" xfId="73" applyAlignment="1">
      <alignment horizontal="center" vertical="center"/>
    </xf>
    <xf numFmtId="0" fontId="0" fillId="0" borderId="0" xfId="73" applyBorder="1" applyAlignment="1">
      <alignment vertical="center"/>
    </xf>
    <xf numFmtId="4" fontId="34" fillId="2" borderId="19" xfId="102" applyNumberFormat="1" applyFont="1" applyFill="1" applyBorder="1" applyAlignment="1">
      <alignment horizontal="center" vertical="center"/>
    </xf>
    <xf numFmtId="4" fontId="34" fillId="2" borderId="0" xfId="102" applyNumberFormat="1" applyFont="1" applyFill="1" applyAlignment="1">
      <alignment horizontal="center" vertical="center"/>
    </xf>
    <xf numFmtId="0" fontId="61" fillId="2" borderId="0" xfId="102" applyFont="1" applyFill="1" applyAlignment="1">
      <alignment horizontal="center" vertical="center"/>
    </xf>
    <xf numFmtId="0" fontId="61" fillId="0" borderId="0" xfId="102" applyFont="1" applyAlignment="1">
      <alignment vertical="center"/>
    </xf>
    <xf numFmtId="0" fontId="61" fillId="0" borderId="0" xfId="102" applyFont="1" applyAlignment="1">
      <alignment horizontal="center" vertical="center"/>
    </xf>
    <xf numFmtId="0" fontId="64" fillId="0" borderId="0" xfId="105" applyBorder="1" applyAlignment="1">
      <alignment vertical="center"/>
    </xf>
    <xf numFmtId="0" fontId="0" fillId="2" borderId="0" xfId="72" applyFill="1" applyAlignment="1">
      <alignment vertical="center"/>
    </xf>
    <xf numFmtId="0" fontId="0" fillId="0" borderId="0" xfId="72" applyAlignment="1">
      <alignment horizontal="center" vertical="center"/>
    </xf>
    <xf numFmtId="0" fontId="0" fillId="0" borderId="0" xfId="72" applyBorder="1" applyAlignment="1">
      <alignment vertical="center"/>
    </xf>
    <xf numFmtId="0" fontId="29" fillId="0" borderId="49" xfId="99" applyFont="1" applyBorder="1" applyAlignment="1">
      <alignment vertical="center"/>
    </xf>
    <xf numFmtId="0" fontId="29" fillId="0" borderId="50" xfId="99" applyFont="1" applyBorder="1" applyAlignment="1">
      <alignment vertical="center"/>
    </xf>
    <xf numFmtId="0" fontId="29" fillId="0" borderId="0" xfId="99" applyFont="1" applyBorder="1" applyAlignment="1">
      <alignment vertical="center"/>
    </xf>
    <xf numFmtId="0" fontId="66" fillId="0" borderId="19" xfId="99" applyFont="1" applyBorder="1" applyAlignment="1">
      <alignment vertical="center"/>
    </xf>
    <xf numFmtId="0" fontId="66" fillId="0" borderId="0" xfId="99" applyFont="1" applyBorder="1" applyAlignment="1">
      <alignment vertical="center"/>
    </xf>
    <xf numFmtId="0" fontId="37" fillId="0" borderId="36" xfId="99" applyFont="1" applyBorder="1" applyAlignment="1">
      <alignment vertical="center"/>
    </xf>
    <xf numFmtId="0" fontId="37" fillId="0" borderId="31" xfId="99" applyFont="1" applyBorder="1" applyAlignment="1">
      <alignment vertical="center"/>
    </xf>
    <xf numFmtId="188" fontId="67" fillId="0" borderId="0" xfId="99" applyNumberFormat="1" applyFont="1" applyFill="1" applyBorder="1" applyAlignment="1">
      <alignment horizontal="center" vertical="center"/>
    </xf>
    <xf numFmtId="188" fontId="18" fillId="0" borderId="0" xfId="99" applyNumberFormat="1" applyFont="1" applyFill="1" applyBorder="1" applyAlignment="1">
      <alignment horizontal="center" vertical="center"/>
    </xf>
    <xf numFmtId="188" fontId="70" fillId="0" borderId="0" xfId="99" applyNumberFormat="1" applyFont="1" applyFill="1" applyBorder="1" applyAlignment="1">
      <alignment horizontal="center" vertical="center"/>
    </xf>
    <xf numFmtId="188" fontId="71" fillId="0" borderId="0" xfId="99" applyNumberFormat="1" applyFont="1" applyFill="1" applyBorder="1" applyAlignment="1">
      <alignment horizontal="center" vertical="center"/>
    </xf>
    <xf numFmtId="188" fontId="18" fillId="2" borderId="0" xfId="0" applyNumberFormat="1" applyFont="1" applyFill="1" applyBorder="1" applyAlignment="1">
      <alignment horizontal="center" vertical="center"/>
    </xf>
    <xf numFmtId="188" fontId="18" fillId="2" borderId="0" xfId="0" applyNumberFormat="1" applyFont="1" applyFill="1" applyBorder="1" applyAlignment="1">
      <alignment vertical="center"/>
    </xf>
    <xf numFmtId="0" fontId="69" fillId="0" borderId="0" xfId="99" applyFont="1" applyFill="1" applyBorder="1" applyAlignment="1">
      <alignment vertical="center"/>
    </xf>
    <xf numFmtId="14" fontId="18" fillId="0" borderId="0" xfId="0" applyNumberFormat="1" applyFont="1" applyBorder="1" applyAlignment="1">
      <alignment vertical="center"/>
    </xf>
    <xf numFmtId="188" fontId="18" fillId="0" borderId="0" xfId="0" applyNumberFormat="1" applyFont="1" applyBorder="1" applyAlignment="1">
      <alignment vertical="center"/>
    </xf>
    <xf numFmtId="0" fontId="69" fillId="0" borderId="40" xfId="99" applyFont="1" applyFill="1" applyBorder="1" applyAlignment="1">
      <alignment vertical="center"/>
    </xf>
    <xf numFmtId="0" fontId="69" fillId="0" borderId="36" xfId="99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18" fillId="0" borderId="40" xfId="99" applyFont="1" applyBorder="1" applyAlignment="1">
      <alignment vertical="center" wrapText="1"/>
    </xf>
    <xf numFmtId="0" fontId="60" fillId="0" borderId="30" xfId="99" applyFont="1" applyFill="1" applyBorder="1" applyAlignment="1">
      <alignment horizontal="center" vertical="center"/>
    </xf>
    <xf numFmtId="0" fontId="34" fillId="2" borderId="36" xfId="0" applyFont="1" applyFill="1" applyBorder="1" applyAlignment="1">
      <alignment horizontal="center" vertical="center"/>
    </xf>
    <xf numFmtId="0" fontId="73" fillId="2" borderId="51" xfId="103" applyFont="1" applyFill="1" applyBorder="1" applyAlignment="1">
      <alignment horizontal="center" vertical="center" wrapText="1"/>
    </xf>
    <xf numFmtId="0" fontId="73" fillId="2" borderId="20" xfId="103" applyFont="1" applyFill="1" applyBorder="1" applyAlignment="1">
      <alignment horizontal="center" vertical="center" wrapText="1"/>
    </xf>
    <xf numFmtId="2" fontId="73" fillId="2" borderId="2" xfId="55" applyNumberFormat="1" applyFont="1" applyFill="1" applyBorder="1" applyAlignment="1">
      <alignment horizontal="center" vertical="center" wrapText="1"/>
    </xf>
    <xf numFmtId="194" fontId="73" fillId="2" borderId="3" xfId="55" applyNumberFormat="1" applyFont="1" applyFill="1" applyBorder="1" applyAlignment="1">
      <alignment horizontal="center" vertical="center" wrapText="1"/>
    </xf>
    <xf numFmtId="0" fontId="65" fillId="0" borderId="5" xfId="96" applyNumberFormat="1" applyFont="1" applyFill="1" applyBorder="1" applyAlignment="1">
      <alignment horizontal="center" vertical="center"/>
    </xf>
    <xf numFmtId="0" fontId="65" fillId="2" borderId="52" xfId="96" applyNumberFormat="1" applyFont="1" applyFill="1" applyBorder="1" applyAlignment="1">
      <alignment horizontal="center" vertical="center"/>
    </xf>
    <xf numFmtId="0" fontId="65" fillId="2" borderId="29" xfId="96" applyNumberFormat="1" applyFont="1" applyFill="1" applyBorder="1" applyAlignment="1">
      <alignment horizontal="center" vertical="center"/>
    </xf>
    <xf numFmtId="0" fontId="65" fillId="2" borderId="53" xfId="96" applyNumberFormat="1" applyFont="1" applyFill="1" applyBorder="1" applyAlignment="1">
      <alignment horizontal="center" vertical="center"/>
    </xf>
    <xf numFmtId="1" fontId="65" fillId="2" borderId="48" xfId="1" applyNumberFormat="1" applyFont="1" applyFill="1" applyBorder="1" applyAlignment="1">
      <alignment horizontal="center" vertical="center"/>
    </xf>
    <xf numFmtId="1" fontId="65" fillId="2" borderId="54" xfId="1" applyNumberFormat="1" applyFont="1" applyFill="1" applyBorder="1" applyAlignment="1">
      <alignment horizontal="center" vertical="center"/>
    </xf>
    <xf numFmtId="0" fontId="65" fillId="2" borderId="55" xfId="96" applyNumberFormat="1" applyFont="1" applyFill="1" applyBorder="1" applyAlignment="1">
      <alignment horizontal="center" vertical="center"/>
    </xf>
    <xf numFmtId="0" fontId="65" fillId="2" borderId="56" xfId="96" applyNumberFormat="1" applyFont="1" applyFill="1" applyBorder="1" applyAlignment="1">
      <alignment horizontal="center" vertical="center"/>
    </xf>
    <xf numFmtId="1" fontId="65" fillId="2" borderId="52" xfId="1" applyNumberFormat="1" applyFont="1" applyFill="1" applyBorder="1" applyAlignment="1">
      <alignment horizontal="center" vertical="center"/>
    </xf>
    <xf numFmtId="201" fontId="65" fillId="2" borderId="22" xfId="96" applyNumberFormat="1" applyFont="1" applyFill="1" applyBorder="1" applyAlignment="1">
      <alignment horizontal="center" vertical="center"/>
    </xf>
    <xf numFmtId="201" fontId="65" fillId="2" borderId="53" xfId="96" applyNumberFormat="1" applyFont="1" applyFill="1" applyBorder="1" applyAlignment="1">
      <alignment horizontal="center" vertical="center"/>
    </xf>
    <xf numFmtId="0" fontId="65" fillId="2" borderId="54" xfId="96" applyNumberFormat="1" applyFont="1" applyFill="1" applyBorder="1" applyAlignment="1">
      <alignment horizontal="center" vertical="center"/>
    </xf>
    <xf numFmtId="0" fontId="29" fillId="2" borderId="11" xfId="107" applyFont="1" applyFill="1" applyBorder="1" applyAlignment="1">
      <alignment horizontal="center" vertical="center"/>
    </xf>
    <xf numFmtId="197" fontId="76" fillId="0" borderId="12" xfId="107" applyNumberFormat="1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77" fillId="0" borderId="57" xfId="101" applyFont="1" applyBorder="1" applyAlignment="1">
      <alignment horizontal="center" vertical="center"/>
    </xf>
    <xf numFmtId="0" fontId="77" fillId="0" borderId="58" xfId="101" applyFont="1" applyBorder="1" applyAlignment="1">
      <alignment horizontal="center" vertical="center"/>
    </xf>
    <xf numFmtId="0" fontId="77" fillId="0" borderId="59" xfId="101" applyFont="1" applyBorder="1" applyAlignment="1">
      <alignment horizontal="center" vertical="center"/>
    </xf>
    <xf numFmtId="0" fontId="37" fillId="0" borderId="49" xfId="101" applyFont="1" applyBorder="1" applyAlignment="1">
      <alignment horizontal="center"/>
    </xf>
    <xf numFmtId="0" fontId="37" fillId="0" borderId="50" xfId="101" applyFont="1" applyBorder="1" applyAlignment="1">
      <alignment horizontal="center"/>
    </xf>
    <xf numFmtId="0" fontId="37" fillId="0" borderId="60" xfId="101" applyFont="1" applyBorder="1" applyAlignment="1">
      <alignment horizontal="center"/>
    </xf>
    <xf numFmtId="0" fontId="37" fillId="0" borderId="57" xfId="101" applyFont="1" applyBorder="1" applyAlignment="1">
      <alignment horizontal="center"/>
    </xf>
    <xf numFmtId="0" fontId="37" fillId="0" borderId="58" xfId="101" applyFont="1" applyBorder="1" applyAlignment="1">
      <alignment horizontal="center"/>
    </xf>
    <xf numFmtId="0" fontId="37" fillId="0" borderId="59" xfId="101" applyFont="1" applyBorder="1" applyAlignment="1">
      <alignment horizontal="center"/>
    </xf>
    <xf numFmtId="0" fontId="78" fillId="0" borderId="57" xfId="101" applyFont="1" applyBorder="1" applyAlignment="1">
      <alignment horizontal="center" vertical="center"/>
    </xf>
    <xf numFmtId="0" fontId="78" fillId="0" borderId="58" xfId="101" applyFont="1" applyBorder="1" applyAlignment="1">
      <alignment horizontal="center" vertical="center"/>
    </xf>
    <xf numFmtId="0" fontId="78" fillId="0" borderId="60" xfId="101" applyFont="1" applyBorder="1" applyAlignment="1">
      <alignment horizontal="center" vertical="center"/>
    </xf>
    <xf numFmtId="0" fontId="57" fillId="0" borderId="19" xfId="101" applyFont="1" applyBorder="1" applyAlignment="1">
      <alignment vertical="center"/>
    </xf>
    <xf numFmtId="0" fontId="57" fillId="0" borderId="0" xfId="101" applyFont="1" applyBorder="1" applyAlignment="1">
      <alignment vertical="center"/>
    </xf>
    <xf numFmtId="0" fontId="37" fillId="0" borderId="0" xfId="101" applyFont="1" applyBorder="1" applyAlignment="1">
      <alignment vertical="center"/>
    </xf>
    <xf numFmtId="0" fontId="57" fillId="0" borderId="30" xfId="101" applyFont="1" applyBorder="1" applyAlignment="1">
      <alignment vertical="center"/>
    </xf>
    <xf numFmtId="0" fontId="62" fillId="0" borderId="0" xfId="101" applyFont="1" applyBorder="1" applyAlignment="1">
      <alignment vertical="center"/>
    </xf>
    <xf numFmtId="0" fontId="27" fillId="0" borderId="0" xfId="0" applyFont="1" applyBorder="1"/>
    <xf numFmtId="0" fontId="0" fillId="0" borderId="60" xfId="0" applyBorder="1"/>
    <xf numFmtId="0" fontId="37" fillId="0" borderId="19" xfId="101" applyFont="1" applyBorder="1" applyAlignment="1">
      <alignment vertical="center"/>
    </xf>
    <xf numFmtId="0" fontId="67" fillId="2" borderId="44" xfId="101" applyFont="1" applyFill="1" applyBorder="1" applyAlignment="1">
      <alignment vertical="center"/>
    </xf>
    <xf numFmtId="188" fontId="67" fillId="2" borderId="0" xfId="101" applyNumberFormat="1" applyFont="1" applyFill="1" applyBorder="1" applyAlignment="1">
      <alignment horizontal="center" vertical="center"/>
    </xf>
    <xf numFmtId="0" fontId="27" fillId="0" borderId="40" xfId="0" applyFont="1" applyBorder="1"/>
    <xf numFmtId="0" fontId="0" fillId="0" borderId="31" xfId="0" applyBorder="1"/>
    <xf numFmtId="0" fontId="18" fillId="0" borderId="19" xfId="101" applyFont="1" applyBorder="1" applyAlignment="1">
      <alignment horizontal="left" vertical="center"/>
    </xf>
    <xf numFmtId="0" fontId="18" fillId="0" borderId="0" xfId="101" applyFont="1" applyBorder="1" applyAlignment="1">
      <alignment horizontal="left" vertical="center"/>
    </xf>
    <xf numFmtId="0" fontId="57" fillId="2" borderId="35" xfId="101" applyFont="1" applyFill="1" applyBorder="1" applyAlignment="1">
      <alignment vertical="center"/>
    </xf>
    <xf numFmtId="0" fontId="18" fillId="2" borderId="36" xfId="101" applyFont="1" applyFill="1" applyBorder="1" applyAlignment="1">
      <alignment vertical="center"/>
    </xf>
    <xf numFmtId="0" fontId="27" fillId="2" borderId="36" xfId="0" applyFont="1" applyFill="1" applyBorder="1"/>
    <xf numFmtId="0" fontId="0" fillId="0" borderId="37" xfId="0" applyBorder="1"/>
    <xf numFmtId="0" fontId="18" fillId="0" borderId="19" xfId="101" applyFont="1" applyBorder="1" applyAlignment="1">
      <alignment vertical="center"/>
    </xf>
    <xf numFmtId="0" fontId="18" fillId="0" borderId="0" xfId="101" applyFont="1" applyBorder="1" applyAlignment="1">
      <alignment vertical="center"/>
    </xf>
    <xf numFmtId="0" fontId="18" fillId="0" borderId="39" xfId="101" applyFont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188" fontId="18" fillId="2" borderId="0" xfId="101" applyNumberFormat="1" applyFont="1" applyFill="1" applyBorder="1" applyAlignment="1">
      <alignment horizontal="center" vertical="center"/>
    </xf>
    <xf numFmtId="0" fontId="18" fillId="0" borderId="19" xfId="6" applyFont="1" applyBorder="1" applyAlignment="1">
      <alignment vertical="center"/>
    </xf>
    <xf numFmtId="0" fontId="18" fillId="0" borderId="0" xfId="6" applyFont="1" applyBorder="1" applyAlignment="1">
      <alignment vertical="center"/>
    </xf>
    <xf numFmtId="0" fontId="18" fillId="2" borderId="0" xfId="101" applyFont="1" applyFill="1" applyBorder="1" applyAlignment="1">
      <alignment vertical="center"/>
    </xf>
    <xf numFmtId="0" fontId="27" fillId="2" borderId="0" xfId="0" applyFont="1" applyFill="1" applyBorder="1"/>
    <xf numFmtId="0" fontId="57" fillId="0" borderId="38" xfId="101" applyFont="1" applyBorder="1" applyAlignment="1">
      <alignment horizontal="left" vertical="center"/>
    </xf>
    <xf numFmtId="0" fontId="57" fillId="0" borderId="36" xfId="101" applyFont="1" applyBorder="1" applyAlignment="1">
      <alignment horizontal="left" vertical="center"/>
    </xf>
    <xf numFmtId="0" fontId="18" fillId="0" borderId="36" xfId="101" applyFont="1" applyBorder="1" applyAlignment="1">
      <alignment horizontal="center" vertical="center"/>
    </xf>
    <xf numFmtId="0" fontId="18" fillId="0" borderId="41" xfId="101" applyFont="1" applyBorder="1" applyAlignment="1">
      <alignment horizontal="center" vertical="center"/>
    </xf>
    <xf numFmtId="0" fontId="18" fillId="2" borderId="35" xfId="101" applyFont="1" applyFill="1" applyBorder="1" applyAlignment="1">
      <alignment vertical="center"/>
    </xf>
    <xf numFmtId="188" fontId="18" fillId="2" borderId="36" xfId="101" applyNumberFormat="1" applyFont="1" applyFill="1" applyBorder="1" applyAlignment="1">
      <alignment horizontal="center" vertical="center"/>
    </xf>
    <xf numFmtId="0" fontId="18" fillId="2" borderId="36" xfId="0" applyFont="1" applyFill="1" applyBorder="1"/>
    <xf numFmtId="0" fontId="27" fillId="0" borderId="36" xfId="0" applyFont="1" applyBorder="1"/>
    <xf numFmtId="0" fontId="68" fillId="0" borderId="19" xfId="101" applyFont="1" applyFill="1" applyBorder="1" applyAlignment="1">
      <alignment horizontal="left" vertical="center" wrapText="1"/>
    </xf>
    <xf numFmtId="0" fontId="68" fillId="0" borderId="0" xfId="101" applyFont="1" applyFill="1" applyBorder="1" applyAlignment="1">
      <alignment horizontal="left" vertical="center" wrapText="1"/>
    </xf>
    <xf numFmtId="0" fontId="68" fillId="0" borderId="39" xfId="101" applyFont="1" applyFill="1" applyBorder="1" applyAlignment="1">
      <alignment horizontal="left" vertical="center" wrapText="1"/>
    </xf>
    <xf numFmtId="0" fontId="53" fillId="0" borderId="0" xfId="0" applyFont="1"/>
    <xf numFmtId="188" fontId="70" fillId="2" borderId="0" xfId="0" applyNumberFormat="1" applyFont="1" applyFill="1" applyBorder="1" applyAlignment="1">
      <alignment horizontal="center" vertical="center"/>
    </xf>
    <xf numFmtId="0" fontId="69" fillId="0" borderId="19" xfId="101" applyFont="1" applyFill="1" applyBorder="1" applyAlignment="1">
      <alignment horizontal="left" vertical="center" wrapText="1"/>
    </xf>
    <xf numFmtId="0" fontId="69" fillId="0" borderId="0" xfId="101" applyFont="1" applyFill="1" applyBorder="1" applyAlignment="1">
      <alignment horizontal="left" vertical="center" wrapText="1"/>
    </xf>
    <xf numFmtId="0" fontId="69" fillId="0" borderId="39" xfId="101" applyFont="1" applyFill="1" applyBorder="1" applyAlignment="1">
      <alignment horizontal="left" vertical="center" wrapText="1"/>
    </xf>
    <xf numFmtId="0" fontId="53" fillId="0" borderId="44" xfId="0" applyFont="1" applyBorder="1"/>
    <xf numFmtId="188" fontId="70" fillId="2" borderId="40" xfId="0" applyNumberFormat="1" applyFont="1" applyFill="1" applyBorder="1" applyAlignment="1">
      <alignment horizontal="center" vertical="center"/>
    </xf>
    <xf numFmtId="0" fontId="72" fillId="2" borderId="38" xfId="101" applyFont="1" applyFill="1" applyBorder="1" applyAlignment="1">
      <alignment vertical="center"/>
    </xf>
    <xf numFmtId="0" fontId="72" fillId="2" borderId="36" xfId="101" applyFont="1" applyFill="1" applyBorder="1" applyAlignment="1">
      <alignment vertical="center"/>
    </xf>
    <xf numFmtId="0" fontId="69" fillId="0" borderId="36" xfId="101" applyFont="1" applyFill="1" applyBorder="1" applyAlignment="1">
      <alignment vertical="center"/>
    </xf>
    <xf numFmtId="0" fontId="69" fillId="0" borderId="41" xfId="101" applyFont="1" applyFill="1" applyBorder="1" applyAlignment="1">
      <alignment vertical="center"/>
    </xf>
    <xf numFmtId="0" fontId="79" fillId="2" borderId="0" xfId="101" applyFont="1" applyFill="1" applyBorder="1" applyAlignment="1">
      <alignment vertical="center"/>
    </xf>
    <xf numFmtId="0" fontId="68" fillId="0" borderId="19" xfId="101" applyFont="1" applyFill="1" applyBorder="1" applyAlignment="1">
      <alignment vertical="center"/>
    </xf>
    <xf numFmtId="0" fontId="68" fillId="0" borderId="0" xfId="101" applyFont="1" applyFill="1" applyBorder="1" applyAlignment="1">
      <alignment vertical="center"/>
    </xf>
    <xf numFmtId="0" fontId="79" fillId="2" borderId="30" xfId="101" applyFont="1" applyFill="1" applyBorder="1" applyAlignment="1">
      <alignment vertical="center"/>
    </xf>
    <xf numFmtId="0" fontId="70" fillId="2" borderId="19" xfId="101" applyFont="1" applyFill="1" applyBorder="1" applyAlignment="1">
      <alignment vertical="center"/>
    </xf>
    <xf numFmtId="0" fontId="70" fillId="2" borderId="0" xfId="101" applyFont="1" applyFill="1" applyBorder="1" applyAlignment="1">
      <alignment vertical="center"/>
    </xf>
    <xf numFmtId="0" fontId="70" fillId="0" borderId="0" xfId="101" applyFont="1" applyFill="1" applyBorder="1" applyAlignment="1">
      <alignment vertical="center"/>
    </xf>
    <xf numFmtId="0" fontId="69" fillId="0" borderId="39" xfId="101" applyFont="1" applyFill="1" applyBorder="1" applyAlignment="1">
      <alignment vertical="center"/>
    </xf>
    <xf numFmtId="0" fontId="0" fillId="0" borderId="46" xfId="0" applyBorder="1"/>
    <xf numFmtId="0" fontId="70" fillId="0" borderId="19" xfId="101" applyFont="1" applyFill="1" applyBorder="1" applyAlignment="1">
      <alignment vertical="center" wrapText="1"/>
    </xf>
    <xf numFmtId="0" fontId="70" fillId="0" borderId="0" xfId="101" applyFont="1" applyFill="1" applyBorder="1" applyAlignment="1">
      <alignment vertical="center" wrapText="1"/>
    </xf>
    <xf numFmtId="0" fontId="69" fillId="0" borderId="39" xfId="101" applyFont="1" applyFill="1" applyBorder="1" applyAlignment="1">
      <alignment vertical="center" wrapText="1"/>
    </xf>
    <xf numFmtId="0" fontId="57" fillId="2" borderId="36" xfId="101" applyFont="1" applyFill="1" applyBorder="1" applyAlignment="1">
      <alignment vertical="center" wrapText="1"/>
    </xf>
    <xf numFmtId="188" fontId="18" fillId="2" borderId="36" xfId="0" applyNumberFormat="1" applyFont="1" applyFill="1" applyBorder="1" applyAlignment="1">
      <alignment horizontal="center" vertical="center"/>
    </xf>
    <xf numFmtId="0" fontId="70" fillId="0" borderId="42" xfId="101" applyFont="1" applyFill="1" applyBorder="1" applyAlignment="1">
      <alignment vertical="center" wrapText="1"/>
    </xf>
    <xf numFmtId="0" fontId="70" fillId="0" borderId="40" xfId="101" applyFont="1" applyFill="1" applyBorder="1" applyAlignment="1">
      <alignment vertical="center" wrapText="1"/>
    </xf>
    <xf numFmtId="0" fontId="69" fillId="0" borderId="43" xfId="101" applyFont="1" applyFill="1" applyBorder="1" applyAlignment="1">
      <alignment vertical="center" wrapText="1"/>
    </xf>
    <xf numFmtId="0" fontId="18" fillId="0" borderId="0" xfId="101" applyFont="1" applyBorder="1" applyAlignment="1">
      <alignment vertical="center" wrapText="1"/>
    </xf>
    <xf numFmtId="0" fontId="69" fillId="0" borderId="0" xfId="101" applyFont="1" applyFill="1" applyBorder="1" applyAlignment="1">
      <alignment vertical="center" wrapText="1"/>
    </xf>
    <xf numFmtId="0" fontId="18" fillId="0" borderId="30" xfId="101" applyFont="1" applyBorder="1" applyAlignment="1">
      <alignment vertical="center" wrapText="1"/>
    </xf>
    <xf numFmtId="0" fontId="18" fillId="0" borderId="44" xfId="101" applyFont="1" applyBorder="1" applyAlignment="1">
      <alignment horizontal="left" vertical="center"/>
    </xf>
    <xf numFmtId="0" fontId="18" fillId="0" borderId="40" xfId="101" applyFont="1" applyBorder="1" applyAlignment="1">
      <alignment vertical="center"/>
    </xf>
    <xf numFmtId="0" fontId="18" fillId="0" borderId="38" xfId="101" applyFont="1" applyBorder="1" applyAlignment="1">
      <alignment horizontal="left" vertical="center"/>
    </xf>
    <xf numFmtId="0" fontId="18" fillId="0" borderId="36" xfId="101" applyFont="1" applyBorder="1" applyAlignment="1">
      <alignment horizontal="left" vertical="center"/>
    </xf>
    <xf numFmtId="0" fontId="69" fillId="0" borderId="41" xfId="101" applyFont="1" applyFill="1" applyBorder="1" applyAlignment="1">
      <alignment vertical="center" wrapText="1"/>
    </xf>
    <xf numFmtId="0" fontId="57" fillId="0" borderId="61" xfId="101" applyFont="1" applyBorder="1" applyAlignment="1">
      <alignment horizontal="left" vertical="center"/>
    </xf>
    <xf numFmtId="0" fontId="57" fillId="0" borderId="62" xfId="101" applyFont="1" applyBorder="1" applyAlignment="1">
      <alignment vertical="center"/>
    </xf>
    <xf numFmtId="0" fontId="57" fillId="0" borderId="36" xfId="101" applyFont="1" applyBorder="1" applyAlignment="1">
      <alignment vertical="center"/>
    </xf>
    <xf numFmtId="0" fontId="57" fillId="0" borderId="35" xfId="101" applyFont="1" applyBorder="1" applyAlignment="1">
      <alignment vertical="center" wrapText="1"/>
    </xf>
    <xf numFmtId="0" fontId="57" fillId="0" borderId="36" xfId="101" applyFont="1" applyBorder="1" applyAlignment="1">
      <alignment vertical="center" wrapText="1"/>
    </xf>
    <xf numFmtId="0" fontId="18" fillId="0" borderId="36" xfId="0" applyFont="1" applyBorder="1"/>
    <xf numFmtId="0" fontId="18" fillId="2" borderId="63" xfId="101" applyFont="1" applyFill="1" applyBorder="1" applyAlignment="1">
      <alignment horizontal="left" vertical="center"/>
    </xf>
    <xf numFmtId="0" fontId="18" fillId="2" borderId="0" xfId="101" applyFont="1" applyFill="1" applyBorder="1" applyAlignment="1">
      <alignment horizontal="left" vertical="center"/>
    </xf>
    <xf numFmtId="188" fontId="27" fillId="2" borderId="30" xfId="101" applyNumberFormat="1" applyFont="1" applyFill="1" applyBorder="1" applyAlignment="1">
      <alignment horizontal="left" vertical="center"/>
    </xf>
    <xf numFmtId="188" fontId="27" fillId="2" borderId="64" xfId="101" applyNumberFormat="1" applyFont="1" applyFill="1" applyBorder="1" applyAlignment="1">
      <alignment horizontal="left" vertical="center"/>
    </xf>
    <xf numFmtId="188" fontId="27" fillId="2" borderId="65" xfId="101" applyNumberFormat="1" applyFont="1" applyFill="1" applyBorder="1" applyAlignment="1">
      <alignment horizontal="left" vertical="center"/>
    </xf>
    <xf numFmtId="188" fontId="27" fillId="2" borderId="26" xfId="101" applyNumberFormat="1" applyFont="1" applyFill="1" applyBorder="1" applyAlignment="1">
      <alignment horizontal="left" vertical="center" wrapText="1"/>
    </xf>
    <xf numFmtId="0" fontId="0" fillId="0" borderId="66" xfId="0" applyBorder="1"/>
    <xf numFmtId="0" fontId="37" fillId="0" borderId="52" xfId="101" applyFont="1" applyBorder="1" applyAlignment="1">
      <alignment horizontal="center" vertical="center" wrapText="1"/>
    </xf>
    <xf numFmtId="0" fontId="37" fillId="0" borderId="2" xfId="101" applyFont="1" applyBorder="1" applyAlignment="1">
      <alignment horizontal="center" vertical="center" wrapText="1"/>
    </xf>
    <xf numFmtId="186" fontId="37" fillId="0" borderId="29" xfId="63" applyNumberFormat="1" applyFont="1" applyBorder="1" applyAlignment="1">
      <alignment horizontal="center" vertical="center" wrapText="1"/>
    </xf>
    <xf numFmtId="0" fontId="37" fillId="0" borderId="29" xfId="101" applyFont="1" applyBorder="1" applyAlignment="1">
      <alignment horizontal="center" vertical="center" wrapText="1"/>
    </xf>
    <xf numFmtId="0" fontId="37" fillId="0" borderId="53" xfId="101" applyFont="1" applyBorder="1" applyAlignment="1">
      <alignment horizontal="center" vertical="center" wrapText="1"/>
    </xf>
    <xf numFmtId="0" fontId="18" fillId="0" borderId="0" xfId="0" applyFont="1" applyFill="1"/>
    <xf numFmtId="0" fontId="18" fillId="2" borderId="4" xfId="95" applyNumberFormat="1" applyFont="1" applyFill="1" applyBorder="1" applyAlignment="1">
      <alignment horizontal="center" vertical="center" wrapText="1"/>
    </xf>
    <xf numFmtId="0" fontId="22" fillId="2" borderId="5" xfId="95" applyNumberFormat="1" applyFont="1" applyFill="1" applyBorder="1" applyAlignment="1">
      <alignment horizontal="center" vertical="center" wrapText="1"/>
    </xf>
    <xf numFmtId="0" fontId="18" fillId="0" borderId="5" xfId="101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34" fillId="0" borderId="5" xfId="10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vertical="center"/>
    </xf>
    <xf numFmtId="186" fontId="40" fillId="2" borderId="11" xfId="101" applyNumberFormat="1" applyFont="1" applyFill="1" applyBorder="1" applyAlignment="1">
      <alignment horizontal="center" vertical="center"/>
    </xf>
    <xf numFmtId="2" fontId="37" fillId="0" borderId="12" xfId="0" applyNumberFormat="1" applyFont="1" applyFill="1" applyBorder="1" applyAlignment="1">
      <alignment horizontal="center" vertical="center" wrapText="1"/>
    </xf>
    <xf numFmtId="4" fontId="79" fillId="0" borderId="0" xfId="101" applyNumberFormat="1" applyFont="1" applyBorder="1" applyAlignment="1">
      <alignment horizontal="right"/>
    </xf>
    <xf numFmtId="202" fontId="80" fillId="0" borderId="0" xfId="101" applyNumberFormat="1" applyFont="1" applyBorder="1" applyAlignment="1">
      <alignment horizontal="left"/>
    </xf>
    <xf numFmtId="4" fontId="27" fillId="0" borderId="0" xfId="101" applyNumberFormat="1" applyFont="1" applyBorder="1" applyAlignment="1">
      <alignment horizontal="center"/>
    </xf>
    <xf numFmtId="4" fontId="81" fillId="0" borderId="0" xfId="101" applyNumberFormat="1" applyFont="1" applyBorder="1"/>
    <xf numFmtId="4" fontId="18" fillId="0" borderId="0" xfId="101" applyNumberFormat="1" applyFont="1" applyBorder="1" applyAlignment="1">
      <alignment horizontal="center"/>
    </xf>
    <xf numFmtId="0" fontId="27" fillId="0" borderId="0" xfId="101" applyFont="1" applyBorder="1"/>
    <xf numFmtId="0" fontId="62" fillId="0" borderId="0" xfId="101" applyFont="1" applyBorder="1" applyAlignment="1">
      <alignment horizontal="center"/>
    </xf>
    <xf numFmtId="0" fontId="82" fillId="0" borderId="0" xfId="101" applyFont="1" applyBorder="1"/>
    <xf numFmtId="0" fontId="0" fillId="0" borderId="0" xfId="0" applyBorder="1"/>
    <xf numFmtId="0" fontId="83" fillId="0" borderId="0" xfId="101" applyFont="1" applyBorder="1" applyAlignment="1">
      <alignment horizontal="center"/>
    </xf>
    <xf numFmtId="0" fontId="82" fillId="0" borderId="19" xfId="101" applyFont="1" applyBorder="1"/>
    <xf numFmtId="0" fontId="84" fillId="0" borderId="19" xfId="101" applyFont="1" applyBorder="1"/>
    <xf numFmtId="0" fontId="84" fillId="0" borderId="0" xfId="101" applyFont="1" applyBorder="1"/>
    <xf numFmtId="0" fontId="85" fillId="0" borderId="0" xfId="101"/>
    <xf numFmtId="0" fontId="63" fillId="0" borderId="0" xfId="101" applyFont="1" applyBorder="1" applyAlignment="1">
      <alignment horizontal="center"/>
    </xf>
    <xf numFmtId="0" fontId="27" fillId="0" borderId="0" xfId="101" applyFont="1"/>
    <xf numFmtId="0" fontId="18" fillId="0" borderId="5" xfId="101" applyFont="1" applyFill="1" applyBorder="1" applyAlignment="1" quotePrefix="1">
      <alignment horizontal="center" vertical="center" wrapText="1"/>
    </xf>
    <xf numFmtId="0" fontId="18" fillId="0" borderId="21" xfId="101" applyFont="1" applyFill="1" applyBorder="1" applyAlignment="1" quotePrefix="1">
      <alignment horizontal="center" vertical="center" wrapText="1"/>
    </xf>
    <xf numFmtId="0" fontId="18" fillId="0" borderId="21" xfId="99" applyFont="1" applyFill="1" applyBorder="1" applyAlignment="1" quotePrefix="1">
      <alignment horizontal="center" vertical="center" wrapText="1"/>
    </xf>
    <xf numFmtId="1" fontId="33" fillId="0" borderId="0" xfId="99" applyNumberFormat="1" applyFont="1" applyAlignment="1" quotePrefix="1">
      <alignment horizontal="left" vertical="center"/>
    </xf>
  </cellXfs>
  <cellStyles count="12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2 4 2" xfId="55"/>
    <cellStyle name="Comma 3" xfId="56"/>
    <cellStyle name="Comma 3 2" xfId="57"/>
    <cellStyle name="Comma 3 3" xfId="58"/>
    <cellStyle name="Comma 4" xfId="59"/>
    <cellStyle name="Comma 5" xfId="60"/>
    <cellStyle name="Comma 6" xfId="61"/>
    <cellStyle name="Comma 7" xfId="62"/>
    <cellStyle name="Comma 7 2" xfId="63"/>
    <cellStyle name="Comma 8" xfId="64"/>
    <cellStyle name="Comma 9" xfId="65"/>
    <cellStyle name="Currency 2" xfId="66"/>
    <cellStyle name="Currency 2 2" xfId="67"/>
    <cellStyle name="Currency Custom" xfId="68"/>
    <cellStyle name="Hyperlink 2" xfId="69"/>
    <cellStyle name="Indent" xfId="70"/>
    <cellStyle name="Item" xfId="71"/>
    <cellStyle name="Normal 11" xfId="72"/>
    <cellStyle name="Normal 11 2 2" xfId="73"/>
    <cellStyle name="Normal 2" xfId="74"/>
    <cellStyle name="Normal 2 2" xfId="75"/>
    <cellStyle name="Normal 2 3" xfId="76"/>
    <cellStyle name="Normal 2 4" xfId="77"/>
    <cellStyle name="Normal 2 4 2" xfId="78"/>
    <cellStyle name="Normal 3" xfId="79"/>
    <cellStyle name="Normal 3 2" xfId="80"/>
    <cellStyle name="Normal 3 2 2" xfId="81"/>
    <cellStyle name="Normal 3 2 2 2" xfId="82"/>
    <cellStyle name="Normal 3 3" xfId="83"/>
    <cellStyle name="Normal 3 4" xfId="84"/>
    <cellStyle name="Normal 3 5" xfId="85"/>
    <cellStyle name="Normal 3 6 2" xfId="86"/>
    <cellStyle name="Normal 4" xfId="87"/>
    <cellStyle name="Normal 4 2" xfId="88"/>
    <cellStyle name="Normal 4 2 2" xfId="89"/>
    <cellStyle name="Normal 4 3" xfId="90"/>
    <cellStyle name="Normal 4 3 2" xfId="91"/>
    <cellStyle name="Normal 4 3 3" xfId="92"/>
    <cellStyle name="Normal 4 3 3 2" xfId="93"/>
    <cellStyle name="Normal 4 3 4" xfId="94"/>
    <cellStyle name="Normal 4 3 5" xfId="95"/>
    <cellStyle name="Normal 4 3 5 2" xfId="96"/>
    <cellStyle name="Normal 4 3 5 2 2" xfId="97"/>
    <cellStyle name="Normal 4 4" xfId="98"/>
    <cellStyle name="Normal 5" xfId="99"/>
    <cellStyle name="Normal 5 2" xfId="100"/>
    <cellStyle name="Normal 5 3" xfId="101"/>
    <cellStyle name="Normal 5 3 2" xfId="102"/>
    <cellStyle name="Normal 5 3 2 2 2" xfId="103"/>
    <cellStyle name="Normal 50 2" xfId="104"/>
    <cellStyle name="Normal 6" xfId="105"/>
    <cellStyle name="Normal 6 2" xfId="106"/>
    <cellStyle name="Normal 6 3" xfId="107"/>
    <cellStyle name="Normal 7" xfId="108"/>
    <cellStyle name="Normal 7 2" xfId="109"/>
    <cellStyle name="Normal 7 2 2" xfId="110"/>
    <cellStyle name="Normal 7 2 3" xfId="111"/>
    <cellStyle name="Normal 7 3" xfId="112"/>
    <cellStyle name="Normal 70 2" xfId="113"/>
    <cellStyle name="Normal 8" xfId="114"/>
    <cellStyle name="Normal 9" xfId="115"/>
    <cellStyle name="Normal_Inv" xfId="116"/>
    <cellStyle name="Normal_Inv 2" xfId="117"/>
    <cellStyle name="Normal_Sheet1" xfId="118"/>
    <cellStyle name="Purple Background" xfId="119"/>
    <cellStyle name="S10" xfId="120"/>
    <cellStyle name="White Background" xfId="121"/>
    <cellStyle name="표준_Book3_0308-10항차" xfId="122"/>
    <cellStyle name="常规 11" xfId="123"/>
    <cellStyle name="常规 29" xfId="124"/>
    <cellStyle name="常规 9 2" xfId="125"/>
    <cellStyle name="常规_Sheet1" xfId="12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6161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108"/>
  <sheetViews>
    <sheetView view="pageBreakPreview" zoomScale="60" zoomScaleNormal="70" workbookViewId="0">
      <selection activeCell="F12" sqref="F12"/>
    </sheetView>
  </sheetViews>
  <sheetFormatPr defaultColWidth="9" defaultRowHeight="14"/>
  <cols>
    <col min="1" max="1" width="34.2818181818182" customWidth="1"/>
    <col min="2" max="2" width="38.8545454545455" customWidth="1"/>
    <col min="3" max="3" width="23.8545454545455" customWidth="1"/>
    <col min="4" max="4" width="48.1363636363636" customWidth="1"/>
    <col min="5" max="5" width="29.2818181818182" customWidth="1"/>
    <col min="6" max="6" width="33.1363636363636" customWidth="1"/>
    <col min="7" max="7" width="24.4272727272727" customWidth="1"/>
    <col min="8" max="9" width="17.5727272727273" customWidth="1"/>
    <col min="10" max="10" width="21.7090909090909" customWidth="1"/>
    <col min="11" max="11" width="9" style="471"/>
    <col min="12" max="12" width="32.4272727272727" style="471" customWidth="1"/>
    <col min="13" max="31" width="9" style="471"/>
  </cols>
  <sheetData>
    <row r="1" ht="36.75" customHeight="1" spans="1:10">
      <c r="A1" s="472" t="s">
        <v>0</v>
      </c>
      <c r="B1" s="473"/>
      <c r="C1" s="473"/>
      <c r="D1" s="473"/>
      <c r="E1" s="473"/>
      <c r="F1" s="473"/>
      <c r="G1" s="473"/>
      <c r="H1" s="473"/>
      <c r="I1" s="473"/>
      <c r="J1" s="474"/>
    </row>
    <row r="2" ht="30.75" customHeight="1" spans="1:10">
      <c r="A2" s="475" t="s">
        <v>1</v>
      </c>
      <c r="B2" s="476"/>
      <c r="C2" s="476"/>
      <c r="D2" s="476"/>
      <c r="E2" s="476"/>
      <c r="F2" s="476"/>
      <c r="G2" s="476"/>
      <c r="H2" s="476"/>
      <c r="I2" s="476"/>
      <c r="J2" s="477"/>
    </row>
    <row r="3" ht="29.25" customHeight="1" spans="1:10">
      <c r="A3" s="478" t="s">
        <v>2</v>
      </c>
      <c r="B3" s="479"/>
      <c r="C3" s="479"/>
      <c r="D3" s="479"/>
      <c r="E3" s="479"/>
      <c r="F3" s="479"/>
      <c r="G3" s="479"/>
      <c r="H3" s="479"/>
      <c r="I3" s="479"/>
      <c r="J3" s="480"/>
    </row>
    <row r="4" ht="28.75" spans="1:10">
      <c r="A4" s="481" t="s">
        <v>3</v>
      </c>
      <c r="B4" s="482"/>
      <c r="C4" s="482"/>
      <c r="D4" s="482"/>
      <c r="E4" s="482"/>
      <c r="F4" s="482"/>
      <c r="G4" s="482"/>
      <c r="H4" s="482"/>
      <c r="I4" s="482"/>
      <c r="J4" s="483"/>
    </row>
    <row r="5" ht="15.5" spans="1:10">
      <c r="A5" s="484" t="s">
        <v>4</v>
      </c>
      <c r="B5" s="485"/>
      <c r="C5" s="485"/>
      <c r="D5" s="486"/>
      <c r="E5" s="486"/>
      <c r="F5" s="487" t="s">
        <v>5</v>
      </c>
      <c r="G5" s="488"/>
      <c r="H5" s="489"/>
      <c r="I5" s="489"/>
      <c r="J5" s="490"/>
    </row>
    <row r="6" ht="15.5" spans="1:10">
      <c r="A6" s="491" t="s">
        <v>6</v>
      </c>
      <c r="B6" s="486"/>
      <c r="C6" s="486"/>
      <c r="D6" s="486"/>
      <c r="E6" s="486"/>
      <c r="F6" s="492" t="str">
        <f>DPL!J7</f>
        <v>AK/GDI-20260010</v>
      </c>
      <c r="G6" s="493">
        <f>DPL!L7</f>
        <v>46125</v>
      </c>
      <c r="H6" s="493"/>
      <c r="I6" s="494"/>
      <c r="J6" s="495"/>
    </row>
    <row r="7" ht="15.5" spans="1:10">
      <c r="A7" s="496" t="s">
        <v>7</v>
      </c>
      <c r="B7" s="497"/>
      <c r="C7" s="497"/>
      <c r="D7" s="497"/>
      <c r="E7" s="497"/>
      <c r="F7" s="498" t="s">
        <v>8</v>
      </c>
      <c r="G7" s="499"/>
      <c r="H7" s="500"/>
      <c r="I7" s="489"/>
      <c r="J7" s="501"/>
    </row>
    <row r="8" ht="15.5" spans="1:10">
      <c r="A8" s="502" t="s">
        <v>9</v>
      </c>
      <c r="B8" s="503"/>
      <c r="C8" s="503"/>
      <c r="D8" s="503"/>
      <c r="E8" s="504"/>
      <c r="F8" s="505"/>
      <c r="G8" s="506"/>
      <c r="H8" s="506"/>
      <c r="I8" s="489"/>
      <c r="J8" s="495"/>
    </row>
    <row r="9" ht="15.5" spans="1:10">
      <c r="A9" s="507" t="s">
        <v>10</v>
      </c>
      <c r="B9" s="508"/>
      <c r="C9" s="508"/>
      <c r="D9" s="503"/>
      <c r="E9" s="504"/>
      <c r="F9" s="509" t="str">
        <f>DPL!J12</f>
        <v>AK/GDI/CT-202602</v>
      </c>
      <c r="G9" s="506">
        <f>DPL!L12</f>
        <v>46035</v>
      </c>
      <c r="H9" s="510"/>
      <c r="I9" s="489"/>
      <c r="J9" s="495"/>
    </row>
    <row r="10" ht="15.5" spans="1:10">
      <c r="A10" s="511" t="s">
        <v>11</v>
      </c>
      <c r="B10" s="512"/>
      <c r="C10" s="512"/>
      <c r="D10" s="513"/>
      <c r="E10" s="514"/>
      <c r="F10" s="515"/>
      <c r="G10" s="516"/>
      <c r="H10" s="517"/>
      <c r="I10" s="518"/>
      <c r="J10" s="501"/>
    </row>
    <row r="11" ht="15.5" spans="1:10">
      <c r="A11" s="519" t="s">
        <v>12</v>
      </c>
      <c r="B11" s="520"/>
      <c r="C11" s="520"/>
      <c r="D11" s="520"/>
      <c r="E11" s="521"/>
      <c r="F11" s="522"/>
      <c r="G11" s="523"/>
      <c r="H11" s="523"/>
      <c r="I11" s="489"/>
      <c r="J11" s="495"/>
    </row>
    <row r="12" ht="15.5" spans="1:10">
      <c r="A12" s="524" t="s">
        <v>13</v>
      </c>
      <c r="B12" s="525"/>
      <c r="C12" s="525"/>
      <c r="D12" s="525"/>
      <c r="E12" s="526"/>
      <c r="F12" s="522"/>
      <c r="G12" s="523"/>
      <c r="H12" s="523"/>
      <c r="I12" s="489"/>
      <c r="J12" s="495"/>
    </row>
    <row r="13" ht="15.5" spans="1:10">
      <c r="A13" s="524" t="s">
        <v>14</v>
      </c>
      <c r="B13" s="525"/>
      <c r="C13" s="525"/>
      <c r="D13" s="525"/>
      <c r="E13" s="526"/>
      <c r="F13" s="522"/>
      <c r="G13" s="523"/>
      <c r="H13" s="523"/>
      <c r="I13" s="489"/>
      <c r="J13" s="495"/>
    </row>
    <row r="14" ht="15.5" spans="1:10">
      <c r="A14" s="524"/>
      <c r="B14" s="525"/>
      <c r="C14" s="525"/>
      <c r="D14" s="525"/>
      <c r="E14" s="526"/>
      <c r="F14" s="527"/>
      <c r="G14" s="528"/>
      <c r="H14" s="528"/>
      <c r="I14" s="494"/>
      <c r="J14" s="495"/>
    </row>
    <row r="15" ht="15.5" spans="1:10">
      <c r="A15" s="529" t="s">
        <v>15</v>
      </c>
      <c r="B15" s="530"/>
      <c r="C15" s="531"/>
      <c r="D15" s="531"/>
      <c r="E15" s="532"/>
      <c r="F15" s="533" t="s">
        <v>16</v>
      </c>
      <c r="G15" s="439"/>
      <c r="H15" s="439"/>
      <c r="I15" s="489"/>
      <c r="J15" s="495"/>
    </row>
    <row r="16" ht="15.5" spans="1:10">
      <c r="A16" s="534" t="str">
        <f>DPL!A17</f>
        <v>PT NIRWANA ALABARE GARMENT</v>
      </c>
      <c r="B16" s="535"/>
      <c r="C16" s="535"/>
      <c r="D16" s="535"/>
      <c r="E16" s="535"/>
      <c r="F16" s="536" t="s">
        <v>17</v>
      </c>
      <c r="G16" s="439"/>
      <c r="H16" s="439"/>
      <c r="I16" s="489"/>
      <c r="J16" s="495"/>
    </row>
    <row r="17" ht="15.5" spans="1:31">
      <c r="A17" s="537" t="str">
        <f>DPL!A18</f>
        <v>JL. RAYA RANCAEKEK - MAJALAYA , NO.289, DESA SOLOKAN JERUK, </v>
      </c>
      <c r="B17" s="538"/>
      <c r="C17" s="539"/>
      <c r="D17" s="539"/>
      <c r="E17" s="540"/>
      <c r="F17" s="503"/>
      <c r="G17" s="439"/>
      <c r="H17" s="439"/>
      <c r="I17" s="489"/>
      <c r="J17" s="495"/>
    </row>
    <row r="18" ht="15.5" spans="1:31">
      <c r="A18" s="537" t="str">
        <f>DPL!A19</f>
        <v>KECAMATAN SOLOKAN JERUK, KABUPATEN BANDUNG JAWA BARAT</v>
      </c>
      <c r="B18" s="538"/>
      <c r="C18" s="539"/>
      <c r="D18" s="539"/>
      <c r="E18" s="540"/>
      <c r="F18" s="503"/>
      <c r="G18" s="439"/>
      <c r="H18" s="439"/>
      <c r="I18" s="489"/>
      <c r="J18" s="541"/>
    </row>
    <row r="19" ht="15.5" spans="1:31">
      <c r="A19" s="542" t="str">
        <f>DPL!A20</f>
        <v>40382, INDONESIA</v>
      </c>
      <c r="B19" s="543"/>
      <c r="C19" s="543"/>
      <c r="D19" s="543"/>
      <c r="E19" s="544"/>
      <c r="F19" s="545"/>
      <c r="G19" s="546"/>
      <c r="H19" s="546"/>
      <c r="I19" s="518"/>
      <c r="J19" s="495"/>
    </row>
    <row r="20" ht="22.5" customHeight="1" spans="1:31">
      <c r="A20" s="547" t="str">
        <f>DPL!A21</f>
        <v>TAX ID :0745 4069 2644 4000</v>
      </c>
      <c r="B20" s="548"/>
      <c r="C20" s="548"/>
      <c r="D20" s="548"/>
      <c r="E20" s="549"/>
      <c r="F20" s="550"/>
      <c r="G20" s="439"/>
      <c r="H20" s="439"/>
      <c r="I20" s="489"/>
      <c r="J20" s="495"/>
    </row>
    <row r="21" ht="15.5" spans="1:31">
      <c r="A21" s="542"/>
      <c r="B21" s="543"/>
      <c r="C21" s="543"/>
      <c r="D21" s="543"/>
      <c r="E21" s="544"/>
      <c r="F21" s="550"/>
      <c r="G21" s="439"/>
      <c r="H21" s="439"/>
      <c r="I21" s="489"/>
      <c r="J21" s="495"/>
    </row>
    <row r="22" ht="15.5" spans="1:31">
      <c r="A22" s="542"/>
      <c r="B22" s="543"/>
      <c r="C22" s="543"/>
      <c r="D22" s="543"/>
      <c r="E22" s="551"/>
      <c r="F22" s="552"/>
      <c r="G22" s="439"/>
      <c r="H22" s="439"/>
      <c r="I22" s="489"/>
      <c r="J22" s="495"/>
    </row>
    <row r="23" ht="15.5" spans="1:31">
      <c r="A23" s="484" t="s">
        <v>18</v>
      </c>
      <c r="B23" s="485"/>
      <c r="C23" s="487" t="s">
        <v>19</v>
      </c>
      <c r="D23" s="486"/>
      <c r="E23" s="551"/>
      <c r="F23" s="552"/>
      <c r="G23" s="439"/>
      <c r="H23" s="439"/>
      <c r="I23" s="489"/>
      <c r="J23" s="495"/>
    </row>
    <row r="24" ht="15.5" spans="1:31">
      <c r="A24" s="496" t="str">
        <f>DPL!A24</f>
        <v>HO CHI MINH</v>
      </c>
      <c r="B24" s="497"/>
      <c r="C24" s="553" t="str">
        <f>DPL!E24</f>
        <v>JAKARTA</v>
      </c>
      <c r="D24" s="554"/>
      <c r="E24" s="551"/>
      <c r="F24" s="552"/>
      <c r="G24" s="439"/>
      <c r="H24" s="439"/>
      <c r="I24" s="489"/>
      <c r="J24" s="495"/>
    </row>
    <row r="25" ht="15.5" spans="1:31">
      <c r="A25" s="555"/>
      <c r="B25" s="556"/>
      <c r="C25" s="497"/>
      <c r="D25" s="503"/>
      <c r="E25" s="557"/>
      <c r="F25" s="552"/>
      <c r="G25" s="439"/>
      <c r="H25" s="439"/>
      <c r="I25" s="489"/>
      <c r="J25" s="495"/>
    </row>
    <row r="26" ht="15.5" spans="1:31">
      <c r="A26" s="542"/>
      <c r="B26" s="543"/>
      <c r="C26" s="543"/>
      <c r="D26" s="543"/>
      <c r="E26" s="551"/>
      <c r="F26" s="552"/>
      <c r="G26" s="439"/>
      <c r="H26" s="439"/>
      <c r="I26" s="489"/>
      <c r="J26" s="495"/>
    </row>
    <row r="27" ht="16.5" customHeight="1" spans="1:31">
      <c r="A27" s="511" t="s">
        <v>20</v>
      </c>
      <c r="B27" s="558"/>
      <c r="C27" s="559" t="s">
        <v>21</v>
      </c>
      <c r="D27" s="560" t="s">
        <v>22</v>
      </c>
      <c r="E27" s="560"/>
      <c r="F27" s="561"/>
      <c r="G27" s="562"/>
      <c r="H27" s="563"/>
      <c r="I27" s="518"/>
      <c r="J27" s="501"/>
    </row>
    <row r="28" ht="78" customHeight="1" spans="1:31">
      <c r="A28" s="564"/>
      <c r="B28" s="565"/>
      <c r="C28" s="566">
        <f>DPL!C27</f>
        <v>46126</v>
      </c>
      <c r="D28" s="567">
        <f>DPL!E27</f>
        <v>46128</v>
      </c>
      <c r="E28" s="568"/>
      <c r="F28" s="536" t="s">
        <v>23</v>
      </c>
      <c r="G28" s="569"/>
      <c r="H28" s="569"/>
      <c r="I28" s="569"/>
      <c r="J28" s="570"/>
    </row>
    <row r="29" s="468" customFormat="1" ht="51" customHeight="1" spans="1:31">
      <c r="A29" s="571" t="s">
        <v>24</v>
      </c>
      <c r="B29" s="572" t="s">
        <v>25</v>
      </c>
      <c r="C29" s="572" t="s">
        <v>26</v>
      </c>
      <c r="D29" s="572" t="s">
        <v>27</v>
      </c>
      <c r="E29" s="572" t="s">
        <v>28</v>
      </c>
      <c r="F29" s="572" t="s">
        <v>29</v>
      </c>
      <c r="G29" s="573" t="s">
        <v>30</v>
      </c>
      <c r="H29" s="574" t="s">
        <v>31</v>
      </c>
      <c r="I29" s="574" t="s">
        <v>32</v>
      </c>
      <c r="J29" s="575" t="s">
        <v>33</v>
      </c>
      <c r="K29" s="576"/>
      <c r="L29" s="576"/>
      <c r="M29" s="576"/>
      <c r="N29" s="576"/>
      <c r="O29" s="576"/>
      <c r="P29" s="576"/>
      <c r="Q29" s="576"/>
      <c r="R29" s="576"/>
      <c r="S29" s="576"/>
      <c r="T29" s="576"/>
      <c r="U29" s="576"/>
      <c r="V29" s="576"/>
      <c r="W29" s="576"/>
      <c r="X29" s="576"/>
      <c r="Y29" s="576"/>
      <c r="Z29" s="576"/>
      <c r="AA29" s="576"/>
      <c r="AB29" s="576"/>
      <c r="AC29" s="576"/>
      <c r="AD29" s="576"/>
      <c r="AE29" s="576"/>
    </row>
    <row r="30" s="469" customFormat="1" ht="69" customHeight="1" spans="1:31">
      <c r="A30" s="577" t="s">
        <v>34</v>
      </c>
      <c r="B30" s="578" t="s">
        <v>35</v>
      </c>
      <c r="C30" s="579">
        <v>1051120</v>
      </c>
      <c r="D30" s="580" t="s">
        <v>36</v>
      </c>
      <c r="E30" s="602" t="s">
        <v>37</v>
      </c>
      <c r="F30" s="581" t="s">
        <v>38</v>
      </c>
      <c r="G30" s="579">
        <v>2400</v>
      </c>
      <c r="H30" s="579" t="s">
        <v>39</v>
      </c>
      <c r="I30" s="580">
        <v>0.165</v>
      </c>
      <c r="J30" s="582">
        <f>ROUND(G30*I30,2)</f>
        <v>396</v>
      </c>
    </row>
    <row r="31" s="469" customFormat="1" ht="69" customHeight="1" spans="1:31">
      <c r="A31" s="577" t="s">
        <v>34</v>
      </c>
      <c r="B31" s="578" t="s">
        <v>35</v>
      </c>
      <c r="C31" s="579">
        <v>1051120</v>
      </c>
      <c r="D31" s="580" t="s">
        <v>36</v>
      </c>
      <c r="E31" s="602" t="s">
        <v>37</v>
      </c>
      <c r="F31" s="581" t="s">
        <v>40</v>
      </c>
      <c r="G31" s="579">
        <v>3500</v>
      </c>
      <c r="H31" s="579" t="s">
        <v>39</v>
      </c>
      <c r="I31" s="580">
        <v>0.165</v>
      </c>
      <c r="J31" s="582">
        <f t="shared" ref="J31:J53" si="0">ROUND(G31*I31,2)</f>
        <v>577.5</v>
      </c>
    </row>
    <row r="32" s="469" customFormat="1" ht="69" customHeight="1" spans="1:31">
      <c r="A32" s="577" t="s">
        <v>34</v>
      </c>
      <c r="B32" s="578" t="s">
        <v>35</v>
      </c>
      <c r="C32" s="579">
        <v>1051120</v>
      </c>
      <c r="D32" s="580" t="s">
        <v>36</v>
      </c>
      <c r="E32" s="602" t="s">
        <v>37</v>
      </c>
      <c r="F32" s="581" t="s">
        <v>41</v>
      </c>
      <c r="G32" s="579">
        <v>2200</v>
      </c>
      <c r="H32" s="579" t="s">
        <v>39</v>
      </c>
      <c r="I32" s="580">
        <v>0.165</v>
      </c>
      <c r="J32" s="582">
        <f t="shared" si="0"/>
        <v>363</v>
      </c>
    </row>
    <row r="33" s="469" customFormat="1" ht="69" customHeight="1" spans="1:10">
      <c r="A33" s="577" t="s">
        <v>34</v>
      </c>
      <c r="B33" s="578" t="s">
        <v>35</v>
      </c>
      <c r="C33" s="579">
        <v>1051120</v>
      </c>
      <c r="D33" s="580" t="s">
        <v>36</v>
      </c>
      <c r="E33" s="602" t="s">
        <v>37</v>
      </c>
      <c r="F33" s="581" t="s">
        <v>42</v>
      </c>
      <c r="G33" s="579">
        <v>4648</v>
      </c>
      <c r="H33" s="579" t="s">
        <v>39</v>
      </c>
      <c r="I33" s="580">
        <v>0.165</v>
      </c>
      <c r="J33" s="582">
        <f t="shared" si="0"/>
        <v>766.92</v>
      </c>
    </row>
    <row r="34" s="469" customFormat="1" ht="69" customHeight="1" spans="1:10">
      <c r="A34" s="577" t="s">
        <v>34</v>
      </c>
      <c r="B34" s="578" t="s">
        <v>35</v>
      </c>
      <c r="C34" s="579">
        <v>1051120</v>
      </c>
      <c r="D34" s="580" t="s">
        <v>36</v>
      </c>
      <c r="E34" s="602" t="s">
        <v>37</v>
      </c>
      <c r="F34" s="581" t="s">
        <v>43</v>
      </c>
      <c r="G34" s="579">
        <v>3122</v>
      </c>
      <c r="H34" s="579" t="s">
        <v>39</v>
      </c>
      <c r="I34" s="580">
        <v>0.165</v>
      </c>
      <c r="J34" s="582">
        <f t="shared" si="0"/>
        <v>515.13</v>
      </c>
    </row>
    <row r="35" s="469" customFormat="1" ht="69" customHeight="1" spans="1:10">
      <c r="A35" s="577" t="s">
        <v>34</v>
      </c>
      <c r="B35" s="578" t="s">
        <v>35</v>
      </c>
      <c r="C35" s="579">
        <v>1051120</v>
      </c>
      <c r="D35" s="580" t="s">
        <v>36</v>
      </c>
      <c r="E35" s="602" t="s">
        <v>37</v>
      </c>
      <c r="F35" s="581" t="s">
        <v>44</v>
      </c>
      <c r="G35" s="579">
        <v>2600</v>
      </c>
      <c r="H35" s="579" t="s">
        <v>39</v>
      </c>
      <c r="I35" s="580">
        <v>0.165</v>
      </c>
      <c r="J35" s="582">
        <f t="shared" si="0"/>
        <v>429</v>
      </c>
    </row>
    <row r="36" s="469" customFormat="1" ht="69" customHeight="1" spans="1:10">
      <c r="A36" s="577" t="s">
        <v>34</v>
      </c>
      <c r="B36" s="578" t="s">
        <v>35</v>
      </c>
      <c r="C36" s="579">
        <v>1051120</v>
      </c>
      <c r="D36" s="580" t="s">
        <v>36</v>
      </c>
      <c r="E36" s="602" t="s">
        <v>37</v>
      </c>
      <c r="F36" s="581" t="s">
        <v>45</v>
      </c>
      <c r="G36" s="579">
        <v>1708</v>
      </c>
      <c r="H36" s="579" t="s">
        <v>39</v>
      </c>
      <c r="I36" s="580">
        <v>0.165</v>
      </c>
      <c r="J36" s="582">
        <f t="shared" si="0"/>
        <v>281.82</v>
      </c>
    </row>
    <row r="37" s="469" customFormat="1" ht="69" customHeight="1" spans="1:10">
      <c r="A37" s="577" t="s">
        <v>34</v>
      </c>
      <c r="B37" s="578" t="s">
        <v>35</v>
      </c>
      <c r="C37" s="579">
        <v>1051120</v>
      </c>
      <c r="D37" s="580" t="s">
        <v>36</v>
      </c>
      <c r="E37" s="602" t="s">
        <v>37</v>
      </c>
      <c r="F37" s="581" t="s">
        <v>46</v>
      </c>
      <c r="G37" s="579">
        <v>2337</v>
      </c>
      <c r="H37" s="579" t="s">
        <v>39</v>
      </c>
      <c r="I37" s="580">
        <v>0.165</v>
      </c>
      <c r="J37" s="582">
        <f t="shared" si="0"/>
        <v>385.61</v>
      </c>
    </row>
    <row r="38" s="469" customFormat="1" ht="69" customHeight="1" spans="1:10">
      <c r="A38" s="577" t="s">
        <v>34</v>
      </c>
      <c r="B38" s="578" t="s">
        <v>35</v>
      </c>
      <c r="C38" s="579">
        <v>1051120</v>
      </c>
      <c r="D38" s="580" t="s">
        <v>36</v>
      </c>
      <c r="E38" s="602" t="s">
        <v>47</v>
      </c>
      <c r="F38" s="581" t="s">
        <v>44</v>
      </c>
      <c r="G38" s="579">
        <v>292</v>
      </c>
      <c r="H38" s="579" t="s">
        <v>39</v>
      </c>
      <c r="I38" s="580">
        <v>0.17</v>
      </c>
      <c r="J38" s="582">
        <f t="shared" si="0"/>
        <v>49.64</v>
      </c>
    </row>
    <row r="39" s="469" customFormat="1" ht="69" customHeight="1" spans="1:10">
      <c r="A39" s="577" t="s">
        <v>34</v>
      </c>
      <c r="B39" s="578" t="s">
        <v>35</v>
      </c>
      <c r="C39" s="579">
        <v>1051120</v>
      </c>
      <c r="D39" s="580" t="s">
        <v>36</v>
      </c>
      <c r="E39" s="602" t="s">
        <v>47</v>
      </c>
      <c r="F39" s="581" t="s">
        <v>46</v>
      </c>
      <c r="G39" s="579">
        <v>189</v>
      </c>
      <c r="H39" s="579" t="s">
        <v>39</v>
      </c>
      <c r="I39" s="580">
        <v>0.17</v>
      </c>
      <c r="J39" s="582">
        <f t="shared" si="0"/>
        <v>32.13</v>
      </c>
    </row>
    <row r="40" s="469" customFormat="1" ht="69" customHeight="1" spans="1:10">
      <c r="A40" s="577" t="s">
        <v>34</v>
      </c>
      <c r="B40" s="578" t="s">
        <v>35</v>
      </c>
      <c r="C40" s="579">
        <v>1051120</v>
      </c>
      <c r="D40" s="580" t="s">
        <v>36</v>
      </c>
      <c r="E40" s="602" t="s">
        <v>48</v>
      </c>
      <c r="F40" s="581" t="s">
        <v>38</v>
      </c>
      <c r="G40" s="579">
        <v>1705</v>
      </c>
      <c r="H40" s="579" t="s">
        <v>39</v>
      </c>
      <c r="I40" s="580">
        <v>0.17</v>
      </c>
      <c r="J40" s="582">
        <f t="shared" si="0"/>
        <v>289.85</v>
      </c>
    </row>
    <row r="41" s="469" customFormat="1" ht="69" customHeight="1" spans="1:10">
      <c r="A41" s="577" t="s">
        <v>34</v>
      </c>
      <c r="B41" s="578" t="s">
        <v>35</v>
      </c>
      <c r="C41" s="579">
        <v>1051120</v>
      </c>
      <c r="D41" s="580" t="s">
        <v>36</v>
      </c>
      <c r="E41" s="602" t="s">
        <v>48</v>
      </c>
      <c r="F41" s="581" t="s">
        <v>40</v>
      </c>
      <c r="G41" s="579">
        <v>1556</v>
      </c>
      <c r="H41" s="579" t="s">
        <v>39</v>
      </c>
      <c r="I41" s="580">
        <v>0.17</v>
      </c>
      <c r="J41" s="582">
        <f t="shared" si="0"/>
        <v>264.52</v>
      </c>
    </row>
    <row r="42" s="469" customFormat="1" ht="69" customHeight="1" spans="1:10">
      <c r="A42" s="577" t="s">
        <v>34</v>
      </c>
      <c r="B42" s="578" t="s">
        <v>35</v>
      </c>
      <c r="C42" s="579">
        <v>1051120</v>
      </c>
      <c r="D42" s="580" t="s">
        <v>36</v>
      </c>
      <c r="E42" s="602" t="s">
        <v>48</v>
      </c>
      <c r="F42" s="581" t="s">
        <v>44</v>
      </c>
      <c r="G42" s="579">
        <v>295</v>
      </c>
      <c r="H42" s="579" t="s">
        <v>39</v>
      </c>
      <c r="I42" s="580">
        <v>0.17</v>
      </c>
      <c r="J42" s="582">
        <f t="shared" si="0"/>
        <v>50.15</v>
      </c>
    </row>
    <row r="43" s="469" customFormat="1" ht="69" customHeight="1" spans="1:10">
      <c r="A43" s="577" t="s">
        <v>34</v>
      </c>
      <c r="B43" s="578" t="s">
        <v>35</v>
      </c>
      <c r="C43" s="579">
        <v>1051120</v>
      </c>
      <c r="D43" s="580" t="s">
        <v>36</v>
      </c>
      <c r="E43" s="602" t="s">
        <v>49</v>
      </c>
      <c r="F43" s="581" t="s">
        <v>41</v>
      </c>
      <c r="G43" s="579">
        <v>702</v>
      </c>
      <c r="H43" s="579" t="s">
        <v>39</v>
      </c>
      <c r="I43" s="580">
        <v>0.17</v>
      </c>
      <c r="J43" s="582">
        <f t="shared" si="0"/>
        <v>119.34</v>
      </c>
    </row>
    <row r="44" s="469" customFormat="1" ht="69" customHeight="1" spans="1:10">
      <c r="A44" s="577" t="s">
        <v>34</v>
      </c>
      <c r="B44" s="578" t="s">
        <v>35</v>
      </c>
      <c r="C44" s="579">
        <v>1051120</v>
      </c>
      <c r="D44" s="580" t="s">
        <v>36</v>
      </c>
      <c r="E44" s="602" t="s">
        <v>49</v>
      </c>
      <c r="F44" s="581" t="s">
        <v>42</v>
      </c>
      <c r="G44" s="579">
        <v>1694</v>
      </c>
      <c r="H44" s="579" t="s">
        <v>39</v>
      </c>
      <c r="I44" s="580">
        <v>0.17</v>
      </c>
      <c r="J44" s="582">
        <f t="shared" si="0"/>
        <v>287.98</v>
      </c>
    </row>
    <row r="45" s="469" customFormat="1" ht="69" customHeight="1" spans="1:10">
      <c r="A45" s="577" t="s">
        <v>34</v>
      </c>
      <c r="B45" s="578" t="s">
        <v>35</v>
      </c>
      <c r="C45" s="579">
        <v>1051120</v>
      </c>
      <c r="D45" s="580" t="s">
        <v>36</v>
      </c>
      <c r="E45" s="602" t="s">
        <v>49</v>
      </c>
      <c r="F45" s="581" t="s">
        <v>43</v>
      </c>
      <c r="G45" s="579">
        <v>1100</v>
      </c>
      <c r="H45" s="579" t="s">
        <v>39</v>
      </c>
      <c r="I45" s="580">
        <v>0.17</v>
      </c>
      <c r="J45" s="582">
        <f t="shared" si="0"/>
        <v>187</v>
      </c>
    </row>
    <row r="46" s="469" customFormat="1" ht="69" customHeight="1" spans="1:10">
      <c r="A46" s="577" t="s">
        <v>34</v>
      </c>
      <c r="B46" s="578" t="s">
        <v>35</v>
      </c>
      <c r="C46" s="579">
        <v>1051120</v>
      </c>
      <c r="D46" s="580" t="s">
        <v>36</v>
      </c>
      <c r="E46" s="602" t="s">
        <v>49</v>
      </c>
      <c r="F46" s="581" t="s">
        <v>44</v>
      </c>
      <c r="G46" s="579">
        <v>1200</v>
      </c>
      <c r="H46" s="579" t="s">
        <v>39</v>
      </c>
      <c r="I46" s="580">
        <v>0.17</v>
      </c>
      <c r="J46" s="582">
        <f t="shared" si="0"/>
        <v>204</v>
      </c>
    </row>
    <row r="47" s="469" customFormat="1" ht="69" customHeight="1" spans="1:10">
      <c r="A47" s="577" t="s">
        <v>50</v>
      </c>
      <c r="B47" s="578" t="s">
        <v>51</v>
      </c>
      <c r="C47" s="579">
        <v>1051120</v>
      </c>
      <c r="D47" s="580" t="s">
        <v>36</v>
      </c>
      <c r="E47" s="602" t="s">
        <v>48</v>
      </c>
      <c r="F47" s="581" t="s">
        <v>41</v>
      </c>
      <c r="G47" s="579">
        <v>742</v>
      </c>
      <c r="H47" s="579" t="s">
        <v>39</v>
      </c>
      <c r="I47" s="580">
        <v>0.17</v>
      </c>
      <c r="J47" s="582">
        <f t="shared" si="0"/>
        <v>126.14</v>
      </c>
    </row>
    <row r="48" s="469" customFormat="1" ht="69" customHeight="1" spans="1:10">
      <c r="A48" s="577" t="s">
        <v>50</v>
      </c>
      <c r="B48" s="578" t="s">
        <v>51</v>
      </c>
      <c r="C48" s="579">
        <v>1051120</v>
      </c>
      <c r="D48" s="580" t="s">
        <v>36</v>
      </c>
      <c r="E48" s="602" t="s">
        <v>48</v>
      </c>
      <c r="F48" s="581" t="s">
        <v>42</v>
      </c>
      <c r="G48" s="579">
        <v>1235</v>
      </c>
      <c r="H48" s="579" t="s">
        <v>39</v>
      </c>
      <c r="I48" s="580">
        <v>0.17</v>
      </c>
      <c r="J48" s="582">
        <f t="shared" si="0"/>
        <v>209.95</v>
      </c>
    </row>
    <row r="49" s="469" customFormat="1" ht="69" customHeight="1" spans="1:31">
      <c r="A49" s="577" t="s">
        <v>50</v>
      </c>
      <c r="B49" s="578" t="s">
        <v>51</v>
      </c>
      <c r="C49" s="579">
        <v>1051120</v>
      </c>
      <c r="D49" s="580" t="s">
        <v>36</v>
      </c>
      <c r="E49" s="602" t="s">
        <v>48</v>
      </c>
      <c r="F49" s="581" t="s">
        <v>52</v>
      </c>
      <c r="G49" s="579">
        <v>176</v>
      </c>
      <c r="H49" s="579" t="s">
        <v>39</v>
      </c>
      <c r="I49" s="580">
        <v>0.17</v>
      </c>
      <c r="J49" s="582">
        <f t="shared" si="0"/>
        <v>29.92</v>
      </c>
    </row>
    <row r="50" s="469" customFormat="1" ht="69" customHeight="1" spans="1:31">
      <c r="A50" s="577" t="s">
        <v>50</v>
      </c>
      <c r="B50" s="578" t="s">
        <v>51</v>
      </c>
      <c r="C50" s="579">
        <v>1051120</v>
      </c>
      <c r="D50" s="580" t="s">
        <v>36</v>
      </c>
      <c r="E50" s="602" t="s">
        <v>48</v>
      </c>
      <c r="F50" s="581" t="s">
        <v>46</v>
      </c>
      <c r="G50" s="579">
        <v>271</v>
      </c>
      <c r="H50" s="579" t="s">
        <v>39</v>
      </c>
      <c r="I50" s="580">
        <v>0.17</v>
      </c>
      <c r="J50" s="582">
        <f t="shared" si="0"/>
        <v>46.07</v>
      </c>
    </row>
    <row r="51" s="469" customFormat="1" ht="69" customHeight="1" spans="1:31">
      <c r="A51" s="577" t="s">
        <v>50</v>
      </c>
      <c r="B51" s="578" t="s">
        <v>51</v>
      </c>
      <c r="C51" s="579">
        <v>1051120</v>
      </c>
      <c r="D51" s="580" t="s">
        <v>36</v>
      </c>
      <c r="E51" s="602" t="s">
        <v>37</v>
      </c>
      <c r="F51" s="581" t="s">
        <v>42</v>
      </c>
      <c r="G51" s="579">
        <v>600</v>
      </c>
      <c r="H51" s="579" t="s">
        <v>39</v>
      </c>
      <c r="I51" s="580">
        <v>0.165</v>
      </c>
      <c r="J51" s="582">
        <f t="shared" si="0"/>
        <v>99</v>
      </c>
    </row>
    <row r="52" s="469" customFormat="1" ht="69" customHeight="1" spans="1:31">
      <c r="A52" s="577" t="s">
        <v>50</v>
      </c>
      <c r="B52" s="578" t="s">
        <v>51</v>
      </c>
      <c r="C52" s="579">
        <v>1051120</v>
      </c>
      <c r="D52" s="580" t="s">
        <v>36</v>
      </c>
      <c r="E52" s="602" t="s">
        <v>37</v>
      </c>
      <c r="F52" s="581" t="s">
        <v>45</v>
      </c>
      <c r="G52" s="579">
        <v>197</v>
      </c>
      <c r="H52" s="579" t="s">
        <v>39</v>
      </c>
      <c r="I52" s="580">
        <v>0.165</v>
      </c>
      <c r="J52" s="582">
        <f t="shared" si="0"/>
        <v>32.51</v>
      </c>
    </row>
    <row r="53" s="469" customFormat="1" ht="69" customHeight="1" spans="1:31">
      <c r="A53" s="577" t="s">
        <v>50</v>
      </c>
      <c r="B53" s="578" t="s">
        <v>51</v>
      </c>
      <c r="C53" s="579">
        <v>1051120</v>
      </c>
      <c r="D53" s="580" t="s">
        <v>36</v>
      </c>
      <c r="E53" s="602" t="s">
        <v>37</v>
      </c>
      <c r="F53" s="581" t="s">
        <v>46</v>
      </c>
      <c r="G53" s="579">
        <v>357</v>
      </c>
      <c r="H53" s="579" t="s">
        <v>39</v>
      </c>
      <c r="I53" s="580">
        <v>0.165</v>
      </c>
      <c r="J53" s="582">
        <f t="shared" si="0"/>
        <v>58.91</v>
      </c>
    </row>
    <row r="54" s="470" customFormat="1" ht="69" customHeight="1" spans="1:31">
      <c r="A54" s="138"/>
      <c r="B54" s="219"/>
      <c r="C54" s="583"/>
      <c r="D54" s="222" t="s">
        <v>53</v>
      </c>
      <c r="E54" s="222"/>
      <c r="F54" s="222"/>
      <c r="G54" s="223">
        <f>SUM(G30:G53)</f>
        <v>34826</v>
      </c>
      <c r="H54" s="143" t="s">
        <v>39</v>
      </c>
      <c r="I54" s="584" t="s">
        <v>54</v>
      </c>
      <c r="J54" s="585">
        <f>SUM(J30:J53)</f>
        <v>5802.09</v>
      </c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1"/>
      <c r="AB54" s="471"/>
      <c r="AC54" s="471"/>
      <c r="AD54" s="471"/>
      <c r="AE54" s="471"/>
    </row>
    <row r="55" ht="36.75" customHeight="1" spans="1:31">
      <c r="A55" s="586" t="s">
        <v>55</v>
      </c>
      <c r="B55" s="587" t="s">
        <v>56</v>
      </c>
      <c r="C55" s="587"/>
      <c r="D55" s="587"/>
      <c r="E55" s="587"/>
      <c r="F55" s="587"/>
      <c r="G55" s="587"/>
      <c r="H55" s="587"/>
      <c r="I55" s="587"/>
    </row>
    <row r="56" ht="33" customHeight="1" spans="1:31">
      <c r="A56" s="588" t="s">
        <v>57</v>
      </c>
      <c r="B56" s="588"/>
      <c r="C56" s="588"/>
      <c r="D56" s="588"/>
      <c r="E56" s="588"/>
      <c r="F56" s="588"/>
      <c r="G56" s="588"/>
      <c r="H56" s="588"/>
      <c r="I56" s="588"/>
      <c r="J56" s="589"/>
    </row>
    <row r="57" ht="15.5" spans="1:31">
      <c r="A57" s="590" t="s">
        <v>58</v>
      </c>
      <c r="B57" s="590"/>
      <c r="C57" s="590"/>
      <c r="D57" s="590"/>
      <c r="E57" s="590"/>
      <c r="F57" s="590"/>
      <c r="G57" s="590"/>
      <c r="H57" s="590"/>
      <c r="I57" s="590"/>
      <c r="J57" s="589"/>
    </row>
    <row r="58" spans="1:31">
      <c r="A58" s="591"/>
      <c r="B58" s="591"/>
      <c r="C58" s="591"/>
      <c r="D58" s="591"/>
      <c r="E58" s="591"/>
      <c r="F58" s="591"/>
      <c r="G58" s="591"/>
      <c r="H58" s="591"/>
      <c r="I58" s="592" t="s">
        <v>0</v>
      </c>
      <c r="J58" s="592"/>
    </row>
    <row r="59" spans="1:31">
      <c r="A59" s="593"/>
      <c r="B59" s="593"/>
      <c r="C59" s="593"/>
      <c r="D59" s="591"/>
      <c r="E59" s="591"/>
      <c r="F59" s="591"/>
      <c r="G59" s="594"/>
      <c r="H59" s="591"/>
      <c r="I59" s="595" t="s">
        <v>59</v>
      </c>
      <c r="J59" s="595"/>
    </row>
    <row r="60" spans="1:31">
      <c r="A60" s="596"/>
      <c r="B60" s="593"/>
      <c r="C60" s="593"/>
      <c r="D60" s="591"/>
      <c r="E60" s="591"/>
      <c r="F60" s="591"/>
      <c r="H60" s="591"/>
      <c r="I60" s="591"/>
      <c r="J60" s="591"/>
    </row>
    <row r="61" spans="1:31">
      <c r="A61" s="596"/>
      <c r="B61" s="593"/>
      <c r="C61" s="593"/>
      <c r="D61" s="591"/>
      <c r="E61" s="591"/>
      <c r="F61" s="591"/>
      <c r="H61" s="591"/>
      <c r="I61" s="591"/>
      <c r="J61" s="591"/>
    </row>
    <row r="62" spans="1:31">
      <c r="A62" s="596"/>
      <c r="B62" s="593"/>
      <c r="C62" s="593"/>
      <c r="D62" s="591"/>
      <c r="E62" s="591"/>
      <c r="F62" s="591"/>
      <c r="G62" s="591"/>
      <c r="H62" s="591"/>
      <c r="I62" s="591"/>
      <c r="J62" s="591"/>
    </row>
    <row r="63" spans="1:31">
      <c r="A63" s="596"/>
      <c r="B63" s="593"/>
      <c r="C63" s="593"/>
      <c r="D63" s="591"/>
      <c r="E63" s="591"/>
      <c r="F63" s="591"/>
    </row>
    <row r="64" spans="1:31">
      <c r="A64" s="597"/>
      <c r="B64" s="598"/>
      <c r="C64" s="598"/>
      <c r="D64" s="591"/>
      <c r="E64" s="591"/>
      <c r="F64" s="591"/>
      <c r="G64" s="591"/>
      <c r="H64" s="591"/>
      <c r="I64" s="591"/>
      <c r="J64" s="591"/>
    </row>
    <row r="65" ht="15" spans="1:10">
      <c r="A65" s="599"/>
      <c r="B65" s="599"/>
      <c r="C65" s="599"/>
      <c r="D65" s="599"/>
      <c r="E65" s="599"/>
      <c r="F65" s="599"/>
      <c r="G65" s="599"/>
      <c r="H65" s="599"/>
      <c r="I65" s="599"/>
      <c r="J65" s="599"/>
    </row>
    <row r="66" s="471" customFormat="1" ht="15" spans="1:10">
      <c r="A66" s="599"/>
      <c r="B66" s="599"/>
      <c r="C66" s="599"/>
      <c r="D66" s="599"/>
      <c r="E66" s="599"/>
      <c r="F66" s="599"/>
      <c r="G66" s="599"/>
      <c r="H66" s="599"/>
      <c r="I66" s="599"/>
      <c r="J66" s="599"/>
    </row>
    <row r="67" s="471" customFormat="1" ht="15" spans="1:10">
      <c r="A67" s="599"/>
      <c r="B67" s="599"/>
      <c r="C67" s="599"/>
      <c r="D67" s="599"/>
      <c r="E67" s="599"/>
      <c r="F67" s="599"/>
      <c r="G67" s="599"/>
      <c r="H67" s="599"/>
      <c r="I67" s="599"/>
      <c r="J67" s="599"/>
    </row>
    <row r="68" s="471" customFormat="1" ht="15" spans="1:10">
      <c r="A68" s="599"/>
      <c r="B68" s="599"/>
      <c r="C68" s="599"/>
      <c r="D68" s="599"/>
      <c r="E68" s="599"/>
      <c r="F68" s="599"/>
      <c r="G68" s="599"/>
      <c r="H68" s="599"/>
      <c r="I68" s="599"/>
      <c r="J68" s="599"/>
    </row>
    <row r="69" s="471" customFormat="1" ht="31.5" spans="1:10">
      <c r="A69" s="599"/>
      <c r="B69" s="599"/>
      <c r="C69" s="599"/>
      <c r="D69" s="599"/>
      <c r="E69" s="599"/>
      <c r="F69" s="599"/>
      <c r="G69" s="600"/>
      <c r="H69" s="600"/>
      <c r="I69" s="600"/>
      <c r="J69" s="600"/>
    </row>
    <row r="70" s="471" customFormat="1" spans="1:10">
      <c r="A70" s="601"/>
      <c r="B70" s="601"/>
      <c r="C70" s="601"/>
      <c r="D70" s="601"/>
      <c r="E70" s="601"/>
      <c r="F70" s="601"/>
      <c r="G70" s="601"/>
      <c r="H70" s="601"/>
      <c r="I70" s="601"/>
      <c r="J70" s="601"/>
    </row>
    <row r="71" s="471" customFormat="1" spans="1:10">
      <c r="A71" s="601"/>
      <c r="B71" s="601"/>
      <c r="C71" s="601"/>
      <c r="D71" s="601"/>
      <c r="E71" s="601"/>
      <c r="F71" s="601"/>
      <c r="G71" s="601"/>
      <c r="H71" s="601"/>
      <c r="I71" s="601"/>
      <c r="J71" s="601"/>
    </row>
    <row r="72" s="471" customFormat="1" spans="1:10">
      <c r="A72" s="601"/>
      <c r="B72" s="601"/>
      <c r="C72" s="601"/>
      <c r="D72" s="601"/>
      <c r="E72" s="601"/>
      <c r="F72" s="601"/>
      <c r="G72" s="601"/>
      <c r="H72" s="601"/>
      <c r="I72" s="601"/>
      <c r="J72" s="601"/>
    </row>
    <row r="73" s="471" customFormat="1" spans="1:10">
      <c r="A73" s="601"/>
      <c r="B73" s="601"/>
      <c r="C73" s="601"/>
      <c r="D73" s="601"/>
      <c r="E73" s="601"/>
      <c r="F73" s="601"/>
      <c r="G73" s="601"/>
      <c r="H73" s="601"/>
      <c r="I73" s="601"/>
      <c r="J73" s="601"/>
    </row>
    <row r="74" s="471" customFormat="1" spans="1:10">
      <c r="A74" s="601"/>
      <c r="B74" s="601"/>
      <c r="C74" s="601"/>
      <c r="D74" s="601"/>
      <c r="E74" s="601"/>
      <c r="F74" s="601"/>
      <c r="G74" s="601"/>
      <c r="H74" s="601"/>
      <c r="I74" s="601"/>
      <c r="J74" s="601"/>
    </row>
    <row r="75" s="471" customFormat="1" spans="1:10">
      <c r="A75" s="601"/>
      <c r="B75" s="601"/>
      <c r="C75" s="601"/>
      <c r="D75" s="601"/>
      <c r="E75" s="601"/>
      <c r="F75" s="601"/>
      <c r="G75" s="601"/>
      <c r="H75" s="601"/>
      <c r="I75" s="601"/>
      <c r="J75" s="601"/>
    </row>
    <row r="76" s="471" customFormat="1" spans="1:10">
      <c r="A76" s="601"/>
      <c r="B76" s="601"/>
      <c r="C76" s="601"/>
      <c r="D76" s="601"/>
      <c r="E76" s="601"/>
      <c r="F76" s="601"/>
      <c r="G76" s="601"/>
      <c r="H76" s="601"/>
      <c r="I76" s="601"/>
      <c r="J76" s="601"/>
    </row>
    <row r="77" s="471" customFormat="1" spans="1:10">
      <c r="A77" s="601"/>
      <c r="B77" s="601"/>
      <c r="C77" s="601"/>
      <c r="D77" s="601"/>
      <c r="E77" s="601"/>
      <c r="F77" s="601"/>
      <c r="G77" s="601"/>
      <c r="H77" s="601"/>
      <c r="I77" s="601"/>
      <c r="J77" s="601"/>
    </row>
    <row r="78" s="471" customFormat="1" spans="1:10">
      <c r="A78" s="601"/>
      <c r="B78" s="601"/>
      <c r="C78" s="601"/>
      <c r="D78" s="601"/>
      <c r="E78" s="601"/>
      <c r="F78" s="601"/>
      <c r="G78" s="601"/>
      <c r="H78" s="601"/>
      <c r="I78" s="601"/>
      <c r="J78" s="601"/>
    </row>
    <row r="79" s="471" customFormat="1" spans="1:10">
      <c r="A79" s="601"/>
      <c r="B79" s="601"/>
      <c r="C79" s="601"/>
      <c r="D79" s="601"/>
      <c r="E79" s="601"/>
      <c r="F79" s="601"/>
      <c r="G79" s="601"/>
      <c r="H79" s="601"/>
      <c r="I79" s="601"/>
      <c r="J79" s="601"/>
    </row>
    <row r="80" s="471" customFormat="1" spans="1:10">
      <c r="A80" s="601"/>
      <c r="B80" s="601"/>
      <c r="C80" s="601"/>
      <c r="D80" s="601"/>
      <c r="E80" s="601"/>
      <c r="F80" s="601"/>
      <c r="G80" s="601"/>
      <c r="H80" s="601"/>
      <c r="I80" s="601"/>
      <c r="J80" s="601"/>
    </row>
    <row r="81" s="471" customFormat="1" spans="1:10">
      <c r="A81" s="601"/>
      <c r="B81" s="601"/>
      <c r="C81" s="601"/>
      <c r="D81" s="601"/>
      <c r="E81" s="601"/>
      <c r="F81" s="601"/>
      <c r="G81" s="601"/>
      <c r="H81" s="601"/>
      <c r="I81" s="601"/>
      <c r="J81" s="601"/>
    </row>
    <row r="82" s="471" customFormat="1" spans="1:10">
      <c r="A82" s="601"/>
      <c r="B82" s="601"/>
      <c r="C82" s="601"/>
      <c r="D82" s="601"/>
      <c r="E82" s="601"/>
      <c r="F82" s="601"/>
      <c r="G82" s="601"/>
      <c r="H82" s="601"/>
      <c r="I82" s="601"/>
      <c r="J82" s="601"/>
    </row>
    <row r="83" s="471" customFormat="1" spans="1:10">
      <c r="A83" s="601"/>
      <c r="B83" s="601"/>
      <c r="C83" s="601"/>
      <c r="D83" s="601"/>
      <c r="E83" s="601"/>
      <c r="F83" s="601"/>
      <c r="G83" s="601"/>
      <c r="H83" s="601"/>
      <c r="I83" s="601"/>
      <c r="J83" s="601"/>
    </row>
    <row r="84" s="471" customFormat="1" spans="1:10">
      <c r="A84" s="601"/>
      <c r="B84" s="601"/>
      <c r="C84" s="601"/>
      <c r="D84" s="601"/>
      <c r="E84" s="601"/>
      <c r="F84" s="601"/>
      <c r="G84" s="601"/>
      <c r="H84" s="601"/>
      <c r="I84" s="601"/>
      <c r="J84" s="601"/>
    </row>
    <row r="85" s="471" customFormat="1" spans="1:10">
      <c r="A85" s="601"/>
      <c r="B85" s="601"/>
      <c r="C85" s="601"/>
      <c r="D85" s="601"/>
      <c r="E85" s="601"/>
      <c r="F85" s="601"/>
      <c r="G85" s="601"/>
      <c r="H85" s="601"/>
      <c r="I85" s="601"/>
      <c r="J85" s="601"/>
    </row>
    <row r="86" s="471" customFormat="1" spans="1:10">
      <c r="A86" s="601"/>
      <c r="B86" s="601"/>
      <c r="C86" s="601"/>
      <c r="D86" s="601"/>
      <c r="E86" s="601"/>
      <c r="F86" s="601"/>
      <c r="G86" s="601"/>
      <c r="H86" s="601"/>
      <c r="I86" s="601"/>
      <c r="J86" s="601"/>
    </row>
    <row r="87" s="471" customFormat="1" spans="1:10">
      <c r="A87" s="601"/>
      <c r="B87" s="601"/>
      <c r="C87" s="601"/>
      <c r="D87" s="601"/>
      <c r="E87" s="601"/>
      <c r="F87" s="601"/>
      <c r="G87" s="601"/>
      <c r="H87" s="601"/>
      <c r="I87" s="601"/>
      <c r="J87" s="601"/>
    </row>
    <row r="88" s="471" customFormat="1" spans="1:10">
      <c r="A88" s="601"/>
      <c r="B88" s="601"/>
      <c r="C88" s="601"/>
      <c r="D88" s="601"/>
      <c r="E88" s="601"/>
      <c r="F88" s="601"/>
      <c r="G88" s="601"/>
      <c r="H88" s="601"/>
      <c r="I88" s="601"/>
      <c r="J88" s="601"/>
    </row>
    <row r="89" s="471" customFormat="1" ht="15" spans="1:10">
      <c r="A89" s="599"/>
      <c r="B89" s="599"/>
      <c r="C89" s="599"/>
      <c r="D89" s="599"/>
      <c r="E89" s="599"/>
      <c r="F89" s="599"/>
      <c r="G89" s="599"/>
      <c r="H89" s="599"/>
      <c r="I89" s="599"/>
      <c r="J89" s="599"/>
    </row>
    <row r="90" s="471" customFormat="1" ht="15" spans="1:10">
      <c r="A90" s="599"/>
      <c r="B90" s="599"/>
      <c r="C90" s="599"/>
      <c r="D90" s="599"/>
      <c r="E90" s="599"/>
      <c r="F90" s="599"/>
      <c r="G90" s="599"/>
      <c r="H90" s="599"/>
      <c r="I90" s="599"/>
      <c r="J90" s="599"/>
    </row>
    <row r="91" s="471" customFormat="1" ht="15" spans="1:10">
      <c r="A91" s="599"/>
      <c r="B91" s="599"/>
      <c r="C91" s="599"/>
      <c r="D91" s="599"/>
      <c r="E91" s="599"/>
      <c r="F91" s="599"/>
      <c r="G91" s="599"/>
      <c r="H91" s="599"/>
      <c r="I91" s="599"/>
      <c r="J91" s="599"/>
    </row>
    <row r="92" s="471" customFormat="1" ht="15" spans="1:10">
      <c r="A92" s="599"/>
      <c r="B92" s="599"/>
      <c r="C92" s="599"/>
      <c r="D92" s="599"/>
      <c r="E92" s="599"/>
      <c r="F92" s="599"/>
      <c r="G92" s="599"/>
      <c r="H92" s="599"/>
      <c r="I92" s="599"/>
      <c r="J92" s="599"/>
    </row>
    <row r="93" s="471" customFormat="1" ht="15" spans="1:10">
      <c r="A93" s="599"/>
      <c r="B93" s="599"/>
      <c r="C93" s="599"/>
      <c r="D93" s="599"/>
      <c r="E93" s="599"/>
      <c r="F93" s="599"/>
      <c r="G93" s="599"/>
      <c r="H93" s="599"/>
      <c r="I93" s="599"/>
      <c r="J93" s="599"/>
    </row>
    <row r="94" s="471" customFormat="1" ht="15" spans="1:10">
      <c r="A94" s="599"/>
      <c r="B94" s="599"/>
      <c r="C94" s="599"/>
      <c r="D94" s="599"/>
      <c r="E94" s="599"/>
      <c r="F94" s="599"/>
      <c r="G94" s="599"/>
      <c r="H94" s="599"/>
      <c r="I94" s="599"/>
      <c r="J94" s="599"/>
    </row>
    <row r="95" s="471" customFormat="1" ht="15" spans="1:10">
      <c r="A95" s="599"/>
      <c r="B95" s="599"/>
      <c r="C95" s="599"/>
      <c r="D95" s="599"/>
      <c r="E95" s="599"/>
      <c r="F95" s="599"/>
      <c r="G95" s="599"/>
      <c r="H95" s="599"/>
      <c r="I95" s="599"/>
      <c r="J95" s="599"/>
    </row>
    <row r="96" s="471" customFormat="1" ht="15" spans="1:10">
      <c r="A96" s="599"/>
      <c r="B96" s="599"/>
      <c r="C96" s="599"/>
      <c r="D96" s="599"/>
      <c r="E96" s="599"/>
      <c r="F96" s="599"/>
      <c r="G96" s="599"/>
      <c r="H96" s="599"/>
      <c r="I96" s="599"/>
      <c r="J96" s="599"/>
    </row>
    <row r="97" s="471" customFormat="1" ht="15" spans="1:10">
      <c r="A97" s="599"/>
      <c r="B97" s="599"/>
      <c r="C97" s="599"/>
      <c r="D97" s="599"/>
      <c r="E97" s="599"/>
      <c r="F97" s="599"/>
      <c r="G97" s="599"/>
      <c r="H97" s="599"/>
      <c r="I97" s="599"/>
      <c r="J97" s="599"/>
    </row>
    <row r="98" s="471" customFormat="1" ht="15" spans="1:10">
      <c r="A98" s="599"/>
      <c r="B98" s="599"/>
      <c r="C98" s="599"/>
      <c r="D98" s="599"/>
      <c r="E98" s="599"/>
      <c r="F98" s="599"/>
      <c r="G98" s="599"/>
      <c r="H98" s="599"/>
      <c r="I98" s="599"/>
      <c r="J98" s="599"/>
    </row>
    <row r="99" s="471" customFormat="1" ht="15" spans="1:10">
      <c r="A99" s="599"/>
      <c r="B99" s="599"/>
      <c r="C99" s="599"/>
      <c r="D99" s="599"/>
      <c r="E99" s="599"/>
      <c r="F99" s="599"/>
      <c r="G99" s="599"/>
      <c r="H99" s="599"/>
      <c r="I99" s="599"/>
      <c r="J99" s="599"/>
    </row>
    <row r="100" s="471" customFormat="1" ht="15" spans="1:10">
      <c r="A100" s="599"/>
      <c r="B100" s="599"/>
      <c r="C100" s="599"/>
      <c r="D100" s="599"/>
      <c r="E100" s="599"/>
      <c r="F100" s="599"/>
      <c r="G100" s="599"/>
      <c r="H100" s="599"/>
      <c r="I100" s="599"/>
      <c r="J100" s="599"/>
    </row>
    <row r="101" s="471" customFormat="1" spans="1:10">
      <c r="A101" s="601"/>
      <c r="B101" s="601"/>
      <c r="C101" s="601"/>
      <c r="D101" s="601"/>
      <c r="E101" s="601"/>
      <c r="F101" s="601"/>
      <c r="G101" s="601"/>
      <c r="H101" s="601"/>
      <c r="I101" s="601"/>
      <c r="J101" s="601"/>
    </row>
    <row r="102" s="471" customFormat="1" spans="1:10">
      <c r="A102" s="601"/>
      <c r="B102" s="601"/>
      <c r="C102" s="601"/>
      <c r="D102" s="601"/>
      <c r="E102" s="601"/>
      <c r="F102" s="601"/>
      <c r="G102" s="601"/>
      <c r="H102" s="601"/>
      <c r="I102" s="601"/>
      <c r="J102" s="601"/>
    </row>
    <row r="103" s="471" customFormat="1" spans="1:10">
      <c r="A103" s="601"/>
      <c r="B103" s="601"/>
      <c r="C103" s="601"/>
      <c r="D103" s="601"/>
      <c r="E103" s="601"/>
      <c r="F103" s="601"/>
      <c r="G103" s="601"/>
      <c r="H103" s="601"/>
      <c r="I103" s="601"/>
      <c r="J103" s="601"/>
    </row>
    <row r="106" s="471" customFormat="1" ht="15" spans="1:10">
      <c r="A106" s="599"/>
      <c r="B106" s="599"/>
      <c r="C106" s="599"/>
      <c r="D106" s="599"/>
      <c r="E106" s="599"/>
      <c r="F106" s="599"/>
      <c r="G106" s="599"/>
      <c r="H106" s="599"/>
      <c r="I106" s="599"/>
      <c r="J106" s="599"/>
    </row>
    <row r="107" s="471" customFormat="1" ht="15" spans="1:10">
      <c r="A107" s="599"/>
      <c r="B107" s="599"/>
      <c r="C107" s="599"/>
      <c r="D107" s="599"/>
      <c r="E107" s="599"/>
      <c r="F107" s="599"/>
      <c r="G107" s="599"/>
      <c r="H107" s="599"/>
      <c r="I107" s="599"/>
      <c r="J107" s="599"/>
    </row>
    <row r="108" s="471" customFormat="1" ht="15" spans="1:10">
      <c r="A108" s="599"/>
      <c r="B108" s="599"/>
      <c r="C108" s="599"/>
      <c r="D108" s="599"/>
      <c r="E108" s="599"/>
      <c r="F108" s="599"/>
      <c r="G108" s="599"/>
      <c r="H108" s="599"/>
      <c r="I108" s="599"/>
      <c r="J108" s="599"/>
    </row>
  </sheetData>
  <autoFilter xmlns:etc="http://www.wps.cn/officeDocument/2017/etCustomData" ref="A29:J59" etc:filterBottomFollowUsedRange="0">
    <extLst/>
  </autoFilter>
  <mergeCells count="13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56:I56"/>
    <mergeCell ref="A57:I57"/>
    <mergeCell ref="G69:J69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3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G79"/>
  <sheetViews>
    <sheetView zoomScale="63" zoomScaleNormal="63" workbookViewId="0">
      <selection activeCell="F30" sqref="F30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24.3818181818182" style="233" customWidth="1"/>
    <col min="8" max="8" width="56.7090909090909" style="233" customWidth="1"/>
    <col min="9" max="9" width="17.5727272727273" style="92" customWidth="1"/>
    <col min="10" max="10" width="24.2818181818182" style="232" customWidth="1"/>
    <col min="11" max="13" width="20.1363636363636" style="92" customWidth="1"/>
    <col min="14" max="14" width="21.1363636363636" style="232" hidden="1" customWidth="1"/>
    <col min="15" max="15" width="16.5727272727273" style="232" hidden="1" customWidth="1"/>
    <col min="16" max="16" width="9.13636363636364" style="98" hidden="1" customWidth="1"/>
    <col min="17" max="17" width="49.2818181818182" style="98" customWidth="1"/>
    <col min="18" max="18" width="20.4272727272727" style="98" customWidth="1"/>
    <col min="19" max="33" width="9.13636363636364" style="98"/>
    <col min="34" max="16384" width="9.13636363636364" style="92"/>
  </cols>
  <sheetData>
    <row r="1" ht="24" customHeight="1" spans="1:15">
      <c r="A1" s="96" t="s">
        <v>60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282"/>
      <c r="N1" s="428"/>
      <c r="O1" s="429"/>
    </row>
    <row r="2" ht="25.5" customHeight="1" spans="1:15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283"/>
      <c r="N2" s="430"/>
      <c r="O2" s="430"/>
    </row>
    <row r="3" ht="24" customHeight="1" spans="1:15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284"/>
      <c r="N3" s="430"/>
      <c r="O3" s="430"/>
    </row>
    <row r="4" ht="15" customHeight="1" spans="1:15">
      <c r="A4" s="285" t="s">
        <v>61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7"/>
      <c r="N4" s="431"/>
      <c r="O4" s="432"/>
    </row>
    <row r="5" ht="15" customHeight="1" spans="1:15">
      <c r="A5" s="288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90"/>
      <c r="N5" s="431"/>
      <c r="O5" s="432"/>
    </row>
    <row r="6" ht="15.5" spans="1:15">
      <c r="A6" s="291" t="s">
        <v>4</v>
      </c>
      <c r="B6" s="292"/>
      <c r="C6" s="293"/>
      <c r="D6" s="293"/>
      <c r="E6" s="293"/>
      <c r="F6" s="238"/>
      <c r="G6" s="294"/>
      <c r="H6" s="294"/>
      <c r="I6" s="238"/>
      <c r="J6" s="295" t="s">
        <v>62</v>
      </c>
      <c r="K6" s="296"/>
      <c r="L6" s="433"/>
      <c r="M6" s="434"/>
      <c r="N6" s="240"/>
      <c r="O6" s="240"/>
    </row>
    <row r="7" ht="15.5" spans="1:15">
      <c r="A7" s="298" t="s">
        <v>6</v>
      </c>
      <c r="B7" s="299"/>
      <c r="C7" s="293"/>
      <c r="D7" s="293"/>
      <c r="E7" s="293"/>
      <c r="F7" s="238"/>
      <c r="G7" s="294"/>
      <c r="H7" s="294"/>
      <c r="I7" s="238"/>
      <c r="J7" s="300" t="s">
        <v>63</v>
      </c>
      <c r="K7" s="301"/>
      <c r="L7" s="435">
        <v>46125</v>
      </c>
      <c r="M7" s="302"/>
      <c r="N7" s="240"/>
      <c r="O7" s="240"/>
    </row>
    <row r="8" ht="25.5" customHeight="1" spans="1:15">
      <c r="A8" s="303" t="s">
        <v>1</v>
      </c>
      <c r="B8" s="304"/>
      <c r="C8" s="304"/>
      <c r="D8" s="304"/>
      <c r="E8" s="304"/>
      <c r="F8" s="304"/>
      <c r="G8" s="305"/>
      <c r="H8" s="305"/>
      <c r="I8" s="306"/>
      <c r="J8" s="307" t="s">
        <v>5</v>
      </c>
      <c r="K8" s="236"/>
      <c r="L8" s="236"/>
      <c r="M8" s="308"/>
      <c r="N8" s="240"/>
      <c r="O8" s="240"/>
    </row>
    <row r="9" ht="15.5" spans="1:15">
      <c r="A9" s="309" t="s">
        <v>2</v>
      </c>
      <c r="B9" s="310"/>
      <c r="C9" s="236"/>
      <c r="D9" s="236"/>
      <c r="E9" s="236"/>
      <c r="F9" s="238"/>
      <c r="G9" s="294"/>
      <c r="H9" s="294"/>
      <c r="I9" s="238"/>
      <c r="J9" s="311" t="str">
        <f>J7</f>
        <v>AK/GDI-20260010</v>
      </c>
      <c r="K9" s="312"/>
      <c r="L9" s="436">
        <f>L7</f>
        <v>46125</v>
      </c>
      <c r="M9" s="313"/>
      <c r="N9" s="240"/>
      <c r="O9" s="240"/>
    </row>
    <row r="10" ht="15.5" spans="1:15">
      <c r="A10" s="314" t="s">
        <v>11</v>
      </c>
      <c r="B10" s="315"/>
      <c r="C10" s="316"/>
      <c r="D10" s="316"/>
      <c r="E10" s="316"/>
      <c r="F10" s="316"/>
      <c r="G10" s="317"/>
      <c r="H10" s="317"/>
      <c r="I10" s="318"/>
      <c r="J10" s="311"/>
      <c r="K10" s="236"/>
      <c r="L10" s="236"/>
      <c r="M10" s="308"/>
      <c r="N10" s="240"/>
      <c r="O10" s="240"/>
    </row>
    <row r="11" ht="18.75" customHeight="1" spans="1:15">
      <c r="A11" s="319" t="s">
        <v>12</v>
      </c>
      <c r="B11" s="320"/>
      <c r="C11" s="320"/>
      <c r="D11" s="320"/>
      <c r="E11" s="320"/>
      <c r="F11" s="236"/>
      <c r="G11" s="237"/>
      <c r="H11" s="237"/>
      <c r="I11" s="238"/>
      <c r="J11" s="239" t="s">
        <v>64</v>
      </c>
      <c r="K11" s="236"/>
      <c r="L11" s="236"/>
      <c r="M11" s="308"/>
      <c r="N11" s="240"/>
      <c r="O11" s="240"/>
    </row>
    <row r="12" ht="15.75" customHeight="1" spans="1:15">
      <c r="A12" s="321" t="s">
        <v>13</v>
      </c>
      <c r="B12" s="322"/>
      <c r="C12" s="322"/>
      <c r="D12" s="322"/>
      <c r="E12" s="322"/>
      <c r="F12" s="322"/>
      <c r="G12" s="322"/>
      <c r="H12" s="322"/>
      <c r="I12" s="323"/>
      <c r="J12" s="324" t="s">
        <v>65</v>
      </c>
      <c r="K12" s="325"/>
      <c r="L12" s="437">
        <v>46035</v>
      </c>
      <c r="M12" s="326"/>
      <c r="N12" s="240"/>
      <c r="O12" s="240"/>
    </row>
    <row r="13" ht="15.5" spans="1:15">
      <c r="A13" s="327" t="s">
        <v>14</v>
      </c>
      <c r="B13" s="328"/>
      <c r="C13" s="328"/>
      <c r="D13" s="328"/>
      <c r="E13" s="328"/>
      <c r="F13" s="328"/>
      <c r="G13" s="329"/>
      <c r="H13" s="329"/>
      <c r="I13" s="330"/>
      <c r="J13" s="331"/>
      <c r="K13" s="332"/>
      <c r="L13" s="438"/>
      <c r="M13" s="333"/>
      <c r="N13" s="240"/>
      <c r="O13" s="240"/>
    </row>
    <row r="14" ht="15.5" spans="1:15">
      <c r="A14" s="327"/>
      <c r="B14" s="328"/>
      <c r="C14" s="334"/>
      <c r="D14" s="328"/>
      <c r="E14" s="328"/>
      <c r="F14" s="328"/>
      <c r="G14" s="329"/>
      <c r="H14" s="329"/>
      <c r="I14" s="330"/>
      <c r="J14" s="335"/>
      <c r="K14" s="325"/>
      <c r="L14" s="437"/>
      <c r="M14" s="326"/>
      <c r="N14" s="240"/>
      <c r="O14" s="240"/>
    </row>
    <row r="15" ht="15.5" spans="1:15">
      <c r="A15" s="327"/>
      <c r="B15" s="328"/>
      <c r="C15" s="328"/>
      <c r="D15" s="328"/>
      <c r="E15" s="328"/>
      <c r="F15" s="328"/>
      <c r="G15" s="329"/>
      <c r="H15" s="329"/>
      <c r="I15" s="330"/>
      <c r="J15" s="240"/>
      <c r="K15" s="238"/>
      <c r="L15" s="238"/>
      <c r="M15" s="336"/>
      <c r="N15" s="240"/>
      <c r="O15" s="240"/>
    </row>
    <row r="16" ht="15.5" spans="1:15">
      <c r="A16" s="337" t="s">
        <v>15</v>
      </c>
      <c r="B16" s="338"/>
      <c r="C16" s="339"/>
      <c r="D16" s="339"/>
      <c r="E16" s="339"/>
      <c r="F16" s="339"/>
      <c r="G16" s="340"/>
      <c r="H16" s="340"/>
      <c r="I16" s="341"/>
      <c r="J16" s="342"/>
      <c r="K16" s="238"/>
      <c r="L16" s="238"/>
      <c r="M16" s="336"/>
      <c r="N16" s="240"/>
      <c r="O16" s="240"/>
    </row>
    <row r="17" ht="15.5" spans="1:26">
      <c r="A17" s="343" t="s">
        <v>66</v>
      </c>
      <c r="B17" s="344"/>
      <c r="C17" s="344"/>
      <c r="D17" s="344"/>
      <c r="E17" s="344"/>
      <c r="F17" s="344"/>
      <c r="G17" s="344"/>
      <c r="H17" s="344"/>
      <c r="I17" s="330"/>
      <c r="K17" s="238"/>
      <c r="L17" s="439"/>
      <c r="M17" s="345"/>
      <c r="N17" s="440"/>
      <c r="O17" s="240"/>
    </row>
    <row r="18" ht="15.5" spans="1:26">
      <c r="A18" s="346" t="s">
        <v>67</v>
      </c>
      <c r="B18" s="347"/>
      <c r="C18" s="348"/>
      <c r="D18" s="348"/>
      <c r="E18" s="348"/>
      <c r="F18" s="441"/>
      <c r="G18" s="349"/>
      <c r="H18" s="349"/>
      <c r="I18" s="350"/>
      <c r="L18" s="439"/>
      <c r="M18" s="345"/>
      <c r="N18" s="442"/>
      <c r="O18" s="240"/>
    </row>
    <row r="19" ht="15.5" spans="1:26">
      <c r="A19" s="346" t="s">
        <v>68</v>
      </c>
      <c r="B19" s="347"/>
      <c r="C19" s="348"/>
      <c r="D19" s="348"/>
      <c r="E19" s="348"/>
      <c r="F19" s="441"/>
      <c r="G19" s="349"/>
      <c r="H19" s="349"/>
      <c r="I19" s="350"/>
      <c r="M19" s="351"/>
      <c r="N19" s="443"/>
      <c r="O19" s="240"/>
    </row>
    <row r="20" ht="15.75" customHeight="1" spans="1:26">
      <c r="A20" s="352" t="s">
        <v>69</v>
      </c>
      <c r="B20" s="353"/>
      <c r="C20" s="353"/>
      <c r="D20" s="353"/>
      <c r="E20" s="353"/>
      <c r="F20" s="441"/>
      <c r="G20" s="349"/>
      <c r="H20" s="349"/>
      <c r="I20" s="350"/>
      <c r="J20" s="240"/>
      <c r="K20" s="238"/>
      <c r="L20" s="439"/>
      <c r="M20" s="345"/>
      <c r="N20" s="443"/>
      <c r="O20" s="240"/>
    </row>
    <row r="21" ht="15.75" customHeight="1" spans="1:26">
      <c r="A21" s="354" t="s">
        <v>70</v>
      </c>
      <c r="B21" s="355"/>
      <c r="C21" s="355"/>
      <c r="D21" s="355"/>
      <c r="E21" s="355"/>
      <c r="F21" s="444"/>
      <c r="G21" s="349"/>
      <c r="H21" s="356"/>
      <c r="I21" s="357"/>
      <c r="J21" s="240"/>
      <c r="K21" s="238"/>
      <c r="L21" s="439"/>
      <c r="M21" s="345"/>
      <c r="N21" s="443"/>
      <c r="O21" s="240"/>
    </row>
    <row r="22" ht="15.75" customHeight="1" spans="1:26">
      <c r="A22" s="352"/>
      <c r="B22" s="353"/>
      <c r="C22" s="353"/>
      <c r="D22" s="353"/>
      <c r="E22" s="353"/>
      <c r="F22" s="441"/>
      <c r="G22" s="445"/>
      <c r="H22" s="349"/>
      <c r="I22" s="350"/>
      <c r="J22" s="240"/>
      <c r="K22" s="238"/>
      <c r="L22" s="439"/>
      <c r="M22" s="345"/>
      <c r="N22" s="443"/>
      <c r="O22" s="240"/>
    </row>
    <row r="23" ht="15.75" customHeight="1" spans="1:26">
      <c r="A23" s="291" t="s">
        <v>18</v>
      </c>
      <c r="B23" s="292"/>
      <c r="C23" s="293"/>
      <c r="D23" s="293"/>
      <c r="E23" s="358" t="s">
        <v>19</v>
      </c>
      <c r="F23" s="236"/>
      <c r="G23" s="237"/>
      <c r="H23" s="237"/>
      <c r="I23" s="330"/>
      <c r="J23" s="292" t="s">
        <v>71</v>
      </c>
      <c r="K23" s="236"/>
      <c r="L23" s="238" t="s">
        <v>72</v>
      </c>
      <c r="M23" s="336"/>
      <c r="N23" s="240"/>
      <c r="O23" s="240"/>
    </row>
    <row r="24" ht="15.5" spans="1:26">
      <c r="A24" s="309" t="s">
        <v>73</v>
      </c>
      <c r="B24" s="310"/>
      <c r="C24" s="236"/>
      <c r="D24" s="236"/>
      <c r="E24" s="359" t="s">
        <v>74</v>
      </c>
      <c r="F24" s="238"/>
      <c r="G24" s="294"/>
      <c r="H24" s="294"/>
      <c r="I24" s="330"/>
      <c r="J24" s="292" t="s">
        <v>75</v>
      </c>
      <c r="K24" s="360"/>
      <c r="L24" s="360" t="s">
        <v>76</v>
      </c>
      <c r="M24" s="361"/>
      <c r="N24" s="240"/>
      <c r="O24" s="240"/>
    </row>
    <row r="25" ht="15.5" spans="1:26">
      <c r="A25" s="309"/>
      <c r="B25" s="310"/>
      <c r="C25" s="236"/>
      <c r="D25" s="236"/>
      <c r="E25" s="359"/>
      <c r="F25" s="238"/>
      <c r="G25" s="294"/>
      <c r="H25" s="294"/>
      <c r="I25" s="362"/>
      <c r="J25" s="363" t="s">
        <v>77</v>
      </c>
      <c r="K25" s="236"/>
      <c r="L25" s="238"/>
      <c r="M25" s="336"/>
      <c r="N25" s="240"/>
      <c r="O25" s="240"/>
    </row>
    <row r="26" ht="15.75" customHeight="1" spans="1:26">
      <c r="A26" s="364" t="s">
        <v>20</v>
      </c>
      <c r="B26" s="365"/>
      <c r="C26" s="366" t="s">
        <v>21</v>
      </c>
      <c r="D26" s="366"/>
      <c r="E26" s="366" t="s">
        <v>22</v>
      </c>
      <c r="F26" s="318"/>
      <c r="G26" s="367"/>
      <c r="H26" s="367"/>
      <c r="I26" s="318"/>
      <c r="J26" s="368"/>
      <c r="K26" s="236"/>
      <c r="L26" s="238"/>
      <c r="M26" s="336"/>
      <c r="N26" s="240"/>
      <c r="O26" s="446"/>
    </row>
    <row r="27" ht="64.5" customHeight="1" spans="1:26">
      <c r="A27" s="298"/>
      <c r="B27" s="299"/>
      <c r="C27" s="369">
        <v>46126</v>
      </c>
      <c r="D27" s="370"/>
      <c r="E27" s="369">
        <v>46128</v>
      </c>
      <c r="F27" s="372"/>
      <c r="G27" s="371"/>
      <c r="H27" s="371"/>
      <c r="I27" s="372"/>
      <c r="J27" s="373" t="s">
        <v>78</v>
      </c>
      <c r="K27" s="372" t="s">
        <v>79</v>
      </c>
      <c r="L27" s="447"/>
      <c r="M27" s="374"/>
      <c r="N27" s="447"/>
      <c r="O27" s="447"/>
    </row>
    <row r="28" ht="17.25" spans="1:26">
      <c r="A28" s="375"/>
      <c r="B28" s="376"/>
      <c r="C28" s="377" t="s">
        <v>80</v>
      </c>
      <c r="D28" s="378"/>
      <c r="E28" s="379"/>
      <c r="F28" s="448"/>
      <c r="G28" s="380"/>
      <c r="H28" s="380"/>
      <c r="I28" s="265"/>
      <c r="J28" s="266"/>
      <c r="K28" s="265"/>
      <c r="L28" s="265"/>
      <c r="M28" s="381"/>
      <c r="N28" s="266"/>
      <c r="O28" s="449"/>
    </row>
    <row r="29" s="276" customFormat="1" ht="55.5" customHeight="1" spans="1:26">
      <c r="A29" s="382" t="s">
        <v>81</v>
      </c>
      <c r="B29" s="383" t="s">
        <v>82</v>
      </c>
      <c r="C29" s="384" t="s">
        <v>83</v>
      </c>
      <c r="D29" s="383" t="s">
        <v>26</v>
      </c>
      <c r="E29" s="383" t="s">
        <v>28</v>
      </c>
      <c r="F29" s="450" t="s">
        <v>29</v>
      </c>
      <c r="G29" s="451"/>
      <c r="H29" s="383" t="s">
        <v>84</v>
      </c>
      <c r="I29" s="383" t="s">
        <v>85</v>
      </c>
      <c r="J29" s="383" t="s">
        <v>86</v>
      </c>
      <c r="K29" s="383" t="s">
        <v>87</v>
      </c>
      <c r="L29" s="452" t="s">
        <v>88</v>
      </c>
      <c r="M29" s="453" t="s">
        <v>89</v>
      </c>
      <c r="N29" s="387"/>
      <c r="O29" s="387"/>
      <c r="P29" s="387"/>
      <c r="Q29" s="387"/>
      <c r="R29" s="387"/>
      <c r="S29" s="387"/>
      <c r="T29" s="387"/>
      <c r="U29" s="387"/>
      <c r="V29" s="387"/>
      <c r="W29" s="387"/>
      <c r="X29" s="387"/>
      <c r="Y29" s="387"/>
    </row>
    <row r="30" s="277" customFormat="1" ht="57.75" customHeight="1" spans="1:26">
      <c r="A30" s="388">
        <v>1</v>
      </c>
      <c r="B30" s="389" t="s">
        <v>34</v>
      </c>
      <c r="C30" s="390" t="s">
        <v>36</v>
      </c>
      <c r="D30" s="389">
        <v>1051120</v>
      </c>
      <c r="E30" s="390" t="s">
        <v>37</v>
      </c>
      <c r="F30" s="389" t="s">
        <v>40</v>
      </c>
      <c r="G30" s="389" t="s">
        <v>90</v>
      </c>
      <c r="H30" s="389" t="s">
        <v>35</v>
      </c>
      <c r="I30" s="389">
        <v>1200</v>
      </c>
      <c r="J30" s="389" t="s">
        <v>39</v>
      </c>
      <c r="K30" s="389">
        <f>L30-1.45</f>
        <v>24.85</v>
      </c>
      <c r="L30" s="389">
        <v>26.3</v>
      </c>
      <c r="M30" s="391">
        <v>0.11</v>
      </c>
      <c r="N30" s="392" t="s">
        <v>91</v>
      </c>
      <c r="O30" s="392" t="str">
        <f t="shared" ref="O30:O72" si="0">B30&amp;E30&amp;F30</f>
        <v>SIOB260205005CALLA LILY 451漂白S</v>
      </c>
      <c r="P30" s="392"/>
      <c r="Q30" s="392"/>
      <c r="R30" s="392"/>
      <c r="S30" s="392"/>
      <c r="T30" s="392"/>
      <c r="U30" s="392"/>
      <c r="V30" s="392"/>
      <c r="W30" s="392"/>
      <c r="X30" s="392"/>
      <c r="Y30" s="392"/>
      <c r="Z30" s="393"/>
    </row>
    <row r="31" s="277" customFormat="1" ht="57.75" customHeight="1" spans="1:26">
      <c r="A31" s="388">
        <v>2</v>
      </c>
      <c r="B31" s="389" t="s">
        <v>34</v>
      </c>
      <c r="C31" s="390" t="s">
        <v>36</v>
      </c>
      <c r="D31" s="389">
        <v>1051120</v>
      </c>
      <c r="E31" s="390" t="s">
        <v>37</v>
      </c>
      <c r="F31" s="389" t="s">
        <v>40</v>
      </c>
      <c r="G31" s="389" t="s">
        <v>90</v>
      </c>
      <c r="H31" s="389" t="s">
        <v>35</v>
      </c>
      <c r="I31" s="389">
        <v>1200</v>
      </c>
      <c r="J31" s="389" t="s">
        <v>39</v>
      </c>
      <c r="K31" s="389">
        <f t="shared" ref="K31:K37" si="1">L31-1.45</f>
        <v>25.1</v>
      </c>
      <c r="L31" s="389">
        <v>26.55</v>
      </c>
      <c r="M31" s="391">
        <v>0.11</v>
      </c>
      <c r="N31" s="392"/>
      <c r="O31" s="392" t="str">
        <f t="shared" si="0"/>
        <v>SIOB260205005CALLA LILY 451漂白S</v>
      </c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3"/>
    </row>
    <row r="32" s="277" customFormat="1" ht="57.75" customHeight="1" spans="1:26">
      <c r="A32" s="388">
        <v>3</v>
      </c>
      <c r="B32" s="389" t="s">
        <v>34</v>
      </c>
      <c r="C32" s="390" t="s">
        <v>36</v>
      </c>
      <c r="D32" s="389">
        <v>1051120</v>
      </c>
      <c r="E32" s="390" t="s">
        <v>37</v>
      </c>
      <c r="F32" s="389" t="s">
        <v>40</v>
      </c>
      <c r="G32" s="389" t="s">
        <v>90</v>
      </c>
      <c r="H32" s="389" t="s">
        <v>35</v>
      </c>
      <c r="I32" s="389">
        <v>1100</v>
      </c>
      <c r="J32" s="389" t="s">
        <v>39</v>
      </c>
      <c r="K32" s="389">
        <f t="shared" si="1"/>
        <v>22.95</v>
      </c>
      <c r="L32" s="389">
        <v>24.4</v>
      </c>
      <c r="M32" s="391">
        <v>0.11</v>
      </c>
      <c r="N32" s="392"/>
      <c r="O32" s="392" t="str">
        <f t="shared" si="0"/>
        <v>SIOB260205005CALLA LILY 451漂白S</v>
      </c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3"/>
    </row>
    <row r="33" s="277" customFormat="1" ht="57.75" customHeight="1" spans="1:26">
      <c r="A33" s="388">
        <v>4</v>
      </c>
      <c r="B33" s="389" t="s">
        <v>34</v>
      </c>
      <c r="C33" s="390" t="s">
        <v>36</v>
      </c>
      <c r="D33" s="389">
        <v>1051120</v>
      </c>
      <c r="E33" s="390" t="s">
        <v>37</v>
      </c>
      <c r="F33" s="389" t="s">
        <v>41</v>
      </c>
      <c r="G33" s="389" t="s">
        <v>92</v>
      </c>
      <c r="H33" s="389" t="s">
        <v>35</v>
      </c>
      <c r="I33" s="389">
        <v>1100</v>
      </c>
      <c r="J33" s="389" t="s">
        <v>39</v>
      </c>
      <c r="K33" s="389">
        <f t="shared" si="1"/>
        <v>25.55</v>
      </c>
      <c r="L33" s="389">
        <v>27</v>
      </c>
      <c r="M33" s="391">
        <v>0.11</v>
      </c>
      <c r="N33" s="392"/>
      <c r="O33" s="392" t="str">
        <f t="shared" si="0"/>
        <v>SIOB260205005CALLA LILY 451漂白M</v>
      </c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3"/>
    </row>
    <row r="34" s="277" customFormat="1" ht="57.75" customHeight="1" spans="1:26">
      <c r="A34" s="388">
        <v>5</v>
      </c>
      <c r="B34" s="389" t="s">
        <v>34</v>
      </c>
      <c r="C34" s="390" t="s">
        <v>36</v>
      </c>
      <c r="D34" s="389">
        <v>1051120</v>
      </c>
      <c r="E34" s="390" t="s">
        <v>37</v>
      </c>
      <c r="F34" s="389" t="s">
        <v>41</v>
      </c>
      <c r="G34" s="389" t="s">
        <v>92</v>
      </c>
      <c r="H34" s="389" t="s">
        <v>35</v>
      </c>
      <c r="I34" s="389">
        <v>1100</v>
      </c>
      <c r="J34" s="389" t="s">
        <v>39</v>
      </c>
      <c r="K34" s="389">
        <f t="shared" si="1"/>
        <v>25.6</v>
      </c>
      <c r="L34" s="389">
        <v>27.05</v>
      </c>
      <c r="M34" s="391">
        <v>0.11</v>
      </c>
      <c r="N34" s="392"/>
      <c r="O34" s="392" t="str">
        <f t="shared" si="0"/>
        <v>SIOB260205005CALLA LILY 451漂白M</v>
      </c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3"/>
    </row>
    <row r="35" s="277" customFormat="1" ht="57.75" customHeight="1" spans="1:26">
      <c r="A35" s="388">
        <v>6</v>
      </c>
      <c r="B35" s="389" t="s">
        <v>34</v>
      </c>
      <c r="C35" s="390" t="s">
        <v>36</v>
      </c>
      <c r="D35" s="389">
        <v>1051120</v>
      </c>
      <c r="E35" s="390" t="s">
        <v>37</v>
      </c>
      <c r="F35" s="389" t="s">
        <v>42</v>
      </c>
      <c r="G35" s="389" t="s">
        <v>93</v>
      </c>
      <c r="H35" s="389" t="s">
        <v>35</v>
      </c>
      <c r="I35" s="389">
        <v>1100</v>
      </c>
      <c r="J35" s="389" t="s">
        <v>39</v>
      </c>
      <c r="K35" s="389">
        <f t="shared" si="1"/>
        <v>26.7</v>
      </c>
      <c r="L35" s="389">
        <v>28.15</v>
      </c>
      <c r="M35" s="391">
        <v>0.11</v>
      </c>
      <c r="N35" s="392"/>
      <c r="O35" s="392" t="str">
        <f t="shared" si="0"/>
        <v>SIOB260205005CALLA LILY 451漂白L</v>
      </c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3"/>
    </row>
    <row r="36" s="277" customFormat="1" ht="57.75" customHeight="1" spans="1:26">
      <c r="A36" s="388">
        <v>7</v>
      </c>
      <c r="B36" s="389" t="s">
        <v>34</v>
      </c>
      <c r="C36" s="390" t="s">
        <v>36</v>
      </c>
      <c r="D36" s="389">
        <v>1051120</v>
      </c>
      <c r="E36" s="390" t="s">
        <v>37</v>
      </c>
      <c r="F36" s="389" t="s">
        <v>42</v>
      </c>
      <c r="G36" s="389" t="s">
        <v>93</v>
      </c>
      <c r="H36" s="389" t="s">
        <v>35</v>
      </c>
      <c r="I36" s="389">
        <v>1100</v>
      </c>
      <c r="J36" s="389" t="s">
        <v>39</v>
      </c>
      <c r="K36" s="389">
        <f t="shared" si="1"/>
        <v>26.7</v>
      </c>
      <c r="L36" s="389">
        <v>28.15</v>
      </c>
      <c r="M36" s="391">
        <v>0.11</v>
      </c>
      <c r="N36" s="392"/>
      <c r="O36" s="392" t="str">
        <f t="shared" si="0"/>
        <v>SIOB260205005CALLA LILY 451漂白L</v>
      </c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3"/>
    </row>
    <row r="37" s="277" customFormat="1" ht="57.75" customHeight="1" spans="1:26">
      <c r="A37" s="394">
        <v>8</v>
      </c>
      <c r="B37" s="389" t="s">
        <v>34</v>
      </c>
      <c r="C37" s="390" t="s">
        <v>36</v>
      </c>
      <c r="D37" s="389">
        <v>1051120</v>
      </c>
      <c r="E37" s="390" t="s">
        <v>37</v>
      </c>
      <c r="F37" s="389" t="s">
        <v>42</v>
      </c>
      <c r="G37" s="389" t="s">
        <v>93</v>
      </c>
      <c r="H37" s="389" t="s">
        <v>35</v>
      </c>
      <c r="I37" s="454">
        <v>548</v>
      </c>
      <c r="J37" s="389" t="s">
        <v>39</v>
      </c>
      <c r="K37" s="395">
        <f t="shared" si="1"/>
        <v>28.85</v>
      </c>
      <c r="L37" s="395">
        <v>30.3</v>
      </c>
      <c r="M37" s="396">
        <v>0.11</v>
      </c>
      <c r="N37" s="392"/>
      <c r="O37" s="392" t="str">
        <f t="shared" si="0"/>
        <v>SIOB260205005CALLA LILY 451漂白L</v>
      </c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3"/>
    </row>
    <row r="38" s="277" customFormat="1" ht="57.75" customHeight="1" spans="1:26">
      <c r="A38" s="455"/>
      <c r="B38" s="389" t="s">
        <v>34</v>
      </c>
      <c r="C38" s="390" t="s">
        <v>36</v>
      </c>
      <c r="D38" s="389">
        <v>1051120</v>
      </c>
      <c r="E38" s="390" t="s">
        <v>37</v>
      </c>
      <c r="F38" s="389" t="s">
        <v>43</v>
      </c>
      <c r="G38" s="389" t="s">
        <v>94</v>
      </c>
      <c r="H38" s="389" t="s">
        <v>35</v>
      </c>
      <c r="I38" s="454">
        <v>600</v>
      </c>
      <c r="J38" s="389" t="s">
        <v>39</v>
      </c>
      <c r="K38" s="456"/>
      <c r="L38" s="456"/>
      <c r="M38" s="457"/>
      <c r="N38" s="392"/>
      <c r="O38" s="392" t="str">
        <f t="shared" si="0"/>
        <v>SIOB260205005CALLA LILY 451漂白XL</v>
      </c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3"/>
    </row>
    <row r="39" s="277" customFormat="1" ht="57.75" customHeight="1" spans="1:26">
      <c r="A39" s="388">
        <v>9</v>
      </c>
      <c r="B39" s="389" t="s">
        <v>34</v>
      </c>
      <c r="C39" s="390" t="s">
        <v>36</v>
      </c>
      <c r="D39" s="389">
        <v>1051120</v>
      </c>
      <c r="E39" s="390" t="s">
        <v>37</v>
      </c>
      <c r="F39" s="389" t="s">
        <v>43</v>
      </c>
      <c r="G39" s="389" t="s">
        <v>94</v>
      </c>
      <c r="H39" s="389" t="s">
        <v>35</v>
      </c>
      <c r="I39" s="389">
        <v>1100</v>
      </c>
      <c r="J39" s="389" t="s">
        <v>39</v>
      </c>
      <c r="K39" s="389">
        <f>L39-1.45</f>
        <v>28.05</v>
      </c>
      <c r="L39" s="389">
        <v>29.5</v>
      </c>
      <c r="M39" s="391">
        <v>0.11</v>
      </c>
      <c r="N39" s="392"/>
      <c r="O39" s="392" t="str">
        <f t="shared" si="0"/>
        <v>SIOB260205005CALLA LILY 451漂白XL</v>
      </c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3"/>
    </row>
    <row r="40" s="277" customFormat="1" ht="57.75" customHeight="1" spans="1:26">
      <c r="A40" s="388">
        <v>10</v>
      </c>
      <c r="B40" s="389" t="s">
        <v>34</v>
      </c>
      <c r="C40" s="390" t="s">
        <v>36</v>
      </c>
      <c r="D40" s="389">
        <v>1051120</v>
      </c>
      <c r="E40" s="390" t="s">
        <v>37</v>
      </c>
      <c r="F40" s="389" t="s">
        <v>43</v>
      </c>
      <c r="G40" s="389" t="s">
        <v>94</v>
      </c>
      <c r="H40" s="389" t="s">
        <v>35</v>
      </c>
      <c r="I40" s="389">
        <v>1100</v>
      </c>
      <c r="J40" s="389" t="s">
        <v>39</v>
      </c>
      <c r="K40" s="389">
        <f t="shared" ref="K40:K43" si="2">L40-1.45</f>
        <v>28.25</v>
      </c>
      <c r="L40" s="389">
        <v>29.7</v>
      </c>
      <c r="M40" s="391">
        <v>0.11</v>
      </c>
      <c r="N40" s="392"/>
      <c r="O40" s="392" t="str">
        <f t="shared" si="0"/>
        <v>SIOB260205005CALLA LILY 451漂白XL</v>
      </c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3"/>
    </row>
    <row r="41" s="277" customFormat="1" ht="57.75" customHeight="1" spans="1:26">
      <c r="A41" s="388">
        <v>11</v>
      </c>
      <c r="B41" s="389" t="s">
        <v>34</v>
      </c>
      <c r="C41" s="390" t="s">
        <v>36</v>
      </c>
      <c r="D41" s="389">
        <v>1051120</v>
      </c>
      <c r="E41" s="390" t="s">
        <v>37</v>
      </c>
      <c r="F41" s="389" t="s">
        <v>44</v>
      </c>
      <c r="G41" s="389" t="s">
        <v>95</v>
      </c>
      <c r="H41" s="389" t="s">
        <v>35</v>
      </c>
      <c r="I41" s="389">
        <v>1100</v>
      </c>
      <c r="J41" s="389" t="s">
        <v>39</v>
      </c>
      <c r="K41" s="389">
        <f t="shared" si="2"/>
        <v>30.55</v>
      </c>
      <c r="L41" s="389">
        <v>32</v>
      </c>
      <c r="M41" s="391">
        <v>0.11</v>
      </c>
      <c r="N41" s="392"/>
      <c r="O41" s="392" t="str">
        <f t="shared" si="0"/>
        <v>SIOB260205005CALLA LILY 451漂白XXL</v>
      </c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3"/>
    </row>
    <row r="42" s="277" customFormat="1" ht="57.75" customHeight="1" spans="1:26">
      <c r="A42" s="388">
        <v>12</v>
      </c>
      <c r="B42" s="389" t="s">
        <v>34</v>
      </c>
      <c r="C42" s="390" t="s">
        <v>36</v>
      </c>
      <c r="D42" s="389">
        <v>1051120</v>
      </c>
      <c r="E42" s="390" t="s">
        <v>37</v>
      </c>
      <c r="F42" s="389" t="s">
        <v>44</v>
      </c>
      <c r="G42" s="389" t="s">
        <v>95</v>
      </c>
      <c r="H42" s="389" t="s">
        <v>35</v>
      </c>
      <c r="I42" s="389">
        <v>1100</v>
      </c>
      <c r="J42" s="389" t="s">
        <v>39</v>
      </c>
      <c r="K42" s="389">
        <f t="shared" si="2"/>
        <v>30.5</v>
      </c>
      <c r="L42" s="389">
        <v>31.95</v>
      </c>
      <c r="M42" s="391">
        <v>0.11</v>
      </c>
      <c r="N42" s="392"/>
      <c r="O42" s="392" t="str">
        <f t="shared" si="0"/>
        <v>SIOB260205005CALLA LILY 451漂白XXL</v>
      </c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93"/>
    </row>
    <row r="43" s="277" customFormat="1" ht="57.75" customHeight="1" spans="1:26">
      <c r="A43" s="458">
        <v>13</v>
      </c>
      <c r="B43" s="389" t="s">
        <v>34</v>
      </c>
      <c r="C43" s="390" t="s">
        <v>36</v>
      </c>
      <c r="D43" s="389">
        <v>1051120</v>
      </c>
      <c r="E43" s="390" t="s">
        <v>37</v>
      </c>
      <c r="F43" s="389" t="s">
        <v>44</v>
      </c>
      <c r="G43" s="389" t="s">
        <v>95</v>
      </c>
      <c r="H43" s="389" t="s">
        <v>35</v>
      </c>
      <c r="I43" s="454">
        <v>400</v>
      </c>
      <c r="J43" s="389" t="s">
        <v>39</v>
      </c>
      <c r="K43" s="395">
        <f t="shared" si="2"/>
        <v>31.45</v>
      </c>
      <c r="L43" s="395">
        <v>32.9</v>
      </c>
      <c r="M43" s="396">
        <v>0.11</v>
      </c>
      <c r="N43" s="392"/>
      <c r="O43" s="392" t="str">
        <f t="shared" si="0"/>
        <v>SIOB260205005CALLA LILY 451漂白XXL</v>
      </c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3"/>
    </row>
    <row r="44" s="277" customFormat="1" ht="57.75" customHeight="1" spans="1:26">
      <c r="A44" s="459"/>
      <c r="B44" s="389" t="s">
        <v>34</v>
      </c>
      <c r="C44" s="390" t="s">
        <v>36</v>
      </c>
      <c r="D44" s="389">
        <v>1051120</v>
      </c>
      <c r="E44" s="390" t="s">
        <v>37</v>
      </c>
      <c r="F44" s="389" t="s">
        <v>45</v>
      </c>
      <c r="G44" s="389" t="s">
        <v>96</v>
      </c>
      <c r="H44" s="389" t="s">
        <v>35</v>
      </c>
      <c r="I44" s="454">
        <v>608</v>
      </c>
      <c r="J44" s="389" t="s">
        <v>39</v>
      </c>
      <c r="K44" s="460"/>
      <c r="L44" s="460"/>
      <c r="M44" s="461"/>
      <c r="N44" s="392"/>
      <c r="O44" s="392" t="str">
        <f t="shared" si="0"/>
        <v>SIOB260205005CALLA LILY 451漂白XL HUSKY</v>
      </c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3"/>
    </row>
    <row r="45" s="277" customFormat="1" ht="57.75" customHeight="1" spans="1:26">
      <c r="A45" s="462"/>
      <c r="B45" s="389" t="s">
        <v>34</v>
      </c>
      <c r="C45" s="390" t="s">
        <v>36</v>
      </c>
      <c r="D45" s="389">
        <v>1051120</v>
      </c>
      <c r="E45" s="390" t="s">
        <v>37</v>
      </c>
      <c r="F45" s="389" t="s">
        <v>46</v>
      </c>
      <c r="G45" s="389" t="s">
        <v>97</v>
      </c>
      <c r="H45" s="389" t="s">
        <v>35</v>
      </c>
      <c r="I45" s="454">
        <v>137</v>
      </c>
      <c r="J45" s="389" t="s">
        <v>39</v>
      </c>
      <c r="K45" s="456"/>
      <c r="L45" s="456"/>
      <c r="M45" s="457"/>
      <c r="N45" s="392"/>
      <c r="O45" s="392" t="str">
        <f t="shared" si="0"/>
        <v>SIOB260205005CALLA LILY 451漂白XXL HUSKY</v>
      </c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3"/>
    </row>
    <row r="46" s="277" customFormat="1" ht="57.75" customHeight="1" spans="1:26">
      <c r="A46" s="388">
        <v>14</v>
      </c>
      <c r="B46" s="389" t="s">
        <v>34</v>
      </c>
      <c r="C46" s="390" t="s">
        <v>36</v>
      </c>
      <c r="D46" s="389">
        <v>1051120</v>
      </c>
      <c r="E46" s="390" t="s">
        <v>37</v>
      </c>
      <c r="F46" s="389" t="s">
        <v>45</v>
      </c>
      <c r="G46" s="389" t="s">
        <v>96</v>
      </c>
      <c r="H46" s="389" t="s">
        <v>35</v>
      </c>
      <c r="I46" s="389">
        <v>1100</v>
      </c>
      <c r="J46" s="389" t="s">
        <v>39</v>
      </c>
      <c r="K46" s="389">
        <f>L46-1.45</f>
        <v>29.3</v>
      </c>
      <c r="L46" s="389">
        <v>30.75</v>
      </c>
      <c r="M46" s="391">
        <v>0.11</v>
      </c>
      <c r="N46" s="392"/>
      <c r="O46" s="392" t="str">
        <f t="shared" si="0"/>
        <v>SIOB260205005CALLA LILY 451漂白XL HUSKY</v>
      </c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3"/>
    </row>
    <row r="47" s="277" customFormat="1" ht="57.75" customHeight="1" spans="1:26">
      <c r="A47" s="388">
        <v>15</v>
      </c>
      <c r="B47" s="389" t="s">
        <v>34</v>
      </c>
      <c r="C47" s="390" t="s">
        <v>36</v>
      </c>
      <c r="D47" s="389">
        <v>1051120</v>
      </c>
      <c r="E47" s="390" t="s">
        <v>37</v>
      </c>
      <c r="F47" s="389" t="s">
        <v>46</v>
      </c>
      <c r="G47" s="389" t="s">
        <v>97</v>
      </c>
      <c r="H47" s="389" t="s">
        <v>35</v>
      </c>
      <c r="I47" s="389">
        <v>1100</v>
      </c>
      <c r="J47" s="389" t="s">
        <v>39</v>
      </c>
      <c r="K47" s="389">
        <f t="shared" ref="K47:K48" si="3">L47-1.45</f>
        <v>31.85</v>
      </c>
      <c r="L47" s="389">
        <v>33.3</v>
      </c>
      <c r="M47" s="391">
        <v>0.11</v>
      </c>
      <c r="N47" s="392"/>
      <c r="O47" s="392" t="str">
        <f t="shared" si="0"/>
        <v>SIOB260205005CALLA LILY 451漂白XXL HUSKY</v>
      </c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3"/>
    </row>
    <row r="48" s="277" customFormat="1" ht="57.75" customHeight="1" spans="1:26">
      <c r="A48" s="388">
        <v>16</v>
      </c>
      <c r="B48" s="389" t="s">
        <v>34</v>
      </c>
      <c r="C48" s="390" t="s">
        <v>36</v>
      </c>
      <c r="D48" s="389">
        <v>1051120</v>
      </c>
      <c r="E48" s="390" t="s">
        <v>37</v>
      </c>
      <c r="F48" s="389" t="s">
        <v>46</v>
      </c>
      <c r="G48" s="389" t="s">
        <v>97</v>
      </c>
      <c r="H48" s="389" t="s">
        <v>35</v>
      </c>
      <c r="I48" s="389">
        <v>1100</v>
      </c>
      <c r="J48" s="389" t="s">
        <v>39</v>
      </c>
      <c r="K48" s="389">
        <f t="shared" si="3"/>
        <v>31.8</v>
      </c>
      <c r="L48" s="389">
        <v>33.25</v>
      </c>
      <c r="M48" s="391">
        <v>0.11</v>
      </c>
      <c r="N48" s="392"/>
      <c r="O48" s="392" t="str">
        <f t="shared" si="0"/>
        <v>SIOB260205005CALLA LILY 451漂白XXL HUSKY</v>
      </c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3"/>
    </row>
    <row r="49" s="277" customFormat="1" ht="57.75" customHeight="1" spans="1:26">
      <c r="A49" s="388">
        <v>17</v>
      </c>
      <c r="B49" s="389" t="s">
        <v>50</v>
      </c>
      <c r="C49" s="390" t="s">
        <v>36</v>
      </c>
      <c r="D49" s="389">
        <v>1051120</v>
      </c>
      <c r="E49" s="390" t="s">
        <v>48</v>
      </c>
      <c r="F49" s="389" t="s">
        <v>41</v>
      </c>
      <c r="G49" s="389" t="s">
        <v>98</v>
      </c>
      <c r="H49" s="389" t="s">
        <v>51</v>
      </c>
      <c r="I49" s="389">
        <v>742</v>
      </c>
      <c r="J49" s="389" t="s">
        <v>39</v>
      </c>
      <c r="K49" s="389">
        <v>29.45</v>
      </c>
      <c r="L49" s="389">
        <v>30.9</v>
      </c>
      <c r="M49" s="391">
        <v>0.11</v>
      </c>
      <c r="N49" s="392"/>
      <c r="O49" s="392" t="str">
        <f t="shared" si="0"/>
        <v>SIOB260205012RED TAPE 729正红色M</v>
      </c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3"/>
    </row>
    <row r="50" s="277" customFormat="1" ht="57.75" customHeight="1" spans="1:26">
      <c r="A50" s="388"/>
      <c r="B50" s="389" t="s">
        <v>50</v>
      </c>
      <c r="C50" s="390" t="s">
        <v>36</v>
      </c>
      <c r="D50" s="389">
        <v>1051120</v>
      </c>
      <c r="E50" s="390" t="s">
        <v>48</v>
      </c>
      <c r="F50" s="389" t="s">
        <v>52</v>
      </c>
      <c r="G50" s="389" t="s">
        <v>93</v>
      </c>
      <c r="H50" s="389" t="s">
        <v>51</v>
      </c>
      <c r="I50" s="389">
        <v>176</v>
      </c>
      <c r="J50" s="389" t="s">
        <v>39</v>
      </c>
      <c r="K50" s="389"/>
      <c r="L50" s="389"/>
      <c r="M50" s="391"/>
      <c r="N50" s="392"/>
      <c r="O50" s="392" t="str">
        <f t="shared" si="0"/>
        <v>SIOB260205012RED TAPE 729正红色L HUSKY</v>
      </c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3"/>
    </row>
    <row r="51" s="277" customFormat="1" ht="57.75" customHeight="1" spans="1:26">
      <c r="A51" s="388"/>
      <c r="B51" s="389" t="s">
        <v>50</v>
      </c>
      <c r="C51" s="390" t="s">
        <v>36</v>
      </c>
      <c r="D51" s="389">
        <v>1051120</v>
      </c>
      <c r="E51" s="390" t="s">
        <v>48</v>
      </c>
      <c r="F51" s="389" t="s">
        <v>46</v>
      </c>
      <c r="G51" s="389" t="s">
        <v>96</v>
      </c>
      <c r="H51" s="389" t="s">
        <v>51</v>
      </c>
      <c r="I51" s="454">
        <v>271</v>
      </c>
      <c r="J51" s="389" t="s">
        <v>39</v>
      </c>
      <c r="K51" s="389"/>
      <c r="L51" s="389"/>
      <c r="M51" s="391"/>
      <c r="N51" s="392"/>
      <c r="O51" s="392" t="str">
        <f t="shared" si="0"/>
        <v>SIOB260205012RED TAPE 729正红色XXL HUSKY</v>
      </c>
      <c r="P51" s="392"/>
      <c r="Q51" s="392"/>
      <c r="R51" s="392"/>
      <c r="S51" s="392"/>
      <c r="T51" s="392"/>
      <c r="U51" s="392"/>
      <c r="V51" s="392"/>
      <c r="W51" s="392"/>
      <c r="X51" s="392"/>
      <c r="Y51" s="392"/>
      <c r="Z51" s="393"/>
    </row>
    <row r="52" s="277" customFormat="1" ht="57.75" customHeight="1" spans="1:26">
      <c r="A52" s="388">
        <v>18</v>
      </c>
      <c r="B52" s="389" t="s">
        <v>50</v>
      </c>
      <c r="C52" s="390" t="s">
        <v>36</v>
      </c>
      <c r="D52" s="389">
        <v>1051120</v>
      </c>
      <c r="E52" s="390" t="s">
        <v>48</v>
      </c>
      <c r="F52" s="389" t="s">
        <v>42</v>
      </c>
      <c r="G52" s="389" t="s">
        <v>98</v>
      </c>
      <c r="H52" s="389" t="s">
        <v>51</v>
      </c>
      <c r="I52" s="389">
        <v>1235</v>
      </c>
      <c r="J52" s="389" t="s">
        <v>39</v>
      </c>
      <c r="K52" s="389">
        <v>29.35</v>
      </c>
      <c r="L52" s="389">
        <v>30.8</v>
      </c>
      <c r="M52" s="391">
        <v>0.11</v>
      </c>
      <c r="N52" s="392" t="s">
        <v>91</v>
      </c>
      <c r="O52" s="392" t="str">
        <f t="shared" si="0"/>
        <v>SIOB260205012RED TAPE 729正红色L</v>
      </c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3"/>
    </row>
    <row r="53" s="277" customFormat="1" ht="57.75" customHeight="1" spans="1:26">
      <c r="A53" s="388">
        <v>19</v>
      </c>
      <c r="B53" s="389" t="s">
        <v>34</v>
      </c>
      <c r="C53" s="390" t="s">
        <v>36</v>
      </c>
      <c r="D53" s="389">
        <v>1051120</v>
      </c>
      <c r="E53" s="390" t="s">
        <v>48</v>
      </c>
      <c r="F53" s="389" t="s">
        <v>38</v>
      </c>
      <c r="G53" s="389" t="s">
        <v>99</v>
      </c>
      <c r="H53" s="389" t="s">
        <v>35</v>
      </c>
      <c r="I53" s="389">
        <v>1200</v>
      </c>
      <c r="J53" s="389" t="s">
        <v>39</v>
      </c>
      <c r="K53" s="389">
        <f>L53-1.45</f>
        <v>24.8</v>
      </c>
      <c r="L53" s="389">
        <v>26.25</v>
      </c>
      <c r="M53" s="391">
        <v>0.11</v>
      </c>
      <c r="N53" s="392" t="s">
        <v>91</v>
      </c>
      <c r="O53" s="392" t="str">
        <f t="shared" si="0"/>
        <v>SIOB260205005RED TAPE 729正红色XS</v>
      </c>
      <c r="P53" s="392"/>
      <c r="Q53" s="392"/>
      <c r="R53" s="392"/>
      <c r="S53" s="392"/>
      <c r="T53" s="392"/>
      <c r="U53" s="392"/>
      <c r="V53" s="392"/>
      <c r="W53" s="392"/>
      <c r="X53" s="392"/>
      <c r="Y53" s="392"/>
      <c r="Z53" s="393"/>
    </row>
    <row r="54" s="277" customFormat="1" ht="57.75" customHeight="1" spans="1:26">
      <c r="A54" s="388">
        <v>20</v>
      </c>
      <c r="B54" s="389" t="s">
        <v>34</v>
      </c>
      <c r="C54" s="390" t="s">
        <v>36</v>
      </c>
      <c r="D54" s="389">
        <v>1051120</v>
      </c>
      <c r="E54" s="390" t="s">
        <v>48</v>
      </c>
      <c r="F54" s="389" t="s">
        <v>38</v>
      </c>
      <c r="G54" s="389" t="s">
        <v>99</v>
      </c>
      <c r="H54" s="389" t="s">
        <v>35</v>
      </c>
      <c r="I54" s="389">
        <v>505</v>
      </c>
      <c r="J54" s="389" t="s">
        <v>39</v>
      </c>
      <c r="K54" s="389">
        <f>L54-1.45</f>
        <v>26.6</v>
      </c>
      <c r="L54" s="389">
        <v>28.05</v>
      </c>
      <c r="M54" s="391">
        <v>0.11</v>
      </c>
      <c r="N54" s="392" t="s">
        <v>91</v>
      </c>
      <c r="O54" s="392" t="str">
        <f t="shared" si="0"/>
        <v>SIOB260205005RED TAPE 729正红色XS</v>
      </c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3"/>
    </row>
    <row r="55" s="277" customFormat="1" ht="57.75" customHeight="1" spans="1:26">
      <c r="A55" s="388"/>
      <c r="B55" s="389" t="s">
        <v>34</v>
      </c>
      <c r="C55" s="390" t="s">
        <v>36</v>
      </c>
      <c r="D55" s="389">
        <v>1051120</v>
      </c>
      <c r="E55" s="390" t="s">
        <v>48</v>
      </c>
      <c r="F55" s="389" t="s">
        <v>40</v>
      </c>
      <c r="G55" s="389" t="s">
        <v>90</v>
      </c>
      <c r="H55" s="389" t="s">
        <v>35</v>
      </c>
      <c r="I55" s="389">
        <v>356</v>
      </c>
      <c r="J55" s="389" t="s">
        <v>39</v>
      </c>
      <c r="K55" s="389"/>
      <c r="L55" s="389"/>
      <c r="M55" s="391"/>
      <c r="N55" s="392" t="s">
        <v>91</v>
      </c>
      <c r="O55" s="392" t="str">
        <f t="shared" si="0"/>
        <v>SIOB260205005RED TAPE 729正红色S</v>
      </c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3"/>
    </row>
    <row r="56" s="277" customFormat="1" ht="57.75" customHeight="1" spans="1:26">
      <c r="A56" s="388"/>
      <c r="B56" s="389" t="s">
        <v>34</v>
      </c>
      <c r="C56" s="390" t="s">
        <v>36</v>
      </c>
      <c r="D56" s="389">
        <v>1051120</v>
      </c>
      <c r="E56" s="390" t="s">
        <v>48</v>
      </c>
      <c r="F56" s="389" t="s">
        <v>44</v>
      </c>
      <c r="G56" s="389" t="s">
        <v>95</v>
      </c>
      <c r="H56" s="389" t="s">
        <v>35</v>
      </c>
      <c r="I56" s="389">
        <v>295</v>
      </c>
      <c r="J56" s="389" t="s">
        <v>39</v>
      </c>
      <c r="K56" s="389"/>
      <c r="L56" s="389"/>
      <c r="M56" s="391"/>
      <c r="N56" s="392" t="s">
        <v>91</v>
      </c>
      <c r="O56" s="392" t="str">
        <f t="shared" si="0"/>
        <v>SIOB260205005RED TAPE 729正红色XXL</v>
      </c>
      <c r="P56" s="392"/>
      <c r="Q56" s="392"/>
      <c r="R56" s="392"/>
      <c r="S56" s="392"/>
      <c r="T56" s="392"/>
      <c r="U56" s="392"/>
      <c r="V56" s="392"/>
      <c r="W56" s="392"/>
      <c r="X56" s="392"/>
      <c r="Y56" s="392"/>
      <c r="Z56" s="393"/>
    </row>
    <row r="57" s="277" customFormat="1" ht="57.75" customHeight="1" spans="1:26">
      <c r="A57" s="388">
        <v>21</v>
      </c>
      <c r="B57" s="389" t="s">
        <v>34</v>
      </c>
      <c r="C57" s="390" t="s">
        <v>36</v>
      </c>
      <c r="D57" s="389">
        <v>1051120</v>
      </c>
      <c r="E57" s="390" t="s">
        <v>48</v>
      </c>
      <c r="F57" s="389" t="s">
        <v>40</v>
      </c>
      <c r="G57" s="389" t="s">
        <v>90</v>
      </c>
      <c r="H57" s="389" t="s">
        <v>35</v>
      </c>
      <c r="I57" s="389">
        <v>1200</v>
      </c>
      <c r="J57" s="389" t="s">
        <v>39</v>
      </c>
      <c r="K57" s="389">
        <f>L57-1.45</f>
        <v>25.4</v>
      </c>
      <c r="L57" s="389">
        <v>26.85</v>
      </c>
      <c r="M57" s="391">
        <v>0.11</v>
      </c>
      <c r="N57" s="392" t="s">
        <v>91</v>
      </c>
      <c r="O57" s="392" t="str">
        <f t="shared" si="0"/>
        <v>SIOB260205005RED TAPE 729正红色S</v>
      </c>
      <c r="P57" s="392"/>
      <c r="Q57" s="392"/>
      <c r="R57" s="392"/>
      <c r="S57" s="392"/>
      <c r="T57" s="392"/>
      <c r="U57" s="392"/>
      <c r="V57" s="392"/>
      <c r="W57" s="392"/>
      <c r="X57" s="392"/>
      <c r="Y57" s="392"/>
      <c r="Z57" s="393"/>
    </row>
    <row r="58" s="277" customFormat="1" ht="57.75" customHeight="1" spans="1:26">
      <c r="A58" s="394">
        <v>22</v>
      </c>
      <c r="B58" s="389" t="s">
        <v>34</v>
      </c>
      <c r="C58" s="390" t="s">
        <v>36</v>
      </c>
      <c r="D58" s="389">
        <v>1051120</v>
      </c>
      <c r="E58" s="390" t="s">
        <v>47</v>
      </c>
      <c r="F58" s="389" t="s">
        <v>44</v>
      </c>
      <c r="G58" s="389" t="s">
        <v>95</v>
      </c>
      <c r="H58" s="389" t="s">
        <v>35</v>
      </c>
      <c r="I58" s="389">
        <v>292</v>
      </c>
      <c r="J58" s="389" t="s">
        <v>39</v>
      </c>
      <c r="K58" s="395">
        <f>L58-1.15</f>
        <v>13.65</v>
      </c>
      <c r="L58" s="395">
        <v>14.8</v>
      </c>
      <c r="M58" s="463">
        <f>65*49*20/1000000</f>
        <v>0.0637</v>
      </c>
      <c r="N58" s="392" t="s">
        <v>91</v>
      </c>
      <c r="O58" s="392" t="str">
        <f t="shared" si="0"/>
        <v>SIOB260205005MONET BLUE 744油画蓝XXL</v>
      </c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3"/>
    </row>
    <row r="59" s="277" customFormat="1" ht="57.75" customHeight="1" spans="1:26">
      <c r="A59" s="455"/>
      <c r="B59" s="389" t="s">
        <v>34</v>
      </c>
      <c r="C59" s="390" t="s">
        <v>36</v>
      </c>
      <c r="D59" s="389">
        <v>1051120</v>
      </c>
      <c r="E59" s="390" t="s">
        <v>47</v>
      </c>
      <c r="F59" s="389" t="s">
        <v>46</v>
      </c>
      <c r="G59" s="389" t="s">
        <v>97</v>
      </c>
      <c r="H59" s="389" t="s">
        <v>35</v>
      </c>
      <c r="I59" s="389">
        <v>189</v>
      </c>
      <c r="J59" s="389" t="s">
        <v>39</v>
      </c>
      <c r="K59" s="456"/>
      <c r="L59" s="456"/>
      <c r="M59" s="464"/>
      <c r="N59" s="392" t="s">
        <v>91</v>
      </c>
      <c r="O59" s="392" t="str">
        <f t="shared" si="0"/>
        <v>SIOB260205005MONET BLUE 744油画蓝XXL HUSKY</v>
      </c>
      <c r="P59" s="392"/>
      <c r="Q59" s="392"/>
      <c r="R59" s="392"/>
      <c r="S59" s="392"/>
      <c r="T59" s="392"/>
      <c r="U59" s="392"/>
      <c r="V59" s="392"/>
      <c r="W59" s="392"/>
      <c r="X59" s="392"/>
      <c r="Y59" s="392"/>
      <c r="Z59" s="393"/>
    </row>
    <row r="60" s="277" customFormat="1" ht="57.75" customHeight="1" spans="1:26">
      <c r="A60" s="394">
        <v>23</v>
      </c>
      <c r="B60" s="389" t="s">
        <v>34</v>
      </c>
      <c r="C60" s="390" t="s">
        <v>36</v>
      </c>
      <c r="D60" s="389">
        <v>1051120</v>
      </c>
      <c r="E60" s="390" t="s">
        <v>49</v>
      </c>
      <c r="F60" s="389" t="s">
        <v>41</v>
      </c>
      <c r="G60" s="389" t="s">
        <v>92</v>
      </c>
      <c r="H60" s="389" t="s">
        <v>35</v>
      </c>
      <c r="I60" s="389">
        <v>702</v>
      </c>
      <c r="J60" s="389" t="s">
        <v>39</v>
      </c>
      <c r="K60" s="395">
        <f t="shared" ref="K60" si="4">L60-1.45</f>
        <v>28.3</v>
      </c>
      <c r="L60" s="395">
        <v>29.75</v>
      </c>
      <c r="M60" s="396">
        <v>0.11</v>
      </c>
      <c r="N60" s="392" t="s">
        <v>100</v>
      </c>
      <c r="O60" s="392" t="str">
        <f t="shared" si="0"/>
        <v>SIOB260205005WINE STAIN 853酒红M</v>
      </c>
      <c r="P60" s="392"/>
      <c r="Q60" s="392"/>
      <c r="R60" s="392"/>
      <c r="S60" s="392"/>
      <c r="T60" s="392"/>
      <c r="U60" s="392"/>
      <c r="V60" s="392"/>
      <c r="W60" s="392"/>
      <c r="X60" s="392"/>
      <c r="Y60" s="392"/>
      <c r="Z60" s="393"/>
    </row>
    <row r="61" s="277" customFormat="1" ht="57.75" customHeight="1" spans="1:26">
      <c r="A61" s="455"/>
      <c r="B61" s="389" t="s">
        <v>34</v>
      </c>
      <c r="C61" s="390" t="s">
        <v>36</v>
      </c>
      <c r="D61" s="389">
        <v>1051120</v>
      </c>
      <c r="E61" s="390" t="s">
        <v>49</v>
      </c>
      <c r="F61" s="389" t="s">
        <v>42</v>
      </c>
      <c r="G61" s="389" t="s">
        <v>93</v>
      </c>
      <c r="H61" s="389" t="s">
        <v>35</v>
      </c>
      <c r="I61" s="389">
        <v>494</v>
      </c>
      <c r="J61" s="389" t="s">
        <v>39</v>
      </c>
      <c r="K61" s="456"/>
      <c r="L61" s="456"/>
      <c r="M61" s="457"/>
      <c r="N61" s="392" t="s">
        <v>100</v>
      </c>
      <c r="O61" s="392" t="str">
        <f t="shared" si="0"/>
        <v>SIOB260205005WINE STAIN 853酒红L</v>
      </c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3"/>
    </row>
    <row r="62" s="277" customFormat="1" ht="57.75" customHeight="1" spans="1:26">
      <c r="A62" s="388">
        <v>24</v>
      </c>
      <c r="B62" s="389" t="s">
        <v>34</v>
      </c>
      <c r="C62" s="390" t="s">
        <v>36</v>
      </c>
      <c r="D62" s="389">
        <v>1051120</v>
      </c>
      <c r="E62" s="390" t="s">
        <v>49</v>
      </c>
      <c r="F62" s="389" t="s">
        <v>42</v>
      </c>
      <c r="G62" s="389" t="s">
        <v>93</v>
      </c>
      <c r="H62" s="389" t="s">
        <v>35</v>
      </c>
      <c r="I62" s="389">
        <v>1200</v>
      </c>
      <c r="J62" s="389" t="s">
        <v>39</v>
      </c>
      <c r="K62" s="389">
        <f t="shared" ref="K62:K65" si="5">L62-1.45</f>
        <v>29.1</v>
      </c>
      <c r="L62" s="389">
        <v>30.55</v>
      </c>
      <c r="M62" s="391">
        <v>0.11</v>
      </c>
      <c r="N62" s="392" t="s">
        <v>100</v>
      </c>
      <c r="O62" s="392" t="str">
        <f t="shared" si="0"/>
        <v>SIOB260205005WINE STAIN 853酒红L</v>
      </c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3"/>
    </row>
    <row r="63" s="277" customFormat="1" ht="57.75" customHeight="1" spans="1:26">
      <c r="A63" s="388">
        <v>25</v>
      </c>
      <c r="B63" s="389" t="s">
        <v>34</v>
      </c>
      <c r="C63" s="390" t="s">
        <v>36</v>
      </c>
      <c r="D63" s="389">
        <v>1051120</v>
      </c>
      <c r="E63" s="390" t="s">
        <v>49</v>
      </c>
      <c r="F63" s="389" t="s">
        <v>43</v>
      </c>
      <c r="G63" s="389" t="s">
        <v>94</v>
      </c>
      <c r="H63" s="389" t="s">
        <v>35</v>
      </c>
      <c r="I63" s="389">
        <v>1100</v>
      </c>
      <c r="J63" s="389" t="s">
        <v>39</v>
      </c>
      <c r="K63" s="389">
        <f t="shared" si="5"/>
        <v>28.65</v>
      </c>
      <c r="L63" s="389">
        <v>30.1</v>
      </c>
      <c r="M63" s="391">
        <v>0.11</v>
      </c>
      <c r="N63" s="392" t="s">
        <v>100</v>
      </c>
      <c r="O63" s="392" t="str">
        <f t="shared" si="0"/>
        <v>SIOB260205005WINE STAIN 853酒红XL</v>
      </c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3"/>
    </row>
    <row r="64" s="277" customFormat="1" ht="57.75" customHeight="1" spans="1:26">
      <c r="A64" s="388">
        <v>26</v>
      </c>
      <c r="B64" s="389" t="s">
        <v>34</v>
      </c>
      <c r="C64" s="390" t="s">
        <v>36</v>
      </c>
      <c r="D64" s="389">
        <v>1051120</v>
      </c>
      <c r="E64" s="390" t="s">
        <v>49</v>
      </c>
      <c r="F64" s="389" t="s">
        <v>44</v>
      </c>
      <c r="G64" s="389" t="s">
        <v>95</v>
      </c>
      <c r="H64" s="389" t="s">
        <v>35</v>
      </c>
      <c r="I64" s="389">
        <v>1200</v>
      </c>
      <c r="J64" s="389" t="s">
        <v>39</v>
      </c>
      <c r="K64" s="389">
        <f t="shared" si="5"/>
        <v>32.25</v>
      </c>
      <c r="L64" s="389">
        <v>33.7</v>
      </c>
      <c r="M64" s="391">
        <v>0.11</v>
      </c>
      <c r="N64" s="392" t="s">
        <v>100</v>
      </c>
      <c r="O64" s="392" t="str">
        <f t="shared" si="0"/>
        <v>SIOB260205005WINE STAIN 853酒红XXL</v>
      </c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3"/>
    </row>
    <row r="65" s="277" customFormat="1" ht="57.75" customHeight="1" spans="1:33">
      <c r="A65" s="394">
        <v>27</v>
      </c>
      <c r="B65" s="389" t="s">
        <v>50</v>
      </c>
      <c r="C65" s="390" t="s">
        <v>36</v>
      </c>
      <c r="D65" s="389">
        <v>1051120</v>
      </c>
      <c r="E65" s="397" t="s">
        <v>37</v>
      </c>
      <c r="F65" s="389" t="s">
        <v>42</v>
      </c>
      <c r="G65" s="389" t="s">
        <v>98</v>
      </c>
      <c r="H65" s="389" t="s">
        <v>51</v>
      </c>
      <c r="I65" s="389">
        <v>600</v>
      </c>
      <c r="J65" s="389" t="s">
        <v>39</v>
      </c>
      <c r="K65" s="395">
        <f t="shared" si="5"/>
        <v>28.8</v>
      </c>
      <c r="L65" s="395">
        <v>30.25</v>
      </c>
      <c r="M65" s="396">
        <v>0.11</v>
      </c>
      <c r="N65" s="392" t="s">
        <v>100</v>
      </c>
      <c r="O65" s="392" t="str">
        <f t="shared" si="0"/>
        <v>SIOB260205012CALLA LILY 451漂白L</v>
      </c>
      <c r="P65" s="392"/>
      <c r="Q65" s="392"/>
      <c r="R65" s="392"/>
      <c r="S65" s="392"/>
      <c r="T65" s="392"/>
      <c r="U65" s="392"/>
      <c r="V65" s="392"/>
      <c r="W65" s="392"/>
      <c r="X65" s="392"/>
      <c r="Y65" s="392"/>
      <c r="Z65" s="393"/>
    </row>
    <row r="66" s="277" customFormat="1" ht="57.75" customHeight="1" spans="1:33">
      <c r="A66" s="465"/>
      <c r="B66" s="389" t="s">
        <v>50</v>
      </c>
      <c r="C66" s="390" t="s">
        <v>36</v>
      </c>
      <c r="D66" s="389">
        <v>1051120</v>
      </c>
      <c r="E66" s="397" t="s">
        <v>37</v>
      </c>
      <c r="F66" s="389" t="s">
        <v>45</v>
      </c>
      <c r="G66" s="389" t="s">
        <v>96</v>
      </c>
      <c r="H66" s="389" t="s">
        <v>51</v>
      </c>
      <c r="I66" s="389">
        <v>197</v>
      </c>
      <c r="J66" s="389" t="s">
        <v>39</v>
      </c>
      <c r="K66" s="460"/>
      <c r="L66" s="460"/>
      <c r="M66" s="461"/>
      <c r="N66" s="392" t="s">
        <v>100</v>
      </c>
      <c r="O66" s="392" t="str">
        <f t="shared" si="0"/>
        <v>SIOB260205012CALLA LILY 451漂白XL HUSKY</v>
      </c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3"/>
    </row>
    <row r="67" s="277" customFormat="1" ht="57.75" customHeight="1" spans="1:33">
      <c r="A67" s="455"/>
      <c r="B67" s="389" t="s">
        <v>50</v>
      </c>
      <c r="C67" s="390" t="s">
        <v>36</v>
      </c>
      <c r="D67" s="389">
        <v>1051120</v>
      </c>
      <c r="E67" s="397" t="s">
        <v>37</v>
      </c>
      <c r="F67" s="389" t="s">
        <v>46</v>
      </c>
      <c r="G67" s="389" t="s">
        <v>96</v>
      </c>
      <c r="H67" s="389" t="s">
        <v>51</v>
      </c>
      <c r="I67" s="389">
        <v>357</v>
      </c>
      <c r="J67" s="389" t="s">
        <v>39</v>
      </c>
      <c r="K67" s="456"/>
      <c r="L67" s="456"/>
      <c r="M67" s="457"/>
      <c r="N67" s="392" t="s">
        <v>100</v>
      </c>
      <c r="O67" s="392" t="str">
        <f t="shared" si="0"/>
        <v>SIOB260205012CALLA LILY 451漂白XXL HUSKY</v>
      </c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93"/>
    </row>
    <row r="68" s="277" customFormat="1" ht="57.75" customHeight="1" spans="1:33">
      <c r="A68" s="394">
        <v>28</v>
      </c>
      <c r="B68" s="389" t="s">
        <v>34</v>
      </c>
      <c r="C68" s="390" t="s">
        <v>36</v>
      </c>
      <c r="D68" s="389">
        <v>1051120</v>
      </c>
      <c r="E68" s="397" t="s">
        <v>37</v>
      </c>
      <c r="F68" s="389" t="s">
        <v>38</v>
      </c>
      <c r="G68" s="389" t="s">
        <v>99</v>
      </c>
      <c r="H68" s="389" t="s">
        <v>35</v>
      </c>
      <c r="I68" s="389">
        <v>1200</v>
      </c>
      <c r="J68" s="389" t="s">
        <v>39</v>
      </c>
      <c r="K68" s="395">
        <f t="shared" ref="K68:K71" si="6">L68-1.45</f>
        <v>24.2</v>
      </c>
      <c r="L68" s="395">
        <v>25.65</v>
      </c>
      <c r="M68" s="396">
        <v>0.11</v>
      </c>
      <c r="N68" s="392" t="s">
        <v>100</v>
      </c>
      <c r="O68" s="392" t="str">
        <f t="shared" si="0"/>
        <v>SIOB260205005CALLA LILY 451漂白XS</v>
      </c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93"/>
    </row>
    <row r="69" s="277" customFormat="1" ht="57.75" customHeight="1" spans="1:33">
      <c r="A69" s="394">
        <v>29</v>
      </c>
      <c r="B69" s="389" t="s">
        <v>34</v>
      </c>
      <c r="C69" s="390" t="s">
        <v>36</v>
      </c>
      <c r="D69" s="389">
        <v>1051120</v>
      </c>
      <c r="E69" s="397" t="s">
        <v>37</v>
      </c>
      <c r="F69" s="389" t="s">
        <v>38</v>
      </c>
      <c r="G69" s="389" t="s">
        <v>99</v>
      </c>
      <c r="H69" s="389" t="s">
        <v>35</v>
      </c>
      <c r="I69" s="389">
        <v>1200</v>
      </c>
      <c r="J69" s="389" t="s">
        <v>39</v>
      </c>
      <c r="K69" s="395">
        <f t="shared" si="6"/>
        <v>24</v>
      </c>
      <c r="L69" s="395">
        <v>25.45</v>
      </c>
      <c r="M69" s="396">
        <v>0.11</v>
      </c>
      <c r="N69" s="392" t="s">
        <v>100</v>
      </c>
      <c r="O69" s="392" t="str">
        <f t="shared" si="0"/>
        <v>SIOB260205005CALLA LILY 451漂白XS</v>
      </c>
      <c r="P69" s="392"/>
      <c r="Q69" s="392"/>
      <c r="R69" s="392"/>
      <c r="S69" s="392"/>
      <c r="T69" s="392"/>
      <c r="U69" s="392"/>
      <c r="V69" s="392"/>
      <c r="W69" s="392"/>
      <c r="X69" s="392"/>
      <c r="Y69" s="392"/>
      <c r="Z69" s="393"/>
    </row>
    <row r="70" s="277" customFormat="1" ht="57.75" customHeight="1" spans="1:33">
      <c r="A70" s="394">
        <v>30</v>
      </c>
      <c r="B70" s="389" t="s">
        <v>34</v>
      </c>
      <c r="C70" s="390" t="s">
        <v>36</v>
      </c>
      <c r="D70" s="389">
        <v>1051120</v>
      </c>
      <c r="E70" s="454" t="s">
        <v>37</v>
      </c>
      <c r="F70" s="389" t="s">
        <v>42</v>
      </c>
      <c r="G70" s="389" t="s">
        <v>93</v>
      </c>
      <c r="H70" s="389" t="s">
        <v>35</v>
      </c>
      <c r="I70" s="389">
        <v>1200</v>
      </c>
      <c r="J70" s="389" t="s">
        <v>39</v>
      </c>
      <c r="K70" s="395">
        <f t="shared" si="6"/>
        <v>29.25</v>
      </c>
      <c r="L70" s="395">
        <v>30.7</v>
      </c>
      <c r="M70" s="396">
        <v>0.11</v>
      </c>
      <c r="N70" s="392" t="s">
        <v>100</v>
      </c>
      <c r="O70" s="392" t="str">
        <f t="shared" si="0"/>
        <v>SIOB260205005CALLA LILY 451漂白L</v>
      </c>
      <c r="P70" s="392"/>
      <c r="Q70" s="392"/>
      <c r="R70" s="392"/>
      <c r="S70" s="392"/>
      <c r="T70" s="392"/>
      <c r="U70" s="392"/>
      <c r="V70" s="392"/>
      <c r="W70" s="392"/>
      <c r="X70" s="392"/>
      <c r="Y70" s="392"/>
      <c r="Z70" s="393"/>
    </row>
    <row r="71" s="277" customFormat="1" ht="57.75" customHeight="1" spans="1:33">
      <c r="A71" s="394">
        <v>31</v>
      </c>
      <c r="B71" s="389" t="s">
        <v>34</v>
      </c>
      <c r="C71" s="390" t="s">
        <v>36</v>
      </c>
      <c r="D71" s="389">
        <v>1051120</v>
      </c>
      <c r="E71" s="454" t="s">
        <v>37</v>
      </c>
      <c r="F71" s="389" t="s">
        <v>42</v>
      </c>
      <c r="G71" s="389" t="s">
        <v>93</v>
      </c>
      <c r="H71" s="389" t="s">
        <v>35</v>
      </c>
      <c r="I71" s="389">
        <v>700</v>
      </c>
      <c r="J71" s="389" t="s">
        <v>39</v>
      </c>
      <c r="K71" s="395">
        <f t="shared" si="6"/>
        <v>25.5</v>
      </c>
      <c r="L71" s="395">
        <v>26.95</v>
      </c>
      <c r="M71" s="396">
        <v>0.11</v>
      </c>
      <c r="N71" s="392" t="s">
        <v>100</v>
      </c>
      <c r="O71" s="392" t="str">
        <f t="shared" si="0"/>
        <v>SIOB260205005CALLA LILY 451漂白L</v>
      </c>
      <c r="P71" s="392"/>
      <c r="Q71" s="392"/>
      <c r="R71" s="392"/>
      <c r="S71" s="392"/>
      <c r="T71" s="392"/>
      <c r="U71" s="392"/>
      <c r="V71" s="392"/>
      <c r="W71" s="392"/>
      <c r="X71" s="392"/>
      <c r="Y71" s="392"/>
      <c r="Z71" s="393"/>
    </row>
    <row r="72" s="277" customFormat="1" ht="57.75" customHeight="1" spans="1:33">
      <c r="A72" s="465"/>
      <c r="B72" s="389" t="s">
        <v>34</v>
      </c>
      <c r="C72" s="390" t="s">
        <v>36</v>
      </c>
      <c r="D72" s="389">
        <v>1051120</v>
      </c>
      <c r="E72" s="454" t="s">
        <v>37</v>
      </c>
      <c r="F72" s="389" t="s">
        <v>43</v>
      </c>
      <c r="G72" s="389" t="s">
        <v>94</v>
      </c>
      <c r="H72" s="389" t="s">
        <v>35</v>
      </c>
      <c r="I72" s="389">
        <v>322</v>
      </c>
      <c r="J72" s="389" t="s">
        <v>39</v>
      </c>
      <c r="K72" s="460"/>
      <c r="L72" s="460"/>
      <c r="M72" s="461"/>
      <c r="N72" s="392" t="s">
        <v>100</v>
      </c>
      <c r="O72" s="392" t="str">
        <f t="shared" si="0"/>
        <v>SIOB260205005CALLA LILY 451漂白XL</v>
      </c>
      <c r="P72" s="392"/>
      <c r="Q72" s="392"/>
      <c r="R72" s="392"/>
      <c r="S72" s="392"/>
      <c r="T72" s="392"/>
      <c r="U72" s="392"/>
      <c r="V72" s="392"/>
      <c r="W72" s="392"/>
      <c r="X72" s="392"/>
      <c r="Y72" s="392"/>
      <c r="Z72" s="393"/>
    </row>
    <row r="73" s="278" customFormat="1" ht="63" customHeight="1" spans="1:33">
      <c r="A73" s="398" t="s">
        <v>53</v>
      </c>
      <c r="B73" s="399"/>
      <c r="C73" s="400"/>
      <c r="D73" s="401"/>
      <c r="E73" s="402">
        <v>31</v>
      </c>
      <c r="F73" s="466"/>
      <c r="G73" s="466"/>
      <c r="H73" s="403"/>
      <c r="I73" s="405">
        <f>SUM(I19:I72)</f>
        <v>34826</v>
      </c>
      <c r="J73" s="406" t="s">
        <v>39</v>
      </c>
      <c r="K73" s="407">
        <f>SUM(K30:K72)</f>
        <v>847.35</v>
      </c>
      <c r="L73" s="407">
        <f>SUM(L30:L72)</f>
        <v>892</v>
      </c>
      <c r="M73" s="467">
        <f>SUM(M30:M72)</f>
        <v>3.3637</v>
      </c>
      <c r="N73" s="409"/>
      <c r="O73" s="392"/>
      <c r="P73" s="409"/>
      <c r="Q73" s="409"/>
      <c r="R73" s="409"/>
      <c r="S73" s="409"/>
      <c r="T73" s="409"/>
      <c r="U73" s="409"/>
      <c r="V73" s="409"/>
      <c r="W73" s="409"/>
      <c r="X73" s="409"/>
      <c r="Y73" s="409"/>
    </row>
    <row r="74" s="276" customFormat="1" ht="27.75" customHeight="1" spans="1:33">
      <c r="A74" s="410" t="s">
        <v>101</v>
      </c>
      <c r="B74" s="410"/>
      <c r="C74" s="410"/>
      <c r="D74" s="411"/>
      <c r="E74" s="411"/>
      <c r="F74" s="411"/>
      <c r="G74" s="411"/>
      <c r="H74" s="411"/>
      <c r="I74" s="411"/>
      <c r="J74" s="411"/>
      <c r="K74" s="411"/>
      <c r="O74" s="387"/>
      <c r="P74" s="387"/>
      <c r="Q74" s="387"/>
      <c r="R74" s="387"/>
      <c r="S74" s="387"/>
      <c r="T74" s="387"/>
      <c r="U74" s="387"/>
      <c r="V74" s="387"/>
      <c r="W74" s="387"/>
      <c r="X74" s="387"/>
      <c r="Y74" s="387"/>
      <c r="Z74" s="387"/>
    </row>
    <row r="75" s="276" customFormat="1" ht="24.75" customHeight="1" spans="1:33">
      <c r="A75" s="412"/>
      <c r="B75" s="413"/>
      <c r="C75" s="413"/>
      <c r="E75" s="414"/>
      <c r="F75" s="414"/>
      <c r="G75" s="414"/>
      <c r="H75" s="414"/>
      <c r="I75" s="415" t="s">
        <v>0</v>
      </c>
      <c r="J75" s="415"/>
      <c r="K75" s="415"/>
      <c r="L75" s="415"/>
      <c r="M75" s="415"/>
      <c r="N75" s="415"/>
      <c r="O75" s="387"/>
      <c r="P75" s="387"/>
      <c r="Q75" s="387"/>
      <c r="R75" s="387"/>
      <c r="S75" s="387"/>
      <c r="T75" s="387"/>
      <c r="U75" s="387"/>
      <c r="V75" s="387"/>
      <c r="W75" s="387"/>
      <c r="X75" s="387"/>
      <c r="Y75" s="387"/>
      <c r="Z75" s="387"/>
    </row>
    <row r="76" s="279" customFormat="1" spans="1:33">
      <c r="A76" s="416"/>
      <c r="B76" s="416"/>
      <c r="G76" s="417"/>
      <c r="H76" s="417"/>
      <c r="J76" s="416"/>
      <c r="N76" s="416"/>
      <c r="O76" s="416"/>
      <c r="P76" s="418"/>
      <c r="Q76" s="418"/>
      <c r="R76" s="418"/>
      <c r="S76" s="418"/>
      <c r="T76" s="418"/>
      <c r="U76" s="418"/>
      <c r="V76" s="418"/>
      <c r="W76" s="418"/>
      <c r="X76" s="418"/>
      <c r="Y76" s="418"/>
      <c r="Z76" s="418"/>
      <c r="AA76" s="418"/>
      <c r="AB76" s="418"/>
      <c r="AC76" s="418"/>
      <c r="AD76" s="418"/>
      <c r="AE76" s="418"/>
      <c r="AF76" s="418"/>
      <c r="AG76" s="418"/>
    </row>
    <row r="77" s="279" customFormat="1" spans="1:33">
      <c r="A77" s="416"/>
      <c r="B77" s="416"/>
      <c r="G77" s="417"/>
      <c r="H77" s="417"/>
      <c r="J77" s="416"/>
      <c r="N77" s="416"/>
      <c r="O77" s="416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</row>
    <row r="78" s="280" customFormat="1" ht="24.75" customHeight="1" spans="1:33">
      <c r="A78" s="419"/>
      <c r="B78" s="420"/>
      <c r="C78" s="420"/>
      <c r="D78" s="420"/>
      <c r="E78" s="421"/>
      <c r="F78" s="421"/>
      <c r="H78" s="422"/>
      <c r="I78" s="423"/>
      <c r="J78" s="423"/>
      <c r="K78" s="423"/>
      <c r="L78" s="423"/>
      <c r="M78" s="423"/>
      <c r="N78" s="423"/>
      <c r="O78" s="424"/>
      <c r="P78" s="424"/>
      <c r="Q78" s="424"/>
      <c r="R78" s="424"/>
      <c r="S78" s="424"/>
      <c r="T78" s="424"/>
      <c r="U78" s="424"/>
      <c r="V78" s="424"/>
      <c r="W78" s="424"/>
      <c r="X78" s="424"/>
      <c r="Y78" s="424"/>
      <c r="Z78" s="424"/>
    </row>
    <row r="79" s="281" customFormat="1" spans="1:33">
      <c r="A79" s="425"/>
      <c r="B79" s="425"/>
      <c r="G79" s="426"/>
      <c r="H79" s="426"/>
      <c r="J79" s="425"/>
      <c r="N79" s="425"/>
      <c r="O79" s="425"/>
      <c r="P79" s="427"/>
      <c r="Q79" s="427"/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</row>
  </sheetData>
  <autoFilter xmlns:etc="http://www.wps.cn/officeDocument/2017/etCustomData" ref="A29:AG77" etc:filterBottomFollowUsedRange="0">
    <extLst/>
  </autoFilter>
  <mergeCells count="55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F29:G29"/>
    <mergeCell ref="A73:B73"/>
    <mergeCell ref="A74:C74"/>
    <mergeCell ref="I78:N78"/>
    <mergeCell ref="A37:A38"/>
    <mergeCell ref="A43:A45"/>
    <mergeCell ref="A49:A51"/>
    <mergeCell ref="A54:A56"/>
    <mergeCell ref="A58:A59"/>
    <mergeCell ref="A60:A61"/>
    <mergeCell ref="A65:A67"/>
    <mergeCell ref="A71:A72"/>
    <mergeCell ref="K37:K38"/>
    <mergeCell ref="K43:K45"/>
    <mergeCell ref="K49:K51"/>
    <mergeCell ref="K54:K56"/>
    <mergeCell ref="K58:K59"/>
    <mergeCell ref="K60:K61"/>
    <mergeCell ref="K65:K67"/>
    <mergeCell ref="K71:K72"/>
    <mergeCell ref="L37:L38"/>
    <mergeCell ref="L43:L45"/>
    <mergeCell ref="L49:L51"/>
    <mergeCell ref="L54:L56"/>
    <mergeCell ref="L58:L59"/>
    <mergeCell ref="L60:L61"/>
    <mergeCell ref="L65:L67"/>
    <mergeCell ref="L71:L72"/>
    <mergeCell ref="M37:M38"/>
    <mergeCell ref="M43:M45"/>
    <mergeCell ref="M49:M51"/>
    <mergeCell ref="M54:M56"/>
    <mergeCell ref="M58:M59"/>
    <mergeCell ref="M60:M61"/>
    <mergeCell ref="M65:M67"/>
    <mergeCell ref="M71:M72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2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42"/>
  <sheetViews>
    <sheetView tabSelected="1" zoomScale="63" zoomScaleNormal="63" topLeftCell="A4" workbookViewId="0">
      <selection activeCell="F23" sqref="F23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56.7090909090909" style="233" customWidth="1"/>
    <col min="7" max="7" width="32.0272727272727" style="233" customWidth="1"/>
    <col min="8" max="8" width="17.5727272727273" style="92" customWidth="1"/>
    <col min="9" max="9" width="24.2818181818182" style="232" customWidth="1"/>
    <col min="10" max="11" width="20.1363636363636" style="92" customWidth="1"/>
    <col min="12" max="12" width="9.13636363636364" style="98" customWidth="1"/>
    <col min="13" max="13" width="49.2818181818182" style="98" customWidth="1"/>
    <col min="14" max="14" width="20.4272727272727" style="98" customWidth="1"/>
    <col min="15" max="29" width="9.13636363636364" style="98"/>
    <col min="30" max="16384" width="9.13636363636364" style="92"/>
  </cols>
  <sheetData>
    <row r="1" ht="24" customHeight="1" spans="1:11">
      <c r="A1" s="96" t="s">
        <v>60</v>
      </c>
      <c r="B1" s="97"/>
      <c r="C1" s="97"/>
      <c r="D1" s="97"/>
      <c r="E1" s="97"/>
      <c r="F1" s="97"/>
      <c r="G1" s="97"/>
      <c r="H1" s="97"/>
      <c r="I1" s="97"/>
      <c r="J1" s="97"/>
      <c r="K1" s="282"/>
    </row>
    <row r="2" ht="25.5" customHeight="1" spans="1:11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283"/>
    </row>
    <row r="3" ht="24" customHeight="1" spans="1:11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284"/>
    </row>
    <row r="4" ht="15" customHeight="1" spans="1:11">
      <c r="A4" s="285" t="s">
        <v>61</v>
      </c>
      <c r="B4" s="286"/>
      <c r="C4" s="286"/>
      <c r="D4" s="286"/>
      <c r="E4" s="286"/>
      <c r="F4" s="286"/>
      <c r="G4" s="286"/>
      <c r="H4" s="286"/>
      <c r="I4" s="286"/>
      <c r="J4" s="286"/>
      <c r="K4" s="287"/>
    </row>
    <row r="5" ht="15" customHeight="1" spans="1:11">
      <c r="A5" s="288"/>
      <c r="B5" s="289"/>
      <c r="C5" s="289"/>
      <c r="D5" s="289"/>
      <c r="E5" s="289"/>
      <c r="F5" s="289"/>
      <c r="G5" s="289"/>
      <c r="H5" s="289"/>
      <c r="I5" s="289"/>
      <c r="J5" s="289"/>
      <c r="K5" s="290"/>
    </row>
    <row r="6" ht="15.5" spans="1:11">
      <c r="A6" s="291" t="s">
        <v>4</v>
      </c>
      <c r="B6" s="292"/>
      <c r="C6" s="293"/>
      <c r="D6" s="293"/>
      <c r="E6" s="293"/>
      <c r="F6" s="294"/>
      <c r="G6" s="294"/>
      <c r="H6" s="238"/>
      <c r="I6" s="295" t="s">
        <v>62</v>
      </c>
      <c r="J6" s="296"/>
      <c r="K6" s="297"/>
    </row>
    <row r="7" ht="15.5" spans="1:11">
      <c r="A7" s="298" t="s">
        <v>6</v>
      </c>
      <c r="B7" s="299"/>
      <c r="C7" s="293"/>
      <c r="D7" s="293"/>
      <c r="E7" s="293"/>
      <c r="F7" s="294"/>
      <c r="G7" s="294"/>
      <c r="H7" s="238"/>
      <c r="I7" s="300" t="s">
        <v>63</v>
      </c>
      <c r="J7" s="301"/>
      <c r="K7" s="302">
        <v>46125</v>
      </c>
    </row>
    <row r="8" ht="25.5" customHeight="1" spans="1:11">
      <c r="A8" s="303" t="s">
        <v>1</v>
      </c>
      <c r="B8" s="304"/>
      <c r="C8" s="304"/>
      <c r="D8" s="304"/>
      <c r="E8" s="304"/>
      <c r="F8" s="305"/>
      <c r="G8" s="305"/>
      <c r="H8" s="306"/>
      <c r="I8" s="307" t="s">
        <v>5</v>
      </c>
      <c r="J8" s="236"/>
      <c r="K8" s="308"/>
    </row>
    <row r="9" ht="15.5" spans="1:11">
      <c r="A9" s="309" t="s">
        <v>2</v>
      </c>
      <c r="B9" s="310"/>
      <c r="C9" s="236"/>
      <c r="D9" s="236"/>
      <c r="E9" s="236"/>
      <c r="F9" s="294"/>
      <c r="G9" s="294"/>
      <c r="H9" s="238"/>
      <c r="I9" s="311" t="str">
        <f>I7</f>
        <v>AK/GDI-20260010</v>
      </c>
      <c r="J9" s="312"/>
      <c r="K9" s="313">
        <f>K7</f>
        <v>46125</v>
      </c>
    </row>
    <row r="10" ht="15.5" spans="1:11">
      <c r="A10" s="314" t="s">
        <v>11</v>
      </c>
      <c r="B10" s="315"/>
      <c r="C10" s="316"/>
      <c r="D10" s="316"/>
      <c r="E10" s="316"/>
      <c r="F10" s="317"/>
      <c r="G10" s="317"/>
      <c r="H10" s="318"/>
      <c r="I10" s="311"/>
      <c r="J10" s="236"/>
      <c r="K10" s="308"/>
    </row>
    <row r="11" ht="18.75" customHeight="1" spans="1:11">
      <c r="A11" s="319" t="s">
        <v>12</v>
      </c>
      <c r="B11" s="320"/>
      <c r="C11" s="320"/>
      <c r="D11" s="320"/>
      <c r="E11" s="320"/>
      <c r="F11" s="237"/>
      <c r="G11" s="237"/>
      <c r="H11" s="238"/>
      <c r="I11" s="239" t="s">
        <v>64</v>
      </c>
      <c r="J11" s="236"/>
      <c r="K11" s="308"/>
    </row>
    <row r="12" ht="15.75" customHeight="1" spans="1:11">
      <c r="A12" s="321" t="s">
        <v>13</v>
      </c>
      <c r="B12" s="322"/>
      <c r="C12" s="322"/>
      <c r="D12" s="322"/>
      <c r="E12" s="322"/>
      <c r="F12" s="322"/>
      <c r="G12" s="322"/>
      <c r="H12" s="323"/>
      <c r="I12" s="324" t="s">
        <v>65</v>
      </c>
      <c r="J12" s="325"/>
      <c r="K12" s="326">
        <v>46035</v>
      </c>
    </row>
    <row r="13" ht="15.5" spans="1:11">
      <c r="A13" s="327" t="s">
        <v>14</v>
      </c>
      <c r="B13" s="328"/>
      <c r="C13" s="328"/>
      <c r="D13" s="328"/>
      <c r="E13" s="328"/>
      <c r="F13" s="329"/>
      <c r="G13" s="329"/>
      <c r="H13" s="330"/>
      <c r="I13" s="331"/>
      <c r="J13" s="332"/>
      <c r="K13" s="333"/>
    </row>
    <row r="14" ht="15.5" spans="1:11">
      <c r="A14" s="327"/>
      <c r="B14" s="328"/>
      <c r="C14" s="334"/>
      <c r="D14" s="328"/>
      <c r="E14" s="328"/>
      <c r="F14" s="329"/>
      <c r="G14" s="329"/>
      <c r="H14" s="330"/>
      <c r="I14" s="335"/>
      <c r="J14" s="325"/>
      <c r="K14" s="326"/>
    </row>
    <row r="15" ht="15.5" spans="1:11">
      <c r="A15" s="327"/>
      <c r="B15" s="328"/>
      <c r="C15" s="328"/>
      <c r="D15" s="328"/>
      <c r="E15" s="328"/>
      <c r="F15" s="329"/>
      <c r="G15" s="329"/>
      <c r="H15" s="330"/>
      <c r="I15" s="240"/>
      <c r="J15" s="238"/>
      <c r="K15" s="336"/>
    </row>
    <row r="16" ht="15.5" spans="1:11">
      <c r="A16" s="337" t="s">
        <v>15</v>
      </c>
      <c r="B16" s="338"/>
      <c r="C16" s="339"/>
      <c r="D16" s="339"/>
      <c r="E16" s="339"/>
      <c r="F16" s="340"/>
      <c r="G16" s="340"/>
      <c r="H16" s="341"/>
      <c r="I16" s="342"/>
      <c r="J16" s="238"/>
      <c r="K16" s="336"/>
    </row>
    <row r="17" ht="15.5" spans="1:22">
      <c r="A17" s="343" t="s">
        <v>66</v>
      </c>
      <c r="B17" s="344"/>
      <c r="C17" s="344"/>
      <c r="D17" s="344"/>
      <c r="E17" s="344"/>
      <c r="F17" s="344"/>
      <c r="G17" s="344"/>
      <c r="H17" s="330"/>
      <c r="J17" s="238"/>
      <c r="K17" s="345"/>
    </row>
    <row r="18" ht="15.5" spans="1:22">
      <c r="A18" s="346" t="s">
        <v>67</v>
      </c>
      <c r="B18" s="347"/>
      <c r="C18" s="348"/>
      <c r="D18" s="348"/>
      <c r="E18" s="348"/>
      <c r="F18" s="349"/>
      <c r="G18" s="349"/>
      <c r="H18" s="350"/>
      <c r="K18" s="345"/>
    </row>
    <row r="19" ht="15.5" spans="1:22">
      <c r="A19" s="346" t="s">
        <v>68</v>
      </c>
      <c r="B19" s="347"/>
      <c r="C19" s="348"/>
      <c r="D19" s="348"/>
      <c r="E19" s="348"/>
      <c r="F19" s="349"/>
      <c r="G19" s="349"/>
      <c r="H19" s="350"/>
      <c r="K19" s="351"/>
    </row>
    <row r="20" ht="15.75" customHeight="1" spans="1:22">
      <c r="A20" s="352" t="s">
        <v>69</v>
      </c>
      <c r="B20" s="353"/>
      <c r="C20" s="353"/>
      <c r="D20" s="353"/>
      <c r="E20" s="353"/>
      <c r="F20" s="349"/>
      <c r="G20" s="349"/>
      <c r="H20" s="350"/>
      <c r="I20" s="240"/>
      <c r="J20" s="238"/>
      <c r="K20" s="345"/>
    </row>
    <row r="21" ht="15.75" customHeight="1" spans="1:22">
      <c r="A21" s="354" t="s">
        <v>70</v>
      </c>
      <c r="B21" s="355"/>
      <c r="C21" s="355"/>
      <c r="D21" s="355"/>
      <c r="E21" s="355"/>
      <c r="F21" s="356"/>
      <c r="G21" s="356"/>
      <c r="H21" s="357"/>
      <c r="I21" s="240"/>
      <c r="J21" s="238"/>
      <c r="K21" s="345"/>
    </row>
    <row r="22" ht="15.75" customHeight="1" spans="1:22">
      <c r="A22" s="352"/>
      <c r="B22" s="353"/>
      <c r="C22" s="353"/>
      <c r="D22" s="353"/>
      <c r="E22" s="353"/>
      <c r="F22" s="349"/>
      <c r="G22" s="349"/>
      <c r="H22" s="350"/>
      <c r="I22" s="240"/>
      <c r="J22" s="238"/>
      <c r="K22" s="345"/>
    </row>
    <row r="23" ht="15.75" customHeight="1" spans="1:22">
      <c r="A23" s="291" t="s">
        <v>18</v>
      </c>
      <c r="B23" s="292"/>
      <c r="C23" s="293"/>
      <c r="D23" s="293"/>
      <c r="E23" s="358" t="s">
        <v>19</v>
      </c>
      <c r="F23" s="237"/>
      <c r="G23" s="237"/>
      <c r="H23" s="330"/>
      <c r="I23" s="292" t="s">
        <v>71</v>
      </c>
      <c r="J23" s="236"/>
      <c r="K23" s="336" t="s">
        <v>72</v>
      </c>
    </row>
    <row r="24" ht="15.5" spans="1:22">
      <c r="A24" s="309" t="s">
        <v>73</v>
      </c>
      <c r="B24" s="310"/>
      <c r="C24" s="236"/>
      <c r="D24" s="236"/>
      <c r="E24" s="359" t="s">
        <v>74</v>
      </c>
      <c r="F24" s="294"/>
      <c r="G24" s="294"/>
      <c r="H24" s="330"/>
      <c r="I24" s="292" t="s">
        <v>75</v>
      </c>
      <c r="J24" s="360"/>
      <c r="K24" s="361" t="s">
        <v>76</v>
      </c>
    </row>
    <row r="25" ht="15.5" spans="1:22">
      <c r="A25" s="309"/>
      <c r="B25" s="310"/>
      <c r="C25" s="236"/>
      <c r="D25" s="236"/>
      <c r="E25" s="359"/>
      <c r="F25" s="294"/>
      <c r="G25" s="294"/>
      <c r="H25" s="362"/>
      <c r="I25" s="363" t="s">
        <v>77</v>
      </c>
      <c r="J25" s="236"/>
      <c r="K25" s="336"/>
    </row>
    <row r="26" ht="15.75" customHeight="1" spans="1:22">
      <c r="A26" s="364" t="s">
        <v>20</v>
      </c>
      <c r="B26" s="365"/>
      <c r="C26" s="366" t="s">
        <v>21</v>
      </c>
      <c r="D26" s="366"/>
      <c r="E26" s="366" t="s">
        <v>22</v>
      </c>
      <c r="F26" s="367"/>
      <c r="G26" s="367"/>
      <c r="H26" s="318"/>
      <c r="I26" s="368"/>
      <c r="J26" s="236"/>
      <c r="K26" s="336"/>
    </row>
    <row r="27" ht="64.5" customHeight="1" spans="1:22">
      <c r="A27" s="298"/>
      <c r="B27" s="299"/>
      <c r="C27" s="369">
        <v>46126</v>
      </c>
      <c r="D27" s="370"/>
      <c r="E27" s="369">
        <v>46128</v>
      </c>
      <c r="F27" s="371"/>
      <c r="G27" s="371"/>
      <c r="H27" s="372"/>
      <c r="I27" s="373" t="s">
        <v>78</v>
      </c>
      <c r="J27" s="372" t="s">
        <v>79</v>
      </c>
      <c r="K27" s="374"/>
    </row>
    <row r="28" ht="17.25" spans="1:22">
      <c r="A28" s="375"/>
      <c r="B28" s="376"/>
      <c r="C28" s="377" t="s">
        <v>80</v>
      </c>
      <c r="D28" s="378"/>
      <c r="E28" s="379"/>
      <c r="F28" s="380"/>
      <c r="G28" s="380"/>
      <c r="H28" s="265"/>
      <c r="I28" s="266"/>
      <c r="J28" s="265"/>
      <c r="K28" s="381"/>
    </row>
    <row r="29" s="276" customFormat="1" ht="55.5" customHeight="1" spans="1:22">
      <c r="A29" s="382"/>
      <c r="B29" s="383" t="s">
        <v>82</v>
      </c>
      <c r="C29" s="384" t="s">
        <v>83</v>
      </c>
      <c r="D29" s="383" t="s">
        <v>26</v>
      </c>
      <c r="E29" s="383" t="s">
        <v>28</v>
      </c>
      <c r="F29" s="383" t="s">
        <v>84</v>
      </c>
      <c r="G29" s="385" t="s">
        <v>102</v>
      </c>
      <c r="H29" s="383" t="s">
        <v>85</v>
      </c>
      <c r="I29" s="383" t="s">
        <v>86</v>
      </c>
      <c r="J29" s="383" t="s">
        <v>87</v>
      </c>
      <c r="K29" s="386" t="s">
        <v>88</v>
      </c>
      <c r="L29" s="387"/>
      <c r="M29" s="387"/>
      <c r="N29" s="387"/>
      <c r="O29" s="387"/>
      <c r="P29" s="387"/>
      <c r="Q29" s="387"/>
      <c r="R29" s="387"/>
      <c r="S29" s="387"/>
      <c r="T29" s="387"/>
      <c r="U29" s="387"/>
    </row>
    <row r="30" s="277" customFormat="1" ht="57.75" customHeight="1" spans="1:22">
      <c r="A30" s="388"/>
      <c r="B30" s="389" t="s">
        <v>34</v>
      </c>
      <c r="C30" s="390" t="s">
        <v>36</v>
      </c>
      <c r="D30" s="389">
        <v>1051120</v>
      </c>
      <c r="E30" s="390" t="s">
        <v>37</v>
      </c>
      <c r="F30" s="389" t="s">
        <v>35</v>
      </c>
      <c r="G30" s="389">
        <v>20</v>
      </c>
      <c r="H30" s="389">
        <v>22515</v>
      </c>
      <c r="I30" s="389" t="s">
        <v>39</v>
      </c>
      <c r="J30" s="389">
        <v>550.8</v>
      </c>
      <c r="K30" s="391">
        <f>579.8+0.2</f>
        <v>580</v>
      </c>
      <c r="L30" s="392"/>
      <c r="M30" s="392"/>
      <c r="N30" s="392"/>
      <c r="O30" s="392"/>
      <c r="P30" s="392"/>
      <c r="Q30" s="392"/>
      <c r="R30" s="392"/>
      <c r="S30" s="392"/>
      <c r="T30" s="392"/>
      <c r="U30" s="392"/>
      <c r="V30" s="393"/>
    </row>
    <row r="31" s="277" customFormat="1" ht="57.75" customHeight="1" spans="1:22">
      <c r="A31" s="388"/>
      <c r="B31" s="389" t="s">
        <v>34</v>
      </c>
      <c r="C31" s="390" t="s">
        <v>36</v>
      </c>
      <c r="D31" s="389">
        <v>1051120</v>
      </c>
      <c r="E31" s="390" t="s">
        <v>48</v>
      </c>
      <c r="F31" s="389" t="s">
        <v>35</v>
      </c>
      <c r="G31" s="389">
        <v>3</v>
      </c>
      <c r="H31" s="389">
        <v>3556</v>
      </c>
      <c r="I31" s="389" t="s">
        <v>39</v>
      </c>
      <c r="J31" s="389">
        <v>76.8</v>
      </c>
      <c r="K31" s="391">
        <v>81.15</v>
      </c>
      <c r="L31" s="392"/>
      <c r="M31" s="392"/>
      <c r="N31" s="392"/>
      <c r="O31" s="392"/>
      <c r="P31" s="392"/>
      <c r="Q31" s="392"/>
      <c r="R31" s="392"/>
      <c r="S31" s="392"/>
      <c r="T31" s="392"/>
      <c r="U31" s="392"/>
      <c r="V31" s="393"/>
    </row>
    <row r="32" s="277" customFormat="1" ht="57.75" customHeight="1" spans="1:22">
      <c r="A32" s="394"/>
      <c r="B32" s="389" t="s">
        <v>34</v>
      </c>
      <c r="C32" s="390" t="s">
        <v>36</v>
      </c>
      <c r="D32" s="389">
        <v>1051120</v>
      </c>
      <c r="E32" s="390" t="s">
        <v>47</v>
      </c>
      <c r="F32" s="389" t="s">
        <v>35</v>
      </c>
      <c r="G32" s="389">
        <v>1</v>
      </c>
      <c r="H32" s="389">
        <v>481</v>
      </c>
      <c r="I32" s="389" t="s">
        <v>39</v>
      </c>
      <c r="J32" s="395">
        <f>K32-1.15</f>
        <v>13.65</v>
      </c>
      <c r="K32" s="396">
        <v>14.8</v>
      </c>
      <c r="L32" s="392"/>
      <c r="M32" s="392"/>
      <c r="N32" s="392"/>
      <c r="O32" s="392"/>
      <c r="P32" s="392"/>
      <c r="Q32" s="392"/>
      <c r="R32" s="392"/>
      <c r="S32" s="392"/>
      <c r="T32" s="392"/>
      <c r="U32" s="392"/>
      <c r="V32" s="393"/>
    </row>
    <row r="33" s="277" customFormat="1" ht="57.75" customHeight="1" spans="1:29">
      <c r="A33" s="388"/>
      <c r="B33" s="389" t="s">
        <v>34</v>
      </c>
      <c r="C33" s="390" t="s">
        <v>36</v>
      </c>
      <c r="D33" s="389">
        <v>1051120</v>
      </c>
      <c r="E33" s="390" t="s">
        <v>49</v>
      </c>
      <c r="F33" s="389" t="s">
        <v>35</v>
      </c>
      <c r="G33" s="389">
        <v>4</v>
      </c>
      <c r="H33" s="389">
        <v>4696</v>
      </c>
      <c r="I33" s="389" t="s">
        <v>39</v>
      </c>
      <c r="J33" s="389">
        <v>118.3</v>
      </c>
      <c r="K33" s="391">
        <v>124.1</v>
      </c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3"/>
    </row>
    <row r="34" s="277" customFormat="1" ht="57.75" customHeight="1" spans="1:29">
      <c r="A34" s="394"/>
      <c r="B34" s="389" t="s">
        <v>50</v>
      </c>
      <c r="C34" s="390" t="s">
        <v>36</v>
      </c>
      <c r="D34" s="389">
        <v>1051120</v>
      </c>
      <c r="E34" s="397" t="s">
        <v>37</v>
      </c>
      <c r="F34" s="389" t="s">
        <v>51</v>
      </c>
      <c r="G34" s="389">
        <v>1</v>
      </c>
      <c r="H34" s="389">
        <v>1154</v>
      </c>
      <c r="I34" s="389" t="s">
        <v>39</v>
      </c>
      <c r="J34" s="395">
        <f>K34-1.45</f>
        <v>28.8</v>
      </c>
      <c r="K34" s="396">
        <v>30.25</v>
      </c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3"/>
    </row>
    <row r="35" s="277" customFormat="1" ht="57.75" customHeight="1" spans="1:29">
      <c r="A35" s="388"/>
      <c r="B35" s="389" t="s">
        <v>50</v>
      </c>
      <c r="C35" s="390" t="s">
        <v>36</v>
      </c>
      <c r="D35" s="389">
        <v>1051120</v>
      </c>
      <c r="E35" s="390" t="s">
        <v>48</v>
      </c>
      <c r="F35" s="389" t="s">
        <v>51</v>
      </c>
      <c r="G35" s="389">
        <v>2</v>
      </c>
      <c r="H35" s="389">
        <v>2424</v>
      </c>
      <c r="I35" s="389" t="s">
        <v>39</v>
      </c>
      <c r="J35" s="389">
        <v>58.8</v>
      </c>
      <c r="K35" s="391">
        <v>61.7</v>
      </c>
      <c r="L35" s="392"/>
      <c r="M35" s="392"/>
      <c r="N35" s="392"/>
      <c r="O35" s="392"/>
      <c r="P35" s="392"/>
      <c r="Q35" s="392"/>
      <c r="R35" s="392"/>
      <c r="S35" s="392"/>
      <c r="T35" s="392"/>
      <c r="U35" s="392"/>
      <c r="V35" s="393"/>
    </row>
    <row r="36" s="278" customFormat="1" ht="63" customHeight="1" spans="1:29">
      <c r="A36" s="398" t="s">
        <v>53</v>
      </c>
      <c r="B36" s="399"/>
      <c r="C36" s="400"/>
      <c r="D36" s="401"/>
      <c r="E36" s="402"/>
      <c r="F36" s="403"/>
      <c r="G36" s="404">
        <f>SUM(G30:G35)</f>
        <v>31</v>
      </c>
      <c r="H36" s="405">
        <f>SUM(H30:H35)</f>
        <v>34826</v>
      </c>
      <c r="I36" s="406" t="s">
        <v>39</v>
      </c>
      <c r="J36" s="407">
        <f>SUM(J30:J35)</f>
        <v>847.15</v>
      </c>
      <c r="K36" s="408">
        <f>SUM(K30:K35)</f>
        <v>892</v>
      </c>
      <c r="L36" s="409"/>
      <c r="M36" s="409"/>
      <c r="N36" s="409"/>
      <c r="O36" s="409"/>
      <c r="P36" s="409"/>
      <c r="Q36" s="409"/>
      <c r="R36" s="409"/>
      <c r="S36" s="409"/>
      <c r="T36" s="409"/>
      <c r="U36" s="409"/>
    </row>
    <row r="37" s="276" customFormat="1" ht="27.75" customHeight="1" spans="1:29">
      <c r="A37" s="410" t="s">
        <v>101</v>
      </c>
      <c r="B37" s="410"/>
      <c r="C37" s="410"/>
      <c r="D37" s="411"/>
      <c r="E37" s="411"/>
      <c r="F37" s="411"/>
      <c r="G37" s="411"/>
      <c r="H37" s="411"/>
      <c r="I37" s="411"/>
      <c r="J37" s="411"/>
      <c r="L37" s="387"/>
      <c r="M37" s="387"/>
      <c r="N37" s="387"/>
      <c r="O37" s="387"/>
      <c r="P37" s="387"/>
      <c r="Q37" s="387"/>
      <c r="R37" s="387"/>
      <c r="S37" s="387"/>
      <c r="T37" s="387"/>
      <c r="U37" s="387"/>
      <c r="V37" s="387"/>
    </row>
    <row r="38" s="276" customFormat="1" ht="24.75" customHeight="1" spans="1:29">
      <c r="A38" s="412"/>
      <c r="B38" s="413"/>
      <c r="C38" s="413"/>
      <c r="E38" s="414"/>
      <c r="F38" s="414"/>
      <c r="G38" s="414"/>
      <c r="H38" s="415" t="s">
        <v>0</v>
      </c>
      <c r="I38" s="415"/>
      <c r="J38" s="415"/>
      <c r="K38" s="415"/>
      <c r="L38" s="387"/>
      <c r="M38" s="387"/>
      <c r="N38" s="387"/>
      <c r="O38" s="387"/>
      <c r="P38" s="387"/>
      <c r="Q38" s="387"/>
      <c r="R38" s="387"/>
      <c r="S38" s="387"/>
      <c r="T38" s="387"/>
      <c r="U38" s="387"/>
      <c r="V38" s="387"/>
    </row>
    <row r="39" s="279" customFormat="1" spans="1:29">
      <c r="A39" s="416"/>
      <c r="B39" s="416"/>
      <c r="F39" s="417"/>
      <c r="G39" s="417"/>
      <c r="I39" s="416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  <c r="AC39" s="418"/>
    </row>
    <row r="40" s="279" customFormat="1" spans="1:29">
      <c r="A40" s="416"/>
      <c r="B40" s="416"/>
      <c r="F40" s="417"/>
      <c r="G40" s="417"/>
      <c r="I40" s="416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  <c r="AA40" s="418"/>
      <c r="AB40" s="418"/>
      <c r="AC40" s="418"/>
    </row>
    <row r="41" s="280" customFormat="1" ht="24.75" customHeight="1" spans="1:29">
      <c r="A41" s="419"/>
      <c r="B41" s="420"/>
      <c r="C41" s="420"/>
      <c r="D41" s="420"/>
      <c r="E41" s="421"/>
      <c r="F41" s="422"/>
      <c r="G41" s="422"/>
      <c r="H41" s="423"/>
      <c r="I41" s="423"/>
      <c r="J41" s="423"/>
      <c r="K41" s="423"/>
      <c r="L41" s="424"/>
      <c r="M41" s="424"/>
      <c r="N41" s="424"/>
      <c r="O41" s="424"/>
      <c r="P41" s="424"/>
      <c r="Q41" s="424"/>
      <c r="R41" s="424"/>
      <c r="S41" s="424"/>
      <c r="T41" s="424"/>
      <c r="U41" s="424"/>
      <c r="V41" s="424"/>
    </row>
    <row r="42" s="281" customFormat="1" spans="1:29">
      <c r="A42" s="425"/>
      <c r="B42" s="425"/>
      <c r="F42" s="426"/>
      <c r="G42" s="426"/>
      <c r="I42" s="425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</row>
  </sheetData>
  <autoFilter xmlns:etc="http://www.wps.cn/officeDocument/2017/etCustomData" ref="A29:AC40" etc:filterBottomFollowUsedRange="0">
    <extLst/>
  </autoFilter>
  <mergeCells count="14">
    <mergeCell ref="A1:K1"/>
    <mergeCell ref="A2:K2"/>
    <mergeCell ref="A3:K3"/>
    <mergeCell ref="A8:E8"/>
    <mergeCell ref="A11:E11"/>
    <mergeCell ref="A12:E12"/>
    <mergeCell ref="A13:E13"/>
    <mergeCell ref="A17:E17"/>
    <mergeCell ref="A20:E20"/>
    <mergeCell ref="A21:E21"/>
    <mergeCell ref="A36:B36"/>
    <mergeCell ref="A37:C37"/>
    <mergeCell ref="H41:K41"/>
    <mergeCell ref="A4:K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46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topLeftCell="A7" workbookViewId="0">
      <selection activeCell="D13" sqref="D13"/>
    </sheetView>
  </sheetViews>
  <sheetFormatPr defaultColWidth="9.13636363636364" defaultRowHeight="14"/>
  <cols>
    <col min="1" max="1" width="9.13636363636364" style="232" customWidth="1"/>
    <col min="2" max="2" width="22.2818181818182" style="92" customWidth="1"/>
    <col min="3" max="3" width="6.70909090909091" style="92" customWidth="1"/>
    <col min="4" max="4" width="60.2818181818182" style="92" customWidth="1"/>
    <col min="5" max="5" width="19.2818181818182" style="92" customWidth="1"/>
    <col min="6" max="6" width="14.1363636363636" style="233" customWidth="1"/>
    <col min="7" max="7" width="7" style="233" customWidth="1"/>
    <col min="8" max="8" width="16.8545454545455" style="92" customWidth="1"/>
    <col min="9" max="9" width="13" style="232" customWidth="1"/>
    <col min="10" max="10" width="9.42727272727273" style="92" customWidth="1"/>
    <col min="11" max="11" width="8" style="92" customWidth="1"/>
    <col min="12" max="12" width="12.5727272727273" style="92" customWidth="1"/>
    <col min="13" max="13" width="13.8545454545455" style="232" customWidth="1"/>
    <col min="14" max="14" width="16.5727272727273" style="232" customWidth="1"/>
    <col min="15" max="16384" width="9.13636363636364" style="92"/>
  </cols>
  <sheetData>
    <row r="1" ht="46.5" customHeight="1" spans="1:14">
      <c r="A1" s="234" t="s">
        <v>103</v>
      </c>
      <c r="B1" s="235"/>
      <c r="C1" s="235"/>
      <c r="D1" s="235"/>
      <c r="E1" s="236"/>
      <c r="F1" s="237"/>
      <c r="G1" s="237"/>
      <c r="H1" s="238"/>
      <c r="I1" s="239"/>
      <c r="J1" s="236"/>
      <c r="K1" s="236"/>
      <c r="L1" s="236"/>
      <c r="M1" s="240"/>
      <c r="N1" s="241"/>
    </row>
    <row r="2" ht="32.25" customHeight="1" spans="1:14">
      <c r="A2" s="242" t="s">
        <v>104</v>
      </c>
      <c r="B2" s="243" t="s">
        <v>105</v>
      </c>
      <c r="C2" s="243"/>
      <c r="D2" s="244" t="s">
        <v>83</v>
      </c>
      <c r="E2" s="243" t="s">
        <v>106</v>
      </c>
      <c r="F2" s="243" t="s">
        <v>28</v>
      </c>
      <c r="G2" s="243"/>
      <c r="H2" s="243" t="s">
        <v>29</v>
      </c>
      <c r="I2" s="245" t="s">
        <v>107</v>
      </c>
      <c r="J2" s="243" t="s">
        <v>85</v>
      </c>
      <c r="K2" s="243" t="s">
        <v>86</v>
      </c>
      <c r="L2" s="243" t="s">
        <v>87</v>
      </c>
      <c r="M2" s="246" t="s">
        <v>88</v>
      </c>
      <c r="N2" s="247" t="s">
        <v>89</v>
      </c>
    </row>
    <row r="3" ht="47.25" customHeight="1" spans="1:14">
      <c r="A3" s="248">
        <v>14</v>
      </c>
      <c r="B3" s="59" t="s">
        <v>108</v>
      </c>
      <c r="C3" s="48" t="s">
        <v>109</v>
      </c>
      <c r="D3" s="249" t="s">
        <v>110</v>
      </c>
      <c r="E3" s="250" t="s">
        <v>111</v>
      </c>
      <c r="F3" s="251">
        <v>1030</v>
      </c>
      <c r="G3" s="251" t="s">
        <v>40</v>
      </c>
      <c r="H3" s="251" t="s">
        <v>112</v>
      </c>
      <c r="I3" s="252" t="s">
        <v>113</v>
      </c>
      <c r="J3" s="251">
        <v>98</v>
      </c>
      <c r="K3" s="251" t="s">
        <v>114</v>
      </c>
      <c r="L3" s="253">
        <f>M3-1.35</f>
        <v>28.95</v>
      </c>
      <c r="M3" s="253">
        <v>30.3</v>
      </c>
      <c r="N3" s="254">
        <v>0.11</v>
      </c>
    </row>
    <row r="4" ht="47.25" customHeight="1" spans="1:14">
      <c r="A4" s="248"/>
      <c r="B4" s="59" t="s">
        <v>108</v>
      </c>
      <c r="C4" s="48" t="s">
        <v>109</v>
      </c>
      <c r="D4" s="249" t="s">
        <v>110</v>
      </c>
      <c r="E4" s="250" t="s">
        <v>111</v>
      </c>
      <c r="F4" s="251">
        <v>1030</v>
      </c>
      <c r="G4" s="251" t="s">
        <v>41</v>
      </c>
      <c r="H4" s="251" t="s">
        <v>115</v>
      </c>
      <c r="I4" s="252" t="s">
        <v>113</v>
      </c>
      <c r="J4" s="251">
        <v>219</v>
      </c>
      <c r="K4" s="251" t="s">
        <v>114</v>
      </c>
      <c r="L4" s="253"/>
      <c r="M4" s="253"/>
      <c r="N4" s="254"/>
    </row>
    <row r="5" ht="47.25" customHeight="1" spans="1:14">
      <c r="A5" s="248"/>
      <c r="B5" s="59" t="s">
        <v>108</v>
      </c>
      <c r="C5" s="48" t="s">
        <v>109</v>
      </c>
      <c r="D5" s="249" t="s">
        <v>110</v>
      </c>
      <c r="E5" s="250" t="s">
        <v>111</v>
      </c>
      <c r="F5" s="251">
        <v>1030</v>
      </c>
      <c r="G5" s="251" t="s">
        <v>42</v>
      </c>
      <c r="H5" s="251" t="s">
        <v>116</v>
      </c>
      <c r="I5" s="252" t="s">
        <v>113</v>
      </c>
      <c r="J5" s="251">
        <v>208</v>
      </c>
      <c r="K5" s="251" t="s">
        <v>114</v>
      </c>
      <c r="L5" s="253"/>
      <c r="M5" s="253"/>
      <c r="N5" s="254"/>
    </row>
    <row r="6" ht="47.25" customHeight="1" spans="1:14">
      <c r="A6" s="248"/>
      <c r="B6" s="59" t="s">
        <v>108</v>
      </c>
      <c r="C6" s="48" t="s">
        <v>109</v>
      </c>
      <c r="D6" s="249" t="s">
        <v>110</v>
      </c>
      <c r="E6" s="250" t="s">
        <v>111</v>
      </c>
      <c r="F6" s="251">
        <v>1030</v>
      </c>
      <c r="G6" s="251" t="s">
        <v>117</v>
      </c>
      <c r="H6" s="251" t="s">
        <v>118</v>
      </c>
      <c r="I6" s="252" t="s">
        <v>113</v>
      </c>
      <c r="J6" s="251">
        <v>84</v>
      </c>
      <c r="K6" s="251" t="s">
        <v>114</v>
      </c>
      <c r="L6" s="253"/>
      <c r="M6" s="253"/>
      <c r="N6" s="254"/>
    </row>
    <row r="7" ht="47.25" customHeight="1" spans="1:14">
      <c r="A7" s="248"/>
      <c r="B7" s="59" t="s">
        <v>119</v>
      </c>
      <c r="C7" s="48" t="s">
        <v>109</v>
      </c>
      <c r="D7" s="249" t="s">
        <v>120</v>
      </c>
      <c r="E7" s="250" t="s">
        <v>121</v>
      </c>
      <c r="F7" s="251">
        <v>1030</v>
      </c>
      <c r="G7" s="251" t="s">
        <v>41</v>
      </c>
      <c r="H7" s="251" t="s">
        <v>122</v>
      </c>
      <c r="I7" s="252" t="s">
        <v>113</v>
      </c>
      <c r="J7" s="251">
        <v>209</v>
      </c>
      <c r="K7" s="251" t="s">
        <v>114</v>
      </c>
      <c r="L7" s="253"/>
      <c r="M7" s="253"/>
      <c r="N7" s="254"/>
    </row>
    <row r="8" ht="47.25" customHeight="1" spans="1:14">
      <c r="A8" s="248"/>
      <c r="B8" s="59" t="s">
        <v>119</v>
      </c>
      <c r="C8" s="48" t="s">
        <v>109</v>
      </c>
      <c r="D8" s="249" t="s">
        <v>120</v>
      </c>
      <c r="E8" s="250" t="s">
        <v>121</v>
      </c>
      <c r="F8" s="251">
        <v>1030</v>
      </c>
      <c r="G8" s="251" t="s">
        <v>42</v>
      </c>
      <c r="H8" s="251" t="s">
        <v>123</v>
      </c>
      <c r="I8" s="252" t="s">
        <v>113</v>
      </c>
      <c r="J8" s="251">
        <v>412</v>
      </c>
      <c r="K8" s="251" t="s">
        <v>114</v>
      </c>
      <c r="L8" s="253"/>
      <c r="M8" s="253"/>
      <c r="N8" s="254"/>
    </row>
    <row r="9" ht="47.25" customHeight="1" spans="1:14">
      <c r="A9" s="248"/>
      <c r="B9" s="59" t="s">
        <v>119</v>
      </c>
      <c r="C9" s="48" t="s">
        <v>109</v>
      </c>
      <c r="D9" s="249" t="s">
        <v>120</v>
      </c>
      <c r="E9" s="250" t="s">
        <v>121</v>
      </c>
      <c r="F9" s="251">
        <v>1030</v>
      </c>
      <c r="G9" s="251" t="s">
        <v>117</v>
      </c>
      <c r="H9" s="251" t="s">
        <v>124</v>
      </c>
      <c r="I9" s="252" t="s">
        <v>113</v>
      </c>
      <c r="J9" s="251">
        <v>330</v>
      </c>
      <c r="K9" s="251" t="s">
        <v>114</v>
      </c>
      <c r="L9" s="253"/>
      <c r="M9" s="253"/>
      <c r="N9" s="254"/>
    </row>
    <row r="10" ht="47.25" customHeight="1" spans="1:14">
      <c r="A10" s="248"/>
      <c r="B10" s="59" t="s">
        <v>119</v>
      </c>
      <c r="C10" s="48" t="s">
        <v>109</v>
      </c>
      <c r="D10" s="249" t="s">
        <v>120</v>
      </c>
      <c r="E10" s="250" t="s">
        <v>121</v>
      </c>
      <c r="F10" s="251">
        <v>1030</v>
      </c>
      <c r="G10" s="251" t="s">
        <v>125</v>
      </c>
      <c r="H10" s="251" t="s">
        <v>126</v>
      </c>
      <c r="I10" s="252" t="s">
        <v>113</v>
      </c>
      <c r="J10" s="251">
        <v>199</v>
      </c>
      <c r="K10" s="251" t="s">
        <v>114</v>
      </c>
      <c r="L10" s="253"/>
      <c r="M10" s="253"/>
      <c r="N10" s="254"/>
    </row>
    <row r="11" s="231" customFormat="1" ht="53.25" customHeight="1" spans="1:14">
      <c r="A11" s="255">
        <f>COUNT(A3:A10)</f>
        <v>1</v>
      </c>
      <c r="B11" s="256"/>
      <c r="C11" s="256"/>
      <c r="D11" s="256"/>
      <c r="E11" s="256"/>
      <c r="F11" s="257"/>
      <c r="G11" s="257"/>
      <c r="H11" s="257"/>
      <c r="I11" s="258"/>
      <c r="J11" s="259">
        <f>SUM(J3:J10)</f>
        <v>1759</v>
      </c>
      <c r="K11" s="259" t="s">
        <v>114</v>
      </c>
      <c r="L11" s="260">
        <f>SUM(L3:L10)</f>
        <v>28.95</v>
      </c>
      <c r="M11" s="261">
        <f>SUM(M3:M10)</f>
        <v>30.3</v>
      </c>
      <c r="N11" s="262">
        <f>SUM(N3:N10)</f>
        <v>0.11</v>
      </c>
    </row>
    <row r="12" ht="21.75" customHeight="1" spans="1:14">
      <c r="A12" s="263" t="s">
        <v>101</v>
      </c>
      <c r="B12" s="263"/>
      <c r="C12" s="263"/>
      <c r="D12" s="264"/>
      <c r="E12" s="265"/>
      <c r="F12" s="265"/>
      <c r="G12" s="265"/>
      <c r="H12" s="265"/>
      <c r="I12" s="266"/>
      <c r="J12" s="265"/>
      <c r="K12" s="265"/>
      <c r="L12" s="265"/>
      <c r="M12" s="266"/>
      <c r="N12" s="266"/>
    </row>
    <row r="13" ht="21.75" customHeight="1" spans="1:14">
      <c r="A13" s="267"/>
      <c r="B13" s="268"/>
      <c r="C13" s="268"/>
      <c r="D13" s="264"/>
      <c r="E13" s="264"/>
      <c r="F13" s="269" t="s">
        <v>127</v>
      </c>
      <c r="G13" s="269"/>
      <c r="H13" s="269"/>
      <c r="I13" s="269"/>
      <c r="J13" s="269"/>
      <c r="K13" s="269"/>
      <c r="L13" s="269"/>
      <c r="M13" s="269"/>
      <c r="N13" s="269"/>
    </row>
    <row r="14" ht="23.25" customHeight="1" spans="1:14">
      <c r="A14" s="270"/>
      <c r="B14" s="271"/>
      <c r="C14" s="271"/>
      <c r="D14" s="271"/>
      <c r="E14" s="271"/>
      <c r="F14" s="271"/>
      <c r="G14" s="271"/>
      <c r="H14" s="272"/>
      <c r="I14" s="273"/>
      <c r="J14" s="272" t="s">
        <v>128</v>
      </c>
      <c r="K14" s="272"/>
      <c r="L14" s="272"/>
      <c r="M14" s="272"/>
      <c r="N14" s="272"/>
    </row>
    <row r="15" ht="21.75" customHeight="1"/>
    <row r="18" spans="2:14">
      <c r="J18" s="274"/>
      <c r="K18" s="274"/>
      <c r="L18" s="274"/>
      <c r="M18" s="274"/>
      <c r="N18" s="274"/>
    </row>
    <row r="28" s="232" customFormat="1" ht="31.5" spans="2:14">
      <c r="B28" s="92"/>
      <c r="C28" s="92"/>
      <c r="D28" s="92"/>
      <c r="E28" s="92"/>
      <c r="F28" s="233"/>
      <c r="G28" s="233"/>
      <c r="H28" s="92"/>
      <c r="J28" s="275"/>
      <c r="K28" s="275"/>
      <c r="L28" s="275"/>
      <c r="M28" s="275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B7" workbookViewId="0">
      <selection activeCell="E50" sqref="E50"/>
    </sheetView>
  </sheetViews>
  <sheetFormatPr defaultColWidth="9.13636363636364" defaultRowHeight="14"/>
  <cols>
    <col min="1" max="1" width="27.4272727272727" style="194" customWidth="1"/>
    <col min="2" max="2" width="8.42727272727273" style="194" customWidth="1"/>
    <col min="3" max="3" width="21.1363636363636" style="194" customWidth="1"/>
    <col min="4" max="4" width="14.4272727272727" style="194" customWidth="1"/>
    <col min="5" max="5" width="36" style="194" customWidth="1"/>
    <col min="6" max="6" width="23.2818181818182" style="194" customWidth="1"/>
    <col min="7" max="7" width="11.8545454545455" style="194" customWidth="1"/>
    <col min="8" max="8" width="10.8545454545455" style="194" customWidth="1"/>
    <col min="9" max="9" width="13.4272727272727" style="194" customWidth="1"/>
    <col min="10" max="10" width="14.8545454545455" style="194" customWidth="1"/>
    <col min="11" max="11" width="16" style="194" customWidth="1"/>
    <col min="12" max="12" width="15.7090909090909" style="194" customWidth="1"/>
    <col min="13" max="16384" width="9.13636363636364" style="194"/>
  </cols>
  <sheetData>
    <row r="2" ht="25.5" spans="1:12">
      <c r="A2" s="195" t="s">
        <v>129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130</v>
      </c>
      <c r="B3" s="194" t="s">
        <v>131</v>
      </c>
      <c r="C3" s="197" t="str">
        <f>DPL!J7</f>
        <v>AK/GDI-20260010</v>
      </c>
      <c r="D3" s="198"/>
      <c r="E3" s="198"/>
      <c r="F3" s="198"/>
      <c r="G3" s="198"/>
    </row>
    <row r="4" spans="1:12">
      <c r="A4" s="194" t="s">
        <v>132</v>
      </c>
      <c r="B4" s="194" t="s">
        <v>131</v>
      </c>
      <c r="C4" s="199">
        <f>DPL!L7</f>
        <v>46125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133</v>
      </c>
      <c r="B6" s="194" t="s">
        <v>131</v>
      </c>
      <c r="C6" s="198" t="s">
        <v>134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135</v>
      </c>
      <c r="B9" s="194" t="s">
        <v>131</v>
      </c>
      <c r="C9" s="201" t="str">
        <f>DPL!A11</f>
        <v>GDI HK LIMITED</v>
      </c>
      <c r="D9" s="201"/>
      <c r="E9" s="201"/>
      <c r="F9" s="201"/>
      <c r="G9" s="201"/>
    </row>
    <row r="10" ht="39" customHeight="1" spans="1:12">
      <c r="C10" s="202" t="s">
        <v>136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137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138</v>
      </c>
      <c r="D14" s="204"/>
      <c r="E14" s="204"/>
      <c r="F14" s="204"/>
      <c r="G14" s="204"/>
    </row>
    <row r="15" ht="20.25" customHeight="1" spans="1:12">
      <c r="A15" s="194" t="s">
        <v>139</v>
      </c>
      <c r="B15" s="194" t="s">
        <v>131</v>
      </c>
      <c r="C15" s="197" t="str">
        <f>DPL!A17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140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141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142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143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144</v>
      </c>
      <c r="C20" s="207" t="s">
        <v>145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146</v>
      </c>
      <c r="D21" s="208"/>
      <c r="E21" s="208"/>
      <c r="F21" s="208"/>
      <c r="G21" s="208"/>
      <c r="H21" s="208"/>
      <c r="J21" s="206"/>
    </row>
    <row r="22" spans="1:12">
      <c r="C22" s="206" t="s">
        <v>147</v>
      </c>
    </row>
    <row r="23" spans="1:12">
      <c r="A23" s="209" t="s">
        <v>148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4" ht="14.75" spans="1:12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09"/>
      <c r="L24" s="209"/>
    </row>
    <row r="25" ht="46.5" customHeight="1" spans="1:12">
      <c r="A25" s="128" t="s">
        <v>24</v>
      </c>
      <c r="B25" s="211" t="s">
        <v>25</v>
      </c>
      <c r="C25" s="212"/>
      <c r="D25" s="130" t="s">
        <v>26</v>
      </c>
      <c r="E25" s="130" t="s">
        <v>27</v>
      </c>
      <c r="F25" s="130" t="s">
        <v>28</v>
      </c>
      <c r="G25" s="130" t="s">
        <v>29</v>
      </c>
      <c r="H25" s="213" t="s">
        <v>30</v>
      </c>
      <c r="I25" s="214" t="s">
        <v>31</v>
      </c>
      <c r="J25" s="214" t="s">
        <v>32</v>
      </c>
      <c r="K25" s="132" t="s">
        <v>33</v>
      </c>
      <c r="L25" s="209"/>
    </row>
    <row r="26" ht="44.1" customHeight="1" spans="1:12">
      <c r="A26" s="133" t="s">
        <v>149</v>
      </c>
      <c r="B26" s="215" t="s">
        <v>150</v>
      </c>
      <c r="C26" s="216"/>
      <c r="D26" s="217">
        <v>1051120</v>
      </c>
      <c r="E26" s="136" t="s">
        <v>36</v>
      </c>
      <c r="F26" s="603" t="s">
        <v>151</v>
      </c>
      <c r="G26" s="218" t="s">
        <v>38</v>
      </c>
      <c r="H26" s="217">
        <v>1152</v>
      </c>
      <c r="I26" s="217" t="s">
        <v>39</v>
      </c>
      <c r="J26" s="136">
        <v>0.17</v>
      </c>
      <c r="K26" s="137">
        <f>ROUND(H26*J26,3)</f>
        <v>195.84</v>
      </c>
      <c r="L26" s="209"/>
    </row>
    <row r="27" ht="44.1" customHeight="1" spans="1:12">
      <c r="A27" s="133" t="s">
        <v>149</v>
      </c>
      <c r="B27" s="215" t="s">
        <v>150</v>
      </c>
      <c r="C27" s="216"/>
      <c r="D27" s="217">
        <v>1051120</v>
      </c>
      <c r="E27" s="136" t="s">
        <v>36</v>
      </c>
      <c r="F27" s="603" t="s">
        <v>151</v>
      </c>
      <c r="G27" s="218" t="s">
        <v>40</v>
      </c>
      <c r="H27" s="217">
        <v>2703</v>
      </c>
      <c r="I27" s="217" t="s">
        <v>39</v>
      </c>
      <c r="J27" s="136">
        <v>0.17</v>
      </c>
      <c r="K27" s="137">
        <f t="shared" ref="K27:K34" si="0">ROUND(H27*J27,3)</f>
        <v>459.51</v>
      </c>
      <c r="L27" s="209"/>
    </row>
    <row r="28" ht="44.1" customHeight="1" spans="1:12">
      <c r="A28" s="133" t="s">
        <v>149</v>
      </c>
      <c r="B28" s="215" t="s">
        <v>150</v>
      </c>
      <c r="C28" s="216"/>
      <c r="D28" s="217">
        <v>1051120</v>
      </c>
      <c r="E28" s="136" t="s">
        <v>36</v>
      </c>
      <c r="F28" s="603" t="s">
        <v>151</v>
      </c>
      <c r="G28" s="218" t="s">
        <v>41</v>
      </c>
      <c r="H28" s="217">
        <v>1869</v>
      </c>
      <c r="I28" s="217" t="s">
        <v>39</v>
      </c>
      <c r="J28" s="136">
        <v>0.17</v>
      </c>
      <c r="K28" s="137">
        <f t="shared" si="0"/>
        <v>317.73</v>
      </c>
      <c r="L28" s="209"/>
    </row>
    <row r="29" ht="44.1" customHeight="1" spans="1:12">
      <c r="A29" s="133" t="s">
        <v>149</v>
      </c>
      <c r="B29" s="215" t="s">
        <v>150</v>
      </c>
      <c r="C29" s="216"/>
      <c r="D29" s="217">
        <v>1051120</v>
      </c>
      <c r="E29" s="136" t="s">
        <v>36</v>
      </c>
      <c r="F29" s="603" t="s">
        <v>151</v>
      </c>
      <c r="G29" s="218" t="s">
        <v>42</v>
      </c>
      <c r="H29" s="217">
        <v>3823</v>
      </c>
      <c r="I29" s="217" t="s">
        <v>39</v>
      </c>
      <c r="J29" s="136">
        <v>0.17</v>
      </c>
      <c r="K29" s="137">
        <f t="shared" si="0"/>
        <v>649.91</v>
      </c>
    </row>
    <row r="30" ht="44.1" customHeight="1" spans="1:12">
      <c r="A30" s="133" t="s">
        <v>149</v>
      </c>
      <c r="B30" s="215" t="s">
        <v>150</v>
      </c>
      <c r="C30" s="216"/>
      <c r="D30" s="217">
        <v>1051120</v>
      </c>
      <c r="E30" s="136" t="s">
        <v>36</v>
      </c>
      <c r="F30" s="603" t="s">
        <v>151</v>
      </c>
      <c r="G30" s="218" t="s">
        <v>43</v>
      </c>
      <c r="H30" s="217">
        <v>2332</v>
      </c>
      <c r="I30" s="217" t="s">
        <v>39</v>
      </c>
      <c r="J30" s="136">
        <v>0.17</v>
      </c>
      <c r="K30" s="137">
        <f t="shared" si="0"/>
        <v>396.44</v>
      </c>
      <c r="L30" s="209"/>
    </row>
    <row r="31" ht="44.1" customHeight="1" spans="1:12">
      <c r="A31" s="133" t="s">
        <v>149</v>
      </c>
      <c r="B31" s="215" t="s">
        <v>150</v>
      </c>
      <c r="C31" s="216"/>
      <c r="D31" s="217">
        <v>1051120</v>
      </c>
      <c r="E31" s="136" t="s">
        <v>36</v>
      </c>
      <c r="F31" s="603" t="s">
        <v>151</v>
      </c>
      <c r="G31" s="218" t="s">
        <v>44</v>
      </c>
      <c r="H31" s="217">
        <v>1744</v>
      </c>
      <c r="I31" s="217" t="s">
        <v>39</v>
      </c>
      <c r="J31" s="136">
        <v>0.17</v>
      </c>
      <c r="K31" s="137">
        <f t="shared" si="0"/>
        <v>296.48</v>
      </c>
      <c r="L31" s="209"/>
    </row>
    <row r="32" ht="44.1" customHeight="1" spans="1:12">
      <c r="A32" s="133" t="s">
        <v>149</v>
      </c>
      <c r="B32" s="215" t="s">
        <v>150</v>
      </c>
      <c r="C32" s="216"/>
      <c r="D32" s="217">
        <v>1051120</v>
      </c>
      <c r="E32" s="136" t="s">
        <v>36</v>
      </c>
      <c r="F32" s="603" t="s">
        <v>151</v>
      </c>
      <c r="G32" s="218" t="s">
        <v>52</v>
      </c>
      <c r="H32" s="217">
        <v>205</v>
      </c>
      <c r="I32" s="217" t="s">
        <v>39</v>
      </c>
      <c r="J32" s="136">
        <v>0.17</v>
      </c>
      <c r="K32" s="137">
        <f t="shared" si="0"/>
        <v>34.85</v>
      </c>
      <c r="L32" s="209"/>
    </row>
    <row r="33" ht="44.1" customHeight="1" spans="1:12">
      <c r="A33" s="133" t="s">
        <v>149</v>
      </c>
      <c r="B33" s="215" t="s">
        <v>150</v>
      </c>
      <c r="C33" s="216"/>
      <c r="D33" s="217">
        <v>1051120</v>
      </c>
      <c r="E33" s="136" t="s">
        <v>36</v>
      </c>
      <c r="F33" s="603" t="s">
        <v>151</v>
      </c>
      <c r="G33" s="218" t="s">
        <v>45</v>
      </c>
      <c r="H33" s="217">
        <v>147</v>
      </c>
      <c r="I33" s="217" t="s">
        <v>39</v>
      </c>
      <c r="J33" s="136">
        <v>0.17</v>
      </c>
      <c r="K33" s="137">
        <f t="shared" si="0"/>
        <v>24.99</v>
      </c>
      <c r="L33" s="209"/>
    </row>
    <row r="34" ht="44.1" customHeight="1" spans="1:12">
      <c r="A34" s="133" t="s">
        <v>149</v>
      </c>
      <c r="B34" s="215" t="s">
        <v>150</v>
      </c>
      <c r="C34" s="216"/>
      <c r="D34" s="217">
        <v>1051120</v>
      </c>
      <c r="E34" s="136" t="s">
        <v>36</v>
      </c>
      <c r="F34" s="603" t="s">
        <v>151</v>
      </c>
      <c r="G34" s="218" t="s">
        <v>46</v>
      </c>
      <c r="H34" s="217">
        <v>186</v>
      </c>
      <c r="I34" s="217" t="s">
        <v>39</v>
      </c>
      <c r="J34" s="136">
        <v>0.17</v>
      </c>
      <c r="K34" s="137">
        <f t="shared" si="0"/>
        <v>31.62</v>
      </c>
    </row>
    <row r="35" ht="39.95" customHeight="1" spans="1:12">
      <c r="A35" s="219"/>
      <c r="B35" s="220" t="s">
        <v>53</v>
      </c>
      <c r="C35" s="221"/>
      <c r="D35" s="222"/>
      <c r="E35" s="222"/>
      <c r="F35" s="223"/>
      <c r="G35" s="143"/>
      <c r="H35" s="224">
        <f>SUM(H26:H34)</f>
        <v>14161</v>
      </c>
      <c r="I35" s="143" t="s">
        <v>39</v>
      </c>
      <c r="J35" s="225" t="s">
        <v>54</v>
      </c>
      <c r="K35" s="226">
        <f>SUM(K26:K34)</f>
        <v>2407.37</v>
      </c>
      <c r="L35" s="209"/>
    </row>
    <row r="36" ht="24.95" customHeight="1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8" spans="1:12">
      <c r="A38" s="227" t="s">
        <v>152</v>
      </c>
      <c r="C38" s="198" t="str">
        <f>INV!B55</f>
        <v>US DOLLAR FIVE THOUSAND EIGHT HUNDRED TWO AND NINE CENTS ONLY.</v>
      </c>
    </row>
    <row r="39" spans="1:12">
      <c r="A39" s="227" t="s">
        <v>153</v>
      </c>
    </row>
    <row r="40" spans="1:12">
      <c r="A40" s="227" t="s">
        <v>154</v>
      </c>
      <c r="C40" s="194" t="s">
        <v>155</v>
      </c>
    </row>
    <row r="41" spans="1:12">
      <c r="A41" s="227" t="s">
        <v>156</v>
      </c>
    </row>
    <row r="42" spans="1:12">
      <c r="A42" s="227" t="s">
        <v>157</v>
      </c>
      <c r="C42" s="206" t="s">
        <v>158</v>
      </c>
    </row>
    <row r="43" spans="1:12">
      <c r="A43" s="227" t="s">
        <v>159</v>
      </c>
      <c r="C43" s="228">
        <f>DPL!E27</f>
        <v>46128</v>
      </c>
    </row>
    <row r="44" spans="1:12">
      <c r="A44" s="227" t="s">
        <v>160</v>
      </c>
      <c r="C44" s="198" t="s">
        <v>161</v>
      </c>
    </row>
    <row r="45" spans="1:12">
      <c r="A45" s="227" t="s">
        <v>162</v>
      </c>
      <c r="C45" s="198" t="str">
        <f>C9</f>
        <v>GDI HK LIMITED</v>
      </c>
    </row>
    <row r="46" ht="31.5" customHeight="1" spans="1:12">
      <c r="A46" s="229" t="s">
        <v>163</v>
      </c>
      <c r="B46" s="229"/>
      <c r="C46" s="229"/>
      <c r="D46" s="229"/>
      <c r="E46" s="229"/>
      <c r="F46" s="229"/>
      <c r="G46" s="229"/>
      <c r="H46" s="229"/>
    </row>
    <row r="48" ht="15" spans="1:12">
      <c r="A48" s="230" t="s">
        <v>164</v>
      </c>
      <c r="B48" s="230"/>
      <c r="C48" s="230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E5" sqref="E5"/>
    </sheetView>
  </sheetViews>
  <sheetFormatPr defaultColWidth="9" defaultRowHeight="13"/>
  <cols>
    <col min="1" max="1" width="23" style="95" customWidth="1"/>
    <col min="2" max="2" width="24.4272727272727" style="95" customWidth="1"/>
    <col min="3" max="3" width="14.7090909090909" style="95" customWidth="1"/>
    <col min="4" max="4" width="29.5727272727273" style="95" customWidth="1"/>
    <col min="5" max="5" width="16.2818181818182" style="95" customWidth="1"/>
    <col min="6" max="6" width="15.7090909090909" style="95" customWidth="1"/>
    <col min="7" max="7" width="15.4272727272727" style="95" customWidth="1"/>
    <col min="8" max="8" width="16.7090909090909" style="95" customWidth="1"/>
    <col min="9" max="9" width="15.7090909090909" style="95" customWidth="1"/>
    <col min="10" max="10" width="11.7090909090909" style="95" customWidth="1"/>
    <col min="11" max="248" width="9" style="95"/>
    <col min="249" max="249" width="32.5727272727273" style="95" customWidth="1"/>
    <col min="250" max="250" width="13.1363636363636" style="95" customWidth="1"/>
    <col min="251" max="251" width="15.5727272727273" style="95" customWidth="1"/>
    <col min="252" max="252" width="5.85454545454545" style="95" customWidth="1"/>
    <col min="253" max="253" width="15.8545454545455" style="95" customWidth="1"/>
    <col min="254" max="254" width="14.5727272727273" style="95" customWidth="1"/>
    <col min="255" max="255" width="17.8545454545455" style="95" customWidth="1"/>
    <col min="256" max="256" width="18.1363636363636" style="95" customWidth="1"/>
    <col min="257" max="257" width="22.5727272727273" style="95" customWidth="1"/>
    <col min="258" max="258" width="21.1363636363636" style="95" customWidth="1"/>
    <col min="259" max="259" width="0.572727272727273" style="95" customWidth="1"/>
    <col min="260" max="260" width="9" style="95"/>
    <col min="261" max="261" width="15.4272727272727" style="95" customWidth="1"/>
    <col min="262" max="504" width="9" style="95"/>
    <col min="505" max="505" width="32.5727272727273" style="95" customWidth="1"/>
    <col min="506" max="506" width="13.1363636363636" style="95" customWidth="1"/>
    <col min="507" max="507" width="15.5727272727273" style="95" customWidth="1"/>
    <col min="508" max="508" width="5.85454545454545" style="95" customWidth="1"/>
    <col min="509" max="509" width="15.8545454545455" style="95" customWidth="1"/>
    <col min="510" max="510" width="14.5727272727273" style="95" customWidth="1"/>
    <col min="511" max="511" width="17.8545454545455" style="95" customWidth="1"/>
    <col min="512" max="512" width="18.1363636363636" style="95" customWidth="1"/>
    <col min="513" max="513" width="22.5727272727273" style="95" customWidth="1"/>
    <col min="514" max="514" width="21.1363636363636" style="95" customWidth="1"/>
    <col min="515" max="515" width="0.572727272727273" style="95" customWidth="1"/>
    <col min="516" max="516" width="9" style="95"/>
    <col min="517" max="517" width="15.4272727272727" style="95" customWidth="1"/>
    <col min="518" max="760" width="9" style="95"/>
    <col min="761" max="761" width="32.5727272727273" style="95" customWidth="1"/>
    <col min="762" max="762" width="13.1363636363636" style="95" customWidth="1"/>
    <col min="763" max="763" width="15.5727272727273" style="95" customWidth="1"/>
    <col min="764" max="764" width="5.85454545454545" style="95" customWidth="1"/>
    <col min="765" max="765" width="15.8545454545455" style="95" customWidth="1"/>
    <col min="766" max="766" width="14.5727272727273" style="95" customWidth="1"/>
    <col min="767" max="767" width="17.8545454545455" style="95" customWidth="1"/>
    <col min="768" max="768" width="18.1363636363636" style="95" customWidth="1"/>
    <col min="769" max="769" width="22.5727272727273" style="95" customWidth="1"/>
    <col min="770" max="770" width="21.1363636363636" style="95" customWidth="1"/>
    <col min="771" max="771" width="0.572727272727273" style="95" customWidth="1"/>
    <col min="772" max="772" width="9" style="95"/>
    <col min="773" max="773" width="15.4272727272727" style="95" customWidth="1"/>
    <col min="774" max="1016" width="9" style="95"/>
    <col min="1017" max="1017" width="32.5727272727273" style="95" customWidth="1"/>
    <col min="1018" max="1018" width="13.1363636363636" style="95" customWidth="1"/>
    <col min="1019" max="1019" width="15.5727272727273" style="95" customWidth="1"/>
    <col min="1020" max="1020" width="5.85454545454545" style="95" customWidth="1"/>
    <col min="1021" max="1021" width="15.8545454545455" style="95" customWidth="1"/>
    <col min="1022" max="1022" width="14.5727272727273" style="95" customWidth="1"/>
    <col min="1023" max="1023" width="17.8545454545455" style="95" customWidth="1"/>
    <col min="1024" max="1024" width="18.1363636363636" style="95" customWidth="1"/>
    <col min="1025" max="1025" width="22.5727272727273" style="95" customWidth="1"/>
    <col min="1026" max="1026" width="21.1363636363636" style="95" customWidth="1"/>
    <col min="1027" max="1027" width="0.572727272727273" style="95" customWidth="1"/>
    <col min="1028" max="1028" width="9" style="95"/>
    <col min="1029" max="1029" width="15.4272727272727" style="95" customWidth="1"/>
    <col min="1030" max="1272" width="9" style="95"/>
    <col min="1273" max="1273" width="32.5727272727273" style="95" customWidth="1"/>
    <col min="1274" max="1274" width="13.1363636363636" style="95" customWidth="1"/>
    <col min="1275" max="1275" width="15.5727272727273" style="95" customWidth="1"/>
    <col min="1276" max="1276" width="5.85454545454545" style="95" customWidth="1"/>
    <col min="1277" max="1277" width="15.8545454545455" style="95" customWidth="1"/>
    <col min="1278" max="1278" width="14.5727272727273" style="95" customWidth="1"/>
    <col min="1279" max="1279" width="17.8545454545455" style="95" customWidth="1"/>
    <col min="1280" max="1280" width="18.1363636363636" style="95" customWidth="1"/>
    <col min="1281" max="1281" width="22.5727272727273" style="95" customWidth="1"/>
    <col min="1282" max="1282" width="21.1363636363636" style="95" customWidth="1"/>
    <col min="1283" max="1283" width="0.572727272727273" style="95" customWidth="1"/>
    <col min="1284" max="1284" width="9" style="95"/>
    <col min="1285" max="1285" width="15.4272727272727" style="95" customWidth="1"/>
    <col min="1286" max="1528" width="9" style="95"/>
    <col min="1529" max="1529" width="32.5727272727273" style="95" customWidth="1"/>
    <col min="1530" max="1530" width="13.1363636363636" style="95" customWidth="1"/>
    <col min="1531" max="1531" width="15.5727272727273" style="95" customWidth="1"/>
    <col min="1532" max="1532" width="5.85454545454545" style="95" customWidth="1"/>
    <col min="1533" max="1533" width="15.8545454545455" style="95" customWidth="1"/>
    <col min="1534" max="1534" width="14.5727272727273" style="95" customWidth="1"/>
    <col min="1535" max="1535" width="17.8545454545455" style="95" customWidth="1"/>
    <col min="1536" max="1536" width="18.1363636363636" style="95" customWidth="1"/>
    <col min="1537" max="1537" width="22.5727272727273" style="95" customWidth="1"/>
    <col min="1538" max="1538" width="21.1363636363636" style="95" customWidth="1"/>
    <col min="1539" max="1539" width="0.572727272727273" style="95" customWidth="1"/>
    <col min="1540" max="1540" width="9" style="95"/>
    <col min="1541" max="1541" width="15.4272727272727" style="95" customWidth="1"/>
    <col min="1542" max="1784" width="9" style="95"/>
    <col min="1785" max="1785" width="32.5727272727273" style="95" customWidth="1"/>
    <col min="1786" max="1786" width="13.1363636363636" style="95" customWidth="1"/>
    <col min="1787" max="1787" width="15.5727272727273" style="95" customWidth="1"/>
    <col min="1788" max="1788" width="5.85454545454545" style="95" customWidth="1"/>
    <col min="1789" max="1789" width="15.8545454545455" style="95" customWidth="1"/>
    <col min="1790" max="1790" width="14.5727272727273" style="95" customWidth="1"/>
    <col min="1791" max="1791" width="17.8545454545455" style="95" customWidth="1"/>
    <col min="1792" max="1792" width="18.1363636363636" style="95" customWidth="1"/>
    <col min="1793" max="1793" width="22.5727272727273" style="95" customWidth="1"/>
    <col min="1794" max="1794" width="21.1363636363636" style="95" customWidth="1"/>
    <col min="1795" max="1795" width="0.572727272727273" style="95" customWidth="1"/>
    <col min="1796" max="1796" width="9" style="95"/>
    <col min="1797" max="1797" width="15.4272727272727" style="95" customWidth="1"/>
    <col min="1798" max="2040" width="9" style="95"/>
    <col min="2041" max="2041" width="32.5727272727273" style="95" customWidth="1"/>
    <col min="2042" max="2042" width="13.1363636363636" style="95" customWidth="1"/>
    <col min="2043" max="2043" width="15.5727272727273" style="95" customWidth="1"/>
    <col min="2044" max="2044" width="5.85454545454545" style="95" customWidth="1"/>
    <col min="2045" max="2045" width="15.8545454545455" style="95" customWidth="1"/>
    <col min="2046" max="2046" width="14.5727272727273" style="95" customWidth="1"/>
    <col min="2047" max="2047" width="17.8545454545455" style="95" customWidth="1"/>
    <col min="2048" max="2048" width="18.1363636363636" style="95" customWidth="1"/>
    <col min="2049" max="2049" width="22.5727272727273" style="95" customWidth="1"/>
    <col min="2050" max="2050" width="21.1363636363636" style="95" customWidth="1"/>
    <col min="2051" max="2051" width="0.572727272727273" style="95" customWidth="1"/>
    <col min="2052" max="2052" width="9" style="95"/>
    <col min="2053" max="2053" width="15.4272727272727" style="95" customWidth="1"/>
    <col min="2054" max="2296" width="9" style="95"/>
    <col min="2297" max="2297" width="32.5727272727273" style="95" customWidth="1"/>
    <col min="2298" max="2298" width="13.1363636363636" style="95" customWidth="1"/>
    <col min="2299" max="2299" width="15.5727272727273" style="95" customWidth="1"/>
    <col min="2300" max="2300" width="5.85454545454545" style="95" customWidth="1"/>
    <col min="2301" max="2301" width="15.8545454545455" style="95" customWidth="1"/>
    <col min="2302" max="2302" width="14.5727272727273" style="95" customWidth="1"/>
    <col min="2303" max="2303" width="17.8545454545455" style="95" customWidth="1"/>
    <col min="2304" max="2304" width="18.1363636363636" style="95" customWidth="1"/>
    <col min="2305" max="2305" width="22.5727272727273" style="95" customWidth="1"/>
    <col min="2306" max="2306" width="21.1363636363636" style="95" customWidth="1"/>
    <col min="2307" max="2307" width="0.572727272727273" style="95" customWidth="1"/>
    <col min="2308" max="2308" width="9" style="95"/>
    <col min="2309" max="2309" width="15.4272727272727" style="95" customWidth="1"/>
    <col min="2310" max="2552" width="9" style="95"/>
    <col min="2553" max="2553" width="32.5727272727273" style="95" customWidth="1"/>
    <col min="2554" max="2554" width="13.1363636363636" style="95" customWidth="1"/>
    <col min="2555" max="2555" width="15.5727272727273" style="95" customWidth="1"/>
    <col min="2556" max="2556" width="5.85454545454545" style="95" customWidth="1"/>
    <col min="2557" max="2557" width="15.8545454545455" style="95" customWidth="1"/>
    <col min="2558" max="2558" width="14.5727272727273" style="95" customWidth="1"/>
    <col min="2559" max="2559" width="17.8545454545455" style="95" customWidth="1"/>
    <col min="2560" max="2560" width="18.1363636363636" style="95" customWidth="1"/>
    <col min="2561" max="2561" width="22.5727272727273" style="95" customWidth="1"/>
    <col min="2562" max="2562" width="21.1363636363636" style="95" customWidth="1"/>
    <col min="2563" max="2563" width="0.572727272727273" style="95" customWidth="1"/>
    <col min="2564" max="2564" width="9" style="95"/>
    <col min="2565" max="2565" width="15.4272727272727" style="95" customWidth="1"/>
    <col min="2566" max="2808" width="9" style="95"/>
    <col min="2809" max="2809" width="32.5727272727273" style="95" customWidth="1"/>
    <col min="2810" max="2810" width="13.1363636363636" style="95" customWidth="1"/>
    <col min="2811" max="2811" width="15.5727272727273" style="95" customWidth="1"/>
    <col min="2812" max="2812" width="5.85454545454545" style="95" customWidth="1"/>
    <col min="2813" max="2813" width="15.8545454545455" style="95" customWidth="1"/>
    <col min="2814" max="2814" width="14.5727272727273" style="95" customWidth="1"/>
    <col min="2815" max="2815" width="17.8545454545455" style="95" customWidth="1"/>
    <col min="2816" max="2816" width="18.1363636363636" style="95" customWidth="1"/>
    <col min="2817" max="2817" width="22.5727272727273" style="95" customWidth="1"/>
    <col min="2818" max="2818" width="21.1363636363636" style="95" customWidth="1"/>
    <col min="2819" max="2819" width="0.572727272727273" style="95" customWidth="1"/>
    <col min="2820" max="2820" width="9" style="95"/>
    <col min="2821" max="2821" width="15.4272727272727" style="95" customWidth="1"/>
    <col min="2822" max="3064" width="9" style="95"/>
    <col min="3065" max="3065" width="32.5727272727273" style="95" customWidth="1"/>
    <col min="3066" max="3066" width="13.1363636363636" style="95" customWidth="1"/>
    <col min="3067" max="3067" width="15.5727272727273" style="95" customWidth="1"/>
    <col min="3068" max="3068" width="5.85454545454545" style="95" customWidth="1"/>
    <col min="3069" max="3069" width="15.8545454545455" style="95" customWidth="1"/>
    <col min="3070" max="3070" width="14.5727272727273" style="95" customWidth="1"/>
    <col min="3071" max="3071" width="17.8545454545455" style="95" customWidth="1"/>
    <col min="3072" max="3072" width="18.1363636363636" style="95" customWidth="1"/>
    <col min="3073" max="3073" width="22.5727272727273" style="95" customWidth="1"/>
    <col min="3074" max="3074" width="21.1363636363636" style="95" customWidth="1"/>
    <col min="3075" max="3075" width="0.572727272727273" style="95" customWidth="1"/>
    <col min="3076" max="3076" width="9" style="95"/>
    <col min="3077" max="3077" width="15.4272727272727" style="95" customWidth="1"/>
    <col min="3078" max="3320" width="9" style="95"/>
    <col min="3321" max="3321" width="32.5727272727273" style="95" customWidth="1"/>
    <col min="3322" max="3322" width="13.1363636363636" style="95" customWidth="1"/>
    <col min="3323" max="3323" width="15.5727272727273" style="95" customWidth="1"/>
    <col min="3324" max="3324" width="5.85454545454545" style="95" customWidth="1"/>
    <col min="3325" max="3325" width="15.8545454545455" style="95" customWidth="1"/>
    <col min="3326" max="3326" width="14.5727272727273" style="95" customWidth="1"/>
    <col min="3327" max="3327" width="17.8545454545455" style="95" customWidth="1"/>
    <col min="3328" max="3328" width="18.1363636363636" style="95" customWidth="1"/>
    <col min="3329" max="3329" width="22.5727272727273" style="95" customWidth="1"/>
    <col min="3330" max="3330" width="21.1363636363636" style="95" customWidth="1"/>
    <col min="3331" max="3331" width="0.572727272727273" style="95" customWidth="1"/>
    <col min="3332" max="3332" width="9" style="95"/>
    <col min="3333" max="3333" width="15.4272727272727" style="95" customWidth="1"/>
    <col min="3334" max="3576" width="9" style="95"/>
    <col min="3577" max="3577" width="32.5727272727273" style="95" customWidth="1"/>
    <col min="3578" max="3578" width="13.1363636363636" style="95" customWidth="1"/>
    <col min="3579" max="3579" width="15.5727272727273" style="95" customWidth="1"/>
    <col min="3580" max="3580" width="5.85454545454545" style="95" customWidth="1"/>
    <col min="3581" max="3581" width="15.8545454545455" style="95" customWidth="1"/>
    <col min="3582" max="3582" width="14.5727272727273" style="95" customWidth="1"/>
    <col min="3583" max="3583" width="17.8545454545455" style="95" customWidth="1"/>
    <col min="3584" max="3584" width="18.1363636363636" style="95" customWidth="1"/>
    <col min="3585" max="3585" width="22.5727272727273" style="95" customWidth="1"/>
    <col min="3586" max="3586" width="21.1363636363636" style="95" customWidth="1"/>
    <col min="3587" max="3587" width="0.572727272727273" style="95" customWidth="1"/>
    <col min="3588" max="3588" width="9" style="95"/>
    <col min="3589" max="3589" width="15.4272727272727" style="95" customWidth="1"/>
    <col min="3590" max="3832" width="9" style="95"/>
    <col min="3833" max="3833" width="32.5727272727273" style="95" customWidth="1"/>
    <col min="3834" max="3834" width="13.1363636363636" style="95" customWidth="1"/>
    <col min="3835" max="3835" width="15.5727272727273" style="95" customWidth="1"/>
    <col min="3836" max="3836" width="5.85454545454545" style="95" customWidth="1"/>
    <col min="3837" max="3837" width="15.8545454545455" style="95" customWidth="1"/>
    <col min="3838" max="3838" width="14.5727272727273" style="95" customWidth="1"/>
    <col min="3839" max="3839" width="17.8545454545455" style="95" customWidth="1"/>
    <col min="3840" max="3840" width="18.1363636363636" style="95" customWidth="1"/>
    <col min="3841" max="3841" width="22.5727272727273" style="95" customWidth="1"/>
    <col min="3842" max="3842" width="21.1363636363636" style="95" customWidth="1"/>
    <col min="3843" max="3843" width="0.572727272727273" style="95" customWidth="1"/>
    <col min="3844" max="3844" width="9" style="95"/>
    <col min="3845" max="3845" width="15.4272727272727" style="95" customWidth="1"/>
    <col min="3846" max="4088" width="9" style="95"/>
    <col min="4089" max="4089" width="32.5727272727273" style="95" customWidth="1"/>
    <col min="4090" max="4090" width="13.1363636363636" style="95" customWidth="1"/>
    <col min="4091" max="4091" width="15.5727272727273" style="95" customWidth="1"/>
    <col min="4092" max="4092" width="5.85454545454545" style="95" customWidth="1"/>
    <col min="4093" max="4093" width="15.8545454545455" style="95" customWidth="1"/>
    <col min="4094" max="4094" width="14.5727272727273" style="95" customWidth="1"/>
    <col min="4095" max="4095" width="17.8545454545455" style="95" customWidth="1"/>
    <col min="4096" max="4096" width="18.1363636363636" style="95" customWidth="1"/>
    <col min="4097" max="4097" width="22.5727272727273" style="95" customWidth="1"/>
    <col min="4098" max="4098" width="21.1363636363636" style="95" customWidth="1"/>
    <col min="4099" max="4099" width="0.572727272727273" style="95" customWidth="1"/>
    <col min="4100" max="4100" width="9" style="95"/>
    <col min="4101" max="4101" width="15.4272727272727" style="95" customWidth="1"/>
    <col min="4102" max="4344" width="9" style="95"/>
    <col min="4345" max="4345" width="32.5727272727273" style="95" customWidth="1"/>
    <col min="4346" max="4346" width="13.1363636363636" style="95" customWidth="1"/>
    <col min="4347" max="4347" width="15.5727272727273" style="95" customWidth="1"/>
    <col min="4348" max="4348" width="5.85454545454545" style="95" customWidth="1"/>
    <col min="4349" max="4349" width="15.8545454545455" style="95" customWidth="1"/>
    <col min="4350" max="4350" width="14.5727272727273" style="95" customWidth="1"/>
    <col min="4351" max="4351" width="17.8545454545455" style="95" customWidth="1"/>
    <col min="4352" max="4352" width="18.1363636363636" style="95" customWidth="1"/>
    <col min="4353" max="4353" width="22.5727272727273" style="95" customWidth="1"/>
    <col min="4354" max="4354" width="21.1363636363636" style="95" customWidth="1"/>
    <col min="4355" max="4355" width="0.572727272727273" style="95" customWidth="1"/>
    <col min="4356" max="4356" width="9" style="95"/>
    <col min="4357" max="4357" width="15.4272727272727" style="95" customWidth="1"/>
    <col min="4358" max="4600" width="9" style="95"/>
    <col min="4601" max="4601" width="32.5727272727273" style="95" customWidth="1"/>
    <col min="4602" max="4602" width="13.1363636363636" style="95" customWidth="1"/>
    <col min="4603" max="4603" width="15.5727272727273" style="95" customWidth="1"/>
    <col min="4604" max="4604" width="5.85454545454545" style="95" customWidth="1"/>
    <col min="4605" max="4605" width="15.8545454545455" style="95" customWidth="1"/>
    <col min="4606" max="4606" width="14.5727272727273" style="95" customWidth="1"/>
    <col min="4607" max="4607" width="17.8545454545455" style="95" customWidth="1"/>
    <col min="4608" max="4608" width="18.1363636363636" style="95" customWidth="1"/>
    <col min="4609" max="4609" width="22.5727272727273" style="95" customWidth="1"/>
    <col min="4610" max="4610" width="21.1363636363636" style="95" customWidth="1"/>
    <col min="4611" max="4611" width="0.572727272727273" style="95" customWidth="1"/>
    <col min="4612" max="4612" width="9" style="95"/>
    <col min="4613" max="4613" width="15.4272727272727" style="95" customWidth="1"/>
    <col min="4614" max="4856" width="9" style="95"/>
    <col min="4857" max="4857" width="32.5727272727273" style="95" customWidth="1"/>
    <col min="4858" max="4858" width="13.1363636363636" style="95" customWidth="1"/>
    <col min="4859" max="4859" width="15.5727272727273" style="95" customWidth="1"/>
    <col min="4860" max="4860" width="5.85454545454545" style="95" customWidth="1"/>
    <col min="4861" max="4861" width="15.8545454545455" style="95" customWidth="1"/>
    <col min="4862" max="4862" width="14.5727272727273" style="95" customWidth="1"/>
    <col min="4863" max="4863" width="17.8545454545455" style="95" customWidth="1"/>
    <col min="4864" max="4864" width="18.1363636363636" style="95" customWidth="1"/>
    <col min="4865" max="4865" width="22.5727272727273" style="95" customWidth="1"/>
    <col min="4866" max="4866" width="21.1363636363636" style="95" customWidth="1"/>
    <col min="4867" max="4867" width="0.572727272727273" style="95" customWidth="1"/>
    <col min="4868" max="4868" width="9" style="95"/>
    <col min="4869" max="4869" width="15.4272727272727" style="95" customWidth="1"/>
    <col min="4870" max="5112" width="9" style="95"/>
    <col min="5113" max="5113" width="32.5727272727273" style="95" customWidth="1"/>
    <col min="5114" max="5114" width="13.1363636363636" style="95" customWidth="1"/>
    <col min="5115" max="5115" width="15.5727272727273" style="95" customWidth="1"/>
    <col min="5116" max="5116" width="5.85454545454545" style="95" customWidth="1"/>
    <col min="5117" max="5117" width="15.8545454545455" style="95" customWidth="1"/>
    <col min="5118" max="5118" width="14.5727272727273" style="95" customWidth="1"/>
    <col min="5119" max="5119" width="17.8545454545455" style="95" customWidth="1"/>
    <col min="5120" max="5120" width="18.1363636363636" style="95" customWidth="1"/>
    <col min="5121" max="5121" width="22.5727272727273" style="95" customWidth="1"/>
    <col min="5122" max="5122" width="21.1363636363636" style="95" customWidth="1"/>
    <col min="5123" max="5123" width="0.572727272727273" style="95" customWidth="1"/>
    <col min="5124" max="5124" width="9" style="95"/>
    <col min="5125" max="5125" width="15.4272727272727" style="95" customWidth="1"/>
    <col min="5126" max="5368" width="9" style="95"/>
    <col min="5369" max="5369" width="32.5727272727273" style="95" customWidth="1"/>
    <col min="5370" max="5370" width="13.1363636363636" style="95" customWidth="1"/>
    <col min="5371" max="5371" width="15.5727272727273" style="95" customWidth="1"/>
    <col min="5372" max="5372" width="5.85454545454545" style="95" customWidth="1"/>
    <col min="5373" max="5373" width="15.8545454545455" style="95" customWidth="1"/>
    <col min="5374" max="5374" width="14.5727272727273" style="95" customWidth="1"/>
    <col min="5375" max="5375" width="17.8545454545455" style="95" customWidth="1"/>
    <col min="5376" max="5376" width="18.1363636363636" style="95" customWidth="1"/>
    <col min="5377" max="5377" width="22.5727272727273" style="95" customWidth="1"/>
    <col min="5378" max="5378" width="21.1363636363636" style="95" customWidth="1"/>
    <col min="5379" max="5379" width="0.572727272727273" style="95" customWidth="1"/>
    <col min="5380" max="5380" width="9" style="95"/>
    <col min="5381" max="5381" width="15.4272727272727" style="95" customWidth="1"/>
    <col min="5382" max="5624" width="9" style="95"/>
    <col min="5625" max="5625" width="32.5727272727273" style="95" customWidth="1"/>
    <col min="5626" max="5626" width="13.1363636363636" style="95" customWidth="1"/>
    <col min="5627" max="5627" width="15.5727272727273" style="95" customWidth="1"/>
    <col min="5628" max="5628" width="5.85454545454545" style="95" customWidth="1"/>
    <col min="5629" max="5629" width="15.8545454545455" style="95" customWidth="1"/>
    <col min="5630" max="5630" width="14.5727272727273" style="95" customWidth="1"/>
    <col min="5631" max="5631" width="17.8545454545455" style="95" customWidth="1"/>
    <col min="5632" max="5632" width="18.1363636363636" style="95" customWidth="1"/>
    <col min="5633" max="5633" width="22.5727272727273" style="95" customWidth="1"/>
    <col min="5634" max="5634" width="21.1363636363636" style="95" customWidth="1"/>
    <col min="5635" max="5635" width="0.572727272727273" style="95" customWidth="1"/>
    <col min="5636" max="5636" width="9" style="95"/>
    <col min="5637" max="5637" width="15.4272727272727" style="95" customWidth="1"/>
    <col min="5638" max="5880" width="9" style="95"/>
    <col min="5881" max="5881" width="32.5727272727273" style="95" customWidth="1"/>
    <col min="5882" max="5882" width="13.1363636363636" style="95" customWidth="1"/>
    <col min="5883" max="5883" width="15.5727272727273" style="95" customWidth="1"/>
    <col min="5884" max="5884" width="5.85454545454545" style="95" customWidth="1"/>
    <col min="5885" max="5885" width="15.8545454545455" style="95" customWidth="1"/>
    <col min="5886" max="5886" width="14.5727272727273" style="95" customWidth="1"/>
    <col min="5887" max="5887" width="17.8545454545455" style="95" customWidth="1"/>
    <col min="5888" max="5888" width="18.1363636363636" style="95" customWidth="1"/>
    <col min="5889" max="5889" width="22.5727272727273" style="95" customWidth="1"/>
    <col min="5890" max="5890" width="21.1363636363636" style="95" customWidth="1"/>
    <col min="5891" max="5891" width="0.572727272727273" style="95" customWidth="1"/>
    <col min="5892" max="5892" width="9" style="95"/>
    <col min="5893" max="5893" width="15.4272727272727" style="95" customWidth="1"/>
    <col min="5894" max="6136" width="9" style="95"/>
    <col min="6137" max="6137" width="32.5727272727273" style="95" customWidth="1"/>
    <col min="6138" max="6138" width="13.1363636363636" style="95" customWidth="1"/>
    <col min="6139" max="6139" width="15.5727272727273" style="95" customWidth="1"/>
    <col min="6140" max="6140" width="5.85454545454545" style="95" customWidth="1"/>
    <col min="6141" max="6141" width="15.8545454545455" style="95" customWidth="1"/>
    <col min="6142" max="6142" width="14.5727272727273" style="95" customWidth="1"/>
    <col min="6143" max="6143" width="17.8545454545455" style="95" customWidth="1"/>
    <col min="6144" max="6144" width="18.1363636363636" style="95" customWidth="1"/>
    <col min="6145" max="6145" width="22.5727272727273" style="95" customWidth="1"/>
    <col min="6146" max="6146" width="21.1363636363636" style="95" customWidth="1"/>
    <col min="6147" max="6147" width="0.572727272727273" style="95" customWidth="1"/>
    <col min="6148" max="6148" width="9" style="95"/>
    <col min="6149" max="6149" width="15.4272727272727" style="95" customWidth="1"/>
    <col min="6150" max="6392" width="9" style="95"/>
    <col min="6393" max="6393" width="32.5727272727273" style="95" customWidth="1"/>
    <col min="6394" max="6394" width="13.1363636363636" style="95" customWidth="1"/>
    <col min="6395" max="6395" width="15.5727272727273" style="95" customWidth="1"/>
    <col min="6396" max="6396" width="5.85454545454545" style="95" customWidth="1"/>
    <col min="6397" max="6397" width="15.8545454545455" style="95" customWidth="1"/>
    <col min="6398" max="6398" width="14.5727272727273" style="95" customWidth="1"/>
    <col min="6399" max="6399" width="17.8545454545455" style="95" customWidth="1"/>
    <col min="6400" max="6400" width="18.1363636363636" style="95" customWidth="1"/>
    <col min="6401" max="6401" width="22.5727272727273" style="95" customWidth="1"/>
    <col min="6402" max="6402" width="21.1363636363636" style="95" customWidth="1"/>
    <col min="6403" max="6403" width="0.572727272727273" style="95" customWidth="1"/>
    <col min="6404" max="6404" width="9" style="95"/>
    <col min="6405" max="6405" width="15.4272727272727" style="95" customWidth="1"/>
    <col min="6406" max="6648" width="9" style="95"/>
    <col min="6649" max="6649" width="32.5727272727273" style="95" customWidth="1"/>
    <col min="6650" max="6650" width="13.1363636363636" style="95" customWidth="1"/>
    <col min="6651" max="6651" width="15.5727272727273" style="95" customWidth="1"/>
    <col min="6652" max="6652" width="5.85454545454545" style="95" customWidth="1"/>
    <col min="6653" max="6653" width="15.8545454545455" style="95" customWidth="1"/>
    <col min="6654" max="6654" width="14.5727272727273" style="95" customWidth="1"/>
    <col min="6655" max="6655" width="17.8545454545455" style="95" customWidth="1"/>
    <col min="6656" max="6656" width="18.1363636363636" style="95" customWidth="1"/>
    <col min="6657" max="6657" width="22.5727272727273" style="95" customWidth="1"/>
    <col min="6658" max="6658" width="21.1363636363636" style="95" customWidth="1"/>
    <col min="6659" max="6659" width="0.572727272727273" style="95" customWidth="1"/>
    <col min="6660" max="6660" width="9" style="95"/>
    <col min="6661" max="6661" width="15.4272727272727" style="95" customWidth="1"/>
    <col min="6662" max="6904" width="9" style="95"/>
    <col min="6905" max="6905" width="32.5727272727273" style="95" customWidth="1"/>
    <col min="6906" max="6906" width="13.1363636363636" style="95" customWidth="1"/>
    <col min="6907" max="6907" width="15.5727272727273" style="95" customWidth="1"/>
    <col min="6908" max="6908" width="5.85454545454545" style="95" customWidth="1"/>
    <col min="6909" max="6909" width="15.8545454545455" style="95" customWidth="1"/>
    <col min="6910" max="6910" width="14.5727272727273" style="95" customWidth="1"/>
    <col min="6911" max="6911" width="17.8545454545455" style="95" customWidth="1"/>
    <col min="6912" max="6912" width="18.1363636363636" style="95" customWidth="1"/>
    <col min="6913" max="6913" width="22.5727272727273" style="95" customWidth="1"/>
    <col min="6914" max="6914" width="21.1363636363636" style="95" customWidth="1"/>
    <col min="6915" max="6915" width="0.572727272727273" style="95" customWidth="1"/>
    <col min="6916" max="6916" width="9" style="95"/>
    <col min="6917" max="6917" width="15.4272727272727" style="95" customWidth="1"/>
    <col min="6918" max="7160" width="9" style="95"/>
    <col min="7161" max="7161" width="32.5727272727273" style="95" customWidth="1"/>
    <col min="7162" max="7162" width="13.1363636363636" style="95" customWidth="1"/>
    <col min="7163" max="7163" width="15.5727272727273" style="95" customWidth="1"/>
    <col min="7164" max="7164" width="5.85454545454545" style="95" customWidth="1"/>
    <col min="7165" max="7165" width="15.8545454545455" style="95" customWidth="1"/>
    <col min="7166" max="7166" width="14.5727272727273" style="95" customWidth="1"/>
    <col min="7167" max="7167" width="17.8545454545455" style="95" customWidth="1"/>
    <col min="7168" max="7168" width="18.1363636363636" style="95" customWidth="1"/>
    <col min="7169" max="7169" width="22.5727272727273" style="95" customWidth="1"/>
    <col min="7170" max="7170" width="21.1363636363636" style="95" customWidth="1"/>
    <col min="7171" max="7171" width="0.572727272727273" style="95" customWidth="1"/>
    <col min="7172" max="7172" width="9" style="95"/>
    <col min="7173" max="7173" width="15.4272727272727" style="95" customWidth="1"/>
    <col min="7174" max="7416" width="9" style="95"/>
    <col min="7417" max="7417" width="32.5727272727273" style="95" customWidth="1"/>
    <col min="7418" max="7418" width="13.1363636363636" style="95" customWidth="1"/>
    <col min="7419" max="7419" width="15.5727272727273" style="95" customWidth="1"/>
    <col min="7420" max="7420" width="5.85454545454545" style="95" customWidth="1"/>
    <col min="7421" max="7421" width="15.8545454545455" style="95" customWidth="1"/>
    <col min="7422" max="7422" width="14.5727272727273" style="95" customWidth="1"/>
    <col min="7423" max="7423" width="17.8545454545455" style="95" customWidth="1"/>
    <col min="7424" max="7424" width="18.1363636363636" style="95" customWidth="1"/>
    <col min="7425" max="7425" width="22.5727272727273" style="95" customWidth="1"/>
    <col min="7426" max="7426" width="21.1363636363636" style="95" customWidth="1"/>
    <col min="7427" max="7427" width="0.572727272727273" style="95" customWidth="1"/>
    <col min="7428" max="7428" width="9" style="95"/>
    <col min="7429" max="7429" width="15.4272727272727" style="95" customWidth="1"/>
    <col min="7430" max="7672" width="9" style="95"/>
    <col min="7673" max="7673" width="32.5727272727273" style="95" customWidth="1"/>
    <col min="7674" max="7674" width="13.1363636363636" style="95" customWidth="1"/>
    <col min="7675" max="7675" width="15.5727272727273" style="95" customWidth="1"/>
    <col min="7676" max="7676" width="5.85454545454545" style="95" customWidth="1"/>
    <col min="7677" max="7677" width="15.8545454545455" style="95" customWidth="1"/>
    <col min="7678" max="7678" width="14.5727272727273" style="95" customWidth="1"/>
    <col min="7679" max="7679" width="17.8545454545455" style="95" customWidth="1"/>
    <col min="7680" max="7680" width="18.1363636363636" style="95" customWidth="1"/>
    <col min="7681" max="7681" width="22.5727272727273" style="95" customWidth="1"/>
    <col min="7682" max="7682" width="21.1363636363636" style="95" customWidth="1"/>
    <col min="7683" max="7683" width="0.572727272727273" style="95" customWidth="1"/>
    <col min="7684" max="7684" width="9" style="95"/>
    <col min="7685" max="7685" width="15.4272727272727" style="95" customWidth="1"/>
    <col min="7686" max="7928" width="9" style="95"/>
    <col min="7929" max="7929" width="32.5727272727273" style="95" customWidth="1"/>
    <col min="7930" max="7930" width="13.1363636363636" style="95" customWidth="1"/>
    <col min="7931" max="7931" width="15.5727272727273" style="95" customWidth="1"/>
    <col min="7932" max="7932" width="5.85454545454545" style="95" customWidth="1"/>
    <col min="7933" max="7933" width="15.8545454545455" style="95" customWidth="1"/>
    <col min="7934" max="7934" width="14.5727272727273" style="95" customWidth="1"/>
    <col min="7935" max="7935" width="17.8545454545455" style="95" customWidth="1"/>
    <col min="7936" max="7936" width="18.1363636363636" style="95" customWidth="1"/>
    <col min="7937" max="7937" width="22.5727272727273" style="95" customWidth="1"/>
    <col min="7938" max="7938" width="21.1363636363636" style="95" customWidth="1"/>
    <col min="7939" max="7939" width="0.572727272727273" style="95" customWidth="1"/>
    <col min="7940" max="7940" width="9" style="95"/>
    <col min="7941" max="7941" width="15.4272727272727" style="95" customWidth="1"/>
    <col min="7942" max="8184" width="9" style="95"/>
    <col min="8185" max="8185" width="32.5727272727273" style="95" customWidth="1"/>
    <col min="8186" max="8186" width="13.1363636363636" style="95" customWidth="1"/>
    <col min="8187" max="8187" width="15.5727272727273" style="95" customWidth="1"/>
    <col min="8188" max="8188" width="5.85454545454545" style="95" customWidth="1"/>
    <col min="8189" max="8189" width="15.8545454545455" style="95" customWidth="1"/>
    <col min="8190" max="8190" width="14.5727272727273" style="95" customWidth="1"/>
    <col min="8191" max="8191" width="17.8545454545455" style="95" customWidth="1"/>
    <col min="8192" max="8192" width="18.1363636363636" style="95" customWidth="1"/>
    <col min="8193" max="8193" width="22.5727272727273" style="95" customWidth="1"/>
    <col min="8194" max="8194" width="21.1363636363636" style="95" customWidth="1"/>
    <col min="8195" max="8195" width="0.572727272727273" style="95" customWidth="1"/>
    <col min="8196" max="8196" width="9" style="95"/>
    <col min="8197" max="8197" width="15.4272727272727" style="95" customWidth="1"/>
    <col min="8198" max="8440" width="9" style="95"/>
    <col min="8441" max="8441" width="32.5727272727273" style="95" customWidth="1"/>
    <col min="8442" max="8442" width="13.1363636363636" style="95" customWidth="1"/>
    <col min="8443" max="8443" width="15.5727272727273" style="95" customWidth="1"/>
    <col min="8444" max="8444" width="5.85454545454545" style="95" customWidth="1"/>
    <col min="8445" max="8445" width="15.8545454545455" style="95" customWidth="1"/>
    <col min="8446" max="8446" width="14.5727272727273" style="95" customWidth="1"/>
    <col min="8447" max="8447" width="17.8545454545455" style="95" customWidth="1"/>
    <col min="8448" max="8448" width="18.1363636363636" style="95" customWidth="1"/>
    <col min="8449" max="8449" width="22.5727272727273" style="95" customWidth="1"/>
    <col min="8450" max="8450" width="21.1363636363636" style="95" customWidth="1"/>
    <col min="8451" max="8451" width="0.572727272727273" style="95" customWidth="1"/>
    <col min="8452" max="8452" width="9" style="95"/>
    <col min="8453" max="8453" width="15.4272727272727" style="95" customWidth="1"/>
    <col min="8454" max="8696" width="9" style="95"/>
    <col min="8697" max="8697" width="32.5727272727273" style="95" customWidth="1"/>
    <col min="8698" max="8698" width="13.1363636363636" style="95" customWidth="1"/>
    <col min="8699" max="8699" width="15.5727272727273" style="95" customWidth="1"/>
    <col min="8700" max="8700" width="5.85454545454545" style="95" customWidth="1"/>
    <col min="8701" max="8701" width="15.8545454545455" style="95" customWidth="1"/>
    <col min="8702" max="8702" width="14.5727272727273" style="95" customWidth="1"/>
    <col min="8703" max="8703" width="17.8545454545455" style="95" customWidth="1"/>
    <col min="8704" max="8704" width="18.1363636363636" style="95" customWidth="1"/>
    <col min="8705" max="8705" width="22.5727272727273" style="95" customWidth="1"/>
    <col min="8706" max="8706" width="21.1363636363636" style="95" customWidth="1"/>
    <col min="8707" max="8707" width="0.572727272727273" style="95" customWidth="1"/>
    <col min="8708" max="8708" width="9" style="95"/>
    <col min="8709" max="8709" width="15.4272727272727" style="95" customWidth="1"/>
    <col min="8710" max="8952" width="9" style="95"/>
    <col min="8953" max="8953" width="32.5727272727273" style="95" customWidth="1"/>
    <col min="8954" max="8954" width="13.1363636363636" style="95" customWidth="1"/>
    <col min="8955" max="8955" width="15.5727272727273" style="95" customWidth="1"/>
    <col min="8956" max="8956" width="5.85454545454545" style="95" customWidth="1"/>
    <col min="8957" max="8957" width="15.8545454545455" style="95" customWidth="1"/>
    <col min="8958" max="8958" width="14.5727272727273" style="95" customWidth="1"/>
    <col min="8959" max="8959" width="17.8545454545455" style="95" customWidth="1"/>
    <col min="8960" max="8960" width="18.1363636363636" style="95" customWidth="1"/>
    <col min="8961" max="8961" width="22.5727272727273" style="95" customWidth="1"/>
    <col min="8962" max="8962" width="21.1363636363636" style="95" customWidth="1"/>
    <col min="8963" max="8963" width="0.572727272727273" style="95" customWidth="1"/>
    <col min="8964" max="8964" width="9" style="95"/>
    <col min="8965" max="8965" width="15.4272727272727" style="95" customWidth="1"/>
    <col min="8966" max="9208" width="9" style="95"/>
    <col min="9209" max="9209" width="32.5727272727273" style="95" customWidth="1"/>
    <col min="9210" max="9210" width="13.1363636363636" style="95" customWidth="1"/>
    <col min="9211" max="9211" width="15.5727272727273" style="95" customWidth="1"/>
    <col min="9212" max="9212" width="5.85454545454545" style="95" customWidth="1"/>
    <col min="9213" max="9213" width="15.8545454545455" style="95" customWidth="1"/>
    <col min="9214" max="9214" width="14.5727272727273" style="95" customWidth="1"/>
    <col min="9215" max="9215" width="17.8545454545455" style="95" customWidth="1"/>
    <col min="9216" max="9216" width="18.1363636363636" style="95" customWidth="1"/>
    <col min="9217" max="9217" width="22.5727272727273" style="95" customWidth="1"/>
    <col min="9218" max="9218" width="21.1363636363636" style="95" customWidth="1"/>
    <col min="9219" max="9219" width="0.572727272727273" style="95" customWidth="1"/>
    <col min="9220" max="9220" width="9" style="95"/>
    <col min="9221" max="9221" width="15.4272727272727" style="95" customWidth="1"/>
    <col min="9222" max="9464" width="9" style="95"/>
    <col min="9465" max="9465" width="32.5727272727273" style="95" customWidth="1"/>
    <col min="9466" max="9466" width="13.1363636363636" style="95" customWidth="1"/>
    <col min="9467" max="9467" width="15.5727272727273" style="95" customWidth="1"/>
    <col min="9468" max="9468" width="5.85454545454545" style="95" customWidth="1"/>
    <col min="9469" max="9469" width="15.8545454545455" style="95" customWidth="1"/>
    <col min="9470" max="9470" width="14.5727272727273" style="95" customWidth="1"/>
    <col min="9471" max="9471" width="17.8545454545455" style="95" customWidth="1"/>
    <col min="9472" max="9472" width="18.1363636363636" style="95" customWidth="1"/>
    <col min="9473" max="9473" width="22.5727272727273" style="95" customWidth="1"/>
    <col min="9474" max="9474" width="21.1363636363636" style="95" customWidth="1"/>
    <col min="9475" max="9475" width="0.572727272727273" style="95" customWidth="1"/>
    <col min="9476" max="9476" width="9" style="95"/>
    <col min="9477" max="9477" width="15.4272727272727" style="95" customWidth="1"/>
    <col min="9478" max="9720" width="9" style="95"/>
    <col min="9721" max="9721" width="32.5727272727273" style="95" customWidth="1"/>
    <col min="9722" max="9722" width="13.1363636363636" style="95" customWidth="1"/>
    <col min="9723" max="9723" width="15.5727272727273" style="95" customWidth="1"/>
    <col min="9724" max="9724" width="5.85454545454545" style="95" customWidth="1"/>
    <col min="9725" max="9725" width="15.8545454545455" style="95" customWidth="1"/>
    <col min="9726" max="9726" width="14.5727272727273" style="95" customWidth="1"/>
    <col min="9727" max="9727" width="17.8545454545455" style="95" customWidth="1"/>
    <col min="9728" max="9728" width="18.1363636363636" style="95" customWidth="1"/>
    <col min="9729" max="9729" width="22.5727272727273" style="95" customWidth="1"/>
    <col min="9730" max="9730" width="21.1363636363636" style="95" customWidth="1"/>
    <col min="9731" max="9731" width="0.572727272727273" style="95" customWidth="1"/>
    <col min="9732" max="9732" width="9" style="95"/>
    <col min="9733" max="9733" width="15.4272727272727" style="95" customWidth="1"/>
    <col min="9734" max="9976" width="9" style="95"/>
    <col min="9977" max="9977" width="32.5727272727273" style="95" customWidth="1"/>
    <col min="9978" max="9978" width="13.1363636363636" style="95" customWidth="1"/>
    <col min="9979" max="9979" width="15.5727272727273" style="95" customWidth="1"/>
    <col min="9980" max="9980" width="5.85454545454545" style="95" customWidth="1"/>
    <col min="9981" max="9981" width="15.8545454545455" style="95" customWidth="1"/>
    <col min="9982" max="9982" width="14.5727272727273" style="95" customWidth="1"/>
    <col min="9983" max="9983" width="17.8545454545455" style="95" customWidth="1"/>
    <col min="9984" max="9984" width="18.1363636363636" style="95" customWidth="1"/>
    <col min="9985" max="9985" width="22.5727272727273" style="95" customWidth="1"/>
    <col min="9986" max="9986" width="21.1363636363636" style="95" customWidth="1"/>
    <col min="9987" max="9987" width="0.572727272727273" style="95" customWidth="1"/>
    <col min="9988" max="9988" width="9" style="95"/>
    <col min="9989" max="9989" width="15.4272727272727" style="95" customWidth="1"/>
    <col min="9990" max="10232" width="9" style="95"/>
    <col min="10233" max="10233" width="32.5727272727273" style="95" customWidth="1"/>
    <col min="10234" max="10234" width="13.1363636363636" style="95" customWidth="1"/>
    <col min="10235" max="10235" width="15.5727272727273" style="95" customWidth="1"/>
    <col min="10236" max="10236" width="5.85454545454545" style="95" customWidth="1"/>
    <col min="10237" max="10237" width="15.8545454545455" style="95" customWidth="1"/>
    <col min="10238" max="10238" width="14.5727272727273" style="95" customWidth="1"/>
    <col min="10239" max="10239" width="17.8545454545455" style="95" customWidth="1"/>
    <col min="10240" max="10240" width="18.1363636363636" style="95" customWidth="1"/>
    <col min="10241" max="10241" width="22.5727272727273" style="95" customWidth="1"/>
    <col min="10242" max="10242" width="21.1363636363636" style="95" customWidth="1"/>
    <col min="10243" max="10243" width="0.572727272727273" style="95" customWidth="1"/>
    <col min="10244" max="10244" width="9" style="95"/>
    <col min="10245" max="10245" width="15.4272727272727" style="95" customWidth="1"/>
    <col min="10246" max="10488" width="9" style="95"/>
    <col min="10489" max="10489" width="32.5727272727273" style="95" customWidth="1"/>
    <col min="10490" max="10490" width="13.1363636363636" style="95" customWidth="1"/>
    <col min="10491" max="10491" width="15.5727272727273" style="95" customWidth="1"/>
    <col min="10492" max="10492" width="5.85454545454545" style="95" customWidth="1"/>
    <col min="10493" max="10493" width="15.8545454545455" style="95" customWidth="1"/>
    <col min="10494" max="10494" width="14.5727272727273" style="95" customWidth="1"/>
    <col min="10495" max="10495" width="17.8545454545455" style="95" customWidth="1"/>
    <col min="10496" max="10496" width="18.1363636363636" style="95" customWidth="1"/>
    <col min="10497" max="10497" width="22.5727272727273" style="95" customWidth="1"/>
    <col min="10498" max="10498" width="21.1363636363636" style="95" customWidth="1"/>
    <col min="10499" max="10499" width="0.572727272727273" style="95" customWidth="1"/>
    <col min="10500" max="10500" width="9" style="95"/>
    <col min="10501" max="10501" width="15.4272727272727" style="95" customWidth="1"/>
    <col min="10502" max="10744" width="9" style="95"/>
    <col min="10745" max="10745" width="32.5727272727273" style="95" customWidth="1"/>
    <col min="10746" max="10746" width="13.1363636363636" style="95" customWidth="1"/>
    <col min="10747" max="10747" width="15.5727272727273" style="95" customWidth="1"/>
    <col min="10748" max="10748" width="5.85454545454545" style="95" customWidth="1"/>
    <col min="10749" max="10749" width="15.8545454545455" style="95" customWidth="1"/>
    <col min="10750" max="10750" width="14.5727272727273" style="95" customWidth="1"/>
    <col min="10751" max="10751" width="17.8545454545455" style="95" customWidth="1"/>
    <col min="10752" max="10752" width="18.1363636363636" style="95" customWidth="1"/>
    <col min="10753" max="10753" width="22.5727272727273" style="95" customWidth="1"/>
    <col min="10754" max="10754" width="21.1363636363636" style="95" customWidth="1"/>
    <col min="10755" max="10755" width="0.572727272727273" style="95" customWidth="1"/>
    <col min="10756" max="10756" width="9" style="95"/>
    <col min="10757" max="10757" width="15.4272727272727" style="95" customWidth="1"/>
    <col min="10758" max="11000" width="9" style="95"/>
    <col min="11001" max="11001" width="32.5727272727273" style="95" customWidth="1"/>
    <col min="11002" max="11002" width="13.1363636363636" style="95" customWidth="1"/>
    <col min="11003" max="11003" width="15.5727272727273" style="95" customWidth="1"/>
    <col min="11004" max="11004" width="5.85454545454545" style="95" customWidth="1"/>
    <col min="11005" max="11005" width="15.8545454545455" style="95" customWidth="1"/>
    <col min="11006" max="11006" width="14.5727272727273" style="95" customWidth="1"/>
    <col min="11007" max="11007" width="17.8545454545455" style="95" customWidth="1"/>
    <col min="11008" max="11008" width="18.1363636363636" style="95" customWidth="1"/>
    <col min="11009" max="11009" width="22.5727272727273" style="95" customWidth="1"/>
    <col min="11010" max="11010" width="21.1363636363636" style="95" customWidth="1"/>
    <col min="11011" max="11011" width="0.572727272727273" style="95" customWidth="1"/>
    <col min="11012" max="11012" width="9" style="95"/>
    <col min="11013" max="11013" width="15.4272727272727" style="95" customWidth="1"/>
    <col min="11014" max="11256" width="9" style="95"/>
    <col min="11257" max="11257" width="32.5727272727273" style="95" customWidth="1"/>
    <col min="11258" max="11258" width="13.1363636363636" style="95" customWidth="1"/>
    <col min="11259" max="11259" width="15.5727272727273" style="95" customWidth="1"/>
    <col min="11260" max="11260" width="5.85454545454545" style="95" customWidth="1"/>
    <col min="11261" max="11261" width="15.8545454545455" style="95" customWidth="1"/>
    <col min="11262" max="11262" width="14.5727272727273" style="95" customWidth="1"/>
    <col min="11263" max="11263" width="17.8545454545455" style="95" customWidth="1"/>
    <col min="11264" max="11264" width="18.1363636363636" style="95" customWidth="1"/>
    <col min="11265" max="11265" width="22.5727272727273" style="95" customWidth="1"/>
    <col min="11266" max="11266" width="21.1363636363636" style="95" customWidth="1"/>
    <col min="11267" max="11267" width="0.572727272727273" style="95" customWidth="1"/>
    <col min="11268" max="11268" width="9" style="95"/>
    <col min="11269" max="11269" width="15.4272727272727" style="95" customWidth="1"/>
    <col min="11270" max="11512" width="9" style="95"/>
    <col min="11513" max="11513" width="32.5727272727273" style="95" customWidth="1"/>
    <col min="11514" max="11514" width="13.1363636363636" style="95" customWidth="1"/>
    <col min="11515" max="11515" width="15.5727272727273" style="95" customWidth="1"/>
    <col min="11516" max="11516" width="5.85454545454545" style="95" customWidth="1"/>
    <col min="11517" max="11517" width="15.8545454545455" style="95" customWidth="1"/>
    <col min="11518" max="11518" width="14.5727272727273" style="95" customWidth="1"/>
    <col min="11519" max="11519" width="17.8545454545455" style="95" customWidth="1"/>
    <col min="11520" max="11520" width="18.1363636363636" style="95" customWidth="1"/>
    <col min="11521" max="11521" width="22.5727272727273" style="95" customWidth="1"/>
    <col min="11522" max="11522" width="21.1363636363636" style="95" customWidth="1"/>
    <col min="11523" max="11523" width="0.572727272727273" style="95" customWidth="1"/>
    <col min="11524" max="11524" width="9" style="95"/>
    <col min="11525" max="11525" width="15.4272727272727" style="95" customWidth="1"/>
    <col min="11526" max="11768" width="9" style="95"/>
    <col min="11769" max="11769" width="32.5727272727273" style="95" customWidth="1"/>
    <col min="11770" max="11770" width="13.1363636363636" style="95" customWidth="1"/>
    <col min="11771" max="11771" width="15.5727272727273" style="95" customWidth="1"/>
    <col min="11772" max="11772" width="5.85454545454545" style="95" customWidth="1"/>
    <col min="11773" max="11773" width="15.8545454545455" style="95" customWidth="1"/>
    <col min="11774" max="11774" width="14.5727272727273" style="95" customWidth="1"/>
    <col min="11775" max="11775" width="17.8545454545455" style="95" customWidth="1"/>
    <col min="11776" max="11776" width="18.1363636363636" style="95" customWidth="1"/>
    <col min="11777" max="11777" width="22.5727272727273" style="95" customWidth="1"/>
    <col min="11778" max="11778" width="21.1363636363636" style="95" customWidth="1"/>
    <col min="11779" max="11779" width="0.572727272727273" style="95" customWidth="1"/>
    <col min="11780" max="11780" width="9" style="95"/>
    <col min="11781" max="11781" width="15.4272727272727" style="95" customWidth="1"/>
    <col min="11782" max="12024" width="9" style="95"/>
    <col min="12025" max="12025" width="32.5727272727273" style="95" customWidth="1"/>
    <col min="12026" max="12026" width="13.1363636363636" style="95" customWidth="1"/>
    <col min="12027" max="12027" width="15.5727272727273" style="95" customWidth="1"/>
    <col min="12028" max="12028" width="5.85454545454545" style="95" customWidth="1"/>
    <col min="12029" max="12029" width="15.8545454545455" style="95" customWidth="1"/>
    <col min="12030" max="12030" width="14.5727272727273" style="95" customWidth="1"/>
    <col min="12031" max="12031" width="17.8545454545455" style="95" customWidth="1"/>
    <col min="12032" max="12032" width="18.1363636363636" style="95" customWidth="1"/>
    <col min="12033" max="12033" width="22.5727272727273" style="95" customWidth="1"/>
    <col min="12034" max="12034" width="21.1363636363636" style="95" customWidth="1"/>
    <col min="12035" max="12035" width="0.572727272727273" style="95" customWidth="1"/>
    <col min="12036" max="12036" width="9" style="95"/>
    <col min="12037" max="12037" width="15.4272727272727" style="95" customWidth="1"/>
    <col min="12038" max="12280" width="9" style="95"/>
    <col min="12281" max="12281" width="32.5727272727273" style="95" customWidth="1"/>
    <col min="12282" max="12282" width="13.1363636363636" style="95" customWidth="1"/>
    <col min="12283" max="12283" width="15.5727272727273" style="95" customWidth="1"/>
    <col min="12284" max="12284" width="5.85454545454545" style="95" customWidth="1"/>
    <col min="12285" max="12285" width="15.8545454545455" style="95" customWidth="1"/>
    <col min="12286" max="12286" width="14.5727272727273" style="95" customWidth="1"/>
    <col min="12287" max="12287" width="17.8545454545455" style="95" customWidth="1"/>
    <col min="12288" max="12288" width="18.1363636363636" style="95" customWidth="1"/>
    <col min="12289" max="12289" width="22.5727272727273" style="95" customWidth="1"/>
    <col min="12290" max="12290" width="21.1363636363636" style="95" customWidth="1"/>
    <col min="12291" max="12291" width="0.572727272727273" style="95" customWidth="1"/>
    <col min="12292" max="12292" width="9" style="95"/>
    <col min="12293" max="12293" width="15.4272727272727" style="95" customWidth="1"/>
    <col min="12294" max="12536" width="9" style="95"/>
    <col min="12537" max="12537" width="32.5727272727273" style="95" customWidth="1"/>
    <col min="12538" max="12538" width="13.1363636363636" style="95" customWidth="1"/>
    <col min="12539" max="12539" width="15.5727272727273" style="95" customWidth="1"/>
    <col min="12540" max="12540" width="5.85454545454545" style="95" customWidth="1"/>
    <col min="12541" max="12541" width="15.8545454545455" style="95" customWidth="1"/>
    <col min="12542" max="12542" width="14.5727272727273" style="95" customWidth="1"/>
    <col min="12543" max="12543" width="17.8545454545455" style="95" customWidth="1"/>
    <col min="12544" max="12544" width="18.1363636363636" style="95" customWidth="1"/>
    <col min="12545" max="12545" width="22.5727272727273" style="95" customWidth="1"/>
    <col min="12546" max="12546" width="21.1363636363636" style="95" customWidth="1"/>
    <col min="12547" max="12547" width="0.572727272727273" style="95" customWidth="1"/>
    <col min="12548" max="12548" width="9" style="95"/>
    <col min="12549" max="12549" width="15.4272727272727" style="95" customWidth="1"/>
    <col min="12550" max="12792" width="9" style="95"/>
    <col min="12793" max="12793" width="32.5727272727273" style="95" customWidth="1"/>
    <col min="12794" max="12794" width="13.1363636363636" style="95" customWidth="1"/>
    <col min="12795" max="12795" width="15.5727272727273" style="95" customWidth="1"/>
    <col min="12796" max="12796" width="5.85454545454545" style="95" customWidth="1"/>
    <col min="12797" max="12797" width="15.8545454545455" style="95" customWidth="1"/>
    <col min="12798" max="12798" width="14.5727272727273" style="95" customWidth="1"/>
    <col min="12799" max="12799" width="17.8545454545455" style="95" customWidth="1"/>
    <col min="12800" max="12800" width="18.1363636363636" style="95" customWidth="1"/>
    <col min="12801" max="12801" width="22.5727272727273" style="95" customWidth="1"/>
    <col min="12802" max="12802" width="21.1363636363636" style="95" customWidth="1"/>
    <col min="12803" max="12803" width="0.572727272727273" style="95" customWidth="1"/>
    <col min="12804" max="12804" width="9" style="95"/>
    <col min="12805" max="12805" width="15.4272727272727" style="95" customWidth="1"/>
    <col min="12806" max="13048" width="9" style="95"/>
    <col min="13049" max="13049" width="32.5727272727273" style="95" customWidth="1"/>
    <col min="13050" max="13050" width="13.1363636363636" style="95" customWidth="1"/>
    <col min="13051" max="13051" width="15.5727272727273" style="95" customWidth="1"/>
    <col min="13052" max="13052" width="5.85454545454545" style="95" customWidth="1"/>
    <col min="13053" max="13053" width="15.8545454545455" style="95" customWidth="1"/>
    <col min="13054" max="13054" width="14.5727272727273" style="95" customWidth="1"/>
    <col min="13055" max="13055" width="17.8545454545455" style="95" customWidth="1"/>
    <col min="13056" max="13056" width="18.1363636363636" style="95" customWidth="1"/>
    <col min="13057" max="13057" width="22.5727272727273" style="95" customWidth="1"/>
    <col min="13058" max="13058" width="21.1363636363636" style="95" customWidth="1"/>
    <col min="13059" max="13059" width="0.572727272727273" style="95" customWidth="1"/>
    <col min="13060" max="13060" width="9" style="95"/>
    <col min="13061" max="13061" width="15.4272727272727" style="95" customWidth="1"/>
    <col min="13062" max="13304" width="9" style="95"/>
    <col min="13305" max="13305" width="32.5727272727273" style="95" customWidth="1"/>
    <col min="13306" max="13306" width="13.1363636363636" style="95" customWidth="1"/>
    <col min="13307" max="13307" width="15.5727272727273" style="95" customWidth="1"/>
    <col min="13308" max="13308" width="5.85454545454545" style="95" customWidth="1"/>
    <col min="13309" max="13309" width="15.8545454545455" style="95" customWidth="1"/>
    <col min="13310" max="13310" width="14.5727272727273" style="95" customWidth="1"/>
    <col min="13311" max="13311" width="17.8545454545455" style="95" customWidth="1"/>
    <col min="13312" max="13312" width="18.1363636363636" style="95" customWidth="1"/>
    <col min="13313" max="13313" width="22.5727272727273" style="95" customWidth="1"/>
    <col min="13314" max="13314" width="21.1363636363636" style="95" customWidth="1"/>
    <col min="13315" max="13315" width="0.572727272727273" style="95" customWidth="1"/>
    <col min="13316" max="13316" width="9" style="95"/>
    <col min="13317" max="13317" width="15.4272727272727" style="95" customWidth="1"/>
    <col min="13318" max="13560" width="9" style="95"/>
    <col min="13561" max="13561" width="32.5727272727273" style="95" customWidth="1"/>
    <col min="13562" max="13562" width="13.1363636363636" style="95" customWidth="1"/>
    <col min="13563" max="13563" width="15.5727272727273" style="95" customWidth="1"/>
    <col min="13564" max="13564" width="5.85454545454545" style="95" customWidth="1"/>
    <col min="13565" max="13565" width="15.8545454545455" style="95" customWidth="1"/>
    <col min="13566" max="13566" width="14.5727272727273" style="95" customWidth="1"/>
    <col min="13567" max="13567" width="17.8545454545455" style="95" customWidth="1"/>
    <col min="13568" max="13568" width="18.1363636363636" style="95" customWidth="1"/>
    <col min="13569" max="13569" width="22.5727272727273" style="95" customWidth="1"/>
    <col min="13570" max="13570" width="21.1363636363636" style="95" customWidth="1"/>
    <col min="13571" max="13571" width="0.572727272727273" style="95" customWidth="1"/>
    <col min="13572" max="13572" width="9" style="95"/>
    <col min="13573" max="13573" width="15.4272727272727" style="95" customWidth="1"/>
    <col min="13574" max="13816" width="9" style="95"/>
    <col min="13817" max="13817" width="32.5727272727273" style="95" customWidth="1"/>
    <col min="13818" max="13818" width="13.1363636363636" style="95" customWidth="1"/>
    <col min="13819" max="13819" width="15.5727272727273" style="95" customWidth="1"/>
    <col min="13820" max="13820" width="5.85454545454545" style="95" customWidth="1"/>
    <col min="13821" max="13821" width="15.8545454545455" style="95" customWidth="1"/>
    <col min="13822" max="13822" width="14.5727272727273" style="95" customWidth="1"/>
    <col min="13823" max="13823" width="17.8545454545455" style="95" customWidth="1"/>
    <col min="13824" max="13824" width="18.1363636363636" style="95" customWidth="1"/>
    <col min="13825" max="13825" width="22.5727272727273" style="95" customWidth="1"/>
    <col min="13826" max="13826" width="21.1363636363636" style="95" customWidth="1"/>
    <col min="13827" max="13827" width="0.572727272727273" style="95" customWidth="1"/>
    <col min="13828" max="13828" width="9" style="95"/>
    <col min="13829" max="13829" width="15.4272727272727" style="95" customWidth="1"/>
    <col min="13830" max="14072" width="9" style="95"/>
    <col min="14073" max="14073" width="32.5727272727273" style="95" customWidth="1"/>
    <col min="14074" max="14074" width="13.1363636363636" style="95" customWidth="1"/>
    <col min="14075" max="14075" width="15.5727272727273" style="95" customWidth="1"/>
    <col min="14076" max="14076" width="5.85454545454545" style="95" customWidth="1"/>
    <col min="14077" max="14077" width="15.8545454545455" style="95" customWidth="1"/>
    <col min="14078" max="14078" width="14.5727272727273" style="95" customWidth="1"/>
    <col min="14079" max="14079" width="17.8545454545455" style="95" customWidth="1"/>
    <col min="14080" max="14080" width="18.1363636363636" style="95" customWidth="1"/>
    <col min="14081" max="14081" width="22.5727272727273" style="95" customWidth="1"/>
    <col min="14082" max="14082" width="21.1363636363636" style="95" customWidth="1"/>
    <col min="14083" max="14083" width="0.572727272727273" style="95" customWidth="1"/>
    <col min="14084" max="14084" width="9" style="95"/>
    <col min="14085" max="14085" width="15.4272727272727" style="95" customWidth="1"/>
    <col min="14086" max="14328" width="9" style="95"/>
    <col min="14329" max="14329" width="32.5727272727273" style="95" customWidth="1"/>
    <col min="14330" max="14330" width="13.1363636363636" style="95" customWidth="1"/>
    <col min="14331" max="14331" width="15.5727272727273" style="95" customWidth="1"/>
    <col min="14332" max="14332" width="5.85454545454545" style="95" customWidth="1"/>
    <col min="14333" max="14333" width="15.8545454545455" style="95" customWidth="1"/>
    <col min="14334" max="14334" width="14.5727272727273" style="95" customWidth="1"/>
    <col min="14335" max="14335" width="17.8545454545455" style="95" customWidth="1"/>
    <col min="14336" max="14336" width="18.1363636363636" style="95" customWidth="1"/>
    <col min="14337" max="14337" width="22.5727272727273" style="95" customWidth="1"/>
    <col min="14338" max="14338" width="21.1363636363636" style="95" customWidth="1"/>
    <col min="14339" max="14339" width="0.572727272727273" style="95" customWidth="1"/>
    <col min="14340" max="14340" width="9" style="95"/>
    <col min="14341" max="14341" width="15.4272727272727" style="95" customWidth="1"/>
    <col min="14342" max="14584" width="9" style="95"/>
    <col min="14585" max="14585" width="32.5727272727273" style="95" customWidth="1"/>
    <col min="14586" max="14586" width="13.1363636363636" style="95" customWidth="1"/>
    <col min="14587" max="14587" width="15.5727272727273" style="95" customWidth="1"/>
    <col min="14588" max="14588" width="5.85454545454545" style="95" customWidth="1"/>
    <col min="14589" max="14589" width="15.8545454545455" style="95" customWidth="1"/>
    <col min="14590" max="14590" width="14.5727272727273" style="95" customWidth="1"/>
    <col min="14591" max="14591" width="17.8545454545455" style="95" customWidth="1"/>
    <col min="14592" max="14592" width="18.1363636363636" style="95" customWidth="1"/>
    <col min="14593" max="14593" width="22.5727272727273" style="95" customWidth="1"/>
    <col min="14594" max="14594" width="21.1363636363636" style="95" customWidth="1"/>
    <col min="14595" max="14595" width="0.572727272727273" style="95" customWidth="1"/>
    <col min="14596" max="14596" width="9" style="95"/>
    <col min="14597" max="14597" width="15.4272727272727" style="95" customWidth="1"/>
    <col min="14598" max="14840" width="9" style="95"/>
    <col min="14841" max="14841" width="32.5727272727273" style="95" customWidth="1"/>
    <col min="14842" max="14842" width="13.1363636363636" style="95" customWidth="1"/>
    <col min="14843" max="14843" width="15.5727272727273" style="95" customWidth="1"/>
    <col min="14844" max="14844" width="5.85454545454545" style="95" customWidth="1"/>
    <col min="14845" max="14845" width="15.8545454545455" style="95" customWidth="1"/>
    <col min="14846" max="14846" width="14.5727272727273" style="95" customWidth="1"/>
    <col min="14847" max="14847" width="17.8545454545455" style="95" customWidth="1"/>
    <col min="14848" max="14848" width="18.1363636363636" style="95" customWidth="1"/>
    <col min="14849" max="14849" width="22.5727272727273" style="95" customWidth="1"/>
    <col min="14850" max="14850" width="21.1363636363636" style="95" customWidth="1"/>
    <col min="14851" max="14851" width="0.572727272727273" style="95" customWidth="1"/>
    <col min="14852" max="14852" width="9" style="95"/>
    <col min="14853" max="14853" width="15.4272727272727" style="95" customWidth="1"/>
    <col min="14854" max="15096" width="9" style="95"/>
    <col min="15097" max="15097" width="32.5727272727273" style="95" customWidth="1"/>
    <col min="15098" max="15098" width="13.1363636363636" style="95" customWidth="1"/>
    <col min="15099" max="15099" width="15.5727272727273" style="95" customWidth="1"/>
    <col min="15100" max="15100" width="5.85454545454545" style="95" customWidth="1"/>
    <col min="15101" max="15101" width="15.8545454545455" style="95" customWidth="1"/>
    <col min="15102" max="15102" width="14.5727272727273" style="95" customWidth="1"/>
    <col min="15103" max="15103" width="17.8545454545455" style="95" customWidth="1"/>
    <col min="15104" max="15104" width="18.1363636363636" style="95" customWidth="1"/>
    <col min="15105" max="15105" width="22.5727272727273" style="95" customWidth="1"/>
    <col min="15106" max="15106" width="21.1363636363636" style="95" customWidth="1"/>
    <col min="15107" max="15107" width="0.572727272727273" style="95" customWidth="1"/>
    <col min="15108" max="15108" width="9" style="95"/>
    <col min="15109" max="15109" width="15.4272727272727" style="95" customWidth="1"/>
    <col min="15110" max="15352" width="9" style="95"/>
    <col min="15353" max="15353" width="32.5727272727273" style="95" customWidth="1"/>
    <col min="15354" max="15354" width="13.1363636363636" style="95" customWidth="1"/>
    <col min="15355" max="15355" width="15.5727272727273" style="95" customWidth="1"/>
    <col min="15356" max="15356" width="5.85454545454545" style="95" customWidth="1"/>
    <col min="15357" max="15357" width="15.8545454545455" style="95" customWidth="1"/>
    <col min="15358" max="15358" width="14.5727272727273" style="95" customWidth="1"/>
    <col min="15359" max="15359" width="17.8545454545455" style="95" customWidth="1"/>
    <col min="15360" max="15360" width="18.1363636363636" style="95" customWidth="1"/>
    <col min="15361" max="15361" width="22.5727272727273" style="95" customWidth="1"/>
    <col min="15362" max="15362" width="21.1363636363636" style="95" customWidth="1"/>
    <col min="15363" max="15363" width="0.572727272727273" style="95" customWidth="1"/>
    <col min="15364" max="15364" width="9" style="95"/>
    <col min="15365" max="15365" width="15.4272727272727" style="95" customWidth="1"/>
    <col min="15366" max="15608" width="9" style="95"/>
    <col min="15609" max="15609" width="32.5727272727273" style="95" customWidth="1"/>
    <col min="15610" max="15610" width="13.1363636363636" style="95" customWidth="1"/>
    <col min="15611" max="15611" width="15.5727272727273" style="95" customWidth="1"/>
    <col min="15612" max="15612" width="5.85454545454545" style="95" customWidth="1"/>
    <col min="15613" max="15613" width="15.8545454545455" style="95" customWidth="1"/>
    <col min="15614" max="15614" width="14.5727272727273" style="95" customWidth="1"/>
    <col min="15615" max="15615" width="17.8545454545455" style="95" customWidth="1"/>
    <col min="15616" max="15616" width="18.1363636363636" style="95" customWidth="1"/>
    <col min="15617" max="15617" width="22.5727272727273" style="95" customWidth="1"/>
    <col min="15618" max="15618" width="21.1363636363636" style="95" customWidth="1"/>
    <col min="15619" max="15619" width="0.572727272727273" style="95" customWidth="1"/>
    <col min="15620" max="15620" width="9" style="95"/>
    <col min="15621" max="15621" width="15.4272727272727" style="95" customWidth="1"/>
    <col min="15622" max="15864" width="9" style="95"/>
    <col min="15865" max="15865" width="32.5727272727273" style="95" customWidth="1"/>
    <col min="15866" max="15866" width="13.1363636363636" style="95" customWidth="1"/>
    <col min="15867" max="15867" width="15.5727272727273" style="95" customWidth="1"/>
    <col min="15868" max="15868" width="5.85454545454545" style="95" customWidth="1"/>
    <col min="15869" max="15869" width="15.8545454545455" style="95" customWidth="1"/>
    <col min="15870" max="15870" width="14.5727272727273" style="95" customWidth="1"/>
    <col min="15871" max="15871" width="17.8545454545455" style="95" customWidth="1"/>
    <col min="15872" max="15872" width="18.1363636363636" style="95" customWidth="1"/>
    <col min="15873" max="15873" width="22.5727272727273" style="95" customWidth="1"/>
    <col min="15874" max="15874" width="21.1363636363636" style="95" customWidth="1"/>
    <col min="15875" max="15875" width="0.572727272727273" style="95" customWidth="1"/>
    <col min="15876" max="15876" width="9" style="95"/>
    <col min="15877" max="15877" width="15.4272727272727" style="95" customWidth="1"/>
    <col min="15878" max="16120" width="9" style="95"/>
    <col min="16121" max="16121" width="32.5727272727273" style="95" customWidth="1"/>
    <col min="16122" max="16122" width="13.1363636363636" style="95" customWidth="1"/>
    <col min="16123" max="16123" width="15.5727272727273" style="95" customWidth="1"/>
    <col min="16124" max="16124" width="5.85454545454545" style="95" customWidth="1"/>
    <col min="16125" max="16125" width="15.8545454545455" style="95" customWidth="1"/>
    <col min="16126" max="16126" width="14.5727272727273" style="95" customWidth="1"/>
    <col min="16127" max="16127" width="17.8545454545455" style="95" customWidth="1"/>
    <col min="16128" max="16128" width="18.1363636363636" style="95" customWidth="1"/>
    <col min="16129" max="16129" width="22.5727272727273" style="95" customWidth="1"/>
    <col min="16130" max="16130" width="21.1363636363636" style="95" customWidth="1"/>
    <col min="16131" max="16131" width="0.572727272727273" style="95" customWidth="1"/>
    <col min="16132" max="16132" width="9" style="95"/>
    <col min="16133" max="16133" width="15.4272727272727" style="95" customWidth="1"/>
    <col min="16134" max="16384" width="9" style="95"/>
  </cols>
  <sheetData>
    <row r="1" s="92" customFormat="1" ht="38.25" customHeight="1" spans="1:27">
      <c r="A1" s="96" t="s">
        <v>60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165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166</v>
      </c>
      <c r="B6" s="108"/>
      <c r="C6" s="109"/>
      <c r="D6" s="109"/>
      <c r="E6" s="109"/>
      <c r="F6" s="109"/>
      <c r="H6" s="110" t="s">
        <v>167</v>
      </c>
      <c r="I6" s="111" t="s">
        <v>168</v>
      </c>
    </row>
    <row r="7" ht="27.75" customHeight="1" spans="1:27">
      <c r="A7" s="112" t="s">
        <v>169</v>
      </c>
      <c r="B7" s="113"/>
      <c r="C7" s="113"/>
      <c r="D7" s="113"/>
      <c r="E7" s="113"/>
      <c r="F7" s="113"/>
      <c r="H7" s="114" t="s">
        <v>170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171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172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173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174</v>
      </c>
      <c r="B12" s="125"/>
      <c r="C12" s="127" t="s">
        <v>131</v>
      </c>
      <c r="D12" s="118" t="s">
        <v>175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24</v>
      </c>
      <c r="B14" s="129" t="s">
        <v>25</v>
      </c>
      <c r="C14" s="130" t="s">
        <v>26</v>
      </c>
      <c r="D14" s="130" t="s">
        <v>27</v>
      </c>
      <c r="E14" s="130" t="s">
        <v>28</v>
      </c>
      <c r="F14" s="130" t="s">
        <v>29</v>
      </c>
      <c r="G14" s="131" t="s">
        <v>30</v>
      </c>
      <c r="H14" s="130" t="s">
        <v>31</v>
      </c>
      <c r="I14" s="130" t="s">
        <v>32</v>
      </c>
      <c r="J14" s="132" t="s">
        <v>33</v>
      </c>
    </row>
    <row r="15" s="93" customFormat="1" ht="69.95" customHeight="1" spans="1:27">
      <c r="A15" s="133" t="s">
        <v>176</v>
      </c>
      <c r="B15" s="133" t="s">
        <v>177</v>
      </c>
      <c r="C15" s="134">
        <v>1051120</v>
      </c>
      <c r="D15" s="133" t="s">
        <v>36</v>
      </c>
      <c r="E15" s="604" t="s">
        <v>47</v>
      </c>
      <c r="F15" s="135" t="s">
        <v>43</v>
      </c>
      <c r="G15" s="135">
        <v>41</v>
      </c>
      <c r="H15" s="135" t="s">
        <v>39</v>
      </c>
      <c r="I15" s="136">
        <v>0.17</v>
      </c>
      <c r="J15" s="137">
        <v>6.97</v>
      </c>
    </row>
    <row r="16" ht="69.95" customHeight="1" spans="1:27">
      <c r="A16" s="133" t="s">
        <v>176</v>
      </c>
      <c r="B16" s="133" t="s">
        <v>177</v>
      </c>
      <c r="C16" s="134">
        <v>1051120</v>
      </c>
      <c r="D16" s="133" t="s">
        <v>36</v>
      </c>
      <c r="E16" s="604" t="s">
        <v>47</v>
      </c>
      <c r="F16" s="135" t="s">
        <v>44</v>
      </c>
      <c r="G16" s="135">
        <v>12</v>
      </c>
      <c r="H16" s="135" t="s">
        <v>39</v>
      </c>
      <c r="I16" s="136">
        <v>0.17</v>
      </c>
      <c r="J16" s="137">
        <v>2.04</v>
      </c>
    </row>
    <row r="17" s="93" customFormat="1" ht="69.95" customHeight="1" spans="1:10">
      <c r="A17" s="133" t="s">
        <v>176</v>
      </c>
      <c r="B17" s="133" t="s">
        <v>177</v>
      </c>
      <c r="C17" s="134">
        <v>1051120</v>
      </c>
      <c r="D17" s="133" t="s">
        <v>36</v>
      </c>
      <c r="E17" s="604" t="s">
        <v>151</v>
      </c>
      <c r="F17" s="135" t="s">
        <v>40</v>
      </c>
      <c r="G17" s="135">
        <v>123</v>
      </c>
      <c r="H17" s="135" t="s">
        <v>39</v>
      </c>
      <c r="I17" s="136">
        <v>0.17</v>
      </c>
      <c r="J17" s="137">
        <v>20.91</v>
      </c>
    </row>
    <row r="18" s="93" customFormat="1" ht="69.95" customHeight="1" spans="1:10">
      <c r="A18" s="133" t="s">
        <v>176</v>
      </c>
      <c r="B18" s="133" t="s">
        <v>177</v>
      </c>
      <c r="C18" s="134">
        <v>1051120</v>
      </c>
      <c r="D18" s="133" t="s">
        <v>36</v>
      </c>
      <c r="E18" s="604" t="s">
        <v>151</v>
      </c>
      <c r="F18" s="135" t="s">
        <v>45</v>
      </c>
      <c r="G18" s="135">
        <v>52</v>
      </c>
      <c r="H18" s="135" t="s">
        <v>39</v>
      </c>
      <c r="I18" s="136">
        <v>0.17</v>
      </c>
      <c r="J18" s="137">
        <v>8.84</v>
      </c>
    </row>
    <row r="19" ht="69.95" customHeight="1" spans="1:10">
      <c r="A19" s="133" t="s">
        <v>176</v>
      </c>
      <c r="B19" s="133" t="s">
        <v>177</v>
      </c>
      <c r="C19" s="134">
        <v>1051120</v>
      </c>
      <c r="D19" s="133" t="s">
        <v>36</v>
      </c>
      <c r="E19" s="604" t="s">
        <v>151</v>
      </c>
      <c r="F19" s="135" t="s">
        <v>46</v>
      </c>
      <c r="G19" s="135">
        <v>31</v>
      </c>
      <c r="H19" s="135" t="s">
        <v>39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53</v>
      </c>
      <c r="D20" s="141"/>
      <c r="E20" s="142"/>
      <c r="F20" s="142"/>
      <c r="G20" s="143">
        <f>SUM(G15:G19)</f>
        <v>259</v>
      </c>
      <c r="H20" s="143" t="s">
        <v>39</v>
      </c>
      <c r="I20" s="144" t="s">
        <v>54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178</v>
      </c>
      <c r="B23" s="125"/>
      <c r="C23" s="127" t="s">
        <v>131</v>
      </c>
      <c r="D23" s="118" t="s">
        <v>179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30</v>
      </c>
      <c r="B24" s="125"/>
      <c r="C24" s="127" t="s">
        <v>131</v>
      </c>
      <c r="D24" s="152">
        <f>G20</f>
        <v>259</v>
      </c>
      <c r="E24" s="152" t="s">
        <v>39</v>
      </c>
      <c r="F24" s="152"/>
      <c r="G24" s="153"/>
      <c r="H24" s="154"/>
      <c r="I24" s="125"/>
    </row>
    <row r="25" s="93" customFormat="1" ht="21.75" customHeight="1" spans="1:10">
      <c r="A25" s="124" t="s">
        <v>180</v>
      </c>
      <c r="B25" s="125"/>
      <c r="C25" s="127" t="s">
        <v>131</v>
      </c>
      <c r="D25" s="118" t="s">
        <v>181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182</v>
      </c>
      <c r="B26" s="125"/>
      <c r="C26" s="127" t="s">
        <v>131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183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184</v>
      </c>
      <c r="B28" s="158"/>
      <c r="C28" s="159" t="s">
        <v>131</v>
      </c>
      <c r="D28" s="160" t="s">
        <v>185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186</v>
      </c>
      <c r="B29" s="158"/>
      <c r="C29" s="159" t="s">
        <v>131</v>
      </c>
      <c r="D29" s="118" t="s">
        <v>187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188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140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141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189</v>
      </c>
      <c r="B33" s="121"/>
      <c r="C33" s="159"/>
      <c r="D33" s="160" t="s">
        <v>161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190</v>
      </c>
      <c r="B34" s="121"/>
      <c r="C34" s="159"/>
      <c r="D34" s="160" t="e">
        <f>DPL!#REF!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DPL!#REF!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DPL!#REF!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191</v>
      </c>
      <c r="B37" s="158"/>
      <c r="C37" s="159" t="s">
        <v>131</v>
      </c>
      <c r="D37" s="121" t="s">
        <v>192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193</v>
      </c>
      <c r="B38" s="158"/>
      <c r="C38" s="159" t="s">
        <v>131</v>
      </c>
      <c r="D38" s="121" t="s">
        <v>194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195</v>
      </c>
      <c r="B39" s="158"/>
      <c r="C39" s="159" t="s">
        <v>131</v>
      </c>
      <c r="D39" s="605" t="s">
        <v>196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197</v>
      </c>
      <c r="B40" s="158"/>
      <c r="C40" s="159" t="s">
        <v>131</v>
      </c>
      <c r="D40" s="165" t="s">
        <v>198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199</v>
      </c>
      <c r="B41" s="167"/>
      <c r="C41" s="159" t="s">
        <v>131</v>
      </c>
      <c r="D41" s="168">
        <f>DPL!C27</f>
        <v>46126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200</v>
      </c>
      <c r="B42" s="158"/>
      <c r="C42" s="159" t="s">
        <v>131</v>
      </c>
      <c r="D42" s="170" t="s">
        <v>201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202</v>
      </c>
      <c r="B43" s="158"/>
      <c r="C43" s="159" t="s">
        <v>131</v>
      </c>
      <c r="D43" s="170" t="s">
        <v>73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203</v>
      </c>
      <c r="B44" s="158"/>
      <c r="C44" s="159" t="s">
        <v>131</v>
      </c>
      <c r="D44" s="160" t="s">
        <v>204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205</v>
      </c>
      <c r="B45" s="158"/>
      <c r="C45" s="159" t="s">
        <v>131</v>
      </c>
      <c r="D45" s="160" t="s">
        <v>206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207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208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209</v>
      </c>
      <c r="B48" s="178"/>
      <c r="C48" s="179"/>
      <c r="D48" s="179"/>
      <c r="E48" s="160"/>
      <c r="F48" s="178" t="s">
        <v>209</v>
      </c>
      <c r="G48" s="178"/>
      <c r="H48" s="178"/>
      <c r="I48" s="178"/>
    </row>
    <row r="49" s="93" customFormat="1" ht="20.25" customHeight="1" spans="1:10">
      <c r="A49" s="180" t="s">
        <v>210</v>
      </c>
      <c r="B49" s="164"/>
      <c r="C49" s="163"/>
      <c r="D49" s="163"/>
      <c r="E49" s="160"/>
      <c r="F49" s="178" t="s">
        <v>211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5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5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5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5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5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5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topLeftCell="A49" workbookViewId="0">
      <selection activeCell="C71" sqref="C71"/>
    </sheetView>
  </sheetViews>
  <sheetFormatPr defaultColWidth="9" defaultRowHeight="18"/>
  <cols>
    <col min="1" max="1" width="5" style="6" customWidth="1"/>
    <col min="2" max="2" width="22.5727272727273" style="6" customWidth="1"/>
    <col min="3" max="3" width="16" style="6" customWidth="1"/>
    <col min="4" max="4" width="18.4272727272727" style="6" customWidth="1"/>
    <col min="5" max="5" width="6.13636363636364" style="6" customWidth="1"/>
    <col min="6" max="6" width="18.4272727272727" style="6" customWidth="1"/>
    <col min="7" max="7" width="11.4272727272727" style="7" customWidth="1"/>
    <col min="8" max="8" width="13.1363636363636" style="8" customWidth="1"/>
    <col min="9" max="9" width="12.4272727272727" style="9" customWidth="1"/>
    <col min="10" max="10" width="10.8545454545455" style="9" customWidth="1"/>
    <col min="11" max="13" width="9" style="10"/>
    <col min="14" max="16" width="9.28181818181818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212</v>
      </c>
      <c r="J1" s="15"/>
    </row>
    <row r="2" s="1" customFormat="1" ht="15.75" customHeight="1" spans="1:12">
      <c r="A2" s="11"/>
      <c r="B2" s="11"/>
      <c r="C2" s="16"/>
      <c r="D2" s="17" t="s">
        <v>213</v>
      </c>
      <c r="E2" s="17"/>
      <c r="F2" s="17"/>
      <c r="G2" s="17"/>
      <c r="H2" s="18"/>
      <c r="I2" s="19" t="s">
        <v>214</v>
      </c>
      <c r="J2" s="20"/>
    </row>
    <row r="3" s="1" customFormat="1" ht="31.5" customHeight="1" spans="1:12">
      <c r="A3" s="21" t="s">
        <v>215</v>
      </c>
      <c r="B3" s="21"/>
      <c r="C3" s="21"/>
      <c r="D3" s="17"/>
      <c r="E3" s="17"/>
      <c r="F3" s="17"/>
      <c r="G3" s="17"/>
      <c r="H3" s="18"/>
      <c r="I3" s="19" t="s">
        <v>216</v>
      </c>
      <c r="J3" s="20"/>
    </row>
    <row r="4" s="1" customFormat="1" ht="23.25" customHeight="1" spans="1:12">
      <c r="A4" s="22"/>
      <c r="B4" s="22"/>
      <c r="C4" s="23">
        <f ca="1">NOW()</f>
        <v>46126.4966435185</v>
      </c>
      <c r="D4" s="23"/>
      <c r="E4" s="23"/>
      <c r="F4" s="23"/>
      <c r="G4" s="23"/>
      <c r="H4" s="23"/>
      <c r="I4" s="24" t="s">
        <v>217</v>
      </c>
    </row>
    <row r="5" ht="24" customHeight="1" spans="1:12">
      <c r="A5" s="22"/>
      <c r="B5" s="22"/>
      <c r="C5" s="23" t="s">
        <v>218</v>
      </c>
      <c r="D5" s="23"/>
      <c r="E5" s="23"/>
      <c r="F5" s="23"/>
      <c r="G5" s="23"/>
      <c r="H5" s="23"/>
      <c r="I5" s="24" t="s">
        <v>219</v>
      </c>
      <c r="L5" s="2"/>
    </row>
    <row r="6" ht="31.5" customHeight="1" spans="1:12">
      <c r="A6" s="6" t="s">
        <v>220</v>
      </c>
      <c r="C6" s="25"/>
      <c r="D6" s="25"/>
      <c r="E6" s="25"/>
      <c r="H6" s="26" t="s">
        <v>221</v>
      </c>
      <c r="I6" s="27"/>
      <c r="J6" s="27"/>
      <c r="K6" s="28"/>
    </row>
    <row r="7" ht="31.5" customHeight="1" spans="1:12">
      <c r="A7" s="6" t="s">
        <v>222</v>
      </c>
      <c r="H7" s="29" t="s">
        <v>223</v>
      </c>
      <c r="I7" s="29"/>
      <c r="J7" s="25"/>
      <c r="K7" s="30"/>
    </row>
    <row r="8" ht="31.5" customHeight="1" spans="1:12">
      <c r="A8" s="6" t="s">
        <v>224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225</v>
      </c>
      <c r="C9" s="32" t="s">
        <v>226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227</v>
      </c>
      <c r="C10" s="10" t="s">
        <v>228</v>
      </c>
      <c r="D10" s="10"/>
      <c r="E10" s="10"/>
      <c r="J10" s="9" t="s">
        <v>229</v>
      </c>
    </row>
    <row r="11" ht="31.5" customHeight="1" spans="1:12">
      <c r="A11" s="6" t="s">
        <v>230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231</v>
      </c>
      <c r="B12" s="35" t="s">
        <v>24</v>
      </c>
      <c r="C12" s="35" t="s">
        <v>232</v>
      </c>
      <c r="D12" s="35" t="s">
        <v>233</v>
      </c>
      <c r="E12" s="36" t="s">
        <v>234</v>
      </c>
      <c r="F12" s="36"/>
      <c r="G12" s="35" t="s">
        <v>235</v>
      </c>
      <c r="H12" s="37" t="s">
        <v>236</v>
      </c>
      <c r="I12" s="38" t="s">
        <v>237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238</v>
      </c>
      <c r="I13" s="45"/>
      <c r="J13" s="46"/>
    </row>
    <row r="14" s="2" customFormat="1" ht="19.5" customHeight="1" spans="1:12">
      <c r="A14" s="47">
        <v>1</v>
      </c>
      <c r="B14" s="48" t="s">
        <v>239</v>
      </c>
      <c r="C14" s="49" t="s">
        <v>240</v>
      </c>
      <c r="D14" s="50" t="s">
        <v>241</v>
      </c>
      <c r="E14" s="51" t="s">
        <v>242</v>
      </c>
      <c r="F14" s="52"/>
      <c r="G14" s="53" t="s">
        <v>39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239</v>
      </c>
      <c r="C15" s="49" t="s">
        <v>243</v>
      </c>
      <c r="D15" s="50" t="s">
        <v>244</v>
      </c>
      <c r="E15" s="51" t="s">
        <v>242</v>
      </c>
      <c r="F15" s="52"/>
      <c r="G15" s="53" t="s">
        <v>39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239</v>
      </c>
      <c r="C16" s="49" t="s">
        <v>245</v>
      </c>
      <c r="D16" s="50" t="s">
        <v>246</v>
      </c>
      <c r="E16" s="51" t="s">
        <v>242</v>
      </c>
      <c r="F16" s="52"/>
      <c r="G16" s="53" t="s">
        <v>39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247</v>
      </c>
      <c r="C17" s="49" t="s">
        <v>248</v>
      </c>
      <c r="D17" s="50" t="s">
        <v>249</v>
      </c>
      <c r="E17" s="60" t="s">
        <v>41</v>
      </c>
      <c r="F17" s="60" t="s">
        <v>250</v>
      </c>
      <c r="G17" s="53" t="s">
        <v>39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247</v>
      </c>
      <c r="C18" s="49" t="s">
        <v>248</v>
      </c>
      <c r="D18" s="50" t="s">
        <v>249</v>
      </c>
      <c r="E18" s="60" t="s">
        <v>42</v>
      </c>
      <c r="F18" s="60" t="s">
        <v>250</v>
      </c>
      <c r="G18" s="53" t="s">
        <v>39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247</v>
      </c>
      <c r="C19" s="49" t="s">
        <v>248</v>
      </c>
      <c r="D19" s="50" t="s">
        <v>249</v>
      </c>
      <c r="E19" s="60" t="s">
        <v>117</v>
      </c>
      <c r="F19" s="60" t="s">
        <v>250</v>
      </c>
      <c r="G19" s="53" t="s">
        <v>39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247</v>
      </c>
      <c r="C20" s="49" t="s">
        <v>248</v>
      </c>
      <c r="D20" s="50" t="s">
        <v>249</v>
      </c>
      <c r="E20" s="60" t="s">
        <v>125</v>
      </c>
      <c r="F20" s="60" t="s">
        <v>250</v>
      </c>
      <c r="G20" s="53" t="s">
        <v>39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247</v>
      </c>
      <c r="C21" s="49" t="s">
        <v>251</v>
      </c>
      <c r="D21" s="50" t="s">
        <v>249</v>
      </c>
      <c r="E21" s="60" t="s">
        <v>41</v>
      </c>
      <c r="F21" s="60" t="s">
        <v>250</v>
      </c>
      <c r="G21" s="53" t="s">
        <v>39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247</v>
      </c>
      <c r="C22" s="49" t="s">
        <v>251</v>
      </c>
      <c r="D22" s="50" t="s">
        <v>249</v>
      </c>
      <c r="E22" s="60" t="s">
        <v>42</v>
      </c>
      <c r="F22" s="60" t="s">
        <v>250</v>
      </c>
      <c r="G22" s="53" t="s">
        <v>39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247</v>
      </c>
      <c r="C23" s="49" t="s">
        <v>251</v>
      </c>
      <c r="D23" s="50" t="s">
        <v>249</v>
      </c>
      <c r="E23" s="60" t="s">
        <v>117</v>
      </c>
      <c r="F23" s="60" t="s">
        <v>250</v>
      </c>
      <c r="G23" s="53" t="s">
        <v>39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247</v>
      </c>
      <c r="C24" s="49" t="s">
        <v>251</v>
      </c>
      <c r="D24" s="50" t="s">
        <v>249</v>
      </c>
      <c r="E24" s="60" t="s">
        <v>125</v>
      </c>
      <c r="F24" s="60" t="s">
        <v>250</v>
      </c>
      <c r="G24" s="53" t="s">
        <v>39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247</v>
      </c>
      <c r="C25" s="49" t="s">
        <v>252</v>
      </c>
      <c r="D25" s="50" t="s">
        <v>249</v>
      </c>
      <c r="E25" s="60" t="s">
        <v>41</v>
      </c>
      <c r="F25" s="60" t="s">
        <v>250</v>
      </c>
      <c r="G25" s="53" t="s">
        <v>39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247</v>
      </c>
      <c r="C26" s="49" t="s">
        <v>252</v>
      </c>
      <c r="D26" s="50" t="s">
        <v>249</v>
      </c>
      <c r="E26" s="60" t="s">
        <v>42</v>
      </c>
      <c r="F26" s="60" t="s">
        <v>250</v>
      </c>
      <c r="G26" s="53" t="s">
        <v>39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247</v>
      </c>
      <c r="C27" s="49" t="s">
        <v>252</v>
      </c>
      <c r="D27" s="50" t="s">
        <v>249</v>
      </c>
      <c r="E27" s="60" t="s">
        <v>117</v>
      </c>
      <c r="F27" s="60" t="s">
        <v>250</v>
      </c>
      <c r="G27" s="53" t="s">
        <v>39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247</v>
      </c>
      <c r="C28" s="49" t="s">
        <v>252</v>
      </c>
      <c r="D28" s="50" t="s">
        <v>249</v>
      </c>
      <c r="E28" s="60" t="s">
        <v>125</v>
      </c>
      <c r="F28" s="60" t="s">
        <v>250</v>
      </c>
      <c r="G28" s="53" t="s">
        <v>39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247</v>
      </c>
      <c r="C29" s="49" t="s">
        <v>253</v>
      </c>
      <c r="D29" s="50" t="s">
        <v>249</v>
      </c>
      <c r="E29" s="60" t="s">
        <v>41</v>
      </c>
      <c r="F29" s="60" t="s">
        <v>250</v>
      </c>
      <c r="G29" s="53" t="s">
        <v>39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247</v>
      </c>
      <c r="C30" s="49" t="s">
        <v>253</v>
      </c>
      <c r="D30" s="50" t="s">
        <v>249</v>
      </c>
      <c r="E30" s="60" t="s">
        <v>42</v>
      </c>
      <c r="F30" s="60" t="s">
        <v>250</v>
      </c>
      <c r="G30" s="53" t="s">
        <v>39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247</v>
      </c>
      <c r="C31" s="49" t="s">
        <v>253</v>
      </c>
      <c r="D31" s="50" t="s">
        <v>249</v>
      </c>
      <c r="E31" s="60" t="s">
        <v>117</v>
      </c>
      <c r="F31" s="60" t="s">
        <v>250</v>
      </c>
      <c r="G31" s="53" t="s">
        <v>39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247</v>
      </c>
      <c r="C32" s="49" t="s">
        <v>253</v>
      </c>
      <c r="D32" s="50" t="s">
        <v>249</v>
      </c>
      <c r="E32" s="60" t="s">
        <v>125</v>
      </c>
      <c r="F32" s="60" t="s">
        <v>250</v>
      </c>
      <c r="G32" s="53" t="s">
        <v>39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108</v>
      </c>
      <c r="C33" s="61">
        <v>1030</v>
      </c>
      <c r="D33" s="50" t="s">
        <v>113</v>
      </c>
      <c r="E33" s="60" t="s">
        <v>40</v>
      </c>
      <c r="F33" s="60" t="s">
        <v>112</v>
      </c>
      <c r="G33" s="53" t="s">
        <v>39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108</v>
      </c>
      <c r="C34" s="61">
        <v>1030</v>
      </c>
      <c r="D34" s="50" t="s">
        <v>113</v>
      </c>
      <c r="E34" s="60" t="s">
        <v>41</v>
      </c>
      <c r="F34" s="60" t="s">
        <v>115</v>
      </c>
      <c r="G34" s="53" t="s">
        <v>39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108</v>
      </c>
      <c r="C35" s="61">
        <v>1030</v>
      </c>
      <c r="D35" s="50" t="s">
        <v>113</v>
      </c>
      <c r="E35" s="60" t="s">
        <v>42</v>
      </c>
      <c r="F35" s="60" t="s">
        <v>116</v>
      </c>
      <c r="G35" s="53" t="s">
        <v>39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108</v>
      </c>
      <c r="C36" s="61">
        <v>1030</v>
      </c>
      <c r="D36" s="50" t="s">
        <v>113</v>
      </c>
      <c r="E36" s="60" t="s">
        <v>117</v>
      </c>
      <c r="F36" s="60" t="s">
        <v>118</v>
      </c>
      <c r="G36" s="53" t="s">
        <v>39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119</v>
      </c>
      <c r="C37" s="61">
        <v>1030</v>
      </c>
      <c r="D37" s="50" t="s">
        <v>113</v>
      </c>
      <c r="E37" s="60" t="s">
        <v>41</v>
      </c>
      <c r="F37" s="60" t="s">
        <v>122</v>
      </c>
      <c r="G37" s="53" t="s">
        <v>39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119</v>
      </c>
      <c r="C38" s="61">
        <v>1030</v>
      </c>
      <c r="D38" s="50" t="s">
        <v>113</v>
      </c>
      <c r="E38" s="60" t="s">
        <v>42</v>
      </c>
      <c r="F38" s="60" t="s">
        <v>123</v>
      </c>
      <c r="G38" s="53" t="s">
        <v>39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119</v>
      </c>
      <c r="C39" s="61">
        <v>1030</v>
      </c>
      <c r="D39" s="50" t="s">
        <v>113</v>
      </c>
      <c r="E39" s="60" t="s">
        <v>117</v>
      </c>
      <c r="F39" s="60" t="s">
        <v>124</v>
      </c>
      <c r="G39" s="53" t="s">
        <v>39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119</v>
      </c>
      <c r="C40" s="61">
        <v>1030</v>
      </c>
      <c r="D40" s="50" t="s">
        <v>113</v>
      </c>
      <c r="E40" s="60" t="s">
        <v>125</v>
      </c>
      <c r="F40" s="60" t="s">
        <v>126</v>
      </c>
      <c r="G40" s="53" t="s">
        <v>39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108</v>
      </c>
      <c r="C41" s="61">
        <v>1120</v>
      </c>
      <c r="D41" s="50" t="s">
        <v>113</v>
      </c>
      <c r="E41" s="60" t="s">
        <v>40</v>
      </c>
      <c r="F41" s="60" t="s">
        <v>112</v>
      </c>
      <c r="G41" s="53" t="s">
        <v>39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108</v>
      </c>
      <c r="C42" s="61">
        <v>1120</v>
      </c>
      <c r="D42" s="50" t="s">
        <v>113</v>
      </c>
      <c r="E42" s="60" t="s">
        <v>41</v>
      </c>
      <c r="F42" s="60" t="s">
        <v>115</v>
      </c>
      <c r="G42" s="53" t="s">
        <v>39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108</v>
      </c>
      <c r="C43" s="61">
        <v>1120</v>
      </c>
      <c r="D43" s="50" t="s">
        <v>113</v>
      </c>
      <c r="E43" s="60" t="s">
        <v>42</v>
      </c>
      <c r="F43" s="60" t="s">
        <v>116</v>
      </c>
      <c r="G43" s="53" t="s">
        <v>39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108</v>
      </c>
      <c r="C44" s="61">
        <v>1120</v>
      </c>
      <c r="D44" s="50" t="s">
        <v>113</v>
      </c>
      <c r="E44" s="60" t="s">
        <v>117</v>
      </c>
      <c r="F44" s="60" t="s">
        <v>118</v>
      </c>
      <c r="G44" s="53" t="s">
        <v>39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119</v>
      </c>
      <c r="C45" s="61">
        <v>1120</v>
      </c>
      <c r="D45" s="50" t="s">
        <v>113</v>
      </c>
      <c r="E45" s="60" t="s">
        <v>41</v>
      </c>
      <c r="F45" s="60" t="s">
        <v>122</v>
      </c>
      <c r="G45" s="53" t="s">
        <v>39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119</v>
      </c>
      <c r="C46" s="61">
        <v>1120</v>
      </c>
      <c r="D46" s="50" t="s">
        <v>113</v>
      </c>
      <c r="E46" s="60" t="s">
        <v>42</v>
      </c>
      <c r="F46" s="60" t="s">
        <v>123</v>
      </c>
      <c r="G46" s="53" t="s">
        <v>39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119</v>
      </c>
      <c r="C47" s="61">
        <v>1120</v>
      </c>
      <c r="D47" s="50" t="s">
        <v>113</v>
      </c>
      <c r="E47" s="60" t="s">
        <v>117</v>
      </c>
      <c r="F47" s="60" t="s">
        <v>124</v>
      </c>
      <c r="G47" s="53" t="s">
        <v>39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119</v>
      </c>
      <c r="C48" s="61">
        <v>1120</v>
      </c>
      <c r="D48" s="50" t="s">
        <v>113</v>
      </c>
      <c r="E48" s="60" t="s">
        <v>125</v>
      </c>
      <c r="F48" s="60" t="s">
        <v>126</v>
      </c>
      <c r="G48" s="53" t="s">
        <v>39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119</v>
      </c>
      <c r="C49" s="61">
        <v>1120</v>
      </c>
      <c r="D49" s="50" t="s">
        <v>249</v>
      </c>
      <c r="E49" s="60" t="s">
        <v>42</v>
      </c>
      <c r="F49" s="60" t="s">
        <v>123</v>
      </c>
      <c r="G49" s="53" t="s">
        <v>39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119</v>
      </c>
      <c r="C50" s="61">
        <v>1120</v>
      </c>
      <c r="D50" s="50" t="s">
        <v>249</v>
      </c>
      <c r="E50" s="60" t="s">
        <v>117</v>
      </c>
      <c r="F50" s="60" t="s">
        <v>124</v>
      </c>
      <c r="G50" s="53" t="s">
        <v>39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119</v>
      </c>
      <c r="C51" s="61">
        <v>1120</v>
      </c>
      <c r="D51" s="50" t="s">
        <v>249</v>
      </c>
      <c r="E51" s="60" t="s">
        <v>125</v>
      </c>
      <c r="F51" s="60" t="s">
        <v>126</v>
      </c>
      <c r="G51" s="53" t="s">
        <v>39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108</v>
      </c>
      <c r="C52" s="61">
        <v>1120</v>
      </c>
      <c r="D52" s="50" t="s">
        <v>249</v>
      </c>
      <c r="E52" s="60" t="s">
        <v>40</v>
      </c>
      <c r="F52" s="60" t="s">
        <v>112</v>
      </c>
      <c r="G52" s="53" t="s">
        <v>39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108</v>
      </c>
      <c r="C53" s="61">
        <v>1120</v>
      </c>
      <c r="D53" s="50" t="s">
        <v>249</v>
      </c>
      <c r="E53" s="60" t="s">
        <v>117</v>
      </c>
      <c r="F53" s="60" t="s">
        <v>118</v>
      </c>
      <c r="G53" s="53" t="s">
        <v>39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254</v>
      </c>
      <c r="C54" s="61" t="s">
        <v>245</v>
      </c>
      <c r="D54" s="62" t="s">
        <v>255</v>
      </c>
      <c r="E54" s="63" t="s">
        <v>256</v>
      </c>
      <c r="F54" s="64"/>
      <c r="G54" s="53" t="s">
        <v>39</v>
      </c>
      <c r="H54" s="54">
        <v>1917</v>
      </c>
      <c r="I54" s="57" t="s">
        <v>257</v>
      </c>
      <c r="J54" s="58"/>
    </row>
    <row r="55" s="2" customFormat="1" ht="31.5" customHeight="1" spans="1:17">
      <c r="A55" s="47">
        <v>42</v>
      </c>
      <c r="B55" s="59" t="s">
        <v>254</v>
      </c>
      <c r="C55" s="61" t="s">
        <v>258</v>
      </c>
      <c r="D55" s="62" t="s">
        <v>259</v>
      </c>
      <c r="E55" s="63" t="s">
        <v>256</v>
      </c>
      <c r="F55" s="64"/>
      <c r="G55" s="53" t="s">
        <v>39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254</v>
      </c>
      <c r="C56" s="49" t="s">
        <v>243</v>
      </c>
      <c r="D56" s="62" t="s">
        <v>259</v>
      </c>
      <c r="E56" s="63" t="s">
        <v>256</v>
      </c>
      <c r="F56" s="64"/>
      <c r="G56" s="53" t="s">
        <v>39</v>
      </c>
      <c r="H56" s="54">
        <v>1658</v>
      </c>
      <c r="I56" s="57" t="s">
        <v>260</v>
      </c>
      <c r="J56" s="58"/>
    </row>
    <row r="57" s="2" customFormat="1" ht="33" customHeight="1" spans="1:17">
      <c r="A57" s="47">
        <v>44</v>
      </c>
      <c r="B57" s="59" t="s">
        <v>254</v>
      </c>
      <c r="C57" s="49" t="s">
        <v>261</v>
      </c>
      <c r="D57" s="62" t="s">
        <v>255</v>
      </c>
      <c r="E57" s="63" t="s">
        <v>256</v>
      </c>
      <c r="F57" s="64"/>
      <c r="G57" s="53" t="s">
        <v>39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254</v>
      </c>
      <c r="C58" s="49" t="s">
        <v>261</v>
      </c>
      <c r="D58" s="62" t="s">
        <v>262</v>
      </c>
      <c r="E58" s="51" t="s">
        <v>263</v>
      </c>
      <c r="F58" s="52"/>
      <c r="G58" s="53" t="s">
        <v>39</v>
      </c>
      <c r="H58" s="54">
        <v>1907</v>
      </c>
      <c r="I58" s="57" t="s">
        <v>264</v>
      </c>
      <c r="J58" s="58"/>
    </row>
    <row r="59" ht="18.75" spans="1:17">
      <c r="A59" s="65" t="s">
        <v>265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266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5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5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5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5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5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267</v>
      </c>
    </row>
    <row r="66" s="4" customFormat="1" ht="17.5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268</v>
      </c>
      <c r="B67" s="77"/>
      <c r="C67" s="77" t="s">
        <v>269</v>
      </c>
      <c r="D67" s="77"/>
      <c r="E67" s="77"/>
      <c r="F67" s="78" t="s">
        <v>270</v>
      </c>
      <c r="G67" s="78"/>
      <c r="H67" s="78"/>
      <c r="I67" s="79"/>
      <c r="J67" s="80" t="s">
        <v>271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272</v>
      </c>
      <c r="D70" s="86"/>
      <c r="E70" s="86"/>
      <c r="F70" s="86" t="s">
        <v>273</v>
      </c>
      <c r="G70" s="86"/>
      <c r="H70" s="86"/>
      <c r="I70" s="87">
        <f ca="1">NOW()</f>
        <v>46126.4966435185</v>
      </c>
      <c r="J70" s="87"/>
    </row>
    <row r="71" spans="1:20">
      <c r="C71" s="88"/>
      <c r="D71" s="88"/>
      <c r="E71" s="88"/>
      <c r="I71" s="25" t="s">
        <v>274</v>
      </c>
      <c r="J71" s="25"/>
    </row>
    <row r="72" spans="1:20">
      <c r="A72" s="89"/>
    </row>
    <row r="74" spans="1:20">
      <c r="A74" s="90" t="s">
        <v>275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229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D2:G3"/>
    <mergeCell ref="E12:F13"/>
    <mergeCell ref="I12:J1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</vt:lpstr>
      <vt:lpstr>DPL</vt:lpstr>
      <vt:lpstr>PL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Flower Dance •﹏•</cp:lastModifiedBy>
  <dcterms:created xsi:type="dcterms:W3CDTF">2025-02-05T09:50:00Z</dcterms:created>
  <cp:lastPrinted>2025-12-31T02:29:00Z</cp:lastPrinted>
  <dcterms:modified xsi:type="dcterms:W3CDTF">2026-04-14T03:55:26Z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