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8.05.2026\MOBIL 1\"/>
    </mc:Choice>
  </mc:AlternateContent>
  <xr:revisionPtr revIDLastSave="0" documentId="13_ncr:1_{45FDCBD4-3884-4439-A605-69B2399C994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88" sheetId="134" r:id="rId3"/>
    <sheet name="89" sheetId="135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'88'!$B$1:$I$58</definedName>
    <definedName name="_xlnm.Print_Area" localSheetId="3">'89'!$B$1:$I$58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35" l="1"/>
  <c r="I35" i="135"/>
  <c r="F35" i="134" l="1"/>
  <c r="F35" i="135"/>
  <c r="I33" i="135"/>
  <c r="I33" i="134"/>
  <c r="I32" i="134" l="1"/>
  <c r="I35" i="134" s="1"/>
  <c r="B27" i="135" l="1"/>
  <c r="B27" i="134"/>
  <c r="E21" i="135" l="1"/>
  <c r="E21" i="134"/>
  <c r="C21" i="134"/>
  <c r="C21" i="135"/>
  <c r="H53" i="134"/>
  <c r="H53" i="135"/>
  <c r="I32" i="135" l="1"/>
  <c r="I37" i="135" s="1"/>
  <c r="I39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4" l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5" l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<sst xmlns="http://schemas.openxmlformats.org/spreadsheetml/2006/main" count="335" uniqueCount="195">
  <si>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</si>
  <si>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</si>
  <si>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</si>
  <si>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</si>
  <si>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</si>
  <si>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</si>
  <si>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</si>
  <si>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</si>
  <si>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</si>
  <si>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</si>
  <si>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</si>
  <si>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</si>
  <si>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</si>
  <si>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</si>
  <si>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</si>
  <si>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</si>
  <si>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</si>
  <si>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</si>
  <si>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</si>
  <si>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</si>
  <si>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</si>
  <si>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</si>
  <si>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</si>
  <si>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</si>
  <si>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</si>
  <si>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</si>
  <si>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</si>
  <si>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</si>
  <si>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</si>
  <si>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</si>
  <si>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</si>
  <si>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</si>
  <si>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</si>
  <si>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</si>
  <si>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</si>
  <si>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</si>
  <si>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</si>
  <si>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</si>
  <si>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</si>
  <si>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</si>
  <si>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</si>
  <si>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</si>
  <si>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</si>
  <si>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</si>
  <si>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</si>
  <si>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</si>
  <si>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</si>
  <si>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</si>
  <si>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</si>
  <si>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</si>
  <si>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</si>
  <si>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</si>
  <si>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</si>
  <si>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</si>
  <si>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</si>
  <si>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</si>
  <si>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</si>
  <si>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</si>
  <si>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</si>
  <si>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</si>
  <si>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</si>
  <si>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</si>
  <si>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</si>
  <si>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</si>
  <si>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</si>
  <si>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</si>
  <si>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</si>
  <si>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</si>
  <si>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</si>
  <si>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</si>
  <si>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</si>
  <si>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</si>
  <si>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</si>
  <si>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</si>
  <si>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</si>
  <si>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</si>
  <si>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</si>
  <si>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</si>
  <si>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</si>
  <si>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</si>
  <si>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</si>
  <si>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</si>
  <si>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</si>
  <si>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</si>
  <si>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</si>
  <si>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</si>
  <si>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</si>
  <si>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</si>
  <si>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</si>
  <si>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</si>
  <si>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</si>
  <si>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</si>
  <si>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</si>
  <si>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</si>
  <si>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</si>
  <si>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</si>
  <si>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</si>
  <si>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</si>
  <si>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</si>
  <si>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</si>
  <si>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</si>
  <si>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</si>
  <si>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</si>
  <si>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</si>
  <si>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</si>
  <si>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</si>
  <si>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</si>
  <si>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</si>
  <si>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</si>
  <si>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</si>
  <si>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</si>
  <si>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</si>
  <si>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</si>
  <si>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</si>
  <si>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</si>
  <si>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</si>
  <si>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</si>
  <si>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</si>
  <si>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</si>
  <si>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</si>
  <si>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</si>
  <si>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</si>
  <si>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</si>
  <si>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</si>
  <si>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</si>
  <si>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</si>
  <si>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</si>
  <si>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</si>
  <si>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</si>
  <si>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</si>
  <si>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</si>
  <si>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</si>
  <si>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</si>
  <si>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</si>
  <si>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</si>
  <si>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</si>
  <si>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</si>
  <si>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</si>
  <si>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</si>
  <si>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</si>
  <si>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</si>
  <si>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</si>
  <si>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</si>
  <si>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</si>
  <si>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</si>
  <si>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</si>
  <si>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</si>
  <si>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</si>
  <si>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</si>
  <si>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</si>
  <si>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</si>
  <si>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</si>
  <si>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</si>
  <si>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</si>
  <si>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</si>
  <si>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</si>
  <si>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</si>
  <si>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</si>
  <si>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</si>
  <si>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</si>
  <si>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</si>
  <si>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</si>
  <si>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</si>
  <si>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</si>
  <si>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</si>
  <si>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</si>
  <si>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</si>
  <si>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</si>
  <si>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</si>
  <si>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</si>
  <si>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</si>
  <si>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</si>
  <si>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</si>
  <si>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</si>
  <si>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</si>
  <si>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</si>
  <si>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</si>
  <si>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02</t>
  </si>
  <si>
    <t>ONLINE</t>
  </si>
  <si>
    <t>RETAIL</t>
  </si>
  <si>
    <t>265K0030</t>
  </si>
  <si>
    <t>265K0028</t>
  </si>
  <si>
    <t>265K0059</t>
  </si>
  <si>
    <t xml:space="preserve"> 265K0075 </t>
  </si>
  <si>
    <t>265K0032</t>
  </si>
  <si>
    <t>FRANCHISE</t>
  </si>
  <si>
    <t>265K0040</t>
  </si>
  <si>
    <t>265K0041</t>
  </si>
  <si>
    <t>BRIGHT WHITE</t>
  </si>
  <si>
    <t>04</t>
  </si>
  <si>
    <t>INK BLUE</t>
  </si>
  <si>
    <t>BOYS COTTON FIBERS, KNIT SHIRT, WITH NECK CLOSURE, STITCH COUNT EQUAL OR IS GREATER THAN 10/1CM, HEM BOTTOM [60% COTTON 40% POLYESTER]</t>
  </si>
  <si>
    <t>FAUX HEATHER GREY, INK BLUE, RED TAPE</t>
  </si>
  <si>
    <t>00, 02, 01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</si>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</sst>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K10" sqref="K10"/>
    </sheetView>
  </sheetViews>
  <sheetFormatPr defaultRowHeight="12.75" x14ac:dyDescent="0.2"/>
  <sheetData>
    <row r="2" spans="2:9" ht="15" x14ac:dyDescent="0.25">
      <c r="B2" s="58">
        <v>1</v>
      </c>
      <c r="C2" t="s">
        <v>182</v>
      </c>
      <c r="E2" s="58">
        <v>1</v>
      </c>
      <c r="F2">
        <v>906033</v>
      </c>
      <c r="H2" s="58">
        <v>1</v>
      </c>
      <c r="I2" s="59" t="s">
        <v>185</v>
      </c>
    </row>
    <row r="3" spans="2:9" ht="15" x14ac:dyDescent="0.25">
      <c r="B3" s="58">
        <v>2</v>
      </c>
      <c r="C3" t="s">
        <v>183</v>
      </c>
      <c r="E3" s="58">
        <v>2</v>
      </c>
      <c r="F3">
        <v>692926</v>
      </c>
      <c r="H3" s="58">
        <v>2</v>
      </c>
      <c r="I3" s="59" t="s">
        <v>185</v>
      </c>
    </row>
    <row r="4" spans="2:9" ht="15" x14ac:dyDescent="0.25">
      <c r="B4" s="58">
        <v>3</v>
      </c>
      <c r="C4" t="s">
        <v>186</v>
      </c>
      <c r="E4" s="58">
        <v>3</v>
      </c>
      <c r="F4">
        <v>416363</v>
      </c>
      <c r="H4" s="58">
        <v>3</v>
      </c>
      <c r="I4" s="59" t="s">
        <v>179</v>
      </c>
    </row>
    <row r="5" spans="2:9" ht="15" x14ac:dyDescent="0.25">
      <c r="B5" s="58">
        <v>4</v>
      </c>
      <c r="C5" t="s">
        <v>186</v>
      </c>
      <c r="E5" s="58">
        <v>4</v>
      </c>
      <c r="F5">
        <v>416363</v>
      </c>
      <c r="H5" s="58">
        <v>4</v>
      </c>
      <c r="I5" s="59" t="s">
        <v>178</v>
      </c>
    </row>
    <row r="6" spans="2:9" ht="15" x14ac:dyDescent="0.25">
      <c r="B6" s="58">
        <v>5</v>
      </c>
      <c r="C6" t="s">
        <v>187</v>
      </c>
      <c r="E6" s="58">
        <v>5</v>
      </c>
      <c r="F6">
        <v>767468</v>
      </c>
      <c r="H6" s="58">
        <v>5</v>
      </c>
      <c r="I6" s="59" t="s">
        <v>178</v>
      </c>
    </row>
    <row r="7" spans="2:9" ht="15" x14ac:dyDescent="0.25">
      <c r="B7" s="58">
        <v>6</v>
      </c>
      <c r="C7" t="s">
        <v>184</v>
      </c>
      <c r="E7" s="58">
        <v>6</v>
      </c>
      <c r="F7">
        <v>893947</v>
      </c>
      <c r="H7" s="58">
        <v>6</v>
      </c>
      <c r="I7" s="59" t="s">
        <v>179</v>
      </c>
    </row>
    <row r="8" spans="2:9" ht="15" x14ac:dyDescent="0.25">
      <c r="B8" s="58">
        <v>7</v>
      </c>
      <c r="C8" t="s">
        <v>180</v>
      </c>
      <c r="E8" s="58">
        <v>7</v>
      </c>
      <c r="F8">
        <v>893957</v>
      </c>
      <c r="H8" s="58">
        <v>7</v>
      </c>
      <c r="I8" s="59" t="s">
        <v>179</v>
      </c>
    </row>
    <row r="9" spans="2:9" ht="15" x14ac:dyDescent="0.25">
      <c r="B9" s="58">
        <v>8</v>
      </c>
      <c r="C9" t="s">
        <v>181</v>
      </c>
      <c r="E9" s="58">
        <v>8</v>
      </c>
      <c r="F9">
        <v>896206</v>
      </c>
      <c r="H9" s="58">
        <v>8</v>
      </c>
      <c r="I9" s="59" t="s">
        <v>179</v>
      </c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194</v>
      </c>
      <c r="C2" s="75"/>
      <c r="D2" s="75"/>
      <c r="E2" s="75"/>
      <c r="F2" s="75"/>
      <c r="G2" s="75"/>
      <c r="H2" s="75"/>
      <c r="I2" s="76"/>
      <c r="J2" s="43">
        <v>61403278</v>
      </c>
      <c r="K2" s="50">
        <v>35140</v>
      </c>
      <c r="L2" s="44">
        <v>335</v>
      </c>
      <c r="M2" s="61">
        <v>4022.43</v>
      </c>
      <c r="N2" s="61">
        <v>4092.71</v>
      </c>
      <c r="O2" s="61">
        <v>4419.46</v>
      </c>
      <c r="P2" s="44" t="s">
        <v>54</v>
      </c>
      <c r="Q2" s="44">
        <v>21.555</v>
      </c>
      <c r="R2" s="44" t="s">
        <v>62</v>
      </c>
    </row>
    <row r="3" spans="2:22" x14ac:dyDescent="0.2">
      <c r="B3" s="6" t="s">
        <v>53</v>
      </c>
      <c r="C3" s="62">
        <v>88</v>
      </c>
      <c r="D3" s="5"/>
      <c r="E3" s="5"/>
      <c r="F3" s="5"/>
      <c r="G3" s="5" t="s">
        <v>52</v>
      </c>
      <c r="H3" s="31"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61403278</v>
      </c>
      <c r="C21" s="54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9" t="str">
        <f>IF(LEFT(G17,2)="CA","CA",IF(LEFT(G17,2)="UN","US",IF(LEFT(G17,2)="PA","PA",IF(LEFT(G17,2)="JA","JP"))))</f>
        <v>US</v>
      </c>
      <c r="I21" s="55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4419.46</v>
      </c>
      <c r="G23" s="23">
        <f>+N2</f>
        <v>4092.71</v>
      </c>
      <c r="H23" s="23">
        <f>+M2</f>
        <v>4022.43</v>
      </c>
      <c r="I23" s="55">
        <f>+L2</f>
        <v>335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70"/>
      <c r="D26" s="70"/>
      <c r="E26" s="70"/>
      <c r="F26" s="70"/>
      <c r="G26" s="70"/>
      <c r="H26" s="70"/>
      <c r="I26" s="64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 x14ac:dyDescent="0.2">
      <c r="B32" s="41" t="s">
        <v>189</v>
      </c>
      <c r="C32" s="19" t="s">
        <v>188</v>
      </c>
      <c r="D32" s="67"/>
      <c r="E32" s="68"/>
      <c r="F32" s="67">
        <v>16440</v>
      </c>
      <c r="G32" s="68"/>
      <c r="H32" s="17">
        <v>0.9</v>
      </c>
      <c r="I32" s="18">
        <f>+H32*F32</f>
        <v>14796</v>
      </c>
      <c r="K32" s="48"/>
      <c r="M32" s="39"/>
    </row>
    <row r="33" spans="2:13" ht="27.75" customHeight="1" x14ac:dyDescent="0.2">
      <c r="B33" s="41" t="s">
        <v>177</v>
      </c>
      <c r="C33" s="19" t="s">
        <v>190</v>
      </c>
      <c r="D33" s="67"/>
      <c r="E33" s="68"/>
      <c r="F33" s="67">
        <v>18700</v>
      </c>
      <c r="G33" s="68"/>
      <c r="H33" s="17">
        <v>0.9</v>
      </c>
      <c r="I33" s="18">
        <f>+H33*F33</f>
        <v>16830</v>
      </c>
      <c r="K33" s="48"/>
      <c r="M33" s="39"/>
    </row>
    <row r="34" spans="2:13" ht="21" customHeight="1" x14ac:dyDescent="0.2">
      <c r="B34" s="15" t="s">
        <v>15</v>
      </c>
      <c r="C34" s="15"/>
      <c r="D34" s="63"/>
      <c r="E34" s="64"/>
      <c r="F34" s="63"/>
      <c r="G34" s="64"/>
      <c r="H34" s="17"/>
      <c r="I34" s="55"/>
    </row>
    <row r="35" spans="2:13" ht="21.75" customHeight="1" x14ac:dyDescent="0.2">
      <c r="B35" s="15" t="s">
        <v>14</v>
      </c>
      <c r="C35" s="15"/>
      <c r="D35" s="65"/>
      <c r="E35" s="66"/>
      <c r="F35" s="67">
        <f>SUM(F32:G34)</f>
        <v>35140</v>
      </c>
      <c r="G35" s="68"/>
      <c r="H35" s="15"/>
      <c r="I35" s="14">
        <f>SUM(I32:I34)</f>
        <v>31626</v>
      </c>
      <c r="J35" s="40"/>
      <c r="K35" s="40"/>
    </row>
    <row r="36" spans="2:13" ht="21.75" customHeight="1" x14ac:dyDescent="0.2">
      <c r="B36" s="16" t="s">
        <v>13</v>
      </c>
      <c r="C36" s="15"/>
      <c r="D36" s="63"/>
      <c r="E36" s="64"/>
      <c r="F36" s="63"/>
      <c r="G36" s="6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63"/>
      <c r="E37" s="64"/>
      <c r="F37" s="63"/>
      <c r="G37" s="64"/>
      <c r="H37" s="15"/>
      <c r="I37" s="14">
        <f>+I35</f>
        <v>31626</v>
      </c>
    </row>
    <row r="38" spans="2:13" ht="20.25" customHeight="1" x14ac:dyDescent="0.2">
      <c r="B38" s="15" t="s">
        <v>80</v>
      </c>
      <c r="C38" s="63" t="s">
        <v>11</v>
      </c>
      <c r="D38" s="70"/>
      <c r="E38" s="70"/>
      <c r="F38" s="70"/>
      <c r="G38" s="70"/>
      <c r="H38" s="6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31626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1" t="s">
        <v>7</v>
      </c>
      <c r="C47" s="71"/>
      <c r="D47" s="71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2" t="s">
        <v>1</v>
      </c>
      <c r="D56" s="72"/>
      <c r="E56" s="5"/>
      <c r="F56" s="5"/>
      <c r="G56" s="5"/>
      <c r="H56" s="5"/>
      <c r="I56" s="4"/>
    </row>
    <row r="57" spans="2:11" x14ac:dyDescent="0.2">
      <c r="B57" s="6"/>
      <c r="C57" s="73" t="s">
        <v>0</v>
      </c>
      <c r="D57" s="73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194</v>
      </c>
      <c r="C2" s="75"/>
      <c r="D2" s="75"/>
      <c r="E2" s="75"/>
      <c r="F2" s="75"/>
      <c r="G2" s="75"/>
      <c r="H2" s="75"/>
      <c r="I2" s="76"/>
      <c r="J2" s="43">
        <v>61378128</v>
      </c>
      <c r="K2" s="50">
        <v>21072</v>
      </c>
      <c r="L2" s="44">
        <v>229</v>
      </c>
      <c r="M2" s="61">
        <v>2553.8409999999999</v>
      </c>
      <c r="N2" s="61">
        <v>2595.9850000000001</v>
      </c>
      <c r="O2" s="61">
        <v>2813.3850000000002</v>
      </c>
      <c r="P2" s="44" t="s">
        <v>54</v>
      </c>
      <c r="Q2" s="44">
        <v>13.52</v>
      </c>
      <c r="R2" s="44" t="s">
        <v>62</v>
      </c>
    </row>
    <row r="3" spans="2:22" x14ac:dyDescent="0.2">
      <c r="B3" s="6" t="s">
        <v>53</v>
      </c>
      <c r="C3" s="62">
        <f>+'88'!C3+1</f>
        <v>89</v>
      </c>
      <c r="D3" s="5"/>
      <c r="E3" s="5"/>
      <c r="F3" s="5"/>
      <c r="G3" s="5" t="s">
        <v>52</v>
      </c>
      <c r="H3" s="31">
        <f>+'88'!H3</f>
        <v>46149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6">
        <f>J2</f>
        <v>61378128</v>
      </c>
      <c r="C21" s="57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6" t="s">
        <v>35</v>
      </c>
      <c r="G21" s="56"/>
      <c r="H21" s="49" t="str">
        <f>IF(LEFT(G17,2)="CA","CA",IF(LEFT(G17,2)="UN","US",IF(LEFT(G17,2)="PA","PA",IF(LEFT(G17,2)="JA","JP"))))</f>
        <v>US</v>
      </c>
      <c r="I21" s="56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6" t="s">
        <v>25</v>
      </c>
      <c r="C23" s="56"/>
      <c r="D23" s="56" t="s">
        <v>24</v>
      </c>
      <c r="E23" s="56" t="str">
        <f>+D23</f>
        <v>JAKARTA,ID</v>
      </c>
      <c r="F23" s="23">
        <f>+O2</f>
        <v>2813.3850000000002</v>
      </c>
      <c r="G23" s="23">
        <f>+N2</f>
        <v>2595.9850000000001</v>
      </c>
      <c r="H23" s="23">
        <f>+M2</f>
        <v>2553.8409999999999</v>
      </c>
      <c r="I23" s="56">
        <f>+L2</f>
        <v>229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70"/>
      <c r="D26" s="70"/>
      <c r="E26" s="70"/>
      <c r="F26" s="70"/>
      <c r="G26" s="70"/>
      <c r="H26" s="70"/>
      <c r="I26" s="64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6" t="s">
        <v>21</v>
      </c>
      <c r="C31" s="56" t="s">
        <v>20</v>
      </c>
      <c r="D31" s="80" t="s">
        <v>19</v>
      </c>
      <c r="E31" s="80"/>
      <c r="F31" s="80" t="s">
        <v>18</v>
      </c>
      <c r="G31" s="80"/>
      <c r="H31" s="56" t="s">
        <v>17</v>
      </c>
      <c r="I31" s="19" t="s">
        <v>16</v>
      </c>
      <c r="M31"/>
    </row>
    <row r="32" spans="2:13" ht="27" customHeight="1" x14ac:dyDescent="0.2">
      <c r="B32" s="41" t="s">
        <v>189</v>
      </c>
      <c r="C32" s="19" t="s">
        <v>188</v>
      </c>
      <c r="D32" s="67"/>
      <c r="E32" s="68"/>
      <c r="F32" s="67">
        <v>4873</v>
      </c>
      <c r="G32" s="68"/>
      <c r="H32" s="17">
        <v>0.9</v>
      </c>
      <c r="I32" s="18">
        <f>+H32*F32</f>
        <v>4385.7</v>
      </c>
      <c r="K32" s="48"/>
      <c r="M32" s="39"/>
    </row>
    <row r="33" spans="2:13" ht="25.5" x14ac:dyDescent="0.2">
      <c r="B33" s="41" t="s">
        <v>193</v>
      </c>
      <c r="C33" s="19" t="s">
        <v>192</v>
      </c>
      <c r="D33" s="67"/>
      <c r="E33" s="68"/>
      <c r="F33" s="67">
        <v>16199</v>
      </c>
      <c r="G33" s="68"/>
      <c r="H33" s="17">
        <v>0.9</v>
      </c>
      <c r="I33" s="18">
        <f>+H33*F33</f>
        <v>14579.1</v>
      </c>
      <c r="K33" s="48"/>
      <c r="M33" s="39"/>
    </row>
    <row r="34" spans="2:13" ht="21" customHeight="1" x14ac:dyDescent="0.2">
      <c r="B34" s="15" t="s">
        <v>15</v>
      </c>
      <c r="C34" s="15"/>
      <c r="D34" s="63"/>
      <c r="E34" s="64"/>
      <c r="F34" s="63"/>
      <c r="G34" s="64"/>
      <c r="H34" s="17"/>
      <c r="I34" s="60"/>
    </row>
    <row r="35" spans="2:13" ht="21.75" customHeight="1" x14ac:dyDescent="0.2">
      <c r="B35" s="15" t="s">
        <v>14</v>
      </c>
      <c r="C35" s="15"/>
      <c r="D35" s="65"/>
      <c r="E35" s="66"/>
      <c r="F35" s="67">
        <f>SUM(F32:G34)</f>
        <v>21072</v>
      </c>
      <c r="G35" s="68"/>
      <c r="H35" s="15"/>
      <c r="I35" s="14">
        <f>SUM(I32:I33)</f>
        <v>18964.8</v>
      </c>
      <c r="J35" s="40"/>
      <c r="K35" s="40"/>
    </row>
    <row r="36" spans="2:13" ht="21.75" customHeight="1" x14ac:dyDescent="0.2">
      <c r="B36" s="16" t="s">
        <v>13</v>
      </c>
      <c r="C36" s="15"/>
      <c r="D36" s="63"/>
      <c r="E36" s="64"/>
      <c r="F36" s="63"/>
      <c r="G36" s="64"/>
      <c r="H36" s="15"/>
      <c r="I36" s="56"/>
      <c r="J36" s="40"/>
    </row>
    <row r="37" spans="2:13" ht="21.75" customHeight="1" x14ac:dyDescent="0.2">
      <c r="B37" s="16" t="s">
        <v>12</v>
      </c>
      <c r="C37" s="15"/>
      <c r="D37" s="63"/>
      <c r="E37" s="64"/>
      <c r="F37" s="63"/>
      <c r="G37" s="64"/>
      <c r="H37" s="15"/>
      <c r="I37" s="14">
        <f>+I35</f>
        <v>18964.8</v>
      </c>
    </row>
    <row r="38" spans="2:13" ht="20.25" customHeight="1" x14ac:dyDescent="0.2">
      <c r="B38" s="15" t="s">
        <v>80</v>
      </c>
      <c r="C38" s="63" t="s">
        <v>11</v>
      </c>
      <c r="D38" s="70"/>
      <c r="E38" s="70"/>
      <c r="F38" s="70"/>
      <c r="G38" s="70"/>
      <c r="H38" s="6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18964.8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1" t="s">
        <v>7</v>
      </c>
      <c r="C47" s="71"/>
      <c r="D47" s="71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2" t="s">
        <v>1</v>
      </c>
      <c r="D56" s="72"/>
      <c r="E56" s="5"/>
      <c r="F56" s="5"/>
      <c r="G56" s="5"/>
      <c r="H56" s="5"/>
      <c r="I56" s="4"/>
    </row>
    <row r="57" spans="2:11" x14ac:dyDescent="0.2">
      <c r="B57" s="6"/>
      <c r="C57" s="73" t="s">
        <v>0</v>
      </c>
      <c r="D57" s="73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88</vt:lpstr>
      <vt:lpstr>89</vt:lpstr>
      <vt:lpstr>'88'!Print_Area</vt:lpstr>
      <vt:lpstr>'89'!Print_Area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2026-05-07T00:51:25Z</cp:lastPrinted>
  <dcterms:created xsi:type="dcterms:W3CDTF">2024-04-17T09:56:05Z</dcterms:created>
  <dcterms:modified xsi:type="dcterms:W3CDTF">2026-05-08T02:01:05Z</dcterms:modified>
</cp:coreProperties>
</file>