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EACE605B-C816-4D1D-9884-3F35D8326F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" sheetId="2" r:id="rId1"/>
    <sheet name="PACKING LIST" sheetId="4" r:id="rId2"/>
  </sheets>
  <calcPr calcId="181029"/>
</workbook>
</file>

<file path=xl/calcChain.xml><?xml version="1.0" encoding="utf-8"?>
<calcChain xmlns="http://schemas.openxmlformats.org/spreadsheetml/2006/main">
  <c r="J54" i="4" l="1"/>
  <c r="K54" i="4"/>
  <c r="H55" i="4"/>
  <c r="F42" i="2"/>
  <c r="D43" i="2"/>
  <c r="C42" i="2"/>
  <c r="J40" i="2"/>
  <c r="J42" i="2" s="1"/>
  <c r="J36" i="2"/>
</calcChain>
</file>

<file path=xl/sharedStrings.xml><?xml version="1.0" encoding="utf-8"?>
<sst xmlns="http://schemas.openxmlformats.org/spreadsheetml/2006/main" count="219" uniqueCount="129">
  <si>
    <t>COMMERCIAL INVOICE</t>
  </si>
  <si>
    <t>INVOICE NO:</t>
  </si>
  <si>
    <t/>
  </si>
  <si>
    <t>DATE:</t>
  </si>
  <si>
    <t>07/APR/2026</t>
  </si>
  <si>
    <t>INVOICE OF AS DESCRIPTION</t>
  </si>
  <si>
    <t>FOR ACCOUNT OF:</t>
  </si>
  <si>
    <t>CONSIGNEE:</t>
  </si>
  <si>
    <t>Fu Kwok Knitting &amp; Garment Co., Ltd.</t>
  </si>
  <si>
    <t>PT. NIRWANA ALABARE GARMENT</t>
  </si>
  <si>
    <t>110, Nei-Huan South Road, N. E. P. Z. Kaohsiung 811, Taiwan, R. O. C.</t>
  </si>
  <si>
    <t>JL. RAYA RANCAEKEK - MAJALAYA NO.289, DESA SOLOKAN JERUK, KEC.SOLOKAN JERUK, KABUPATEN BANDUNG, JAWA BARAT 40382 INDONESIA. TAX Code: 0745 4069 2644 4000</t>
  </si>
  <si>
    <t>TEL:6222 85962076</t>
  </si>
  <si>
    <t>TO:</t>
  </si>
  <si>
    <t>DESCRIPTION OF GOOD</t>
  </si>
  <si>
    <t>KNITTED FABRIC</t>
  </si>
  <si>
    <t>QUANTITY</t>
  </si>
  <si>
    <t>UNIT PRICE</t>
  </si>
  <si>
    <t>COLOR</t>
  </si>
  <si>
    <t>ROLLS</t>
  </si>
  <si>
    <t>YARDS</t>
  </si>
  <si>
    <t>NET WEIGHT</t>
  </si>
  <si>
    <t>(USD/YD)</t>
  </si>
  <si>
    <t>AMOUNT</t>
  </si>
  <si>
    <t>FOC</t>
  </si>
  <si>
    <t>Container NO:</t>
  </si>
  <si>
    <t>S.C.NO:</t>
  </si>
  <si>
    <t>T2607270C1</t>
  </si>
  <si>
    <t>P.O.:</t>
  </si>
  <si>
    <t>6K060S24</t>
  </si>
  <si>
    <t>STYLE NO:</t>
  </si>
  <si>
    <t>CONTENTS:</t>
  </si>
  <si>
    <t>100% POLYESTER</t>
  </si>
  <si>
    <t>#200001 100% Polyester Lining Mesh-Warp Knit 60inch x62gsm   &lt; HS CODE: 60053790 &gt;</t>
  </si>
  <si>
    <t>White</t>
  </si>
  <si>
    <t>KGS</t>
  </si>
  <si>
    <t>USD</t>
  </si>
  <si>
    <t>Smokey Sage</t>
  </si>
  <si>
    <t>Vintage Blue</t>
  </si>
  <si>
    <t>Nocturnal</t>
  </si>
  <si>
    <t>Gulf Stream</t>
  </si>
  <si>
    <t>Melonade</t>
  </si>
  <si>
    <t>TOTAL:</t>
  </si>
  <si>
    <t>SHIPPING MARK</t>
  </si>
  <si>
    <t>P.O:</t>
  </si>
  <si>
    <t>S.C:</t>
  </si>
  <si>
    <t>STYLE:</t>
  </si>
  <si>
    <t>COLOR:</t>
  </si>
  <si>
    <t>BUY DATE:</t>
  </si>
  <si>
    <t>ITEM:</t>
  </si>
  <si>
    <t>MADE IN VIET NAM</t>
  </si>
  <si>
    <t>PACKING LIST</t>
  </si>
  <si>
    <t>ROLL NO.</t>
  </si>
  <si>
    <t>CUS_NW</t>
  </si>
  <si>
    <t>NW</t>
  </si>
  <si>
    <t>LBS</t>
  </si>
  <si>
    <t>GW</t>
  </si>
  <si>
    <t>Container No:</t>
  </si>
  <si>
    <t>DESCRIPTION:</t>
  </si>
  <si>
    <t>225A15060</t>
  </si>
  <si>
    <t>1-348</t>
  </si>
  <si>
    <t>966GF</t>
  </si>
  <si>
    <t>225B24128-4</t>
  </si>
  <si>
    <t>1-396H</t>
  </si>
  <si>
    <t>45MN</t>
  </si>
  <si>
    <t xml:space="preserve">subTot: </t>
  </si>
  <si>
    <t>225C30169</t>
  </si>
  <si>
    <t>1-1</t>
  </si>
  <si>
    <t>1ER</t>
  </si>
  <si>
    <t>226228076-1</t>
  </si>
  <si>
    <t>1-3</t>
  </si>
  <si>
    <t>5NE</t>
  </si>
  <si>
    <t>226317097</t>
  </si>
  <si>
    <t>1-4</t>
  </si>
  <si>
    <t>2HR</t>
  </si>
  <si>
    <t>225421020-8</t>
  </si>
  <si>
    <t>1-8</t>
  </si>
  <si>
    <t>8FN</t>
  </si>
  <si>
    <t>226228130-1</t>
  </si>
  <si>
    <t>1-7</t>
  </si>
  <si>
    <t>2TR</t>
  </si>
  <si>
    <t>226228067-1</t>
  </si>
  <si>
    <t>1-2</t>
  </si>
  <si>
    <t>3UA</t>
  </si>
  <si>
    <t>226317100</t>
  </si>
  <si>
    <t>2HU</t>
  </si>
  <si>
    <t>SAY TOTAL Q'TY</t>
  </si>
  <si>
    <t>162.4 LBS</t>
  </si>
  <si>
    <t>703.17 MTS</t>
  </si>
  <si>
    <r>
      <rPr>
        <b/>
        <sz val="10"/>
        <color theme="1"/>
        <rFont val="Body Font"/>
        <family val="2"/>
      </rPr>
      <t>SHIPMENT OF (GOODS):</t>
    </r>
    <r>
      <rPr>
        <sz val="10"/>
        <color theme="1"/>
        <rFont val="Body Font"/>
        <family val="2"/>
      </rPr>
      <t xml:space="preserve"> AS BELOW</t>
    </r>
    <phoneticPr fontId="1" type="noConversion"/>
  </si>
  <si>
    <t>T2607270C1</t>
    <phoneticPr fontId="1" type="noConversion"/>
  </si>
  <si>
    <t>6K060S24</t>
    <phoneticPr fontId="1" type="noConversion"/>
  </si>
  <si>
    <t>#200001 100% Polyester Lining Mesh-Warp Knit 60inch x62gsm   &lt; HS CODE: 60053790 &gt;</t>
    <phoneticPr fontId="1" type="noConversion"/>
  </si>
  <si>
    <t>XM6930</t>
    <phoneticPr fontId="1" type="noConversion"/>
  </si>
  <si>
    <t>HB/PTNAG2604066</t>
    <phoneticPr fontId="1" type="noConversion"/>
  </si>
  <si>
    <t>CS FA26 0304 BUY</t>
    <phoneticPr fontId="1" type="noConversion"/>
  </si>
  <si>
    <t>AM0126/AS0126/AT0126/AX0126</t>
    <phoneticPr fontId="18" type="noConversion"/>
  </si>
  <si>
    <t>6K060B21-24</t>
    <phoneticPr fontId="18" type="noConversion"/>
  </si>
  <si>
    <t>XM6930</t>
    <phoneticPr fontId="18" type="noConversion"/>
  </si>
  <si>
    <t>6K060BS24</t>
    <phoneticPr fontId="18" type="noConversion"/>
  </si>
  <si>
    <t>#097383 20L Debossed Columbia Button 100% Polyester :10,696pcs</t>
    <phoneticPr fontId="18" type="noConversion"/>
  </si>
  <si>
    <t>#001601 20L 4H Columbia PFG 2 tone Button1 Clr CAN BE USE FOR YOUTH Outisde :20,450pcs</t>
    <phoneticPr fontId="18" type="noConversion"/>
  </si>
  <si>
    <t>F26-0304BUY - BUTTON HS CODE.96062100</t>
    <phoneticPr fontId="18" type="noConversion"/>
  </si>
  <si>
    <t>METER/PCS</t>
    <phoneticPr fontId="1" type="noConversion"/>
  </si>
  <si>
    <t>SAY TOTAL US DOLLARS: TWO THOUSAND THREE HUNDRED THIRTY EIGHT AND CENTS TWO ONLY.</t>
    <phoneticPr fontId="1" type="noConversion"/>
  </si>
  <si>
    <t>GRITTI VIETNAM CO,. LTD</t>
    <phoneticPr fontId="1" type="noConversion"/>
  </si>
  <si>
    <t>PACKING LIST NO.36249 DTAE 03.APR02026</t>
    <phoneticPr fontId="1" type="noConversion"/>
  </si>
  <si>
    <t>SHIP TO PARTY :</t>
    <phoneticPr fontId="1" type="noConversion"/>
  </si>
  <si>
    <t>CTN NO.</t>
    <phoneticPr fontId="1" type="noConversion"/>
  </si>
  <si>
    <t xml:space="preserve">ARTICLE </t>
    <phoneticPr fontId="1" type="noConversion"/>
  </si>
  <si>
    <t>PI NO</t>
    <phoneticPr fontId="1" type="noConversion"/>
  </si>
  <si>
    <t xml:space="preserve">CUSTOMER ARTICLE </t>
    <phoneticPr fontId="1" type="noConversion"/>
  </si>
  <si>
    <t>CUSTOMER  ORDER NO HEADQUARTER</t>
    <phoneticPr fontId="1" type="noConversion"/>
  </si>
  <si>
    <t>ORDER QTY FOC</t>
    <phoneticPr fontId="1" type="noConversion"/>
  </si>
  <si>
    <t xml:space="preserve">NET WEIGHT </t>
    <phoneticPr fontId="1" type="noConversion"/>
  </si>
  <si>
    <t>GROSS WEIGHT</t>
    <phoneticPr fontId="1" type="noConversion"/>
  </si>
  <si>
    <t>ROLLS/CTN</t>
    <phoneticPr fontId="1" type="noConversion"/>
  </si>
  <si>
    <t>9 ROLLS+1CTN</t>
    <phoneticPr fontId="1" type="noConversion"/>
  </si>
  <si>
    <t>769 YARDS+31,146PCS</t>
    <phoneticPr fontId="1" type="noConversion"/>
  </si>
  <si>
    <t>90.8 G.W</t>
    <phoneticPr fontId="1" type="noConversion"/>
  </si>
  <si>
    <t>85.4 N.W</t>
    <phoneticPr fontId="1" type="noConversion"/>
  </si>
  <si>
    <t>31,146 PCS</t>
    <phoneticPr fontId="1" type="noConversion"/>
  </si>
  <si>
    <t>110, Nei-Huan South Road, N. E. P. Z. Kaohsiung 811, Taiwan, R. O. C.</t>
    <phoneticPr fontId="1" type="noConversion"/>
  </si>
  <si>
    <t>Fu Kwok Knitting &amp; Garment Co., Ltd.</t>
    <phoneticPr fontId="1" type="noConversion"/>
  </si>
  <si>
    <r>
      <rPr>
        <b/>
        <sz val="10"/>
        <color theme="1"/>
        <rFont val="Body Font"/>
        <family val="2"/>
      </rPr>
      <t>OCEAB VESSEL:</t>
    </r>
    <r>
      <rPr>
        <sz val="10"/>
        <color theme="1"/>
        <rFont val="Body Font"/>
        <family val="2"/>
      </rPr>
      <t xml:space="preserve"> SINAR SANUR V.139S</t>
    </r>
    <phoneticPr fontId="1" type="noConversion"/>
  </si>
  <si>
    <t>KGS</t>
    <phoneticPr fontId="18" type="noConversion"/>
  </si>
  <si>
    <t>USD</t>
    <phoneticPr fontId="18" type="noConversion"/>
  </si>
  <si>
    <t>CIFJAKARTA</t>
    <phoneticPr fontId="1" type="noConversion"/>
  </si>
  <si>
    <t>(769 YDS)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</si>
</sst>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&quot;$&quot;#,##0_);\(&quot;$&quot;#,##0\)"/>
    <numFmt numFmtId="177" formatCode="_(* #,##0.00_);_(* \(#,##0.00\);_(* &quot;-&quot;??_);_(@_)"/>
    <numFmt numFmtId="178" formatCode="#,##0_ "/>
    <numFmt numFmtId="179" formatCode="#,##0.00_ "/>
    <numFmt numFmtId="180" formatCode="#,##0.000_ "/>
    <numFmt numFmtId="181" formatCode="0.0_ "/>
    <numFmt numFmtId="182" formatCode="0_ "/>
    <numFmt numFmtId="183" formatCode="#,##0.0;[Red]#,##0.0"/>
    <numFmt numFmtId="184" formatCode="0.00_);[Red]\(0.00\)"/>
    <numFmt numFmtId="185" formatCode="#,###\ &quot;PCS&quot;"/>
    <numFmt numFmtId="186" formatCode="#.###\ &quot;MTR&quot;"/>
  </numFmts>
  <fonts count="27">
    <font>
      <sz val="12"/>
      <color theme="1"/>
      <name val="Body Font"/>
      <family val="2"/>
    </font>
    <font>
      <sz val="12"/>
      <color indexed="8"/>
      <name val="新細明體"/>
      <family val="1"/>
    </font>
    <font>
      <sz val="10"/>
      <name val="Arial"/>
      <family val="2"/>
    </font>
    <font>
      <sz val="12"/>
      <name val="新細明體"/>
      <family val="1"/>
    </font>
    <font>
      <sz val="12"/>
      <color theme="1"/>
      <name val="新細明體"/>
      <family val="1"/>
      <scheme val="minor"/>
    </font>
    <font>
      <sz val="12"/>
      <color theme="1"/>
      <name val="新細明體"/>
      <family val="2"/>
      <scheme val="minor"/>
    </font>
    <font>
      <sz val="12"/>
      <color theme="1"/>
      <name val="Body Font"/>
      <family val="1"/>
    </font>
    <font>
      <b/>
      <sz val="12"/>
      <color theme="1"/>
      <name val="Body Font"/>
      <family val="1"/>
    </font>
    <font>
      <sz val="10"/>
      <color theme="1"/>
      <name val="Body Font"/>
      <family val="1"/>
    </font>
    <font>
      <sz val="10"/>
      <color theme="1"/>
      <name val="Body Font"/>
      <family val="2"/>
    </font>
    <font>
      <sz val="12"/>
      <color theme="1"/>
      <name val="Body Font"/>
      <family val="2"/>
    </font>
    <font>
      <sz val="12"/>
      <color theme="1"/>
      <name val="Body Font"/>
      <family val="2"/>
    </font>
    <font>
      <b/>
      <sz val="10"/>
      <color theme="1"/>
      <name val="Body Font"/>
    </font>
    <font>
      <b/>
      <sz val="10"/>
      <color theme="1"/>
      <name val="Body Font"/>
      <family val="2"/>
    </font>
    <font>
      <b/>
      <u/>
      <sz val="10"/>
      <color theme="1"/>
      <name val="Body Font"/>
      <family val="2"/>
    </font>
    <font>
      <u/>
      <sz val="10"/>
      <color theme="1"/>
      <name val="Body Font"/>
      <family val="2"/>
    </font>
    <font>
      <b/>
      <sz val="10"/>
      <color rgb="FFFF0000"/>
      <name val="Body Font"/>
      <family val="1"/>
      <charset val="136"/>
    </font>
    <font>
      <sz val="12"/>
      <color theme="1"/>
      <name val="Arial Unicode MS"/>
      <family val="1"/>
      <charset val="136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theme="1"/>
      <name val="Calibri"/>
      <family val="2"/>
    </font>
    <font>
      <sz val="12"/>
      <name val="新細明體"/>
      <family val="1"/>
      <charset val="136"/>
    </font>
    <font>
      <sz val="11"/>
      <color theme="1"/>
      <name val="Body Font"/>
      <family val="2"/>
    </font>
    <font>
      <sz val="11"/>
      <color theme="1"/>
      <name val="Arial Unicode MS"/>
      <family val="1"/>
      <charset val="136"/>
    </font>
    <font>
      <sz val="10"/>
      <color theme="1"/>
      <name val="Arial Unicode MS"/>
      <family val="1"/>
      <charset val="136"/>
    </font>
    <font>
      <b/>
      <sz val="11"/>
      <color theme="1"/>
      <name val="Body Font"/>
      <family val="2"/>
    </font>
    <font>
      <sz val="10"/>
      <color theme="1"/>
      <name val="Body Font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dashDot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39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3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1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177" fontId="1" fillId="0" borderId="0">
      <alignment vertical="center"/>
    </xf>
    <xf numFmtId="0" fontId="2" fillId="0" borderId="0"/>
    <xf numFmtId="176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>
      <alignment vertical="center"/>
    </xf>
  </cellStyleXfs>
  <cellXfs count="145">
    <xf numFmtId="0" fontId="0" fillId="0" borderId="0" xfId="0">
      <alignment vertical="center"/>
    </xf>
    <xf numFmtId="49" fontId="6" fillId="0" borderId="0" xfId="0" applyNumberFormat="1" applyFont="1" applyAlignment="1">
      <alignment horizontal="left" vertical="center" shrinkToFit="1"/>
    </xf>
    <xf numFmtId="49" fontId="7" fillId="0" borderId="0" xfId="0" applyNumberFormat="1" applyFont="1" applyAlignment="1">
      <alignment vertical="center" shrinkToFit="1"/>
    </xf>
    <xf numFmtId="182" fontId="6" fillId="0" borderId="0" xfId="0" applyNumberFormat="1" applyFont="1" applyAlignment="1">
      <alignment horizontal="right" vertical="center" shrinkToFit="1"/>
    </xf>
    <xf numFmtId="182" fontId="6" fillId="0" borderId="1" xfId="0" applyNumberFormat="1" applyFont="1" applyBorder="1" applyAlignment="1">
      <alignment horizontal="right" vertical="center" shrinkToFit="1"/>
    </xf>
    <xf numFmtId="182" fontId="6" fillId="0" borderId="5" xfId="0" applyNumberFormat="1" applyFont="1" applyBorder="1" applyAlignment="1">
      <alignment horizontal="right" vertical="center" shrinkToFit="1"/>
    </xf>
    <xf numFmtId="182" fontId="7" fillId="0" borderId="7" xfId="0" applyNumberFormat="1" applyFont="1" applyBorder="1" applyAlignment="1">
      <alignment horizontal="right" vertical="center" shrinkToFit="1"/>
    </xf>
    <xf numFmtId="49" fontId="9" fillId="0" borderId="0" xfId="0" applyNumberFormat="1" applyFont="1" applyAlignment="1">
      <alignment horizontal="left" vertical="top" wrapText="1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0" xfId="0" applyNumberFormat="1" applyFont="1" applyAlignment="1">
      <alignment horizontal="left" vertical="center"/>
    </xf>
    <xf numFmtId="182" fontId="13" fillId="0" borderId="0" xfId="0" applyNumberFormat="1" applyFont="1" applyAlignment="1">
      <alignment horizontal="right" vertical="center" shrinkToFit="1"/>
    </xf>
    <xf numFmtId="183" fontId="13" fillId="0" borderId="0" xfId="0" applyNumberFormat="1" applyFont="1" applyAlignment="1">
      <alignment horizontal="right" vertical="center" shrinkToFit="1"/>
    </xf>
    <xf numFmtId="178" fontId="13" fillId="0" borderId="0" xfId="0" applyNumberFormat="1" applyFont="1" applyAlignment="1">
      <alignment horizontal="right" vertical="center" shrinkToFit="1"/>
    </xf>
    <xf numFmtId="179" fontId="13" fillId="0" borderId="0" xfId="0" applyNumberFormat="1" applyFont="1" applyAlignment="1">
      <alignment horizontal="right" vertical="center" shrinkToFit="1"/>
    </xf>
    <xf numFmtId="182" fontId="9" fillId="0" borderId="0" xfId="0" applyNumberFormat="1" applyFont="1" applyAlignment="1">
      <alignment horizontal="right" vertical="center" shrinkToFit="1"/>
    </xf>
    <xf numFmtId="183" fontId="9" fillId="0" borderId="0" xfId="0" applyNumberFormat="1" applyFont="1" applyAlignment="1">
      <alignment horizontal="right" vertical="center" shrinkToFit="1"/>
    </xf>
    <xf numFmtId="178" fontId="9" fillId="0" borderId="0" xfId="0" applyNumberFormat="1" applyFont="1" applyAlignment="1">
      <alignment horizontal="right" vertical="center" shrinkToFit="1"/>
    </xf>
    <xf numFmtId="49" fontId="9" fillId="0" borderId="0" xfId="0" applyNumberFormat="1" applyFont="1" applyAlignment="1">
      <alignment horizontal="left" vertical="center"/>
    </xf>
    <xf numFmtId="179" fontId="9" fillId="0" borderId="0" xfId="0" applyNumberFormat="1" applyFont="1" applyAlignment="1">
      <alignment horizontal="right" vertical="center" shrinkToFit="1"/>
    </xf>
    <xf numFmtId="49" fontId="13" fillId="0" borderId="0" xfId="0" applyNumberFormat="1" applyFont="1" applyAlignment="1">
      <alignment vertical="center" shrinkToFit="1"/>
    </xf>
    <xf numFmtId="49" fontId="9" fillId="0" borderId="0" xfId="0" applyNumberFormat="1" applyFont="1" applyAlignment="1">
      <alignment vertical="center" shrinkToFit="1"/>
    </xf>
    <xf numFmtId="182" fontId="9" fillId="0" borderId="2" xfId="0" applyNumberFormat="1" applyFont="1" applyBorder="1" applyAlignment="1">
      <alignment horizontal="right" vertical="center" shrinkToFit="1"/>
    </xf>
    <xf numFmtId="183" fontId="9" fillId="0" borderId="2" xfId="0" applyNumberFormat="1" applyFont="1" applyBorder="1" applyAlignment="1">
      <alignment horizontal="right" vertical="center" shrinkToFit="1"/>
    </xf>
    <xf numFmtId="178" fontId="9" fillId="0" borderId="2" xfId="0" applyNumberFormat="1" applyFont="1" applyBorder="1" applyAlignment="1">
      <alignment horizontal="right" vertical="center" shrinkToFit="1"/>
    </xf>
    <xf numFmtId="179" fontId="9" fillId="0" borderId="2" xfId="0" applyNumberFormat="1" applyFont="1" applyBorder="1" applyAlignment="1">
      <alignment horizontal="right" vertical="center" shrinkToFit="1"/>
    </xf>
    <xf numFmtId="49" fontId="14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182" fontId="15" fillId="0" borderId="0" xfId="0" applyNumberFormat="1" applyFont="1" applyAlignment="1">
      <alignment horizontal="right" vertical="center" shrinkToFit="1"/>
    </xf>
    <xf numFmtId="183" fontId="15" fillId="0" borderId="0" xfId="0" applyNumberFormat="1" applyFont="1" applyAlignment="1">
      <alignment horizontal="right" vertical="center" shrinkToFit="1"/>
    </xf>
    <xf numFmtId="178" fontId="15" fillId="0" borderId="0" xfId="0" applyNumberFormat="1" applyFont="1" applyAlignment="1">
      <alignment horizontal="right" vertical="center" shrinkToFit="1"/>
    </xf>
    <xf numFmtId="179" fontId="15" fillId="0" borderId="0" xfId="0" applyNumberFormat="1" applyFont="1" applyAlignment="1">
      <alignment horizontal="right" vertical="center" shrinkToFit="1"/>
    </xf>
    <xf numFmtId="49" fontId="13" fillId="0" borderId="6" xfId="0" applyNumberFormat="1" applyFont="1" applyBorder="1" applyAlignment="1">
      <alignment horizontal="left" vertical="center"/>
    </xf>
    <xf numFmtId="182" fontId="13" fillId="0" borderId="6" xfId="0" applyNumberFormat="1" applyFont="1" applyBorder="1" applyAlignment="1">
      <alignment horizontal="right" vertical="center" shrinkToFit="1"/>
    </xf>
    <xf numFmtId="183" fontId="13" fillId="0" borderId="6" xfId="0" applyNumberFormat="1" applyFont="1" applyBorder="1" applyAlignment="1">
      <alignment horizontal="right" vertical="center" shrinkToFit="1"/>
    </xf>
    <xf numFmtId="178" fontId="13" fillId="0" borderId="6" xfId="0" applyNumberFormat="1" applyFont="1" applyBorder="1" applyAlignment="1">
      <alignment horizontal="right" vertical="center" shrinkToFit="1"/>
    </xf>
    <xf numFmtId="179" fontId="13" fillId="0" borderId="6" xfId="0" applyNumberFormat="1" applyFont="1" applyBorder="1" applyAlignment="1">
      <alignment horizontal="right" vertical="center" shrinkToFit="1"/>
    </xf>
    <xf numFmtId="183" fontId="9" fillId="0" borderId="6" xfId="0" applyNumberFormat="1" applyFont="1" applyBorder="1" applyAlignment="1">
      <alignment horizontal="right" vertical="center" shrinkToFit="1"/>
    </xf>
    <xf numFmtId="49" fontId="9" fillId="0" borderId="8" xfId="0" applyNumberFormat="1" applyFont="1" applyBorder="1" applyAlignment="1">
      <alignment horizontal="left" vertical="center"/>
    </xf>
    <xf numFmtId="182" fontId="9" fillId="0" borderId="8" xfId="0" applyNumberFormat="1" applyFont="1" applyBorder="1" applyAlignment="1">
      <alignment horizontal="right" vertical="center" shrinkToFit="1"/>
    </xf>
    <xf numFmtId="183" fontId="9" fillId="0" borderId="8" xfId="0" applyNumberFormat="1" applyFont="1" applyBorder="1" applyAlignment="1">
      <alignment horizontal="right" vertical="center" shrinkToFit="1"/>
    </xf>
    <xf numFmtId="178" fontId="9" fillId="0" borderId="8" xfId="0" applyNumberFormat="1" applyFont="1" applyBorder="1" applyAlignment="1">
      <alignment horizontal="right" vertical="center" shrinkToFit="1"/>
    </xf>
    <xf numFmtId="179" fontId="9" fillId="0" borderId="8" xfId="0" applyNumberFormat="1" applyFont="1" applyBorder="1" applyAlignment="1">
      <alignment horizontal="right" vertical="center" shrinkToFit="1"/>
    </xf>
    <xf numFmtId="182" fontId="9" fillId="0" borderId="0" xfId="0" applyNumberFormat="1" applyFont="1" applyAlignment="1">
      <alignment horizontal="right" vertical="center"/>
    </xf>
    <xf numFmtId="184" fontId="13" fillId="0" borderId="0" xfId="0" applyNumberFormat="1" applyFont="1" applyAlignment="1">
      <alignment horizontal="right" vertical="center" shrinkToFit="1"/>
    </xf>
    <xf numFmtId="181" fontId="13" fillId="0" borderId="0" xfId="0" applyNumberFormat="1" applyFont="1" applyAlignment="1">
      <alignment horizontal="right" vertical="center" shrinkToFit="1"/>
    </xf>
    <xf numFmtId="49" fontId="13" fillId="0" borderId="0" xfId="0" applyNumberFormat="1" applyFont="1" applyAlignment="1">
      <alignment horizontal="right" vertical="center" shrinkToFit="1"/>
    </xf>
    <xf numFmtId="180" fontId="13" fillId="0" borderId="0" xfId="0" applyNumberFormat="1" applyFont="1" applyAlignment="1">
      <alignment horizontal="right" vertical="center" shrinkToFit="1"/>
    </xf>
    <xf numFmtId="184" fontId="9" fillId="0" borderId="0" xfId="0" applyNumberFormat="1" applyFont="1" applyAlignment="1">
      <alignment horizontal="right" vertical="center" shrinkToFit="1"/>
    </xf>
    <xf numFmtId="181" fontId="9" fillId="0" borderId="0" xfId="0" applyNumberFormat="1" applyFont="1" applyAlignment="1">
      <alignment horizontal="right" vertical="center" shrinkToFit="1"/>
    </xf>
    <xf numFmtId="49" fontId="9" fillId="0" borderId="0" xfId="0" applyNumberFormat="1" applyFont="1" applyAlignment="1">
      <alignment horizontal="right" vertical="center" shrinkToFit="1"/>
    </xf>
    <xf numFmtId="180" fontId="9" fillId="0" borderId="0" xfId="0" applyNumberFormat="1" applyFont="1" applyAlignment="1">
      <alignment horizontal="right" vertical="center" shrinkToFit="1"/>
    </xf>
    <xf numFmtId="49" fontId="13" fillId="0" borderId="5" xfId="0" applyNumberFormat="1" applyFont="1" applyBorder="1" applyAlignment="1">
      <alignment horizontal="center" vertical="center" shrinkToFit="1"/>
    </xf>
    <xf numFmtId="49" fontId="9" fillId="0" borderId="5" xfId="0" applyNumberFormat="1" applyFont="1" applyBorder="1" applyAlignment="1">
      <alignment horizontal="left" vertical="center"/>
    </xf>
    <xf numFmtId="182" fontId="9" fillId="0" borderId="5" xfId="0" applyNumberFormat="1" applyFont="1" applyBorder="1" applyAlignment="1">
      <alignment horizontal="right" vertical="center" shrinkToFit="1"/>
    </xf>
    <xf numFmtId="184" fontId="9" fillId="0" borderId="5" xfId="0" applyNumberFormat="1" applyFont="1" applyBorder="1" applyAlignment="1">
      <alignment horizontal="right" vertical="center" shrinkToFit="1"/>
    </xf>
    <xf numFmtId="181" fontId="9" fillId="0" borderId="5" xfId="0" applyNumberFormat="1" applyFont="1" applyBorder="1" applyAlignment="1">
      <alignment horizontal="right" vertical="center" shrinkToFit="1"/>
    </xf>
    <xf numFmtId="49" fontId="9" fillId="0" borderId="5" xfId="0" applyNumberFormat="1" applyFont="1" applyBorder="1" applyAlignment="1">
      <alignment horizontal="right" vertical="center" shrinkToFit="1"/>
    </xf>
    <xf numFmtId="180" fontId="9" fillId="0" borderId="5" xfId="0" applyNumberFormat="1" applyFont="1" applyBorder="1" applyAlignment="1">
      <alignment horizontal="right" vertical="center" shrinkToFit="1"/>
    </xf>
    <xf numFmtId="179" fontId="9" fillId="0" borderId="5" xfId="0" applyNumberFormat="1" applyFont="1" applyBorder="1" applyAlignment="1">
      <alignment horizontal="right" vertical="center" shrinkToFit="1"/>
    </xf>
    <xf numFmtId="179" fontId="9" fillId="0" borderId="1" xfId="0" applyNumberFormat="1" applyFont="1" applyBorder="1" applyAlignment="1">
      <alignment horizontal="right" vertical="center" shrinkToFit="1"/>
    </xf>
    <xf numFmtId="49" fontId="13" fillId="0" borderId="3" xfId="0" applyNumberFormat="1" applyFont="1" applyBorder="1" applyAlignment="1">
      <alignment horizontal="center" vertical="center" shrinkToFit="1"/>
    </xf>
    <xf numFmtId="49" fontId="9" fillId="0" borderId="4" xfId="0" applyNumberFormat="1" applyFont="1" applyBorder="1" applyAlignment="1">
      <alignment horizontal="left" vertical="center"/>
    </xf>
    <xf numFmtId="182" fontId="9" fillId="0" borderId="1" xfId="0" applyNumberFormat="1" applyFont="1" applyBorder="1" applyAlignment="1">
      <alignment horizontal="right" vertical="center" shrinkToFit="1"/>
    </xf>
    <xf numFmtId="184" fontId="9" fillId="0" borderId="1" xfId="0" applyNumberFormat="1" applyFont="1" applyBorder="1" applyAlignment="1">
      <alignment horizontal="right" vertical="center" shrinkToFit="1"/>
    </xf>
    <xf numFmtId="49" fontId="13" fillId="0" borderId="6" xfId="0" applyNumberFormat="1" applyFont="1" applyBorder="1" applyAlignment="1">
      <alignment horizontal="center" vertical="center" shrinkToFit="1"/>
    </xf>
    <xf numFmtId="184" fontId="13" fillId="0" borderId="6" xfId="0" applyNumberFormat="1" applyFont="1" applyBorder="1" applyAlignment="1">
      <alignment horizontal="right" vertical="center" shrinkToFit="1"/>
    </xf>
    <xf numFmtId="181" fontId="13" fillId="0" borderId="6" xfId="0" applyNumberFormat="1" applyFont="1" applyBorder="1" applyAlignment="1">
      <alignment horizontal="right" vertical="center" shrinkToFit="1"/>
    </xf>
    <xf numFmtId="49" fontId="13" fillId="0" borderId="6" xfId="0" applyNumberFormat="1" applyFont="1" applyBorder="1" applyAlignment="1">
      <alignment horizontal="right" vertical="center" shrinkToFit="1"/>
    </xf>
    <xf numFmtId="180" fontId="13" fillId="0" borderId="6" xfId="0" applyNumberFormat="1" applyFont="1" applyBorder="1" applyAlignment="1">
      <alignment horizontal="right" vertical="center" shrinkToFit="1"/>
    </xf>
    <xf numFmtId="49" fontId="9" fillId="0" borderId="0" xfId="0" applyNumberFormat="1" applyFont="1" applyAlignment="1">
      <alignment horizontal="left" vertical="center" shrinkToFit="1"/>
    </xf>
    <xf numFmtId="49" fontId="16" fillId="0" borderId="0" xfId="0" applyNumberFormat="1" applyFont="1" applyAlignment="1">
      <alignment horizontal="left" vertical="center"/>
    </xf>
    <xf numFmtId="0" fontId="19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20" fillId="0" borderId="0" xfId="0" applyFont="1" applyAlignment="1">
      <alignment horizontal="left"/>
    </xf>
    <xf numFmtId="3" fontId="19" fillId="0" borderId="0" xfId="0" applyNumberFormat="1" applyFont="1">
      <alignment vertical="center"/>
    </xf>
    <xf numFmtId="49" fontId="13" fillId="0" borderId="10" xfId="0" applyNumberFormat="1" applyFont="1" applyBorder="1" applyAlignment="1">
      <alignment horizontal="center" vertical="center" shrinkToFit="1"/>
    </xf>
    <xf numFmtId="49" fontId="16" fillId="0" borderId="10" xfId="0" applyNumberFormat="1" applyFont="1" applyBorder="1" applyAlignment="1">
      <alignment horizontal="left" vertical="center"/>
    </xf>
    <xf numFmtId="182" fontId="9" fillId="0" borderId="10" xfId="0" applyNumberFormat="1" applyFont="1" applyBorder="1" applyAlignment="1">
      <alignment horizontal="right" vertical="center" shrinkToFit="1"/>
    </xf>
    <xf numFmtId="184" fontId="9" fillId="0" borderId="10" xfId="0" applyNumberFormat="1" applyFont="1" applyBorder="1" applyAlignment="1">
      <alignment horizontal="right" vertical="center" shrinkToFit="1"/>
    </xf>
    <xf numFmtId="181" fontId="9" fillId="0" borderId="10" xfId="0" applyNumberFormat="1" applyFont="1" applyBorder="1" applyAlignment="1">
      <alignment horizontal="right" vertical="center" shrinkToFit="1"/>
    </xf>
    <xf numFmtId="49" fontId="9" fillId="0" borderId="10" xfId="0" applyNumberFormat="1" applyFont="1" applyBorder="1" applyAlignment="1">
      <alignment horizontal="right" vertical="center" shrinkToFit="1"/>
    </xf>
    <xf numFmtId="180" fontId="9" fillId="0" borderId="10" xfId="0" applyNumberFormat="1" applyFont="1" applyBorder="1" applyAlignment="1">
      <alignment horizontal="right" vertical="center" shrinkToFit="1"/>
    </xf>
    <xf numFmtId="179" fontId="9" fillId="0" borderId="10" xfId="0" applyNumberFormat="1" applyFont="1" applyBorder="1" applyAlignment="1">
      <alignment horizontal="right" vertical="center" shrinkToFit="1"/>
    </xf>
    <xf numFmtId="0" fontId="21" fillId="0" borderId="0" xfId="0" applyFont="1">
      <alignment vertical="center"/>
    </xf>
    <xf numFmtId="182" fontId="7" fillId="0" borderId="0" xfId="0" applyNumberFormat="1" applyFont="1" applyAlignment="1">
      <alignment horizontal="right" vertical="center" shrinkToFit="1"/>
    </xf>
    <xf numFmtId="49" fontId="13" fillId="0" borderId="11" xfId="0" applyNumberFormat="1" applyFont="1" applyBorder="1" applyAlignment="1">
      <alignment horizontal="center" vertical="center" shrinkToFit="1"/>
    </xf>
    <xf numFmtId="49" fontId="13" fillId="0" borderId="11" xfId="0" applyNumberFormat="1" applyFont="1" applyBorder="1" applyAlignment="1">
      <alignment horizontal="left" vertical="center"/>
    </xf>
    <xf numFmtId="182" fontId="13" fillId="0" borderId="11" xfId="0" applyNumberFormat="1" applyFont="1" applyBorder="1" applyAlignment="1">
      <alignment horizontal="right" vertical="center" shrinkToFit="1"/>
    </xf>
    <xf numFmtId="49" fontId="13" fillId="0" borderId="11" xfId="0" applyNumberFormat="1" applyFont="1" applyBorder="1" applyAlignment="1">
      <alignment horizontal="right" vertical="center" shrinkToFit="1"/>
    </xf>
    <xf numFmtId="180" fontId="13" fillId="0" borderId="11" xfId="0" applyNumberFormat="1" applyFont="1" applyBorder="1" applyAlignment="1">
      <alignment horizontal="right" vertical="center" shrinkToFit="1"/>
    </xf>
    <xf numFmtId="183" fontId="9" fillId="0" borderId="0" xfId="0" applyNumberFormat="1" applyFont="1" applyAlignment="1">
      <alignment horizontal="left" vertical="center" shrinkToFit="1"/>
    </xf>
    <xf numFmtId="0" fontId="6" fillId="0" borderId="0" xfId="0" applyFont="1" applyAlignment="1">
      <alignment horizontal="left" vertical="center" shrinkToFit="1"/>
    </xf>
    <xf numFmtId="186" fontId="9" fillId="0" borderId="0" xfId="20" applyNumberFormat="1" applyFont="1">
      <alignment vertical="center"/>
    </xf>
    <xf numFmtId="49" fontId="13" fillId="0" borderId="10" xfId="0" applyNumberFormat="1" applyFont="1" applyBorder="1" applyAlignment="1">
      <alignment horizontal="left" vertical="center"/>
    </xf>
    <xf numFmtId="49" fontId="9" fillId="0" borderId="10" xfId="0" applyNumberFormat="1" applyFont="1" applyBorder="1" applyAlignment="1">
      <alignment horizontal="left" vertical="center"/>
    </xf>
    <xf numFmtId="183" fontId="9" fillId="0" borderId="10" xfId="0" applyNumberFormat="1" applyFont="1" applyBorder="1" applyAlignment="1">
      <alignment horizontal="right" vertical="center" shrinkToFit="1"/>
    </xf>
    <xf numFmtId="178" fontId="9" fillId="0" borderId="10" xfId="0" applyNumberFormat="1" applyFont="1" applyBorder="1" applyAlignment="1">
      <alignment horizontal="right" vertical="center" shrinkToFit="1"/>
    </xf>
    <xf numFmtId="182" fontId="13" fillId="0" borderId="10" xfId="0" applyNumberFormat="1" applyFont="1" applyBorder="1" applyAlignment="1">
      <alignment horizontal="right" vertical="center" shrinkToFit="1"/>
    </xf>
    <xf numFmtId="183" fontId="13" fillId="0" borderId="10" xfId="0" applyNumberFormat="1" applyFont="1" applyBorder="1" applyAlignment="1">
      <alignment horizontal="right" vertical="center" shrinkToFit="1"/>
    </xf>
    <xf numFmtId="178" fontId="13" fillId="0" borderId="10" xfId="0" applyNumberFormat="1" applyFont="1" applyBorder="1" applyAlignment="1">
      <alignment horizontal="right" vertical="center" shrinkToFit="1"/>
    </xf>
    <xf numFmtId="185" fontId="9" fillId="0" borderId="10" xfId="20" applyNumberFormat="1" applyFont="1" applyBorder="1">
      <alignment vertical="center"/>
    </xf>
    <xf numFmtId="181" fontId="13" fillId="0" borderId="10" xfId="0" applyNumberFormat="1" applyFont="1" applyBorder="1" applyAlignment="1">
      <alignment horizontal="right" vertical="center" shrinkToFit="1"/>
    </xf>
    <xf numFmtId="49" fontId="13" fillId="0" borderId="10" xfId="0" applyNumberFormat="1" applyFont="1" applyBorder="1" applyAlignment="1">
      <alignment horizontal="right" vertical="center" shrinkToFit="1"/>
    </xf>
    <xf numFmtId="180" fontId="13" fillId="0" borderId="10" xfId="0" applyNumberFormat="1" applyFont="1" applyBorder="1" applyAlignment="1">
      <alignment horizontal="right" vertical="center" shrinkToFit="1"/>
    </xf>
    <xf numFmtId="179" fontId="13" fillId="0" borderId="10" xfId="0" applyNumberFormat="1" applyFont="1" applyBorder="1" applyAlignment="1">
      <alignment horizontal="right" vertical="center" shrinkToFit="1"/>
    </xf>
    <xf numFmtId="182" fontId="22" fillId="0" borderId="0" xfId="0" applyNumberFormat="1" applyFont="1" applyAlignment="1">
      <alignment horizontal="right" vertical="center" shrinkToFit="1"/>
    </xf>
    <xf numFmtId="181" fontId="22" fillId="0" borderId="0" xfId="0" applyNumberFormat="1" applyFont="1" applyAlignment="1">
      <alignment horizontal="right" vertical="center" shrinkToFit="1"/>
    </xf>
    <xf numFmtId="0" fontId="23" fillId="0" borderId="0" xfId="0" applyFont="1" applyAlignment="1">
      <alignment horizontal="left" vertical="center"/>
    </xf>
    <xf numFmtId="49" fontId="9" fillId="0" borderId="0" xfId="0" applyNumberFormat="1" applyFont="1" applyAlignment="1">
      <alignment vertical="center" shrinkToFit="1"/>
    </xf>
    <xf numFmtId="49" fontId="13" fillId="0" borderId="0" xfId="0" applyNumberFormat="1" applyFont="1" applyAlignment="1">
      <alignment vertical="center" shrinkToFit="1"/>
    </xf>
    <xf numFmtId="49" fontId="12" fillId="0" borderId="0" xfId="0" applyNumberFormat="1" applyFont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0" xfId="0" applyNumberFormat="1" applyFont="1" applyAlignment="1">
      <alignment horizontal="left" vertical="center" shrinkToFit="1"/>
    </xf>
    <xf numFmtId="178" fontId="13" fillId="0" borderId="0" xfId="0" applyNumberFormat="1" applyFont="1" applyAlignment="1">
      <alignment horizontal="right" vertical="center" shrinkToFit="1"/>
    </xf>
    <xf numFmtId="177" fontId="9" fillId="0" borderId="0" xfId="20" applyFont="1" applyAlignment="1">
      <alignment horizontal="center" vertical="center" wrapText="1" shrinkToFit="1"/>
    </xf>
    <xf numFmtId="177" fontId="13" fillId="0" borderId="0" xfId="20" applyFont="1" applyAlignment="1">
      <alignment horizontal="center" vertical="center" shrinkToFit="1"/>
    </xf>
    <xf numFmtId="49" fontId="9" fillId="0" borderId="0" xfId="0" applyNumberFormat="1" applyFont="1" applyAlignment="1">
      <alignment horizontal="left" vertical="top" wrapText="1" shrinkToFit="1"/>
    </xf>
    <xf numFmtId="49" fontId="8" fillId="0" borderId="0" xfId="0" applyNumberFormat="1" applyFont="1" applyAlignment="1">
      <alignment horizontal="left" vertical="center"/>
    </xf>
    <xf numFmtId="182" fontId="9" fillId="0" borderId="0" xfId="0" applyNumberFormat="1" applyFont="1" applyAlignment="1">
      <alignment horizontal="right" vertical="center" shrinkToFit="1"/>
    </xf>
    <xf numFmtId="184" fontId="9" fillId="0" borderId="0" xfId="0" applyNumberFormat="1" applyFont="1" applyAlignment="1">
      <alignment horizontal="right" vertical="center" shrinkToFit="1"/>
    </xf>
    <xf numFmtId="181" fontId="9" fillId="0" borderId="0" xfId="0" applyNumberFormat="1" applyFont="1" applyAlignment="1">
      <alignment horizontal="right" vertical="center" shrinkToFit="1"/>
    </xf>
    <xf numFmtId="49" fontId="9" fillId="0" borderId="0" xfId="0" applyNumberFormat="1" applyFont="1" applyAlignment="1">
      <alignment horizontal="right" vertical="center" shrinkToFit="1"/>
    </xf>
    <xf numFmtId="180" fontId="9" fillId="0" borderId="0" xfId="0" applyNumberFormat="1" applyFont="1" applyAlignment="1">
      <alignment horizontal="right" vertical="center" shrinkToFit="1"/>
    </xf>
    <xf numFmtId="179" fontId="9" fillId="0" borderId="0" xfId="0" applyNumberFormat="1" applyFont="1" applyAlignment="1">
      <alignment horizontal="right" vertical="center" shrinkToFit="1"/>
    </xf>
    <xf numFmtId="49" fontId="9" fillId="0" borderId="0" xfId="0" applyNumberFormat="1" applyFont="1" applyAlignment="1">
      <alignment horizontal="left" vertical="center" shrinkToFit="1"/>
    </xf>
    <xf numFmtId="49" fontId="9" fillId="0" borderId="0" xfId="0" applyNumberFormat="1" applyFont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 shrinkToFit="1"/>
    </xf>
    <xf numFmtId="49" fontId="13" fillId="0" borderId="9" xfId="0" applyNumberFormat="1" applyFont="1" applyBorder="1" applyAlignment="1">
      <alignment horizontal="left" vertical="center" shrinkToFit="1"/>
    </xf>
    <xf numFmtId="49" fontId="13" fillId="0" borderId="2" xfId="0" applyNumberFormat="1" applyFont="1" applyBorder="1" applyAlignment="1">
      <alignment vertical="center" shrinkToFit="1"/>
    </xf>
    <xf numFmtId="49" fontId="9" fillId="0" borderId="0" xfId="0" applyNumberFormat="1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/>
    </xf>
    <xf numFmtId="183" fontId="9" fillId="0" borderId="0" xfId="0" applyNumberFormat="1" applyFont="1" applyAlignment="1">
      <alignment horizontal="right" vertical="center" shrinkToFit="1"/>
    </xf>
    <xf numFmtId="178" fontId="9" fillId="0" borderId="0" xfId="0" applyNumberFormat="1" applyFont="1" applyAlignment="1">
      <alignment horizontal="right" vertical="center" shrinkToFit="1"/>
    </xf>
    <xf numFmtId="49" fontId="9" fillId="0" borderId="0" xfId="0" applyNumberFormat="1" applyFont="1" applyAlignment="1">
      <alignment horizontal="right" vertical="center"/>
    </xf>
    <xf numFmtId="185" fontId="9" fillId="0" borderId="0" xfId="20" applyNumberFormat="1" applyFont="1" applyBorder="1">
      <alignment vertical="center"/>
    </xf>
    <xf numFmtId="0" fontId="23" fillId="0" borderId="0" xfId="0" applyFont="1" applyBorder="1" applyAlignment="1">
      <alignment horizontal="left" vertical="center"/>
    </xf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/>
    </xf>
    <xf numFmtId="179" fontId="25" fillId="0" borderId="11" xfId="0" applyNumberFormat="1" applyFont="1" applyBorder="1" applyAlignment="1">
      <alignment horizontal="right" vertical="center" shrinkToFit="1"/>
    </xf>
    <xf numFmtId="49" fontId="26" fillId="0" borderId="0" xfId="0" applyNumberFormat="1" applyFont="1" applyAlignment="1">
      <alignment horizontal="center" vertical="center" shrinkToFit="1"/>
    </xf>
    <xf numFmtId="49" fontId="9" fillId="0" borderId="0" xfId="0" applyNumberFormat="1" applyFont="1" applyAlignment="1">
      <alignment horizontal="center" vertical="center" shrinkToFit="1"/>
    </xf>
    <xf numFmtId="182" fontId="0" fillId="0" borderId="0" xfId="0" applyNumberFormat="1" applyFont="1" applyAlignment="1">
      <alignment horizontal="right" vertical="center" shrinkToFit="1"/>
    </xf>
    <xf numFmtId="186" fontId="26" fillId="0" borderId="0" xfId="20" applyNumberFormat="1" applyFont="1">
      <alignment vertical="center"/>
    </xf>
    <xf numFmtId="182" fontId="26" fillId="0" borderId="11" xfId="0" applyNumberFormat="1" applyFont="1" applyBorder="1" applyAlignment="1">
      <alignment horizontal="right" vertical="center" shrinkToFit="1"/>
    </xf>
    <xf numFmtId="49" fontId="26" fillId="0" borderId="0" xfId="0" applyNumberFormat="1" applyFont="1" applyAlignment="1">
      <alignment horizontal="left" vertical="center"/>
    </xf>
  </cellXfs>
  <cellStyles count="39">
    <cellStyle name="¤@¯ë 2" xfId="38" xr:uid="{00000000-0005-0000-0000-000000000000}"/>
    <cellStyle name="¤d¤À¦ì 2" xfId="1" xr:uid="{00000000-0005-0000-0000-000001000000}"/>
    <cellStyle name="Normal 2" xfId="2" xr:uid="{00000000-0005-0000-0000-000003000000}"/>
    <cellStyle name="Normal 3" xfId="3" xr:uid="{00000000-0005-0000-0000-000004000000}"/>
    <cellStyle name="一般" xfId="0" builtinId="0"/>
    <cellStyle name="一般 10" xfId="4" xr:uid="{00000000-0005-0000-0000-000007000000}"/>
    <cellStyle name="一般 10 2" xfId="5" xr:uid="{00000000-0005-0000-0000-000008000000}"/>
    <cellStyle name="一般 11" xfId="6" xr:uid="{00000000-0005-0000-0000-000009000000}"/>
    <cellStyle name="一般 12" xfId="7" xr:uid="{00000000-0005-0000-0000-00000A000000}"/>
    <cellStyle name="一般 15" xfId="8" xr:uid="{00000000-0005-0000-0000-00000B000000}"/>
    <cellStyle name="一般 2" xfId="9" xr:uid="{00000000-0005-0000-0000-00000C000000}"/>
    <cellStyle name="一般 2 2" xfId="10" xr:uid="{00000000-0005-0000-0000-00000D000000}"/>
    <cellStyle name="一般 2 2 2" xfId="11" xr:uid="{00000000-0005-0000-0000-00000E000000}"/>
    <cellStyle name="一般 2 2 3" xfId="12" xr:uid="{00000000-0005-0000-0000-00000F000000}"/>
    <cellStyle name="一般 3" xfId="13" xr:uid="{00000000-0005-0000-0000-000010000000}"/>
    <cellStyle name="一般 4" xfId="14" xr:uid="{00000000-0005-0000-0000-000011000000}"/>
    <cellStyle name="一般 5" xfId="15" xr:uid="{00000000-0005-0000-0000-000012000000}"/>
    <cellStyle name="一般 6" xfId="16" xr:uid="{00000000-0005-0000-0000-000013000000}"/>
    <cellStyle name="一般 7" xfId="17" xr:uid="{00000000-0005-0000-0000-000014000000}"/>
    <cellStyle name="一般 8" xfId="18" xr:uid="{00000000-0005-0000-0000-000015000000}"/>
    <cellStyle name="一般 9" xfId="19" xr:uid="{00000000-0005-0000-0000-000016000000}"/>
    <cellStyle name="千分位" xfId="20" builtinId="3"/>
    <cellStyle name="千分位 10" xfId="21" xr:uid="{00000000-0005-0000-0000-000018000000}"/>
    <cellStyle name="千分位 11" xfId="22" xr:uid="{00000000-0005-0000-0000-000019000000}"/>
    <cellStyle name="千分位 12" xfId="23" xr:uid="{00000000-0005-0000-0000-00001A000000}"/>
    <cellStyle name="千分位 13" xfId="24" xr:uid="{00000000-0005-0000-0000-00001B000000}"/>
    <cellStyle name="千分位 14" xfId="25" xr:uid="{00000000-0005-0000-0000-00001C000000}"/>
    <cellStyle name="千分位 15" xfId="26" xr:uid="{00000000-0005-0000-0000-00001D000000}"/>
    <cellStyle name="千分位 16" xfId="27" xr:uid="{00000000-0005-0000-0000-00001E000000}"/>
    <cellStyle name="千分位 2" xfId="28" xr:uid="{00000000-0005-0000-0000-00001F000000}"/>
    <cellStyle name="千分位 3" xfId="29" xr:uid="{00000000-0005-0000-0000-000020000000}"/>
    <cellStyle name="千分位 4" xfId="30" xr:uid="{00000000-0005-0000-0000-000021000000}"/>
    <cellStyle name="千分位 5" xfId="31" xr:uid="{00000000-0005-0000-0000-000022000000}"/>
    <cellStyle name="千分位 6" xfId="32" xr:uid="{00000000-0005-0000-0000-000023000000}"/>
    <cellStyle name="千分位 7" xfId="33" xr:uid="{00000000-0005-0000-0000-000024000000}"/>
    <cellStyle name="千分位 8" xfId="34" xr:uid="{00000000-0005-0000-0000-000025000000}"/>
    <cellStyle name="千分位 9" xfId="35" xr:uid="{00000000-0005-0000-0000-000026000000}"/>
    <cellStyle name="千位分隔 2" xfId="36" xr:uid="{00000000-0005-0000-0000-000027000000}"/>
    <cellStyle name="常规 2" xfId="37" xr:uid="{00000000-0005-0000-0000-00002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9"/>
  <sheetViews>
    <sheetView tabSelected="1" workbookViewId="0">
      <selection activeCell="R31" sqref="R31"/>
    </sheetView>
  </sheetViews>
  <sheetFormatPr defaultColWidth="9" defaultRowHeight="15"/>
  <cols>
    <col min="1" max="1" width="11.33203125" style="8" customWidth="1"/>
    <col min="2" max="2" width="25.44140625" style="17" customWidth="1"/>
    <col min="3" max="3" width="4.33203125" style="14" customWidth="1"/>
    <col min="4" max="4" width="9.33203125" style="47" customWidth="1"/>
    <col min="5" max="5" width="8.109375" style="14" customWidth="1"/>
    <col min="6" max="6" width="8.6640625" style="48" customWidth="1"/>
    <col min="7" max="7" width="5.33203125" style="49" customWidth="1"/>
    <col min="8" max="8" width="6.44140625" style="50" customWidth="1"/>
    <col min="9" max="9" width="5.5546875" style="49" customWidth="1"/>
    <col min="10" max="10" width="10" style="18" customWidth="1"/>
    <col min="11" max="11" width="5.44140625" style="3" hidden="1" customWidth="1"/>
    <col min="12" max="12" width="3.88671875" style="1" hidden="1" customWidth="1"/>
    <col min="13" max="13" width="9" style="1" customWidth="1"/>
    <col min="14" max="16384" width="9" style="1"/>
  </cols>
  <sheetData>
    <row r="1" spans="1:11" ht="23.25" customHeight="1">
      <c r="A1" s="110" t="s">
        <v>123</v>
      </c>
      <c r="B1" s="110"/>
      <c r="C1" s="110"/>
      <c r="D1" s="110"/>
      <c r="E1" s="110"/>
      <c r="F1" s="110"/>
      <c r="G1" s="110"/>
      <c r="H1" s="110"/>
      <c r="I1" s="110"/>
      <c r="J1" s="110"/>
    </row>
    <row r="2" spans="1:11" ht="20.45" customHeight="1">
      <c r="A2" s="114" t="s">
        <v>122</v>
      </c>
      <c r="B2" s="115"/>
      <c r="C2" s="115"/>
      <c r="D2" s="115"/>
      <c r="E2" s="115"/>
      <c r="F2" s="115"/>
      <c r="G2" s="115"/>
      <c r="H2" s="115"/>
      <c r="I2" s="115"/>
      <c r="J2" s="115"/>
      <c r="K2" s="2"/>
    </row>
    <row r="3" spans="1:11" ht="21" customHeight="1">
      <c r="A3" s="111" t="s">
        <v>0</v>
      </c>
      <c r="B3" s="111"/>
      <c r="C3" s="111"/>
      <c r="D3" s="111"/>
      <c r="E3" s="111"/>
      <c r="F3" s="111"/>
      <c r="G3" s="111"/>
      <c r="H3" s="111"/>
      <c r="I3" s="111"/>
      <c r="J3" s="111"/>
    </row>
    <row r="4" spans="1:11" ht="6.75" customHeight="1">
      <c r="B4" s="9"/>
      <c r="C4" s="10"/>
      <c r="D4" s="43"/>
      <c r="E4" s="10"/>
      <c r="F4" s="44"/>
      <c r="G4" s="45"/>
      <c r="H4" s="46"/>
      <c r="I4" s="45"/>
      <c r="J4" s="13"/>
    </row>
    <row r="5" spans="1:11">
      <c r="A5" s="8" t="s">
        <v>1</v>
      </c>
      <c r="B5" s="9" t="s">
        <v>94</v>
      </c>
      <c r="F5" s="113" t="s">
        <v>3</v>
      </c>
      <c r="G5" s="113"/>
      <c r="H5" s="112" t="s">
        <v>4</v>
      </c>
      <c r="I5" s="112"/>
      <c r="J5" s="112"/>
    </row>
    <row r="6" spans="1:11" ht="9" customHeight="1"/>
    <row r="7" spans="1:11">
      <c r="A7" s="109" t="s">
        <v>5</v>
      </c>
      <c r="B7" s="109"/>
    </row>
    <row r="8" spans="1:11">
      <c r="A8" s="109" t="s">
        <v>6</v>
      </c>
      <c r="B8" s="109"/>
      <c r="E8" s="109" t="s">
        <v>7</v>
      </c>
      <c r="F8" s="109"/>
      <c r="G8" s="109"/>
      <c r="H8" s="109"/>
      <c r="I8" s="109"/>
      <c r="J8" s="109"/>
    </row>
    <row r="9" spans="1:11">
      <c r="A9" s="109" t="s">
        <v>123</v>
      </c>
      <c r="B9" s="109"/>
      <c r="C9" s="109"/>
      <c r="D9" s="109"/>
      <c r="E9" s="109" t="s">
        <v>9</v>
      </c>
      <c r="F9" s="109"/>
      <c r="G9" s="109"/>
      <c r="H9" s="109"/>
      <c r="I9" s="109"/>
      <c r="J9" s="109"/>
    </row>
    <row r="10" spans="1:11" ht="63" customHeight="1">
      <c r="A10" s="116" t="s">
        <v>122</v>
      </c>
      <c r="B10" s="116"/>
      <c r="C10" s="116"/>
      <c r="D10" s="116"/>
      <c r="E10" s="116" t="s">
        <v>11</v>
      </c>
      <c r="F10" s="116"/>
      <c r="G10" s="116"/>
      <c r="H10" s="116"/>
      <c r="I10" s="116"/>
      <c r="J10" s="116"/>
    </row>
    <row r="11" spans="1:11" ht="12.75" customHeight="1">
      <c r="A11" s="108"/>
      <c r="B11" s="108"/>
      <c r="C11" s="108"/>
      <c r="D11" s="108"/>
      <c r="E11" s="108" t="s">
        <v>12</v>
      </c>
      <c r="F11" s="108"/>
      <c r="G11" s="108"/>
      <c r="H11" s="108"/>
      <c r="I11" s="108"/>
      <c r="J11" s="108"/>
    </row>
    <row r="12" spans="1:11">
      <c r="A12" s="108" t="s">
        <v>89</v>
      </c>
      <c r="B12" s="108"/>
      <c r="C12" s="108"/>
      <c r="D12" s="108"/>
      <c r="E12" s="10"/>
      <c r="F12" s="109"/>
      <c r="G12" s="109"/>
      <c r="H12" s="109"/>
      <c r="I12" s="109"/>
      <c r="J12" s="109"/>
    </row>
    <row r="13" spans="1:11">
      <c r="A13" s="108" t="s">
        <v>124</v>
      </c>
      <c r="B13" s="108"/>
      <c r="C13" s="108"/>
      <c r="D13" s="108"/>
      <c r="E13" s="10" t="s">
        <v>13</v>
      </c>
      <c r="F13" s="109" t="s">
        <v>9</v>
      </c>
      <c r="G13" s="109"/>
      <c r="H13" s="109"/>
      <c r="I13" s="109"/>
      <c r="J13" s="109"/>
    </row>
    <row r="14" spans="1:11" ht="6" customHeight="1">
      <c r="A14" s="51"/>
      <c r="B14" s="52"/>
      <c r="C14" s="53"/>
      <c r="D14" s="54"/>
      <c r="E14" s="53"/>
      <c r="F14" s="55"/>
      <c r="G14" s="56"/>
      <c r="H14" s="57"/>
      <c r="I14" s="56"/>
      <c r="J14" s="58"/>
      <c r="K14" s="5"/>
    </row>
    <row r="15" spans="1:11">
      <c r="A15" s="109" t="s">
        <v>14</v>
      </c>
      <c r="B15" s="109"/>
    </row>
    <row r="16" spans="1:11">
      <c r="A16" s="109" t="s">
        <v>15</v>
      </c>
      <c r="B16" s="109"/>
      <c r="E16" s="105" t="s">
        <v>127</v>
      </c>
      <c r="F16" s="106"/>
    </row>
    <row r="17" spans="1:12" ht="15" customHeight="1">
      <c r="A17" s="127" t="s">
        <v>95</v>
      </c>
      <c r="B17" s="127"/>
      <c r="C17" s="9"/>
      <c r="D17" s="126" t="s">
        <v>16</v>
      </c>
      <c r="E17" s="126"/>
      <c r="F17" s="126"/>
      <c r="G17" s="126"/>
      <c r="H17" s="126" t="s">
        <v>17</v>
      </c>
      <c r="I17" s="126"/>
      <c r="J17" s="59"/>
      <c r="K17" s="4"/>
    </row>
    <row r="18" spans="1:12">
      <c r="A18" s="60"/>
      <c r="B18" s="61" t="s">
        <v>18</v>
      </c>
      <c r="C18" s="62" t="s">
        <v>19</v>
      </c>
      <c r="D18" s="63" t="s">
        <v>103</v>
      </c>
      <c r="E18" s="62" t="s">
        <v>20</v>
      </c>
      <c r="F18" s="126" t="s">
        <v>21</v>
      </c>
      <c r="G18" s="126" t="s">
        <v>22</v>
      </c>
      <c r="H18" s="126" t="s">
        <v>22</v>
      </c>
      <c r="I18" s="126"/>
      <c r="J18" s="59" t="s">
        <v>23</v>
      </c>
      <c r="K18" s="4" t="s">
        <v>24</v>
      </c>
    </row>
    <row r="19" spans="1:12">
      <c r="A19" s="64" t="s">
        <v>25</v>
      </c>
      <c r="B19" s="31" t="s">
        <v>2</v>
      </c>
      <c r="C19" s="32"/>
      <c r="D19" s="65"/>
      <c r="E19" s="32"/>
      <c r="F19" s="66"/>
      <c r="G19" s="67"/>
      <c r="H19" s="68"/>
      <c r="I19" s="67"/>
      <c r="J19" s="35"/>
    </row>
    <row r="20" spans="1:12">
      <c r="A20" s="8" t="s">
        <v>26</v>
      </c>
      <c r="B20" s="17" t="s">
        <v>90</v>
      </c>
    </row>
    <row r="21" spans="1:12">
      <c r="A21" s="8" t="s">
        <v>28</v>
      </c>
      <c r="B21" s="17" t="s">
        <v>91</v>
      </c>
    </row>
    <row r="22" spans="1:12">
      <c r="A22" s="8" t="s">
        <v>30</v>
      </c>
      <c r="B22" s="17" t="s">
        <v>93</v>
      </c>
    </row>
    <row r="23" spans="1:12">
      <c r="A23" s="8" t="s">
        <v>31</v>
      </c>
      <c r="B23" s="17" t="s">
        <v>32</v>
      </c>
    </row>
    <row r="24" spans="1:12">
      <c r="B24" s="117" t="s">
        <v>92</v>
      </c>
      <c r="C24" s="118"/>
      <c r="D24" s="119"/>
      <c r="E24" s="118"/>
      <c r="F24" s="120"/>
      <c r="G24" s="121"/>
      <c r="H24" s="122"/>
      <c r="I24" s="121"/>
      <c r="J24" s="123"/>
      <c r="K24" s="118"/>
      <c r="L24" s="124"/>
    </row>
    <row r="25" spans="1:12">
      <c r="B25" s="17" t="s">
        <v>34</v>
      </c>
      <c r="C25" s="14">
        <v>2</v>
      </c>
      <c r="D25" s="47">
        <v>92.36</v>
      </c>
      <c r="E25" s="14">
        <v>101</v>
      </c>
      <c r="F25" s="48">
        <v>10.199999999999999</v>
      </c>
      <c r="G25" s="49" t="s">
        <v>35</v>
      </c>
      <c r="H25" s="50">
        <v>0.46</v>
      </c>
      <c r="I25" s="49" t="s">
        <v>36</v>
      </c>
      <c r="J25" s="18">
        <v>46.46</v>
      </c>
    </row>
    <row r="26" spans="1:12">
      <c r="B26" s="17" t="s">
        <v>37</v>
      </c>
      <c r="C26" s="14">
        <v>1</v>
      </c>
      <c r="D26" s="47">
        <v>84.12</v>
      </c>
      <c r="E26" s="14">
        <v>92</v>
      </c>
      <c r="F26" s="48">
        <v>8.6999999999999993</v>
      </c>
      <c r="G26" s="49" t="s">
        <v>35</v>
      </c>
      <c r="H26" s="50">
        <v>3.72</v>
      </c>
      <c r="I26" s="49" t="s">
        <v>36</v>
      </c>
      <c r="J26" s="18">
        <v>342.24</v>
      </c>
    </row>
    <row r="27" spans="1:12">
      <c r="B27" s="17" t="s">
        <v>38</v>
      </c>
      <c r="C27" s="14">
        <v>2</v>
      </c>
      <c r="D27" s="47">
        <v>169.16</v>
      </c>
      <c r="E27" s="14">
        <v>185</v>
      </c>
      <c r="F27" s="48">
        <v>17.3</v>
      </c>
      <c r="G27" s="49" t="s">
        <v>35</v>
      </c>
      <c r="H27" s="50">
        <v>2.08</v>
      </c>
      <c r="I27" s="49" t="s">
        <v>36</v>
      </c>
      <c r="J27" s="18">
        <v>384.8</v>
      </c>
    </row>
    <row r="28" spans="1:12">
      <c r="B28" s="17" t="s">
        <v>39</v>
      </c>
      <c r="C28" s="14">
        <v>1</v>
      </c>
      <c r="D28" s="47">
        <v>184.71</v>
      </c>
      <c r="E28" s="14">
        <v>202</v>
      </c>
      <c r="F28" s="48">
        <v>19.399999999999999</v>
      </c>
      <c r="G28" s="49" t="s">
        <v>35</v>
      </c>
      <c r="H28" s="50">
        <v>1.95</v>
      </c>
      <c r="I28" s="49" t="s">
        <v>36</v>
      </c>
      <c r="J28" s="18">
        <v>393.9</v>
      </c>
    </row>
    <row r="29" spans="1:12">
      <c r="B29" s="17" t="s">
        <v>40</v>
      </c>
      <c r="C29" s="14">
        <v>1</v>
      </c>
      <c r="D29" s="47">
        <v>47.55</v>
      </c>
      <c r="E29" s="14">
        <v>52</v>
      </c>
      <c r="F29" s="48">
        <v>4.5999999999999996</v>
      </c>
      <c r="G29" s="49" t="s">
        <v>35</v>
      </c>
      <c r="H29" s="50">
        <v>6.23</v>
      </c>
      <c r="I29" s="49" t="s">
        <v>36</v>
      </c>
      <c r="J29" s="18">
        <v>323.95999999999998</v>
      </c>
    </row>
    <row r="30" spans="1:12">
      <c r="B30" s="17" t="s">
        <v>41</v>
      </c>
      <c r="C30" s="14">
        <v>2</v>
      </c>
      <c r="D30" s="47">
        <v>125.27</v>
      </c>
      <c r="E30" s="14">
        <v>137</v>
      </c>
      <c r="F30" s="48">
        <v>13.6</v>
      </c>
      <c r="G30" s="49" t="s">
        <v>35</v>
      </c>
      <c r="H30" s="50">
        <v>2.65</v>
      </c>
      <c r="I30" s="49" t="s">
        <v>36</v>
      </c>
      <c r="J30" s="18">
        <v>363.05</v>
      </c>
    </row>
    <row r="31" spans="1:12">
      <c r="B31" s="70"/>
    </row>
    <row r="32" spans="1:12">
      <c r="B32" s="70"/>
    </row>
    <row r="33" spans="1:16" ht="17.25">
      <c r="B33" s="72" t="s">
        <v>102</v>
      </c>
      <c r="C33" s="1"/>
      <c r="D33" s="1"/>
      <c r="E33" s="73"/>
    </row>
    <row r="34" spans="1:16" ht="16.5">
      <c r="B34" s="107" t="s">
        <v>100</v>
      </c>
      <c r="C34" s="107"/>
      <c r="D34" s="107"/>
      <c r="E34" s="107"/>
      <c r="F34" s="107"/>
      <c r="G34" s="107"/>
      <c r="H34" s="107"/>
      <c r="I34" s="107"/>
      <c r="J34" s="107"/>
    </row>
    <row r="35" spans="1:16" ht="16.5">
      <c r="B35" s="107" t="s">
        <v>96</v>
      </c>
      <c r="C35" s="107"/>
      <c r="D35" s="107"/>
      <c r="E35" s="107"/>
      <c r="F35" s="107"/>
      <c r="G35" s="107"/>
      <c r="H35" s="107"/>
      <c r="I35" s="107"/>
      <c r="J35" s="107"/>
      <c r="P35" s="71"/>
    </row>
    <row r="36" spans="1:16" ht="16.5">
      <c r="B36" s="107" t="s">
        <v>97</v>
      </c>
      <c r="C36" s="107">
        <v>1</v>
      </c>
      <c r="D36" s="134">
        <v>10696</v>
      </c>
      <c r="E36" s="107"/>
      <c r="F36" s="48">
        <v>11.6</v>
      </c>
      <c r="G36" s="107" t="s">
        <v>125</v>
      </c>
      <c r="H36" s="107">
        <v>1.7299999999999999E-2</v>
      </c>
      <c r="I36" s="107" t="s">
        <v>126</v>
      </c>
      <c r="J36" s="136">
        <f>D36*H36</f>
        <v>185.04079999999999</v>
      </c>
      <c r="M36" s="73"/>
      <c r="P36" s="71"/>
    </row>
    <row r="37" spans="1:16" ht="16.5">
      <c r="B37" s="107"/>
      <c r="C37" s="107"/>
      <c r="D37" s="135"/>
      <c r="E37" s="107"/>
      <c r="F37" s="107"/>
      <c r="G37" s="107"/>
      <c r="H37" s="107"/>
      <c r="I37" s="107"/>
      <c r="J37" s="137"/>
    </row>
    <row r="38" spans="1:16" ht="16.5">
      <c r="B38" s="107" t="s">
        <v>101</v>
      </c>
      <c r="C38" s="107"/>
      <c r="D38" s="107"/>
      <c r="E38" s="107"/>
      <c r="F38" s="107"/>
      <c r="G38" s="107"/>
      <c r="H38" s="107"/>
      <c r="I38" s="107"/>
      <c r="J38" s="137"/>
    </row>
    <row r="39" spans="1:16" ht="16.5">
      <c r="B39" s="107" t="s">
        <v>98</v>
      </c>
      <c r="C39" s="107"/>
      <c r="D39" s="107"/>
      <c r="E39" s="107"/>
      <c r="F39" s="107"/>
      <c r="G39" s="107"/>
      <c r="H39" s="107"/>
      <c r="I39" s="107"/>
      <c r="J39" s="137"/>
    </row>
    <row r="40" spans="1:16" ht="16.5">
      <c r="B40" s="107" t="s">
        <v>99</v>
      </c>
      <c r="C40" s="107"/>
      <c r="D40" s="134">
        <v>20450</v>
      </c>
      <c r="E40" s="107"/>
      <c r="F40" s="107"/>
      <c r="G40" s="107"/>
      <c r="H40" s="107">
        <v>1.46E-2</v>
      </c>
      <c r="I40" s="107" t="s">
        <v>126</v>
      </c>
      <c r="J40" s="136">
        <f>D40*H40</f>
        <v>298.57</v>
      </c>
    </row>
    <row r="41" spans="1:16" ht="15.75" thickBot="1">
      <c r="A41" s="75"/>
      <c r="B41" s="76"/>
      <c r="C41" s="77"/>
      <c r="D41" s="78"/>
      <c r="E41" s="77"/>
      <c r="F41" s="79"/>
      <c r="G41" s="80"/>
      <c r="H41" s="81"/>
      <c r="I41" s="80"/>
      <c r="J41" s="82"/>
    </row>
    <row r="42" spans="1:16" ht="16.5" thickBot="1">
      <c r="A42" s="85"/>
      <c r="B42" s="86" t="s">
        <v>42</v>
      </c>
      <c r="C42" s="87">
        <f>SUM(C25:C41)</f>
        <v>10</v>
      </c>
      <c r="D42" s="142">
        <v>703.17</v>
      </c>
      <c r="E42" s="143" t="s">
        <v>128</v>
      </c>
      <c r="F42" s="48">
        <f>SUM(F25:F41)</f>
        <v>85.399999999999991</v>
      </c>
      <c r="G42" s="49" t="s">
        <v>35</v>
      </c>
      <c r="H42" s="89"/>
      <c r="I42" s="88"/>
      <c r="J42" s="138">
        <f>SUM(J25:J41)</f>
        <v>2338.0208000000002</v>
      </c>
      <c r="K42" s="6"/>
    </row>
    <row r="43" spans="1:16" ht="17.25" thickTop="1" thickBot="1">
      <c r="A43" s="75"/>
      <c r="B43" s="93"/>
      <c r="C43" s="97"/>
      <c r="D43" s="100">
        <f>D36+D40</f>
        <v>31146</v>
      </c>
      <c r="E43" s="97"/>
      <c r="F43" s="101"/>
      <c r="G43" s="102"/>
      <c r="H43" s="103"/>
      <c r="I43" s="102"/>
      <c r="J43" s="104"/>
      <c r="K43" s="84"/>
    </row>
    <row r="44" spans="1:16" ht="15.75">
      <c r="B44" s="9"/>
      <c r="C44" s="10"/>
      <c r="D44" s="43"/>
      <c r="E44" s="10"/>
      <c r="F44" s="44"/>
      <c r="G44" s="45"/>
      <c r="H44" s="46"/>
      <c r="I44" s="45"/>
      <c r="J44" s="13"/>
      <c r="K44" s="84"/>
    </row>
    <row r="45" spans="1:16" s="69" customFormat="1" ht="12.75">
      <c r="A45" s="139" t="s">
        <v>104</v>
      </c>
      <c r="B45" s="125"/>
      <c r="C45" s="118"/>
      <c r="D45" s="119"/>
      <c r="E45" s="118"/>
      <c r="F45" s="120"/>
      <c r="G45" s="121"/>
      <c r="H45" s="122"/>
      <c r="I45" s="121"/>
      <c r="J45" s="123"/>
      <c r="K45" s="118"/>
    </row>
    <row r="46" spans="1:16" s="69" customFormat="1" ht="12.75">
      <c r="A46" s="140"/>
      <c r="B46" s="17"/>
      <c r="C46" s="14"/>
      <c r="D46" s="47"/>
      <c r="E46" s="14"/>
      <c r="F46" s="48"/>
      <c r="G46" s="49"/>
      <c r="H46" s="50"/>
      <c r="I46" s="49"/>
      <c r="J46" s="18"/>
      <c r="K46" s="14"/>
    </row>
    <row r="47" spans="1:16">
      <c r="A47" s="140"/>
      <c r="K47" s="141"/>
    </row>
    <row r="48" spans="1:16">
      <c r="A48" s="124" t="s">
        <v>43</v>
      </c>
      <c r="B48" s="125"/>
      <c r="K48" s="141"/>
    </row>
    <row r="49" spans="1:11">
      <c r="A49" s="140"/>
      <c r="K49" s="141"/>
    </row>
    <row r="50" spans="1:11">
      <c r="A50" s="124" t="s">
        <v>9</v>
      </c>
      <c r="B50" s="125"/>
      <c r="C50" s="118"/>
      <c r="D50" s="119"/>
      <c r="E50" s="118"/>
      <c r="F50" s="120"/>
      <c r="G50" s="121"/>
      <c r="H50" s="122"/>
      <c r="I50" s="121"/>
      <c r="J50" s="123"/>
      <c r="K50" s="141"/>
    </row>
    <row r="51" spans="1:11">
      <c r="A51" s="124" t="s">
        <v>44</v>
      </c>
      <c r="B51" s="125"/>
      <c r="C51" s="118"/>
      <c r="D51" s="119"/>
      <c r="E51" s="118"/>
      <c r="F51" s="120"/>
      <c r="G51" s="121"/>
      <c r="H51" s="122"/>
      <c r="I51" s="121"/>
      <c r="J51" s="123"/>
      <c r="K51" s="141"/>
    </row>
    <row r="52" spans="1:11">
      <c r="A52" s="124" t="s">
        <v>45</v>
      </c>
      <c r="B52" s="125"/>
      <c r="C52" s="118"/>
      <c r="D52" s="119"/>
      <c r="E52" s="118"/>
      <c r="F52" s="120"/>
      <c r="G52" s="121"/>
      <c r="H52" s="122"/>
      <c r="I52" s="121"/>
      <c r="J52" s="123"/>
      <c r="K52" s="141"/>
    </row>
    <row r="53" spans="1:11">
      <c r="A53" s="124" t="s">
        <v>46</v>
      </c>
      <c r="B53" s="125"/>
      <c r="C53" s="118"/>
      <c r="D53" s="119"/>
      <c r="E53" s="118"/>
      <c r="F53" s="120"/>
      <c r="G53" s="121"/>
      <c r="H53" s="122"/>
      <c r="I53" s="121"/>
      <c r="J53" s="123"/>
      <c r="K53" s="141"/>
    </row>
    <row r="54" spans="1:11">
      <c r="A54" s="124" t="s">
        <v>47</v>
      </c>
      <c r="B54" s="125"/>
      <c r="C54" s="118"/>
      <c r="D54" s="119"/>
      <c r="E54" s="118"/>
      <c r="F54" s="120"/>
      <c r="G54" s="121"/>
      <c r="H54" s="122"/>
      <c r="I54" s="121"/>
      <c r="J54" s="123"/>
      <c r="K54" s="141"/>
    </row>
    <row r="55" spans="1:11">
      <c r="A55" s="124" t="s">
        <v>48</v>
      </c>
      <c r="B55" s="125"/>
      <c r="C55" s="118"/>
      <c r="D55" s="119"/>
      <c r="E55" s="118"/>
      <c r="F55" s="120"/>
      <c r="G55" s="121"/>
      <c r="H55" s="122"/>
      <c r="I55" s="121"/>
      <c r="J55" s="123"/>
      <c r="K55" s="141"/>
    </row>
    <row r="56" spans="1:11">
      <c r="A56" s="124" t="s">
        <v>49</v>
      </c>
      <c r="B56" s="125"/>
      <c r="C56" s="118"/>
      <c r="D56" s="119"/>
      <c r="E56" s="118"/>
      <c r="F56" s="120"/>
      <c r="G56" s="121"/>
      <c r="H56" s="122"/>
      <c r="I56" s="121"/>
      <c r="J56" s="123"/>
      <c r="K56" s="141"/>
    </row>
    <row r="57" spans="1:11">
      <c r="A57" s="124" t="s">
        <v>50</v>
      </c>
      <c r="B57" s="125"/>
      <c r="C57" s="118"/>
      <c r="D57" s="119"/>
      <c r="E57" s="118"/>
      <c r="F57" s="120"/>
      <c r="G57" s="121"/>
      <c r="H57" s="122"/>
      <c r="I57" s="121"/>
      <c r="J57" s="123"/>
      <c r="K57" s="141"/>
    </row>
    <row r="58" spans="1:11">
      <c r="A58" s="140"/>
      <c r="K58" s="141"/>
    </row>
    <row r="59" spans="1:11">
      <c r="A59" s="17" t="s">
        <v>105</v>
      </c>
      <c r="K59" s="141"/>
    </row>
    <row r="60" spans="1:11">
      <c r="A60" s="17" t="s">
        <v>106</v>
      </c>
      <c r="K60" s="141"/>
    </row>
    <row r="61" spans="1:11">
      <c r="A61" s="17" t="s">
        <v>107</v>
      </c>
      <c r="K61" s="141"/>
    </row>
    <row r="62" spans="1:11">
      <c r="A62" s="17" t="s">
        <v>108</v>
      </c>
      <c r="K62" s="141"/>
    </row>
    <row r="63" spans="1:11">
      <c r="A63" s="17" t="s">
        <v>109</v>
      </c>
      <c r="K63" s="141"/>
    </row>
    <row r="64" spans="1:11">
      <c r="A64" s="17" t="s">
        <v>110</v>
      </c>
      <c r="K64" s="141"/>
    </row>
    <row r="65" spans="1:11">
      <c r="A65" s="17" t="s">
        <v>111</v>
      </c>
      <c r="K65" s="141"/>
    </row>
    <row r="66" spans="1:11">
      <c r="A66" s="17" t="s">
        <v>112</v>
      </c>
      <c r="K66" s="141"/>
    </row>
    <row r="67" spans="1:11">
      <c r="A67" s="69" t="s">
        <v>113</v>
      </c>
      <c r="K67" s="141"/>
    </row>
    <row r="68" spans="1:11">
      <c r="A68" s="69" t="s">
        <v>114</v>
      </c>
      <c r="K68" s="141"/>
    </row>
    <row r="69" spans="1:11">
      <c r="A69" s="69" t="s">
        <v>115</v>
      </c>
      <c r="K69" s="141"/>
    </row>
  </sheetData>
  <mergeCells count="36">
    <mergeCell ref="A48:B48"/>
    <mergeCell ref="A50:J50"/>
    <mergeCell ref="A56:J56"/>
    <mergeCell ref="A57:J57"/>
    <mergeCell ref="A51:J51"/>
    <mergeCell ref="A52:J52"/>
    <mergeCell ref="A53:J53"/>
    <mergeCell ref="A54:J54"/>
    <mergeCell ref="A55:J55"/>
    <mergeCell ref="A45:K45"/>
    <mergeCell ref="F18:G18"/>
    <mergeCell ref="H17:I17"/>
    <mergeCell ref="H18:I18"/>
    <mergeCell ref="D17:G17"/>
    <mergeCell ref="A17:B17"/>
    <mergeCell ref="E10:J10"/>
    <mergeCell ref="E11:J11"/>
    <mergeCell ref="A15:B15"/>
    <mergeCell ref="A16:B16"/>
    <mergeCell ref="B24:L24"/>
    <mergeCell ref="A12:D12"/>
    <mergeCell ref="F12:J12"/>
    <mergeCell ref="A13:D13"/>
    <mergeCell ref="F13:J13"/>
    <mergeCell ref="A1:J1"/>
    <mergeCell ref="A7:B7"/>
    <mergeCell ref="A8:B8"/>
    <mergeCell ref="A9:D9"/>
    <mergeCell ref="A3:J3"/>
    <mergeCell ref="E8:J8"/>
    <mergeCell ref="H5:J5"/>
    <mergeCell ref="F5:G5"/>
    <mergeCell ref="A2:J2"/>
    <mergeCell ref="E9:J9"/>
    <mergeCell ref="A10:D10"/>
    <mergeCell ref="A11:D11"/>
  </mergeCells>
  <phoneticPr fontId="18" type="noConversion"/>
  <printOptions horizontalCentered="1"/>
  <pageMargins left="0" right="0" top="0" bottom="0" header="0" footer="0.19685039370078741"/>
  <pageSetup paperSize="9" scale="90" orientation="portrait" r:id="rId1"/>
  <headerFooter>
    <oddFooter>&amp;CPage:&amp;P/&amp;N&amp;RPrintTime:&amp;D 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758F-53EB-48C1-A87C-A372089DEE44}">
  <dimension ref="A1:K83"/>
  <sheetViews>
    <sheetView workbookViewId="0">
      <selection activeCell="P63" sqref="P63"/>
    </sheetView>
  </sheetViews>
  <sheetFormatPr defaultColWidth="9" defaultRowHeight="15"/>
  <cols>
    <col min="1" max="1" width="14" style="9" customWidth="1"/>
    <col min="2" max="2" width="12.109375" style="17" customWidth="1"/>
    <col min="3" max="3" width="8" style="14" customWidth="1"/>
    <col min="4" max="4" width="8" style="15" hidden="1" customWidth="1"/>
    <col min="5" max="5" width="7.44140625" style="15" customWidth="1"/>
    <col min="6" max="6" width="8.44140625" style="16" customWidth="1"/>
    <col min="7" max="7" width="5.44140625" style="16" hidden="1" customWidth="1"/>
    <col min="8" max="8" width="10.44140625" style="18" customWidth="1"/>
    <col min="9" max="10" width="6.6640625" style="15" customWidth="1"/>
    <col min="11" max="11" width="9.109375" style="16" customWidth="1"/>
    <col min="12" max="12" width="9.77734375" style="1" customWidth="1"/>
    <col min="13" max="13" width="9" style="1" customWidth="1"/>
    <col min="14" max="16384" width="9" style="1"/>
  </cols>
  <sheetData>
    <row r="1" spans="1:11" ht="23.25" customHeight="1">
      <c r="A1" s="110" t="s">
        <v>123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</row>
    <row r="2" spans="1:11" ht="21" customHeight="1">
      <c r="A2" s="129" t="s">
        <v>122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</row>
    <row r="3" spans="1:11" ht="21" customHeight="1">
      <c r="A3" s="111" t="s">
        <v>51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</row>
    <row r="4" spans="1:11" ht="6.75" customHeight="1">
      <c r="B4" s="9"/>
      <c r="C4" s="10"/>
      <c r="D4" s="11"/>
      <c r="E4" s="11"/>
      <c r="F4" s="12"/>
      <c r="G4" s="12"/>
      <c r="H4" s="13"/>
      <c r="I4" s="11"/>
      <c r="J4" s="11"/>
      <c r="K4" s="12"/>
    </row>
    <row r="5" spans="1:11">
      <c r="A5" s="9" t="s">
        <v>1</v>
      </c>
      <c r="B5" s="9" t="s">
        <v>94</v>
      </c>
      <c r="H5" s="13" t="s">
        <v>3</v>
      </c>
      <c r="I5" s="112" t="s">
        <v>4</v>
      </c>
      <c r="J5" s="112"/>
      <c r="K5" s="112"/>
    </row>
    <row r="6" spans="1:11" ht="9" customHeight="1"/>
    <row r="7" spans="1:11">
      <c r="A7" s="111" t="s">
        <v>5</v>
      </c>
      <c r="B7" s="111"/>
      <c r="C7" s="111"/>
    </row>
    <row r="8" spans="1:11">
      <c r="A8" s="109" t="s">
        <v>6</v>
      </c>
      <c r="B8" s="109"/>
      <c r="D8" s="14"/>
      <c r="E8" s="109" t="s">
        <v>7</v>
      </c>
      <c r="F8" s="109"/>
      <c r="G8" s="109"/>
      <c r="H8" s="109"/>
      <c r="I8" s="109"/>
      <c r="J8" s="109"/>
      <c r="K8" s="109"/>
    </row>
    <row r="9" spans="1:11">
      <c r="A9" s="109" t="s">
        <v>8</v>
      </c>
      <c r="B9" s="109"/>
      <c r="C9" s="109"/>
      <c r="D9" s="19"/>
      <c r="E9" s="109" t="s">
        <v>9</v>
      </c>
      <c r="F9" s="109"/>
      <c r="G9" s="109"/>
      <c r="H9" s="109"/>
      <c r="I9" s="109"/>
      <c r="J9" s="109"/>
      <c r="K9" s="109"/>
    </row>
    <row r="10" spans="1:11" ht="41.45" customHeight="1">
      <c r="A10" s="116" t="s">
        <v>10</v>
      </c>
      <c r="B10" s="116"/>
      <c r="C10" s="116"/>
      <c r="D10" s="7"/>
      <c r="E10" s="116" t="s">
        <v>11</v>
      </c>
      <c r="F10" s="116"/>
      <c r="G10" s="116"/>
      <c r="H10" s="116"/>
      <c r="I10" s="116"/>
      <c r="J10" s="116"/>
      <c r="K10" s="116"/>
    </row>
    <row r="11" spans="1:11" ht="14.25" customHeight="1">
      <c r="A11" s="108"/>
      <c r="B11" s="108"/>
      <c r="C11" s="108"/>
      <c r="D11" s="20"/>
      <c r="E11" s="108" t="s">
        <v>12</v>
      </c>
      <c r="F11" s="108"/>
      <c r="G11" s="108"/>
      <c r="H11" s="108"/>
      <c r="I11" s="108"/>
      <c r="J11" s="108"/>
      <c r="K11" s="108"/>
    </row>
    <row r="12" spans="1:11">
      <c r="A12" s="108" t="s">
        <v>89</v>
      </c>
      <c r="B12" s="108"/>
      <c r="C12" s="108"/>
      <c r="D12" s="11"/>
      <c r="E12" s="11"/>
      <c r="F12" s="109"/>
      <c r="G12" s="109"/>
      <c r="H12" s="109"/>
      <c r="I12" s="109"/>
      <c r="J12" s="109"/>
      <c r="K12" s="109"/>
    </row>
    <row r="13" spans="1:11">
      <c r="A13" s="108" t="s">
        <v>124</v>
      </c>
      <c r="B13" s="108"/>
      <c r="C13" s="108"/>
      <c r="D13" s="108"/>
      <c r="E13" s="10" t="s">
        <v>13</v>
      </c>
      <c r="F13" s="109" t="s">
        <v>9</v>
      </c>
      <c r="G13" s="109"/>
      <c r="H13" s="109"/>
      <c r="I13" s="109"/>
      <c r="J13" s="109"/>
      <c r="K13" s="3"/>
    </row>
    <row r="14" spans="1:11" ht="6" customHeight="1" thickBot="1"/>
    <row r="15" spans="1:11">
      <c r="A15" s="128" t="s">
        <v>14</v>
      </c>
      <c r="B15" s="128"/>
      <c r="C15" s="21"/>
      <c r="D15" s="22"/>
      <c r="E15" s="22"/>
      <c r="F15" s="23"/>
      <c r="G15" s="23"/>
      <c r="H15" s="24"/>
      <c r="I15" s="22"/>
      <c r="J15" s="22"/>
      <c r="K15" s="23"/>
    </row>
    <row r="16" spans="1:11">
      <c r="A16" s="109" t="s">
        <v>15</v>
      </c>
      <c r="B16" s="109"/>
    </row>
    <row r="17" spans="1:11">
      <c r="A17" s="25"/>
      <c r="B17" s="26" t="s">
        <v>2</v>
      </c>
      <c r="C17" s="27" t="s">
        <v>52</v>
      </c>
      <c r="D17" s="28" t="s">
        <v>53</v>
      </c>
      <c r="E17" s="28" t="s">
        <v>54</v>
      </c>
      <c r="F17" s="29" t="s">
        <v>20</v>
      </c>
      <c r="G17" s="29" t="s">
        <v>24</v>
      </c>
      <c r="H17" s="30" t="s">
        <v>103</v>
      </c>
      <c r="I17" s="28" t="s">
        <v>55</v>
      </c>
      <c r="J17" s="28" t="s">
        <v>56</v>
      </c>
      <c r="K17" s="29" t="s">
        <v>116</v>
      </c>
    </row>
    <row r="18" spans="1:11">
      <c r="A18" s="31" t="s">
        <v>57</v>
      </c>
      <c r="B18" s="31" t="s">
        <v>2</v>
      </c>
      <c r="C18" s="32"/>
      <c r="D18" s="33"/>
      <c r="E18" s="33"/>
      <c r="F18" s="34"/>
      <c r="G18" s="34"/>
      <c r="H18" s="35"/>
      <c r="I18" s="33"/>
      <c r="J18" s="36"/>
    </row>
    <row r="19" spans="1:11">
      <c r="A19" s="9" t="s">
        <v>26</v>
      </c>
      <c r="B19" s="17" t="s">
        <v>27</v>
      </c>
    </row>
    <row r="20" spans="1:11">
      <c r="A20" s="9" t="s">
        <v>28</v>
      </c>
      <c r="B20" s="17" t="s">
        <v>29</v>
      </c>
    </row>
    <row r="21" spans="1:11">
      <c r="A21" s="9" t="s">
        <v>31</v>
      </c>
      <c r="B21" s="17" t="s">
        <v>32</v>
      </c>
    </row>
    <row r="22" spans="1:11">
      <c r="A22" s="9" t="s">
        <v>58</v>
      </c>
      <c r="B22" s="125" t="s">
        <v>33</v>
      </c>
      <c r="C22" s="118"/>
      <c r="D22" s="131"/>
      <c r="E22" s="131"/>
      <c r="F22" s="132"/>
      <c r="G22" s="132"/>
      <c r="H22" s="123"/>
      <c r="I22" s="131"/>
      <c r="J22" s="131"/>
      <c r="K22" s="132"/>
    </row>
    <row r="23" spans="1:11">
      <c r="A23" s="9" t="s">
        <v>47</v>
      </c>
      <c r="B23" s="9" t="s">
        <v>34</v>
      </c>
    </row>
    <row r="24" spans="1:11">
      <c r="A24" s="9" t="s">
        <v>59</v>
      </c>
      <c r="B24" s="17" t="s">
        <v>60</v>
      </c>
      <c r="C24" s="14" t="s">
        <v>61</v>
      </c>
      <c r="D24" s="15">
        <v>4.5999999999999996</v>
      </c>
      <c r="E24" s="15">
        <v>5.5</v>
      </c>
      <c r="F24" s="16">
        <v>52</v>
      </c>
      <c r="G24" s="16">
        <v>0</v>
      </c>
      <c r="H24" s="18">
        <v>47.55</v>
      </c>
      <c r="I24" s="15">
        <v>12.1</v>
      </c>
      <c r="J24" s="15">
        <v>6</v>
      </c>
      <c r="K24" s="16">
        <v>1</v>
      </c>
    </row>
    <row r="25" spans="1:11">
      <c r="A25" s="9" t="s">
        <v>62</v>
      </c>
      <c r="B25" s="17" t="s">
        <v>63</v>
      </c>
      <c r="C25" s="14" t="s">
        <v>64</v>
      </c>
      <c r="D25" s="15">
        <v>4.4000000000000004</v>
      </c>
      <c r="E25" s="15">
        <v>4.7</v>
      </c>
      <c r="F25" s="16">
        <v>49</v>
      </c>
      <c r="G25" s="16">
        <v>0</v>
      </c>
      <c r="H25" s="18">
        <v>44.81</v>
      </c>
      <c r="I25" s="15">
        <v>10.3</v>
      </c>
      <c r="J25" s="15">
        <v>5.2</v>
      </c>
      <c r="K25" s="16">
        <v>1</v>
      </c>
    </row>
    <row r="26" spans="1:11">
      <c r="B26" s="37" t="s">
        <v>65</v>
      </c>
      <c r="C26" s="38"/>
      <c r="D26" s="39">
        <v>9</v>
      </c>
      <c r="E26" s="39">
        <v>10.199999999999999</v>
      </c>
      <c r="F26" s="40">
        <v>101</v>
      </c>
      <c r="G26" s="40">
        <v>0</v>
      </c>
      <c r="H26" s="41">
        <v>92.36</v>
      </c>
      <c r="I26" s="39">
        <v>22.4</v>
      </c>
      <c r="J26" s="39">
        <v>11.2</v>
      </c>
      <c r="K26" s="40">
        <v>2</v>
      </c>
    </row>
    <row r="27" spans="1:11">
      <c r="A27" s="9" t="s">
        <v>47</v>
      </c>
      <c r="B27" s="9" t="s">
        <v>37</v>
      </c>
    </row>
    <row r="28" spans="1:11">
      <c r="A28" s="9" t="s">
        <v>66</v>
      </c>
      <c r="B28" s="17" t="s">
        <v>67</v>
      </c>
      <c r="C28" s="14" t="s">
        <v>68</v>
      </c>
      <c r="D28" s="15">
        <v>8.1999999999999993</v>
      </c>
      <c r="E28" s="15">
        <v>8.6999999999999993</v>
      </c>
      <c r="F28" s="16">
        <v>92</v>
      </c>
      <c r="G28" s="16">
        <v>0</v>
      </c>
      <c r="H28" s="18">
        <v>84.12</v>
      </c>
      <c r="I28" s="15">
        <v>19.100000000000001</v>
      </c>
      <c r="J28" s="15">
        <v>9.1999999999999993</v>
      </c>
      <c r="K28" s="16">
        <v>1</v>
      </c>
    </row>
    <row r="29" spans="1:11">
      <c r="B29" s="37" t="s">
        <v>65</v>
      </c>
      <c r="C29" s="38"/>
      <c r="D29" s="39">
        <v>8.1999999999999993</v>
      </c>
      <c r="E29" s="39">
        <v>8.6999999999999993</v>
      </c>
      <c r="F29" s="40">
        <v>92</v>
      </c>
      <c r="G29" s="40">
        <v>0</v>
      </c>
      <c r="H29" s="41">
        <v>84.12</v>
      </c>
      <c r="I29" s="39">
        <v>19.100000000000001</v>
      </c>
      <c r="J29" s="39">
        <v>9.1999999999999993</v>
      </c>
      <c r="K29" s="40">
        <v>1</v>
      </c>
    </row>
    <row r="30" spans="1:11">
      <c r="A30" s="9" t="s">
        <v>47</v>
      </c>
      <c r="B30" s="9" t="s">
        <v>38</v>
      </c>
    </row>
    <row r="31" spans="1:11">
      <c r="A31" s="9" t="s">
        <v>69</v>
      </c>
      <c r="B31" s="17" t="s">
        <v>70</v>
      </c>
      <c r="C31" s="14" t="s">
        <v>71</v>
      </c>
      <c r="D31" s="15">
        <v>8.9</v>
      </c>
      <c r="E31" s="15">
        <v>8.9</v>
      </c>
      <c r="F31" s="16">
        <v>100</v>
      </c>
      <c r="G31" s="16">
        <v>0</v>
      </c>
      <c r="H31" s="18">
        <v>91.44</v>
      </c>
      <c r="I31" s="15">
        <v>19.600000000000001</v>
      </c>
      <c r="J31" s="15">
        <v>9.4</v>
      </c>
      <c r="K31" s="16">
        <v>1</v>
      </c>
    </row>
    <row r="32" spans="1:11">
      <c r="A32" s="9" t="s">
        <v>72</v>
      </c>
      <c r="B32" s="17" t="s">
        <v>73</v>
      </c>
      <c r="C32" s="14" t="s">
        <v>74</v>
      </c>
      <c r="D32" s="15">
        <v>7.6</v>
      </c>
      <c r="E32" s="15">
        <v>8.4</v>
      </c>
      <c r="F32" s="16">
        <v>85</v>
      </c>
      <c r="G32" s="16">
        <v>0</v>
      </c>
      <c r="H32" s="18">
        <v>77.72</v>
      </c>
      <c r="I32" s="15">
        <v>18.5</v>
      </c>
      <c r="J32" s="15">
        <v>8.9</v>
      </c>
      <c r="K32" s="16">
        <v>1</v>
      </c>
    </row>
    <row r="33" spans="1:11">
      <c r="B33" s="37" t="s">
        <v>65</v>
      </c>
      <c r="C33" s="38"/>
      <c r="D33" s="39">
        <v>16.5</v>
      </c>
      <c r="E33" s="39">
        <v>17.3</v>
      </c>
      <c r="F33" s="40">
        <v>185</v>
      </c>
      <c r="G33" s="40">
        <v>0</v>
      </c>
      <c r="H33" s="41">
        <v>169.16</v>
      </c>
      <c r="I33" s="39">
        <v>38.1</v>
      </c>
      <c r="J33" s="39">
        <v>18.3</v>
      </c>
      <c r="K33" s="40">
        <v>2</v>
      </c>
    </row>
    <row r="34" spans="1:11">
      <c r="A34" s="9" t="s">
        <v>47</v>
      </c>
      <c r="B34" s="9" t="s">
        <v>39</v>
      </c>
    </row>
    <row r="35" spans="1:11">
      <c r="A35" s="9" t="s">
        <v>75</v>
      </c>
      <c r="B35" s="17" t="s">
        <v>76</v>
      </c>
      <c r="C35" s="14" t="s">
        <v>77</v>
      </c>
      <c r="D35" s="15">
        <v>18</v>
      </c>
      <c r="E35" s="15">
        <v>19.399999999999999</v>
      </c>
      <c r="F35" s="16">
        <v>202</v>
      </c>
      <c r="G35" s="16">
        <v>2</v>
      </c>
      <c r="H35" s="18">
        <v>184.71</v>
      </c>
      <c r="I35" s="15">
        <v>42.7</v>
      </c>
      <c r="J35" s="15">
        <v>19.899999999999999</v>
      </c>
      <c r="K35" s="16">
        <v>1</v>
      </c>
    </row>
    <row r="36" spans="1:11">
      <c r="B36" s="37" t="s">
        <v>65</v>
      </c>
      <c r="C36" s="38"/>
      <c r="D36" s="39">
        <v>18</v>
      </c>
      <c r="E36" s="39">
        <v>19.399999999999999</v>
      </c>
      <c r="F36" s="40">
        <v>202</v>
      </c>
      <c r="G36" s="40">
        <v>2</v>
      </c>
      <c r="H36" s="41">
        <v>184.71</v>
      </c>
      <c r="I36" s="39">
        <v>42.7</v>
      </c>
      <c r="J36" s="39">
        <v>19.899999999999999</v>
      </c>
      <c r="K36" s="40">
        <v>1</v>
      </c>
    </row>
    <row r="37" spans="1:11">
      <c r="A37" s="9" t="s">
        <v>47</v>
      </c>
      <c r="B37" s="9" t="s">
        <v>40</v>
      </c>
    </row>
    <row r="38" spans="1:11">
      <c r="A38" s="9" t="s">
        <v>78</v>
      </c>
      <c r="B38" s="17" t="s">
        <v>79</v>
      </c>
      <c r="C38" s="14" t="s">
        <v>80</v>
      </c>
      <c r="D38" s="15">
        <v>4.5999999999999996</v>
      </c>
      <c r="E38" s="15">
        <v>4.5999999999999996</v>
      </c>
      <c r="F38" s="16">
        <v>52</v>
      </c>
      <c r="G38" s="16">
        <v>0</v>
      </c>
      <c r="H38" s="18">
        <v>47.55</v>
      </c>
      <c r="I38" s="15">
        <v>10.1</v>
      </c>
      <c r="J38" s="15">
        <v>5.0999999999999996</v>
      </c>
      <c r="K38" s="16">
        <v>1</v>
      </c>
    </row>
    <row r="39" spans="1:11">
      <c r="B39" s="37" t="s">
        <v>65</v>
      </c>
      <c r="C39" s="38"/>
      <c r="D39" s="39">
        <v>4.5999999999999996</v>
      </c>
      <c r="E39" s="39">
        <v>4.5999999999999996</v>
      </c>
      <c r="F39" s="40">
        <v>52</v>
      </c>
      <c r="G39" s="40">
        <v>0</v>
      </c>
      <c r="H39" s="41">
        <v>47.55</v>
      </c>
      <c r="I39" s="39">
        <v>10.1</v>
      </c>
      <c r="J39" s="39">
        <v>5.0999999999999996</v>
      </c>
      <c r="K39" s="40">
        <v>1</v>
      </c>
    </row>
    <row r="40" spans="1:11">
      <c r="A40" s="9" t="s">
        <v>47</v>
      </c>
      <c r="B40" s="9" t="s">
        <v>41</v>
      </c>
    </row>
    <row r="41" spans="1:11">
      <c r="A41" s="9" t="s">
        <v>81</v>
      </c>
      <c r="B41" s="17" t="s">
        <v>82</v>
      </c>
      <c r="C41" s="14" t="s">
        <v>83</v>
      </c>
      <c r="D41" s="15">
        <v>3.3</v>
      </c>
      <c r="E41" s="15">
        <v>3.7</v>
      </c>
      <c r="F41" s="16">
        <v>37</v>
      </c>
      <c r="G41" s="16">
        <v>0</v>
      </c>
      <c r="H41" s="18">
        <v>33.83</v>
      </c>
      <c r="I41" s="15">
        <v>8.1999999999999993</v>
      </c>
      <c r="J41" s="15">
        <v>4.2</v>
      </c>
      <c r="K41" s="16">
        <v>1</v>
      </c>
    </row>
    <row r="42" spans="1:11">
      <c r="A42" s="9" t="s">
        <v>84</v>
      </c>
      <c r="B42" s="17" t="s">
        <v>70</v>
      </c>
      <c r="C42" s="14" t="s">
        <v>85</v>
      </c>
      <c r="D42" s="15">
        <v>8.9</v>
      </c>
      <c r="E42" s="15">
        <v>9.9</v>
      </c>
      <c r="F42" s="16">
        <v>100</v>
      </c>
      <c r="G42" s="16">
        <v>0</v>
      </c>
      <c r="H42" s="18">
        <v>91.44</v>
      </c>
      <c r="I42" s="15">
        <v>21.8</v>
      </c>
      <c r="J42" s="15">
        <v>10.4</v>
      </c>
      <c r="K42" s="16">
        <v>1</v>
      </c>
    </row>
    <row r="43" spans="1:11">
      <c r="B43" s="37" t="s">
        <v>65</v>
      </c>
      <c r="C43" s="38"/>
      <c r="D43" s="39">
        <v>12.2</v>
      </c>
      <c r="E43" s="39">
        <v>13.6</v>
      </c>
      <c r="F43" s="40">
        <v>137</v>
      </c>
      <c r="G43" s="40">
        <v>0</v>
      </c>
      <c r="H43" s="41">
        <v>125.27</v>
      </c>
      <c r="I43" s="39">
        <v>30</v>
      </c>
      <c r="J43" s="39">
        <v>14.6</v>
      </c>
      <c r="K43" s="40">
        <v>2</v>
      </c>
    </row>
    <row r="45" spans="1:11" ht="17.25">
      <c r="A45" s="72" t="s">
        <v>102</v>
      </c>
      <c r="B45" s="1"/>
      <c r="C45" s="1"/>
      <c r="D45" s="73"/>
    </row>
    <row r="46" spans="1:11" ht="16.5">
      <c r="A46" s="83" t="s">
        <v>100</v>
      </c>
      <c r="B46" s="14"/>
      <c r="C46" s="47"/>
      <c r="D46" s="14"/>
    </row>
    <row r="47" spans="1:11" ht="16.5">
      <c r="A47" s="71" t="s">
        <v>96</v>
      </c>
      <c r="B47" s="1"/>
      <c r="C47" s="1"/>
      <c r="D47" s="71"/>
    </row>
    <row r="48" spans="1:11" ht="16.5">
      <c r="A48" s="71" t="s">
        <v>97</v>
      </c>
      <c r="B48" s="91"/>
      <c r="C48" s="1"/>
      <c r="D48" s="48"/>
      <c r="H48" s="71">
        <v>10696</v>
      </c>
      <c r="J48" s="15">
        <v>12.5</v>
      </c>
      <c r="K48" s="16">
        <v>1</v>
      </c>
    </row>
    <row r="49" spans="1:11" ht="16.5">
      <c r="A49" s="71"/>
      <c r="B49" s="1"/>
      <c r="C49" s="1"/>
      <c r="D49" s="14"/>
      <c r="J49" s="90"/>
    </row>
    <row r="50" spans="1:11" ht="16.5">
      <c r="A50" s="83" t="s">
        <v>101</v>
      </c>
      <c r="B50" s="14"/>
      <c r="C50" s="47"/>
      <c r="D50" s="14"/>
    </row>
    <row r="51" spans="1:11" ht="16.5">
      <c r="A51" s="71" t="s">
        <v>98</v>
      </c>
      <c r="B51" s="14"/>
      <c r="C51" s="1"/>
      <c r="D51" s="14"/>
    </row>
    <row r="52" spans="1:11" ht="16.5">
      <c r="A52" s="71" t="s">
        <v>99</v>
      </c>
      <c r="B52" s="14"/>
      <c r="C52" s="1"/>
      <c r="D52" s="14"/>
      <c r="H52" s="74">
        <v>20450</v>
      </c>
    </row>
    <row r="53" spans="1:11" ht="15.75" thickBot="1">
      <c r="A53" s="93"/>
      <c r="B53" s="94"/>
      <c r="C53" s="77"/>
      <c r="D53" s="95"/>
      <c r="E53" s="95"/>
      <c r="F53" s="96"/>
      <c r="G53" s="96"/>
      <c r="H53" s="82"/>
      <c r="I53" s="95"/>
      <c r="J53" s="95"/>
      <c r="K53" s="96"/>
    </row>
    <row r="54" spans="1:11" ht="25.5" customHeight="1">
      <c r="B54" s="9" t="s">
        <v>42</v>
      </c>
      <c r="C54" s="10"/>
      <c r="D54" s="11">
        <v>68.5</v>
      </c>
      <c r="E54" s="11">
        <v>73.8</v>
      </c>
      <c r="F54" s="12">
        <v>769</v>
      </c>
      <c r="G54" s="12">
        <v>2</v>
      </c>
      <c r="H54" s="92">
        <v>703.17</v>
      </c>
      <c r="I54" s="11">
        <v>162.4</v>
      </c>
      <c r="J54" s="11">
        <f>J48+J43+J39+J36+J33+J29+J26</f>
        <v>90.800000000000011</v>
      </c>
      <c r="K54" s="12">
        <f>K48+K43+K39+K36+K33+K29+K26</f>
        <v>10</v>
      </c>
    </row>
    <row r="55" spans="1:11" ht="15.75" thickBot="1">
      <c r="A55" s="93"/>
      <c r="B55" s="93"/>
      <c r="C55" s="97"/>
      <c r="D55" s="98"/>
      <c r="E55" s="98"/>
      <c r="F55" s="99"/>
      <c r="G55" s="99">
        <v>2</v>
      </c>
      <c r="H55" s="100">
        <f>H48+H52</f>
        <v>31146</v>
      </c>
      <c r="I55" s="98"/>
      <c r="J55" s="98"/>
      <c r="K55" s="99"/>
    </row>
    <row r="57" spans="1:11">
      <c r="A57" s="9" t="s">
        <v>86</v>
      </c>
      <c r="C57" s="42" t="s">
        <v>117</v>
      </c>
      <c r="G57" s="132" t="s">
        <v>120</v>
      </c>
      <c r="H57" s="123"/>
      <c r="I57" s="131" t="s">
        <v>87</v>
      </c>
      <c r="J57" s="131"/>
    </row>
    <row r="58" spans="1:11">
      <c r="B58" s="133" t="s">
        <v>118</v>
      </c>
      <c r="C58" s="118"/>
      <c r="G58" s="132" t="s">
        <v>119</v>
      </c>
      <c r="H58" s="123"/>
      <c r="I58" s="131" t="s">
        <v>88</v>
      </c>
      <c r="J58" s="131"/>
    </row>
    <row r="59" spans="1:11">
      <c r="I59" s="131" t="s">
        <v>121</v>
      </c>
      <c r="J59" s="131"/>
    </row>
    <row r="61" spans="1:11">
      <c r="A61" s="144" t="s">
        <v>43</v>
      </c>
      <c r="B61" s="125"/>
    </row>
    <row r="62" spans="1:11">
      <c r="A62" s="17"/>
    </row>
    <row r="63" spans="1:11">
      <c r="A63" s="144" t="s">
        <v>9</v>
      </c>
      <c r="B63" s="125"/>
      <c r="C63" s="118"/>
      <c r="D63" s="131"/>
      <c r="E63" s="131"/>
      <c r="F63" s="132"/>
      <c r="G63" s="132"/>
      <c r="H63" s="123"/>
      <c r="I63" s="131"/>
      <c r="J63" s="131"/>
    </row>
    <row r="64" spans="1:11">
      <c r="A64" s="144" t="s">
        <v>44</v>
      </c>
      <c r="B64" s="125"/>
      <c r="C64" s="118"/>
      <c r="D64" s="131"/>
      <c r="E64" s="131"/>
      <c r="F64" s="132"/>
      <c r="G64" s="132"/>
      <c r="H64" s="123"/>
      <c r="I64" s="131"/>
      <c r="J64" s="131"/>
    </row>
    <row r="65" spans="1:10">
      <c r="A65" s="144" t="s">
        <v>45</v>
      </c>
      <c r="B65" s="125"/>
      <c r="C65" s="118"/>
      <c r="D65" s="131"/>
      <c r="E65" s="131"/>
      <c r="F65" s="132"/>
      <c r="G65" s="132"/>
      <c r="H65" s="123"/>
      <c r="I65" s="131"/>
      <c r="J65" s="131"/>
    </row>
    <row r="66" spans="1:10">
      <c r="A66" s="144" t="s">
        <v>46</v>
      </c>
      <c r="B66" s="125"/>
      <c r="C66" s="118"/>
      <c r="D66" s="131"/>
      <c r="E66" s="131"/>
      <c r="F66" s="132"/>
      <c r="G66" s="132"/>
      <c r="H66" s="123"/>
      <c r="I66" s="131"/>
      <c r="J66" s="131"/>
    </row>
    <row r="67" spans="1:10">
      <c r="A67" s="144" t="s">
        <v>47</v>
      </c>
      <c r="B67" s="125"/>
      <c r="C67" s="118"/>
      <c r="D67" s="131"/>
      <c r="E67" s="131"/>
      <c r="F67" s="132"/>
      <c r="G67" s="132"/>
      <c r="H67" s="123"/>
      <c r="I67" s="131"/>
      <c r="J67" s="131"/>
    </row>
    <row r="68" spans="1:10">
      <c r="A68" s="144" t="s">
        <v>48</v>
      </c>
      <c r="B68" s="125"/>
      <c r="C68" s="118"/>
      <c r="D68" s="131"/>
      <c r="E68" s="131"/>
      <c r="F68" s="132"/>
      <c r="G68" s="132"/>
      <c r="H68" s="123"/>
      <c r="I68" s="131"/>
      <c r="J68" s="131"/>
    </row>
    <row r="69" spans="1:10">
      <c r="A69" s="144" t="s">
        <v>49</v>
      </c>
      <c r="B69" s="125"/>
      <c r="C69" s="118"/>
      <c r="D69" s="131"/>
      <c r="E69" s="131"/>
      <c r="F69" s="132"/>
      <c r="G69" s="132"/>
      <c r="H69" s="123"/>
      <c r="I69" s="131"/>
      <c r="J69" s="131"/>
    </row>
    <row r="70" spans="1:10">
      <c r="A70" s="144" t="s">
        <v>50</v>
      </c>
      <c r="B70" s="125"/>
      <c r="C70" s="118"/>
      <c r="D70" s="131"/>
      <c r="E70" s="131"/>
      <c r="F70" s="132"/>
      <c r="G70" s="132"/>
      <c r="H70" s="123"/>
      <c r="I70" s="131"/>
      <c r="J70" s="131"/>
    </row>
    <row r="71" spans="1:10">
      <c r="A71" s="17"/>
    </row>
    <row r="72" spans="1:10">
      <c r="A72" s="17" t="s">
        <v>105</v>
      </c>
    </row>
    <row r="73" spans="1:10">
      <c r="A73" s="17" t="s">
        <v>106</v>
      </c>
    </row>
    <row r="74" spans="1:10">
      <c r="A74" s="17" t="s">
        <v>107</v>
      </c>
    </row>
    <row r="75" spans="1:10">
      <c r="A75" s="17" t="s">
        <v>108</v>
      </c>
    </row>
    <row r="76" spans="1:10">
      <c r="A76" s="17" t="s">
        <v>109</v>
      </c>
    </row>
    <row r="77" spans="1:10">
      <c r="A77" s="17" t="s">
        <v>110</v>
      </c>
    </row>
    <row r="78" spans="1:10">
      <c r="A78" s="17" t="s">
        <v>111</v>
      </c>
    </row>
    <row r="79" spans="1:10">
      <c r="A79" s="17" t="s">
        <v>112</v>
      </c>
    </row>
    <row r="80" spans="1:10">
      <c r="A80" s="69" t="s">
        <v>113</v>
      </c>
    </row>
    <row r="81" spans="1:1">
      <c r="A81" s="69" t="s">
        <v>114</v>
      </c>
    </row>
    <row r="82" spans="1:1">
      <c r="A82" s="69" t="s">
        <v>115</v>
      </c>
    </row>
    <row r="83" spans="1:1">
      <c r="A83" s="17"/>
    </row>
  </sheetData>
  <mergeCells count="35">
    <mergeCell ref="I59:J59"/>
    <mergeCell ref="A13:D13"/>
    <mergeCell ref="F13:J13"/>
    <mergeCell ref="A67:J67"/>
    <mergeCell ref="A68:J68"/>
    <mergeCell ref="B22:K22"/>
    <mergeCell ref="G57:H57"/>
    <mergeCell ref="I57:J57"/>
    <mergeCell ref="B58:C58"/>
    <mergeCell ref="G58:H58"/>
    <mergeCell ref="I58:J58"/>
    <mergeCell ref="A69:J69"/>
    <mergeCell ref="A70:J70"/>
    <mergeCell ref="A61:B61"/>
    <mergeCell ref="A63:J63"/>
    <mergeCell ref="A64:J64"/>
    <mergeCell ref="A65:J65"/>
    <mergeCell ref="A66:J66"/>
    <mergeCell ref="A10:C10"/>
    <mergeCell ref="E10:K10"/>
    <mergeCell ref="A11:C11"/>
    <mergeCell ref="I5:K5"/>
    <mergeCell ref="A2:K2"/>
    <mergeCell ref="A1:K1"/>
    <mergeCell ref="A3:K3"/>
    <mergeCell ref="A8:B8"/>
    <mergeCell ref="E8:K8"/>
    <mergeCell ref="A9:C9"/>
    <mergeCell ref="E9:K9"/>
    <mergeCell ref="A7:C7"/>
    <mergeCell ref="A12:C12"/>
    <mergeCell ref="F12:K12"/>
    <mergeCell ref="A15:B15"/>
    <mergeCell ref="A16:B16"/>
    <mergeCell ref="E11:K11"/>
  </mergeCells>
  <phoneticPr fontId="1" type="noConversion"/>
  <printOptions horizontalCentered="1"/>
  <pageMargins left="0.19685039370078741" right="0" top="0.39370078740157483" bottom="0.39370078740157483" header="0" footer="0"/>
  <pageSetup paperSize="9" orientation="portrait" r:id="rId1"/>
  <headerFooter>
    <oddFooter>&amp;CPage: &amp;P/&amp;N&amp;RPrint Time:&amp;D&amp;T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PACKING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AROCK</dc:creator>
  <cp:lastModifiedBy>FK-Daisy Tsai</cp:lastModifiedBy>
  <cp:lastPrinted>2026-04-09T04:51:39Z</cp:lastPrinted>
  <dcterms:created xsi:type="dcterms:W3CDTF">2017-03-17T05:23:17Z</dcterms:created>
  <dcterms:modified xsi:type="dcterms:W3CDTF">2026-04-14T01:33:48Z</dcterms:modified>
</cp:coreProperties>
</file>