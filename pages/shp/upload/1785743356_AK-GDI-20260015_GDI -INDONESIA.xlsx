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/>
  </bookViews>
  <sheets>
    <sheet name="INV" sheetId="8" r:id="rId1"/>
    <sheet name="DPK" sheetId="1" r:id="rId2"/>
    <sheet name="PKL " sheetId="9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1" hidden="1">DPK!$A$31:$AG$164</definedName>
    <definedName name="_xlnm._FilterDatabase" localSheetId="2" hidden="1">'PKL '!$A$31:$AE$49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xlnm._FilterDatabase" localSheetId="0" hidden="1">INV!$A$29:$J$164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0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0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0">'[18]NHẬP KHO'!$B:$B</definedName>
    <definedName name="NGAY_NK">'[18]NHẬP KHO'!$B:$B</definedName>
    <definedName name="NGAY_XK" localSheetId="6">'[18]XUẤT KHO'!$B:$B</definedName>
    <definedName name="NGAY_XK" localSheetId="0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0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0">INV!$A$1:$J$164</definedName>
    <definedName name="_xlnm.Print_Area" localSheetId="1">DPK!$A$1:$M$164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0">'[18]NHẬP KHO'!$F:$F</definedName>
    <definedName name="SL_NK">'[18]NHẬP KHO'!$F:$F</definedName>
    <definedName name="SL_XK" localSheetId="6">'[18]XUẤT KHO'!$G:$G</definedName>
    <definedName name="SL_XK" localSheetId="0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0">'[18]NHẬP KHO'!$D:$D</definedName>
    <definedName name="TENHANG_NK">'[18]NHẬP KHO'!$D:$D</definedName>
    <definedName name="TENHANG_XK" localSheetId="6">'[18]XUẤT KHO'!$E:$E</definedName>
    <definedName name="TENHANG_XK" localSheetId="0">'[18]XUẤT KHO'!$E:$E</definedName>
    <definedName name="TENHANG_XK">'[18]XUẤT KHO'!$E:$E</definedName>
    <definedName name="TENNGUYENLIEU" localSheetId="6">#REF!</definedName>
    <definedName name="TENNGUYENLIEU" localSheetId="0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0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0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2">'PKL 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<sst xmlns="http://schemas.openxmlformats.org/spreadsheetml/2006/main" count="2484" uniqueCount="284">
  <si>
    <t>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</si>
  <si>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</si>
  <si>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</si>
  <si>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COMMERCIAL INVOICE</t>
  </si>
  <si>
    <t>Shipper / Exporter:</t>
  </si>
  <si>
    <t>No. / Date of Invoice :</t>
  </si>
  <si>
    <t>ADVANCE KNITTING VIETNAM CO.,LTD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</si>
  <si>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</si>
  <si>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</si>
  <si>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</si>
  <si>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</si>
  <si>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</si>
  <si>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</si>
  <si>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FLAT H, 2/F MANSION INDUSTRIAL BUILDING,</t>
  </si>
  <si>
    <t>8 A KUNG NGAM VILLAGE LANE, SHAU KEI WAN, HONG KONG</t>
  </si>
  <si>
    <t xml:space="preserve">Consignee: 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</si>
  <si>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</si>
  <si>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</si>
  <si>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t>EMAIL : LUSI@PTNAG.COM
                  YUS.YULIUS@PTNAG.COM</t>
  </si>
  <si>
    <t>Loading:</t>
  </si>
  <si>
    <t>Discharge:</t>
  </si>
  <si>
    <t>Delivery date</t>
  </si>
  <si>
    <t xml:space="preserve"> ETA:</t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</si>
  <si>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</si>
  <si>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</si>
  <si>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</si>
  <si>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ITEM NO</t>
  </si>
  <si>
    <t>DESCRIPTION OF GOODS</t>
  </si>
  <si>
    <t>COLOR</t>
  </si>
  <si>
    <t>SIZE</t>
  </si>
  <si>
    <t>QUANTITY</t>
  </si>
  <si>
    <t>Unit</t>
  </si>
  <si>
    <t>UNIT PRICE
(USD)</t>
  </si>
  <si>
    <t>AMOUNT
(USD)</t>
  </si>
  <si>
    <t>SIOB260507004</t>
  </si>
  <si>
    <t>KD00431 265K0076-Upside Chase (MB)  S/416363</t>
  </si>
  <si>
    <t>60% BETTER COTTON (BCI) 40% POLYESTER 32S/1x4 PLY FLAT KNIT  COLLAR</t>
  </si>
  <si>
    <t>RED TAPE 729 正红色</t>
  </si>
  <si>
    <t>XS</t>
  </si>
  <si>
    <t>PCS</t>
  </si>
  <si>
    <t>XL</t>
  </si>
  <si>
    <t>S</t>
  </si>
  <si>
    <t>XXL</t>
  </si>
  <si>
    <t>M</t>
  </si>
  <si>
    <t>L HUSKY</t>
  </si>
  <si>
    <t>XL HUSKY</t>
  </si>
  <si>
    <t>XXL HUSKY</t>
  </si>
  <si>
    <t>L</t>
  </si>
  <si>
    <t>SIOB260507002</t>
  </si>
  <si>
    <t>KD00430 265K0076-A/A5  S/416363</t>
  </si>
  <si>
    <t>CALLA LILY 451漂白</t>
  </si>
  <si>
    <t>MONET BLUE 744油画蓝</t>
  </si>
  <si>
    <t>SIOB260507008</t>
  </si>
  <si>
    <t>KD00433 265K0077-2ND MB  S/767468</t>
  </si>
  <si>
    <t>BLACK JACK 400黑色</t>
  </si>
  <si>
    <t>60% BETTER COTTON (BCI) 40% POLYESTER 32S/1x7 PLY FLAT KNIT  COLLAR</t>
  </si>
  <si>
    <t>60% BETTER COTTON (BCI) 40% POLYESTER 32S/1x5 PLY FLAT KNIT  COLLAR</t>
  </si>
  <si>
    <t>PLANT LIFE 978翡翠绿</t>
  </si>
  <si>
    <t>IN THE NAVY  172宝蓝</t>
  </si>
  <si>
    <t>IN THE NAVY  172宝蓝色</t>
  </si>
  <si>
    <t>60% BETTER COTTON (BCI) 40% POLYESTER 32S/1x6 PLY FLAT KNIT  COLLAR</t>
  </si>
  <si>
    <t>WINE STAIN 853 酒红</t>
  </si>
  <si>
    <t>TOTAL</t>
  </si>
  <si>
    <t>USD</t>
  </si>
  <si>
    <t>SAY:</t>
  </si>
  <si>
    <t>US DOLLARS FOURTEEN THOUSAND ONE HUNDRED SIXTY-FOUR AND FORTY-EIGHT CENTS ONLY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</si>
  <si>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</si>
  <si>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</si>
  <si>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</si>
  <si>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 xml:space="preserve"> ADVANCE KNITTING VIETNAM CO., LTD</t>
  </si>
  <si>
    <t>PACKING LIST</t>
  </si>
  <si>
    <t>No. / Date of Packing List :</t>
  </si>
  <si>
    <t>AK/GDI-20260015</t>
  </si>
  <si>
    <t>No. / Date of Contract :</t>
  </si>
  <si>
    <t>AK/GDI/CT-202603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</si>
  <si>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</si>
  <si>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</si>
  <si>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</si>
  <si>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</si>
  <si>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</si>
  <si>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</si>
  <si>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</si>
  <si>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HO CHI MINH</t>
  </si>
  <si>
    <t>JAKARTA</t>
  </si>
  <si>
    <t xml:space="preserve">Origin of Goods: </t>
  </si>
  <si>
    <t>Vietnam</t>
  </si>
  <si>
    <t>PO No: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</si>
  <si>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</si>
  <si>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</si>
  <si>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</si>
  <si>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</si>
  <si>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</si>
  <si>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</si>
  <si>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</si>
  <si>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</si>
  <si>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</si>
  <si>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</si>
  <si>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</si>
  <si>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</si>
  <si>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13-1/4"x3.375”</t>
  </si>
  <si>
    <t>16"x3.625”</t>
  </si>
  <si>
    <t>13-3/4"x3.375”</t>
  </si>
  <si>
    <t>17"x3.625”</t>
  </si>
  <si>
    <t>14-1/4"x3.625”</t>
  </si>
  <si>
    <t>15-1/2"x3.625”</t>
  </si>
  <si>
    <t>16-1/2"x3.625”</t>
  </si>
  <si>
    <t>17-1/2"x3.625”</t>
  </si>
  <si>
    <t>15"x3.625”</t>
  </si>
  <si>
    <t>13"x3.375”</t>
  </si>
  <si>
    <t>14"x3.625”</t>
  </si>
  <si>
    <t>MADE IN VIETNAM</t>
  </si>
  <si>
    <t>Signature, full name, seal</t>
  </si>
  <si>
    <t>TTL CARTONS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</si>
  <si>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</si>
  <si>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</si>
  <si>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</si>
  <si>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</si>
  <si>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</si>
  <si>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</si>
  <si>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</si>
  <si>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</si>
  <si>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</si>
  <si>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</si>
  <si>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</si>
  <si>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</si>
  <si>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</si>
  <si>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</si>
  <si>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</si>
  <si>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</si>
  <si>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</si>
  <si>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</si>
  <si>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</si>
  <si>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</si>
  <si>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</si>
  <si>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</si>
  <si>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</si>
  <si>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</si>
  <si>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</si>
  <si>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DELIVERY INSTRUCTION</t>
  </si>
  <si>
    <t>No.</t>
  </si>
  <si>
    <t>:</t>
  </si>
  <si>
    <t>Date</t>
  </si>
  <si>
    <t>Pursuant to Contract No.</t>
  </si>
  <si>
    <t>AK/GDI/CT-202603 on May. 21,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</si>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</sst>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\ &quot;Cartons&quot;"/>
    <numFmt numFmtId="199" formatCode="0_ "/>
    <numFmt numFmtId="200" formatCode="#,##0.00\ &quot;MET&quot;"/>
    <numFmt numFmtId="201" formatCode="#,##0.00000"/>
  </numFmts>
  <fonts count="123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sz val="11"/>
      <color theme="1"/>
      <name val="宋体"/>
      <charset val="134"/>
      <scheme val="minor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color indexed="8"/>
      <name val="Arial Narrow"/>
      <charset val="134"/>
    </font>
    <font>
      <sz val="12"/>
      <name val="Arial Narrow"/>
      <charset val="134"/>
    </font>
    <font>
      <sz val="12"/>
      <color rgb="FF0070C0"/>
      <name val="Arial Narrow"/>
      <charset val="134"/>
    </font>
    <font>
      <b/>
      <u/>
      <sz val="12"/>
      <color indexed="8"/>
      <name val="Arial Narrow"/>
      <charset val="134"/>
    </font>
    <font>
      <b/>
      <sz val="14"/>
      <color theme="1"/>
      <name val="Arial Narrow"/>
      <charset val="134"/>
    </font>
    <font>
      <b/>
      <sz val="14"/>
      <color theme="1"/>
      <name val="Arial Narrow"/>
      <charset val="134"/>
    </font>
    <font>
      <sz val="15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name val=".VnTime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.VnTime"/>
      <charset val="134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0">
    <xf numFmtId="0" fontId="0" fillId="0" borderId="0"/>
    <xf numFmtId="176" fontId="4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0" fillId="6" borderId="63" applyNumberFormat="0" applyFon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4" applyNumberFormat="0" applyFill="0" applyAlignment="0" applyProtection="0">
      <alignment vertical="center"/>
    </xf>
    <xf numFmtId="0" fontId="94" fillId="0" borderId="64" applyNumberFormat="0" applyFill="0" applyAlignment="0" applyProtection="0">
      <alignment vertical="center"/>
    </xf>
    <xf numFmtId="0" fontId="95" fillId="0" borderId="65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7" borderId="66" applyNumberFormat="0" applyAlignment="0" applyProtection="0">
      <alignment vertical="center"/>
    </xf>
    <xf numFmtId="0" fontId="97" fillId="8" borderId="67" applyNumberFormat="0" applyAlignment="0" applyProtection="0">
      <alignment vertical="center"/>
    </xf>
    <xf numFmtId="0" fontId="98" fillId="8" borderId="66" applyNumberFormat="0" applyAlignment="0" applyProtection="0">
      <alignment vertical="center"/>
    </xf>
    <xf numFmtId="0" fontId="99" fillId="9" borderId="68" applyNumberFormat="0" applyAlignment="0" applyProtection="0">
      <alignment vertical="center"/>
    </xf>
    <xf numFmtId="0" fontId="100" fillId="0" borderId="69" applyNumberFormat="0" applyFill="0" applyAlignment="0" applyProtection="0">
      <alignment vertical="center"/>
    </xf>
    <xf numFmtId="0" fontId="101" fillId="0" borderId="70" applyNumberFormat="0" applyFill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177" fontId="107" fillId="0" borderId="0" applyFont="0" applyFill="0" applyBorder="0" applyAlignment="0" applyProtection="0"/>
    <xf numFmtId="40" fontId="108" fillId="0" borderId="0" applyFont="0" applyFill="0" applyBorder="0" applyAlignment="0" applyProtection="0"/>
    <xf numFmtId="176" fontId="107" fillId="0" borderId="0" applyFont="0" applyFill="0" applyBorder="0" applyAlignment="0" applyProtection="0"/>
    <xf numFmtId="178" fontId="109" fillId="0" borderId="0" applyFont="0" applyFill="0" applyBorder="0" applyAlignment="0" applyProtection="0"/>
    <xf numFmtId="40" fontId="108" fillId="0" borderId="0" applyFont="0" applyFill="0" applyBorder="0" applyAlignment="0" applyProtection="0"/>
    <xf numFmtId="176" fontId="107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107" fillId="0" borderId="0" applyFont="0" applyFill="0" applyBorder="0" applyAlignment="0" applyProtection="0"/>
    <xf numFmtId="176" fontId="107" fillId="0" borderId="0" applyFont="0" applyFill="0" applyBorder="0" applyAlignment="0" applyProtection="0"/>
    <xf numFmtId="176" fontId="107" fillId="0" borderId="0" applyFont="0" applyFill="0" applyBorder="0" applyAlignment="0" applyProtection="0"/>
    <xf numFmtId="176" fontId="87" fillId="0" borderId="0" applyFont="0" applyFill="0" applyBorder="0" applyAlignment="0" applyProtection="0"/>
    <xf numFmtId="176" fontId="107" fillId="0" borderId="0" applyFont="0" applyFill="0" applyBorder="0" applyAlignment="0" applyProtection="0"/>
    <xf numFmtId="176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108" fillId="0" borderId="0" applyFont="0" applyFill="0" applyBorder="0" applyAlignment="0" applyProtection="0"/>
    <xf numFmtId="182" fontId="4" fillId="0" borderId="0" applyFont="0" applyFill="0" applyBorder="0" applyProtection="0">
      <alignment horizontal="right"/>
    </xf>
    <xf numFmtId="0" fontId="110" fillId="0" borderId="0" applyNumberFormat="0" applyFill="0" applyBorder="0" applyAlignment="0" applyProtection="0">
      <alignment vertical="top"/>
      <protection locked="0"/>
    </xf>
    <xf numFmtId="0" fontId="111" fillId="0" borderId="0" applyNumberFormat="0" applyFont="0" applyFill="0" applyBorder="0" applyProtection="0">
      <alignment horizontal="left" indent="1"/>
    </xf>
    <xf numFmtId="0" fontId="112" fillId="0" borderId="0" applyNumberFormat="0" applyFill="0" applyBorder="0" applyProtection="0">
      <alignment horizontal="left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13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14" fillId="0" borderId="0">
      <alignment vertical="top"/>
    </xf>
    <xf numFmtId="0" fontId="1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7" fillId="0" borderId="0"/>
    <xf numFmtId="0" fontId="107" fillId="0" borderId="0"/>
    <xf numFmtId="0" fontId="4" fillId="0" borderId="0"/>
    <xf numFmtId="0" fontId="87" fillId="0" borderId="0"/>
    <xf numFmtId="0" fontId="87" fillId="0" borderId="0"/>
    <xf numFmtId="0" fontId="108" fillId="0" borderId="0" applyNumberFormat="0" applyFont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3" fontId="4" fillId="0" borderId="0"/>
    <xf numFmtId="0" fontId="4" fillId="0" borderId="0"/>
    <xf numFmtId="0" fontId="116" fillId="0" borderId="0"/>
    <xf numFmtId="0" fontId="117" fillId="0" borderId="0"/>
    <xf numFmtId="184" fontId="118" fillId="0" borderId="0"/>
    <xf numFmtId="0" fontId="119" fillId="37" borderId="0" applyNumberFormat="0" applyBorder="0" applyAlignment="0" applyProtection="0"/>
    <xf numFmtId="0" fontId="120" fillId="0" borderId="0">
      <alignment horizontal="center" vertical="center"/>
    </xf>
    <xf numFmtId="0" fontId="111" fillId="2" borderId="0" applyNumberFormat="0" applyFont="0" applyBorder="0" applyAlignment="0" applyProtection="0"/>
    <xf numFmtId="0" fontId="121" fillId="0" borderId="0">
      <alignment vertical="center"/>
    </xf>
    <xf numFmtId="0" fontId="11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22" fillId="0" borderId="0"/>
  </cellStyleXfs>
  <cellXfs count="570">
    <xf numFmtId="0" fontId="0" fillId="0" borderId="0" xfId="0"/>
    <xf numFmtId="0" fontId="1" fillId="0" borderId="0" xfId="107" applyFont="1" applyBorder="1" applyAlignment="1">
      <alignment vertical="center"/>
    </xf>
    <xf numFmtId="0" fontId="2" fillId="0" borderId="0" xfId="107" applyFont="1" applyBorder="1" applyAlignment="1">
      <alignment vertical="center"/>
    </xf>
    <xf numFmtId="0" fontId="3" fillId="0" borderId="0" xfId="107" applyFont="1" applyBorder="1" applyAlignment="1">
      <alignment vertical="center"/>
    </xf>
    <xf numFmtId="0" fontId="4" fillId="0" borderId="0" xfId="107"/>
    <xf numFmtId="0" fontId="5" fillId="0" borderId="0" xfId="107" applyFont="1" applyBorder="1" applyAlignment="1">
      <alignment vertical="center"/>
    </xf>
    <xf numFmtId="0" fontId="6" fillId="0" borderId="0" xfId="107" applyFont="1" applyAlignment="1">
      <alignment vertical="center"/>
    </xf>
    <xf numFmtId="2" fontId="6" fillId="0" borderId="0" xfId="55" applyNumberFormat="1" applyFont="1" applyAlignment="1">
      <alignment vertical="center"/>
    </xf>
    <xf numFmtId="185" fontId="6" fillId="0" borderId="0" xfId="55" applyNumberFormat="1" applyFont="1" applyAlignment="1">
      <alignment vertical="center"/>
    </xf>
    <xf numFmtId="186" fontId="6" fillId="0" borderId="0" xfId="55" applyNumberFormat="1" applyFont="1" applyAlignment="1">
      <alignment vertical="center"/>
    </xf>
    <xf numFmtId="0" fontId="6" fillId="0" borderId="0" xfId="107" applyFont="1" applyBorder="1" applyAlignment="1">
      <alignment vertical="center"/>
    </xf>
    <xf numFmtId="0" fontId="7" fillId="0" borderId="0" xfId="107" applyFont="1" applyBorder="1" applyAlignment="1">
      <alignment vertical="center"/>
    </xf>
    <xf numFmtId="0" fontId="8" fillId="0" borderId="0" xfId="107" applyFont="1" applyBorder="1" applyAlignment="1">
      <alignment vertical="center"/>
    </xf>
    <xf numFmtId="2" fontId="8" fillId="0" borderId="0" xfId="55" applyNumberFormat="1" applyFont="1" applyBorder="1" applyAlignment="1">
      <alignment vertical="center"/>
    </xf>
    <xf numFmtId="185" fontId="8" fillId="0" borderId="0" xfId="55" applyNumberFormat="1" applyFont="1" applyBorder="1" applyAlignment="1">
      <alignment vertical="center"/>
    </xf>
    <xf numFmtId="186" fontId="9" fillId="0" borderId="0" xfId="55" applyNumberFormat="1" applyFont="1" applyBorder="1" applyAlignment="1">
      <alignment horizontal="center" vertical="center"/>
    </xf>
    <xf numFmtId="0" fontId="10" fillId="0" borderId="0" xfId="107" applyFont="1" applyBorder="1" applyAlignment="1">
      <alignment vertical="center" wrapText="1"/>
    </xf>
    <xf numFmtId="0" fontId="10" fillId="0" borderId="0" xfId="107" applyFont="1" applyBorder="1" applyAlignment="1">
      <alignment horizontal="center" vertical="center" wrapText="1"/>
    </xf>
    <xf numFmtId="0" fontId="10" fillId="0" borderId="0" xfId="107" applyFont="1" applyBorder="1" applyAlignment="1">
      <alignment vertical="center"/>
    </xf>
    <xf numFmtId="186" fontId="11" fillId="0" borderId="0" xfId="55" applyNumberFormat="1" applyFont="1" applyBorder="1" applyAlignment="1">
      <alignment vertical="center"/>
    </xf>
    <xf numFmtId="186" fontId="12" fillId="0" borderId="0" xfId="55" applyNumberFormat="1" applyFont="1" applyBorder="1" applyAlignment="1">
      <alignment vertical="center"/>
    </xf>
    <xf numFmtId="0" fontId="13" fillId="0" borderId="0" xfId="107" applyFont="1" applyBorder="1" applyAlignment="1">
      <alignment horizontal="left" vertical="center" wrapText="1"/>
    </xf>
    <xf numFmtId="0" fontId="14" fillId="0" borderId="0" xfId="107" applyFont="1" applyBorder="1" applyAlignment="1">
      <alignment wrapText="1"/>
    </xf>
    <xf numFmtId="187" fontId="1" fillId="0" borderId="0" xfId="107" applyNumberFormat="1" applyFont="1" applyBorder="1" applyAlignment="1">
      <alignment horizontal="center" vertical="center"/>
    </xf>
    <xf numFmtId="186" fontId="15" fillId="0" borderId="0" xfId="55" applyNumberFormat="1" applyFont="1" applyBorder="1" applyAlignment="1">
      <alignment vertical="center"/>
    </xf>
    <xf numFmtId="186" fontId="6" fillId="0" borderId="0" xfId="55" applyNumberFormat="1" applyFont="1" applyAlignment="1">
      <alignment horizontal="right" vertical="center"/>
    </xf>
    <xf numFmtId="2" fontId="6" fillId="0" borderId="0" xfId="55" applyNumberFormat="1" applyFont="1" applyAlignment="1">
      <alignment horizontal="right" vertical="center"/>
    </xf>
    <xf numFmtId="186" fontId="6" fillId="0" borderId="0" xfId="55" applyNumberFormat="1" applyFont="1" applyAlignment="1">
      <alignment horizontal="left" vertical="center"/>
    </xf>
    <xf numFmtId="0" fontId="1" fillId="2" borderId="0" xfId="55" applyNumberFormat="1" applyFont="1" applyFill="1" applyBorder="1" applyAlignment="1">
      <alignment horizontal="right" vertical="center"/>
    </xf>
    <xf numFmtId="0" fontId="6" fillId="0" borderId="0" xfId="107" applyFont="1" applyAlignment="1">
      <alignment horizontal="right" vertical="center" wrapText="1"/>
    </xf>
    <xf numFmtId="0" fontId="1" fillId="0" borderId="0" xfId="55" applyNumberFormat="1" applyFont="1" applyFill="1" applyBorder="1" applyAlignment="1">
      <alignment horizontal="right" vertical="center"/>
    </xf>
    <xf numFmtId="185" fontId="6" fillId="0" borderId="0" xfId="55" applyNumberFormat="1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186" fontId="1" fillId="0" borderId="0" xfId="55" applyNumberFormat="1" applyFont="1" applyBorder="1" applyAlignment="1">
      <alignment vertical="center" wrapText="1"/>
    </xf>
    <xf numFmtId="0" fontId="2" fillId="0" borderId="1" xfId="107" applyFont="1" applyBorder="1" applyAlignment="1">
      <alignment horizontal="center" vertical="center"/>
    </xf>
    <xf numFmtId="0" fontId="2" fillId="0" borderId="2" xfId="107" applyFont="1" applyBorder="1" applyAlignment="1">
      <alignment horizontal="center" vertical="center" wrapText="1"/>
    </xf>
    <xf numFmtId="0" fontId="16" fillId="3" borderId="2" xfId="110" applyNumberFormat="1" applyFont="1" applyFill="1" applyBorder="1" applyAlignment="1">
      <alignment horizontal="center" vertical="center" wrapText="1" shrinkToFit="1"/>
    </xf>
    <xf numFmtId="186" fontId="17" fillId="0" borderId="2" xfId="55" applyNumberFormat="1" applyFont="1" applyBorder="1" applyAlignment="1">
      <alignment horizontal="center" vertical="center" wrapText="1"/>
    </xf>
    <xf numFmtId="186" fontId="2" fillId="0" borderId="2" xfId="55" applyNumberFormat="1" applyFont="1" applyBorder="1" applyAlignment="1">
      <alignment horizontal="center" vertical="center" wrapText="1"/>
    </xf>
    <xf numFmtId="186" fontId="2" fillId="0" borderId="3" xfId="55" applyNumberFormat="1" applyFont="1" applyBorder="1" applyAlignment="1">
      <alignment horizontal="center" vertical="center" wrapText="1"/>
    </xf>
    <xf numFmtId="0" fontId="2" fillId="0" borderId="4" xfId="107" applyFont="1" applyBorder="1" applyAlignment="1">
      <alignment horizontal="center" vertical="center"/>
    </xf>
    <xf numFmtId="0" fontId="2" fillId="0" borderId="5" xfId="107" applyFont="1" applyBorder="1" applyAlignment="1">
      <alignment horizontal="center" vertical="center" wrapText="1"/>
    </xf>
    <xf numFmtId="0" fontId="16" fillId="3" borderId="5" xfId="110" applyNumberFormat="1" applyFont="1" applyFill="1" applyBorder="1" applyAlignment="1">
      <alignment horizontal="center" vertical="center" wrapText="1" shrinkToFit="1"/>
    </xf>
    <xf numFmtId="0" fontId="2" fillId="0" borderId="5" xfId="107" applyFont="1" applyBorder="1" applyAlignment="1">
      <alignment horizontal="center" vertical="center"/>
    </xf>
    <xf numFmtId="185" fontId="18" fillId="0" borderId="5" xfId="55" applyNumberFormat="1" applyFont="1" applyBorder="1" applyAlignment="1">
      <alignment horizontal="center" vertical="center" wrapText="1"/>
    </xf>
    <xf numFmtId="186" fontId="2" fillId="0" borderId="5" xfId="55" applyNumberFormat="1" applyFont="1" applyBorder="1" applyAlignment="1">
      <alignment horizontal="center" vertical="center" wrapText="1"/>
    </xf>
    <xf numFmtId="186" fontId="2" fillId="0" borderId="6" xfId="55" applyNumberFormat="1" applyFont="1" applyBorder="1" applyAlignment="1">
      <alignment horizontal="center" vertical="center" wrapText="1"/>
    </xf>
    <xf numFmtId="0" fontId="1" fillId="0" borderId="4" xfId="79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49" fontId="20" fillId="4" borderId="5" xfId="107" applyNumberFormat="1" applyFont="1" applyFill="1" applyBorder="1" applyAlignment="1">
      <alignment horizontal="center" vertical="center"/>
    </xf>
    <xf numFmtId="0" fontId="7" fillId="2" borderId="5" xfId="107" applyFont="1" applyFill="1" applyBorder="1" applyAlignment="1">
      <alignment horizontal="center" vertical="center" wrapText="1"/>
    </xf>
    <xf numFmtId="0" fontId="6" fillId="2" borderId="7" xfId="107" applyFont="1" applyFill="1" applyBorder="1" applyAlignment="1">
      <alignment horizontal="center" vertical="center" wrapText="1"/>
    </xf>
    <xf numFmtId="0" fontId="6" fillId="2" borderId="8" xfId="107" applyFont="1" applyFill="1" applyBorder="1" applyAlignment="1">
      <alignment horizontal="center" vertical="center" wrapText="1"/>
    </xf>
    <xf numFmtId="0" fontId="21" fillId="2" borderId="5" xfId="93" applyFont="1" applyFill="1" applyBorder="1" applyAlignment="1">
      <alignment horizontal="center" vertical="center" wrapText="1"/>
    </xf>
    <xf numFmtId="186" fontId="6" fillId="0" borderId="5" xfId="1" applyNumberFormat="1" applyFont="1" applyBorder="1" applyAlignment="1">
      <alignment horizontal="center" vertical="center" wrapText="1"/>
    </xf>
    <xf numFmtId="186" fontId="22" fillId="0" borderId="5" xfId="55" applyNumberFormat="1" applyFont="1" applyBorder="1" applyAlignment="1">
      <alignment horizontal="center" vertical="center"/>
    </xf>
    <xf numFmtId="186" fontId="22" fillId="0" borderId="6" xfId="55" applyNumberFormat="1" applyFont="1" applyBorder="1" applyAlignment="1">
      <alignment horizontal="center" vertical="center"/>
    </xf>
    <xf numFmtId="186" fontId="22" fillId="0" borderId="7" xfId="55" applyNumberFormat="1" applyFont="1" applyBorder="1" applyAlignment="1">
      <alignment horizontal="center" vertical="center"/>
    </xf>
    <xf numFmtId="186" fontId="22" fillId="0" borderId="9" xfId="55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6" fillId="2" borderId="5" xfId="107" applyFont="1" applyFill="1" applyBorder="1" applyAlignment="1">
      <alignment horizontal="center" vertical="center" wrapText="1"/>
    </xf>
    <xf numFmtId="49" fontId="24" fillId="4" borderId="5" xfId="107" applyNumberFormat="1" applyFont="1" applyFill="1" applyBorder="1" applyAlignment="1">
      <alignment horizontal="center" vertical="center"/>
    </xf>
    <xf numFmtId="0" fontId="23" fillId="2" borderId="5" xfId="94" applyFont="1" applyFill="1" applyBorder="1" applyAlignment="1">
      <alignment horizontal="center" vertical="center" wrapText="1"/>
    </xf>
    <xf numFmtId="0" fontId="23" fillId="0" borderId="7" xfId="94" applyFont="1" applyFill="1" applyBorder="1" applyAlignment="1">
      <alignment horizontal="center" vertical="center" wrapText="1"/>
    </xf>
    <xf numFmtId="0" fontId="23" fillId="0" borderId="8" xfId="94" applyFont="1" applyFill="1" applyBorder="1" applyAlignment="1">
      <alignment horizontal="center" vertical="center" wrapText="1"/>
    </xf>
    <xf numFmtId="0" fontId="25" fillId="0" borderId="10" xfId="107" applyFont="1" applyBorder="1" applyAlignment="1">
      <alignment horizontal="center" vertical="center"/>
    </xf>
    <xf numFmtId="0" fontId="25" fillId="0" borderId="11" xfId="107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5" fillId="0" borderId="11" xfId="55" applyNumberFormat="1" applyFont="1" applyBorder="1" applyAlignment="1">
      <alignment horizontal="center" vertical="center"/>
    </xf>
    <xf numFmtId="186" fontId="25" fillId="0" borderId="12" xfId="55" applyNumberFormat="1" applyFont="1" applyBorder="1" applyAlignment="1">
      <alignment horizontal="center" vertical="center"/>
    </xf>
    <xf numFmtId="0" fontId="3" fillId="0" borderId="0" xfId="107" applyFont="1" applyBorder="1" applyAlignment="1">
      <alignment vertical="center" wrapText="1"/>
    </xf>
    <xf numFmtId="0" fontId="3" fillId="0" borderId="0" xfId="107" applyFont="1" applyBorder="1" applyAlignment="1">
      <alignment horizontal="left" vertical="center" wrapText="1"/>
    </xf>
    <xf numFmtId="186" fontId="26" fillId="0" borderId="0" xfId="107" applyNumberFormat="1" applyFont="1" applyAlignment="1">
      <alignment horizontal="center"/>
    </xf>
    <xf numFmtId="0" fontId="26" fillId="0" borderId="0" xfId="107" applyFont="1" applyAlignment="1">
      <alignment horizontal="center"/>
    </xf>
    <xf numFmtId="0" fontId="26" fillId="0" borderId="0" xfId="107" applyFont="1"/>
    <xf numFmtId="2" fontId="26" fillId="0" borderId="0" xfId="107" applyNumberFormat="1" applyFont="1"/>
    <xf numFmtId="185" fontId="26" fillId="0" borderId="0" xfId="55" applyNumberFormat="1" applyFont="1"/>
    <xf numFmtId="0" fontId="27" fillId="0" borderId="0" xfId="107" applyFont="1" applyBorder="1" applyAlignment="1">
      <alignment horizontal="center" vertical="center" wrapText="1"/>
    </xf>
    <xf numFmtId="0" fontId="27" fillId="0" borderId="0" xfId="107" applyFont="1" applyAlignment="1">
      <alignment horizontal="center" vertical="center" wrapText="1"/>
    </xf>
    <xf numFmtId="0" fontId="27" fillId="0" borderId="0" xfId="107" applyFont="1" applyBorder="1" applyAlignment="1"/>
    <xf numFmtId="0" fontId="27" fillId="0" borderId="0" xfId="107" applyFont="1" applyAlignment="1">
      <alignment vertical="center" wrapText="1"/>
    </xf>
    <xf numFmtId="0" fontId="2" fillId="0" borderId="0" xfId="107" applyFont="1" applyBorder="1" applyAlignment="1"/>
    <xf numFmtId="185" fontId="27" fillId="0" borderId="0" xfId="55" applyNumberFormat="1" applyFont="1" applyBorder="1" applyAlignment="1"/>
    <xf numFmtId="0" fontId="22" fillId="0" borderId="0" xfId="107" applyFont="1" applyBorder="1" applyAlignment="1">
      <alignment vertical="center"/>
    </xf>
    <xf numFmtId="0" fontId="2" fillId="0" borderId="0" xfId="107" applyFont="1" applyAlignment="1">
      <alignment horizontal="center" vertical="center"/>
    </xf>
    <xf numFmtId="0" fontId="2" fillId="0" borderId="0" xfId="107" applyFont="1" applyAlignment="1">
      <alignment vertical="center"/>
    </xf>
    <xf numFmtId="0" fontId="27" fillId="0" borderId="0" xfId="107" applyFont="1" applyAlignment="1">
      <alignment horizontal="center" vertical="center"/>
    </xf>
    <xf numFmtId="22" fontId="22" fillId="0" borderId="0" xfId="107" applyNumberFormat="1" applyFont="1" applyAlignment="1">
      <alignment horizontal="center" vertical="center"/>
    </xf>
    <xf numFmtId="0" fontId="6" fillId="0" borderId="0" xfId="107" applyFont="1" applyAlignment="1">
      <alignment horizontal="left" vertical="center"/>
    </xf>
    <xf numFmtId="0" fontId="1" fillId="0" borderId="0" xfId="107" applyFont="1"/>
    <xf numFmtId="0" fontId="6" fillId="2" borderId="0" xfId="107" applyFont="1" applyFill="1" applyBorder="1" applyAlignment="1">
      <alignment horizontal="left"/>
    </xf>
    <xf numFmtId="0" fontId="2" fillId="0" borderId="0" xfId="107" applyFont="1" applyAlignment="1">
      <alignment horizontal="left" vertical="center" indent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1" fillId="0" borderId="0" xfId="98" applyFont="1"/>
    <xf numFmtId="0" fontId="29" fillId="0" borderId="0" xfId="98" applyFont="1"/>
    <xf numFmtId="0" fontId="30" fillId="0" borderId="13" xfId="94" applyFont="1" applyBorder="1" applyAlignment="1">
      <alignment horizontal="center" vertical="center"/>
    </xf>
    <xf numFmtId="0" fontId="30" fillId="0" borderId="14" xfId="94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0" fillId="0" borderId="15" xfId="94" applyFont="1" applyBorder="1" applyAlignment="1">
      <alignment horizontal="center" vertical="center"/>
    </xf>
    <xf numFmtId="0" fontId="30" fillId="0" borderId="16" xfId="94" applyFont="1" applyBorder="1" applyAlignment="1">
      <alignment horizontal="center" vertical="center"/>
    </xf>
    <xf numFmtId="0" fontId="30" fillId="0" borderId="16" xfId="94" applyFont="1" applyBorder="1" applyAlignment="1">
      <alignment vertical="center"/>
    </xf>
    <xf numFmtId="0" fontId="30" fillId="0" borderId="17" xfId="94" applyFont="1" applyBorder="1" applyAlignment="1">
      <alignment horizontal="center" vertical="center"/>
    </xf>
    <xf numFmtId="0" fontId="30" fillId="0" borderId="18" xfId="94" applyFont="1" applyBorder="1" applyAlignment="1">
      <alignment horizontal="center" vertical="center"/>
    </xf>
    <xf numFmtId="0" fontId="30" fillId="0" borderId="18" xfId="94" applyFont="1" applyBorder="1" applyAlignment="1">
      <alignment vertical="center"/>
    </xf>
    <xf numFmtId="0" fontId="31" fillId="0" borderId="16" xfId="98" applyNumberFormat="1" applyFont="1" applyFill="1" applyBorder="1" applyAlignment="1" applyProtection="1">
      <alignment horizontal="center"/>
    </xf>
    <xf numFmtId="0" fontId="31" fillId="0" borderId="0" xfId="98" applyNumberFormat="1" applyFont="1" applyFill="1" applyBorder="1" applyAlignment="1" applyProtection="1">
      <alignment horizontal="center"/>
    </xf>
    <xf numFmtId="0" fontId="32" fillId="0" borderId="19" xfId="94" applyFont="1" applyBorder="1" applyAlignment="1">
      <alignment vertical="center"/>
    </xf>
    <xf numFmtId="0" fontId="32" fillId="0" borderId="0" xfId="94" applyFont="1" applyBorder="1" applyAlignment="1">
      <alignment vertical="center"/>
    </xf>
    <xf numFmtId="0" fontId="33" fillId="0" borderId="0" xfId="94" applyFont="1" applyBorder="1" applyAlignment="1">
      <alignment vertical="center"/>
    </xf>
    <xf numFmtId="0" fontId="1" fillId="0" borderId="0" xfId="98" applyFont="1" applyAlignment="1">
      <alignment horizontal="right" vertical="center"/>
    </xf>
    <xf numFmtId="0" fontId="1" fillId="0" borderId="0" xfId="98" applyFont="1" applyFill="1" applyBorder="1" applyAlignment="1">
      <alignment vertical="center"/>
    </xf>
    <xf numFmtId="0" fontId="34" fillId="0" borderId="19" xfId="94" applyFont="1" applyBorder="1" applyAlignment="1">
      <alignment horizontal="left" vertical="justify" wrapText="1"/>
    </xf>
    <xf numFmtId="0" fontId="34" fillId="0" borderId="0" xfId="94" applyFont="1" applyBorder="1" applyAlignment="1">
      <alignment horizontal="left" vertical="justify" wrapText="1"/>
    </xf>
    <xf numFmtId="0" fontId="1" fillId="0" borderId="0" xfId="98" applyFont="1" applyBorder="1" applyAlignment="1">
      <alignment horizontal="right" vertical="center"/>
    </xf>
    <xf numFmtId="188" fontId="1" fillId="0" borderId="0" xfId="98" applyNumberFormat="1" applyFont="1" applyBorder="1" applyAlignment="1">
      <alignment horizontal="left" vertical="center"/>
    </xf>
    <xf numFmtId="0" fontId="35" fillId="0" borderId="19" xfId="68" applyFont="1" applyBorder="1" applyAlignment="1" applyProtection="1">
      <alignment vertical="center"/>
    </xf>
    <xf numFmtId="0" fontId="35" fillId="0" borderId="0" xfId="68" applyFont="1" applyBorder="1" applyAlignment="1" applyProtection="1">
      <alignment vertical="center"/>
    </xf>
    <xf numFmtId="0" fontId="34" fillId="0" borderId="0" xfId="94" applyFont="1" applyAlignment="1">
      <alignment vertical="center"/>
    </xf>
    <xf numFmtId="0" fontId="33" fillId="0" borderId="0" xfId="94" applyFont="1" applyAlignment="1">
      <alignment vertical="center"/>
    </xf>
    <xf numFmtId="0" fontId="34" fillId="0" borderId="19" xfId="94" applyFont="1" applyBorder="1" applyAlignment="1">
      <alignment horizontal="left" vertical="center" wrapText="1"/>
    </xf>
    <xf numFmtId="0" fontId="34" fillId="0" borderId="0" xfId="94" applyFont="1" applyBorder="1" applyAlignment="1">
      <alignment horizontal="left" vertical="center" wrapText="1"/>
    </xf>
    <xf numFmtId="0" fontId="36" fillId="0" borderId="0" xfId="98" applyNumberFormat="1" applyFont="1" applyFill="1" applyBorder="1" applyAlignment="1" applyProtection="1">
      <alignment horizontal="left" vertical="top"/>
    </xf>
    <xf numFmtId="0" fontId="29" fillId="0" borderId="0" xfId="98" applyFont="1" applyAlignment="1">
      <alignment horizontal="left"/>
    </xf>
    <xf numFmtId="0" fontId="34" fillId="0" borderId="19" xfId="94" applyFont="1" applyBorder="1" applyAlignment="1">
      <alignment vertical="center"/>
    </xf>
    <xf numFmtId="0" fontId="34" fillId="0" borderId="0" xfId="94" applyFont="1" applyBorder="1" applyAlignment="1">
      <alignment vertical="center"/>
    </xf>
    <xf numFmtId="0" fontId="37" fillId="0" borderId="0" xfId="94" applyFont="1" applyAlignment="1">
      <alignment vertical="center"/>
    </xf>
    <xf numFmtId="0" fontId="34" fillId="0" borderId="0" xfId="94" applyFont="1" applyAlignment="1">
      <alignment horizontal="right" vertical="center"/>
    </xf>
    <xf numFmtId="0" fontId="38" fillId="0" borderId="1" xfId="94" applyFont="1" applyBorder="1" applyAlignment="1">
      <alignment horizontal="center" vertical="center" wrapText="1"/>
    </xf>
    <xf numFmtId="0" fontId="38" fillId="0" borderId="20" xfId="94" applyFont="1" applyBorder="1" applyAlignment="1">
      <alignment horizontal="center" vertical="center" wrapText="1"/>
    </xf>
    <xf numFmtId="0" fontId="38" fillId="0" borderId="2" xfId="94" applyFont="1" applyBorder="1" applyAlignment="1">
      <alignment horizontal="center" vertical="center" wrapText="1"/>
    </xf>
    <xf numFmtId="186" fontId="38" fillId="0" borderId="2" xfId="61" applyNumberFormat="1" applyFont="1" applyBorder="1" applyAlignment="1">
      <alignment horizontal="center" vertical="center" wrapText="1"/>
    </xf>
    <xf numFmtId="0" fontId="38" fillId="0" borderId="3" xfId="94" applyFont="1" applyBorder="1" applyAlignment="1">
      <alignment horizontal="center" vertical="center" wrapText="1"/>
    </xf>
    <xf numFmtId="0" fontId="19" fillId="2" borderId="5" xfId="87" applyNumberFormat="1" applyFont="1" applyFill="1" applyBorder="1" applyAlignment="1">
      <alignment horizontal="center" vertical="center" wrapText="1"/>
    </xf>
    <xf numFmtId="0" fontId="19" fillId="2" borderId="5" xfId="87" applyNumberFormat="1" applyFont="1" applyFill="1" applyBorder="1" applyAlignment="1">
      <alignment horizontal="center" vertical="center"/>
    </xf>
    <xf numFmtId="0" fontId="19" fillId="0" borderId="21" xfId="94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2" fontId="19" fillId="0" borderId="22" xfId="0" applyNumberFormat="1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vertical="center"/>
    </xf>
    <xf numFmtId="0" fontId="19" fillId="2" borderId="23" xfId="0" applyFont="1" applyFill="1" applyBorder="1" applyAlignment="1">
      <alignment vertical="center"/>
    </xf>
    <xf numFmtId="189" fontId="39" fillId="2" borderId="24" xfId="94" applyNumberFormat="1" applyFont="1" applyFill="1" applyBorder="1" applyAlignment="1">
      <alignment vertical="center"/>
    </xf>
    <xf numFmtId="189" fontId="39" fillId="2" borderId="25" xfId="94" applyNumberFormat="1" applyFont="1" applyFill="1" applyBorder="1" applyAlignment="1">
      <alignment vertical="center"/>
    </xf>
    <xf numFmtId="189" fontId="39" fillId="2" borderId="11" xfId="94" applyNumberFormat="1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 wrapText="1"/>
    </xf>
    <xf numFmtId="186" fontId="41" fillId="2" borderId="11" xfId="94" applyNumberFormat="1" applyFont="1" applyFill="1" applyBorder="1" applyAlignment="1">
      <alignment horizontal="center" vertical="center"/>
    </xf>
    <xf numFmtId="176" fontId="41" fillId="2" borderId="12" xfId="1" applyNumberFormat="1" applyFont="1" applyFill="1" applyBorder="1" applyAlignment="1">
      <alignment horizontal="center" vertical="center"/>
    </xf>
    <xf numFmtId="0" fontId="25" fillId="0" borderId="0" xfId="98" applyFont="1" applyAlignment="1">
      <alignment horizontal="left"/>
    </xf>
    <xf numFmtId="0" fontId="25" fillId="0" borderId="0" xfId="98" applyFont="1" applyBorder="1" applyAlignment="1">
      <alignment horizontal="left"/>
    </xf>
    <xf numFmtId="0" fontId="25" fillId="0" borderId="0" xfId="98" applyFont="1" applyBorder="1" applyAlignment="1">
      <alignment horizontal="center"/>
    </xf>
    <xf numFmtId="3" fontId="16" fillId="0" borderId="0" xfId="98" applyNumberFormat="1" applyFont="1" applyBorder="1" applyAlignment="1">
      <alignment horizontal="right"/>
    </xf>
    <xf numFmtId="4" fontId="25" fillId="0" borderId="0" xfId="98" applyNumberFormat="1" applyFont="1" applyBorder="1" applyAlignment="1">
      <alignment horizontal="right"/>
    </xf>
    <xf numFmtId="0" fontId="16" fillId="0" borderId="0" xfId="98" applyNumberFormat="1" applyFont="1" applyFill="1" applyBorder="1" applyAlignment="1" applyProtection="1">
      <alignment horizontal="center"/>
    </xf>
    <xf numFmtId="186" fontId="33" fillId="0" borderId="0" xfId="51" applyNumberFormat="1" applyFont="1" applyBorder="1" applyAlignment="1">
      <alignment vertical="center" wrapText="1"/>
    </xf>
    <xf numFmtId="190" fontId="42" fillId="0" borderId="0" xfId="51" applyNumberFormat="1" applyFont="1" applyBorder="1" applyAlignment="1">
      <alignment horizontal="center" vertical="center" wrapText="1"/>
    </xf>
    <xf numFmtId="0" fontId="34" fillId="0" borderId="0" xfId="94" applyFont="1" applyAlignment="1">
      <alignment vertical="center" wrapText="1"/>
    </xf>
    <xf numFmtId="191" fontId="33" fillId="0" borderId="0" xfId="94" applyNumberFormat="1" applyFont="1" applyAlignment="1">
      <alignment horizontal="left" vertical="center"/>
    </xf>
    <xf numFmtId="4" fontId="34" fillId="0" borderId="0" xfId="94" applyNumberFormat="1" applyFont="1" applyAlignment="1">
      <alignment vertical="center"/>
    </xf>
    <xf numFmtId="0" fontId="34" fillId="0" borderId="19" xfId="94" applyFont="1" applyBorder="1" applyAlignment="1">
      <alignment vertical="center" wrapText="1"/>
    </xf>
    <xf numFmtId="0" fontId="34" fillId="0" borderId="0" xfId="94" applyFont="1" applyBorder="1" applyAlignment="1">
      <alignment vertical="center" wrapText="1"/>
    </xf>
    <xf numFmtId="0" fontId="34" fillId="0" borderId="0" xfId="94" applyFont="1" applyAlignment="1">
      <alignment horizontal="right" vertical="center" wrapText="1"/>
    </xf>
    <xf numFmtId="0" fontId="34" fillId="0" borderId="0" xfId="94" applyFont="1" applyAlignment="1">
      <alignment horizontal="left" vertical="center"/>
    </xf>
    <xf numFmtId="4" fontId="34" fillId="0" borderId="0" xfId="94" applyNumberFormat="1" applyFont="1" applyAlignment="1">
      <alignment horizontal="right" vertical="center"/>
    </xf>
    <xf numFmtId="4" fontId="34" fillId="0" borderId="0" xfId="94" applyNumberFormat="1" applyFont="1" applyBorder="1" applyAlignment="1">
      <alignment horizontal="right" vertical="center"/>
    </xf>
    <xf numFmtId="4" fontId="34" fillId="0" borderId="0" xfId="94" applyNumberFormat="1" applyFont="1" applyAlignment="1">
      <alignment horizontal="center" vertical="center"/>
    </xf>
    <xf numFmtId="4" fontId="34" fillId="0" borderId="0" xfId="94" applyNumberFormat="1" applyFont="1" applyBorder="1" applyAlignment="1">
      <alignment horizontal="center" vertical="center"/>
    </xf>
    <xf numFmtId="1" fontId="34" fillId="0" borderId="0" xfId="94" applyNumberFormat="1" applyFont="1" applyAlignment="1">
      <alignment horizontal="left" vertical="center"/>
    </xf>
    <xf numFmtId="0" fontId="34" fillId="0" borderId="19" xfId="94" applyFont="1" applyBorder="1" applyAlignment="1">
      <alignment horizontal="left" vertical="center"/>
    </xf>
    <xf numFmtId="0" fontId="34" fillId="0" borderId="0" xfId="94" applyFont="1" applyBorder="1" applyAlignment="1">
      <alignment horizontal="left" vertical="center"/>
    </xf>
    <xf numFmtId="188" fontId="34" fillId="0" borderId="0" xfId="94" applyNumberFormat="1" applyFont="1" applyAlignment="1">
      <alignment horizontal="left" vertical="center"/>
    </xf>
    <xf numFmtId="15" fontId="34" fillId="0" borderId="0" xfId="94" applyNumberFormat="1" applyFont="1" applyAlignment="1">
      <alignment vertical="center"/>
    </xf>
    <xf numFmtId="0" fontId="34" fillId="0" borderId="0" xfId="94" applyFont="1" applyAlignment="1">
      <alignment horizontal="left" vertical="center" wrapText="1"/>
    </xf>
    <xf numFmtId="0" fontId="33" fillId="0" borderId="0" xfId="94" applyFont="1" applyAlignment="1">
      <alignment vertical="center" wrapText="1"/>
    </xf>
    <xf numFmtId="0" fontId="33" fillId="0" borderId="0" xfId="94" applyFont="1" applyAlignment="1">
      <alignment horizontal="center" vertical="center" wrapText="1"/>
    </xf>
    <xf numFmtId="0" fontId="33" fillId="0" borderId="0" xfId="94" applyFont="1" applyBorder="1" applyAlignment="1">
      <alignment horizontal="center" vertical="center" wrapText="1"/>
    </xf>
    <xf numFmtId="0" fontId="37" fillId="0" borderId="0" xfId="94" applyFont="1" applyAlignment="1">
      <alignment horizontal="left" vertical="center"/>
    </xf>
    <xf numFmtId="0" fontId="33" fillId="0" borderId="19" xfId="94" applyFont="1" applyBorder="1" applyAlignment="1">
      <alignment horizontal="center" vertical="center"/>
    </xf>
    <xf numFmtId="0" fontId="33" fillId="0" borderId="0" xfId="94" applyFont="1" applyBorder="1" applyAlignment="1">
      <alignment horizontal="center" vertical="center"/>
    </xf>
    <xf numFmtId="0" fontId="34" fillId="0" borderId="19" xfId="94" applyFont="1" applyBorder="1" applyAlignment="1">
      <alignment horizontal="center" vertical="center"/>
    </xf>
    <xf numFmtId="0" fontId="34" fillId="0" borderId="0" xfId="94" applyFont="1" applyBorder="1" applyAlignment="1">
      <alignment horizontal="center" vertical="center"/>
    </xf>
    <xf numFmtId="0" fontId="34" fillId="0" borderId="0" xfId="94" applyFont="1" applyAlignment="1">
      <alignment horizontal="center" vertical="center"/>
    </xf>
    <xf numFmtId="4" fontId="34" fillId="0" borderId="19" xfId="94" applyNumberFormat="1" applyFont="1" applyBorder="1" applyAlignment="1">
      <alignment horizontal="center" vertical="center"/>
    </xf>
    <xf numFmtId="192" fontId="34" fillId="0" borderId="0" xfId="94" applyNumberFormat="1" applyFont="1" applyAlignment="1">
      <alignment horizontal="left" vertical="center"/>
    </xf>
    <xf numFmtId="0" fontId="43" fillId="0" borderId="0" xfId="98" applyNumberFormat="1" applyFont="1" applyFill="1" applyBorder="1" applyAlignment="1" applyProtection="1"/>
    <xf numFmtId="0" fontId="29" fillId="0" borderId="0" xfId="98" applyFont="1" applyAlignment="1">
      <alignment vertical="center"/>
    </xf>
    <xf numFmtId="0" fontId="44" fillId="0" borderId="0" xfId="83" applyFont="1"/>
    <xf numFmtId="0" fontId="44" fillId="0" borderId="0" xfId="98" applyFont="1"/>
    <xf numFmtId="0" fontId="44" fillId="0" borderId="0" xfId="98" applyFont="1" applyBorder="1"/>
    <xf numFmtId="0" fontId="45" fillId="0" borderId="0" xfId="83" applyFont="1" applyBorder="1"/>
    <xf numFmtId="0" fontId="46" fillId="0" borderId="0" xfId="83" applyFont="1" applyBorder="1" applyAlignment="1"/>
    <xf numFmtId="0" fontId="47" fillId="0" borderId="0" xfId="83" applyFont="1" applyBorder="1"/>
    <xf numFmtId="0" fontId="48" fillId="0" borderId="0" xfId="83" applyFont="1" applyBorder="1" applyAlignment="1">
      <alignment horizontal="center"/>
    </xf>
    <xf numFmtId="0" fontId="49" fillId="0" borderId="0" xfId="83" applyFont="1" applyAlignment="1">
      <alignment horizontal="left"/>
    </xf>
    <xf numFmtId="0" fontId="50" fillId="0" borderId="0" xfId="83" applyFont="1" applyAlignment="1">
      <alignment horizontal="left"/>
    </xf>
    <xf numFmtId="0" fontId="51" fillId="0" borderId="0" xfId="98" applyNumberFormat="1" applyFont="1" applyFill="1" applyBorder="1" applyAlignment="1" applyProtection="1"/>
    <xf numFmtId="0" fontId="4" fillId="0" borderId="0" xfId="79"/>
    <xf numFmtId="0" fontId="52" fillId="0" borderId="0" xfId="79" applyFont="1" applyAlignment="1">
      <alignment horizontal="center" vertical="center"/>
    </xf>
    <xf numFmtId="0" fontId="52" fillId="0" borderId="0" xfId="79" applyFont="1" applyAlignment="1">
      <alignment vertical="center"/>
    </xf>
    <xf numFmtId="0" fontId="53" fillId="0" borderId="0" xfId="79" applyFont="1" applyAlignment="1">
      <alignment horizontal="left"/>
    </xf>
    <xf numFmtId="0" fontId="54" fillId="0" borderId="0" xfId="79" applyFont="1"/>
    <xf numFmtId="188" fontId="53" fillId="0" borderId="0" xfId="79" applyNumberFormat="1" applyFont="1" applyAlignment="1">
      <alignment horizontal="left"/>
    </xf>
    <xf numFmtId="0" fontId="54" fillId="0" borderId="0" xfId="79" applyFont="1" applyAlignment="1"/>
    <xf numFmtId="0" fontId="53" fillId="0" borderId="0" xfId="79" applyFont="1"/>
    <xf numFmtId="0" fontId="54" fillId="0" borderId="0" xfId="79" applyFont="1" applyAlignment="1">
      <alignment vertical="justify" wrapText="1"/>
    </xf>
    <xf numFmtId="0" fontId="54" fillId="0" borderId="0" xfId="79" applyFont="1" applyAlignment="1">
      <alignment horizontal="left" vertical="top" wrapText="1"/>
    </xf>
    <xf numFmtId="0" fontId="54" fillId="0" borderId="0" xfId="79" applyFont="1" applyAlignment="1">
      <alignment vertical="top" wrapText="1"/>
    </xf>
    <xf numFmtId="0" fontId="54" fillId="0" borderId="0" xfId="79" applyFont="1" applyAlignment="1">
      <alignment horizontal="left" vertical="justify" wrapText="1"/>
    </xf>
    <xf numFmtId="0" fontId="0" fillId="0" borderId="0" xfId="79" applyFont="1"/>
    <xf numFmtId="0" fontId="53" fillId="0" borderId="0" xfId="79" applyFont="1" applyAlignment="1">
      <alignment horizontal="left" vertical="center" wrapText="1"/>
    </xf>
    <xf numFmtId="0" fontId="54" fillId="0" borderId="0" xfId="79" applyFont="1" applyAlignment="1">
      <alignment horizontal="left" vertical="center" wrapText="1"/>
    </xf>
    <xf numFmtId="0" fontId="4" fillId="0" borderId="0" xfId="79" applyFont="1"/>
    <xf numFmtId="0" fontId="4" fillId="0" borderId="0" xfId="79" applyBorder="1"/>
    <xf numFmtId="0" fontId="4" fillId="0" borderId="26" xfId="79" applyBorder="1"/>
    <xf numFmtId="0" fontId="38" fillId="0" borderId="27" xfId="94" applyFont="1" applyBorder="1" applyAlignment="1">
      <alignment horizontal="center" vertical="center" wrapText="1"/>
    </xf>
    <xf numFmtId="0" fontId="38" fillId="0" borderId="28" xfId="94" applyFont="1" applyBorder="1" applyAlignment="1">
      <alignment horizontal="center" vertical="center" wrapText="1"/>
    </xf>
    <xf numFmtId="186" fontId="38" fillId="0" borderId="29" xfId="61" applyNumberFormat="1" applyFont="1" applyBorder="1" applyAlignment="1">
      <alignment horizontal="center" vertical="center" wrapText="1"/>
    </xf>
    <xf numFmtId="0" fontId="38" fillId="0" borderId="29" xfId="94" applyFont="1" applyBorder="1" applyAlignment="1">
      <alignment horizontal="center" vertical="center" wrapText="1"/>
    </xf>
    <xf numFmtId="0" fontId="19" fillId="2" borderId="7" xfId="87" applyNumberFormat="1" applyFont="1" applyFill="1" applyBorder="1" applyAlignment="1">
      <alignment horizontal="center" vertical="center" wrapText="1"/>
    </xf>
    <xf numFmtId="0" fontId="19" fillId="2" borderId="8" xfId="87" applyNumberFormat="1" applyFont="1" applyFill="1" applyBorder="1" applyAlignment="1">
      <alignment horizontal="center" vertical="center" wrapText="1"/>
    </xf>
    <xf numFmtId="0" fontId="19" fillId="0" borderId="21" xfId="96" applyFont="1" applyFill="1" applyBorder="1" applyAlignment="1">
      <alignment horizontal="center" vertical="center" wrapText="1"/>
    </xf>
    <xf numFmtId="0" fontId="35" fillId="0" borderId="21" xfId="96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vertical="center"/>
    </xf>
    <xf numFmtId="189" fontId="39" fillId="2" borderId="24" xfId="96" applyNumberFormat="1" applyFont="1" applyFill="1" applyBorder="1" applyAlignment="1">
      <alignment horizontal="center" vertical="center"/>
    </xf>
    <xf numFmtId="189" fontId="39" fillId="2" borderId="25" xfId="96" applyNumberFormat="1" applyFont="1" applyFill="1" applyBorder="1" applyAlignment="1">
      <alignment horizontal="center" vertical="center"/>
    </xf>
    <xf numFmtId="189" fontId="39" fillId="2" borderId="11" xfId="96" applyNumberFormat="1" applyFont="1" applyFill="1" applyBorder="1" applyAlignment="1">
      <alignment horizontal="center" vertical="center"/>
    </xf>
    <xf numFmtId="0" fontId="40" fillId="2" borderId="11" xfId="0" applyNumberFormat="1" applyFont="1" applyFill="1" applyBorder="1" applyAlignment="1">
      <alignment horizontal="center" vertical="center" wrapText="1"/>
    </xf>
    <xf numFmtId="193" fontId="41" fillId="2" borderId="11" xfId="96" applyNumberFormat="1" applyFont="1" applyFill="1" applyBorder="1" applyAlignment="1">
      <alignment horizontal="center" vertical="center"/>
    </xf>
    <xf numFmtId="186" fontId="40" fillId="2" borderId="11" xfId="94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55" fillId="0" borderId="0" xfId="79" applyFont="1"/>
    <xf numFmtId="188" fontId="54" fillId="0" borderId="0" xfId="79" applyNumberFormat="1" applyFont="1" applyAlignment="1">
      <alignment horizontal="left"/>
    </xf>
    <xf numFmtId="0" fontId="4" fillId="0" borderId="0" xfId="79" applyAlignment="1">
      <alignment wrapText="1"/>
    </xf>
    <xf numFmtId="0" fontId="56" fillId="0" borderId="0" xfId="10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7" fillId="0" borderId="19" xfId="94" applyFont="1" applyFill="1" applyBorder="1" applyAlignment="1">
      <alignment vertical="center" wrapText="1"/>
    </xf>
    <xf numFmtId="0" fontId="57" fillId="0" borderId="0" xfId="94" applyFont="1" applyFill="1" applyBorder="1" applyAlignment="1">
      <alignment vertical="center" wrapText="1"/>
    </xf>
    <xf numFmtId="0" fontId="19" fillId="0" borderId="0" xfId="94" applyFont="1" applyBorder="1" applyAlignment="1">
      <alignment vertical="center"/>
    </xf>
    <xf numFmtId="0" fontId="19" fillId="0" borderId="0" xfId="94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58" fillId="2" borderId="3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9" fillId="2" borderId="31" xfId="0" applyFont="1" applyFill="1" applyBorder="1" applyAlignment="1">
      <alignment vertical="center"/>
    </xf>
    <xf numFmtId="0" fontId="30" fillId="2" borderId="1" xfId="94" applyFont="1" applyFill="1" applyBorder="1" applyAlignment="1">
      <alignment horizontal="center" vertical="center" wrapText="1"/>
    </xf>
    <xf numFmtId="0" fontId="30" fillId="0" borderId="2" xfId="94" applyFont="1" applyFill="1" applyBorder="1" applyAlignment="1">
      <alignment horizontal="center" vertical="center" wrapText="1"/>
    </xf>
    <xf numFmtId="0" fontId="30" fillId="0" borderId="2" xfId="94" applyFont="1" applyFill="1" applyBorder="1" applyAlignment="1">
      <alignment horizontal="center" vertical="center"/>
    </xf>
    <xf numFmtId="0" fontId="30" fillId="2" borderId="2" xfId="94" applyFont="1" applyFill="1" applyBorder="1" applyAlignment="1">
      <alignment horizontal="center" vertical="center" wrapText="1"/>
    </xf>
    <xf numFmtId="2" fontId="30" fillId="2" borderId="2" xfId="51" applyNumberFormat="1" applyFont="1" applyFill="1" applyBorder="1" applyAlignment="1">
      <alignment horizontal="center" vertical="center" wrapText="1"/>
    </xf>
    <xf numFmtId="194" fontId="30" fillId="2" borderId="3" xfId="51" applyNumberFormat="1" applyFont="1" applyFill="1" applyBorder="1" applyAlignment="1">
      <alignment horizontal="center" vertical="center" wrapText="1"/>
    </xf>
    <xf numFmtId="0" fontId="35" fillId="2" borderId="4" xfId="94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/>
    </xf>
    <xf numFmtId="0" fontId="35" fillId="0" borderId="5" xfId="94" applyFont="1" applyFill="1" applyBorder="1" applyAlignment="1">
      <alignment horizontal="center" vertical="center" wrapText="1"/>
    </xf>
    <xf numFmtId="0" fontId="35" fillId="2" borderId="5" xfId="94" applyFont="1" applyFill="1" applyBorder="1" applyAlignment="1">
      <alignment horizontal="center" vertical="center" wrapText="1"/>
    </xf>
    <xf numFmtId="2" fontId="35" fillId="2" borderId="5" xfId="94" applyNumberFormat="1" applyFont="1" applyFill="1" applyBorder="1" applyAlignment="1">
      <alignment horizontal="center" vertical="center" wrapText="1"/>
    </xf>
    <xf numFmtId="2" fontId="35" fillId="2" borderId="6" xfId="94" applyNumberFormat="1" applyFont="1" applyFill="1" applyBorder="1" applyAlignment="1">
      <alignment horizontal="center" vertical="center" wrapText="1"/>
    </xf>
    <xf numFmtId="195" fontId="30" fillId="0" borderId="10" xfId="77" applyNumberFormat="1" applyFont="1" applyFill="1" applyBorder="1" applyAlignment="1">
      <alignment horizontal="center" vertical="center"/>
    </xf>
    <xf numFmtId="195" fontId="30" fillId="0" borderId="11" xfId="77" applyNumberFormat="1" applyFont="1" applyFill="1" applyBorder="1" applyAlignment="1">
      <alignment horizontal="center" vertical="center"/>
    </xf>
    <xf numFmtId="0" fontId="59" fillId="0" borderId="11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/>
    </xf>
    <xf numFmtId="0" fontId="60" fillId="0" borderId="11" xfId="94" applyFont="1" applyFill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 vertical="center"/>
    </xf>
    <xf numFmtId="196" fontId="30" fillId="0" borderId="11" xfId="51" applyNumberFormat="1" applyFont="1" applyFill="1" applyBorder="1" applyAlignment="1">
      <alignment horizontal="center" vertical="center" wrapText="1"/>
    </xf>
    <xf numFmtId="197" fontId="30" fillId="0" borderId="12" xfId="51" applyNumberFormat="1" applyFont="1" applyFill="1" applyBorder="1" applyAlignment="1">
      <alignment horizontal="center" vertical="center" wrapText="1"/>
    </xf>
    <xf numFmtId="0" fontId="30" fillId="0" borderId="0" xfId="109" applyFont="1" applyBorder="1" applyAlignment="1">
      <alignment horizontal="center" vertical="center" wrapText="1"/>
    </xf>
    <xf numFmtId="0" fontId="35" fillId="0" borderId="0" xfId="94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61" fillId="2" borderId="19" xfId="94" applyFont="1" applyFill="1" applyBorder="1" applyAlignment="1">
      <alignment horizontal="center" vertical="center"/>
    </xf>
    <xf numFmtId="0" fontId="30" fillId="0" borderId="0" xfId="94" applyFont="1" applyBorder="1" applyAlignment="1">
      <alignment horizontal="center" vertical="center" wrapText="1"/>
    </xf>
    <xf numFmtId="0" fontId="30" fillId="0" borderId="0" xfId="94" applyFont="1" applyBorder="1" applyAlignment="1">
      <alignment horizontal="center" vertical="center"/>
    </xf>
    <xf numFmtId="4" fontId="35" fillId="2" borderId="19" xfId="94" applyNumberFormat="1" applyFont="1" applyFill="1" applyBorder="1" applyAlignment="1">
      <alignment horizontal="center" vertical="center"/>
    </xf>
    <xf numFmtId="4" fontId="35" fillId="0" borderId="0" xfId="94" applyNumberFormat="1" applyFont="1" applyBorder="1" applyAlignment="1">
      <alignment horizontal="center" vertical="center"/>
    </xf>
    <xf numFmtId="0" fontId="62" fillId="0" borderId="0" xfId="94" applyFont="1" applyBorder="1" applyAlignment="1">
      <alignment horizontal="center" vertical="center"/>
    </xf>
    <xf numFmtId="0" fontId="62" fillId="2" borderId="0" xfId="94" applyFont="1" applyFill="1" applyBorder="1" applyAlignment="1">
      <alignment horizontal="center" vertical="center"/>
    </xf>
    <xf numFmtId="0" fontId="63" fillId="0" borderId="0" xfId="94" applyFont="1" applyBorder="1" applyAlignment="1">
      <alignment horizontal="center" vertical="center"/>
    </xf>
    <xf numFmtId="0" fontId="64" fillId="0" borderId="0" xfId="94" applyFont="1" applyBorder="1" applyAlignment="1">
      <alignment horizontal="center" vertical="center"/>
    </xf>
    <xf numFmtId="0" fontId="65" fillId="0" borderId="0" xfId="99" applyAlignment="1">
      <alignment vertical="center"/>
    </xf>
    <xf numFmtId="0" fontId="66" fillId="2" borderId="15" xfId="92" applyNumberFormat="1" applyFont="1" applyFill="1" applyBorder="1" applyAlignment="1">
      <alignment vertical="center"/>
    </xf>
    <xf numFmtId="0" fontId="19" fillId="2" borderId="0" xfId="99" applyFont="1" applyFill="1" applyAlignment="1">
      <alignment vertical="center"/>
    </xf>
    <xf numFmtId="0" fontId="30" fillId="0" borderId="32" xfId="94" applyFont="1" applyBorder="1" applyAlignment="1">
      <alignment vertical="center"/>
    </xf>
    <xf numFmtId="0" fontId="30" fillId="0" borderId="33" xfId="94" applyFont="1" applyBorder="1" applyAlignment="1">
      <alignment vertical="center"/>
    </xf>
    <xf numFmtId="0" fontId="30" fillId="0" borderId="0" xfId="94" applyFont="1" applyBorder="1" applyAlignment="1">
      <alignment vertical="center"/>
    </xf>
    <xf numFmtId="0" fontId="67" fillId="0" borderId="15" xfId="94" applyFont="1" applyBorder="1" applyAlignment="1">
      <alignment horizontal="center" vertical="center"/>
    </xf>
    <xf numFmtId="0" fontId="67" fillId="0" borderId="16" xfId="94" applyFont="1" applyBorder="1" applyAlignment="1">
      <alignment horizontal="center" vertical="center"/>
    </xf>
    <xf numFmtId="0" fontId="67" fillId="0" borderId="19" xfId="94" applyFont="1" applyBorder="1" applyAlignment="1">
      <alignment vertical="center"/>
    </xf>
    <xf numFmtId="0" fontId="67" fillId="0" borderId="0" xfId="94" applyFont="1" applyBorder="1" applyAlignment="1">
      <alignment vertical="center"/>
    </xf>
    <xf numFmtId="0" fontId="67" fillId="0" borderId="19" xfId="94" applyFont="1" applyBorder="1" applyAlignment="1">
      <alignment horizontal="center" vertical="center"/>
    </xf>
    <xf numFmtId="0" fontId="67" fillId="0" borderId="0" xfId="94" applyFont="1" applyBorder="1" applyAlignment="1">
      <alignment horizontal="center" vertical="center"/>
    </xf>
    <xf numFmtId="0" fontId="58" fillId="2" borderId="19" xfId="94" applyFont="1" applyFill="1" applyBorder="1" applyAlignment="1">
      <alignment vertical="center"/>
    </xf>
    <xf numFmtId="0" fontId="58" fillId="2" borderId="0" xfId="94" applyFont="1" applyFill="1" applyBorder="1" applyAlignment="1">
      <alignment vertical="center"/>
    </xf>
    <xf numFmtId="0" fontId="38" fillId="0" borderId="0" xfId="94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58" fillId="2" borderId="34" xfId="94" applyFont="1" applyFill="1" applyBorder="1" applyAlignment="1">
      <alignment vertical="center"/>
    </xf>
    <xf numFmtId="0" fontId="58" fillId="0" borderId="35" xfId="94" applyFont="1" applyBorder="1" applyAlignment="1">
      <alignment vertical="center"/>
    </xf>
    <xf numFmtId="0" fontId="38" fillId="0" borderId="35" xfId="94" applyFont="1" applyBorder="1" applyAlignment="1">
      <alignment vertical="center"/>
    </xf>
    <xf numFmtId="0" fontId="38" fillId="2" borderId="19" xfId="94" applyFont="1" applyFill="1" applyBorder="1" applyAlignment="1">
      <alignment vertical="center"/>
    </xf>
    <xf numFmtId="0" fontId="38" fillId="2" borderId="0" xfId="94" applyFont="1" applyFill="1" applyBorder="1" applyAlignment="1">
      <alignment vertical="center"/>
    </xf>
    <xf numFmtId="0" fontId="68" fillId="2" borderId="30" xfId="94" applyFont="1" applyFill="1" applyBorder="1" applyAlignment="1">
      <alignment vertical="center"/>
    </xf>
    <xf numFmtId="0" fontId="68" fillId="0" borderId="0" xfId="0" applyFont="1" applyBorder="1" applyAlignment="1">
      <alignment vertical="center"/>
    </xf>
    <xf numFmtId="188" fontId="68" fillId="0" borderId="0" xfId="94" applyNumberFormat="1" applyFont="1" applyFill="1" applyBorder="1" applyAlignment="1">
      <alignment horizontal="center" vertical="center"/>
    </xf>
    <xf numFmtId="0" fontId="19" fillId="0" borderId="19" xfId="94" applyFont="1" applyBorder="1" applyAlignment="1">
      <alignment horizontal="left" vertical="center" wrapText="1"/>
    </xf>
    <xf numFmtId="0" fontId="19" fillId="0" borderId="0" xfId="94" applyFont="1" applyBorder="1" applyAlignment="1">
      <alignment horizontal="left" vertical="center" wrapText="1"/>
    </xf>
    <xf numFmtId="0" fontId="19" fillId="0" borderId="0" xfId="94" applyFont="1" applyBorder="1" applyAlignment="1">
      <alignment horizontal="center" vertical="center" wrapText="1"/>
    </xf>
    <xf numFmtId="0" fontId="19" fillId="0" borderId="0" xfId="94" applyFont="1" applyBorder="1" applyAlignment="1">
      <alignment vertical="center" wrapText="1"/>
    </xf>
    <xf numFmtId="0" fontId="58" fillId="2" borderId="30" xfId="94" applyFont="1" applyFill="1" applyBorder="1" applyAlignment="1">
      <alignment vertical="center"/>
    </xf>
    <xf numFmtId="0" fontId="19" fillId="2" borderId="19" xfId="94" applyFont="1" applyFill="1" applyBorder="1" applyAlignment="1">
      <alignment vertical="center"/>
    </xf>
    <xf numFmtId="0" fontId="19" fillId="2" borderId="0" xfId="94" applyFont="1" applyFill="1" applyBorder="1" applyAlignment="1">
      <alignment vertical="center"/>
    </xf>
    <xf numFmtId="0" fontId="19" fillId="2" borderId="30" xfId="94" applyFont="1" applyFill="1" applyBorder="1" applyAlignment="1">
      <alignment vertical="center"/>
    </xf>
    <xf numFmtId="0" fontId="19" fillId="0" borderId="0" xfId="94" applyFont="1" applyFill="1" applyBorder="1" applyAlignment="1">
      <alignment vertical="center"/>
    </xf>
    <xf numFmtId="188" fontId="19" fillId="0" borderId="0" xfId="94" applyNumberFormat="1" applyFont="1" applyFill="1" applyBorder="1" applyAlignment="1">
      <alignment horizontal="center" vertical="center"/>
    </xf>
    <xf numFmtId="0" fontId="58" fillId="2" borderId="36" xfId="94" applyFont="1" applyFill="1" applyBorder="1" applyAlignment="1">
      <alignment vertical="center"/>
    </xf>
    <xf numFmtId="0" fontId="58" fillId="2" borderId="35" xfId="94" applyFont="1" applyFill="1" applyBorder="1" applyAlignment="1">
      <alignment vertical="center"/>
    </xf>
    <xf numFmtId="0" fontId="19" fillId="0" borderId="35" xfId="94" applyFont="1" applyBorder="1" applyAlignment="1">
      <alignment vertical="center"/>
    </xf>
    <xf numFmtId="0" fontId="19" fillId="0" borderId="35" xfId="94" applyFont="1" applyBorder="1" applyAlignment="1">
      <alignment horizontal="center" vertical="center"/>
    </xf>
    <xf numFmtId="0" fontId="19" fillId="0" borderId="35" xfId="0" applyFont="1" applyBorder="1" applyAlignment="1">
      <alignment vertical="center"/>
    </xf>
    <xf numFmtId="0" fontId="69" fillId="0" borderId="19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vertical="center" wrapText="1"/>
    </xf>
    <xf numFmtId="0" fontId="70" fillId="0" borderId="19" xfId="94" applyFont="1" applyFill="1" applyBorder="1" applyAlignment="1">
      <alignment horizontal="left" vertical="center" wrapText="1"/>
    </xf>
    <xf numFmtId="0" fontId="70" fillId="0" borderId="0" xfId="94" applyFont="1" applyFill="1" applyBorder="1" applyAlignment="1">
      <alignment horizontal="left" vertical="center" wrapText="1"/>
    </xf>
    <xf numFmtId="0" fontId="70" fillId="0" borderId="37" xfId="94" applyFont="1" applyFill="1" applyBorder="1" applyAlignment="1">
      <alignment vertical="center" wrapText="1"/>
    </xf>
    <xf numFmtId="0" fontId="71" fillId="0" borderId="0" xfId="0" applyFont="1" applyFill="1" applyBorder="1" applyAlignment="1">
      <alignment vertical="center"/>
    </xf>
    <xf numFmtId="0" fontId="71" fillId="0" borderId="0" xfId="0" applyFont="1" applyBorder="1" applyAlignment="1">
      <alignment vertical="center"/>
    </xf>
    <xf numFmtId="188" fontId="71" fillId="0" borderId="0" xfId="94" applyNumberFormat="1" applyFont="1" applyFill="1" applyBorder="1" applyAlignment="1">
      <alignment horizontal="center" vertical="center"/>
    </xf>
    <xf numFmtId="0" fontId="70" fillId="0" borderId="19" xfId="94" applyFont="1" applyFill="1" applyBorder="1" applyAlignment="1">
      <alignment vertical="center" wrapText="1"/>
    </xf>
    <xf numFmtId="0" fontId="70" fillId="0" borderId="0" xfId="94" applyFont="1" applyFill="1" applyBorder="1" applyAlignment="1">
      <alignment vertical="center" wrapText="1"/>
    </xf>
    <xf numFmtId="0" fontId="70" fillId="0" borderId="0" xfId="94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vertical="center"/>
    </xf>
    <xf numFmtId="0" fontId="72" fillId="0" borderId="0" xfId="0" applyFont="1" applyFill="1" applyBorder="1" applyAlignment="1">
      <alignment vertical="center"/>
    </xf>
    <xf numFmtId="0" fontId="72" fillId="0" borderId="0" xfId="0" applyFont="1" applyBorder="1" applyAlignment="1">
      <alignment vertical="center"/>
    </xf>
    <xf numFmtId="188" fontId="72" fillId="0" borderId="0" xfId="94" applyNumberFormat="1" applyFont="1" applyFill="1" applyBorder="1" applyAlignment="1">
      <alignment horizontal="center" vertical="center"/>
    </xf>
    <xf numFmtId="0" fontId="70" fillId="0" borderId="38" xfId="94" applyFont="1" applyFill="1" applyBorder="1" applyAlignment="1">
      <alignment vertical="center" wrapText="1"/>
    </xf>
    <xf numFmtId="0" fontId="71" fillId="2" borderId="0" xfId="0" applyFont="1" applyFill="1" applyBorder="1" applyAlignment="1">
      <alignment vertical="center"/>
    </xf>
    <xf numFmtId="0" fontId="73" fillId="2" borderId="36" xfId="94" applyFont="1" applyFill="1" applyBorder="1" applyAlignment="1">
      <alignment vertical="center"/>
    </xf>
    <xf numFmtId="0" fontId="73" fillId="2" borderId="35" xfId="94" applyFont="1" applyFill="1" applyBorder="1" applyAlignment="1">
      <alignment vertical="center"/>
    </xf>
    <xf numFmtId="0" fontId="70" fillId="0" borderId="35" xfId="94" applyFont="1" applyFill="1" applyBorder="1" applyAlignment="1">
      <alignment vertical="center"/>
    </xf>
    <xf numFmtId="0" fontId="70" fillId="0" borderId="35" xfId="94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vertical="center"/>
    </xf>
    <xf numFmtId="0" fontId="58" fillId="2" borderId="0" xfId="0" applyFont="1" applyFill="1" applyBorder="1" applyAlignment="1">
      <alignment vertical="center"/>
    </xf>
    <xf numFmtId="0" fontId="69" fillId="0" borderId="19" xfId="94" applyFont="1" applyFill="1" applyBorder="1" applyAlignment="1">
      <alignment vertical="center"/>
    </xf>
    <xf numFmtId="0" fontId="69" fillId="0" borderId="0" xfId="94" applyFont="1" applyFill="1" applyBorder="1" applyAlignment="1">
      <alignment vertical="center"/>
    </xf>
    <xf numFmtId="188" fontId="19" fillId="2" borderId="0" xfId="0" applyNumberFormat="1" applyFont="1" applyFill="1" applyBorder="1" applyAlignment="1">
      <alignment horizontal="center" vertical="center"/>
    </xf>
    <xf numFmtId="188" fontId="19" fillId="2" borderId="0" xfId="0" applyNumberFormat="1" applyFont="1" applyFill="1" applyBorder="1" applyAlignment="1">
      <alignment vertical="center"/>
    </xf>
    <xf numFmtId="0" fontId="71" fillId="2" borderId="19" xfId="94" applyFont="1" applyFill="1" applyBorder="1" applyAlignment="1">
      <alignment vertical="center"/>
    </xf>
    <xf numFmtId="0" fontId="71" fillId="2" borderId="0" xfId="94" applyFont="1" applyFill="1" applyBorder="1" applyAlignment="1">
      <alignment vertical="center"/>
    </xf>
    <xf numFmtId="0" fontId="71" fillId="0" borderId="0" xfId="94" applyFont="1" applyFill="1" applyBorder="1" applyAlignment="1">
      <alignment vertical="center"/>
    </xf>
    <xf numFmtId="0" fontId="70" fillId="0" borderId="0" xfId="94" applyFont="1" applyFill="1" applyBorder="1" applyAlignment="1">
      <alignment horizontal="center" vertical="center"/>
    </xf>
    <xf numFmtId="0" fontId="70" fillId="0" borderId="37" xfId="94" applyFont="1" applyFill="1" applyBorder="1" applyAlignment="1">
      <alignment vertical="center"/>
    </xf>
    <xf numFmtId="14" fontId="19" fillId="0" borderId="0" xfId="0" applyNumberFormat="1" applyFont="1" applyBorder="1" applyAlignment="1">
      <alignment vertical="center"/>
    </xf>
    <xf numFmtId="188" fontId="19" fillId="0" borderId="0" xfId="0" applyNumberFormat="1" applyFont="1" applyBorder="1" applyAlignment="1">
      <alignment vertical="center"/>
    </xf>
    <xf numFmtId="0" fontId="71" fillId="0" borderId="19" xfId="94" applyFont="1" applyFill="1" applyBorder="1" applyAlignment="1">
      <alignment vertical="center" wrapText="1"/>
    </xf>
    <xf numFmtId="0" fontId="71" fillId="0" borderId="0" xfId="94" applyFont="1" applyFill="1" applyBorder="1" applyAlignment="1">
      <alignment vertical="center" wrapText="1"/>
    </xf>
    <xf numFmtId="0" fontId="71" fillId="0" borderId="19" xfId="94" applyFont="1" applyFill="1" applyBorder="1" applyAlignment="1">
      <alignment horizontal="left" vertical="center" wrapText="1"/>
    </xf>
    <xf numFmtId="0" fontId="71" fillId="0" borderId="0" xfId="94" applyFont="1" applyFill="1" applyBorder="1" applyAlignment="1">
      <alignment horizontal="left" vertical="center" wrapText="1"/>
    </xf>
    <xf numFmtId="0" fontId="58" fillId="0" borderId="30" xfId="94" applyFont="1" applyBorder="1" applyAlignment="1">
      <alignment vertical="center"/>
    </xf>
    <xf numFmtId="0" fontId="19" fillId="0" borderId="30" xfId="94" applyFont="1" applyBorder="1" applyAlignment="1">
      <alignment vertical="center"/>
    </xf>
    <xf numFmtId="198" fontId="19" fillId="0" borderId="0" xfId="94" applyNumberFormat="1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58" fillId="2" borderId="0" xfId="94" applyFont="1" applyFill="1" applyBorder="1" applyAlignment="1">
      <alignment vertical="center" wrapText="1"/>
    </xf>
    <xf numFmtId="0" fontId="38" fillId="2" borderId="36" xfId="94" applyFont="1" applyFill="1" applyBorder="1" applyAlignment="1">
      <alignment vertical="center"/>
    </xf>
    <xf numFmtId="0" fontId="38" fillId="2" borderId="35" xfId="94" applyFont="1" applyFill="1" applyBorder="1" applyAlignment="1">
      <alignment vertical="center"/>
    </xf>
    <xf numFmtId="0" fontId="58" fillId="0" borderId="34" xfId="94" applyFont="1" applyBorder="1" applyAlignment="1">
      <alignment vertical="center"/>
    </xf>
    <xf numFmtId="0" fontId="19" fillId="0" borderId="35" xfId="0" applyFont="1" applyBorder="1" applyAlignment="1">
      <alignment horizontal="center" vertical="center"/>
    </xf>
    <xf numFmtId="0" fontId="58" fillId="2" borderId="30" xfId="94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188" fontId="68" fillId="0" borderId="41" xfId="94" applyNumberFormat="1" applyFont="1" applyFill="1" applyBorder="1" applyAlignment="1">
      <alignment horizontal="left" vertical="center"/>
    </xf>
    <xf numFmtId="188" fontId="68" fillId="0" borderId="42" xfId="94" applyNumberFormat="1" applyFont="1" applyFill="1" applyBorder="1" applyAlignment="1">
      <alignment horizontal="left" vertical="center"/>
    </xf>
    <xf numFmtId="0" fontId="19" fillId="0" borderId="38" xfId="0" applyFont="1" applyBorder="1" applyAlignment="1">
      <alignment horizontal="center" vertical="center"/>
    </xf>
    <xf numFmtId="0" fontId="19" fillId="0" borderId="38" xfId="0" applyFont="1" applyBorder="1" applyAlignment="1">
      <alignment vertical="center"/>
    </xf>
    <xf numFmtId="0" fontId="58" fillId="2" borderId="41" xfId="94" applyFont="1" applyFill="1" applyBorder="1" applyAlignment="1">
      <alignment vertical="center"/>
    </xf>
    <xf numFmtId="0" fontId="19" fillId="0" borderId="38" xfId="94" applyFont="1" applyBorder="1" applyAlignment="1">
      <alignment vertical="center" wrapText="1"/>
    </xf>
    <xf numFmtId="0" fontId="30" fillId="2" borderId="19" xfId="94" applyFont="1" applyFill="1" applyBorder="1" applyAlignment="1">
      <alignment horizontal="center" vertical="center"/>
    </xf>
    <xf numFmtId="0" fontId="30" fillId="2" borderId="0" xfId="94" applyFont="1" applyFill="1" applyBorder="1" applyAlignment="1">
      <alignment horizontal="center" vertical="center"/>
    </xf>
    <xf numFmtId="188" fontId="30" fillId="0" borderId="43" xfId="94" applyNumberFormat="1" applyFont="1" applyFill="1" applyBorder="1" applyAlignment="1">
      <alignment horizontal="center" vertical="center"/>
    </xf>
    <xf numFmtId="188" fontId="30" fillId="0" borderId="26" xfId="94" applyNumberFormat="1" applyFont="1" applyFill="1" applyBorder="1" applyAlignment="1">
      <alignment horizontal="center" vertical="center"/>
    </xf>
    <xf numFmtId="188" fontId="30" fillId="0" borderId="0" xfId="94" applyNumberFormat="1" applyFont="1" applyFill="1" applyBorder="1" applyAlignment="1">
      <alignment horizontal="left" vertical="center"/>
    </xf>
    <xf numFmtId="0" fontId="61" fillId="0" borderId="0" xfId="94" applyFont="1" applyFill="1" applyBorder="1" applyAlignment="1">
      <alignment horizontal="center" vertical="center"/>
    </xf>
    <xf numFmtId="0" fontId="35" fillId="2" borderId="35" xfId="0" applyFont="1" applyFill="1" applyBorder="1" applyAlignment="1">
      <alignment horizontal="center" vertical="center"/>
    </xf>
    <xf numFmtId="0" fontId="74" fillId="2" borderId="1" xfId="97" applyFont="1" applyFill="1" applyBorder="1" applyAlignment="1">
      <alignment horizontal="center" vertical="center" wrapText="1"/>
    </xf>
    <xf numFmtId="0" fontId="74" fillId="2" borderId="2" xfId="97" applyFont="1" applyFill="1" applyBorder="1" applyAlignment="1">
      <alignment horizontal="center" vertical="center" wrapText="1"/>
    </xf>
    <xf numFmtId="0" fontId="74" fillId="2" borderId="2" xfId="97" applyFont="1" applyFill="1" applyBorder="1" applyAlignment="1">
      <alignment horizontal="center" vertical="center"/>
    </xf>
    <xf numFmtId="0" fontId="75" fillId="2" borderId="2" xfId="97" applyFont="1" applyFill="1" applyBorder="1" applyAlignment="1">
      <alignment horizontal="center" vertical="center" wrapText="1"/>
    </xf>
    <xf numFmtId="2" fontId="74" fillId="2" borderId="2" xfId="54" applyNumberFormat="1" applyFont="1" applyFill="1" applyBorder="1" applyAlignment="1">
      <alignment horizontal="center" vertical="center" wrapText="1"/>
    </xf>
    <xf numFmtId="0" fontId="65" fillId="0" borderId="0" xfId="99" applyBorder="1" applyAlignment="1">
      <alignment vertical="center"/>
    </xf>
    <xf numFmtId="0" fontId="66" fillId="2" borderId="5" xfId="92" applyNumberFormat="1" applyFont="1" applyFill="1" applyBorder="1" applyAlignment="1">
      <alignment horizontal="center" vertical="center"/>
    </xf>
    <xf numFmtId="0" fontId="76" fillId="2" borderId="5" xfId="92" applyNumberFormat="1" applyFont="1" applyFill="1" applyBorder="1" applyAlignment="1">
      <alignment horizontal="center" vertical="center"/>
    </xf>
    <xf numFmtId="0" fontId="66" fillId="0" borderId="5" xfId="92" applyNumberFormat="1" applyFont="1" applyFill="1" applyBorder="1" applyAlignment="1">
      <alignment horizontal="center" vertical="center"/>
    </xf>
    <xf numFmtId="0" fontId="66" fillId="2" borderId="21" xfId="92" applyNumberFormat="1" applyFont="1" applyFill="1" applyBorder="1" applyAlignment="1">
      <alignment horizontal="center" vertical="center"/>
    </xf>
    <xf numFmtId="0" fontId="66" fillId="2" borderId="0" xfId="92" applyNumberFormat="1" applyFont="1" applyFill="1" applyBorder="1" applyAlignment="1">
      <alignment vertical="center"/>
    </xf>
    <xf numFmtId="0" fontId="66" fillId="2" borderId="16" xfId="92" applyNumberFormat="1" applyFont="1" applyFill="1" applyBorder="1" applyAlignment="1">
      <alignment vertical="center"/>
    </xf>
    <xf numFmtId="0" fontId="66" fillId="2" borderId="5" xfId="92" applyNumberFormat="1" applyFont="1" applyFill="1" applyBorder="1" applyAlignment="1">
      <alignment horizontal="center" vertical="center" wrapText="1"/>
    </xf>
    <xf numFmtId="0" fontId="66" fillId="2" borderId="29" xfId="92" applyNumberFormat="1" applyFont="1" applyFill="1" applyBorder="1" applyAlignment="1">
      <alignment horizontal="center" vertical="center"/>
    </xf>
    <xf numFmtId="0" fontId="30" fillId="0" borderId="10" xfId="77" applyFont="1" applyBorder="1" applyAlignment="1">
      <alignment horizontal="center" vertical="center"/>
    </xf>
    <xf numFmtId="0" fontId="30" fillId="0" borderId="11" xfId="77" applyFont="1" applyBorder="1" applyAlignment="1">
      <alignment horizontal="center" vertical="center"/>
    </xf>
    <xf numFmtId="195" fontId="30" fillId="2" borderId="11" xfId="77" applyNumberFormat="1" applyFont="1" applyFill="1" applyBorder="1" applyAlignment="1">
      <alignment horizontal="center" vertical="center"/>
    </xf>
    <xf numFmtId="0" fontId="30" fillId="2" borderId="11" xfId="77" applyFont="1" applyFill="1" applyBorder="1" applyAlignment="1">
      <alignment vertical="center"/>
    </xf>
    <xf numFmtId="198" fontId="77" fillId="2" borderId="11" xfId="77" applyNumberFormat="1" applyFont="1" applyFill="1" applyBorder="1" applyAlignment="1">
      <alignment horizontal="center" vertical="center"/>
    </xf>
    <xf numFmtId="0" fontId="30" fillId="2" borderId="11" xfId="99" applyFont="1" applyFill="1" applyBorder="1" applyAlignment="1">
      <alignment horizontal="center" vertical="center"/>
    </xf>
    <xf numFmtId="199" fontId="30" fillId="2" borderId="11" xfId="54" applyNumberFormat="1" applyFont="1" applyFill="1" applyBorder="1" applyAlignment="1">
      <alignment horizontal="center" vertical="center" wrapText="1"/>
    </xf>
    <xf numFmtId="1" fontId="30" fillId="0" borderId="11" xfId="54" applyNumberFormat="1" applyFont="1" applyFill="1" applyBorder="1" applyAlignment="1">
      <alignment horizontal="center" vertical="center" wrapText="1"/>
    </xf>
    <xf numFmtId="0" fontId="78" fillId="0" borderId="11" xfId="99" applyFont="1" applyBorder="1" applyAlignment="1">
      <alignment horizontal="center" vertical="center"/>
    </xf>
    <xf numFmtId="196" fontId="79" fillId="0" borderId="11" xfId="99" applyNumberFormat="1" applyFont="1" applyBorder="1" applyAlignment="1">
      <alignment horizontal="center" vertical="center"/>
    </xf>
    <xf numFmtId="0" fontId="19" fillId="2" borderId="0" xfId="99" applyFont="1" applyFill="1" applyBorder="1" applyAlignment="1">
      <alignment vertical="center"/>
    </xf>
    <xf numFmtId="0" fontId="30" fillId="0" borderId="0" xfId="109" applyFont="1" applyBorder="1" applyAlignment="1">
      <alignment horizontal="left" vertical="center" wrapText="1"/>
    </xf>
    <xf numFmtId="0" fontId="35" fillId="2" borderId="0" xfId="99" applyFont="1" applyFill="1" applyAlignment="1">
      <alignment horizontal="center" vertical="center"/>
    </xf>
    <xf numFmtId="0" fontId="61" fillId="2" borderId="19" xfId="97" applyFont="1" applyFill="1" applyBorder="1" applyAlignment="1">
      <alignment horizontal="center" vertical="center"/>
    </xf>
    <xf numFmtId="0" fontId="35" fillId="2" borderId="0" xfId="97" applyFont="1" applyFill="1" applyAlignment="1">
      <alignment horizontal="center" vertical="center"/>
    </xf>
    <xf numFmtId="0" fontId="30" fillId="0" borderId="0" xfId="97" applyFont="1" applyAlignment="1">
      <alignment vertical="center"/>
    </xf>
    <xf numFmtId="0" fontId="30" fillId="0" borderId="0" xfId="97" applyFont="1" applyAlignment="1">
      <alignment horizontal="center" vertical="center"/>
    </xf>
    <xf numFmtId="4" fontId="35" fillId="2" borderId="19" xfId="97" applyNumberFormat="1" applyFont="1" applyFill="1" applyBorder="1" applyAlignment="1">
      <alignment horizontal="center" vertical="center"/>
    </xf>
    <xf numFmtId="4" fontId="35" fillId="2" borderId="0" xfId="97" applyNumberFormat="1" applyFont="1" applyFill="1" applyAlignment="1">
      <alignment horizontal="center" vertical="center"/>
    </xf>
    <xf numFmtId="0" fontId="62" fillId="2" borderId="0" xfId="97" applyFont="1" applyFill="1" applyAlignment="1">
      <alignment horizontal="center" vertical="center"/>
    </xf>
    <xf numFmtId="0" fontId="62" fillId="0" borderId="0" xfId="97" applyFont="1" applyAlignment="1">
      <alignment vertical="center"/>
    </xf>
    <xf numFmtId="0" fontId="62" fillId="0" borderId="0" xfId="97" applyFont="1" applyAlignment="1">
      <alignment horizontal="center" vertical="center"/>
    </xf>
    <xf numFmtId="0" fontId="30" fillId="0" borderId="44" xfId="94" applyFont="1" applyBorder="1" applyAlignment="1">
      <alignment horizontal="center" vertical="center"/>
    </xf>
    <xf numFmtId="0" fontId="30" fillId="0" borderId="45" xfId="94" applyFont="1" applyBorder="1" applyAlignment="1">
      <alignment horizontal="center" vertical="center"/>
    </xf>
    <xf numFmtId="0" fontId="30" fillId="0" borderId="46" xfId="94" applyFont="1" applyBorder="1" applyAlignment="1">
      <alignment horizontal="center" vertical="center"/>
    </xf>
    <xf numFmtId="0" fontId="67" fillId="0" borderId="45" xfId="94" applyFont="1" applyBorder="1" applyAlignment="1">
      <alignment horizontal="center" vertical="center"/>
    </xf>
    <xf numFmtId="0" fontId="67" fillId="0" borderId="31" xfId="94" applyFont="1" applyBorder="1" applyAlignment="1">
      <alignment horizontal="center" vertical="center"/>
    </xf>
    <xf numFmtId="0" fontId="38" fillId="0" borderId="31" xfId="94" applyFont="1" applyBorder="1" applyAlignment="1">
      <alignment vertical="center"/>
    </xf>
    <xf numFmtId="188" fontId="68" fillId="0" borderId="31" xfId="94" applyNumberFormat="1" applyFont="1" applyFill="1" applyBorder="1" applyAlignment="1">
      <alignment horizontal="center" vertical="center"/>
    </xf>
    <xf numFmtId="0" fontId="19" fillId="0" borderId="31" xfId="94" applyFont="1" applyBorder="1" applyAlignment="1">
      <alignment vertical="center"/>
    </xf>
    <xf numFmtId="188" fontId="19" fillId="0" borderId="31" xfId="94" applyNumberFormat="1" applyFont="1" applyFill="1" applyBorder="1" applyAlignment="1">
      <alignment horizontal="center" vertical="center"/>
    </xf>
    <xf numFmtId="188" fontId="71" fillId="0" borderId="31" xfId="94" applyNumberFormat="1" applyFont="1" applyFill="1" applyBorder="1" applyAlignment="1">
      <alignment horizontal="center" vertical="center"/>
    </xf>
    <xf numFmtId="188" fontId="72" fillId="0" borderId="31" xfId="94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88" fontId="19" fillId="2" borderId="31" xfId="0" applyNumberFormat="1" applyFont="1" applyFill="1" applyBorder="1" applyAlignment="1">
      <alignment horizontal="center" vertical="center"/>
    </xf>
    <xf numFmtId="0" fontId="70" fillId="0" borderId="0" xfId="94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198" fontId="19" fillId="0" borderId="31" xfId="94" applyNumberFormat="1" applyFont="1" applyBorder="1" applyAlignment="1">
      <alignment vertical="center"/>
    </xf>
    <xf numFmtId="0" fontId="19" fillId="0" borderId="47" xfId="94" applyFont="1" applyBorder="1" applyAlignment="1">
      <alignment vertical="center" wrapText="1"/>
    </xf>
    <xf numFmtId="0" fontId="61" fillId="0" borderId="30" xfId="94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194" fontId="74" fillId="2" borderId="3" xfId="54" applyNumberFormat="1" applyFont="1" applyFill="1" applyBorder="1" applyAlignment="1">
      <alignment horizontal="center" vertical="center" wrapText="1"/>
    </xf>
    <xf numFmtId="0" fontId="66" fillId="2" borderId="48" xfId="92" applyNumberFormat="1" applyFont="1" applyFill="1" applyBorder="1" applyAlignment="1">
      <alignment horizontal="center" vertical="center"/>
    </xf>
    <xf numFmtId="2" fontId="66" fillId="2" borderId="5" xfId="92" applyNumberFormat="1" applyFont="1" applyFill="1" applyBorder="1" applyAlignment="1">
      <alignment horizontal="center" vertical="center"/>
    </xf>
    <xf numFmtId="200" fontId="30" fillId="2" borderId="11" xfId="54" applyNumberFormat="1" applyFont="1" applyFill="1" applyBorder="1" applyAlignment="1">
      <alignment horizontal="center" vertical="center" wrapText="1"/>
    </xf>
    <xf numFmtId="197" fontId="79" fillId="0" borderId="12" xfId="99" applyNumberFormat="1" applyFont="1" applyBorder="1" applyAlignment="1">
      <alignment horizontal="center" vertical="center"/>
    </xf>
    <xf numFmtId="0" fontId="19" fillId="0" borderId="0" xfId="0" applyFont="1"/>
    <xf numFmtId="0" fontId="19" fillId="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80" fillId="0" borderId="49" xfId="96" applyFont="1" applyBorder="1" applyAlignment="1">
      <alignment horizontal="center" vertical="center"/>
    </xf>
    <xf numFmtId="0" fontId="80" fillId="0" borderId="50" xfId="96" applyFont="1" applyBorder="1" applyAlignment="1">
      <alignment horizontal="center" vertical="center"/>
    </xf>
    <xf numFmtId="0" fontId="80" fillId="0" borderId="51" xfId="96" applyFont="1" applyBorder="1" applyAlignment="1">
      <alignment horizontal="center" vertical="center"/>
    </xf>
    <xf numFmtId="0" fontId="38" fillId="0" borderId="32" xfId="96" applyFont="1" applyBorder="1" applyAlignment="1">
      <alignment horizontal="center"/>
    </xf>
    <xf numFmtId="0" fontId="38" fillId="0" borderId="33" xfId="96" applyFont="1" applyBorder="1" applyAlignment="1">
      <alignment horizontal="center"/>
    </xf>
    <xf numFmtId="0" fontId="38" fillId="0" borderId="52" xfId="96" applyFont="1" applyBorder="1" applyAlignment="1">
      <alignment horizontal="center"/>
    </xf>
    <xf numFmtId="0" fontId="38" fillId="0" borderId="49" xfId="96" applyFont="1" applyBorder="1" applyAlignment="1">
      <alignment horizontal="center"/>
    </xf>
    <xf numFmtId="0" fontId="38" fillId="0" borderId="50" xfId="96" applyFont="1" applyBorder="1" applyAlignment="1">
      <alignment horizontal="center"/>
    </xf>
    <xf numFmtId="0" fontId="38" fillId="0" borderId="51" xfId="96" applyFont="1" applyBorder="1" applyAlignment="1">
      <alignment horizontal="center"/>
    </xf>
    <xf numFmtId="0" fontId="81" fillId="0" borderId="49" xfId="96" applyFont="1" applyBorder="1" applyAlignment="1">
      <alignment horizontal="center" vertical="center"/>
    </xf>
    <xf numFmtId="0" fontId="81" fillId="0" borderId="50" xfId="96" applyFont="1" applyBorder="1" applyAlignment="1">
      <alignment horizontal="center" vertical="center"/>
    </xf>
    <xf numFmtId="0" fontId="81" fillId="0" borderId="52" xfId="96" applyFont="1" applyBorder="1" applyAlignment="1">
      <alignment horizontal="center" vertical="center"/>
    </xf>
    <xf numFmtId="0" fontId="58" fillId="0" borderId="19" xfId="96" applyFont="1" applyBorder="1" applyAlignment="1">
      <alignment vertical="center"/>
    </xf>
    <xf numFmtId="0" fontId="58" fillId="0" borderId="0" xfId="96" applyFont="1" applyBorder="1" applyAlignment="1">
      <alignment vertical="center"/>
    </xf>
    <xf numFmtId="0" fontId="38" fillId="0" borderId="0" xfId="96" applyFont="1" applyBorder="1" applyAlignment="1">
      <alignment vertical="center"/>
    </xf>
    <xf numFmtId="0" fontId="58" fillId="0" borderId="30" xfId="96" applyFont="1" applyBorder="1" applyAlignment="1">
      <alignment vertical="center"/>
    </xf>
    <xf numFmtId="0" fontId="63" fillId="0" borderId="0" xfId="96" applyFont="1" applyBorder="1" applyAlignment="1">
      <alignment vertical="center"/>
    </xf>
    <xf numFmtId="0" fontId="28" fillId="0" borderId="0" xfId="0" applyFont="1" applyBorder="1"/>
    <xf numFmtId="0" fontId="0" fillId="0" borderId="52" xfId="0" applyBorder="1"/>
    <xf numFmtId="0" fontId="38" fillId="0" borderId="19" xfId="96" applyFont="1" applyBorder="1" applyAlignment="1">
      <alignment vertical="center"/>
    </xf>
    <xf numFmtId="0" fontId="68" fillId="2" borderId="41" xfId="96" applyFont="1" applyFill="1" applyBorder="1" applyAlignment="1">
      <alignment vertical="center"/>
    </xf>
    <xf numFmtId="188" fontId="68" fillId="2" borderId="0" xfId="96" applyNumberFormat="1" applyFont="1" applyFill="1" applyBorder="1" applyAlignment="1">
      <alignment horizontal="center" vertical="center"/>
    </xf>
    <xf numFmtId="0" fontId="28" fillId="0" borderId="38" xfId="0" applyFont="1" applyBorder="1"/>
    <xf numFmtId="0" fontId="0" fillId="0" borderId="31" xfId="0" applyBorder="1"/>
    <xf numFmtId="0" fontId="19" fillId="0" borderId="19" xfId="96" applyFont="1" applyBorder="1" applyAlignment="1">
      <alignment horizontal="left" vertical="center"/>
    </xf>
    <xf numFmtId="0" fontId="19" fillId="0" borderId="0" xfId="96" applyFont="1" applyBorder="1" applyAlignment="1">
      <alignment horizontal="left" vertical="center"/>
    </xf>
    <xf numFmtId="0" fontId="58" fillId="2" borderId="34" xfId="96" applyFont="1" applyFill="1" applyBorder="1" applyAlignment="1">
      <alignment vertical="center"/>
    </xf>
    <xf numFmtId="0" fontId="19" fillId="2" borderId="35" xfId="96" applyFont="1" applyFill="1" applyBorder="1" applyAlignment="1">
      <alignment vertical="center"/>
    </xf>
    <xf numFmtId="0" fontId="28" fillId="2" borderId="35" xfId="0" applyFont="1" applyFill="1" applyBorder="1"/>
    <xf numFmtId="0" fontId="0" fillId="0" borderId="53" xfId="0" applyBorder="1"/>
    <xf numFmtId="0" fontId="19" fillId="0" borderId="19" xfId="96" applyFont="1" applyBorder="1" applyAlignment="1">
      <alignment vertical="center"/>
    </xf>
    <xf numFmtId="0" fontId="19" fillId="0" borderId="0" xfId="96" applyFont="1" applyBorder="1" applyAlignment="1">
      <alignment vertical="center"/>
    </xf>
    <xf numFmtId="0" fontId="19" fillId="0" borderId="37" xfId="96" applyFont="1" applyBorder="1" applyAlignment="1">
      <alignment vertical="center"/>
    </xf>
    <xf numFmtId="0" fontId="19" fillId="2" borderId="0" xfId="0" applyFont="1" applyFill="1" applyBorder="1" applyAlignment="1">
      <alignment horizontal="left" vertical="center"/>
    </xf>
    <xf numFmtId="188" fontId="19" fillId="2" borderId="0" xfId="96" applyNumberFormat="1" applyFont="1" applyFill="1" applyBorder="1" applyAlignment="1">
      <alignment horizontal="center" vertical="center"/>
    </xf>
    <xf numFmtId="0" fontId="19" fillId="0" borderId="19" xfId="6" applyFont="1" applyBorder="1" applyAlignment="1">
      <alignment vertical="center"/>
    </xf>
    <xf numFmtId="0" fontId="19" fillId="0" borderId="0" xfId="6" applyFont="1" applyBorder="1" applyAlignment="1">
      <alignment vertical="center"/>
    </xf>
    <xf numFmtId="0" fontId="19" fillId="2" borderId="0" xfId="96" applyFont="1" applyFill="1" applyBorder="1" applyAlignment="1">
      <alignment vertical="center"/>
    </xf>
    <xf numFmtId="0" fontId="28" fillId="2" borderId="0" xfId="0" applyFont="1" applyFill="1" applyBorder="1"/>
    <xf numFmtId="0" fontId="58" fillId="0" borderId="36" xfId="96" applyFont="1" applyBorder="1" applyAlignment="1">
      <alignment horizontal="left" vertical="center"/>
    </xf>
    <xf numFmtId="0" fontId="58" fillId="0" borderId="35" xfId="96" applyFont="1" applyBorder="1" applyAlignment="1">
      <alignment horizontal="left" vertical="center"/>
    </xf>
    <xf numFmtId="0" fontId="19" fillId="0" borderId="35" xfId="96" applyFont="1" applyBorder="1" applyAlignment="1">
      <alignment horizontal="center" vertical="center"/>
    </xf>
    <xf numFmtId="0" fontId="19" fillId="0" borderId="39" xfId="96" applyFont="1" applyBorder="1" applyAlignment="1">
      <alignment horizontal="center" vertical="center"/>
    </xf>
    <xf numFmtId="0" fontId="19" fillId="2" borderId="34" xfId="96" applyFont="1" applyFill="1" applyBorder="1" applyAlignment="1">
      <alignment vertical="center"/>
    </xf>
    <xf numFmtId="188" fontId="19" fillId="2" borderId="35" xfId="96" applyNumberFormat="1" applyFont="1" applyFill="1" applyBorder="1" applyAlignment="1">
      <alignment horizontal="center" vertical="center"/>
    </xf>
    <xf numFmtId="0" fontId="19" fillId="2" borderId="35" xfId="0" applyFont="1" applyFill="1" applyBorder="1"/>
    <xf numFmtId="0" fontId="28" fillId="0" borderId="35" xfId="0" applyFont="1" applyBorder="1"/>
    <xf numFmtId="0" fontId="69" fillId="0" borderId="19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horizontal="left" vertical="center" wrapText="1"/>
    </xf>
    <xf numFmtId="0" fontId="69" fillId="0" borderId="37" xfId="96" applyFont="1" applyFill="1" applyBorder="1" applyAlignment="1">
      <alignment horizontal="left" vertical="center" wrapText="1"/>
    </xf>
    <xf numFmtId="0" fontId="54" fillId="0" borderId="0" xfId="0" applyFont="1"/>
    <xf numFmtId="188" fontId="71" fillId="2" borderId="0" xfId="0" applyNumberFormat="1" applyFont="1" applyFill="1" applyBorder="1" applyAlignment="1">
      <alignment horizontal="center" vertical="center"/>
    </xf>
    <xf numFmtId="0" fontId="70" fillId="0" borderId="19" xfId="96" applyFont="1" applyFill="1" applyBorder="1" applyAlignment="1">
      <alignment horizontal="left" vertical="center" wrapText="1"/>
    </xf>
    <xf numFmtId="0" fontId="70" fillId="0" borderId="0" xfId="96" applyFont="1" applyFill="1" applyBorder="1" applyAlignment="1">
      <alignment horizontal="left" vertical="center" wrapText="1"/>
    </xf>
    <xf numFmtId="0" fontId="70" fillId="0" borderId="37" xfId="96" applyFont="1" applyFill="1" applyBorder="1" applyAlignment="1">
      <alignment horizontal="left" vertical="center" wrapText="1"/>
    </xf>
    <xf numFmtId="0" fontId="54" fillId="0" borderId="41" xfId="0" applyFont="1" applyBorder="1"/>
    <xf numFmtId="188" fontId="71" fillId="2" borderId="38" xfId="0" applyNumberFormat="1" applyFont="1" applyFill="1" applyBorder="1" applyAlignment="1">
      <alignment horizontal="center" vertical="center"/>
    </xf>
    <xf numFmtId="0" fontId="73" fillId="2" borderId="36" xfId="96" applyFont="1" applyFill="1" applyBorder="1" applyAlignment="1">
      <alignment vertical="center"/>
    </xf>
    <xf numFmtId="0" fontId="73" fillId="2" borderId="35" xfId="96" applyFont="1" applyFill="1" applyBorder="1" applyAlignment="1">
      <alignment vertical="center"/>
    </xf>
    <xf numFmtId="0" fontId="70" fillId="0" borderId="35" xfId="96" applyFont="1" applyFill="1" applyBorder="1" applyAlignment="1">
      <alignment vertical="center"/>
    </xf>
    <xf numFmtId="0" fontId="70" fillId="0" borderId="39" xfId="96" applyFont="1" applyFill="1" applyBorder="1" applyAlignment="1">
      <alignment vertical="center"/>
    </xf>
    <xf numFmtId="0" fontId="82" fillId="2" borderId="0" xfId="96" applyFont="1" applyFill="1" applyBorder="1" applyAlignment="1">
      <alignment vertical="center"/>
    </xf>
    <xf numFmtId="0" fontId="69" fillId="0" borderId="19" xfId="96" applyFont="1" applyFill="1" applyBorder="1" applyAlignment="1">
      <alignment vertical="center"/>
    </xf>
    <xf numFmtId="0" fontId="69" fillId="0" borderId="0" xfId="96" applyFont="1" applyFill="1" applyBorder="1" applyAlignment="1">
      <alignment vertical="center"/>
    </xf>
    <xf numFmtId="0" fontId="82" fillId="2" borderId="30" xfId="96" applyFont="1" applyFill="1" applyBorder="1" applyAlignment="1">
      <alignment vertical="center"/>
    </xf>
    <xf numFmtId="0" fontId="71" fillId="2" borderId="19" xfId="96" applyFont="1" applyFill="1" applyBorder="1" applyAlignment="1">
      <alignment vertical="center"/>
    </xf>
    <xf numFmtId="0" fontId="71" fillId="2" borderId="0" xfId="96" applyFont="1" applyFill="1" applyBorder="1" applyAlignment="1">
      <alignment vertical="center"/>
    </xf>
    <xf numFmtId="0" fontId="71" fillId="0" borderId="0" xfId="96" applyFont="1" applyFill="1" applyBorder="1" applyAlignment="1">
      <alignment vertical="center"/>
    </xf>
    <xf numFmtId="0" fontId="70" fillId="0" borderId="37" xfId="96" applyFont="1" applyFill="1" applyBorder="1" applyAlignment="1">
      <alignment vertical="center"/>
    </xf>
    <xf numFmtId="0" fontId="0" fillId="0" borderId="47" xfId="0" applyBorder="1"/>
    <xf numFmtId="0" fontId="71" fillId="0" borderId="19" xfId="96" applyFont="1" applyFill="1" applyBorder="1" applyAlignment="1">
      <alignment vertical="center" wrapText="1"/>
    </xf>
    <xf numFmtId="0" fontId="71" fillId="0" borderId="0" xfId="96" applyFont="1" applyFill="1" applyBorder="1" applyAlignment="1">
      <alignment vertical="center" wrapText="1"/>
    </xf>
    <xf numFmtId="0" fontId="70" fillId="0" borderId="37" xfId="96" applyFont="1" applyFill="1" applyBorder="1" applyAlignment="1">
      <alignment vertical="center" wrapText="1"/>
    </xf>
    <xf numFmtId="0" fontId="58" fillId="2" borderId="35" xfId="96" applyFont="1" applyFill="1" applyBorder="1" applyAlignment="1">
      <alignment vertical="center" wrapText="1"/>
    </xf>
    <xf numFmtId="188" fontId="19" fillId="2" borderId="35" xfId="0" applyNumberFormat="1" applyFont="1" applyFill="1" applyBorder="1" applyAlignment="1">
      <alignment horizontal="center" vertical="center"/>
    </xf>
    <xf numFmtId="0" fontId="19" fillId="0" borderId="0" xfId="96" applyFont="1" applyBorder="1" applyAlignment="1">
      <alignment vertical="center" wrapText="1"/>
    </xf>
    <xf numFmtId="0" fontId="71" fillId="0" borderId="19" xfId="96" applyFont="1" applyFill="1" applyBorder="1" applyAlignment="1">
      <alignment horizontal="left" vertical="center" wrapText="1"/>
    </xf>
    <xf numFmtId="0" fontId="71" fillId="0" borderId="0" xfId="96" applyFont="1" applyFill="1" applyBorder="1" applyAlignment="1">
      <alignment horizontal="left" vertical="center" wrapText="1"/>
    </xf>
    <xf numFmtId="0" fontId="71" fillId="0" borderId="37" xfId="96" applyFont="1" applyFill="1" applyBorder="1" applyAlignment="1">
      <alignment horizontal="left" vertical="center" wrapText="1"/>
    </xf>
    <xf numFmtId="0" fontId="70" fillId="0" borderId="0" xfId="96" applyFont="1" applyFill="1" applyBorder="1" applyAlignment="1">
      <alignment vertical="center" wrapText="1"/>
    </xf>
    <xf numFmtId="0" fontId="19" fillId="0" borderId="30" xfId="96" applyFont="1" applyBorder="1" applyAlignment="1">
      <alignment vertical="center" wrapText="1"/>
    </xf>
    <xf numFmtId="0" fontId="19" fillId="0" borderId="41" xfId="96" applyFont="1" applyBorder="1" applyAlignment="1">
      <alignment horizontal="left" vertical="center"/>
    </xf>
    <xf numFmtId="0" fontId="19" fillId="0" borderId="38" xfId="96" applyFont="1" applyBorder="1" applyAlignment="1">
      <alignment vertical="center"/>
    </xf>
    <xf numFmtId="0" fontId="19" fillId="0" borderId="36" xfId="96" applyFont="1" applyBorder="1" applyAlignment="1">
      <alignment horizontal="left" vertical="center"/>
    </xf>
    <xf numFmtId="0" fontId="19" fillId="0" borderId="35" xfId="96" applyFont="1" applyBorder="1" applyAlignment="1">
      <alignment horizontal="left" vertical="center"/>
    </xf>
    <xf numFmtId="0" fontId="70" fillId="0" borderId="39" xfId="96" applyFont="1" applyFill="1" applyBorder="1" applyAlignment="1">
      <alignment vertical="center" wrapText="1"/>
    </xf>
    <xf numFmtId="0" fontId="58" fillId="0" borderId="54" xfId="96" applyFont="1" applyBorder="1" applyAlignment="1">
      <alignment horizontal="left" vertical="center"/>
    </xf>
    <xf numFmtId="0" fontId="58" fillId="0" borderId="55" xfId="96" applyFont="1" applyBorder="1" applyAlignment="1">
      <alignment vertical="center"/>
    </xf>
    <xf numFmtId="0" fontId="58" fillId="0" borderId="35" xfId="96" applyFont="1" applyBorder="1" applyAlignment="1">
      <alignment vertical="center"/>
    </xf>
    <xf numFmtId="0" fontId="58" fillId="0" borderId="34" xfId="96" applyFont="1" applyBorder="1" applyAlignment="1">
      <alignment vertical="center" wrapText="1"/>
    </xf>
    <xf numFmtId="0" fontId="58" fillId="0" borderId="35" xfId="96" applyFont="1" applyBorder="1" applyAlignment="1">
      <alignment vertical="center" wrapText="1"/>
    </xf>
    <xf numFmtId="0" fontId="19" fillId="0" borderId="35" xfId="0" applyFont="1" applyBorder="1"/>
    <xf numFmtId="0" fontId="19" fillId="2" borderId="56" xfId="96" applyFont="1" applyFill="1" applyBorder="1" applyAlignment="1">
      <alignment horizontal="left" vertical="center"/>
    </xf>
    <xf numFmtId="0" fontId="19" fillId="2" borderId="0" xfId="96" applyFont="1" applyFill="1" applyBorder="1" applyAlignment="1">
      <alignment horizontal="left" vertical="center"/>
    </xf>
    <xf numFmtId="188" fontId="28" fillId="2" borderId="30" xfId="96" applyNumberFormat="1" applyFont="1" applyFill="1" applyBorder="1" applyAlignment="1">
      <alignment horizontal="left" vertical="center"/>
    </xf>
    <xf numFmtId="188" fontId="28" fillId="2" borderId="57" xfId="96" applyNumberFormat="1" applyFont="1" applyFill="1" applyBorder="1" applyAlignment="1">
      <alignment horizontal="left" vertical="center"/>
    </xf>
    <xf numFmtId="188" fontId="28" fillId="2" borderId="58" xfId="96" applyNumberFormat="1" applyFont="1" applyFill="1" applyBorder="1" applyAlignment="1">
      <alignment horizontal="left" vertical="center"/>
    </xf>
    <xf numFmtId="188" fontId="28" fillId="2" borderId="26" xfId="96" applyNumberFormat="1" applyFont="1" applyFill="1" applyBorder="1" applyAlignment="1">
      <alignment horizontal="left" vertical="center" wrapText="1"/>
    </xf>
    <xf numFmtId="0" fontId="0" fillId="0" borderId="59" xfId="0" applyBorder="1"/>
    <xf numFmtId="0" fontId="38" fillId="0" borderId="60" xfId="96" applyFont="1" applyBorder="1" applyAlignment="1">
      <alignment horizontal="center" vertical="center" wrapText="1"/>
    </xf>
    <xf numFmtId="0" fontId="38" fillId="0" borderId="2" xfId="96" applyFont="1" applyBorder="1" applyAlignment="1">
      <alignment horizontal="center" vertical="center" wrapText="1"/>
    </xf>
    <xf numFmtId="186" fontId="38" fillId="0" borderId="29" xfId="62" applyNumberFormat="1" applyFont="1" applyBorder="1" applyAlignment="1">
      <alignment horizontal="center" vertical="center" wrapText="1"/>
    </xf>
    <xf numFmtId="0" fontId="38" fillId="0" borderId="29" xfId="96" applyFont="1" applyBorder="1" applyAlignment="1">
      <alignment horizontal="center" vertical="center" wrapText="1"/>
    </xf>
    <xf numFmtId="0" fontId="38" fillId="0" borderId="61" xfId="96" applyFont="1" applyBorder="1" applyAlignment="1">
      <alignment horizontal="center" vertical="center" wrapText="1"/>
    </xf>
    <xf numFmtId="0" fontId="19" fillId="0" borderId="0" xfId="0" applyFont="1" applyFill="1"/>
    <xf numFmtId="0" fontId="19" fillId="2" borderId="5" xfId="92" applyNumberFormat="1" applyFont="1" applyFill="1" applyBorder="1" applyAlignment="1">
      <alignment horizontal="center" vertical="center"/>
    </xf>
    <xf numFmtId="0" fontId="19" fillId="0" borderId="62" xfId="92" applyNumberFormat="1" applyFont="1" applyFill="1" applyBorder="1" applyAlignment="1">
      <alignment horizontal="center" vertical="center" wrapText="1"/>
    </xf>
    <xf numFmtId="0" fontId="19" fillId="2" borderId="62" xfId="92" applyNumberFormat="1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/>
    </xf>
    <xf numFmtId="189" fontId="38" fillId="2" borderId="11" xfId="96" applyNumberFormat="1" applyFont="1" applyFill="1" applyBorder="1" applyAlignment="1">
      <alignment horizontal="center" vertical="center"/>
    </xf>
    <xf numFmtId="3" fontId="40" fillId="2" borderId="11" xfId="0" applyNumberFormat="1" applyFont="1" applyFill="1" applyBorder="1" applyAlignment="1">
      <alignment horizontal="center" vertical="center" wrapText="1"/>
    </xf>
    <xf numFmtId="186" fontId="40" fillId="2" borderId="11" xfId="96" applyNumberFormat="1" applyFont="1" applyFill="1" applyBorder="1" applyAlignment="1">
      <alignment horizontal="center" vertical="center"/>
    </xf>
    <xf numFmtId="4" fontId="38" fillId="0" borderId="12" xfId="0" applyNumberFormat="1" applyFont="1" applyFill="1" applyBorder="1" applyAlignment="1">
      <alignment horizontal="center" vertical="center" wrapText="1"/>
    </xf>
    <xf numFmtId="4" fontId="82" fillId="0" borderId="19" xfId="96" applyNumberFormat="1" applyFont="1" applyBorder="1" applyAlignment="1">
      <alignment horizontal="right"/>
    </xf>
    <xf numFmtId="201" fontId="83" fillId="0" borderId="33" xfId="96" applyNumberFormat="1" applyFont="1" applyBorder="1" applyAlignment="1">
      <alignment horizontal="left"/>
    </xf>
    <xf numFmtId="4" fontId="28" fillId="0" borderId="19" xfId="96" applyNumberFormat="1" applyFont="1" applyBorder="1" applyAlignment="1">
      <alignment horizontal="center"/>
    </xf>
    <xf numFmtId="4" fontId="28" fillId="0" borderId="0" xfId="96" applyNumberFormat="1" applyFont="1" applyBorder="1" applyAlignment="1">
      <alignment horizontal="center"/>
    </xf>
    <xf numFmtId="4" fontId="84" fillId="0" borderId="0" xfId="96" applyNumberFormat="1" applyFont="1" applyBorder="1"/>
    <xf numFmtId="4" fontId="19" fillId="0" borderId="19" xfId="96" applyNumberFormat="1" applyFont="1" applyBorder="1" applyAlignment="1">
      <alignment horizontal="center"/>
    </xf>
    <xf numFmtId="4" fontId="19" fillId="0" borderId="0" xfId="96" applyNumberFormat="1" applyFont="1" applyBorder="1" applyAlignment="1">
      <alignment horizontal="center"/>
    </xf>
    <xf numFmtId="0" fontId="28" fillId="0" borderId="19" xfId="96" applyFont="1" applyBorder="1"/>
    <xf numFmtId="0" fontId="28" fillId="0" borderId="0" xfId="96" applyFont="1" applyBorder="1"/>
    <xf numFmtId="0" fontId="63" fillId="0" borderId="0" xfId="96" applyFont="1" applyBorder="1" applyAlignment="1">
      <alignment horizontal="center"/>
    </xf>
    <xf numFmtId="0" fontId="85" fillId="0" borderId="0" xfId="96" applyFont="1" applyBorder="1"/>
    <xf numFmtId="0" fontId="86" fillId="0" borderId="0" xfId="96" applyFont="1" applyBorder="1" applyAlignment="1">
      <alignment horizontal="center"/>
    </xf>
    <xf numFmtId="0" fontId="28" fillId="0" borderId="0" xfId="96" applyFont="1"/>
    <xf numFmtId="0" fontId="87" fillId="0" borderId="0" xfId="96"/>
    <xf numFmtId="0" fontId="19" fillId="0" borderId="21" xfId="96" applyFont="1" applyFill="1" applyBorder="1" applyAlignment="1" quotePrefix="1">
      <alignment horizontal="center" vertical="center" wrapText="1"/>
    </xf>
    <xf numFmtId="0" fontId="19" fillId="0" borderId="21" xfId="94" applyFont="1" applyFill="1" applyBorder="1" applyAlignment="1" quotePrefix="1">
      <alignment horizontal="center" vertical="center" wrapText="1"/>
    </xf>
    <xf numFmtId="1" fontId="34" fillId="0" borderId="0" xfId="94" applyNumberFormat="1" applyFont="1" applyAlignment="1" quotePrefix="1">
      <alignment horizontal="left" vertical="center"/>
    </xf>
  </cellXfs>
  <cellStyles count="1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3" xfId="55"/>
    <cellStyle name="Comma 3 2" xfId="56"/>
    <cellStyle name="Comma 3 3" xfId="57"/>
    <cellStyle name="Comma 4" xfId="58"/>
    <cellStyle name="Comma 5" xfId="59"/>
    <cellStyle name="Comma 6" xfId="60"/>
    <cellStyle name="Comma 7" xfId="61"/>
    <cellStyle name="Comma 7 2" xfId="62"/>
    <cellStyle name="Comma 8" xfId="63"/>
    <cellStyle name="Comma 9" xfId="64"/>
    <cellStyle name="Currency 2" xfId="65"/>
    <cellStyle name="Currency 2 2" xfId="66"/>
    <cellStyle name="Currency Custom" xfId="67"/>
    <cellStyle name="Hyperlink 2" xfId="68"/>
    <cellStyle name="Indent" xfId="69"/>
    <cellStyle name="Item" xfId="70"/>
    <cellStyle name="Normal 11" xfId="71"/>
    <cellStyle name="Normal 2" xfId="72"/>
    <cellStyle name="Normal 2 2" xfId="73"/>
    <cellStyle name="Normal 2 3" xfId="74"/>
    <cellStyle name="Normal 2 4" xfId="75"/>
    <cellStyle name="Normal 2 4 2" xfId="76"/>
    <cellStyle name="Normal 3" xfId="77"/>
    <cellStyle name="Normal 3 2" xfId="78"/>
    <cellStyle name="Normal 3 2 2" xfId="79"/>
    <cellStyle name="Normal 3 2 2 2" xfId="80"/>
    <cellStyle name="Normal 3 3" xfId="81"/>
    <cellStyle name="Normal 3 4" xfId="82"/>
    <cellStyle name="Normal 3 5" xfId="83"/>
    <cellStyle name="Normal 4" xfId="84"/>
    <cellStyle name="Normal 4 2" xfId="85"/>
    <cellStyle name="Normal 4 2 2" xfId="86"/>
    <cellStyle name="Normal 4 3" xfId="87"/>
    <cellStyle name="Normal 4 3 2" xfId="88"/>
    <cellStyle name="Normal 4 3 3" xfId="89"/>
    <cellStyle name="Normal 4 3 3 2" xfId="90"/>
    <cellStyle name="Normal 4 3 4" xfId="91"/>
    <cellStyle name="Normal 4 3 5" xfId="92"/>
    <cellStyle name="Normal 4 4" xfId="93"/>
    <cellStyle name="Normal 5" xfId="94"/>
    <cellStyle name="Normal 5 2" xfId="95"/>
    <cellStyle name="Normal 5 3" xfId="96"/>
    <cellStyle name="Normal 5 3 2" xfId="97"/>
    <cellStyle name="Normal 50 2" xfId="98"/>
    <cellStyle name="Normal 6" xfId="99"/>
    <cellStyle name="Normal 6 2" xfId="100"/>
    <cellStyle name="Normal 7" xfId="101"/>
    <cellStyle name="Normal 7 2" xfId="102"/>
    <cellStyle name="Normal 7 2 2" xfId="103"/>
    <cellStyle name="Normal 7 2 3" xfId="104"/>
    <cellStyle name="Normal 7 3" xfId="105"/>
    <cellStyle name="Normal 70 2" xfId="106"/>
    <cellStyle name="Normal 8" xfId="107"/>
    <cellStyle name="Normal 9" xfId="108"/>
    <cellStyle name="Normal_Inv" xfId="109"/>
    <cellStyle name="Normal_Sheet1" xfId="110"/>
    <cellStyle name="Purple Background" xfId="111"/>
    <cellStyle name="S10" xfId="112"/>
    <cellStyle name="White Background" xfId="113"/>
    <cellStyle name="표준 6" xfId="114"/>
    <cellStyle name="표준_Book3_0308-10항차" xfId="115"/>
    <cellStyle name="常规 11" xfId="116"/>
    <cellStyle name="常规 29" xfId="117"/>
    <cellStyle name="常规 9 2" xfId="118"/>
    <cellStyle name="常规_Sheet1" xfId="11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202"/>
  <sheetViews>
    <sheetView tabSelected="1" view="pageBreakPreview" zoomScale="60" zoomScaleNormal="70" workbookViewId="0">
      <selection activeCell="C15" sqref="C15"/>
    </sheetView>
  </sheetViews>
  <sheetFormatPr defaultColWidth="9" defaultRowHeight="14"/>
  <cols>
    <col min="1" max="1" width="34.2818181818182" customWidth="1"/>
    <col min="2" max="2" width="38.8545454545455" customWidth="1"/>
    <col min="3" max="3" width="44.8545454545455" customWidth="1"/>
    <col min="4" max="4" width="48.1363636363636" customWidth="1"/>
    <col min="5" max="5" width="29.2818181818182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  <col min="11" max="11" width="32.4272727272727" style="442" customWidth="1"/>
    <col min="12" max="30" width="9" style="442"/>
  </cols>
  <sheetData>
    <row r="1" ht="36.75" customHeight="1" spans="1:10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5"/>
    </row>
    <row r="2" ht="30.75" customHeight="1" spans="1:10">
      <c r="A2" s="446" t="s">
        <v>1</v>
      </c>
      <c r="B2" s="447"/>
      <c r="C2" s="447"/>
      <c r="D2" s="447"/>
      <c r="E2" s="447"/>
      <c r="F2" s="447"/>
      <c r="G2" s="447"/>
      <c r="H2" s="447"/>
      <c r="I2" s="447"/>
      <c r="J2" s="448"/>
    </row>
    <row r="3" ht="29.25" customHeight="1" spans="1:10">
      <c r="A3" s="449" t="s">
        <v>2</v>
      </c>
      <c r="B3" s="450"/>
      <c r="C3" s="450"/>
      <c r="D3" s="450"/>
      <c r="E3" s="450"/>
      <c r="F3" s="450"/>
      <c r="G3" s="450"/>
      <c r="H3" s="450"/>
      <c r="I3" s="450"/>
      <c r="J3" s="451"/>
    </row>
    <row r="4" ht="28.75" spans="1:10">
      <c r="A4" s="452" t="s">
        <v>3</v>
      </c>
      <c r="B4" s="453"/>
      <c r="C4" s="453"/>
      <c r="D4" s="453"/>
      <c r="E4" s="453"/>
      <c r="F4" s="453"/>
      <c r="G4" s="453"/>
      <c r="H4" s="453"/>
      <c r="I4" s="453"/>
      <c r="J4" s="454"/>
    </row>
    <row r="5" ht="15" spans="1:10">
      <c r="A5" s="455" t="s">
        <v>4</v>
      </c>
      <c r="B5" s="456"/>
      <c r="C5" s="456"/>
      <c r="D5" s="457"/>
      <c r="E5" s="457"/>
      <c r="F5" s="458" t="s">
        <v>5</v>
      </c>
      <c r="G5" s="459"/>
      <c r="H5" s="460"/>
      <c r="I5" s="460"/>
      <c r="J5" s="461"/>
    </row>
    <row r="6" ht="15" spans="1:10">
      <c r="A6" s="462" t="s">
        <v>6</v>
      </c>
      <c r="B6" s="457"/>
      <c r="C6" s="457"/>
      <c r="D6" s="457"/>
      <c r="E6" s="457"/>
      <c r="F6" s="463" t="str">
        <f>DPK!J7</f>
        <v>AK/GDI-20260015</v>
      </c>
      <c r="G6" s="464">
        <f>DPK!L7</f>
        <v>46216</v>
      </c>
      <c r="H6" s="464"/>
      <c r="I6" s="465"/>
      <c r="J6" s="466"/>
    </row>
    <row r="7" ht="15" spans="1:10">
      <c r="A7" s="467" t="s">
        <v>7</v>
      </c>
      <c r="B7" s="468"/>
      <c r="C7" s="468"/>
      <c r="D7" s="468"/>
      <c r="E7" s="468"/>
      <c r="F7" s="469" t="s">
        <v>8</v>
      </c>
      <c r="G7" s="470"/>
      <c r="H7" s="471"/>
      <c r="I7" s="460"/>
      <c r="J7" s="472"/>
    </row>
    <row r="8" ht="15" spans="1:10">
      <c r="A8" s="473" t="s">
        <v>9</v>
      </c>
      <c r="B8" s="474"/>
      <c r="C8" s="474"/>
      <c r="D8" s="474"/>
      <c r="E8" s="475"/>
      <c r="F8" s="476"/>
      <c r="G8" s="477"/>
      <c r="H8" s="477"/>
      <c r="I8" s="460"/>
      <c r="J8" s="466"/>
    </row>
    <row r="9" ht="15" spans="1:10">
      <c r="A9" s="478" t="s">
        <v>10</v>
      </c>
      <c r="B9" s="479"/>
      <c r="C9" s="479"/>
      <c r="D9" s="474"/>
      <c r="E9" s="475"/>
      <c r="F9" s="480" t="str">
        <f>DPK!J12</f>
        <v>AK/GDI/CT-202603</v>
      </c>
      <c r="G9" s="477">
        <f>DPK!L12</f>
        <v>46163</v>
      </c>
      <c r="H9" s="481"/>
      <c r="I9" s="460"/>
      <c r="J9" s="466"/>
    </row>
    <row r="10" ht="15" spans="1:10">
      <c r="A10" s="482" t="s">
        <v>11</v>
      </c>
      <c r="B10" s="483"/>
      <c r="C10" s="483"/>
      <c r="D10" s="484"/>
      <c r="E10" s="485"/>
      <c r="F10" s="486"/>
      <c r="G10" s="487"/>
      <c r="H10" s="488"/>
      <c r="I10" s="489"/>
      <c r="J10" s="472"/>
    </row>
    <row r="11" ht="15" spans="1:10">
      <c r="A11" s="490" t="s">
        <v>12</v>
      </c>
      <c r="B11" s="491"/>
      <c r="C11" s="491"/>
      <c r="D11" s="491"/>
      <c r="E11" s="492"/>
      <c r="F11" s="493"/>
      <c r="G11" s="494"/>
      <c r="H11" s="494"/>
      <c r="I11" s="460"/>
      <c r="J11" s="466"/>
    </row>
    <row r="12" ht="15" spans="1:10">
      <c r="A12" s="495" t="s">
        <v>13</v>
      </c>
      <c r="B12" s="496"/>
      <c r="C12" s="496"/>
      <c r="D12" s="496"/>
      <c r="E12" s="497"/>
      <c r="F12" s="493"/>
      <c r="G12" s="494"/>
      <c r="H12" s="494"/>
      <c r="I12" s="460"/>
      <c r="J12" s="466"/>
    </row>
    <row r="13" ht="15" spans="1:10">
      <c r="A13" s="495" t="s">
        <v>14</v>
      </c>
      <c r="B13" s="496"/>
      <c r="C13" s="496"/>
      <c r="D13" s="496"/>
      <c r="E13" s="497"/>
      <c r="F13" s="493"/>
      <c r="G13" s="494"/>
      <c r="H13" s="494"/>
      <c r="I13" s="460"/>
      <c r="J13" s="466"/>
    </row>
    <row r="14" ht="15" spans="1:10">
      <c r="A14" s="495"/>
      <c r="B14" s="496"/>
      <c r="C14" s="496"/>
      <c r="D14" s="496"/>
      <c r="E14" s="497"/>
      <c r="F14" s="498"/>
      <c r="G14" s="499"/>
      <c r="H14" s="499"/>
      <c r="I14" s="465"/>
      <c r="J14" s="466"/>
    </row>
    <row r="15" ht="15" spans="1:10">
      <c r="A15" s="500" t="s">
        <v>15</v>
      </c>
      <c r="B15" s="501"/>
      <c r="C15" s="502"/>
      <c r="D15" s="502"/>
      <c r="E15" s="503"/>
      <c r="F15" s="504" t="s">
        <v>16</v>
      </c>
      <c r="G15" s="341"/>
      <c r="H15" s="341"/>
      <c r="I15" s="460"/>
      <c r="J15" s="466"/>
    </row>
    <row r="16" ht="15" spans="1:10">
      <c r="A16" s="505" t="str">
        <f>DPK!A17</f>
        <v>PT NIRWANA ALABARE GARMENT</v>
      </c>
      <c r="B16" s="506"/>
      <c r="C16" s="506"/>
      <c r="D16" s="506"/>
      <c r="E16" s="506"/>
      <c r="F16" s="507" t="s">
        <v>17</v>
      </c>
      <c r="G16" s="341"/>
      <c r="H16" s="341"/>
      <c r="I16" s="460"/>
      <c r="J16" s="466"/>
    </row>
    <row r="17" ht="15" spans="1:26">
      <c r="A17" s="508" t="str">
        <f>DPK!A18</f>
        <v>JL. RAYA RANCAEKEK - MAJALAYA , NO.289, DESA SOLOKAN JERUK, </v>
      </c>
      <c r="B17" s="509"/>
      <c r="C17" s="510"/>
      <c r="D17" s="510"/>
      <c r="E17" s="511"/>
      <c r="F17" s="474"/>
      <c r="G17" s="341"/>
      <c r="H17" s="341"/>
      <c r="I17" s="460"/>
      <c r="J17" s="466"/>
    </row>
    <row r="18" ht="15" spans="1:26">
      <c r="A18" s="508" t="str">
        <f>DPK!A19</f>
        <v>KECAMATAN SOLOKAN JERUK, KABUPATEN BANDUNG JAWA BARAT</v>
      </c>
      <c r="B18" s="509"/>
      <c r="C18" s="510"/>
      <c r="D18" s="510"/>
      <c r="E18" s="511"/>
      <c r="F18" s="474"/>
      <c r="G18" s="341"/>
      <c r="H18" s="341"/>
      <c r="I18" s="460"/>
      <c r="J18" s="512"/>
    </row>
    <row r="19" ht="15" spans="1:26">
      <c r="A19" s="513" t="str">
        <f>DPK!A20</f>
        <v>40382, INDONESIA</v>
      </c>
      <c r="B19" s="514"/>
      <c r="C19" s="514"/>
      <c r="D19" s="514"/>
      <c r="E19" s="515"/>
      <c r="F19" s="516"/>
      <c r="G19" s="517"/>
      <c r="H19" s="517"/>
      <c r="I19" s="489"/>
      <c r="J19" s="466"/>
    </row>
    <row r="20" ht="22.5" customHeight="1" spans="1:26">
      <c r="A20" s="513" t="str">
        <f>DPK!A21</f>
        <v>TAX ID :0745 4069 2644 4000</v>
      </c>
      <c r="B20" s="514"/>
      <c r="C20" s="514"/>
      <c r="D20" s="514"/>
      <c r="E20" s="515"/>
      <c r="F20" s="518"/>
      <c r="G20" s="341"/>
      <c r="H20" s="341"/>
      <c r="I20" s="460"/>
      <c r="J20" s="466"/>
    </row>
    <row r="21" ht="35.25" customHeight="1" spans="1:26">
      <c r="A21" s="519" t="s">
        <v>18</v>
      </c>
      <c r="B21" s="520"/>
      <c r="C21" s="520"/>
      <c r="D21" s="520"/>
      <c r="E21" s="521"/>
      <c r="F21" s="518"/>
      <c r="G21" s="341"/>
      <c r="H21" s="341"/>
      <c r="I21" s="460"/>
      <c r="J21" s="466"/>
    </row>
    <row r="22" ht="15" spans="1:26">
      <c r="A22" s="513"/>
      <c r="B22" s="514"/>
      <c r="C22" s="514"/>
      <c r="D22" s="514"/>
      <c r="E22" s="522"/>
      <c r="F22" s="523"/>
      <c r="G22" s="341"/>
      <c r="H22" s="341"/>
      <c r="I22" s="460"/>
      <c r="J22" s="466"/>
    </row>
    <row r="23" ht="15" spans="1:26">
      <c r="A23" s="455" t="s">
        <v>19</v>
      </c>
      <c r="B23" s="456"/>
      <c r="C23" s="458" t="s">
        <v>20</v>
      </c>
      <c r="D23" s="457"/>
      <c r="E23" s="522"/>
      <c r="F23" s="523"/>
      <c r="G23" s="341"/>
      <c r="H23" s="341"/>
      <c r="I23" s="460"/>
      <c r="J23" s="466"/>
    </row>
    <row r="24" ht="15" spans="1:26">
      <c r="A24" s="467" t="str">
        <f>DPK!A26</f>
        <v>HO CHI MINH</v>
      </c>
      <c r="B24" s="468"/>
      <c r="C24" s="524" t="str">
        <f>DPK!E26</f>
        <v>JAKARTA</v>
      </c>
      <c r="D24" s="525"/>
      <c r="E24" s="522"/>
      <c r="F24" s="523"/>
      <c r="G24" s="341"/>
      <c r="H24" s="341"/>
      <c r="I24" s="460"/>
      <c r="J24" s="466"/>
    </row>
    <row r="25" ht="15" spans="1:26">
      <c r="A25" s="526"/>
      <c r="B25" s="527"/>
      <c r="C25" s="468"/>
      <c r="D25" s="474"/>
      <c r="E25" s="528"/>
      <c r="F25" s="523"/>
      <c r="G25" s="341"/>
      <c r="H25" s="341"/>
      <c r="I25" s="460"/>
      <c r="J25" s="466"/>
    </row>
    <row r="26" ht="15" spans="1:26">
      <c r="A26" s="513"/>
      <c r="B26" s="514"/>
      <c r="C26" s="514"/>
      <c r="D26" s="514"/>
      <c r="E26" s="522"/>
      <c r="F26" s="523"/>
      <c r="G26" s="341"/>
      <c r="H26" s="341"/>
      <c r="I26" s="460"/>
      <c r="J26" s="466"/>
    </row>
    <row r="27" ht="16.5" customHeight="1" spans="1:26">
      <c r="A27" s="482"/>
      <c r="B27" s="529"/>
      <c r="C27" s="530" t="s">
        <v>21</v>
      </c>
      <c r="D27" s="531" t="s">
        <v>22</v>
      </c>
      <c r="E27" s="531"/>
      <c r="F27" s="532"/>
      <c r="G27" s="533"/>
      <c r="H27" s="534"/>
      <c r="I27" s="489"/>
      <c r="J27" s="472"/>
    </row>
    <row r="28" ht="78" customHeight="1" spans="1:26">
      <c r="A28" s="535"/>
      <c r="B28" s="536"/>
      <c r="C28" s="537">
        <f>DPK!C29</f>
        <v>46221</v>
      </c>
      <c r="D28" s="538">
        <f>DPK!E29</f>
        <v>46224</v>
      </c>
      <c r="E28" s="539"/>
      <c r="F28" s="507" t="s">
        <v>23</v>
      </c>
      <c r="G28" s="540"/>
      <c r="H28" s="540"/>
      <c r="I28" s="540"/>
      <c r="J28" s="541"/>
    </row>
    <row r="29" s="438" customFormat="1" ht="51" customHeight="1" spans="1:26">
      <c r="A29" s="542" t="s">
        <v>24</v>
      </c>
      <c r="B29" s="543" t="s">
        <v>25</v>
      </c>
      <c r="C29" s="543" t="s">
        <v>26</v>
      </c>
      <c r="D29" s="543" t="s">
        <v>27</v>
      </c>
      <c r="E29" s="543" t="s">
        <v>28</v>
      </c>
      <c r="F29" s="543" t="s">
        <v>29</v>
      </c>
      <c r="G29" s="544" t="s">
        <v>30</v>
      </c>
      <c r="H29" s="545" t="s">
        <v>31</v>
      </c>
      <c r="I29" s="545" t="s">
        <v>32</v>
      </c>
      <c r="J29" s="546" t="s">
        <v>33</v>
      </c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s="439" customFormat="1" ht="69" customHeight="1" spans="1:26">
      <c r="A30" s="548" t="s">
        <v>34</v>
      </c>
      <c r="B30" s="549" t="s">
        <v>35</v>
      </c>
      <c r="C30" s="548">
        <v>1051120</v>
      </c>
      <c r="D30" s="218" t="s">
        <v>36</v>
      </c>
      <c r="E30" s="570" t="s">
        <v>37</v>
      </c>
      <c r="F30" s="218" t="s">
        <v>38</v>
      </c>
      <c r="G30" s="218">
        <v>420</v>
      </c>
      <c r="H30" s="218" t="s">
        <v>39</v>
      </c>
      <c r="I30" s="136">
        <v>0.195</v>
      </c>
      <c r="J30" s="137">
        <f>ROUND(G30*I30,2)</f>
        <v>81.9</v>
      </c>
    </row>
    <row r="31" s="440" customFormat="1" ht="69" customHeight="1" spans="1:26">
      <c r="A31" s="548" t="s">
        <v>34</v>
      </c>
      <c r="B31" s="550" t="s">
        <v>35</v>
      </c>
      <c r="C31" s="548">
        <v>1051120</v>
      </c>
      <c r="D31" s="218" t="s">
        <v>36</v>
      </c>
      <c r="E31" s="570" t="s">
        <v>37</v>
      </c>
      <c r="F31" s="218" t="s">
        <v>40</v>
      </c>
      <c r="G31" s="218">
        <v>779</v>
      </c>
      <c r="H31" s="218" t="s">
        <v>39</v>
      </c>
      <c r="I31" s="136">
        <v>0.195</v>
      </c>
      <c r="J31" s="137">
        <f>ROUND(G31*I31,2)</f>
        <v>151.91</v>
      </c>
    </row>
    <row r="32" s="440" customFormat="1" ht="69" customHeight="1" spans="1:26">
      <c r="A32" s="548" t="s">
        <v>34</v>
      </c>
      <c r="B32" s="550" t="s">
        <v>35</v>
      </c>
      <c r="C32" s="548">
        <v>1051120</v>
      </c>
      <c r="D32" s="218" t="s">
        <v>36</v>
      </c>
      <c r="E32" s="570" t="s">
        <v>37</v>
      </c>
      <c r="F32" s="218" t="s">
        <v>41</v>
      </c>
      <c r="G32" s="218">
        <v>468</v>
      </c>
      <c r="H32" s="218" t="s">
        <v>39</v>
      </c>
      <c r="I32" s="136">
        <v>0.195</v>
      </c>
      <c r="J32" s="137">
        <f>ROUND(G32*I32,2)</f>
        <v>91.26</v>
      </c>
    </row>
    <row r="33" s="440" customFormat="1" ht="69" customHeight="1" spans="1:10">
      <c r="A33" s="548" t="s">
        <v>34</v>
      </c>
      <c r="B33" s="550" t="s">
        <v>35</v>
      </c>
      <c r="C33" s="548">
        <v>1051120</v>
      </c>
      <c r="D33" s="218" t="s">
        <v>36</v>
      </c>
      <c r="E33" s="570" t="s">
        <v>37</v>
      </c>
      <c r="F33" s="218" t="s">
        <v>42</v>
      </c>
      <c r="G33" s="218">
        <v>526</v>
      </c>
      <c r="H33" s="218" t="s">
        <v>39</v>
      </c>
      <c r="I33" s="136">
        <v>0.195</v>
      </c>
      <c r="J33" s="137">
        <f>ROUND(G33*I33,2)</f>
        <v>102.57</v>
      </c>
    </row>
    <row r="34" s="440" customFormat="1" ht="69" customHeight="1" spans="1:10">
      <c r="A34" s="548" t="s">
        <v>34</v>
      </c>
      <c r="B34" s="550" t="s">
        <v>35</v>
      </c>
      <c r="C34" s="548">
        <v>1051120</v>
      </c>
      <c r="D34" s="218" t="s">
        <v>36</v>
      </c>
      <c r="E34" s="570" t="s">
        <v>37</v>
      </c>
      <c r="F34" s="218" t="s">
        <v>43</v>
      </c>
      <c r="G34" s="218">
        <v>507</v>
      </c>
      <c r="H34" s="218" t="s">
        <v>39</v>
      </c>
      <c r="I34" s="136">
        <v>0.195</v>
      </c>
      <c r="J34" s="137">
        <f>ROUND(G34*I34,2)</f>
        <v>98.87</v>
      </c>
    </row>
    <row r="35" s="440" customFormat="1" ht="69" customHeight="1" spans="1:10">
      <c r="A35" s="548" t="s">
        <v>34</v>
      </c>
      <c r="B35" s="550" t="s">
        <v>35</v>
      </c>
      <c r="C35" s="548">
        <v>1051120</v>
      </c>
      <c r="D35" s="218" t="s">
        <v>36</v>
      </c>
      <c r="E35" s="570" t="s">
        <v>37</v>
      </c>
      <c r="F35" s="218" t="s">
        <v>44</v>
      </c>
      <c r="G35" s="218">
        <v>133</v>
      </c>
      <c r="H35" s="218" t="s">
        <v>39</v>
      </c>
      <c r="I35" s="136">
        <v>0.195</v>
      </c>
      <c r="J35" s="137">
        <f>ROUND(G35*I35,2)</f>
        <v>25.94</v>
      </c>
    </row>
    <row r="36" s="440" customFormat="1" ht="69" customHeight="1" spans="1:10">
      <c r="A36" s="548" t="s">
        <v>34</v>
      </c>
      <c r="B36" s="550" t="s">
        <v>35</v>
      </c>
      <c r="C36" s="548">
        <v>1051120</v>
      </c>
      <c r="D36" s="218" t="s">
        <v>36</v>
      </c>
      <c r="E36" s="570" t="s">
        <v>37</v>
      </c>
      <c r="F36" s="218" t="s">
        <v>45</v>
      </c>
      <c r="G36" s="218">
        <v>223</v>
      </c>
      <c r="H36" s="218" t="s">
        <v>39</v>
      </c>
      <c r="I36" s="136">
        <v>0.195</v>
      </c>
      <c r="J36" s="137">
        <f>ROUND(G36*I36,2)</f>
        <v>43.49</v>
      </c>
    </row>
    <row r="37" s="440" customFormat="1" ht="69" customHeight="1" spans="1:10">
      <c r="A37" s="548" t="s">
        <v>34</v>
      </c>
      <c r="B37" s="550" t="s">
        <v>35</v>
      </c>
      <c r="C37" s="548">
        <v>1051120</v>
      </c>
      <c r="D37" s="218" t="s">
        <v>36</v>
      </c>
      <c r="E37" s="570" t="s">
        <v>37</v>
      </c>
      <c r="F37" s="218" t="s">
        <v>46</v>
      </c>
      <c r="G37" s="218">
        <v>158</v>
      </c>
      <c r="H37" s="218" t="s">
        <v>39</v>
      </c>
      <c r="I37" s="136">
        <v>0.195</v>
      </c>
      <c r="J37" s="137">
        <f>ROUND(G37*I37,2)</f>
        <v>30.81</v>
      </c>
    </row>
    <row r="38" s="440" customFormat="1" ht="69" customHeight="1" spans="1:10">
      <c r="A38" s="548" t="s">
        <v>34</v>
      </c>
      <c r="B38" s="550" t="s">
        <v>35</v>
      </c>
      <c r="C38" s="548">
        <v>1051120</v>
      </c>
      <c r="D38" s="218" t="s">
        <v>36</v>
      </c>
      <c r="E38" s="570" t="s">
        <v>37</v>
      </c>
      <c r="F38" s="218" t="s">
        <v>47</v>
      </c>
      <c r="G38" s="218">
        <v>1100</v>
      </c>
      <c r="H38" s="218" t="s">
        <v>39</v>
      </c>
      <c r="I38" s="136">
        <v>0.195</v>
      </c>
      <c r="J38" s="137">
        <f>ROUND(G38*I38,2)</f>
        <v>214.5</v>
      </c>
    </row>
    <row r="39" s="440" customFormat="1" ht="69" customHeight="1" spans="1:10">
      <c r="A39" s="548" t="s">
        <v>34</v>
      </c>
      <c r="B39" s="550" t="s">
        <v>35</v>
      </c>
      <c r="C39" s="548">
        <v>1051120</v>
      </c>
      <c r="D39" s="218" t="s">
        <v>36</v>
      </c>
      <c r="E39" s="570" t="s">
        <v>37</v>
      </c>
      <c r="F39" s="218" t="s">
        <v>47</v>
      </c>
      <c r="G39" s="218">
        <v>1053</v>
      </c>
      <c r="H39" s="218" t="s">
        <v>39</v>
      </c>
      <c r="I39" s="136">
        <v>0.195</v>
      </c>
      <c r="J39" s="137">
        <f>ROUND(G39*I39,2)</f>
        <v>205.34</v>
      </c>
    </row>
    <row r="40" s="440" customFormat="1" ht="69" customHeight="1" spans="1:10">
      <c r="A40" s="548" t="s">
        <v>48</v>
      </c>
      <c r="B40" s="550" t="s">
        <v>49</v>
      </c>
      <c r="C40" s="548">
        <v>1051120</v>
      </c>
      <c r="D40" s="218" t="s">
        <v>36</v>
      </c>
      <c r="E40" s="570" t="s">
        <v>37</v>
      </c>
      <c r="F40" s="218" t="s">
        <v>38</v>
      </c>
      <c r="G40" s="218">
        <v>163</v>
      </c>
      <c r="H40" s="218" t="s">
        <v>39</v>
      </c>
      <c r="I40" s="136">
        <v>0.182</v>
      </c>
      <c r="J40" s="137">
        <f>ROUND(G40*I40,2)</f>
        <v>29.67</v>
      </c>
    </row>
    <row r="41" s="440" customFormat="1" ht="69" customHeight="1" spans="1:10">
      <c r="A41" s="548" t="s">
        <v>48</v>
      </c>
      <c r="B41" s="550" t="s">
        <v>49</v>
      </c>
      <c r="C41" s="548">
        <v>1051120</v>
      </c>
      <c r="D41" s="218" t="s">
        <v>36</v>
      </c>
      <c r="E41" s="570" t="s">
        <v>37</v>
      </c>
      <c r="F41" s="218" t="s">
        <v>41</v>
      </c>
      <c r="G41" s="218">
        <v>668</v>
      </c>
      <c r="H41" s="218" t="s">
        <v>39</v>
      </c>
      <c r="I41" s="136">
        <v>0.182</v>
      </c>
      <c r="J41" s="137">
        <f>ROUND(G41*I41,2)</f>
        <v>121.58</v>
      </c>
    </row>
    <row r="42" s="440" customFormat="1" ht="69" customHeight="1" spans="1:10">
      <c r="A42" s="548" t="s">
        <v>48</v>
      </c>
      <c r="B42" s="550" t="s">
        <v>49</v>
      </c>
      <c r="C42" s="548">
        <v>1051120</v>
      </c>
      <c r="D42" s="218" t="s">
        <v>36</v>
      </c>
      <c r="E42" s="570" t="s">
        <v>37</v>
      </c>
      <c r="F42" s="218" t="s">
        <v>40</v>
      </c>
      <c r="G42" s="218">
        <v>300</v>
      </c>
      <c r="H42" s="218" t="s">
        <v>39</v>
      </c>
      <c r="I42" s="136">
        <v>0.182</v>
      </c>
      <c r="J42" s="137">
        <f>ROUND(G42*I42,2)</f>
        <v>54.6</v>
      </c>
    </row>
    <row r="43" s="440" customFormat="1" ht="69" customHeight="1" spans="1:10">
      <c r="A43" s="548" t="s">
        <v>48</v>
      </c>
      <c r="B43" s="550" t="s">
        <v>49</v>
      </c>
      <c r="C43" s="548">
        <v>1051120</v>
      </c>
      <c r="D43" s="218" t="s">
        <v>36</v>
      </c>
      <c r="E43" s="570" t="s">
        <v>37</v>
      </c>
      <c r="F43" s="218" t="s">
        <v>45</v>
      </c>
      <c r="G43" s="218">
        <v>20</v>
      </c>
      <c r="H43" s="218" t="s">
        <v>39</v>
      </c>
      <c r="I43" s="136">
        <v>0.182</v>
      </c>
      <c r="J43" s="137">
        <f>ROUND(G43*I43,2)</f>
        <v>3.64</v>
      </c>
    </row>
    <row r="44" s="440" customFormat="1" ht="69" customHeight="1" spans="1:10">
      <c r="A44" s="548" t="s">
        <v>48</v>
      </c>
      <c r="B44" s="550" t="s">
        <v>49</v>
      </c>
      <c r="C44" s="548">
        <v>1051120</v>
      </c>
      <c r="D44" s="218" t="s">
        <v>36</v>
      </c>
      <c r="E44" s="570" t="s">
        <v>37</v>
      </c>
      <c r="F44" s="218" t="s">
        <v>40</v>
      </c>
      <c r="G44" s="218">
        <v>1194</v>
      </c>
      <c r="H44" s="218" t="s">
        <v>39</v>
      </c>
      <c r="I44" s="136">
        <v>0.182</v>
      </c>
      <c r="J44" s="137">
        <f>ROUND(G44*I44,2)</f>
        <v>217.31</v>
      </c>
    </row>
    <row r="45" s="440" customFormat="1" ht="69" customHeight="1" spans="1:10">
      <c r="A45" s="548" t="s">
        <v>48</v>
      </c>
      <c r="B45" s="550" t="s">
        <v>49</v>
      </c>
      <c r="C45" s="548">
        <v>1051120</v>
      </c>
      <c r="D45" s="218" t="s">
        <v>36</v>
      </c>
      <c r="E45" s="570" t="s">
        <v>37</v>
      </c>
      <c r="F45" s="218" t="s">
        <v>43</v>
      </c>
      <c r="G45" s="218">
        <v>1065</v>
      </c>
      <c r="H45" s="218" t="s">
        <v>39</v>
      </c>
      <c r="I45" s="136">
        <v>0.182</v>
      </c>
      <c r="J45" s="137">
        <f>ROUND(G45*I45,2)</f>
        <v>193.83</v>
      </c>
    </row>
    <row r="46" s="440" customFormat="1" ht="69" customHeight="1" spans="1:10">
      <c r="A46" s="548" t="s">
        <v>48</v>
      </c>
      <c r="B46" s="550" t="s">
        <v>49</v>
      </c>
      <c r="C46" s="548">
        <v>1051120</v>
      </c>
      <c r="D46" s="218" t="s">
        <v>36</v>
      </c>
      <c r="E46" s="570" t="s">
        <v>37</v>
      </c>
      <c r="F46" s="218" t="s">
        <v>47</v>
      </c>
      <c r="G46" s="218">
        <v>100</v>
      </c>
      <c r="H46" s="218" t="s">
        <v>39</v>
      </c>
      <c r="I46" s="136">
        <v>0.182</v>
      </c>
      <c r="J46" s="137">
        <f>ROUND(G46*I46,2)</f>
        <v>18.2</v>
      </c>
    </row>
    <row r="47" s="440" customFormat="1" ht="69" customHeight="1" spans="1:10">
      <c r="A47" s="548" t="s">
        <v>48</v>
      </c>
      <c r="B47" s="550" t="s">
        <v>49</v>
      </c>
      <c r="C47" s="548">
        <v>1051120</v>
      </c>
      <c r="D47" s="218" t="s">
        <v>36</v>
      </c>
      <c r="E47" s="570" t="s">
        <v>37</v>
      </c>
      <c r="F47" s="218" t="s">
        <v>47</v>
      </c>
      <c r="G47" s="218">
        <v>1212</v>
      </c>
      <c r="H47" s="218" t="s">
        <v>39</v>
      </c>
      <c r="I47" s="136">
        <v>0.182</v>
      </c>
      <c r="J47" s="137">
        <f>ROUND(G47*I47,2)</f>
        <v>220.58</v>
      </c>
    </row>
    <row r="48" s="440" customFormat="1" ht="69" customHeight="1" spans="1:10">
      <c r="A48" s="548" t="s">
        <v>48</v>
      </c>
      <c r="B48" s="550" t="s">
        <v>49</v>
      </c>
      <c r="C48" s="548">
        <v>1051120</v>
      </c>
      <c r="D48" s="218" t="s">
        <v>36</v>
      </c>
      <c r="E48" s="570" t="s">
        <v>50</v>
      </c>
      <c r="F48" s="218" t="s">
        <v>38</v>
      </c>
      <c r="G48" s="218">
        <v>163</v>
      </c>
      <c r="H48" s="218" t="s">
        <v>39</v>
      </c>
      <c r="I48" s="136">
        <v>0.19</v>
      </c>
      <c r="J48" s="137">
        <f>ROUND(G48*I48,2)</f>
        <v>30.97</v>
      </c>
    </row>
    <row r="49" s="440" customFormat="1" ht="69" customHeight="1" spans="1:10">
      <c r="A49" s="548" t="s">
        <v>48</v>
      </c>
      <c r="B49" s="550" t="s">
        <v>49</v>
      </c>
      <c r="C49" s="548">
        <v>1051120</v>
      </c>
      <c r="D49" s="218" t="s">
        <v>36</v>
      </c>
      <c r="E49" s="570" t="s">
        <v>50</v>
      </c>
      <c r="F49" s="218" t="s">
        <v>47</v>
      </c>
      <c r="G49" s="218">
        <v>942</v>
      </c>
      <c r="H49" s="218" t="s">
        <v>39</v>
      </c>
      <c r="I49" s="136">
        <v>0.19</v>
      </c>
      <c r="J49" s="137">
        <f>ROUND(G49*I49,2)</f>
        <v>178.98</v>
      </c>
    </row>
    <row r="50" s="440" customFormat="1" ht="69" customHeight="1" spans="1:10">
      <c r="A50" s="548" t="s">
        <v>48</v>
      </c>
      <c r="B50" s="550" t="s">
        <v>49</v>
      </c>
      <c r="C50" s="548">
        <v>1051120</v>
      </c>
      <c r="D50" s="218" t="s">
        <v>36</v>
      </c>
      <c r="E50" s="570" t="s">
        <v>50</v>
      </c>
      <c r="F50" s="218" t="s">
        <v>47</v>
      </c>
      <c r="G50" s="218">
        <v>1000</v>
      </c>
      <c r="H50" s="218" t="s">
        <v>39</v>
      </c>
      <c r="I50" s="136">
        <v>0.19</v>
      </c>
      <c r="J50" s="137">
        <f>ROUND(G50*I50,2)</f>
        <v>190</v>
      </c>
    </row>
    <row r="51" s="440" customFormat="1" ht="69" customHeight="1" spans="1:10">
      <c r="A51" s="548" t="s">
        <v>48</v>
      </c>
      <c r="B51" s="550" t="s">
        <v>49</v>
      </c>
      <c r="C51" s="548">
        <v>1051120</v>
      </c>
      <c r="D51" s="218" t="s">
        <v>36</v>
      </c>
      <c r="E51" s="570" t="s">
        <v>50</v>
      </c>
      <c r="F51" s="218" t="s">
        <v>41</v>
      </c>
      <c r="G51" s="218">
        <v>569</v>
      </c>
      <c r="H51" s="218" t="s">
        <v>39</v>
      </c>
      <c r="I51" s="136">
        <v>0.19</v>
      </c>
      <c r="J51" s="137">
        <f>ROUND(G51*I51,2)</f>
        <v>108.11</v>
      </c>
    </row>
    <row r="52" s="440" customFormat="1" ht="69" customHeight="1" spans="1:10">
      <c r="A52" s="548" t="s">
        <v>48</v>
      </c>
      <c r="B52" s="550" t="s">
        <v>49</v>
      </c>
      <c r="C52" s="548">
        <v>1051120</v>
      </c>
      <c r="D52" s="218" t="s">
        <v>36</v>
      </c>
      <c r="E52" s="570" t="s">
        <v>50</v>
      </c>
      <c r="F52" s="218" t="s">
        <v>40</v>
      </c>
      <c r="G52" s="218">
        <v>600</v>
      </c>
      <c r="H52" s="218" t="s">
        <v>39</v>
      </c>
      <c r="I52" s="136">
        <v>0.19</v>
      </c>
      <c r="J52" s="137">
        <f>ROUND(G52*I52,2)</f>
        <v>114</v>
      </c>
    </row>
    <row r="53" s="440" customFormat="1" ht="69" customHeight="1" spans="1:10">
      <c r="A53" s="548" t="s">
        <v>48</v>
      </c>
      <c r="B53" s="550" t="s">
        <v>49</v>
      </c>
      <c r="C53" s="548">
        <v>1051120</v>
      </c>
      <c r="D53" s="218" t="s">
        <v>36</v>
      </c>
      <c r="E53" s="570" t="s">
        <v>50</v>
      </c>
      <c r="F53" s="218" t="s">
        <v>40</v>
      </c>
      <c r="G53" s="218">
        <v>1200</v>
      </c>
      <c r="H53" s="218" t="s">
        <v>39</v>
      </c>
      <c r="I53" s="136">
        <v>0.19</v>
      </c>
      <c r="J53" s="137">
        <f>ROUND(G53*I53,2)</f>
        <v>228</v>
      </c>
    </row>
    <row r="54" s="440" customFormat="1" ht="69" customHeight="1" spans="1:10">
      <c r="A54" s="548" t="s">
        <v>48</v>
      </c>
      <c r="B54" s="550" t="s">
        <v>49</v>
      </c>
      <c r="C54" s="548">
        <v>1051120</v>
      </c>
      <c r="D54" s="218" t="s">
        <v>36</v>
      </c>
      <c r="E54" s="570" t="s">
        <v>50</v>
      </c>
      <c r="F54" s="218" t="s">
        <v>43</v>
      </c>
      <c r="G54" s="218">
        <v>795</v>
      </c>
      <c r="H54" s="218" t="s">
        <v>39</v>
      </c>
      <c r="I54" s="136">
        <v>0.19</v>
      </c>
      <c r="J54" s="137">
        <f>ROUND(G54*I54,2)</f>
        <v>151.05</v>
      </c>
    </row>
    <row r="55" s="440" customFormat="1" ht="69" customHeight="1" spans="1:10">
      <c r="A55" s="548" t="s">
        <v>48</v>
      </c>
      <c r="B55" s="550" t="s">
        <v>49</v>
      </c>
      <c r="C55" s="548">
        <v>1051120</v>
      </c>
      <c r="D55" s="218" t="s">
        <v>36</v>
      </c>
      <c r="E55" s="570" t="s">
        <v>50</v>
      </c>
      <c r="F55" s="218" t="s">
        <v>40</v>
      </c>
      <c r="G55" s="218">
        <v>406</v>
      </c>
      <c r="H55" s="218" t="s">
        <v>39</v>
      </c>
      <c r="I55" s="136">
        <v>0.19</v>
      </c>
      <c r="J55" s="137">
        <f>ROUND(G55*I55,2)</f>
        <v>77.14</v>
      </c>
    </row>
    <row r="56" s="440" customFormat="1" ht="69" customHeight="1" spans="1:10">
      <c r="A56" s="548" t="s">
        <v>34</v>
      </c>
      <c r="B56" s="550" t="s">
        <v>35</v>
      </c>
      <c r="C56" s="548">
        <v>1051120</v>
      </c>
      <c r="D56" s="218" t="s">
        <v>36</v>
      </c>
      <c r="E56" s="570" t="s">
        <v>50</v>
      </c>
      <c r="F56" s="218" t="s">
        <v>38</v>
      </c>
      <c r="G56" s="218">
        <v>184</v>
      </c>
      <c r="H56" s="218" t="s">
        <v>39</v>
      </c>
      <c r="I56" s="136">
        <v>0.195</v>
      </c>
      <c r="J56" s="137">
        <f>ROUND(G56*I56,2)</f>
        <v>35.88</v>
      </c>
    </row>
    <row r="57" s="440" customFormat="1" ht="69" customHeight="1" spans="1:10">
      <c r="A57" s="548" t="s">
        <v>34</v>
      </c>
      <c r="B57" s="550" t="s">
        <v>35</v>
      </c>
      <c r="C57" s="548">
        <v>1051120</v>
      </c>
      <c r="D57" s="218" t="s">
        <v>36</v>
      </c>
      <c r="E57" s="570" t="s">
        <v>50</v>
      </c>
      <c r="F57" s="218" t="s">
        <v>41</v>
      </c>
      <c r="G57" s="218">
        <v>576</v>
      </c>
      <c r="H57" s="218" t="s">
        <v>39</v>
      </c>
      <c r="I57" s="136">
        <v>0.195</v>
      </c>
      <c r="J57" s="137">
        <f>ROUND(G57*I57,2)</f>
        <v>112.32</v>
      </c>
    </row>
    <row r="58" s="440" customFormat="1" ht="69" customHeight="1" spans="1:10">
      <c r="A58" s="548" t="s">
        <v>34</v>
      </c>
      <c r="B58" s="550" t="s">
        <v>35</v>
      </c>
      <c r="C58" s="548">
        <v>1051120</v>
      </c>
      <c r="D58" s="218" t="s">
        <v>36</v>
      </c>
      <c r="E58" s="570" t="s">
        <v>50</v>
      </c>
      <c r="F58" s="218" t="s">
        <v>42</v>
      </c>
      <c r="G58" s="218">
        <v>204</v>
      </c>
      <c r="H58" s="218" t="s">
        <v>39</v>
      </c>
      <c r="I58" s="136">
        <v>0.195</v>
      </c>
      <c r="J58" s="137">
        <f>ROUND(G58*I58,2)</f>
        <v>39.78</v>
      </c>
    </row>
    <row r="59" s="440" customFormat="1" ht="69" customHeight="1" spans="1:10">
      <c r="A59" s="548" t="s">
        <v>34</v>
      </c>
      <c r="B59" s="550" t="s">
        <v>35</v>
      </c>
      <c r="C59" s="548">
        <v>1051120</v>
      </c>
      <c r="D59" s="218" t="s">
        <v>36</v>
      </c>
      <c r="E59" s="570" t="s">
        <v>50</v>
      </c>
      <c r="F59" s="218" t="s">
        <v>44</v>
      </c>
      <c r="G59" s="218">
        <v>97</v>
      </c>
      <c r="H59" s="218" t="s">
        <v>39</v>
      </c>
      <c r="I59" s="136">
        <v>0.195</v>
      </c>
      <c r="J59" s="137">
        <f>ROUND(G59*I59,2)</f>
        <v>18.92</v>
      </c>
    </row>
    <row r="60" s="440" customFormat="1" ht="69" customHeight="1" spans="1:10">
      <c r="A60" s="548" t="s">
        <v>34</v>
      </c>
      <c r="B60" s="550" t="s">
        <v>35</v>
      </c>
      <c r="C60" s="548">
        <v>1051120</v>
      </c>
      <c r="D60" s="218" t="s">
        <v>36</v>
      </c>
      <c r="E60" s="570" t="s">
        <v>50</v>
      </c>
      <c r="F60" s="218" t="s">
        <v>45</v>
      </c>
      <c r="G60" s="218">
        <v>97</v>
      </c>
      <c r="H60" s="218" t="s">
        <v>39</v>
      </c>
      <c r="I60" s="136">
        <v>0.195</v>
      </c>
      <c r="J60" s="137">
        <f>ROUND(G60*I60,2)</f>
        <v>18.92</v>
      </c>
    </row>
    <row r="61" s="440" customFormat="1" ht="69" customHeight="1" spans="1:10">
      <c r="A61" s="548" t="s">
        <v>34</v>
      </c>
      <c r="B61" s="550" t="s">
        <v>35</v>
      </c>
      <c r="C61" s="548">
        <v>1051120</v>
      </c>
      <c r="D61" s="218" t="s">
        <v>36</v>
      </c>
      <c r="E61" s="570" t="s">
        <v>50</v>
      </c>
      <c r="F61" s="218" t="s">
        <v>43</v>
      </c>
      <c r="G61" s="218">
        <v>709</v>
      </c>
      <c r="H61" s="218" t="s">
        <v>39</v>
      </c>
      <c r="I61" s="136">
        <v>0.195</v>
      </c>
      <c r="J61" s="137">
        <f>ROUND(G61*I61,2)</f>
        <v>138.26</v>
      </c>
    </row>
    <row r="62" s="440" customFormat="1" ht="69" customHeight="1" spans="1:10">
      <c r="A62" s="548" t="s">
        <v>34</v>
      </c>
      <c r="B62" s="550" t="s">
        <v>35</v>
      </c>
      <c r="C62" s="548">
        <v>1051120</v>
      </c>
      <c r="D62" s="218" t="s">
        <v>36</v>
      </c>
      <c r="E62" s="570" t="s">
        <v>50</v>
      </c>
      <c r="F62" s="218" t="s">
        <v>47</v>
      </c>
      <c r="G62" s="218">
        <v>284</v>
      </c>
      <c r="H62" s="218" t="s">
        <v>39</v>
      </c>
      <c r="I62" s="136">
        <v>0.195</v>
      </c>
      <c r="J62" s="137">
        <f>ROUND(G62*I62,2)</f>
        <v>55.38</v>
      </c>
    </row>
    <row r="63" s="440" customFormat="1" ht="69" customHeight="1" spans="1:10">
      <c r="A63" s="548" t="s">
        <v>34</v>
      </c>
      <c r="B63" s="550" t="s">
        <v>35</v>
      </c>
      <c r="C63" s="548">
        <v>1051120</v>
      </c>
      <c r="D63" s="218" t="s">
        <v>36</v>
      </c>
      <c r="E63" s="570" t="s">
        <v>50</v>
      </c>
      <c r="F63" s="218" t="s">
        <v>47</v>
      </c>
      <c r="G63" s="218">
        <v>1000</v>
      </c>
      <c r="H63" s="218" t="s">
        <v>39</v>
      </c>
      <c r="I63" s="136">
        <v>0.195</v>
      </c>
      <c r="J63" s="137">
        <f>ROUND(G63*I63,2)</f>
        <v>195</v>
      </c>
    </row>
    <row r="64" s="440" customFormat="1" ht="69" customHeight="1" spans="1:10">
      <c r="A64" s="548" t="s">
        <v>34</v>
      </c>
      <c r="B64" s="550" t="s">
        <v>35</v>
      </c>
      <c r="C64" s="548">
        <v>1051120</v>
      </c>
      <c r="D64" s="218" t="s">
        <v>36</v>
      </c>
      <c r="E64" s="570" t="s">
        <v>50</v>
      </c>
      <c r="F64" s="218" t="s">
        <v>47</v>
      </c>
      <c r="G64" s="218">
        <v>1000</v>
      </c>
      <c r="H64" s="218" t="s">
        <v>39</v>
      </c>
      <c r="I64" s="136">
        <v>0.195</v>
      </c>
      <c r="J64" s="137">
        <f>ROUND(G64*I64,2)</f>
        <v>195</v>
      </c>
    </row>
    <row r="65" s="440" customFormat="1" ht="69" customHeight="1" spans="1:10">
      <c r="A65" s="548" t="s">
        <v>34</v>
      </c>
      <c r="B65" s="550" t="s">
        <v>35</v>
      </c>
      <c r="C65" s="548">
        <v>1051120</v>
      </c>
      <c r="D65" s="218" t="s">
        <v>36</v>
      </c>
      <c r="E65" s="570" t="s">
        <v>50</v>
      </c>
      <c r="F65" s="218" t="s">
        <v>40</v>
      </c>
      <c r="G65" s="218">
        <v>1229</v>
      </c>
      <c r="H65" s="218" t="s">
        <v>39</v>
      </c>
      <c r="I65" s="136">
        <v>0.195</v>
      </c>
      <c r="J65" s="137">
        <f>ROUND(G65*I65,2)</f>
        <v>239.66</v>
      </c>
    </row>
    <row r="66" s="440" customFormat="1" ht="69" customHeight="1" spans="1:10">
      <c r="A66" s="548" t="s">
        <v>34</v>
      </c>
      <c r="B66" s="550" t="s">
        <v>35</v>
      </c>
      <c r="C66" s="548">
        <v>1051120</v>
      </c>
      <c r="D66" s="218" t="s">
        <v>36</v>
      </c>
      <c r="E66" s="570" t="s">
        <v>51</v>
      </c>
      <c r="F66" s="218" t="s">
        <v>41</v>
      </c>
      <c r="G66" s="218">
        <v>729</v>
      </c>
      <c r="H66" s="218" t="s">
        <v>39</v>
      </c>
      <c r="I66" s="136">
        <v>0.195</v>
      </c>
      <c r="J66" s="137">
        <f>ROUND(G66*I66,2)</f>
        <v>142.16</v>
      </c>
    </row>
    <row r="67" s="440" customFormat="1" ht="69" customHeight="1" spans="1:10">
      <c r="A67" s="548" t="s">
        <v>34</v>
      </c>
      <c r="B67" s="550" t="s">
        <v>35</v>
      </c>
      <c r="C67" s="548">
        <v>1051120</v>
      </c>
      <c r="D67" s="218" t="s">
        <v>36</v>
      </c>
      <c r="E67" s="570" t="s">
        <v>51</v>
      </c>
      <c r="F67" s="218" t="s">
        <v>42</v>
      </c>
      <c r="G67" s="218">
        <v>306</v>
      </c>
      <c r="H67" s="218" t="s">
        <v>39</v>
      </c>
      <c r="I67" s="136">
        <v>0.195</v>
      </c>
      <c r="J67" s="137">
        <f>ROUND(G67*I67,2)</f>
        <v>59.67</v>
      </c>
    </row>
    <row r="68" s="440" customFormat="1" ht="69" customHeight="1" spans="1:10">
      <c r="A68" s="548" t="s">
        <v>34</v>
      </c>
      <c r="B68" s="550" t="s">
        <v>35</v>
      </c>
      <c r="C68" s="548">
        <v>1051120</v>
      </c>
      <c r="D68" s="218" t="s">
        <v>36</v>
      </c>
      <c r="E68" s="570" t="s">
        <v>51</v>
      </c>
      <c r="F68" s="218" t="s">
        <v>43</v>
      </c>
      <c r="G68" s="218">
        <v>935</v>
      </c>
      <c r="H68" s="218" t="s">
        <v>39</v>
      </c>
      <c r="I68" s="136">
        <v>0.195</v>
      </c>
      <c r="J68" s="137">
        <f>ROUND(G68*I68,2)</f>
        <v>182.33</v>
      </c>
    </row>
    <row r="69" s="440" customFormat="1" ht="69" customHeight="1" spans="1:10">
      <c r="A69" s="548" t="s">
        <v>34</v>
      </c>
      <c r="B69" s="550" t="s">
        <v>35</v>
      </c>
      <c r="C69" s="548">
        <v>1051120</v>
      </c>
      <c r="D69" s="218" t="s">
        <v>36</v>
      </c>
      <c r="E69" s="570" t="s">
        <v>51</v>
      </c>
      <c r="F69" s="218" t="s">
        <v>45</v>
      </c>
      <c r="G69" s="218">
        <v>138</v>
      </c>
      <c r="H69" s="218" t="s">
        <v>39</v>
      </c>
      <c r="I69" s="136">
        <v>0.195</v>
      </c>
      <c r="J69" s="137">
        <f>ROUND(G69*I69,2)</f>
        <v>26.91</v>
      </c>
    </row>
    <row r="70" s="440" customFormat="1" ht="69" customHeight="1" spans="1:10">
      <c r="A70" s="548" t="s">
        <v>34</v>
      </c>
      <c r="B70" s="550" t="s">
        <v>35</v>
      </c>
      <c r="C70" s="548">
        <v>1051120</v>
      </c>
      <c r="D70" s="218" t="s">
        <v>36</v>
      </c>
      <c r="E70" s="570" t="s">
        <v>51</v>
      </c>
      <c r="F70" s="218" t="s">
        <v>47</v>
      </c>
      <c r="G70" s="218">
        <v>1000</v>
      </c>
      <c r="H70" s="218" t="s">
        <v>39</v>
      </c>
      <c r="I70" s="136">
        <v>0.195</v>
      </c>
      <c r="J70" s="137">
        <f>ROUND(G70*I70,2)</f>
        <v>195</v>
      </c>
    </row>
    <row r="71" s="440" customFormat="1" ht="69" customHeight="1" spans="1:10">
      <c r="A71" s="548" t="s">
        <v>34</v>
      </c>
      <c r="B71" s="550" t="s">
        <v>35</v>
      </c>
      <c r="C71" s="548">
        <v>1051120</v>
      </c>
      <c r="D71" s="218" t="s">
        <v>36</v>
      </c>
      <c r="E71" s="570" t="s">
        <v>51</v>
      </c>
      <c r="F71" s="218" t="s">
        <v>47</v>
      </c>
      <c r="G71" s="218">
        <v>592</v>
      </c>
      <c r="H71" s="218" t="s">
        <v>39</v>
      </c>
      <c r="I71" s="136">
        <v>0.195</v>
      </c>
      <c r="J71" s="137">
        <f>ROUND(G71*I71,2)</f>
        <v>115.44</v>
      </c>
    </row>
    <row r="72" s="440" customFormat="1" ht="69" customHeight="1" spans="1:10">
      <c r="A72" s="548" t="s">
        <v>34</v>
      </c>
      <c r="B72" s="550" t="s">
        <v>35</v>
      </c>
      <c r="C72" s="548">
        <v>1051120</v>
      </c>
      <c r="D72" s="218" t="s">
        <v>36</v>
      </c>
      <c r="E72" s="570" t="s">
        <v>51</v>
      </c>
      <c r="F72" s="218" t="s">
        <v>38</v>
      </c>
      <c r="G72" s="218">
        <v>418</v>
      </c>
      <c r="H72" s="218" t="s">
        <v>39</v>
      </c>
      <c r="I72" s="136">
        <v>0.195</v>
      </c>
      <c r="J72" s="137">
        <f>ROUND(G72*I72,2)</f>
        <v>81.51</v>
      </c>
    </row>
    <row r="73" s="440" customFormat="1" ht="69" customHeight="1" spans="1:10">
      <c r="A73" s="548" t="s">
        <v>34</v>
      </c>
      <c r="B73" s="550" t="s">
        <v>35</v>
      </c>
      <c r="C73" s="548">
        <v>1051120</v>
      </c>
      <c r="D73" s="218" t="s">
        <v>36</v>
      </c>
      <c r="E73" s="570" t="s">
        <v>51</v>
      </c>
      <c r="F73" s="218" t="s">
        <v>46</v>
      </c>
      <c r="G73" s="218">
        <v>209</v>
      </c>
      <c r="H73" s="218" t="s">
        <v>39</v>
      </c>
      <c r="I73" s="136">
        <v>0.195</v>
      </c>
      <c r="J73" s="137">
        <f>ROUND(G73*I73,2)</f>
        <v>40.76</v>
      </c>
    </row>
    <row r="74" s="440" customFormat="1" ht="69" customHeight="1" spans="1:10">
      <c r="A74" s="548" t="s">
        <v>34</v>
      </c>
      <c r="B74" s="550" t="s">
        <v>35</v>
      </c>
      <c r="C74" s="548">
        <v>1051120</v>
      </c>
      <c r="D74" s="218" t="s">
        <v>36</v>
      </c>
      <c r="E74" s="570" t="s">
        <v>51</v>
      </c>
      <c r="F74" s="218" t="s">
        <v>40</v>
      </c>
      <c r="G74" s="218">
        <v>927</v>
      </c>
      <c r="H74" s="218" t="s">
        <v>39</v>
      </c>
      <c r="I74" s="136">
        <v>0.195</v>
      </c>
      <c r="J74" s="137">
        <f>ROUND(G74*I74,2)</f>
        <v>180.77</v>
      </c>
    </row>
    <row r="75" s="440" customFormat="1" ht="69" customHeight="1" spans="1:10">
      <c r="A75" s="548" t="s">
        <v>34</v>
      </c>
      <c r="B75" s="550" t="s">
        <v>35</v>
      </c>
      <c r="C75" s="548">
        <v>1051120</v>
      </c>
      <c r="D75" s="218" t="s">
        <v>36</v>
      </c>
      <c r="E75" s="570" t="s">
        <v>51</v>
      </c>
      <c r="F75" s="218" t="s">
        <v>44</v>
      </c>
      <c r="G75" s="218">
        <v>117</v>
      </c>
      <c r="H75" s="218" t="s">
        <v>39</v>
      </c>
      <c r="I75" s="136">
        <v>0.195</v>
      </c>
      <c r="J75" s="137">
        <f>ROUND(G75*I75,2)</f>
        <v>22.82</v>
      </c>
    </row>
    <row r="76" s="440" customFormat="1" ht="69" customHeight="1" spans="1:10">
      <c r="A76" s="548" t="s">
        <v>52</v>
      </c>
      <c r="B76" s="550" t="s">
        <v>53</v>
      </c>
      <c r="C76" s="548">
        <v>1051120</v>
      </c>
      <c r="D76" s="218" t="s">
        <v>36</v>
      </c>
      <c r="E76" s="570" t="s">
        <v>54</v>
      </c>
      <c r="F76" s="218" t="s">
        <v>38</v>
      </c>
      <c r="G76" s="218">
        <v>507</v>
      </c>
      <c r="H76" s="218" t="s">
        <v>39</v>
      </c>
      <c r="I76" s="136">
        <v>0.195</v>
      </c>
      <c r="J76" s="137">
        <f>ROUND(G76*I76,2)</f>
        <v>98.87</v>
      </c>
    </row>
    <row r="77" s="440" customFormat="1" ht="69" customHeight="1" spans="1:10">
      <c r="A77" s="548" t="s">
        <v>52</v>
      </c>
      <c r="B77" s="550" t="s">
        <v>53</v>
      </c>
      <c r="C77" s="548">
        <v>1051120</v>
      </c>
      <c r="D77" s="218" t="s">
        <v>36</v>
      </c>
      <c r="E77" s="570" t="s">
        <v>54</v>
      </c>
      <c r="F77" s="218" t="s">
        <v>42</v>
      </c>
      <c r="G77" s="218">
        <v>342</v>
      </c>
      <c r="H77" s="218" t="s">
        <v>39</v>
      </c>
      <c r="I77" s="136">
        <v>0.195</v>
      </c>
      <c r="J77" s="137">
        <f>ROUND(G77*I77,2)</f>
        <v>66.69</v>
      </c>
    </row>
    <row r="78" s="440" customFormat="1" ht="69" customHeight="1" spans="1:10">
      <c r="A78" s="548" t="s">
        <v>52</v>
      </c>
      <c r="B78" s="550" t="s">
        <v>53</v>
      </c>
      <c r="C78" s="548">
        <v>1051120</v>
      </c>
      <c r="D78" s="218" t="s">
        <v>36</v>
      </c>
      <c r="E78" s="570" t="s">
        <v>54</v>
      </c>
      <c r="F78" s="218" t="s">
        <v>44</v>
      </c>
      <c r="G78" s="218">
        <v>97</v>
      </c>
      <c r="H78" s="218" t="s">
        <v>39</v>
      </c>
      <c r="I78" s="136">
        <v>0.195</v>
      </c>
      <c r="J78" s="137">
        <f>ROUND(G78*I78,2)</f>
        <v>18.92</v>
      </c>
    </row>
    <row r="79" s="440" customFormat="1" ht="69" customHeight="1" spans="1:10">
      <c r="A79" s="548" t="s">
        <v>52</v>
      </c>
      <c r="B79" s="550" t="s">
        <v>53</v>
      </c>
      <c r="C79" s="548">
        <v>1051120</v>
      </c>
      <c r="D79" s="218" t="s">
        <v>36</v>
      </c>
      <c r="E79" s="570" t="s">
        <v>54</v>
      </c>
      <c r="F79" s="218" t="s">
        <v>45</v>
      </c>
      <c r="G79" s="218">
        <v>97</v>
      </c>
      <c r="H79" s="218" t="s">
        <v>39</v>
      </c>
      <c r="I79" s="136">
        <v>0.195</v>
      </c>
      <c r="J79" s="137">
        <f>ROUND(G79*I79,2)</f>
        <v>18.92</v>
      </c>
    </row>
    <row r="80" s="440" customFormat="1" ht="69" customHeight="1" spans="1:10">
      <c r="A80" s="548" t="s">
        <v>52</v>
      </c>
      <c r="B80" s="550" t="s">
        <v>53</v>
      </c>
      <c r="C80" s="548">
        <v>1051120</v>
      </c>
      <c r="D80" s="218" t="s">
        <v>36</v>
      </c>
      <c r="E80" s="570" t="s">
        <v>54</v>
      </c>
      <c r="F80" s="218" t="s">
        <v>46</v>
      </c>
      <c r="G80" s="218">
        <v>148</v>
      </c>
      <c r="H80" s="218" t="s">
        <v>39</v>
      </c>
      <c r="I80" s="136">
        <v>0.195</v>
      </c>
      <c r="J80" s="137">
        <f>ROUND(G80*I80,2)</f>
        <v>28.86</v>
      </c>
    </row>
    <row r="81" s="440" customFormat="1" ht="69" customHeight="1" spans="1:10">
      <c r="A81" s="548" t="s">
        <v>52</v>
      </c>
      <c r="B81" s="550" t="s">
        <v>53</v>
      </c>
      <c r="C81" s="548">
        <v>1051120</v>
      </c>
      <c r="D81" s="218" t="s">
        <v>36</v>
      </c>
      <c r="E81" s="570" t="s">
        <v>54</v>
      </c>
      <c r="F81" s="218" t="s">
        <v>41</v>
      </c>
      <c r="G81" s="218">
        <v>1114</v>
      </c>
      <c r="H81" s="218" t="s">
        <v>39</v>
      </c>
      <c r="I81" s="136">
        <v>0.195</v>
      </c>
      <c r="J81" s="137">
        <f>ROUND(G81*I81,2)</f>
        <v>217.23</v>
      </c>
    </row>
    <row r="82" s="440" customFormat="1" ht="69" customHeight="1" spans="1:10">
      <c r="A82" s="548" t="s">
        <v>52</v>
      </c>
      <c r="B82" s="550" t="s">
        <v>53</v>
      </c>
      <c r="C82" s="548">
        <v>1051120</v>
      </c>
      <c r="D82" s="218" t="s">
        <v>36</v>
      </c>
      <c r="E82" s="570" t="s">
        <v>54</v>
      </c>
      <c r="F82" s="218" t="s">
        <v>43</v>
      </c>
      <c r="G82" s="218">
        <v>1162</v>
      </c>
      <c r="H82" s="218" t="s">
        <v>39</v>
      </c>
      <c r="I82" s="136">
        <v>0.195</v>
      </c>
      <c r="J82" s="137">
        <f>ROUND(G82*I82,2)</f>
        <v>226.59</v>
      </c>
    </row>
    <row r="83" s="440" customFormat="1" ht="69" customHeight="1" spans="1:10">
      <c r="A83" s="548" t="s">
        <v>52</v>
      </c>
      <c r="B83" s="550" t="s">
        <v>53</v>
      </c>
      <c r="C83" s="548">
        <v>1051120</v>
      </c>
      <c r="D83" s="218" t="s">
        <v>36</v>
      </c>
      <c r="E83" s="570" t="s">
        <v>54</v>
      </c>
      <c r="F83" s="218" t="s">
        <v>47</v>
      </c>
      <c r="G83" s="218">
        <v>1010</v>
      </c>
      <c r="H83" s="218" t="s">
        <v>39</v>
      </c>
      <c r="I83" s="136">
        <v>0.195</v>
      </c>
      <c r="J83" s="137">
        <f>ROUND(G83*I83,2)</f>
        <v>196.95</v>
      </c>
    </row>
    <row r="84" s="440" customFormat="1" ht="69" customHeight="1" spans="1:10">
      <c r="A84" s="548" t="s">
        <v>52</v>
      </c>
      <c r="B84" s="550" t="s">
        <v>53</v>
      </c>
      <c r="C84" s="548">
        <v>1051120</v>
      </c>
      <c r="D84" s="218" t="s">
        <v>36</v>
      </c>
      <c r="E84" s="570" t="s">
        <v>54</v>
      </c>
      <c r="F84" s="218" t="s">
        <v>40</v>
      </c>
      <c r="G84" s="218">
        <v>526</v>
      </c>
      <c r="H84" s="218" t="s">
        <v>39</v>
      </c>
      <c r="I84" s="136">
        <v>0.195</v>
      </c>
      <c r="J84" s="137">
        <f>ROUND(G84*I84,2)</f>
        <v>102.57</v>
      </c>
    </row>
    <row r="85" s="440" customFormat="1" ht="69" customHeight="1" spans="1:10">
      <c r="A85" s="548" t="s">
        <v>52</v>
      </c>
      <c r="B85" s="550" t="s">
        <v>53</v>
      </c>
      <c r="C85" s="548">
        <v>1051123</v>
      </c>
      <c r="D85" s="218" t="s">
        <v>55</v>
      </c>
      <c r="E85" s="570" t="s">
        <v>50</v>
      </c>
      <c r="F85" s="218" t="s">
        <v>38</v>
      </c>
      <c r="G85" s="218">
        <v>630</v>
      </c>
      <c r="H85" s="218" t="s">
        <v>39</v>
      </c>
      <c r="I85" s="136">
        <v>0.195</v>
      </c>
      <c r="J85" s="137">
        <f>ROUND(G85*I85,2)</f>
        <v>122.85</v>
      </c>
    </row>
    <row r="86" s="440" customFormat="1" ht="69" customHeight="1" spans="1:10">
      <c r="A86" s="548" t="s">
        <v>52</v>
      </c>
      <c r="B86" s="550" t="s">
        <v>53</v>
      </c>
      <c r="C86" s="548">
        <v>1051123</v>
      </c>
      <c r="D86" s="218" t="s">
        <v>55</v>
      </c>
      <c r="E86" s="570" t="s">
        <v>50</v>
      </c>
      <c r="F86" s="218" t="s">
        <v>42</v>
      </c>
      <c r="G86" s="218">
        <v>393</v>
      </c>
      <c r="H86" s="218" t="s">
        <v>39</v>
      </c>
      <c r="I86" s="136">
        <v>0.195</v>
      </c>
      <c r="J86" s="137">
        <f>ROUND(G86*I86,2)</f>
        <v>76.64</v>
      </c>
    </row>
    <row r="87" s="440" customFormat="1" ht="69" customHeight="1" spans="1:10">
      <c r="A87" s="548" t="s">
        <v>52</v>
      </c>
      <c r="B87" s="550" t="s">
        <v>53</v>
      </c>
      <c r="C87" s="548">
        <v>1051123</v>
      </c>
      <c r="D87" s="218" t="s">
        <v>55</v>
      </c>
      <c r="E87" s="570" t="s">
        <v>50</v>
      </c>
      <c r="F87" s="218" t="s">
        <v>41</v>
      </c>
      <c r="G87" s="218">
        <v>1200</v>
      </c>
      <c r="H87" s="218" t="s">
        <v>39</v>
      </c>
      <c r="I87" s="136">
        <v>0.195</v>
      </c>
      <c r="J87" s="137">
        <f>ROUND(G87*I87,2)</f>
        <v>234</v>
      </c>
    </row>
    <row r="88" s="440" customFormat="1" ht="69" customHeight="1" spans="1:10">
      <c r="A88" s="548" t="s">
        <v>52</v>
      </c>
      <c r="B88" s="550" t="s">
        <v>53</v>
      </c>
      <c r="C88" s="548">
        <v>1051123</v>
      </c>
      <c r="D88" s="218" t="s">
        <v>55</v>
      </c>
      <c r="E88" s="570" t="s">
        <v>50</v>
      </c>
      <c r="F88" s="218" t="s">
        <v>41</v>
      </c>
      <c r="G88" s="218">
        <v>182</v>
      </c>
      <c r="H88" s="218" t="s">
        <v>39</v>
      </c>
      <c r="I88" s="136">
        <v>0.195</v>
      </c>
      <c r="J88" s="137">
        <f>ROUND(G88*I88,2)</f>
        <v>35.49</v>
      </c>
    </row>
    <row r="89" s="440" customFormat="1" ht="69" customHeight="1" spans="1:10">
      <c r="A89" s="548" t="s">
        <v>52</v>
      </c>
      <c r="B89" s="550" t="s">
        <v>53</v>
      </c>
      <c r="C89" s="548">
        <v>1051123</v>
      </c>
      <c r="D89" s="218" t="s">
        <v>55</v>
      </c>
      <c r="E89" s="570" t="s">
        <v>50</v>
      </c>
      <c r="F89" s="218" t="s">
        <v>43</v>
      </c>
      <c r="G89" s="218">
        <v>155</v>
      </c>
      <c r="H89" s="218" t="s">
        <v>39</v>
      </c>
      <c r="I89" s="136">
        <v>0.195</v>
      </c>
      <c r="J89" s="137">
        <f>ROUND(G89*I89,2)</f>
        <v>30.23</v>
      </c>
    </row>
    <row r="90" s="440" customFormat="1" ht="69" customHeight="1" spans="1:10">
      <c r="A90" s="548" t="s">
        <v>52</v>
      </c>
      <c r="B90" s="550" t="s">
        <v>53</v>
      </c>
      <c r="C90" s="548">
        <v>1051123</v>
      </c>
      <c r="D90" s="218" t="s">
        <v>55</v>
      </c>
      <c r="E90" s="570" t="s">
        <v>50</v>
      </c>
      <c r="F90" s="218" t="s">
        <v>40</v>
      </c>
      <c r="G90" s="218">
        <v>570</v>
      </c>
      <c r="H90" s="218" t="s">
        <v>39</v>
      </c>
      <c r="I90" s="136">
        <v>0.195</v>
      </c>
      <c r="J90" s="137">
        <f>ROUND(G90*I90,2)</f>
        <v>111.15</v>
      </c>
    </row>
    <row r="91" s="440" customFormat="1" ht="69" customHeight="1" spans="1:10">
      <c r="A91" s="548" t="s">
        <v>52</v>
      </c>
      <c r="B91" s="550" t="s">
        <v>53</v>
      </c>
      <c r="C91" s="548">
        <v>1051123</v>
      </c>
      <c r="D91" s="218" t="s">
        <v>55</v>
      </c>
      <c r="E91" s="570" t="s">
        <v>50</v>
      </c>
      <c r="F91" s="218" t="s">
        <v>44</v>
      </c>
      <c r="G91" s="218">
        <v>102</v>
      </c>
      <c r="H91" s="218" t="s">
        <v>39</v>
      </c>
      <c r="I91" s="136">
        <v>0.195</v>
      </c>
      <c r="J91" s="137">
        <f>ROUND(G91*I91,2)</f>
        <v>19.89</v>
      </c>
    </row>
    <row r="92" s="440" customFormat="1" ht="69" customHeight="1" spans="1:10">
      <c r="A92" s="548" t="s">
        <v>52</v>
      </c>
      <c r="B92" s="550" t="s">
        <v>53</v>
      </c>
      <c r="C92" s="548">
        <v>1051123</v>
      </c>
      <c r="D92" s="218" t="s">
        <v>55</v>
      </c>
      <c r="E92" s="570" t="s">
        <v>50</v>
      </c>
      <c r="F92" s="218" t="s">
        <v>45</v>
      </c>
      <c r="G92" s="218">
        <v>102</v>
      </c>
      <c r="H92" s="218" t="s">
        <v>39</v>
      </c>
      <c r="I92" s="136">
        <v>0.195</v>
      </c>
      <c r="J92" s="137">
        <f>ROUND(G92*I92,2)</f>
        <v>19.89</v>
      </c>
    </row>
    <row r="93" s="440" customFormat="1" ht="69" customHeight="1" spans="1:10">
      <c r="A93" s="548" t="s">
        <v>52</v>
      </c>
      <c r="B93" s="550" t="s">
        <v>53</v>
      </c>
      <c r="C93" s="548">
        <v>1051123</v>
      </c>
      <c r="D93" s="218" t="s">
        <v>55</v>
      </c>
      <c r="E93" s="570" t="s">
        <v>50</v>
      </c>
      <c r="F93" s="218" t="s">
        <v>46</v>
      </c>
      <c r="G93" s="218">
        <v>168</v>
      </c>
      <c r="H93" s="218" t="s">
        <v>39</v>
      </c>
      <c r="I93" s="136">
        <v>0.195</v>
      </c>
      <c r="J93" s="137">
        <f>ROUND(G93*I93,2)</f>
        <v>32.76</v>
      </c>
    </row>
    <row r="94" s="440" customFormat="1" ht="69" customHeight="1" spans="1:10">
      <c r="A94" s="548" t="s">
        <v>52</v>
      </c>
      <c r="B94" s="550" t="s">
        <v>53</v>
      </c>
      <c r="C94" s="548">
        <v>1051123</v>
      </c>
      <c r="D94" s="218" t="s">
        <v>55</v>
      </c>
      <c r="E94" s="570" t="s">
        <v>50</v>
      </c>
      <c r="F94" s="218" t="s">
        <v>43</v>
      </c>
      <c r="G94" s="218">
        <v>1200</v>
      </c>
      <c r="H94" s="218" t="s">
        <v>39</v>
      </c>
      <c r="I94" s="136">
        <v>0.195</v>
      </c>
      <c r="J94" s="137">
        <f>ROUND(G94*I94,2)</f>
        <v>234</v>
      </c>
    </row>
    <row r="95" s="440" customFormat="1" ht="69" customHeight="1" spans="1:10">
      <c r="A95" s="548" t="s">
        <v>52</v>
      </c>
      <c r="B95" s="550" t="s">
        <v>53</v>
      </c>
      <c r="C95" s="548">
        <v>1051123</v>
      </c>
      <c r="D95" s="218" t="s">
        <v>55</v>
      </c>
      <c r="E95" s="570" t="s">
        <v>50</v>
      </c>
      <c r="F95" s="218" t="s">
        <v>47</v>
      </c>
      <c r="G95" s="218">
        <v>1160</v>
      </c>
      <c r="H95" s="218" t="s">
        <v>39</v>
      </c>
      <c r="I95" s="136">
        <v>0.195</v>
      </c>
      <c r="J95" s="137">
        <f>ROUND(G95*I95,2)</f>
        <v>226.2</v>
      </c>
    </row>
    <row r="96" s="440" customFormat="1" ht="69" customHeight="1" spans="1:10">
      <c r="A96" s="548" t="s">
        <v>48</v>
      </c>
      <c r="B96" s="550" t="s">
        <v>49</v>
      </c>
      <c r="C96" s="548">
        <v>1051120</v>
      </c>
      <c r="D96" s="218" t="s">
        <v>36</v>
      </c>
      <c r="E96" s="570" t="s">
        <v>51</v>
      </c>
      <c r="F96" s="218" t="s">
        <v>38</v>
      </c>
      <c r="G96" s="218">
        <v>163</v>
      </c>
      <c r="H96" s="218" t="s">
        <v>39</v>
      </c>
      <c r="I96" s="136">
        <v>0.182</v>
      </c>
      <c r="J96" s="137">
        <f>ROUND(G96*I96,2)</f>
        <v>29.67</v>
      </c>
    </row>
    <row r="97" s="440" customFormat="1" ht="69" customHeight="1" spans="1:10">
      <c r="A97" s="548" t="s">
        <v>48</v>
      </c>
      <c r="B97" s="550" t="s">
        <v>49</v>
      </c>
      <c r="C97" s="548">
        <v>1051120</v>
      </c>
      <c r="D97" s="218" t="s">
        <v>36</v>
      </c>
      <c r="E97" s="570" t="s">
        <v>51</v>
      </c>
      <c r="F97" s="218" t="s">
        <v>41</v>
      </c>
      <c r="G97" s="218">
        <v>954</v>
      </c>
      <c r="H97" s="218" t="s">
        <v>39</v>
      </c>
      <c r="I97" s="136">
        <v>0.182</v>
      </c>
      <c r="J97" s="137">
        <f>ROUND(G97*I97,2)</f>
        <v>173.63</v>
      </c>
    </row>
    <row r="98" s="440" customFormat="1" ht="69" customHeight="1" spans="1:10">
      <c r="A98" s="548" t="s">
        <v>48</v>
      </c>
      <c r="B98" s="550" t="s">
        <v>49</v>
      </c>
      <c r="C98" s="548">
        <v>1051120</v>
      </c>
      <c r="D98" s="218" t="s">
        <v>36</v>
      </c>
      <c r="E98" s="570" t="s">
        <v>51</v>
      </c>
      <c r="F98" s="218" t="s">
        <v>43</v>
      </c>
      <c r="G98" s="218">
        <v>1232</v>
      </c>
      <c r="H98" s="218" t="s">
        <v>39</v>
      </c>
      <c r="I98" s="136">
        <v>0.182</v>
      </c>
      <c r="J98" s="137">
        <f>ROUND(G98*I98,2)</f>
        <v>224.22</v>
      </c>
    </row>
    <row r="99" s="440" customFormat="1" ht="69" customHeight="1" spans="1:10">
      <c r="A99" s="548" t="s">
        <v>48</v>
      </c>
      <c r="B99" s="550" t="s">
        <v>49</v>
      </c>
      <c r="C99" s="548">
        <v>1051120</v>
      </c>
      <c r="D99" s="218" t="s">
        <v>36</v>
      </c>
      <c r="E99" s="570" t="s">
        <v>51</v>
      </c>
      <c r="F99" s="218" t="s">
        <v>47</v>
      </c>
      <c r="G99" s="218">
        <v>1100</v>
      </c>
      <c r="H99" s="218" t="s">
        <v>39</v>
      </c>
      <c r="I99" s="136">
        <v>0.182</v>
      </c>
      <c r="J99" s="137">
        <f>ROUND(G99*I99,2)</f>
        <v>200.2</v>
      </c>
    </row>
    <row r="100" s="440" customFormat="1" ht="69" customHeight="1" spans="1:10">
      <c r="A100" s="548" t="s">
        <v>48</v>
      </c>
      <c r="B100" s="550" t="s">
        <v>49</v>
      </c>
      <c r="C100" s="548">
        <v>1051120</v>
      </c>
      <c r="D100" s="218" t="s">
        <v>36</v>
      </c>
      <c r="E100" s="570" t="s">
        <v>51</v>
      </c>
      <c r="F100" s="218" t="s">
        <v>47</v>
      </c>
      <c r="G100" s="218">
        <v>591</v>
      </c>
      <c r="H100" s="218" t="s">
        <v>39</v>
      </c>
      <c r="I100" s="136">
        <v>0.182</v>
      </c>
      <c r="J100" s="137">
        <f>ROUND(G100*I100,2)</f>
        <v>107.56</v>
      </c>
    </row>
    <row r="101" s="440" customFormat="1" ht="69" customHeight="1" spans="1:10">
      <c r="A101" s="548" t="s">
        <v>48</v>
      </c>
      <c r="B101" s="550" t="s">
        <v>49</v>
      </c>
      <c r="C101" s="548">
        <v>1051120</v>
      </c>
      <c r="D101" s="218" t="s">
        <v>36</v>
      </c>
      <c r="E101" s="570" t="s">
        <v>51</v>
      </c>
      <c r="F101" s="218" t="s">
        <v>40</v>
      </c>
      <c r="G101" s="218">
        <v>535</v>
      </c>
      <c r="H101" s="218" t="s">
        <v>39</v>
      </c>
      <c r="I101" s="136">
        <v>0.182</v>
      </c>
      <c r="J101" s="137">
        <f>ROUND(G101*I101,2)</f>
        <v>97.37</v>
      </c>
    </row>
    <row r="102" s="440" customFormat="1" ht="69" customHeight="1" spans="1:10">
      <c r="A102" s="548" t="s">
        <v>48</v>
      </c>
      <c r="B102" s="550" t="s">
        <v>49</v>
      </c>
      <c r="C102" s="548">
        <v>1051120</v>
      </c>
      <c r="D102" s="218" t="s">
        <v>36</v>
      </c>
      <c r="E102" s="570" t="s">
        <v>51</v>
      </c>
      <c r="F102" s="218" t="s">
        <v>40</v>
      </c>
      <c r="G102" s="218">
        <v>1100</v>
      </c>
      <c r="H102" s="218" t="s">
        <v>39</v>
      </c>
      <c r="I102" s="136">
        <v>0.182</v>
      </c>
      <c r="J102" s="137">
        <f>ROUND(G102*I102,2)</f>
        <v>200.2</v>
      </c>
    </row>
    <row r="103" s="440" customFormat="1" ht="69" customHeight="1" spans="1:10">
      <c r="A103" s="548" t="s">
        <v>52</v>
      </c>
      <c r="B103" s="550" t="s">
        <v>53</v>
      </c>
      <c r="C103" s="548">
        <v>1051121</v>
      </c>
      <c r="D103" s="218" t="s">
        <v>56</v>
      </c>
      <c r="E103" s="570" t="s">
        <v>57</v>
      </c>
      <c r="F103" s="218" t="s">
        <v>38</v>
      </c>
      <c r="G103" s="218">
        <v>574</v>
      </c>
      <c r="H103" s="218" t="s">
        <v>39</v>
      </c>
      <c r="I103" s="136">
        <v>0.195</v>
      </c>
      <c r="J103" s="137">
        <f>ROUND(G103*I103,2)</f>
        <v>111.93</v>
      </c>
    </row>
    <row r="104" s="440" customFormat="1" ht="69" customHeight="1" spans="1:10">
      <c r="A104" s="548" t="s">
        <v>52</v>
      </c>
      <c r="B104" s="550" t="s">
        <v>53</v>
      </c>
      <c r="C104" s="548">
        <v>1051121</v>
      </c>
      <c r="D104" s="218" t="s">
        <v>56</v>
      </c>
      <c r="E104" s="570" t="s">
        <v>57</v>
      </c>
      <c r="F104" s="218" t="s">
        <v>40</v>
      </c>
      <c r="G104" s="218">
        <v>555</v>
      </c>
      <c r="H104" s="218" t="s">
        <v>39</v>
      </c>
      <c r="I104" s="136">
        <v>0.195</v>
      </c>
      <c r="J104" s="137">
        <f>ROUND(G104*I104,2)</f>
        <v>108.23</v>
      </c>
    </row>
    <row r="105" s="440" customFormat="1" ht="69" customHeight="1" spans="1:10">
      <c r="A105" s="548" t="s">
        <v>52</v>
      </c>
      <c r="B105" s="550" t="s">
        <v>53</v>
      </c>
      <c r="C105" s="548">
        <v>1051121</v>
      </c>
      <c r="D105" s="218" t="s">
        <v>56</v>
      </c>
      <c r="E105" s="570" t="s">
        <v>57</v>
      </c>
      <c r="F105" s="218" t="s">
        <v>41</v>
      </c>
      <c r="G105" s="218">
        <v>1291</v>
      </c>
      <c r="H105" s="218" t="s">
        <v>39</v>
      </c>
      <c r="I105" s="136">
        <v>0.195</v>
      </c>
      <c r="J105" s="137">
        <f>ROUND(G105*I105,2)</f>
        <v>251.75</v>
      </c>
    </row>
    <row r="106" s="440" customFormat="1" ht="69" customHeight="1" spans="1:10">
      <c r="A106" s="548" t="s">
        <v>52</v>
      </c>
      <c r="B106" s="550" t="s">
        <v>53</v>
      </c>
      <c r="C106" s="548">
        <v>1051121</v>
      </c>
      <c r="D106" s="218" t="s">
        <v>56</v>
      </c>
      <c r="E106" s="570" t="s">
        <v>57</v>
      </c>
      <c r="F106" s="218" t="s">
        <v>43</v>
      </c>
      <c r="G106" s="218">
        <v>1000</v>
      </c>
      <c r="H106" s="218" t="s">
        <v>39</v>
      </c>
      <c r="I106" s="136">
        <v>0.195</v>
      </c>
      <c r="J106" s="137">
        <f>ROUND(G106*I106,2)</f>
        <v>195</v>
      </c>
    </row>
    <row r="107" s="440" customFormat="1" ht="69" customHeight="1" spans="1:10">
      <c r="A107" s="548" t="s">
        <v>52</v>
      </c>
      <c r="B107" s="550" t="s">
        <v>53</v>
      </c>
      <c r="C107" s="548">
        <v>1051121</v>
      </c>
      <c r="D107" s="218" t="s">
        <v>56</v>
      </c>
      <c r="E107" s="570" t="s">
        <v>57</v>
      </c>
      <c r="F107" s="218" t="s">
        <v>43</v>
      </c>
      <c r="G107" s="218">
        <v>320</v>
      </c>
      <c r="H107" s="218" t="s">
        <v>39</v>
      </c>
      <c r="I107" s="136">
        <v>0.195</v>
      </c>
      <c r="J107" s="137">
        <f>ROUND(G107*I107,2)</f>
        <v>62.4</v>
      </c>
    </row>
    <row r="108" s="440" customFormat="1" ht="69" customHeight="1" spans="1:10">
      <c r="A108" s="548" t="s">
        <v>52</v>
      </c>
      <c r="B108" s="550" t="s">
        <v>53</v>
      </c>
      <c r="C108" s="548">
        <v>1051121</v>
      </c>
      <c r="D108" s="218" t="s">
        <v>56</v>
      </c>
      <c r="E108" s="570" t="s">
        <v>57</v>
      </c>
      <c r="F108" s="218" t="s">
        <v>42</v>
      </c>
      <c r="G108" s="218">
        <v>377</v>
      </c>
      <c r="H108" s="218" t="s">
        <v>39</v>
      </c>
      <c r="I108" s="136">
        <v>0.195</v>
      </c>
      <c r="J108" s="137">
        <f>ROUND(G108*I108,2)</f>
        <v>73.52</v>
      </c>
    </row>
    <row r="109" s="440" customFormat="1" ht="69" customHeight="1" spans="1:10">
      <c r="A109" s="548" t="s">
        <v>52</v>
      </c>
      <c r="B109" s="550" t="s">
        <v>53</v>
      </c>
      <c r="C109" s="548">
        <v>1051121</v>
      </c>
      <c r="D109" s="218" t="s">
        <v>56</v>
      </c>
      <c r="E109" s="570" t="s">
        <v>57</v>
      </c>
      <c r="F109" s="218" t="s">
        <v>44</v>
      </c>
      <c r="G109" s="218">
        <v>97</v>
      </c>
      <c r="H109" s="218" t="s">
        <v>39</v>
      </c>
      <c r="I109" s="136">
        <v>0.195</v>
      </c>
      <c r="J109" s="137">
        <f>ROUND(G109*I109,2)</f>
        <v>18.92</v>
      </c>
    </row>
    <row r="110" s="440" customFormat="1" ht="69" customHeight="1" spans="1:10">
      <c r="A110" s="548" t="s">
        <v>52</v>
      </c>
      <c r="B110" s="550" t="s">
        <v>53</v>
      </c>
      <c r="C110" s="548">
        <v>1051121</v>
      </c>
      <c r="D110" s="218" t="s">
        <v>56</v>
      </c>
      <c r="E110" s="570" t="s">
        <v>57</v>
      </c>
      <c r="F110" s="218" t="s">
        <v>45</v>
      </c>
      <c r="G110" s="218">
        <v>77</v>
      </c>
      <c r="H110" s="218" t="s">
        <v>39</v>
      </c>
      <c r="I110" s="136">
        <v>0.195</v>
      </c>
      <c r="J110" s="137">
        <f>ROUND(G110*I110,2)</f>
        <v>15.02</v>
      </c>
    </row>
    <row r="111" s="440" customFormat="1" ht="69" customHeight="1" spans="1:10">
      <c r="A111" s="548" t="s">
        <v>52</v>
      </c>
      <c r="B111" s="550" t="s">
        <v>53</v>
      </c>
      <c r="C111" s="548">
        <v>1051121</v>
      </c>
      <c r="D111" s="218" t="s">
        <v>56</v>
      </c>
      <c r="E111" s="570" t="s">
        <v>57</v>
      </c>
      <c r="F111" s="218" t="s">
        <v>46</v>
      </c>
      <c r="G111" s="218">
        <v>153</v>
      </c>
      <c r="H111" s="218" t="s">
        <v>39</v>
      </c>
      <c r="I111" s="136">
        <v>0.195</v>
      </c>
      <c r="J111" s="137">
        <f>ROUND(G111*I111,2)</f>
        <v>29.84</v>
      </c>
    </row>
    <row r="112" s="440" customFormat="1" ht="69" customHeight="1" spans="1:10">
      <c r="A112" s="548" t="s">
        <v>52</v>
      </c>
      <c r="B112" s="550" t="s">
        <v>53</v>
      </c>
      <c r="C112" s="548">
        <v>1051121</v>
      </c>
      <c r="D112" s="218" t="s">
        <v>56</v>
      </c>
      <c r="E112" s="570" t="s">
        <v>57</v>
      </c>
      <c r="F112" s="218" t="s">
        <v>47</v>
      </c>
      <c r="G112" s="218">
        <v>1107</v>
      </c>
      <c r="H112" s="218" t="s">
        <v>39</v>
      </c>
      <c r="I112" s="136">
        <v>0.195</v>
      </c>
      <c r="J112" s="137">
        <f>ROUND(G112*I112,2)</f>
        <v>215.87</v>
      </c>
    </row>
    <row r="113" s="440" customFormat="1" ht="69" customHeight="1" spans="1:10">
      <c r="A113" s="548" t="s">
        <v>34</v>
      </c>
      <c r="B113" s="550" t="s">
        <v>35</v>
      </c>
      <c r="C113" s="548">
        <v>1051120</v>
      </c>
      <c r="D113" s="218" t="s">
        <v>36</v>
      </c>
      <c r="E113" s="570" t="s">
        <v>58</v>
      </c>
      <c r="F113" s="218" t="s">
        <v>38</v>
      </c>
      <c r="G113" s="218">
        <v>1000</v>
      </c>
      <c r="H113" s="218" t="s">
        <v>39</v>
      </c>
      <c r="I113" s="136">
        <v>0.195</v>
      </c>
      <c r="J113" s="137">
        <f>ROUND(G113*I113,2)</f>
        <v>195</v>
      </c>
    </row>
    <row r="114" s="440" customFormat="1" ht="69" customHeight="1" spans="1:10">
      <c r="A114" s="548" t="s">
        <v>34</v>
      </c>
      <c r="B114" s="550" t="s">
        <v>35</v>
      </c>
      <c r="C114" s="548">
        <v>1051120</v>
      </c>
      <c r="D114" s="218" t="s">
        <v>36</v>
      </c>
      <c r="E114" s="570" t="s">
        <v>58</v>
      </c>
      <c r="F114" s="218" t="s">
        <v>38</v>
      </c>
      <c r="G114" s="218">
        <v>1100</v>
      </c>
      <c r="H114" s="218" t="s">
        <v>39</v>
      </c>
      <c r="I114" s="136">
        <v>0.195</v>
      </c>
      <c r="J114" s="137">
        <f>ROUND(G114*I114,2)</f>
        <v>214.5</v>
      </c>
    </row>
    <row r="115" s="440" customFormat="1" ht="69" customHeight="1" spans="1:10">
      <c r="A115" s="548" t="s">
        <v>34</v>
      </c>
      <c r="B115" s="550" t="s">
        <v>35</v>
      </c>
      <c r="C115" s="548">
        <v>1051120</v>
      </c>
      <c r="D115" s="218" t="s">
        <v>36</v>
      </c>
      <c r="E115" s="570" t="s">
        <v>58</v>
      </c>
      <c r="F115" s="218" t="s">
        <v>47</v>
      </c>
      <c r="G115" s="218">
        <v>627</v>
      </c>
      <c r="H115" s="218" t="s">
        <v>39</v>
      </c>
      <c r="I115" s="136">
        <v>0.195</v>
      </c>
      <c r="J115" s="137">
        <f>ROUND(G115*I115,2)</f>
        <v>122.27</v>
      </c>
    </row>
    <row r="116" s="440" customFormat="1" ht="69" customHeight="1" spans="1:10">
      <c r="A116" s="548" t="s">
        <v>34</v>
      </c>
      <c r="B116" s="550" t="s">
        <v>35</v>
      </c>
      <c r="C116" s="548">
        <v>1051120</v>
      </c>
      <c r="D116" s="218" t="s">
        <v>36</v>
      </c>
      <c r="E116" s="570" t="s">
        <v>58</v>
      </c>
      <c r="F116" s="218" t="s">
        <v>42</v>
      </c>
      <c r="G116" s="218">
        <v>385</v>
      </c>
      <c r="H116" s="218" t="s">
        <v>39</v>
      </c>
      <c r="I116" s="136">
        <v>0.195</v>
      </c>
      <c r="J116" s="137">
        <f>ROUND(G116*I116,2)</f>
        <v>75.08</v>
      </c>
    </row>
    <row r="117" s="440" customFormat="1" ht="69" customHeight="1" spans="1:10">
      <c r="A117" s="548" t="s">
        <v>34</v>
      </c>
      <c r="B117" s="550" t="s">
        <v>35</v>
      </c>
      <c r="C117" s="548">
        <v>1051120</v>
      </c>
      <c r="D117" s="218" t="s">
        <v>36</v>
      </c>
      <c r="E117" s="570" t="s">
        <v>58</v>
      </c>
      <c r="F117" s="218" t="s">
        <v>44</v>
      </c>
      <c r="G117" s="218">
        <v>355</v>
      </c>
      <c r="H117" s="218" t="s">
        <v>39</v>
      </c>
      <c r="I117" s="136">
        <v>0.195</v>
      </c>
      <c r="J117" s="137">
        <f>ROUND(G117*I117,2)</f>
        <v>69.23</v>
      </c>
    </row>
    <row r="118" s="440" customFormat="1" ht="69" customHeight="1" spans="1:10">
      <c r="A118" s="548" t="s">
        <v>34</v>
      </c>
      <c r="B118" s="550" t="s">
        <v>35</v>
      </c>
      <c r="C118" s="548">
        <v>1051120</v>
      </c>
      <c r="D118" s="218" t="s">
        <v>36</v>
      </c>
      <c r="E118" s="570" t="s">
        <v>58</v>
      </c>
      <c r="F118" s="218" t="s">
        <v>45</v>
      </c>
      <c r="G118" s="218">
        <v>766</v>
      </c>
      <c r="H118" s="218" t="s">
        <v>39</v>
      </c>
      <c r="I118" s="136">
        <v>0.195</v>
      </c>
      <c r="J118" s="137">
        <f>ROUND(G118*I118,2)</f>
        <v>149.37</v>
      </c>
    </row>
    <row r="119" s="440" customFormat="1" ht="69" customHeight="1" spans="1:10">
      <c r="A119" s="548" t="s">
        <v>34</v>
      </c>
      <c r="B119" s="550" t="s">
        <v>35</v>
      </c>
      <c r="C119" s="548">
        <v>1051120</v>
      </c>
      <c r="D119" s="218" t="s">
        <v>36</v>
      </c>
      <c r="E119" s="570" t="s">
        <v>58</v>
      </c>
      <c r="F119" s="218" t="s">
        <v>46</v>
      </c>
      <c r="G119" s="218">
        <v>1122</v>
      </c>
      <c r="H119" s="218" t="s">
        <v>39</v>
      </c>
      <c r="I119" s="136">
        <v>0.195</v>
      </c>
      <c r="J119" s="137">
        <f>ROUND(G119*I119,2)</f>
        <v>218.79</v>
      </c>
    </row>
    <row r="120" s="440" customFormat="1" ht="69" customHeight="1" spans="1:10">
      <c r="A120" s="548" t="s">
        <v>48</v>
      </c>
      <c r="B120" s="550" t="s">
        <v>49</v>
      </c>
      <c r="C120" s="548">
        <v>1051120</v>
      </c>
      <c r="D120" s="218" t="s">
        <v>36</v>
      </c>
      <c r="E120" s="570" t="s">
        <v>59</v>
      </c>
      <c r="F120" s="218" t="s">
        <v>38</v>
      </c>
      <c r="G120" s="218">
        <v>163</v>
      </c>
      <c r="H120" s="218" t="s">
        <v>39</v>
      </c>
      <c r="I120" s="136">
        <v>0.182</v>
      </c>
      <c r="J120" s="137">
        <f>ROUND(G120*I120,2)</f>
        <v>29.67</v>
      </c>
    </row>
    <row r="121" s="440" customFormat="1" ht="69" customHeight="1" spans="1:10">
      <c r="A121" s="548" t="s">
        <v>48</v>
      </c>
      <c r="B121" s="550" t="s">
        <v>49</v>
      </c>
      <c r="C121" s="548">
        <v>1051120</v>
      </c>
      <c r="D121" s="218" t="s">
        <v>36</v>
      </c>
      <c r="E121" s="570" t="s">
        <v>59</v>
      </c>
      <c r="F121" s="218" t="s">
        <v>41</v>
      </c>
      <c r="G121" s="218">
        <v>582</v>
      </c>
      <c r="H121" s="218" t="s">
        <v>39</v>
      </c>
      <c r="I121" s="136">
        <v>0.182</v>
      </c>
      <c r="J121" s="137">
        <f>ROUND(G121*I121,2)</f>
        <v>105.92</v>
      </c>
    </row>
    <row r="122" s="440" customFormat="1" ht="69" customHeight="1" spans="1:10">
      <c r="A122" s="548" t="s">
        <v>48</v>
      </c>
      <c r="B122" s="550" t="s">
        <v>49</v>
      </c>
      <c r="C122" s="548">
        <v>1051120</v>
      </c>
      <c r="D122" s="218" t="s">
        <v>36</v>
      </c>
      <c r="E122" s="570" t="s">
        <v>59</v>
      </c>
      <c r="F122" s="218" t="s">
        <v>40</v>
      </c>
      <c r="G122" s="218">
        <v>340</v>
      </c>
      <c r="H122" s="218" t="s">
        <v>39</v>
      </c>
      <c r="I122" s="136">
        <v>0.182</v>
      </c>
      <c r="J122" s="137">
        <f>ROUND(G122*I122,2)</f>
        <v>61.88</v>
      </c>
    </row>
    <row r="123" s="440" customFormat="1" ht="69" customHeight="1" spans="1:10">
      <c r="A123" s="548" t="s">
        <v>48</v>
      </c>
      <c r="B123" s="550" t="s">
        <v>49</v>
      </c>
      <c r="C123" s="548">
        <v>1051120</v>
      </c>
      <c r="D123" s="218" t="s">
        <v>36</v>
      </c>
      <c r="E123" s="570" t="s">
        <v>59</v>
      </c>
      <c r="F123" s="218" t="s">
        <v>46</v>
      </c>
      <c r="G123" s="218">
        <v>36</v>
      </c>
      <c r="H123" s="218" t="s">
        <v>39</v>
      </c>
      <c r="I123" s="136">
        <v>0.182</v>
      </c>
      <c r="J123" s="137">
        <f>ROUND(G123*I123,2)</f>
        <v>6.55</v>
      </c>
    </row>
    <row r="124" s="440" customFormat="1" ht="69" customHeight="1" spans="1:10">
      <c r="A124" s="548" t="s">
        <v>48</v>
      </c>
      <c r="B124" s="550" t="s">
        <v>49</v>
      </c>
      <c r="C124" s="548">
        <v>1051120</v>
      </c>
      <c r="D124" s="218" t="s">
        <v>36</v>
      </c>
      <c r="E124" s="570" t="s">
        <v>59</v>
      </c>
      <c r="F124" s="218" t="s">
        <v>43</v>
      </c>
      <c r="G124" s="218">
        <v>950</v>
      </c>
      <c r="H124" s="218" t="s">
        <v>39</v>
      </c>
      <c r="I124" s="136">
        <v>0.182</v>
      </c>
      <c r="J124" s="137">
        <f>ROUND(G124*I124,2)</f>
        <v>172.9</v>
      </c>
    </row>
    <row r="125" s="440" customFormat="1" ht="69" customHeight="1" spans="1:10">
      <c r="A125" s="548" t="s">
        <v>48</v>
      </c>
      <c r="B125" s="550" t="s">
        <v>49</v>
      </c>
      <c r="C125" s="548">
        <v>1051120</v>
      </c>
      <c r="D125" s="218" t="s">
        <v>36</v>
      </c>
      <c r="E125" s="570" t="s">
        <v>59</v>
      </c>
      <c r="F125" s="218" t="s">
        <v>47</v>
      </c>
      <c r="G125" s="218">
        <v>268</v>
      </c>
      <c r="H125" s="218" t="s">
        <v>39</v>
      </c>
      <c r="I125" s="136">
        <v>0.182</v>
      </c>
      <c r="J125" s="137">
        <f>ROUND(G125*I125,2)</f>
        <v>48.78</v>
      </c>
    </row>
    <row r="126" s="440" customFormat="1" ht="69" customHeight="1" spans="1:10">
      <c r="A126" s="548" t="s">
        <v>48</v>
      </c>
      <c r="B126" s="550" t="s">
        <v>49</v>
      </c>
      <c r="C126" s="548">
        <v>1051120</v>
      </c>
      <c r="D126" s="218" t="s">
        <v>36</v>
      </c>
      <c r="E126" s="570" t="s">
        <v>59</v>
      </c>
      <c r="F126" s="218" t="s">
        <v>47</v>
      </c>
      <c r="G126" s="218">
        <v>1100</v>
      </c>
      <c r="H126" s="218" t="s">
        <v>39</v>
      </c>
      <c r="I126" s="136">
        <v>0.182</v>
      </c>
      <c r="J126" s="137">
        <f>ROUND(G126*I126,2)</f>
        <v>200.2</v>
      </c>
    </row>
    <row r="127" s="440" customFormat="1" ht="69" customHeight="1" spans="1:10">
      <c r="A127" s="548" t="s">
        <v>48</v>
      </c>
      <c r="B127" s="550" t="s">
        <v>49</v>
      </c>
      <c r="C127" s="548">
        <v>1051120</v>
      </c>
      <c r="D127" s="218" t="s">
        <v>36</v>
      </c>
      <c r="E127" s="570" t="s">
        <v>59</v>
      </c>
      <c r="F127" s="218" t="s">
        <v>40</v>
      </c>
      <c r="G127" s="218">
        <v>1200</v>
      </c>
      <c r="H127" s="218" t="s">
        <v>39</v>
      </c>
      <c r="I127" s="136">
        <v>0.182</v>
      </c>
      <c r="J127" s="137">
        <f>ROUND(G127*I127,2)</f>
        <v>218.4</v>
      </c>
    </row>
    <row r="128" s="440" customFormat="1" ht="69" customHeight="1" spans="1:10">
      <c r="A128" s="548" t="s">
        <v>52</v>
      </c>
      <c r="B128" s="550" t="s">
        <v>53</v>
      </c>
      <c r="C128" s="548">
        <v>1051122</v>
      </c>
      <c r="D128" s="218" t="s">
        <v>60</v>
      </c>
      <c r="E128" s="570" t="s">
        <v>61</v>
      </c>
      <c r="F128" s="218" t="s">
        <v>38</v>
      </c>
      <c r="G128" s="218">
        <v>497</v>
      </c>
      <c r="H128" s="218" t="s">
        <v>39</v>
      </c>
      <c r="I128" s="136">
        <v>0.195</v>
      </c>
      <c r="J128" s="137">
        <f>ROUND(G128*I128,2)</f>
        <v>96.92</v>
      </c>
    </row>
    <row r="129" s="440" customFormat="1" ht="69" customHeight="1" spans="1:10">
      <c r="A129" s="548" t="s">
        <v>52</v>
      </c>
      <c r="B129" s="550" t="s">
        <v>53</v>
      </c>
      <c r="C129" s="548">
        <v>1051122</v>
      </c>
      <c r="D129" s="218" t="s">
        <v>60</v>
      </c>
      <c r="E129" s="570" t="s">
        <v>61</v>
      </c>
      <c r="F129" s="218" t="s">
        <v>40</v>
      </c>
      <c r="G129" s="218">
        <v>495</v>
      </c>
      <c r="H129" s="218" t="s">
        <v>39</v>
      </c>
      <c r="I129" s="136">
        <v>0.195</v>
      </c>
      <c r="J129" s="137">
        <f>ROUND(G129*I129,2)</f>
        <v>96.53</v>
      </c>
    </row>
    <row r="130" s="440" customFormat="1" ht="69" customHeight="1" spans="1:10">
      <c r="A130" s="548" t="s">
        <v>52</v>
      </c>
      <c r="B130" s="550" t="s">
        <v>53</v>
      </c>
      <c r="C130" s="548">
        <v>1051122</v>
      </c>
      <c r="D130" s="218" t="s">
        <v>60</v>
      </c>
      <c r="E130" s="570" t="s">
        <v>61</v>
      </c>
      <c r="F130" s="218" t="s">
        <v>42</v>
      </c>
      <c r="G130" s="218">
        <v>327</v>
      </c>
      <c r="H130" s="218" t="s">
        <v>39</v>
      </c>
      <c r="I130" s="136">
        <v>0.195</v>
      </c>
      <c r="J130" s="137">
        <f>ROUND(G130*I130,2)</f>
        <v>63.77</v>
      </c>
    </row>
    <row r="131" s="440" customFormat="1" ht="69" customHeight="1" spans="1:10">
      <c r="A131" s="548" t="s">
        <v>52</v>
      </c>
      <c r="B131" s="550" t="s">
        <v>53</v>
      </c>
      <c r="C131" s="548">
        <v>1051122</v>
      </c>
      <c r="D131" s="218" t="s">
        <v>60</v>
      </c>
      <c r="E131" s="570" t="s">
        <v>61</v>
      </c>
      <c r="F131" s="218" t="s">
        <v>41</v>
      </c>
      <c r="G131" s="218">
        <v>1102</v>
      </c>
      <c r="H131" s="218" t="s">
        <v>39</v>
      </c>
      <c r="I131" s="136">
        <v>0.195</v>
      </c>
      <c r="J131" s="137">
        <f>ROUND(G131*I131,2)</f>
        <v>214.89</v>
      </c>
    </row>
    <row r="132" s="440" customFormat="1" ht="69" customHeight="1" spans="1:10">
      <c r="A132" s="548" t="s">
        <v>52</v>
      </c>
      <c r="B132" s="550" t="s">
        <v>53</v>
      </c>
      <c r="C132" s="548">
        <v>1051122</v>
      </c>
      <c r="D132" s="218" t="s">
        <v>60</v>
      </c>
      <c r="E132" s="570" t="s">
        <v>61</v>
      </c>
      <c r="F132" s="218" t="s">
        <v>44</v>
      </c>
      <c r="G132" s="218">
        <v>87</v>
      </c>
      <c r="H132" s="218" t="s">
        <v>39</v>
      </c>
      <c r="I132" s="136">
        <v>0.195</v>
      </c>
      <c r="J132" s="137">
        <f>ROUND(G132*I132,2)</f>
        <v>16.97</v>
      </c>
    </row>
    <row r="133" s="440" customFormat="1" ht="69" customHeight="1" spans="1:10">
      <c r="A133" s="548" t="s">
        <v>52</v>
      </c>
      <c r="B133" s="550" t="s">
        <v>53</v>
      </c>
      <c r="C133" s="548">
        <v>1051122</v>
      </c>
      <c r="D133" s="218" t="s">
        <v>60</v>
      </c>
      <c r="E133" s="570" t="s">
        <v>61</v>
      </c>
      <c r="F133" s="218" t="s">
        <v>43</v>
      </c>
      <c r="G133" s="218">
        <v>1105</v>
      </c>
      <c r="H133" s="218" t="s">
        <v>39</v>
      </c>
      <c r="I133" s="136">
        <v>0.195</v>
      </c>
      <c r="J133" s="137">
        <f>ROUND(G133*I133,2)</f>
        <v>215.48</v>
      </c>
    </row>
    <row r="134" s="440" customFormat="1" ht="69" customHeight="1" spans="1:10">
      <c r="A134" s="548" t="s">
        <v>52</v>
      </c>
      <c r="B134" s="550" t="s">
        <v>53</v>
      </c>
      <c r="C134" s="548">
        <v>1051122</v>
      </c>
      <c r="D134" s="218" t="s">
        <v>60</v>
      </c>
      <c r="E134" s="570" t="s">
        <v>61</v>
      </c>
      <c r="F134" s="218" t="s">
        <v>45</v>
      </c>
      <c r="G134" s="218">
        <v>66</v>
      </c>
      <c r="H134" s="218" t="s">
        <v>39</v>
      </c>
      <c r="I134" s="136">
        <v>0.195</v>
      </c>
      <c r="J134" s="137">
        <f>ROUND(G134*I134,2)</f>
        <v>12.87</v>
      </c>
    </row>
    <row r="135" s="440" customFormat="1" ht="69" customHeight="1" spans="1:10">
      <c r="A135" s="548" t="s">
        <v>52</v>
      </c>
      <c r="B135" s="550" t="s">
        <v>53</v>
      </c>
      <c r="C135" s="548">
        <v>1051122</v>
      </c>
      <c r="D135" s="218" t="s">
        <v>60</v>
      </c>
      <c r="E135" s="570" t="s">
        <v>61</v>
      </c>
      <c r="F135" s="218" t="s">
        <v>47</v>
      </c>
      <c r="G135" s="218">
        <v>971</v>
      </c>
      <c r="H135" s="218" t="s">
        <v>39</v>
      </c>
      <c r="I135" s="136">
        <v>0.195</v>
      </c>
      <c r="J135" s="137">
        <f>ROUND(G135*I135,2)</f>
        <v>189.35</v>
      </c>
    </row>
    <row r="136" s="440" customFormat="1" ht="69" customHeight="1" spans="1:10">
      <c r="A136" s="548" t="s">
        <v>52</v>
      </c>
      <c r="B136" s="550" t="s">
        <v>53</v>
      </c>
      <c r="C136" s="548">
        <v>1051122</v>
      </c>
      <c r="D136" s="218" t="s">
        <v>60</v>
      </c>
      <c r="E136" s="570" t="s">
        <v>61</v>
      </c>
      <c r="F136" s="218" t="s">
        <v>46</v>
      </c>
      <c r="G136" s="218">
        <v>133</v>
      </c>
      <c r="H136" s="218" t="s">
        <v>39</v>
      </c>
      <c r="I136" s="136">
        <v>0.195</v>
      </c>
      <c r="J136" s="137">
        <f>ROUND(G136*I136,2)</f>
        <v>25.94</v>
      </c>
    </row>
    <row r="137" s="440" customFormat="1" ht="69" customHeight="1" spans="1:10">
      <c r="A137" s="548" t="s">
        <v>52</v>
      </c>
      <c r="B137" s="550" t="s">
        <v>53</v>
      </c>
      <c r="C137" s="548">
        <v>1051120</v>
      </c>
      <c r="D137" s="218" t="s">
        <v>36</v>
      </c>
      <c r="E137" s="570" t="s">
        <v>58</v>
      </c>
      <c r="F137" s="218" t="s">
        <v>38</v>
      </c>
      <c r="G137" s="218">
        <v>537</v>
      </c>
      <c r="H137" s="218" t="s">
        <v>39</v>
      </c>
      <c r="I137" s="136">
        <v>0.195</v>
      </c>
      <c r="J137" s="137">
        <f>ROUND(G137*I137,2)</f>
        <v>104.72</v>
      </c>
    </row>
    <row r="138" s="440" customFormat="1" ht="69" customHeight="1" spans="1:10">
      <c r="A138" s="548" t="s">
        <v>52</v>
      </c>
      <c r="B138" s="550" t="s">
        <v>53</v>
      </c>
      <c r="C138" s="548">
        <v>1051120</v>
      </c>
      <c r="D138" s="218" t="s">
        <v>36</v>
      </c>
      <c r="E138" s="570" t="s">
        <v>58</v>
      </c>
      <c r="F138" s="218" t="s">
        <v>40</v>
      </c>
      <c r="G138" s="218">
        <v>474</v>
      </c>
      <c r="H138" s="218" t="s">
        <v>39</v>
      </c>
      <c r="I138" s="136">
        <v>0.195</v>
      </c>
      <c r="J138" s="137">
        <f>ROUND(G138*I138,2)</f>
        <v>92.43</v>
      </c>
    </row>
    <row r="139" s="440" customFormat="1" ht="69" customHeight="1" spans="1:10">
      <c r="A139" s="548" t="s">
        <v>52</v>
      </c>
      <c r="B139" s="550" t="s">
        <v>53</v>
      </c>
      <c r="C139" s="548">
        <v>1051120</v>
      </c>
      <c r="D139" s="218" t="s">
        <v>36</v>
      </c>
      <c r="E139" s="570" t="s">
        <v>58</v>
      </c>
      <c r="F139" s="218" t="s">
        <v>42</v>
      </c>
      <c r="G139" s="218">
        <v>349</v>
      </c>
      <c r="H139" s="218" t="s">
        <v>39</v>
      </c>
      <c r="I139" s="136">
        <v>0.195</v>
      </c>
      <c r="J139" s="137">
        <f>ROUND(G139*I139,2)</f>
        <v>68.06</v>
      </c>
    </row>
    <row r="140" s="440" customFormat="1" ht="69" customHeight="1" spans="1:10">
      <c r="A140" s="548" t="s">
        <v>52</v>
      </c>
      <c r="B140" s="550" t="s">
        <v>53</v>
      </c>
      <c r="C140" s="548">
        <v>1051120</v>
      </c>
      <c r="D140" s="218" t="s">
        <v>36</v>
      </c>
      <c r="E140" s="570" t="s">
        <v>58</v>
      </c>
      <c r="F140" s="218" t="s">
        <v>41</v>
      </c>
      <c r="G140" s="218">
        <v>1100</v>
      </c>
      <c r="H140" s="218" t="s">
        <v>39</v>
      </c>
      <c r="I140" s="136">
        <v>0.195</v>
      </c>
      <c r="J140" s="137">
        <f>ROUND(G140*I140,2)</f>
        <v>214.5</v>
      </c>
    </row>
    <row r="141" s="440" customFormat="1" ht="69" customHeight="1" spans="1:10">
      <c r="A141" s="548" t="s">
        <v>52</v>
      </c>
      <c r="B141" s="550" t="s">
        <v>53</v>
      </c>
      <c r="C141" s="548">
        <v>1051120</v>
      </c>
      <c r="D141" s="218" t="s">
        <v>36</v>
      </c>
      <c r="E141" s="570" t="s">
        <v>58</v>
      </c>
      <c r="F141" s="218" t="s">
        <v>41</v>
      </c>
      <c r="G141" s="218">
        <v>75</v>
      </c>
      <c r="H141" s="218" t="s">
        <v>39</v>
      </c>
      <c r="I141" s="136">
        <v>0.195</v>
      </c>
      <c r="J141" s="137">
        <f>ROUND(G141*I141,2)</f>
        <v>14.63</v>
      </c>
    </row>
    <row r="142" s="440" customFormat="1" ht="69" customHeight="1" spans="1:10">
      <c r="A142" s="548" t="s">
        <v>52</v>
      </c>
      <c r="B142" s="550" t="s">
        <v>53</v>
      </c>
      <c r="C142" s="548">
        <v>1051120</v>
      </c>
      <c r="D142" s="218" t="s">
        <v>36</v>
      </c>
      <c r="E142" s="570" t="s">
        <v>58</v>
      </c>
      <c r="F142" s="218" t="s">
        <v>45</v>
      </c>
      <c r="G142" s="218">
        <v>87</v>
      </c>
      <c r="H142" s="218" t="s">
        <v>39</v>
      </c>
      <c r="I142" s="136">
        <v>0.195</v>
      </c>
      <c r="J142" s="137">
        <f>ROUND(G142*I142,2)</f>
        <v>16.97</v>
      </c>
    </row>
    <row r="143" s="440" customFormat="1" ht="69" customHeight="1" spans="1:10">
      <c r="A143" s="548" t="s">
        <v>52</v>
      </c>
      <c r="B143" s="550" t="s">
        <v>53</v>
      </c>
      <c r="C143" s="548">
        <v>1051120</v>
      </c>
      <c r="D143" s="218" t="s">
        <v>36</v>
      </c>
      <c r="E143" s="570" t="s">
        <v>58</v>
      </c>
      <c r="F143" s="218" t="s">
        <v>43</v>
      </c>
      <c r="G143" s="218">
        <v>1150</v>
      </c>
      <c r="H143" s="218" t="s">
        <v>39</v>
      </c>
      <c r="I143" s="136">
        <v>0.195</v>
      </c>
      <c r="J143" s="137">
        <f>ROUND(G143*I143,2)</f>
        <v>224.25</v>
      </c>
    </row>
    <row r="144" s="440" customFormat="1" ht="69" customHeight="1" spans="1:10">
      <c r="A144" s="548" t="s">
        <v>52</v>
      </c>
      <c r="B144" s="550" t="s">
        <v>53</v>
      </c>
      <c r="C144" s="548">
        <v>1051120</v>
      </c>
      <c r="D144" s="218" t="s">
        <v>36</v>
      </c>
      <c r="E144" s="570" t="s">
        <v>58</v>
      </c>
      <c r="F144" s="218" t="s">
        <v>43</v>
      </c>
      <c r="G144" s="218">
        <v>23</v>
      </c>
      <c r="H144" s="218" t="s">
        <v>39</v>
      </c>
      <c r="I144" s="136">
        <v>0.195</v>
      </c>
      <c r="J144" s="137">
        <f>ROUND(G144*I144,2)</f>
        <v>4.49</v>
      </c>
    </row>
    <row r="145" s="440" customFormat="1" ht="69" customHeight="1" spans="1:30">
      <c r="A145" s="548" t="s">
        <v>52</v>
      </c>
      <c r="B145" s="550" t="s">
        <v>53</v>
      </c>
      <c r="C145" s="548">
        <v>1051120</v>
      </c>
      <c r="D145" s="218" t="s">
        <v>36</v>
      </c>
      <c r="E145" s="570" t="s">
        <v>58</v>
      </c>
      <c r="F145" s="218" t="s">
        <v>44</v>
      </c>
      <c r="G145" s="218">
        <v>97</v>
      </c>
      <c r="H145" s="218" t="s">
        <v>39</v>
      </c>
      <c r="I145" s="136">
        <v>0.195</v>
      </c>
      <c r="J145" s="137">
        <f>ROUND(G145*I145,2)</f>
        <v>18.92</v>
      </c>
    </row>
    <row r="146" s="440" customFormat="1" ht="69" customHeight="1" spans="1:30">
      <c r="A146" s="548" t="s">
        <v>52</v>
      </c>
      <c r="B146" s="550" t="s">
        <v>53</v>
      </c>
      <c r="C146" s="548">
        <v>1051120</v>
      </c>
      <c r="D146" s="218" t="s">
        <v>36</v>
      </c>
      <c r="E146" s="570" t="s">
        <v>58</v>
      </c>
      <c r="F146" s="218" t="s">
        <v>47</v>
      </c>
      <c r="G146" s="218">
        <v>977</v>
      </c>
      <c r="H146" s="218" t="s">
        <v>39</v>
      </c>
      <c r="I146" s="136">
        <v>0.195</v>
      </c>
      <c r="J146" s="137">
        <f>ROUND(G146*I146,2)</f>
        <v>190.52</v>
      </c>
    </row>
    <row r="147" s="440" customFormat="1" ht="69" customHeight="1" spans="1:30">
      <c r="A147" s="548" t="s">
        <v>52</v>
      </c>
      <c r="B147" s="550" t="s">
        <v>53</v>
      </c>
      <c r="C147" s="548">
        <v>1051120</v>
      </c>
      <c r="D147" s="218" t="s">
        <v>36</v>
      </c>
      <c r="E147" s="570" t="s">
        <v>58</v>
      </c>
      <c r="F147" s="218" t="s">
        <v>47</v>
      </c>
      <c r="G147" s="218">
        <v>20</v>
      </c>
      <c r="H147" s="218" t="s">
        <v>39</v>
      </c>
      <c r="I147" s="136">
        <v>0.195</v>
      </c>
      <c r="J147" s="137">
        <f>ROUND(G147*I147,2)</f>
        <v>3.9</v>
      </c>
    </row>
    <row r="148" s="440" customFormat="1" ht="69" customHeight="1" spans="1:30">
      <c r="A148" s="548" t="s">
        <v>52</v>
      </c>
      <c r="B148" s="550" t="s">
        <v>53</v>
      </c>
      <c r="C148" s="548">
        <v>1051120</v>
      </c>
      <c r="D148" s="218" t="s">
        <v>36</v>
      </c>
      <c r="E148" s="570" t="s">
        <v>58</v>
      </c>
      <c r="F148" s="218" t="s">
        <v>46</v>
      </c>
      <c r="G148" s="218">
        <v>138</v>
      </c>
      <c r="H148" s="218" t="s">
        <v>39</v>
      </c>
      <c r="I148" s="136">
        <v>0.195</v>
      </c>
      <c r="J148" s="137">
        <f>ROUND(G148*I148,2)</f>
        <v>26.91</v>
      </c>
    </row>
    <row r="149" s="440" customFormat="1" ht="69" customHeight="1" spans="1:30">
      <c r="A149" s="548" t="s">
        <v>34</v>
      </c>
      <c r="B149" s="550" t="s">
        <v>35</v>
      </c>
      <c r="C149" s="548">
        <v>1051120</v>
      </c>
      <c r="D149" s="218" t="s">
        <v>36</v>
      </c>
      <c r="E149" s="570" t="s">
        <v>57</v>
      </c>
      <c r="F149" s="218" t="s">
        <v>38</v>
      </c>
      <c r="G149" s="218">
        <v>430</v>
      </c>
      <c r="H149" s="218" t="s">
        <v>39</v>
      </c>
      <c r="I149" s="136">
        <v>0.195</v>
      </c>
      <c r="J149" s="137">
        <f>ROUND(G149*I149,2)</f>
        <v>83.85</v>
      </c>
    </row>
    <row r="150" s="440" customFormat="1" ht="69" customHeight="1" spans="1:30">
      <c r="A150" s="548" t="s">
        <v>34</v>
      </c>
      <c r="B150" s="550" t="s">
        <v>35</v>
      </c>
      <c r="C150" s="548">
        <v>1051120</v>
      </c>
      <c r="D150" s="218" t="s">
        <v>36</v>
      </c>
      <c r="E150" s="570" t="s">
        <v>57</v>
      </c>
      <c r="F150" s="218" t="s">
        <v>42</v>
      </c>
      <c r="G150" s="218">
        <v>277</v>
      </c>
      <c r="H150" s="218" t="s">
        <v>39</v>
      </c>
      <c r="I150" s="136">
        <v>0.195</v>
      </c>
      <c r="J150" s="137">
        <f>ROUND(G150*I150,2)</f>
        <v>54.02</v>
      </c>
    </row>
    <row r="151" s="440" customFormat="1" ht="69" customHeight="1" spans="1:30">
      <c r="A151" s="548" t="s">
        <v>34</v>
      </c>
      <c r="B151" s="550" t="s">
        <v>35</v>
      </c>
      <c r="C151" s="548">
        <v>1051120</v>
      </c>
      <c r="D151" s="218" t="s">
        <v>36</v>
      </c>
      <c r="E151" s="570" t="s">
        <v>57</v>
      </c>
      <c r="F151" s="218" t="s">
        <v>44</v>
      </c>
      <c r="G151" s="218">
        <v>37</v>
      </c>
      <c r="H151" s="218" t="s">
        <v>39</v>
      </c>
      <c r="I151" s="136">
        <v>0.195</v>
      </c>
      <c r="J151" s="137">
        <f>ROUND(G151*I151,2)</f>
        <v>7.22</v>
      </c>
    </row>
    <row r="152" s="440" customFormat="1" ht="69" customHeight="1" spans="1:30">
      <c r="A152" s="548" t="s">
        <v>34</v>
      </c>
      <c r="B152" s="550" t="s">
        <v>35</v>
      </c>
      <c r="C152" s="548">
        <v>1051120</v>
      </c>
      <c r="D152" s="218" t="s">
        <v>36</v>
      </c>
      <c r="E152" s="570" t="s">
        <v>57</v>
      </c>
      <c r="F152" s="218" t="s">
        <v>45</v>
      </c>
      <c r="G152" s="218">
        <v>133</v>
      </c>
      <c r="H152" s="218" t="s">
        <v>39</v>
      </c>
      <c r="I152" s="136">
        <v>0.195</v>
      </c>
      <c r="J152" s="137">
        <f>ROUND(G152*I152,2)</f>
        <v>25.94</v>
      </c>
    </row>
    <row r="153" s="440" customFormat="1" ht="69" customHeight="1" spans="1:30">
      <c r="A153" s="548" t="s">
        <v>34</v>
      </c>
      <c r="B153" s="550" t="s">
        <v>35</v>
      </c>
      <c r="C153" s="548">
        <v>1051120</v>
      </c>
      <c r="D153" s="218" t="s">
        <v>36</v>
      </c>
      <c r="E153" s="570" t="s">
        <v>57</v>
      </c>
      <c r="F153" s="218" t="s">
        <v>46</v>
      </c>
      <c r="G153" s="218">
        <v>77</v>
      </c>
      <c r="H153" s="218" t="s">
        <v>39</v>
      </c>
      <c r="I153" s="136">
        <v>0.195</v>
      </c>
      <c r="J153" s="137">
        <f>ROUND(G153*I153,2)</f>
        <v>15.02</v>
      </c>
    </row>
    <row r="154" s="440" customFormat="1" ht="69" customHeight="1" spans="1:30">
      <c r="A154" s="548" t="s">
        <v>34</v>
      </c>
      <c r="B154" s="550" t="s">
        <v>35</v>
      </c>
      <c r="C154" s="548">
        <v>1051120</v>
      </c>
      <c r="D154" s="218" t="s">
        <v>36</v>
      </c>
      <c r="E154" s="570" t="s">
        <v>57</v>
      </c>
      <c r="F154" s="218" t="s">
        <v>41</v>
      </c>
      <c r="G154" s="218">
        <v>1086</v>
      </c>
      <c r="H154" s="218" t="s">
        <v>39</v>
      </c>
      <c r="I154" s="136">
        <v>0.195</v>
      </c>
      <c r="J154" s="137">
        <f>ROUND(G154*I154,2)</f>
        <v>211.77</v>
      </c>
    </row>
    <row r="155" s="440" customFormat="1" ht="69" customHeight="1" spans="1:30">
      <c r="A155" s="548" t="s">
        <v>34</v>
      </c>
      <c r="B155" s="550" t="s">
        <v>35</v>
      </c>
      <c r="C155" s="548">
        <v>1051120</v>
      </c>
      <c r="D155" s="218" t="s">
        <v>36</v>
      </c>
      <c r="E155" s="570" t="s">
        <v>57</v>
      </c>
      <c r="F155" s="218" t="s">
        <v>43</v>
      </c>
      <c r="G155" s="218">
        <v>1058</v>
      </c>
      <c r="H155" s="218" t="s">
        <v>39</v>
      </c>
      <c r="I155" s="136">
        <v>0.195</v>
      </c>
      <c r="J155" s="137">
        <f>ROUND(G155*I155,2)</f>
        <v>206.31</v>
      </c>
    </row>
    <row r="156" s="440" customFormat="1" ht="69" customHeight="1" spans="1:30">
      <c r="A156" s="548" t="s">
        <v>34</v>
      </c>
      <c r="B156" s="550" t="s">
        <v>35</v>
      </c>
      <c r="C156" s="548">
        <v>1051120</v>
      </c>
      <c r="D156" s="218" t="s">
        <v>36</v>
      </c>
      <c r="E156" s="570" t="s">
        <v>57</v>
      </c>
      <c r="F156" s="218" t="s">
        <v>47</v>
      </c>
      <c r="G156" s="218">
        <v>1100</v>
      </c>
      <c r="H156" s="218" t="s">
        <v>39</v>
      </c>
      <c r="I156" s="136">
        <v>0.195</v>
      </c>
      <c r="J156" s="137">
        <f>ROUND(G156*I156,2)</f>
        <v>214.5</v>
      </c>
    </row>
    <row r="157" s="440" customFormat="1" ht="69" customHeight="1" spans="1:30">
      <c r="A157" s="548" t="s">
        <v>34</v>
      </c>
      <c r="B157" s="550" t="s">
        <v>35</v>
      </c>
      <c r="C157" s="548">
        <v>1051120</v>
      </c>
      <c r="D157" s="218" t="s">
        <v>36</v>
      </c>
      <c r="E157" s="570" t="s">
        <v>57</v>
      </c>
      <c r="F157" s="218" t="s">
        <v>47</v>
      </c>
      <c r="G157" s="218">
        <v>287</v>
      </c>
      <c r="H157" s="218" t="s">
        <v>39</v>
      </c>
      <c r="I157" s="136">
        <v>0.195</v>
      </c>
      <c r="J157" s="137">
        <f>ROUND(G157*I157,2)</f>
        <v>55.97</v>
      </c>
    </row>
    <row r="158" s="440" customFormat="1" ht="69" customHeight="1" spans="1:30">
      <c r="A158" s="548" t="s">
        <v>34</v>
      </c>
      <c r="B158" s="550" t="s">
        <v>35</v>
      </c>
      <c r="C158" s="548">
        <v>1051120</v>
      </c>
      <c r="D158" s="218" t="s">
        <v>36</v>
      </c>
      <c r="E158" s="570" t="s">
        <v>57</v>
      </c>
      <c r="F158" s="218" t="s">
        <v>40</v>
      </c>
      <c r="G158" s="218">
        <v>890</v>
      </c>
      <c r="H158" s="218" t="s">
        <v>39</v>
      </c>
      <c r="I158" s="136">
        <v>0.195</v>
      </c>
      <c r="J158" s="137">
        <f>ROUND(G158*I158,2)</f>
        <v>173.55</v>
      </c>
    </row>
    <row r="159" s="441" customFormat="1" ht="69" customHeight="1" spans="1:30">
      <c r="A159" s="138"/>
      <c r="B159" s="220"/>
      <c r="C159" s="551"/>
      <c r="D159" s="552" t="s">
        <v>62</v>
      </c>
      <c r="E159" s="552"/>
      <c r="F159" s="552"/>
      <c r="G159" s="553">
        <f>SUM(G30:G158)</f>
        <v>73785</v>
      </c>
      <c r="H159" s="143" t="s">
        <v>39</v>
      </c>
      <c r="I159" s="554" t="s">
        <v>63</v>
      </c>
      <c r="J159" s="555">
        <f>SUM(J30:J158)</f>
        <v>14164.48</v>
      </c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 ht="36.75" customHeight="1" spans="1:30">
      <c r="A160" s="556" t="s">
        <v>64</v>
      </c>
      <c r="B160" s="557" t="s">
        <v>65</v>
      </c>
      <c r="C160" s="557"/>
      <c r="D160" s="557"/>
      <c r="E160" s="557"/>
      <c r="F160" s="557"/>
      <c r="G160" s="557"/>
      <c r="H160" s="557"/>
      <c r="I160" s="557"/>
      <c r="AA160"/>
      <c r="AB160"/>
      <c r="AC160"/>
      <c r="AD160"/>
    </row>
    <row r="161" ht="33" customHeight="1" spans="1:30">
      <c r="A161" s="558" t="s">
        <v>66</v>
      </c>
      <c r="B161" s="559"/>
      <c r="C161" s="559"/>
      <c r="D161" s="559"/>
      <c r="E161" s="559"/>
      <c r="F161" s="559"/>
      <c r="G161" s="559"/>
      <c r="H161" s="559"/>
      <c r="I161" s="559"/>
      <c r="J161" s="560"/>
      <c r="AA161"/>
      <c r="AB161"/>
      <c r="AC161"/>
      <c r="AD161"/>
    </row>
    <row r="162" ht="15" spans="1:30">
      <c r="A162" s="561" t="s">
        <v>67</v>
      </c>
      <c r="B162" s="562"/>
      <c r="C162" s="562"/>
      <c r="D162" s="562"/>
      <c r="E162" s="562"/>
      <c r="F162" s="562"/>
      <c r="G162" s="562"/>
      <c r="H162" s="562"/>
      <c r="I162" s="562"/>
      <c r="J162" s="560"/>
      <c r="AA162"/>
      <c r="AB162"/>
      <c r="AC162"/>
      <c r="AD162"/>
    </row>
    <row r="163" spans="1:30">
      <c r="A163" s="563"/>
      <c r="B163" s="564"/>
      <c r="C163" s="564"/>
      <c r="D163" s="564"/>
      <c r="E163" s="564"/>
      <c r="F163" s="564"/>
      <c r="G163" s="564"/>
      <c r="H163" s="564"/>
      <c r="I163" s="565" t="s">
        <v>0</v>
      </c>
      <c r="J163" s="565"/>
      <c r="AA163"/>
      <c r="AB163"/>
      <c r="AC163"/>
      <c r="AD163"/>
    </row>
    <row r="164" ht="16.5" customHeight="1" spans="1:30">
      <c r="A164" s="387"/>
      <c r="B164" s="566"/>
      <c r="C164" s="566"/>
      <c r="D164" s="564"/>
      <c r="E164" s="564"/>
      <c r="F164" s="564"/>
      <c r="H164" s="564"/>
      <c r="I164" s="567" t="s">
        <v>68</v>
      </c>
      <c r="J164" s="567"/>
      <c r="AA164"/>
      <c r="AB164"/>
      <c r="AC164"/>
      <c r="AD164"/>
    </row>
    <row r="165" s="442" customFormat="1" spans="1:30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</row>
    <row r="166" s="442" customFormat="1" spans="1:30">
      <c r="A166" s="568"/>
      <c r="B166"/>
      <c r="C166" s="568"/>
      <c r="D166" s="568"/>
      <c r="E166" s="568"/>
      <c r="F166" s="568"/>
      <c r="G166" s="568"/>
      <c r="H166" s="568"/>
      <c r="I166" s="568"/>
      <c r="J166" s="568"/>
    </row>
    <row r="167" s="442" customFormat="1" spans="1:30">
      <c r="A167" s="568"/>
      <c r="B167" s="568"/>
      <c r="C167" s="568"/>
      <c r="D167" s="568"/>
      <c r="E167" s="568"/>
      <c r="F167" s="568"/>
      <c r="G167" s="568"/>
      <c r="H167" s="568"/>
      <c r="I167" s="568"/>
      <c r="J167" s="568"/>
    </row>
    <row r="168" s="442" customFormat="1" spans="1:30">
      <c r="A168" s="568"/>
      <c r="B168" s="568"/>
      <c r="C168" s="568"/>
      <c r="D168" s="568"/>
      <c r="E168" s="568"/>
      <c r="F168" s="568"/>
      <c r="G168" s="568"/>
      <c r="H168" s="568"/>
      <c r="I168" s="568"/>
      <c r="J168" s="568"/>
    </row>
    <row r="169" s="442" customFormat="1" spans="1:30">
      <c r="A169" s="568"/>
      <c r="B169" s="568"/>
      <c r="C169" s="568"/>
      <c r="D169" s="568"/>
      <c r="E169" s="568"/>
      <c r="F169" s="568"/>
      <c r="G169" s="568"/>
      <c r="H169" s="568"/>
      <c r="I169" s="568"/>
      <c r="J169" s="568"/>
    </row>
    <row r="170" s="442" customFormat="1" spans="1:30">
      <c r="A170" s="568"/>
      <c r="B170" s="568"/>
      <c r="C170" s="568"/>
      <c r="D170" s="568"/>
      <c r="E170" s="568"/>
      <c r="F170" s="568"/>
      <c r="G170" s="568"/>
      <c r="H170" s="568"/>
      <c r="I170" s="568"/>
      <c r="J170" s="568"/>
    </row>
    <row r="171" s="442" customFormat="1" spans="1:30">
      <c r="A171" s="568"/>
      <c r="B171" s="568"/>
      <c r="C171" s="568"/>
      <c r="D171" s="568"/>
      <c r="E171" s="568"/>
      <c r="F171" s="568"/>
      <c r="G171" s="568"/>
      <c r="H171" s="568"/>
      <c r="I171" s="568"/>
      <c r="J171" s="568"/>
    </row>
    <row r="172" s="442" customFormat="1" spans="1:30">
      <c r="A172" s="568"/>
      <c r="B172" s="568"/>
      <c r="C172" s="568"/>
      <c r="D172" s="568"/>
      <c r="E172" s="568"/>
      <c r="F172" s="568"/>
      <c r="G172" s="568"/>
      <c r="H172" s="568"/>
      <c r="I172" s="568"/>
      <c r="J172" s="568"/>
    </row>
    <row r="173" s="442" customFormat="1" spans="1:30">
      <c r="A173" s="568"/>
      <c r="B173" s="568"/>
      <c r="C173" s="568"/>
      <c r="D173" s="568"/>
      <c r="E173" s="568"/>
      <c r="F173" s="568"/>
      <c r="G173" s="568"/>
      <c r="H173" s="568"/>
      <c r="I173" s="568"/>
      <c r="J173" s="568"/>
    </row>
    <row r="174" s="442" customFormat="1" spans="1:30">
      <c r="A174" s="568"/>
      <c r="B174" s="568"/>
      <c r="C174" s="568"/>
      <c r="D174" s="568"/>
      <c r="E174" s="568"/>
      <c r="F174" s="568"/>
      <c r="G174" s="568"/>
      <c r="H174" s="568"/>
      <c r="I174" s="568"/>
      <c r="J174" s="568"/>
    </row>
    <row r="175" s="442" customFormat="1" spans="1:30">
      <c r="A175" s="568"/>
      <c r="B175" s="568"/>
      <c r="C175" s="568"/>
      <c r="D175" s="568"/>
      <c r="E175" s="568"/>
      <c r="F175" s="568"/>
      <c r="G175" s="568"/>
      <c r="H175" s="568"/>
      <c r="I175" s="568"/>
      <c r="J175" s="568"/>
    </row>
    <row r="176" s="442" customFormat="1" spans="1:30">
      <c r="A176" s="568"/>
      <c r="B176" s="568"/>
      <c r="C176" s="568"/>
      <c r="D176" s="568"/>
      <c r="E176" s="568"/>
      <c r="F176" s="568"/>
      <c r="G176" s="568"/>
      <c r="H176" s="568"/>
      <c r="I176" s="568"/>
      <c r="J176" s="568"/>
    </row>
    <row r="177" s="442" customFormat="1" spans="1:10">
      <c r="A177" s="568"/>
      <c r="B177" s="568"/>
      <c r="C177" s="568"/>
      <c r="D177" s="568"/>
      <c r="E177" s="568"/>
      <c r="F177" s="568"/>
      <c r="G177" s="568"/>
      <c r="H177" s="568"/>
      <c r="I177" s="568"/>
      <c r="J177" s="568"/>
    </row>
    <row r="178" s="442" customFormat="1" spans="1:10">
      <c r="A178" s="568"/>
      <c r="B178" s="568"/>
      <c r="C178" s="568"/>
      <c r="D178" s="568"/>
      <c r="E178" s="568"/>
      <c r="F178" s="568"/>
      <c r="G178" s="568"/>
      <c r="H178" s="568"/>
      <c r="I178" s="568"/>
      <c r="J178" s="568"/>
    </row>
    <row r="179" s="442" customFormat="1" spans="1:10">
      <c r="A179" s="568"/>
      <c r="B179" s="568"/>
      <c r="C179" s="568"/>
      <c r="D179" s="568"/>
      <c r="E179" s="568"/>
      <c r="F179" s="568"/>
      <c r="G179" s="568"/>
      <c r="H179" s="568"/>
      <c r="I179" s="568"/>
      <c r="J179" s="568"/>
    </row>
    <row r="180" s="442" customFormat="1" spans="1:10">
      <c r="A180" s="568"/>
      <c r="B180" s="568"/>
      <c r="C180" s="568"/>
      <c r="D180" s="568"/>
      <c r="E180" s="568"/>
      <c r="F180" s="568"/>
      <c r="G180" s="568"/>
      <c r="H180" s="568"/>
      <c r="I180" s="568"/>
      <c r="J180" s="568"/>
    </row>
    <row r="181" s="442" customFormat="1" spans="1:10">
      <c r="A181" s="568"/>
      <c r="B181" s="568"/>
      <c r="C181" s="568"/>
      <c r="D181" s="568"/>
      <c r="E181" s="568"/>
      <c r="F181" s="568"/>
      <c r="G181" s="568"/>
      <c r="H181" s="568"/>
      <c r="I181" s="568"/>
      <c r="J181" s="568"/>
    </row>
    <row r="182" s="442" customFormat="1" spans="1:10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</row>
    <row r="183" s="442" customFormat="1" ht="15" spans="1:10">
      <c r="A183" s="569"/>
      <c r="B183" s="569"/>
      <c r="C183" s="569"/>
      <c r="D183" s="569"/>
      <c r="E183" s="569"/>
      <c r="F183" s="569"/>
      <c r="G183" s="569"/>
      <c r="H183" s="569"/>
      <c r="I183" s="569"/>
      <c r="J183" s="569"/>
    </row>
    <row r="184" s="442" customFormat="1" ht="15" spans="1:10">
      <c r="A184" s="569"/>
      <c r="B184" s="569"/>
      <c r="C184" s="569"/>
      <c r="D184" s="569"/>
      <c r="E184" s="569"/>
      <c r="F184" s="569"/>
      <c r="G184" s="569"/>
      <c r="H184" s="569"/>
      <c r="I184" s="569"/>
      <c r="J184" s="569"/>
    </row>
    <row r="185" s="442" customFormat="1" ht="15" spans="1:10">
      <c r="A185" s="569"/>
      <c r="B185" s="569"/>
      <c r="C185" s="569"/>
      <c r="D185" s="569"/>
      <c r="E185" s="569"/>
      <c r="F185" s="569"/>
      <c r="G185" s="569"/>
      <c r="H185" s="569"/>
      <c r="I185" s="569"/>
      <c r="J185" s="569"/>
    </row>
    <row r="186" s="442" customFormat="1" ht="15" spans="1:10">
      <c r="A186" s="569"/>
      <c r="B186" s="569"/>
      <c r="C186" s="569"/>
      <c r="D186" s="569"/>
      <c r="E186" s="569"/>
      <c r="F186" s="569"/>
      <c r="G186" s="569"/>
      <c r="H186" s="569"/>
      <c r="I186" s="569"/>
      <c r="J186" s="569"/>
    </row>
    <row r="187" s="442" customFormat="1" ht="15" spans="1:10">
      <c r="A187" s="569"/>
      <c r="B187" s="569"/>
      <c r="C187" s="569"/>
      <c r="D187" s="569"/>
      <c r="E187" s="569"/>
      <c r="F187" s="569"/>
      <c r="G187" s="569"/>
      <c r="H187" s="569"/>
      <c r="I187" s="569"/>
      <c r="J187" s="569"/>
    </row>
    <row r="188" s="442" customFormat="1" ht="15" spans="1:10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</row>
    <row r="189" ht="15" spans="1:10">
      <c r="A189" s="569"/>
      <c r="B189" s="569"/>
      <c r="C189" s="569"/>
      <c r="D189" s="569"/>
      <c r="E189" s="569"/>
      <c r="F189" s="569"/>
      <c r="G189" s="569"/>
      <c r="H189" s="569"/>
      <c r="I189" s="569"/>
      <c r="J189" s="569"/>
    </row>
    <row r="190" ht="15" spans="1:10">
      <c r="A190" s="569"/>
      <c r="B190" s="569"/>
      <c r="C190" s="569"/>
      <c r="D190" s="569"/>
      <c r="E190" s="569"/>
      <c r="F190" s="569"/>
      <c r="G190" s="569"/>
      <c r="H190" s="569"/>
      <c r="I190" s="569"/>
      <c r="J190" s="569"/>
    </row>
    <row r="191" s="442" customFormat="1" ht="15" spans="1:10">
      <c r="A191" s="569"/>
      <c r="B191" s="569"/>
      <c r="C191" s="569"/>
      <c r="D191" s="569"/>
      <c r="E191" s="569"/>
      <c r="F191" s="569"/>
      <c r="G191" s="569"/>
      <c r="H191" s="569"/>
      <c r="I191" s="569"/>
      <c r="J191" s="569"/>
    </row>
    <row r="192" s="442" customFormat="1" ht="15" spans="1:10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</row>
    <row r="193" s="442" customFormat="1" ht="15" spans="1:10">
      <c r="A193" s="569"/>
      <c r="B193" s="569"/>
      <c r="C193" s="569"/>
      <c r="D193" s="569"/>
      <c r="E193" s="569"/>
      <c r="F193" s="569"/>
      <c r="G193" s="569"/>
      <c r="H193" s="569"/>
      <c r="I193" s="569"/>
      <c r="J193" s="569"/>
    </row>
    <row r="194" ht="15" spans="1:10">
      <c r="A194" s="569"/>
      <c r="B194" s="569"/>
      <c r="C194" s="569"/>
      <c r="D194" s="569"/>
      <c r="E194" s="569"/>
      <c r="F194" s="569"/>
      <c r="G194" s="569"/>
      <c r="H194" s="569"/>
      <c r="I194" s="569"/>
      <c r="J194" s="569"/>
    </row>
    <row r="195" spans="1:10">
      <c r="A195" s="568"/>
      <c r="B195" s="568"/>
      <c r="C195" s="568"/>
      <c r="D195" s="568"/>
      <c r="E195" s="568"/>
      <c r="F195" s="568"/>
      <c r="G195" s="568"/>
      <c r="H195" s="568"/>
      <c r="I195" s="568"/>
      <c r="J195" s="568"/>
    </row>
    <row r="196" spans="1:10">
      <c r="A196" s="568"/>
      <c r="B196" s="568"/>
      <c r="C196" s="568"/>
      <c r="D196" s="568"/>
      <c r="E196" s="568"/>
      <c r="F196" s="568"/>
      <c r="G196" s="568"/>
      <c r="H196" s="568"/>
      <c r="I196" s="568"/>
      <c r="J196" s="568"/>
    </row>
    <row r="197" spans="1:10">
      <c r="A197" s="568"/>
      <c r="B197" s="568"/>
      <c r="C197" s="568"/>
      <c r="D197" s="568"/>
      <c r="E197" s="568"/>
      <c r="F197" s="568"/>
      <c r="G197" s="568"/>
      <c r="H197" s="568"/>
      <c r="I197" s="568"/>
      <c r="J197" s="568"/>
    </row>
    <row r="200" ht="15" spans="1:10">
      <c r="A200" s="569"/>
      <c r="B200" s="569"/>
      <c r="C200" s="569"/>
      <c r="D200" s="569"/>
      <c r="E200" s="569"/>
      <c r="F200" s="569"/>
      <c r="G200" s="569"/>
      <c r="H200" s="569"/>
      <c r="I200" s="569"/>
      <c r="J200" s="569"/>
    </row>
    <row r="201" ht="15" spans="1:10">
      <c r="A201" s="569"/>
      <c r="B201" s="569"/>
      <c r="C201" s="569"/>
      <c r="D201" s="569"/>
      <c r="E201" s="569"/>
      <c r="F201" s="569"/>
      <c r="G201" s="569"/>
      <c r="H201" s="569"/>
      <c r="I201" s="569"/>
      <c r="J201" s="569"/>
    </row>
    <row r="202" ht="15" spans="1:10">
      <c r="A202" s="569"/>
      <c r="B202" s="569"/>
      <c r="C202" s="569"/>
      <c r="D202" s="569"/>
      <c r="E202" s="569"/>
      <c r="F202" s="569"/>
      <c r="G202" s="569"/>
      <c r="H202" s="569"/>
      <c r="I202" s="569"/>
      <c r="J202" s="569"/>
    </row>
  </sheetData>
  <mergeCells count="13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21:E21"/>
    <mergeCell ref="A161:I161"/>
    <mergeCell ref="A162:I162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28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164"/>
  <sheetViews>
    <sheetView zoomScale="63" zoomScaleNormal="63" workbookViewId="0">
      <selection activeCell="A148" sqref="A78:A150"/>
    </sheetView>
  </sheetViews>
  <sheetFormatPr defaultColWidth="9.13636363636364" defaultRowHeight="14"/>
  <cols>
    <col min="1" max="1" width="8.42727272727273" style="233" customWidth="1"/>
    <col min="2" max="2" width="34.5727272727273" style="233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32.9" style="234" customWidth="1"/>
    <col min="8" max="8" width="56.7090909090909" style="234" customWidth="1"/>
    <col min="9" max="9" width="17.5727272727273" style="92" customWidth="1"/>
    <col min="10" max="10" width="24.2818181818182" style="233" customWidth="1"/>
    <col min="11" max="13" width="20.1363636363636" style="92" customWidth="1"/>
    <col min="14" max="14" width="21.1363636363636" style="233" customWidth="1"/>
    <col min="15" max="15" width="16.5727272727273" style="233" customWidth="1"/>
    <col min="16" max="16" width="9.13636363636364" style="98" customWidth="1"/>
    <col min="17" max="17" width="49.2818181818182" style="98" customWidth="1"/>
    <col min="18" max="18" width="20.4272727272727" style="98" customWidth="1"/>
    <col min="19" max="33" width="9.13636363636364" style="98"/>
    <col min="34" max="16384" width="9.13636363636364" style="92"/>
  </cols>
  <sheetData>
    <row r="1" ht="24" customHeight="1" spans="1:15">
      <c r="A1" s="96" t="s">
        <v>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414"/>
      <c r="N1" s="280"/>
      <c r="O1" s="281"/>
    </row>
    <row r="2" ht="25.5" customHeight="1" spans="1:15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415"/>
      <c r="N2" s="282"/>
      <c r="O2" s="282"/>
    </row>
    <row r="3" ht="24" customHeight="1" spans="1:15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416"/>
      <c r="N3" s="282"/>
      <c r="O3" s="282"/>
    </row>
    <row r="4" ht="15" customHeight="1" spans="1:15">
      <c r="A4" s="283" t="s">
        <v>70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417"/>
      <c r="N4" s="285"/>
      <c r="O4" s="286"/>
    </row>
    <row r="5" ht="15" customHeight="1" spans="1:15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418"/>
      <c r="N5" s="285"/>
      <c r="O5" s="286"/>
    </row>
    <row r="6" ht="15" spans="1:15">
      <c r="A6" s="289" t="s">
        <v>4</v>
      </c>
      <c r="B6" s="290"/>
      <c r="C6" s="291"/>
      <c r="D6" s="291"/>
      <c r="E6" s="291"/>
      <c r="F6" s="239"/>
      <c r="G6" s="292"/>
      <c r="H6" s="292"/>
      <c r="I6" s="239"/>
      <c r="J6" s="293" t="s">
        <v>71</v>
      </c>
      <c r="K6" s="294"/>
      <c r="L6" s="295"/>
      <c r="M6" s="419"/>
      <c r="N6" s="241"/>
      <c r="O6" s="241"/>
    </row>
    <row r="7" ht="15" spans="1:15">
      <c r="A7" s="296" t="s">
        <v>6</v>
      </c>
      <c r="B7" s="297"/>
      <c r="C7" s="291"/>
      <c r="D7" s="291"/>
      <c r="E7" s="291"/>
      <c r="F7" s="239"/>
      <c r="G7" s="292"/>
      <c r="H7" s="292"/>
      <c r="I7" s="239"/>
      <c r="J7" s="298" t="s">
        <v>72</v>
      </c>
      <c r="K7" s="299"/>
      <c r="L7" s="300">
        <v>46216</v>
      </c>
      <c r="M7" s="420"/>
      <c r="N7" s="241"/>
      <c r="O7" s="241"/>
    </row>
    <row r="8" ht="25.5" customHeight="1" spans="1:15">
      <c r="A8" s="301" t="s">
        <v>1</v>
      </c>
      <c r="B8" s="302"/>
      <c r="C8" s="302"/>
      <c r="D8" s="302"/>
      <c r="E8" s="302"/>
      <c r="F8" s="302"/>
      <c r="G8" s="303"/>
      <c r="H8" s="303"/>
      <c r="I8" s="304"/>
      <c r="J8" s="305" t="s">
        <v>5</v>
      </c>
      <c r="K8" s="237"/>
      <c r="L8" s="237"/>
      <c r="M8" s="421"/>
      <c r="N8" s="241"/>
      <c r="O8" s="241"/>
    </row>
    <row r="9" ht="15" spans="1:15">
      <c r="A9" s="306" t="s">
        <v>2</v>
      </c>
      <c r="B9" s="307"/>
      <c r="C9" s="237"/>
      <c r="D9" s="237"/>
      <c r="E9" s="237"/>
      <c r="F9" s="239"/>
      <c r="G9" s="292"/>
      <c r="H9" s="292"/>
      <c r="I9" s="239"/>
      <c r="J9" s="308" t="str">
        <f>J7</f>
        <v>AK/GDI-20260015</v>
      </c>
      <c r="K9" s="309"/>
      <c r="L9" s="310">
        <f>L7</f>
        <v>46216</v>
      </c>
      <c r="M9" s="422"/>
      <c r="N9" s="241"/>
      <c r="O9" s="241"/>
    </row>
    <row r="10" ht="15" spans="1:15">
      <c r="A10" s="311" t="s">
        <v>11</v>
      </c>
      <c r="B10" s="312"/>
      <c r="C10" s="313"/>
      <c r="D10" s="313"/>
      <c r="E10" s="313"/>
      <c r="F10" s="313"/>
      <c r="G10" s="314"/>
      <c r="H10" s="314"/>
      <c r="I10" s="315"/>
      <c r="J10" s="308"/>
      <c r="K10" s="237"/>
      <c r="L10" s="237"/>
      <c r="M10" s="421"/>
      <c r="N10" s="241"/>
      <c r="O10" s="241"/>
    </row>
    <row r="11" ht="18.75" customHeight="1" spans="1:15">
      <c r="A11" s="316" t="s">
        <v>12</v>
      </c>
      <c r="B11" s="317"/>
      <c r="C11" s="317"/>
      <c r="D11" s="317"/>
      <c r="E11" s="317"/>
      <c r="F11" s="237"/>
      <c r="G11" s="238"/>
      <c r="H11" s="238"/>
      <c r="I11" s="239"/>
      <c r="J11" s="240" t="s">
        <v>73</v>
      </c>
      <c r="K11" s="237"/>
      <c r="L11" s="237"/>
      <c r="M11" s="421"/>
      <c r="N11" s="241"/>
      <c r="O11" s="241"/>
    </row>
    <row r="12" ht="15.75" customHeight="1" spans="1:15">
      <c r="A12" s="318" t="s">
        <v>13</v>
      </c>
      <c r="B12" s="319"/>
      <c r="C12" s="319"/>
      <c r="D12" s="319"/>
      <c r="E12" s="319"/>
      <c r="F12" s="319"/>
      <c r="G12" s="319"/>
      <c r="H12" s="319"/>
      <c r="I12" s="320"/>
      <c r="J12" s="321" t="s">
        <v>74</v>
      </c>
      <c r="K12" s="322"/>
      <c r="L12" s="323">
        <v>46163</v>
      </c>
      <c r="M12" s="423"/>
      <c r="N12" s="241"/>
      <c r="O12" s="241"/>
    </row>
    <row r="13" ht="15" spans="1:15">
      <c r="A13" s="324" t="s">
        <v>14</v>
      </c>
      <c r="B13" s="325"/>
      <c r="C13" s="325"/>
      <c r="D13" s="325"/>
      <c r="E13" s="325"/>
      <c r="F13" s="325"/>
      <c r="G13" s="326"/>
      <c r="H13" s="326"/>
      <c r="I13" s="327"/>
      <c r="J13" s="328"/>
      <c r="K13" s="329"/>
      <c r="L13" s="330"/>
      <c r="M13" s="424"/>
      <c r="N13" s="241"/>
      <c r="O13" s="241"/>
    </row>
    <row r="14" ht="15" spans="1:15">
      <c r="A14" s="324"/>
      <c r="B14" s="325"/>
      <c r="C14" s="331"/>
      <c r="D14" s="325"/>
      <c r="E14" s="325"/>
      <c r="F14" s="325"/>
      <c r="G14" s="326"/>
      <c r="H14" s="326"/>
      <c r="I14" s="327"/>
      <c r="J14" s="332"/>
      <c r="K14" s="322"/>
      <c r="L14" s="323"/>
      <c r="M14" s="423"/>
      <c r="N14" s="241"/>
      <c r="O14" s="241"/>
    </row>
    <row r="15" ht="15" spans="1:15">
      <c r="A15" s="324"/>
      <c r="B15" s="325"/>
      <c r="C15" s="325"/>
      <c r="D15" s="325"/>
      <c r="E15" s="325"/>
      <c r="F15" s="325"/>
      <c r="G15" s="326"/>
      <c r="H15" s="326"/>
      <c r="I15" s="327"/>
      <c r="J15" s="241"/>
      <c r="K15" s="239"/>
      <c r="L15" s="239"/>
      <c r="M15" s="425"/>
      <c r="N15" s="241"/>
      <c r="O15" s="241"/>
    </row>
    <row r="16" ht="15" spans="1:15">
      <c r="A16" s="333" t="s">
        <v>15</v>
      </c>
      <c r="B16" s="334"/>
      <c r="C16" s="335"/>
      <c r="D16" s="335"/>
      <c r="E16" s="335"/>
      <c r="F16" s="335"/>
      <c r="G16" s="336"/>
      <c r="H16" s="336"/>
      <c r="I16" s="337"/>
      <c r="J16" s="338"/>
      <c r="K16" s="239"/>
      <c r="L16" s="239"/>
      <c r="M16" s="425"/>
      <c r="N16" s="241"/>
      <c r="O16" s="241"/>
    </row>
    <row r="17" ht="15" spans="1:26">
      <c r="A17" s="339" t="s">
        <v>75</v>
      </c>
      <c r="B17" s="340"/>
      <c r="C17" s="340"/>
      <c r="D17" s="340"/>
      <c r="E17" s="340"/>
      <c r="F17" s="340"/>
      <c r="G17" s="340"/>
      <c r="H17" s="340"/>
      <c r="I17" s="327"/>
      <c r="K17" s="239"/>
      <c r="L17" s="341"/>
      <c r="M17" s="426"/>
      <c r="N17" s="342"/>
      <c r="O17" s="241"/>
    </row>
    <row r="18" ht="15" spans="1:26">
      <c r="A18" s="343" t="s">
        <v>76</v>
      </c>
      <c r="B18" s="344"/>
      <c r="C18" s="345"/>
      <c r="D18" s="345"/>
      <c r="E18" s="345"/>
      <c r="F18" s="427"/>
      <c r="G18" s="346"/>
      <c r="H18" s="346"/>
      <c r="I18" s="347"/>
      <c r="L18" s="341"/>
      <c r="M18" s="426"/>
      <c r="N18" s="348"/>
      <c r="O18" s="241"/>
    </row>
    <row r="19" ht="15" spans="1:26">
      <c r="A19" s="343" t="s">
        <v>77</v>
      </c>
      <c r="B19" s="344"/>
      <c r="C19" s="345"/>
      <c r="D19" s="345"/>
      <c r="E19" s="345"/>
      <c r="F19" s="427"/>
      <c r="G19" s="346"/>
      <c r="H19" s="346"/>
      <c r="I19" s="347"/>
      <c r="M19" s="428"/>
      <c r="N19" s="349"/>
      <c r="O19" s="241"/>
    </row>
    <row r="20" ht="15.75" customHeight="1" spans="1:26">
      <c r="A20" s="350" t="s">
        <v>78</v>
      </c>
      <c r="B20" s="351"/>
      <c r="C20" s="351"/>
      <c r="D20" s="351"/>
      <c r="E20" s="351"/>
      <c r="F20" s="427"/>
      <c r="G20" s="346"/>
      <c r="H20" s="346"/>
      <c r="I20" s="347"/>
      <c r="J20" s="241"/>
      <c r="K20" s="239"/>
      <c r="L20" s="341"/>
      <c r="M20" s="426"/>
      <c r="N20" s="349"/>
      <c r="O20" s="241"/>
    </row>
    <row r="21" ht="15.75" customHeight="1" spans="1:26">
      <c r="A21" s="350" t="s">
        <v>79</v>
      </c>
      <c r="B21" s="351"/>
      <c r="C21" s="351"/>
      <c r="D21" s="351"/>
      <c r="E21" s="351"/>
      <c r="F21" s="427"/>
      <c r="G21" s="346"/>
      <c r="H21" s="346"/>
      <c r="I21" s="347"/>
      <c r="J21" s="241"/>
      <c r="K21" s="239"/>
      <c r="L21" s="341"/>
      <c r="M21" s="426"/>
      <c r="N21" s="349"/>
      <c r="O21" s="241"/>
    </row>
    <row r="22" ht="39" customHeight="1" spans="1:26">
      <c r="A22" s="352" t="s">
        <v>18</v>
      </c>
      <c r="B22" s="353"/>
      <c r="C22" s="353"/>
      <c r="D22" s="353"/>
      <c r="E22" s="353"/>
      <c r="F22" s="427"/>
      <c r="G22" s="346"/>
      <c r="H22" s="346"/>
      <c r="I22" s="347"/>
      <c r="J22" s="241"/>
      <c r="K22" s="239"/>
      <c r="L22" s="341"/>
      <c r="M22" s="426"/>
      <c r="N22" s="349"/>
      <c r="O22" s="241"/>
    </row>
    <row r="23" ht="15.75" customHeight="1" spans="1:26">
      <c r="A23" s="350"/>
      <c r="B23" s="351"/>
      <c r="C23" s="351"/>
      <c r="D23" s="351"/>
      <c r="E23" s="351"/>
      <c r="F23" s="427"/>
      <c r="G23" s="346"/>
      <c r="H23" s="346"/>
      <c r="I23" s="347"/>
      <c r="J23" s="241"/>
      <c r="K23" s="239"/>
      <c r="L23" s="341"/>
      <c r="M23" s="426"/>
      <c r="N23" s="349"/>
      <c r="O23" s="241"/>
    </row>
    <row r="24" ht="15.75" customHeight="1" spans="1:26">
      <c r="A24" s="350"/>
      <c r="B24" s="351"/>
      <c r="C24" s="351"/>
      <c r="D24" s="351"/>
      <c r="E24" s="351"/>
      <c r="F24" s="427"/>
      <c r="G24" s="346"/>
      <c r="H24" s="346"/>
      <c r="I24" s="347"/>
      <c r="J24" s="241"/>
      <c r="K24" s="239"/>
      <c r="L24" s="341"/>
      <c r="M24" s="426"/>
      <c r="N24" s="349"/>
      <c r="O24" s="241"/>
    </row>
    <row r="25" ht="15.75" customHeight="1" spans="1:26">
      <c r="A25" s="289" t="s">
        <v>19</v>
      </c>
      <c r="B25" s="290"/>
      <c r="C25" s="291"/>
      <c r="D25" s="291"/>
      <c r="E25" s="354" t="s">
        <v>20</v>
      </c>
      <c r="F25" s="237"/>
      <c r="G25" s="238"/>
      <c r="H25" s="238"/>
      <c r="I25" s="327"/>
      <c r="J25" s="290" t="s">
        <v>80</v>
      </c>
      <c r="K25" s="237"/>
      <c r="L25" s="239" t="s">
        <v>81</v>
      </c>
      <c r="M25" s="425"/>
      <c r="N25" s="241"/>
      <c r="O25" s="241"/>
    </row>
    <row r="26" ht="15" spans="1:26">
      <c r="A26" s="306" t="s">
        <v>82</v>
      </c>
      <c r="B26" s="307"/>
      <c r="C26" s="237"/>
      <c r="D26" s="237"/>
      <c r="E26" s="355" t="s">
        <v>83</v>
      </c>
      <c r="F26" s="239"/>
      <c r="G26" s="292"/>
      <c r="H26" s="292"/>
      <c r="I26" s="327"/>
      <c r="J26" s="290" t="s">
        <v>84</v>
      </c>
      <c r="K26" s="356"/>
      <c r="L26" s="356" t="s">
        <v>85</v>
      </c>
      <c r="M26" s="429"/>
      <c r="N26" s="241"/>
      <c r="O26" s="241"/>
    </row>
    <row r="27" ht="15" spans="1:26">
      <c r="A27" s="306"/>
      <c r="B27" s="307"/>
      <c r="C27" s="237"/>
      <c r="D27" s="237"/>
      <c r="E27" s="355"/>
      <c r="F27" s="239"/>
      <c r="G27" s="292"/>
      <c r="H27" s="292"/>
      <c r="I27" s="357"/>
      <c r="J27" s="358" t="s">
        <v>86</v>
      </c>
      <c r="K27" s="237"/>
      <c r="L27" s="239"/>
      <c r="M27" s="425"/>
      <c r="N27" s="241"/>
      <c r="O27" s="241"/>
    </row>
    <row r="28" ht="15.75" customHeight="1" spans="1:26">
      <c r="A28" s="359"/>
      <c r="B28" s="360"/>
      <c r="C28" s="361" t="s">
        <v>21</v>
      </c>
      <c r="D28" s="361"/>
      <c r="E28" s="361" t="s">
        <v>22</v>
      </c>
      <c r="F28" s="315"/>
      <c r="G28" s="362"/>
      <c r="H28" s="362"/>
      <c r="I28" s="315"/>
      <c r="J28" s="363"/>
      <c r="K28" s="237"/>
      <c r="L28" s="239"/>
      <c r="M28" s="425"/>
      <c r="N28" s="241"/>
      <c r="O28" s="364"/>
    </row>
    <row r="29" ht="64.5" customHeight="1" spans="1:26">
      <c r="A29" s="296"/>
      <c r="B29" s="297"/>
      <c r="C29" s="365">
        <v>46221</v>
      </c>
      <c r="D29" s="366"/>
      <c r="E29" s="365">
        <f>C29+3</f>
        <v>46224</v>
      </c>
      <c r="F29" s="368"/>
      <c r="G29" s="367"/>
      <c r="H29" s="367"/>
      <c r="I29" s="368"/>
      <c r="J29" s="369" t="s">
        <v>87</v>
      </c>
      <c r="K29" s="368" t="s">
        <v>88</v>
      </c>
      <c r="L29" s="370"/>
      <c r="M29" s="430"/>
      <c r="N29" s="370"/>
      <c r="O29" s="370"/>
    </row>
    <row r="30" ht="17.25" spans="1:26">
      <c r="A30" s="371"/>
      <c r="B30" s="372"/>
      <c r="C30" s="373" t="s">
        <v>89</v>
      </c>
      <c r="D30" s="374"/>
      <c r="E30" s="375"/>
      <c r="F30" s="431"/>
      <c r="G30" s="376"/>
      <c r="H30" s="376"/>
      <c r="I30" s="266"/>
      <c r="J30" s="267"/>
      <c r="K30" s="266"/>
      <c r="L30" s="266"/>
      <c r="M30" s="432"/>
      <c r="N30" s="267"/>
      <c r="O30" s="377"/>
    </row>
    <row r="31" s="277" customFormat="1" ht="55.5" customHeight="1" spans="1:26">
      <c r="A31" s="378" t="s">
        <v>90</v>
      </c>
      <c r="B31" s="379" t="s">
        <v>91</v>
      </c>
      <c r="C31" s="380" t="s">
        <v>92</v>
      </c>
      <c r="D31" s="379" t="s">
        <v>26</v>
      </c>
      <c r="E31" s="379" t="s">
        <v>28</v>
      </c>
      <c r="F31" s="379" t="s">
        <v>29</v>
      </c>
      <c r="G31" s="379"/>
      <c r="H31" s="379" t="s">
        <v>93</v>
      </c>
      <c r="I31" s="379" t="s">
        <v>94</v>
      </c>
      <c r="J31" s="379" t="s">
        <v>95</v>
      </c>
      <c r="K31" s="379" t="s">
        <v>96</v>
      </c>
      <c r="L31" s="382" t="s">
        <v>97</v>
      </c>
      <c r="M31" s="433" t="s">
        <v>98</v>
      </c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</row>
    <row r="32" s="278" customFormat="1" ht="56.25" customHeight="1" spans="1:26">
      <c r="A32" s="387">
        <v>1</v>
      </c>
      <c r="B32" s="384" t="s">
        <v>34</v>
      </c>
      <c r="C32" s="219" t="s">
        <v>36</v>
      </c>
      <c r="D32" s="384">
        <v>1051120</v>
      </c>
      <c r="E32" s="384" t="s">
        <v>37</v>
      </c>
      <c r="F32" s="384" t="s">
        <v>38</v>
      </c>
      <c r="G32" s="384" t="s">
        <v>99</v>
      </c>
      <c r="H32" s="390" t="s">
        <v>35</v>
      </c>
      <c r="I32" s="386">
        <f>412+8</f>
        <v>420</v>
      </c>
      <c r="J32" s="384" t="s">
        <v>39</v>
      </c>
      <c r="K32" s="387">
        <f>L32-1.4</f>
        <v>29.45</v>
      </c>
      <c r="L32" s="387">
        <v>30.85</v>
      </c>
      <c r="M32" s="387">
        <v>0.11</v>
      </c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9"/>
    </row>
    <row r="33" s="278" customFormat="1" ht="56.25" customHeight="1" spans="1:26">
      <c r="A33" s="391"/>
      <c r="B33" s="384" t="s">
        <v>34</v>
      </c>
      <c r="C33" s="219" t="s">
        <v>36</v>
      </c>
      <c r="D33" s="384">
        <v>1051120</v>
      </c>
      <c r="E33" s="384" t="s">
        <v>37</v>
      </c>
      <c r="F33" s="384" t="s">
        <v>40</v>
      </c>
      <c r="G33" s="384" t="s">
        <v>100</v>
      </c>
      <c r="H33" s="390" t="s">
        <v>35</v>
      </c>
      <c r="I33" s="386">
        <f>764+15</f>
        <v>779</v>
      </c>
      <c r="J33" s="384" t="s">
        <v>39</v>
      </c>
      <c r="K33" s="391"/>
      <c r="L33" s="391"/>
      <c r="M33" s="391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9"/>
    </row>
    <row r="34" s="278" customFormat="1" ht="56.25" customHeight="1" spans="1:26">
      <c r="A34" s="387">
        <v>2</v>
      </c>
      <c r="B34" s="384" t="s">
        <v>34</v>
      </c>
      <c r="C34" s="219" t="s">
        <v>36</v>
      </c>
      <c r="D34" s="384">
        <v>1051120</v>
      </c>
      <c r="E34" s="384" t="s">
        <v>37</v>
      </c>
      <c r="F34" s="384" t="s">
        <v>41</v>
      </c>
      <c r="G34" s="384" t="s">
        <v>101</v>
      </c>
      <c r="H34" s="390" t="s">
        <v>35</v>
      </c>
      <c r="I34" s="386">
        <f>459+9</f>
        <v>468</v>
      </c>
      <c r="J34" s="384" t="s">
        <v>39</v>
      </c>
      <c r="K34" s="387">
        <f>L34-1.4</f>
        <v>24.85</v>
      </c>
      <c r="L34" s="387">
        <v>26.25</v>
      </c>
      <c r="M34" s="387">
        <v>0.11</v>
      </c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9"/>
    </row>
    <row r="35" s="278" customFormat="1" ht="56.25" customHeight="1" spans="1:26">
      <c r="A35" s="391"/>
      <c r="B35" s="384" t="s">
        <v>34</v>
      </c>
      <c r="C35" s="219" t="s">
        <v>36</v>
      </c>
      <c r="D35" s="384">
        <v>1051120</v>
      </c>
      <c r="E35" s="384" t="s">
        <v>37</v>
      </c>
      <c r="F35" s="384" t="s">
        <v>42</v>
      </c>
      <c r="G35" s="384" t="s">
        <v>102</v>
      </c>
      <c r="H35" s="390" t="s">
        <v>35</v>
      </c>
      <c r="I35" s="386">
        <f>516+10</f>
        <v>526</v>
      </c>
      <c r="J35" s="384" t="s">
        <v>39</v>
      </c>
      <c r="K35" s="391"/>
      <c r="L35" s="391"/>
      <c r="M35" s="391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9"/>
    </row>
    <row r="36" s="278" customFormat="1" ht="56.25" customHeight="1" spans="1:26">
      <c r="A36" s="387">
        <v>3</v>
      </c>
      <c r="B36" s="384" t="s">
        <v>34</v>
      </c>
      <c r="C36" s="219" t="s">
        <v>36</v>
      </c>
      <c r="D36" s="384">
        <v>1051120</v>
      </c>
      <c r="E36" s="384" t="s">
        <v>37</v>
      </c>
      <c r="F36" s="384" t="s">
        <v>43</v>
      </c>
      <c r="G36" s="384" t="s">
        <v>103</v>
      </c>
      <c r="H36" s="390" t="s">
        <v>35</v>
      </c>
      <c r="I36" s="386">
        <f>497+10</f>
        <v>507</v>
      </c>
      <c r="J36" s="384" t="s">
        <v>39</v>
      </c>
      <c r="K36" s="387">
        <f>L36-1.4</f>
        <v>26.15</v>
      </c>
      <c r="L36" s="387">
        <v>27.55</v>
      </c>
      <c r="M36" s="387">
        <v>0.11</v>
      </c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9"/>
    </row>
    <row r="37" s="278" customFormat="1" ht="56.25" customHeight="1" spans="1:26">
      <c r="A37" s="434"/>
      <c r="B37" s="384" t="s">
        <v>34</v>
      </c>
      <c r="C37" s="219" t="s">
        <v>36</v>
      </c>
      <c r="D37" s="384">
        <v>1051120</v>
      </c>
      <c r="E37" s="384" t="s">
        <v>37</v>
      </c>
      <c r="F37" s="384" t="s">
        <v>44</v>
      </c>
      <c r="G37" s="384" t="s">
        <v>104</v>
      </c>
      <c r="H37" s="390" t="s">
        <v>35</v>
      </c>
      <c r="I37" s="386">
        <f>130+3</f>
        <v>133</v>
      </c>
      <c r="J37" s="384" t="s">
        <v>39</v>
      </c>
      <c r="K37" s="434"/>
      <c r="L37" s="434"/>
      <c r="M37" s="434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9"/>
    </row>
    <row r="38" s="278" customFormat="1" ht="56.25" customHeight="1" spans="1:26">
      <c r="A38" s="434"/>
      <c r="B38" s="384" t="s">
        <v>34</v>
      </c>
      <c r="C38" s="219" t="s">
        <v>36</v>
      </c>
      <c r="D38" s="384">
        <v>1051120</v>
      </c>
      <c r="E38" s="384" t="s">
        <v>37</v>
      </c>
      <c r="F38" s="384" t="s">
        <v>45</v>
      </c>
      <c r="G38" s="384" t="s">
        <v>105</v>
      </c>
      <c r="H38" s="390" t="s">
        <v>35</v>
      </c>
      <c r="I38" s="386">
        <f>219+4</f>
        <v>223</v>
      </c>
      <c r="J38" s="384" t="s">
        <v>39</v>
      </c>
      <c r="K38" s="434"/>
      <c r="L38" s="434"/>
      <c r="M38" s="434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9"/>
    </row>
    <row r="39" s="278" customFormat="1" ht="56.25" customHeight="1" spans="1:26">
      <c r="A39" s="391"/>
      <c r="B39" s="384" t="s">
        <v>34</v>
      </c>
      <c r="C39" s="219" t="s">
        <v>36</v>
      </c>
      <c r="D39" s="384">
        <v>1051120</v>
      </c>
      <c r="E39" s="384" t="s">
        <v>37</v>
      </c>
      <c r="F39" s="384" t="s">
        <v>46</v>
      </c>
      <c r="G39" s="384" t="s">
        <v>106</v>
      </c>
      <c r="H39" s="390" t="s">
        <v>35</v>
      </c>
      <c r="I39" s="386">
        <f>155+3</f>
        <v>158</v>
      </c>
      <c r="J39" s="384" t="s">
        <v>39</v>
      </c>
      <c r="K39" s="391"/>
      <c r="L39" s="391"/>
      <c r="M39" s="391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9"/>
    </row>
    <row r="40" s="278" customFormat="1" ht="56.25" customHeight="1" spans="1:26">
      <c r="A40" s="384">
        <v>4</v>
      </c>
      <c r="B40" s="384" t="s">
        <v>34</v>
      </c>
      <c r="C40" s="219" t="s">
        <v>36</v>
      </c>
      <c r="D40" s="384">
        <v>1051120</v>
      </c>
      <c r="E40" s="384" t="s">
        <v>37</v>
      </c>
      <c r="F40" s="384" t="s">
        <v>47</v>
      </c>
      <c r="G40" s="384" t="s">
        <v>107</v>
      </c>
      <c r="H40" s="390" t="s">
        <v>35</v>
      </c>
      <c r="I40" s="386">
        <v>1100</v>
      </c>
      <c r="J40" s="384" t="s">
        <v>39</v>
      </c>
      <c r="K40" s="384">
        <f>L40-1.4</f>
        <v>27.15</v>
      </c>
      <c r="L40" s="384">
        <v>28.55</v>
      </c>
      <c r="M40" s="384">
        <v>0.11</v>
      </c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9"/>
    </row>
    <row r="41" s="278" customFormat="1" ht="56.25" customHeight="1" spans="1:26">
      <c r="A41" s="384">
        <v>5</v>
      </c>
      <c r="B41" s="384" t="s">
        <v>34</v>
      </c>
      <c r="C41" s="219" t="s">
        <v>36</v>
      </c>
      <c r="D41" s="384">
        <v>1051120</v>
      </c>
      <c r="E41" s="384" t="s">
        <v>37</v>
      </c>
      <c r="F41" s="384" t="s">
        <v>47</v>
      </c>
      <c r="G41" s="384" t="s">
        <v>107</v>
      </c>
      <c r="H41" s="390" t="s">
        <v>35</v>
      </c>
      <c r="I41" s="386">
        <f>1011+42</f>
        <v>1053</v>
      </c>
      <c r="J41" s="384" t="s">
        <v>39</v>
      </c>
      <c r="K41" s="384">
        <f>L41-1.4</f>
        <v>25.95</v>
      </c>
      <c r="L41" s="384">
        <v>27.35</v>
      </c>
      <c r="M41" s="384">
        <v>0.11</v>
      </c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9"/>
    </row>
    <row r="42" s="278" customFormat="1" ht="56.25" customHeight="1" spans="1:26">
      <c r="A42" s="387">
        <v>6</v>
      </c>
      <c r="B42" s="384" t="s">
        <v>48</v>
      </c>
      <c r="C42" s="219" t="s">
        <v>36</v>
      </c>
      <c r="D42" s="384">
        <v>1051120</v>
      </c>
      <c r="E42" s="384" t="s">
        <v>37</v>
      </c>
      <c r="F42" s="384" t="s">
        <v>38</v>
      </c>
      <c r="G42" s="384" t="s">
        <v>99</v>
      </c>
      <c r="H42" s="384" t="s">
        <v>49</v>
      </c>
      <c r="I42" s="386">
        <f>160+3</f>
        <v>163</v>
      </c>
      <c r="J42" s="384" t="s">
        <v>39</v>
      </c>
      <c r="K42" s="387">
        <f>L42-1.4</f>
        <v>26.7</v>
      </c>
      <c r="L42" s="387">
        <v>28.1</v>
      </c>
      <c r="M42" s="387">
        <v>0.11</v>
      </c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9"/>
    </row>
    <row r="43" s="278" customFormat="1" ht="56.25" customHeight="1" spans="1:26">
      <c r="A43" s="434"/>
      <c r="B43" s="384" t="s">
        <v>48</v>
      </c>
      <c r="C43" s="219" t="s">
        <v>36</v>
      </c>
      <c r="D43" s="384">
        <v>1051120</v>
      </c>
      <c r="E43" s="384" t="s">
        <v>37</v>
      </c>
      <c r="F43" s="384" t="s">
        <v>41</v>
      </c>
      <c r="G43" s="384" t="s">
        <v>101</v>
      </c>
      <c r="H43" s="384" t="s">
        <v>49</v>
      </c>
      <c r="I43" s="386">
        <f>655+13</f>
        <v>668</v>
      </c>
      <c r="J43" s="384" t="s">
        <v>39</v>
      </c>
      <c r="K43" s="434"/>
      <c r="L43" s="434"/>
      <c r="M43" s="434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9"/>
    </row>
    <row r="44" s="278" customFormat="1" ht="56.25" customHeight="1" spans="1:26">
      <c r="A44" s="434"/>
      <c r="B44" s="384" t="s">
        <v>48</v>
      </c>
      <c r="C44" s="219" t="s">
        <v>36</v>
      </c>
      <c r="D44" s="384">
        <v>1051120</v>
      </c>
      <c r="E44" s="384" t="s">
        <v>37</v>
      </c>
      <c r="F44" s="384" t="s">
        <v>40</v>
      </c>
      <c r="G44" s="384" t="s">
        <v>100</v>
      </c>
      <c r="H44" s="384" t="s">
        <v>49</v>
      </c>
      <c r="I44" s="386">
        <v>300</v>
      </c>
      <c r="J44" s="384" t="s">
        <v>39</v>
      </c>
      <c r="K44" s="434"/>
      <c r="L44" s="434"/>
      <c r="M44" s="434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9"/>
    </row>
    <row r="45" s="278" customFormat="1" ht="56.25" customHeight="1" spans="1:26">
      <c r="A45" s="391"/>
      <c r="B45" s="384" t="s">
        <v>48</v>
      </c>
      <c r="C45" s="219" t="s">
        <v>36</v>
      </c>
      <c r="D45" s="384">
        <v>1051120</v>
      </c>
      <c r="E45" s="384" t="s">
        <v>37</v>
      </c>
      <c r="F45" s="384" t="s">
        <v>45</v>
      </c>
      <c r="G45" s="384" t="s">
        <v>105</v>
      </c>
      <c r="H45" s="384" t="s">
        <v>49</v>
      </c>
      <c r="I45" s="386">
        <v>20</v>
      </c>
      <c r="J45" s="384" t="s">
        <v>39</v>
      </c>
      <c r="K45" s="391"/>
      <c r="L45" s="391"/>
      <c r="M45" s="391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9"/>
    </row>
    <row r="46" s="278" customFormat="1" ht="56.25" customHeight="1" spans="1:26">
      <c r="A46" s="384">
        <v>7</v>
      </c>
      <c r="B46" s="384" t="s">
        <v>48</v>
      </c>
      <c r="C46" s="219" t="s">
        <v>36</v>
      </c>
      <c r="D46" s="384">
        <v>1051120</v>
      </c>
      <c r="E46" s="384" t="s">
        <v>37</v>
      </c>
      <c r="F46" s="384" t="s">
        <v>40</v>
      </c>
      <c r="G46" s="384" t="s">
        <v>100</v>
      </c>
      <c r="H46" s="384" t="s">
        <v>49</v>
      </c>
      <c r="I46" s="386">
        <f>1165+29</f>
        <v>1194</v>
      </c>
      <c r="J46" s="384" t="s">
        <v>39</v>
      </c>
      <c r="K46" s="384">
        <f>L46-1.4</f>
        <v>31.25</v>
      </c>
      <c r="L46" s="384">
        <v>32.65</v>
      </c>
      <c r="M46" s="384">
        <v>0.11</v>
      </c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9"/>
    </row>
    <row r="47" s="278" customFormat="1" ht="56.25" customHeight="1" spans="1:26">
      <c r="A47" s="387">
        <v>8</v>
      </c>
      <c r="B47" s="384" t="s">
        <v>48</v>
      </c>
      <c r="C47" s="219" t="s">
        <v>36</v>
      </c>
      <c r="D47" s="384">
        <v>1051120</v>
      </c>
      <c r="E47" s="384" t="s">
        <v>37</v>
      </c>
      <c r="F47" s="384" t="s">
        <v>43</v>
      </c>
      <c r="G47" s="384" t="s">
        <v>103</v>
      </c>
      <c r="H47" s="384" t="s">
        <v>49</v>
      </c>
      <c r="I47" s="386">
        <f>1044+21</f>
        <v>1065</v>
      </c>
      <c r="J47" s="384" t="s">
        <v>39</v>
      </c>
      <c r="K47" s="387">
        <f>L47-1.4</f>
        <v>27.65</v>
      </c>
      <c r="L47" s="387">
        <v>29.05</v>
      </c>
      <c r="M47" s="387">
        <v>0.11</v>
      </c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9"/>
    </row>
    <row r="48" s="278" customFormat="1" ht="56.25" customHeight="1" spans="1:26">
      <c r="A48" s="391"/>
      <c r="B48" s="384" t="s">
        <v>48</v>
      </c>
      <c r="C48" s="219" t="s">
        <v>36</v>
      </c>
      <c r="D48" s="384">
        <v>1051120</v>
      </c>
      <c r="E48" s="384" t="s">
        <v>37</v>
      </c>
      <c r="F48" s="384" t="s">
        <v>47</v>
      </c>
      <c r="G48" s="384" t="s">
        <v>107</v>
      </c>
      <c r="H48" s="384" t="s">
        <v>49</v>
      </c>
      <c r="I48" s="386">
        <v>100</v>
      </c>
      <c r="J48" s="384" t="s">
        <v>39</v>
      </c>
      <c r="K48" s="391"/>
      <c r="L48" s="391"/>
      <c r="M48" s="391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9"/>
    </row>
    <row r="49" s="278" customFormat="1" ht="56.25" customHeight="1" spans="1:26">
      <c r="A49" s="384">
        <v>9</v>
      </c>
      <c r="B49" s="384" t="s">
        <v>48</v>
      </c>
      <c r="C49" s="219" t="s">
        <v>36</v>
      </c>
      <c r="D49" s="384">
        <v>1051120</v>
      </c>
      <c r="E49" s="384" t="s">
        <v>37</v>
      </c>
      <c r="F49" s="384" t="s">
        <v>47</v>
      </c>
      <c r="G49" s="384" t="s">
        <v>107</v>
      </c>
      <c r="H49" s="384" t="s">
        <v>49</v>
      </c>
      <c r="I49" s="386">
        <f>1186+26</f>
        <v>1212</v>
      </c>
      <c r="J49" s="384" t="s">
        <v>39</v>
      </c>
      <c r="K49" s="384">
        <f>L49-1.4</f>
        <v>29.25</v>
      </c>
      <c r="L49" s="384">
        <v>30.65</v>
      </c>
      <c r="M49" s="384">
        <v>0.11</v>
      </c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9"/>
    </row>
    <row r="50" s="278" customFormat="1" ht="56.25" customHeight="1" spans="1:26">
      <c r="A50" s="387">
        <v>10</v>
      </c>
      <c r="B50" s="384" t="s">
        <v>48</v>
      </c>
      <c r="C50" s="219" t="s">
        <v>36</v>
      </c>
      <c r="D50" s="384">
        <v>1051120</v>
      </c>
      <c r="E50" s="384" t="s">
        <v>50</v>
      </c>
      <c r="F50" s="384" t="s">
        <v>38</v>
      </c>
      <c r="G50" s="384" t="s">
        <v>99</v>
      </c>
      <c r="H50" s="384" t="s">
        <v>49</v>
      </c>
      <c r="I50" s="386">
        <f>160+3</f>
        <v>163</v>
      </c>
      <c r="J50" s="384" t="s">
        <v>39</v>
      </c>
      <c r="K50" s="387">
        <f>L50-1.4</f>
        <v>26.25</v>
      </c>
      <c r="L50" s="387">
        <v>27.65</v>
      </c>
      <c r="M50" s="387">
        <v>0.11</v>
      </c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9"/>
    </row>
    <row r="51" s="278" customFormat="1" ht="56.25" customHeight="1" spans="1:26">
      <c r="A51" s="391"/>
      <c r="B51" s="384" t="s">
        <v>48</v>
      </c>
      <c r="C51" s="219" t="s">
        <v>36</v>
      </c>
      <c r="D51" s="384">
        <v>1051120</v>
      </c>
      <c r="E51" s="384" t="s">
        <v>50</v>
      </c>
      <c r="F51" s="384" t="s">
        <v>47</v>
      </c>
      <c r="G51" s="384" t="s">
        <v>107</v>
      </c>
      <c r="H51" s="384" t="s">
        <v>49</v>
      </c>
      <c r="I51" s="386">
        <f>904+38</f>
        <v>942</v>
      </c>
      <c r="J51" s="384" t="s">
        <v>39</v>
      </c>
      <c r="K51" s="391"/>
      <c r="L51" s="391"/>
      <c r="M51" s="391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9"/>
    </row>
    <row r="52" s="278" customFormat="1" ht="56.25" customHeight="1" spans="1:26">
      <c r="A52" s="384">
        <v>11</v>
      </c>
      <c r="B52" s="384" t="s">
        <v>48</v>
      </c>
      <c r="C52" s="219" t="s">
        <v>36</v>
      </c>
      <c r="D52" s="384">
        <v>1051120</v>
      </c>
      <c r="E52" s="384" t="s">
        <v>50</v>
      </c>
      <c r="F52" s="384" t="s">
        <v>47</v>
      </c>
      <c r="G52" s="384" t="s">
        <v>107</v>
      </c>
      <c r="H52" s="384" t="s">
        <v>49</v>
      </c>
      <c r="I52" s="386">
        <v>1000</v>
      </c>
      <c r="J52" s="384" t="s">
        <v>39</v>
      </c>
      <c r="K52" s="384">
        <f>L52-1.4</f>
        <v>24.15</v>
      </c>
      <c r="L52" s="384">
        <v>25.55</v>
      </c>
      <c r="M52" s="384">
        <v>0.11</v>
      </c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9"/>
    </row>
    <row r="53" s="278" customFormat="1" ht="56.25" customHeight="1" spans="1:26">
      <c r="A53" s="387">
        <v>12</v>
      </c>
      <c r="B53" s="384" t="s">
        <v>48</v>
      </c>
      <c r="C53" s="219" t="s">
        <v>36</v>
      </c>
      <c r="D53" s="384">
        <v>1051120</v>
      </c>
      <c r="E53" s="384" t="s">
        <v>50</v>
      </c>
      <c r="F53" s="384" t="s">
        <v>41</v>
      </c>
      <c r="G53" s="384" t="s">
        <v>101</v>
      </c>
      <c r="H53" s="384" t="s">
        <v>49</v>
      </c>
      <c r="I53" s="386">
        <f>558+11</f>
        <v>569</v>
      </c>
      <c r="J53" s="384" t="s">
        <v>39</v>
      </c>
      <c r="K53" s="387">
        <f>L53-1.4</f>
        <v>27.35</v>
      </c>
      <c r="L53" s="387">
        <v>28.75</v>
      </c>
      <c r="M53" s="387">
        <v>0.11</v>
      </c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9"/>
    </row>
    <row r="54" s="278" customFormat="1" ht="56.25" customHeight="1" spans="1:26">
      <c r="A54" s="391"/>
      <c r="B54" s="384" t="s">
        <v>48</v>
      </c>
      <c r="C54" s="219" t="s">
        <v>36</v>
      </c>
      <c r="D54" s="384">
        <v>1051120</v>
      </c>
      <c r="E54" s="384" t="s">
        <v>50</v>
      </c>
      <c r="F54" s="384" t="s">
        <v>40</v>
      </c>
      <c r="G54" s="384" t="s">
        <v>100</v>
      </c>
      <c r="H54" s="384" t="s">
        <v>49</v>
      </c>
      <c r="I54" s="386">
        <v>600</v>
      </c>
      <c r="J54" s="384" t="s">
        <v>39</v>
      </c>
      <c r="K54" s="391"/>
      <c r="L54" s="391"/>
      <c r="M54" s="391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9"/>
    </row>
    <row r="55" s="278" customFormat="1" ht="56.25" customHeight="1" spans="1:26">
      <c r="A55" s="384">
        <v>13</v>
      </c>
      <c r="B55" s="384" t="s">
        <v>48</v>
      </c>
      <c r="C55" s="219" t="s">
        <v>36</v>
      </c>
      <c r="D55" s="384">
        <v>1051120</v>
      </c>
      <c r="E55" s="384" t="s">
        <v>50</v>
      </c>
      <c r="F55" s="384" t="s">
        <v>40</v>
      </c>
      <c r="G55" s="384" t="s">
        <v>100</v>
      </c>
      <c r="H55" s="384" t="s">
        <v>49</v>
      </c>
      <c r="I55" s="386">
        <v>1200</v>
      </c>
      <c r="J55" s="384" t="s">
        <v>39</v>
      </c>
      <c r="K55" s="384">
        <f>L55-1.4</f>
        <v>31.1</v>
      </c>
      <c r="L55" s="384">
        <v>32.5</v>
      </c>
      <c r="M55" s="384">
        <v>0.11</v>
      </c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9"/>
    </row>
    <row r="56" s="278" customFormat="1" ht="56.25" customHeight="1" spans="1:26">
      <c r="A56" s="387">
        <v>14</v>
      </c>
      <c r="B56" s="384" t="s">
        <v>48</v>
      </c>
      <c r="C56" s="219" t="s">
        <v>36</v>
      </c>
      <c r="D56" s="384">
        <v>1051120</v>
      </c>
      <c r="E56" s="384" t="s">
        <v>50</v>
      </c>
      <c r="F56" s="384" t="s">
        <v>43</v>
      </c>
      <c r="G56" s="384" t="s">
        <v>103</v>
      </c>
      <c r="H56" s="384" t="s">
        <v>49</v>
      </c>
      <c r="I56" s="386">
        <f>779+16</f>
        <v>795</v>
      </c>
      <c r="J56" s="384" t="s">
        <v>39</v>
      </c>
      <c r="K56" s="387">
        <f>L56-1.4</f>
        <v>28.6</v>
      </c>
      <c r="L56" s="387">
        <v>30</v>
      </c>
      <c r="M56" s="387">
        <v>0.11</v>
      </c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9"/>
    </row>
    <row r="57" s="278" customFormat="1" ht="56.25" customHeight="1" spans="1:26">
      <c r="A57" s="391"/>
      <c r="B57" s="384" t="s">
        <v>48</v>
      </c>
      <c r="C57" s="219" t="s">
        <v>36</v>
      </c>
      <c r="D57" s="384">
        <v>1051120</v>
      </c>
      <c r="E57" s="384" t="s">
        <v>50</v>
      </c>
      <c r="F57" s="384" t="s">
        <v>40</v>
      </c>
      <c r="G57" s="384" t="s">
        <v>100</v>
      </c>
      <c r="H57" s="384" t="s">
        <v>49</v>
      </c>
      <c r="I57" s="386">
        <f>363+43</f>
        <v>406</v>
      </c>
      <c r="J57" s="384" t="s">
        <v>39</v>
      </c>
      <c r="K57" s="391"/>
      <c r="L57" s="391"/>
      <c r="M57" s="391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9"/>
    </row>
    <row r="58" s="278" customFormat="1" ht="56.25" customHeight="1" spans="1:26">
      <c r="A58" s="387">
        <v>15</v>
      </c>
      <c r="B58" s="384" t="s">
        <v>34</v>
      </c>
      <c r="C58" s="219" t="s">
        <v>36</v>
      </c>
      <c r="D58" s="384">
        <v>1051120</v>
      </c>
      <c r="E58" s="384" t="s">
        <v>50</v>
      </c>
      <c r="F58" s="384" t="s">
        <v>38</v>
      </c>
      <c r="G58" s="384" t="s">
        <v>99</v>
      </c>
      <c r="H58" s="390" t="s">
        <v>35</v>
      </c>
      <c r="I58" s="386">
        <f>180+4</f>
        <v>184</v>
      </c>
      <c r="J58" s="384" t="s">
        <v>39</v>
      </c>
      <c r="K58" s="387">
        <f>L58-1.4</f>
        <v>26.7</v>
      </c>
      <c r="L58" s="387">
        <v>28.1</v>
      </c>
      <c r="M58" s="387">
        <v>0.11</v>
      </c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9"/>
    </row>
    <row r="59" s="278" customFormat="1" ht="56.25" customHeight="1" spans="1:26">
      <c r="A59" s="434"/>
      <c r="B59" s="384" t="s">
        <v>34</v>
      </c>
      <c r="C59" s="219" t="s">
        <v>36</v>
      </c>
      <c r="D59" s="384">
        <v>1051120</v>
      </c>
      <c r="E59" s="384" t="s">
        <v>50</v>
      </c>
      <c r="F59" s="384" t="s">
        <v>41</v>
      </c>
      <c r="G59" s="384" t="s">
        <v>101</v>
      </c>
      <c r="H59" s="390" t="s">
        <v>35</v>
      </c>
      <c r="I59" s="386">
        <f>565+11</f>
        <v>576</v>
      </c>
      <c r="J59" s="384" t="s">
        <v>39</v>
      </c>
      <c r="K59" s="434"/>
      <c r="L59" s="434"/>
      <c r="M59" s="434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9"/>
    </row>
    <row r="60" s="278" customFormat="1" ht="56.25" customHeight="1" spans="1:26">
      <c r="A60" s="434"/>
      <c r="B60" s="384" t="s">
        <v>34</v>
      </c>
      <c r="C60" s="219" t="s">
        <v>36</v>
      </c>
      <c r="D60" s="384">
        <v>1051120</v>
      </c>
      <c r="E60" s="384" t="s">
        <v>50</v>
      </c>
      <c r="F60" s="384" t="s">
        <v>42</v>
      </c>
      <c r="G60" s="384" t="s">
        <v>102</v>
      </c>
      <c r="H60" s="390" t="s">
        <v>35</v>
      </c>
      <c r="I60" s="386">
        <f>200+4</f>
        <v>204</v>
      </c>
      <c r="J60" s="384" t="s">
        <v>39</v>
      </c>
      <c r="K60" s="434"/>
      <c r="L60" s="434"/>
      <c r="M60" s="434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9"/>
    </row>
    <row r="61" s="278" customFormat="1" ht="56.25" customHeight="1" spans="1:26">
      <c r="A61" s="434"/>
      <c r="B61" s="384" t="s">
        <v>34</v>
      </c>
      <c r="C61" s="219" t="s">
        <v>36</v>
      </c>
      <c r="D61" s="384">
        <v>1051120</v>
      </c>
      <c r="E61" s="384" t="s">
        <v>50</v>
      </c>
      <c r="F61" s="384" t="s">
        <v>44</v>
      </c>
      <c r="G61" s="384" t="s">
        <v>104</v>
      </c>
      <c r="H61" s="390" t="s">
        <v>35</v>
      </c>
      <c r="I61" s="386">
        <f>95+2</f>
        <v>97</v>
      </c>
      <c r="J61" s="384" t="s">
        <v>39</v>
      </c>
      <c r="K61" s="434"/>
      <c r="L61" s="434"/>
      <c r="M61" s="434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9"/>
    </row>
    <row r="62" s="278" customFormat="1" ht="56.25" customHeight="1" spans="1:26">
      <c r="A62" s="391"/>
      <c r="B62" s="384" t="s">
        <v>34</v>
      </c>
      <c r="C62" s="219" t="s">
        <v>36</v>
      </c>
      <c r="D62" s="384">
        <v>1051120</v>
      </c>
      <c r="E62" s="384" t="s">
        <v>50</v>
      </c>
      <c r="F62" s="384" t="s">
        <v>45</v>
      </c>
      <c r="G62" s="384" t="s">
        <v>105</v>
      </c>
      <c r="H62" s="390" t="s">
        <v>35</v>
      </c>
      <c r="I62" s="386">
        <f>95+2</f>
        <v>97</v>
      </c>
      <c r="J62" s="384" t="s">
        <v>39</v>
      </c>
      <c r="K62" s="391"/>
      <c r="L62" s="391"/>
      <c r="M62" s="391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9"/>
    </row>
    <row r="63" s="278" customFormat="1" ht="56.25" customHeight="1" spans="1:26">
      <c r="A63" s="387">
        <v>16</v>
      </c>
      <c r="B63" s="384" t="s">
        <v>34</v>
      </c>
      <c r="C63" s="219" t="s">
        <v>36</v>
      </c>
      <c r="D63" s="384">
        <v>1051120</v>
      </c>
      <c r="E63" s="384" t="s">
        <v>50</v>
      </c>
      <c r="F63" s="384" t="s">
        <v>43</v>
      </c>
      <c r="G63" s="384" t="s">
        <v>103</v>
      </c>
      <c r="H63" s="390" t="s">
        <v>35</v>
      </c>
      <c r="I63" s="386">
        <f>695+14</f>
        <v>709</v>
      </c>
      <c r="J63" s="384" t="s">
        <v>39</v>
      </c>
      <c r="K63" s="387">
        <f>L63-1.4</f>
        <v>23.3</v>
      </c>
      <c r="L63" s="387">
        <v>24.7</v>
      </c>
      <c r="M63" s="387">
        <v>0.11</v>
      </c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9"/>
    </row>
    <row r="64" s="278" customFormat="1" ht="56.25" customHeight="1" spans="1:26">
      <c r="A64" s="391"/>
      <c r="B64" s="384" t="s">
        <v>34</v>
      </c>
      <c r="C64" s="219" t="s">
        <v>36</v>
      </c>
      <c r="D64" s="384">
        <v>1051120</v>
      </c>
      <c r="E64" s="384" t="s">
        <v>50</v>
      </c>
      <c r="F64" s="384" t="s">
        <v>47</v>
      </c>
      <c r="G64" s="384" t="s">
        <v>107</v>
      </c>
      <c r="H64" s="390" t="s">
        <v>35</v>
      </c>
      <c r="I64" s="386">
        <f>239+45</f>
        <v>284</v>
      </c>
      <c r="J64" s="384" t="s">
        <v>39</v>
      </c>
      <c r="K64" s="391"/>
      <c r="L64" s="391"/>
      <c r="M64" s="391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9"/>
    </row>
    <row r="65" s="278" customFormat="1" ht="56.25" customHeight="1" spans="1:26">
      <c r="A65" s="391">
        <v>17</v>
      </c>
      <c r="B65" s="384" t="s">
        <v>34</v>
      </c>
      <c r="C65" s="219" t="s">
        <v>36</v>
      </c>
      <c r="D65" s="384">
        <v>1051120</v>
      </c>
      <c r="E65" s="384" t="s">
        <v>50</v>
      </c>
      <c r="F65" s="384" t="s">
        <v>47</v>
      </c>
      <c r="G65" s="384" t="s">
        <v>107</v>
      </c>
      <c r="H65" s="390" t="s">
        <v>35</v>
      </c>
      <c r="I65" s="386">
        <v>1000</v>
      </c>
      <c r="J65" s="384" t="s">
        <v>39</v>
      </c>
      <c r="K65" s="384">
        <f>L65-1.4</f>
        <v>24.45</v>
      </c>
      <c r="L65" s="384">
        <v>25.85</v>
      </c>
      <c r="M65" s="384">
        <v>0.11</v>
      </c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9"/>
    </row>
    <row r="66" s="278" customFormat="1" ht="56.25" customHeight="1" spans="1:26">
      <c r="A66" s="391">
        <v>18</v>
      </c>
      <c r="B66" s="384" t="s">
        <v>34</v>
      </c>
      <c r="C66" s="219" t="s">
        <v>36</v>
      </c>
      <c r="D66" s="384">
        <v>1051120</v>
      </c>
      <c r="E66" s="384" t="s">
        <v>50</v>
      </c>
      <c r="F66" s="384" t="s">
        <v>47</v>
      </c>
      <c r="G66" s="384" t="s">
        <v>107</v>
      </c>
      <c r="H66" s="390" t="s">
        <v>35</v>
      </c>
      <c r="I66" s="386">
        <v>1000</v>
      </c>
      <c r="J66" s="384" t="s">
        <v>39</v>
      </c>
      <c r="K66" s="384">
        <f>L66-1.4</f>
        <v>24.45</v>
      </c>
      <c r="L66" s="384">
        <v>25.85</v>
      </c>
      <c r="M66" s="384">
        <v>0.11</v>
      </c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9"/>
    </row>
    <row r="67" s="278" customFormat="1" ht="56.25" customHeight="1" spans="1:26">
      <c r="A67" s="391">
        <v>19</v>
      </c>
      <c r="B67" s="384" t="s">
        <v>34</v>
      </c>
      <c r="C67" s="219" t="s">
        <v>36</v>
      </c>
      <c r="D67" s="384">
        <v>1051120</v>
      </c>
      <c r="E67" s="384" t="s">
        <v>50</v>
      </c>
      <c r="F67" s="384" t="s">
        <v>40</v>
      </c>
      <c r="G67" s="384" t="s">
        <v>100</v>
      </c>
      <c r="H67" s="390" t="s">
        <v>35</v>
      </c>
      <c r="I67" s="386">
        <f>1205+24</f>
        <v>1229</v>
      </c>
      <c r="J67" s="384" t="s">
        <v>39</v>
      </c>
      <c r="K67" s="384">
        <f>L67-1.4</f>
        <v>32.25</v>
      </c>
      <c r="L67" s="384">
        <v>33.65</v>
      </c>
      <c r="M67" s="384">
        <v>0.11</v>
      </c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9"/>
    </row>
    <row r="68" s="278" customFormat="1" ht="56.25" customHeight="1" spans="1:26">
      <c r="A68" s="387">
        <v>20</v>
      </c>
      <c r="B68" s="384" t="s">
        <v>34</v>
      </c>
      <c r="C68" s="219" t="s">
        <v>36</v>
      </c>
      <c r="D68" s="384">
        <v>1051120</v>
      </c>
      <c r="E68" s="384" t="s">
        <v>51</v>
      </c>
      <c r="F68" s="384" t="s">
        <v>41</v>
      </c>
      <c r="G68" s="384" t="s">
        <v>101</v>
      </c>
      <c r="H68" s="390" t="s">
        <v>35</v>
      </c>
      <c r="I68" s="386">
        <f>715+14</f>
        <v>729</v>
      </c>
      <c r="J68" s="384" t="s">
        <v>39</v>
      </c>
      <c r="K68" s="387">
        <f>L68-1.4</f>
        <v>23.3</v>
      </c>
      <c r="L68" s="387">
        <v>24.7</v>
      </c>
      <c r="M68" s="387">
        <v>0.11</v>
      </c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9"/>
    </row>
    <row r="69" s="278" customFormat="1" ht="56.25" customHeight="1" spans="1:26">
      <c r="A69" s="391"/>
      <c r="B69" s="384" t="s">
        <v>34</v>
      </c>
      <c r="C69" s="219" t="s">
        <v>36</v>
      </c>
      <c r="D69" s="384">
        <v>1051120</v>
      </c>
      <c r="E69" s="384" t="s">
        <v>51</v>
      </c>
      <c r="F69" s="384" t="s">
        <v>42</v>
      </c>
      <c r="G69" s="384" t="s">
        <v>102</v>
      </c>
      <c r="H69" s="390" t="s">
        <v>35</v>
      </c>
      <c r="I69" s="386">
        <f>300+6</f>
        <v>306</v>
      </c>
      <c r="J69" s="384" t="s">
        <v>39</v>
      </c>
      <c r="K69" s="391"/>
      <c r="L69" s="391"/>
      <c r="M69" s="391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9"/>
    </row>
    <row r="70" s="278" customFormat="1" ht="56.25" customHeight="1" spans="1:26">
      <c r="A70" s="387">
        <v>21</v>
      </c>
      <c r="B70" s="384" t="s">
        <v>34</v>
      </c>
      <c r="C70" s="219" t="s">
        <v>36</v>
      </c>
      <c r="D70" s="384">
        <v>1051120</v>
      </c>
      <c r="E70" s="384" t="s">
        <v>51</v>
      </c>
      <c r="F70" s="384" t="s">
        <v>43</v>
      </c>
      <c r="G70" s="384" t="s">
        <v>103</v>
      </c>
      <c r="H70" s="390" t="s">
        <v>35</v>
      </c>
      <c r="I70" s="386">
        <f>917+18</f>
        <v>935</v>
      </c>
      <c r="J70" s="384" t="s">
        <v>39</v>
      </c>
      <c r="K70" s="387">
        <f>L70-1.4</f>
        <v>24.7</v>
      </c>
      <c r="L70" s="387">
        <v>26.1</v>
      </c>
      <c r="M70" s="387">
        <v>0.11</v>
      </c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9"/>
    </row>
    <row r="71" s="278" customFormat="1" ht="56.25" customHeight="1" spans="1:26">
      <c r="A71" s="391"/>
      <c r="B71" s="384" t="s">
        <v>34</v>
      </c>
      <c r="C71" s="219" t="s">
        <v>36</v>
      </c>
      <c r="D71" s="384">
        <v>1051120</v>
      </c>
      <c r="E71" s="384" t="s">
        <v>51</v>
      </c>
      <c r="F71" s="384" t="s">
        <v>45</v>
      </c>
      <c r="G71" s="384" t="s">
        <v>105</v>
      </c>
      <c r="H71" s="390" t="s">
        <v>35</v>
      </c>
      <c r="I71" s="386">
        <f>135+3</f>
        <v>138</v>
      </c>
      <c r="J71" s="384" t="s">
        <v>39</v>
      </c>
      <c r="K71" s="391"/>
      <c r="L71" s="391"/>
      <c r="M71" s="391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9"/>
    </row>
    <row r="72" s="278" customFormat="1" ht="56.25" customHeight="1" spans="1:26">
      <c r="A72" s="391">
        <v>22</v>
      </c>
      <c r="B72" s="384" t="s">
        <v>34</v>
      </c>
      <c r="C72" s="219" t="s">
        <v>36</v>
      </c>
      <c r="D72" s="384">
        <v>1051120</v>
      </c>
      <c r="E72" s="384" t="s">
        <v>51</v>
      </c>
      <c r="F72" s="384" t="s">
        <v>47</v>
      </c>
      <c r="G72" s="384" t="s">
        <v>107</v>
      </c>
      <c r="H72" s="390" t="s">
        <v>35</v>
      </c>
      <c r="I72" s="386">
        <v>1000</v>
      </c>
      <c r="J72" s="384" t="s">
        <v>39</v>
      </c>
      <c r="K72" s="384">
        <f>L72-1.4</f>
        <v>24.45</v>
      </c>
      <c r="L72" s="384">
        <v>25.85</v>
      </c>
      <c r="M72" s="384">
        <v>0.11</v>
      </c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9"/>
    </row>
    <row r="73" s="278" customFormat="1" ht="56.25" customHeight="1" spans="1:26">
      <c r="A73" s="387">
        <v>23</v>
      </c>
      <c r="B73" s="384" t="s">
        <v>34</v>
      </c>
      <c r="C73" s="219" t="s">
        <v>36</v>
      </c>
      <c r="D73" s="384">
        <v>1051120</v>
      </c>
      <c r="E73" s="384" t="s">
        <v>51</v>
      </c>
      <c r="F73" s="384" t="s">
        <v>47</v>
      </c>
      <c r="G73" s="384" t="s">
        <v>107</v>
      </c>
      <c r="H73" s="390" t="s">
        <v>35</v>
      </c>
      <c r="I73" s="386">
        <f>561+31</f>
        <v>592</v>
      </c>
      <c r="J73" s="384" t="s">
        <v>39</v>
      </c>
      <c r="K73" s="387">
        <f>L73-1.4</f>
        <v>28.9</v>
      </c>
      <c r="L73" s="387">
        <v>30.3</v>
      </c>
      <c r="M73" s="387">
        <v>0.11</v>
      </c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9"/>
    </row>
    <row r="74" s="278" customFormat="1" ht="56.25" customHeight="1" spans="1:26">
      <c r="A74" s="434"/>
      <c r="B74" s="384" t="s">
        <v>34</v>
      </c>
      <c r="C74" s="219" t="s">
        <v>36</v>
      </c>
      <c r="D74" s="384">
        <v>1051120</v>
      </c>
      <c r="E74" s="384" t="s">
        <v>51</v>
      </c>
      <c r="F74" s="384" t="s">
        <v>38</v>
      </c>
      <c r="G74" s="384" t="s">
        <v>99</v>
      </c>
      <c r="H74" s="390" t="s">
        <v>35</v>
      </c>
      <c r="I74" s="386">
        <f>410+8</f>
        <v>418</v>
      </c>
      <c r="J74" s="384" t="s">
        <v>39</v>
      </c>
      <c r="K74" s="434"/>
      <c r="L74" s="434"/>
      <c r="M74" s="434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9"/>
    </row>
    <row r="75" s="278" customFormat="1" ht="56.25" customHeight="1" spans="1:26">
      <c r="A75" s="391"/>
      <c r="B75" s="384" t="s">
        <v>34</v>
      </c>
      <c r="C75" s="219" t="s">
        <v>36</v>
      </c>
      <c r="D75" s="384">
        <v>1051120</v>
      </c>
      <c r="E75" s="384" t="s">
        <v>51</v>
      </c>
      <c r="F75" s="384" t="s">
        <v>46</v>
      </c>
      <c r="G75" s="384" t="s">
        <v>106</v>
      </c>
      <c r="H75" s="390" t="s">
        <v>35</v>
      </c>
      <c r="I75" s="386">
        <f>205+4</f>
        <v>209</v>
      </c>
      <c r="J75" s="384" t="s">
        <v>39</v>
      </c>
      <c r="K75" s="391"/>
      <c r="L75" s="391"/>
      <c r="M75" s="391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9"/>
    </row>
    <row r="76" s="278" customFormat="1" ht="56.25" customHeight="1" spans="1:26">
      <c r="A76" s="387">
        <v>24</v>
      </c>
      <c r="B76" s="384" t="s">
        <v>34</v>
      </c>
      <c r="C76" s="219" t="s">
        <v>36</v>
      </c>
      <c r="D76" s="384">
        <v>1051120</v>
      </c>
      <c r="E76" s="384" t="s">
        <v>51</v>
      </c>
      <c r="F76" s="384" t="s">
        <v>40</v>
      </c>
      <c r="G76" s="384" t="s">
        <v>100</v>
      </c>
      <c r="H76" s="390" t="s">
        <v>35</v>
      </c>
      <c r="I76" s="386">
        <f>909+18</f>
        <v>927</v>
      </c>
      <c r="J76" s="384" t="s">
        <v>39</v>
      </c>
      <c r="K76" s="387">
        <f>L76-1.4</f>
        <v>27.2</v>
      </c>
      <c r="L76" s="387">
        <v>28.6</v>
      </c>
      <c r="M76" s="387">
        <v>0.11</v>
      </c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9"/>
    </row>
    <row r="77" s="278" customFormat="1" ht="56.25" customHeight="1" spans="1:26">
      <c r="A77" s="391"/>
      <c r="B77" s="384" t="s">
        <v>34</v>
      </c>
      <c r="C77" s="219" t="s">
        <v>36</v>
      </c>
      <c r="D77" s="384">
        <v>1051120</v>
      </c>
      <c r="E77" s="384" t="s">
        <v>51</v>
      </c>
      <c r="F77" s="384" t="s">
        <v>44</v>
      </c>
      <c r="G77" s="384" t="s">
        <v>104</v>
      </c>
      <c r="H77" s="390" t="s">
        <v>35</v>
      </c>
      <c r="I77" s="386">
        <f>115+2</f>
        <v>117</v>
      </c>
      <c r="J77" s="384" t="s">
        <v>39</v>
      </c>
      <c r="K77" s="391"/>
      <c r="L77" s="391"/>
      <c r="M77" s="391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9"/>
    </row>
    <row r="78" s="278" customFormat="1" ht="56.25" customHeight="1" spans="1:26">
      <c r="A78" s="387">
        <v>25</v>
      </c>
      <c r="B78" s="384" t="s">
        <v>52</v>
      </c>
      <c r="C78" s="219" t="s">
        <v>36</v>
      </c>
      <c r="D78" s="384">
        <v>1051120</v>
      </c>
      <c r="E78" s="384" t="s">
        <v>54</v>
      </c>
      <c r="F78" s="384" t="s">
        <v>38</v>
      </c>
      <c r="G78" s="384" t="s">
        <v>108</v>
      </c>
      <c r="H78" s="384" t="s">
        <v>53</v>
      </c>
      <c r="I78" s="386">
        <f>497+10</f>
        <v>507</v>
      </c>
      <c r="J78" s="384" t="s">
        <v>39</v>
      </c>
      <c r="K78" s="387">
        <f>L78-1.4</f>
        <v>28.7</v>
      </c>
      <c r="L78" s="387">
        <v>30.1</v>
      </c>
      <c r="M78" s="387">
        <v>0.11</v>
      </c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9"/>
    </row>
    <row r="79" s="278" customFormat="1" ht="56.25" customHeight="1" spans="1:26">
      <c r="A79" s="434"/>
      <c r="B79" s="384" t="s">
        <v>52</v>
      </c>
      <c r="C79" s="219" t="s">
        <v>36</v>
      </c>
      <c r="D79" s="384">
        <v>1051120</v>
      </c>
      <c r="E79" s="384" t="s">
        <v>54</v>
      </c>
      <c r="F79" s="384" t="s">
        <v>42</v>
      </c>
      <c r="G79" s="384" t="s">
        <v>104</v>
      </c>
      <c r="H79" s="384" t="s">
        <v>53</v>
      </c>
      <c r="I79" s="386">
        <f>335+7</f>
        <v>342</v>
      </c>
      <c r="J79" s="384" t="s">
        <v>39</v>
      </c>
      <c r="K79" s="434"/>
      <c r="L79" s="434"/>
      <c r="M79" s="434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9"/>
    </row>
    <row r="80" s="278" customFormat="1" ht="56.25" customHeight="1" spans="1:26">
      <c r="A80" s="434"/>
      <c r="B80" s="384" t="s">
        <v>52</v>
      </c>
      <c r="C80" s="219" t="s">
        <v>36</v>
      </c>
      <c r="D80" s="384">
        <v>1051120</v>
      </c>
      <c r="E80" s="384" t="s">
        <v>54</v>
      </c>
      <c r="F80" s="384" t="s">
        <v>44</v>
      </c>
      <c r="G80" s="384" t="s">
        <v>107</v>
      </c>
      <c r="H80" s="384" t="s">
        <v>53</v>
      </c>
      <c r="I80" s="386">
        <f>95+2</f>
        <v>97</v>
      </c>
      <c r="J80" s="384" t="s">
        <v>39</v>
      </c>
      <c r="K80" s="434"/>
      <c r="L80" s="434"/>
      <c r="M80" s="434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9"/>
    </row>
    <row r="81" s="278" customFormat="1" ht="56.25" customHeight="1" spans="1:26">
      <c r="A81" s="434"/>
      <c r="B81" s="384" t="s">
        <v>52</v>
      </c>
      <c r="C81" s="219" t="s">
        <v>36</v>
      </c>
      <c r="D81" s="384">
        <v>1051120</v>
      </c>
      <c r="E81" s="384" t="s">
        <v>54</v>
      </c>
      <c r="F81" s="384" t="s">
        <v>45</v>
      </c>
      <c r="G81" s="384" t="s">
        <v>105</v>
      </c>
      <c r="H81" s="384" t="s">
        <v>53</v>
      </c>
      <c r="I81" s="386">
        <f>95+2</f>
        <v>97</v>
      </c>
      <c r="J81" s="384" t="s">
        <v>39</v>
      </c>
      <c r="K81" s="434"/>
      <c r="L81" s="434"/>
      <c r="M81" s="434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9"/>
    </row>
    <row r="82" s="278" customFormat="1" ht="56.25" customHeight="1" spans="1:26">
      <c r="A82" s="391"/>
      <c r="B82" s="384" t="s">
        <v>52</v>
      </c>
      <c r="C82" s="219" t="s">
        <v>36</v>
      </c>
      <c r="D82" s="384">
        <v>1051120</v>
      </c>
      <c r="E82" s="384" t="s">
        <v>54</v>
      </c>
      <c r="F82" s="384" t="s">
        <v>46</v>
      </c>
      <c r="G82" s="384" t="s">
        <v>105</v>
      </c>
      <c r="H82" s="384" t="s">
        <v>53</v>
      </c>
      <c r="I82" s="386">
        <f>145+3</f>
        <v>148</v>
      </c>
      <c r="J82" s="384" t="s">
        <v>39</v>
      </c>
      <c r="K82" s="391"/>
      <c r="L82" s="391"/>
      <c r="M82" s="391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9"/>
    </row>
    <row r="83" s="278" customFormat="1" ht="56.25" customHeight="1" spans="1:26">
      <c r="A83" s="391">
        <v>26</v>
      </c>
      <c r="B83" s="384" t="s">
        <v>52</v>
      </c>
      <c r="C83" s="219" t="s">
        <v>36</v>
      </c>
      <c r="D83" s="384">
        <v>1051120</v>
      </c>
      <c r="E83" s="384" t="s">
        <v>54</v>
      </c>
      <c r="F83" s="384" t="s">
        <v>41</v>
      </c>
      <c r="G83" s="384" t="s">
        <v>108</v>
      </c>
      <c r="H83" s="384" t="s">
        <v>53</v>
      </c>
      <c r="I83" s="386">
        <f>1092+22</f>
        <v>1114</v>
      </c>
      <c r="J83" s="384" t="s">
        <v>39</v>
      </c>
      <c r="K83" s="384">
        <f>L83-1.4</f>
        <v>22.2</v>
      </c>
      <c r="L83" s="384">
        <v>23.6</v>
      </c>
      <c r="M83" s="384">
        <v>0.11</v>
      </c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9"/>
    </row>
    <row r="84" s="278" customFormat="1" ht="56.25" customHeight="1" spans="1:26">
      <c r="A84" s="391">
        <v>27</v>
      </c>
      <c r="B84" s="384" t="s">
        <v>52</v>
      </c>
      <c r="C84" s="219" t="s">
        <v>36</v>
      </c>
      <c r="D84" s="384">
        <v>1051120</v>
      </c>
      <c r="E84" s="384" t="s">
        <v>54</v>
      </c>
      <c r="F84" s="384" t="s">
        <v>43</v>
      </c>
      <c r="G84" s="384" t="s">
        <v>109</v>
      </c>
      <c r="H84" s="384" t="s">
        <v>53</v>
      </c>
      <c r="I84" s="386">
        <f>1139+23</f>
        <v>1162</v>
      </c>
      <c r="J84" s="384" t="s">
        <v>39</v>
      </c>
      <c r="K84" s="384">
        <f>L84-1.4</f>
        <v>26.9</v>
      </c>
      <c r="L84" s="384">
        <v>28.3</v>
      </c>
      <c r="M84" s="384">
        <v>0.11</v>
      </c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9"/>
    </row>
    <row r="85" s="278" customFormat="1" ht="56.25" customHeight="1" spans="1:26">
      <c r="A85" s="391">
        <v>28</v>
      </c>
      <c r="B85" s="384" t="s">
        <v>52</v>
      </c>
      <c r="C85" s="219" t="s">
        <v>36</v>
      </c>
      <c r="D85" s="384">
        <v>1051120</v>
      </c>
      <c r="E85" s="384" t="s">
        <v>54</v>
      </c>
      <c r="F85" s="384" t="s">
        <v>47</v>
      </c>
      <c r="G85" s="384" t="s">
        <v>109</v>
      </c>
      <c r="H85" s="384" t="s">
        <v>53</v>
      </c>
      <c r="I85" s="386">
        <f>990+20</f>
        <v>1010</v>
      </c>
      <c r="J85" s="384" t="s">
        <v>39</v>
      </c>
      <c r="K85" s="384">
        <f>L85-1.4</f>
        <v>23.65</v>
      </c>
      <c r="L85" s="384">
        <v>25.05</v>
      </c>
      <c r="M85" s="384">
        <v>0.11</v>
      </c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9"/>
    </row>
    <row r="86" s="278" customFormat="1" ht="56.25" customHeight="1" spans="1:26">
      <c r="A86" s="391">
        <v>29</v>
      </c>
      <c r="B86" s="384" t="s">
        <v>52</v>
      </c>
      <c r="C86" s="219" t="s">
        <v>36</v>
      </c>
      <c r="D86" s="384">
        <v>1051120</v>
      </c>
      <c r="E86" s="384" t="s">
        <v>54</v>
      </c>
      <c r="F86" s="384" t="s">
        <v>40</v>
      </c>
      <c r="G86" s="384" t="s">
        <v>104</v>
      </c>
      <c r="H86" s="384" t="s">
        <v>53</v>
      </c>
      <c r="I86" s="386">
        <f>516+10</f>
        <v>526</v>
      </c>
      <c r="J86" s="384" t="s">
        <v>39</v>
      </c>
      <c r="K86" s="384">
        <f>L86-1.1</f>
        <v>13.85</v>
      </c>
      <c r="L86" s="384">
        <v>14.95</v>
      </c>
      <c r="M86" s="435">
        <f>65*49*20/1000000</f>
        <v>0.0637</v>
      </c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9"/>
    </row>
    <row r="87" s="278" customFormat="1" ht="56.25" customHeight="1" spans="1:26">
      <c r="A87" s="387">
        <v>30</v>
      </c>
      <c r="B87" s="384" t="s">
        <v>52</v>
      </c>
      <c r="C87" s="219" t="s">
        <v>55</v>
      </c>
      <c r="D87" s="384">
        <v>1051123</v>
      </c>
      <c r="E87" s="384" t="s">
        <v>50</v>
      </c>
      <c r="F87" s="384" t="s">
        <v>38</v>
      </c>
      <c r="G87" s="384" t="s">
        <v>108</v>
      </c>
      <c r="H87" s="384" t="s">
        <v>53</v>
      </c>
      <c r="I87" s="386">
        <f>618+12</f>
        <v>630</v>
      </c>
      <c r="J87" s="384" t="s">
        <v>39</v>
      </c>
      <c r="K87" s="387">
        <f>L87-1.4</f>
        <v>28.7</v>
      </c>
      <c r="L87" s="387">
        <v>30.1</v>
      </c>
      <c r="M87" s="387">
        <v>0.11</v>
      </c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9"/>
    </row>
    <row r="88" s="278" customFormat="1" ht="56.25" customHeight="1" spans="1:26">
      <c r="A88" s="391"/>
      <c r="B88" s="384" t="s">
        <v>52</v>
      </c>
      <c r="C88" s="219" t="s">
        <v>55</v>
      </c>
      <c r="D88" s="384">
        <v>1051123</v>
      </c>
      <c r="E88" s="384" t="s">
        <v>50</v>
      </c>
      <c r="F88" s="384" t="s">
        <v>42</v>
      </c>
      <c r="G88" s="384" t="s">
        <v>104</v>
      </c>
      <c r="H88" s="384" t="s">
        <v>53</v>
      </c>
      <c r="I88" s="386">
        <f>385+8</f>
        <v>393</v>
      </c>
      <c r="J88" s="384" t="s">
        <v>39</v>
      </c>
      <c r="K88" s="391"/>
      <c r="L88" s="391"/>
      <c r="M88" s="391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9"/>
    </row>
    <row r="89" s="278" customFormat="1" ht="56.25" customHeight="1" spans="1:26">
      <c r="A89" s="391">
        <v>31</v>
      </c>
      <c r="B89" s="384" t="s">
        <v>52</v>
      </c>
      <c r="C89" s="219" t="s">
        <v>55</v>
      </c>
      <c r="D89" s="384">
        <v>1051123</v>
      </c>
      <c r="E89" s="384" t="s">
        <v>50</v>
      </c>
      <c r="F89" s="384" t="s">
        <v>41</v>
      </c>
      <c r="G89" s="384" t="s">
        <v>108</v>
      </c>
      <c r="H89" s="384" t="s">
        <v>53</v>
      </c>
      <c r="I89" s="386">
        <v>1200</v>
      </c>
      <c r="J89" s="384" t="s">
        <v>39</v>
      </c>
      <c r="K89" s="384">
        <f>L89-1.4</f>
        <v>23.65</v>
      </c>
      <c r="L89" s="384">
        <v>25.05</v>
      </c>
      <c r="M89" s="384">
        <v>0.11</v>
      </c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9"/>
    </row>
    <row r="90" s="278" customFormat="1" ht="56.25" customHeight="1" spans="1:26">
      <c r="A90" s="387">
        <v>32</v>
      </c>
      <c r="B90" s="384" t="s">
        <v>52</v>
      </c>
      <c r="C90" s="219" t="s">
        <v>55</v>
      </c>
      <c r="D90" s="384">
        <v>1051123</v>
      </c>
      <c r="E90" s="384" t="s">
        <v>50</v>
      </c>
      <c r="F90" s="384" t="s">
        <v>41</v>
      </c>
      <c r="G90" s="384" t="s">
        <v>108</v>
      </c>
      <c r="H90" s="384" t="s">
        <v>53</v>
      </c>
      <c r="I90" s="386">
        <f>155+27</f>
        <v>182</v>
      </c>
      <c r="J90" s="384" t="s">
        <v>39</v>
      </c>
      <c r="K90" s="387">
        <f>L90-1.4</f>
        <v>30.85</v>
      </c>
      <c r="L90" s="387">
        <v>32.25</v>
      </c>
      <c r="M90" s="387">
        <v>0.11</v>
      </c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9"/>
    </row>
    <row r="91" s="278" customFormat="1" ht="56.25" customHeight="1" spans="1:26">
      <c r="A91" s="434"/>
      <c r="B91" s="384" t="s">
        <v>52</v>
      </c>
      <c r="C91" s="219" t="s">
        <v>55</v>
      </c>
      <c r="D91" s="384">
        <v>1051123</v>
      </c>
      <c r="E91" s="384" t="s">
        <v>50</v>
      </c>
      <c r="F91" s="384" t="s">
        <v>43</v>
      </c>
      <c r="G91" s="384" t="s">
        <v>109</v>
      </c>
      <c r="H91" s="384" t="s">
        <v>53</v>
      </c>
      <c r="I91" s="386">
        <f>128+27</f>
        <v>155</v>
      </c>
      <c r="J91" s="384" t="s">
        <v>39</v>
      </c>
      <c r="K91" s="434"/>
      <c r="L91" s="434"/>
      <c r="M91" s="434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9"/>
    </row>
    <row r="92" s="278" customFormat="1" ht="56.25" customHeight="1" spans="1:26">
      <c r="A92" s="434"/>
      <c r="B92" s="384" t="s">
        <v>52</v>
      </c>
      <c r="C92" s="219" t="s">
        <v>55</v>
      </c>
      <c r="D92" s="384">
        <v>1051123</v>
      </c>
      <c r="E92" s="384" t="s">
        <v>50</v>
      </c>
      <c r="F92" s="384" t="s">
        <v>40</v>
      </c>
      <c r="G92" s="384" t="s">
        <v>104</v>
      </c>
      <c r="H92" s="384" t="s">
        <v>53</v>
      </c>
      <c r="I92" s="386">
        <f>559+11</f>
        <v>570</v>
      </c>
      <c r="J92" s="384" t="s">
        <v>39</v>
      </c>
      <c r="K92" s="434"/>
      <c r="L92" s="434"/>
      <c r="M92" s="434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9"/>
    </row>
    <row r="93" s="278" customFormat="1" ht="56.25" customHeight="1" spans="1:26">
      <c r="A93" s="434"/>
      <c r="B93" s="384" t="s">
        <v>52</v>
      </c>
      <c r="C93" s="219" t="s">
        <v>55</v>
      </c>
      <c r="D93" s="384">
        <v>1051123</v>
      </c>
      <c r="E93" s="384" t="s">
        <v>50</v>
      </c>
      <c r="F93" s="384" t="s">
        <v>44</v>
      </c>
      <c r="G93" s="384" t="s">
        <v>107</v>
      </c>
      <c r="H93" s="384" t="s">
        <v>53</v>
      </c>
      <c r="I93" s="386">
        <v>102</v>
      </c>
      <c r="J93" s="384" t="s">
        <v>39</v>
      </c>
      <c r="K93" s="434"/>
      <c r="L93" s="434"/>
      <c r="M93" s="434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9"/>
    </row>
    <row r="94" s="278" customFormat="1" ht="56.25" customHeight="1" spans="1:26">
      <c r="A94" s="434"/>
      <c r="B94" s="384" t="s">
        <v>52</v>
      </c>
      <c r="C94" s="219" t="s">
        <v>55</v>
      </c>
      <c r="D94" s="384">
        <v>1051123</v>
      </c>
      <c r="E94" s="384" t="s">
        <v>50</v>
      </c>
      <c r="F94" s="384" t="s">
        <v>45</v>
      </c>
      <c r="G94" s="384" t="s">
        <v>105</v>
      </c>
      <c r="H94" s="384" t="s">
        <v>53</v>
      </c>
      <c r="I94" s="386">
        <v>102</v>
      </c>
      <c r="J94" s="384" t="s">
        <v>39</v>
      </c>
      <c r="K94" s="434"/>
      <c r="L94" s="434"/>
      <c r="M94" s="434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9"/>
    </row>
    <row r="95" s="278" customFormat="1" ht="56.25" customHeight="1" spans="1:26">
      <c r="A95" s="391"/>
      <c r="B95" s="384" t="s">
        <v>52</v>
      </c>
      <c r="C95" s="219" t="s">
        <v>55</v>
      </c>
      <c r="D95" s="384">
        <v>1051123</v>
      </c>
      <c r="E95" s="384" t="s">
        <v>50</v>
      </c>
      <c r="F95" s="384" t="s">
        <v>46</v>
      </c>
      <c r="G95" s="384" t="s">
        <v>105</v>
      </c>
      <c r="H95" s="384" t="s">
        <v>53</v>
      </c>
      <c r="I95" s="386">
        <f>165+3</f>
        <v>168</v>
      </c>
      <c r="J95" s="384" t="s">
        <v>39</v>
      </c>
      <c r="K95" s="391"/>
      <c r="L95" s="391"/>
      <c r="M95" s="391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9"/>
    </row>
    <row r="96" s="278" customFormat="1" ht="56.25" customHeight="1" spans="1:26">
      <c r="A96" s="384">
        <v>33</v>
      </c>
      <c r="B96" s="384" t="s">
        <v>52</v>
      </c>
      <c r="C96" s="219" t="s">
        <v>55</v>
      </c>
      <c r="D96" s="384">
        <v>1051123</v>
      </c>
      <c r="E96" s="384" t="s">
        <v>50</v>
      </c>
      <c r="F96" s="384" t="s">
        <v>43</v>
      </c>
      <c r="G96" s="384" t="s">
        <v>109</v>
      </c>
      <c r="H96" s="384" t="s">
        <v>53</v>
      </c>
      <c r="I96" s="386">
        <v>1200</v>
      </c>
      <c r="J96" s="384" t="s">
        <v>39</v>
      </c>
      <c r="K96" s="384">
        <f>L96-1.4</f>
        <v>27.7</v>
      </c>
      <c r="L96" s="384">
        <v>29.1</v>
      </c>
      <c r="M96" s="384">
        <v>0.11</v>
      </c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9"/>
    </row>
    <row r="97" s="278" customFormat="1" ht="56.25" customHeight="1" spans="1:26">
      <c r="A97" s="384">
        <v>34</v>
      </c>
      <c r="B97" s="384" t="s">
        <v>52</v>
      </c>
      <c r="C97" s="219" t="s">
        <v>55</v>
      </c>
      <c r="D97" s="384">
        <v>1051123</v>
      </c>
      <c r="E97" s="384" t="s">
        <v>50</v>
      </c>
      <c r="F97" s="384" t="s">
        <v>47</v>
      </c>
      <c r="G97" s="384" t="s">
        <v>109</v>
      </c>
      <c r="H97" s="384" t="s">
        <v>53</v>
      </c>
      <c r="I97" s="386">
        <f>1137+23</f>
        <v>1160</v>
      </c>
      <c r="J97" s="384" t="s">
        <v>39</v>
      </c>
      <c r="K97" s="384">
        <f>L97-1.4</f>
        <v>26.75</v>
      </c>
      <c r="L97" s="384">
        <v>28.15</v>
      </c>
      <c r="M97" s="384">
        <v>0.11</v>
      </c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9"/>
    </row>
    <row r="98" s="278" customFormat="1" ht="56.25" customHeight="1" spans="1:26">
      <c r="A98" s="387">
        <v>35</v>
      </c>
      <c r="B98" s="384" t="s">
        <v>48</v>
      </c>
      <c r="C98" s="219" t="s">
        <v>36</v>
      </c>
      <c r="D98" s="384">
        <v>1051120</v>
      </c>
      <c r="E98" s="384" t="s">
        <v>51</v>
      </c>
      <c r="F98" s="384" t="s">
        <v>38</v>
      </c>
      <c r="G98" s="384" t="s">
        <v>99</v>
      </c>
      <c r="H98" s="384" t="s">
        <v>49</v>
      </c>
      <c r="I98" s="386">
        <f>160+3</f>
        <v>163</v>
      </c>
      <c r="J98" s="384" t="s">
        <v>39</v>
      </c>
      <c r="K98" s="387">
        <f>L98-1.4</f>
        <v>23.55</v>
      </c>
      <c r="L98" s="387">
        <v>24.95</v>
      </c>
      <c r="M98" s="387">
        <v>0.11</v>
      </c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9"/>
    </row>
    <row r="99" s="278" customFormat="1" ht="56.25" customHeight="1" spans="1:26">
      <c r="A99" s="391"/>
      <c r="B99" s="384" t="s">
        <v>48</v>
      </c>
      <c r="C99" s="219" t="s">
        <v>36</v>
      </c>
      <c r="D99" s="384">
        <v>1051120</v>
      </c>
      <c r="E99" s="384" t="s">
        <v>51</v>
      </c>
      <c r="F99" s="384" t="s">
        <v>41</v>
      </c>
      <c r="G99" s="384" t="s">
        <v>101</v>
      </c>
      <c r="H99" s="384" t="s">
        <v>49</v>
      </c>
      <c r="I99" s="386">
        <f>935+19</f>
        <v>954</v>
      </c>
      <c r="J99" s="384" t="s">
        <v>39</v>
      </c>
      <c r="K99" s="391"/>
      <c r="L99" s="391"/>
      <c r="M99" s="391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9"/>
    </row>
    <row r="100" s="278" customFormat="1" ht="56.25" customHeight="1" spans="1:26">
      <c r="A100" s="384">
        <v>36</v>
      </c>
      <c r="B100" s="384" t="s">
        <v>48</v>
      </c>
      <c r="C100" s="219" t="s">
        <v>36</v>
      </c>
      <c r="D100" s="384">
        <v>1051120</v>
      </c>
      <c r="E100" s="384" t="s">
        <v>51</v>
      </c>
      <c r="F100" s="384" t="s">
        <v>43</v>
      </c>
      <c r="G100" s="384" t="s">
        <v>103</v>
      </c>
      <c r="H100" s="384" t="s">
        <v>49</v>
      </c>
      <c r="I100" s="386">
        <f>1208+24</f>
        <v>1232</v>
      </c>
      <c r="J100" s="384" t="s">
        <v>39</v>
      </c>
      <c r="K100" s="384">
        <f>L100-1.4</f>
        <v>28.4</v>
      </c>
      <c r="L100" s="384">
        <v>29.8</v>
      </c>
      <c r="M100" s="384">
        <v>0.11</v>
      </c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9"/>
    </row>
    <row r="101" s="278" customFormat="1" ht="56.25" customHeight="1" spans="1:26">
      <c r="A101" s="384">
        <v>37</v>
      </c>
      <c r="B101" s="384" t="s">
        <v>48</v>
      </c>
      <c r="C101" s="219" t="s">
        <v>36</v>
      </c>
      <c r="D101" s="384">
        <v>1051120</v>
      </c>
      <c r="E101" s="384" t="s">
        <v>51</v>
      </c>
      <c r="F101" s="384" t="s">
        <v>47</v>
      </c>
      <c r="G101" s="384" t="s">
        <v>107</v>
      </c>
      <c r="H101" s="384" t="s">
        <v>49</v>
      </c>
      <c r="I101" s="386">
        <v>1100</v>
      </c>
      <c r="J101" s="384" t="s">
        <v>39</v>
      </c>
      <c r="K101" s="384">
        <f>L101-1.4</f>
        <v>26.4</v>
      </c>
      <c r="L101" s="384">
        <v>27.8</v>
      </c>
      <c r="M101" s="384">
        <v>0.11</v>
      </c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9"/>
    </row>
    <row r="102" s="278" customFormat="1" ht="56.25" customHeight="1" spans="1:26">
      <c r="A102" s="387">
        <v>38</v>
      </c>
      <c r="B102" s="384" t="s">
        <v>48</v>
      </c>
      <c r="C102" s="219" t="s">
        <v>36</v>
      </c>
      <c r="D102" s="384">
        <v>1051120</v>
      </c>
      <c r="E102" s="384" t="s">
        <v>51</v>
      </c>
      <c r="F102" s="384" t="s">
        <v>47</v>
      </c>
      <c r="G102" s="384" t="s">
        <v>107</v>
      </c>
      <c r="H102" s="384" t="s">
        <v>49</v>
      </c>
      <c r="I102" s="386">
        <f>558+33</f>
        <v>591</v>
      </c>
      <c r="J102" s="384" t="s">
        <v>39</v>
      </c>
      <c r="K102" s="387">
        <f>L102-1.4</f>
        <v>28.6</v>
      </c>
      <c r="L102" s="387">
        <v>30</v>
      </c>
      <c r="M102" s="387">
        <v>0.11</v>
      </c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9"/>
    </row>
    <row r="103" s="278" customFormat="1" ht="56.25" customHeight="1" spans="1:26">
      <c r="A103" s="391"/>
      <c r="B103" s="384" t="s">
        <v>48</v>
      </c>
      <c r="C103" s="219" t="s">
        <v>36</v>
      </c>
      <c r="D103" s="384">
        <v>1051120</v>
      </c>
      <c r="E103" s="384" t="s">
        <v>51</v>
      </c>
      <c r="F103" s="384" t="s">
        <v>40</v>
      </c>
      <c r="G103" s="384" t="s">
        <v>100</v>
      </c>
      <c r="H103" s="384" t="s">
        <v>49</v>
      </c>
      <c r="I103" s="386">
        <f>503+32</f>
        <v>535</v>
      </c>
      <c r="J103" s="384" t="s">
        <v>39</v>
      </c>
      <c r="K103" s="391"/>
      <c r="L103" s="391"/>
      <c r="M103" s="391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9"/>
    </row>
    <row r="104" s="278" customFormat="1" ht="56.25" customHeight="1" spans="1:26">
      <c r="A104" s="384">
        <v>39</v>
      </c>
      <c r="B104" s="384" t="s">
        <v>48</v>
      </c>
      <c r="C104" s="219" t="s">
        <v>36</v>
      </c>
      <c r="D104" s="384">
        <v>1051120</v>
      </c>
      <c r="E104" s="384" t="s">
        <v>51</v>
      </c>
      <c r="F104" s="384" t="s">
        <v>40</v>
      </c>
      <c r="G104" s="384" t="s">
        <v>100</v>
      </c>
      <c r="H104" s="384" t="s">
        <v>49</v>
      </c>
      <c r="I104" s="386">
        <v>1100</v>
      </c>
      <c r="J104" s="384" t="s">
        <v>39</v>
      </c>
      <c r="K104" s="384">
        <f>L104-1.4</f>
        <v>28.6</v>
      </c>
      <c r="L104" s="384">
        <v>30</v>
      </c>
      <c r="M104" s="384">
        <v>0.11</v>
      </c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9"/>
    </row>
    <row r="105" s="278" customFormat="1" ht="56.25" customHeight="1" spans="1:26">
      <c r="A105" s="387">
        <v>40</v>
      </c>
      <c r="B105" s="384" t="s">
        <v>52</v>
      </c>
      <c r="C105" s="219" t="s">
        <v>56</v>
      </c>
      <c r="D105" s="384">
        <v>1051121</v>
      </c>
      <c r="E105" s="384" t="s">
        <v>57</v>
      </c>
      <c r="F105" s="384" t="s">
        <v>38</v>
      </c>
      <c r="G105" s="384" t="s">
        <v>108</v>
      </c>
      <c r="H105" s="384" t="s">
        <v>53</v>
      </c>
      <c r="I105" s="386">
        <f>563+11</f>
        <v>574</v>
      </c>
      <c r="J105" s="384" t="s">
        <v>39</v>
      </c>
      <c r="K105" s="387">
        <f>L105-1.4</f>
        <v>25.75</v>
      </c>
      <c r="L105" s="387">
        <v>27.15</v>
      </c>
      <c r="M105" s="387">
        <v>0.11</v>
      </c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9"/>
    </row>
    <row r="106" s="278" customFormat="1" ht="56.25" customHeight="1" spans="1:26">
      <c r="A106" s="391"/>
      <c r="B106" s="384" t="s">
        <v>52</v>
      </c>
      <c r="C106" s="219" t="s">
        <v>56</v>
      </c>
      <c r="D106" s="384">
        <v>1051121</v>
      </c>
      <c r="E106" s="384" t="s">
        <v>57</v>
      </c>
      <c r="F106" s="384" t="s">
        <v>40</v>
      </c>
      <c r="G106" s="384" t="s">
        <v>104</v>
      </c>
      <c r="H106" s="384" t="s">
        <v>53</v>
      </c>
      <c r="I106" s="386">
        <f>544+11</f>
        <v>555</v>
      </c>
      <c r="J106" s="384" t="s">
        <v>39</v>
      </c>
      <c r="K106" s="391"/>
      <c r="L106" s="391"/>
      <c r="M106" s="391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9"/>
    </row>
    <row r="107" s="278" customFormat="1" ht="56.25" customHeight="1" spans="1:26">
      <c r="A107" s="384">
        <v>41</v>
      </c>
      <c r="B107" s="384" t="s">
        <v>52</v>
      </c>
      <c r="C107" s="219" t="s">
        <v>56</v>
      </c>
      <c r="D107" s="384">
        <v>1051121</v>
      </c>
      <c r="E107" s="384" t="s">
        <v>57</v>
      </c>
      <c r="F107" s="384" t="s">
        <v>41</v>
      </c>
      <c r="G107" s="384" t="s">
        <v>108</v>
      </c>
      <c r="H107" s="384" t="s">
        <v>53</v>
      </c>
      <c r="I107" s="386">
        <f>1266+25</f>
        <v>1291</v>
      </c>
      <c r="J107" s="384" t="s">
        <v>39</v>
      </c>
      <c r="K107" s="384">
        <f>L107-1.4</f>
        <v>25.7</v>
      </c>
      <c r="L107" s="384">
        <v>27.1</v>
      </c>
      <c r="M107" s="384">
        <v>0.11</v>
      </c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9"/>
    </row>
    <row r="108" s="278" customFormat="1" ht="56.25" customHeight="1" spans="1:26">
      <c r="A108" s="384">
        <v>42</v>
      </c>
      <c r="B108" s="384" t="s">
        <v>52</v>
      </c>
      <c r="C108" s="219" t="s">
        <v>56</v>
      </c>
      <c r="D108" s="384">
        <v>1051121</v>
      </c>
      <c r="E108" s="384" t="s">
        <v>57</v>
      </c>
      <c r="F108" s="384" t="s">
        <v>43</v>
      </c>
      <c r="G108" s="384" t="s">
        <v>109</v>
      </c>
      <c r="H108" s="384" t="s">
        <v>53</v>
      </c>
      <c r="I108" s="386">
        <v>1000</v>
      </c>
      <c r="J108" s="384" t="s">
        <v>39</v>
      </c>
      <c r="K108" s="384">
        <f>L108-1.4</f>
        <v>23.55</v>
      </c>
      <c r="L108" s="384">
        <v>24.95</v>
      </c>
      <c r="M108" s="384">
        <v>0.11</v>
      </c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9"/>
    </row>
    <row r="109" s="278" customFormat="1" ht="56.25" customHeight="1" spans="1:26">
      <c r="A109" s="387">
        <v>43</v>
      </c>
      <c r="B109" s="384" t="s">
        <v>52</v>
      </c>
      <c r="C109" s="219" t="s">
        <v>56</v>
      </c>
      <c r="D109" s="384">
        <v>1051121</v>
      </c>
      <c r="E109" s="384" t="s">
        <v>57</v>
      </c>
      <c r="F109" s="384" t="s">
        <v>43</v>
      </c>
      <c r="G109" s="384" t="s">
        <v>109</v>
      </c>
      <c r="H109" s="384" t="s">
        <v>53</v>
      </c>
      <c r="I109" s="386">
        <f>294+26</f>
        <v>320</v>
      </c>
      <c r="J109" s="384" t="s">
        <v>39</v>
      </c>
      <c r="K109" s="387">
        <f>L109-1.4</f>
        <v>26.9</v>
      </c>
      <c r="L109" s="387">
        <v>28.3</v>
      </c>
      <c r="M109" s="387">
        <v>0.11</v>
      </c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9"/>
    </row>
    <row r="110" s="278" customFormat="1" ht="56.25" customHeight="1" spans="1:26">
      <c r="A110" s="434"/>
      <c r="B110" s="384" t="s">
        <v>52</v>
      </c>
      <c r="C110" s="219" t="s">
        <v>56</v>
      </c>
      <c r="D110" s="384">
        <v>1051121</v>
      </c>
      <c r="E110" s="384" t="s">
        <v>57</v>
      </c>
      <c r="F110" s="384" t="s">
        <v>42</v>
      </c>
      <c r="G110" s="384" t="s">
        <v>104</v>
      </c>
      <c r="H110" s="384" t="s">
        <v>53</v>
      </c>
      <c r="I110" s="386">
        <f>370+7</f>
        <v>377</v>
      </c>
      <c r="J110" s="384" t="s">
        <v>39</v>
      </c>
      <c r="K110" s="434"/>
      <c r="L110" s="434"/>
      <c r="M110" s="434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9"/>
    </row>
    <row r="111" s="278" customFormat="1" ht="56.25" customHeight="1" spans="1:26">
      <c r="A111" s="434"/>
      <c r="B111" s="384" t="s">
        <v>52</v>
      </c>
      <c r="C111" s="219" t="s">
        <v>56</v>
      </c>
      <c r="D111" s="384">
        <v>1051121</v>
      </c>
      <c r="E111" s="384" t="s">
        <v>57</v>
      </c>
      <c r="F111" s="384" t="s">
        <v>44</v>
      </c>
      <c r="G111" s="384" t="s">
        <v>107</v>
      </c>
      <c r="H111" s="384" t="s">
        <v>53</v>
      </c>
      <c r="I111" s="386">
        <v>97</v>
      </c>
      <c r="J111" s="384" t="s">
        <v>39</v>
      </c>
      <c r="K111" s="434"/>
      <c r="L111" s="434"/>
      <c r="M111" s="434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9"/>
    </row>
    <row r="112" s="278" customFormat="1" ht="56.25" customHeight="1" spans="1:26">
      <c r="A112" s="434"/>
      <c r="B112" s="384" t="s">
        <v>52</v>
      </c>
      <c r="C112" s="219" t="s">
        <v>56</v>
      </c>
      <c r="D112" s="384">
        <v>1051121</v>
      </c>
      <c r="E112" s="384" t="s">
        <v>57</v>
      </c>
      <c r="F112" s="384" t="s">
        <v>45</v>
      </c>
      <c r="G112" s="384" t="s">
        <v>105</v>
      </c>
      <c r="H112" s="384" t="s">
        <v>53</v>
      </c>
      <c r="I112" s="386">
        <v>77</v>
      </c>
      <c r="J112" s="384" t="s">
        <v>39</v>
      </c>
      <c r="K112" s="434"/>
      <c r="L112" s="434"/>
      <c r="M112" s="434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9"/>
    </row>
    <row r="113" s="278" customFormat="1" ht="56.25" customHeight="1" spans="1:26">
      <c r="A113" s="391"/>
      <c r="B113" s="384" t="s">
        <v>52</v>
      </c>
      <c r="C113" s="219" t="s">
        <v>56</v>
      </c>
      <c r="D113" s="384">
        <v>1051121</v>
      </c>
      <c r="E113" s="384" t="s">
        <v>57</v>
      </c>
      <c r="F113" s="384" t="s">
        <v>46</v>
      </c>
      <c r="G113" s="384" t="s">
        <v>105</v>
      </c>
      <c r="H113" s="384" t="s">
        <v>53</v>
      </c>
      <c r="I113" s="386">
        <v>153</v>
      </c>
      <c r="J113" s="384" t="s">
        <v>39</v>
      </c>
      <c r="K113" s="391"/>
      <c r="L113" s="391"/>
      <c r="M113" s="391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9"/>
    </row>
    <row r="114" s="278" customFormat="1" ht="56.25" customHeight="1" spans="1:26">
      <c r="A114" s="384">
        <v>44</v>
      </c>
      <c r="B114" s="384" t="s">
        <v>52</v>
      </c>
      <c r="C114" s="219" t="s">
        <v>56</v>
      </c>
      <c r="D114" s="384">
        <v>1051121</v>
      </c>
      <c r="E114" s="384" t="s">
        <v>57</v>
      </c>
      <c r="F114" s="384" t="s">
        <v>47</v>
      </c>
      <c r="G114" s="384" t="s">
        <v>109</v>
      </c>
      <c r="H114" s="384" t="s">
        <v>53</v>
      </c>
      <c r="I114" s="386">
        <f>1085+22</f>
        <v>1107</v>
      </c>
      <c r="J114" s="384" t="s">
        <v>39</v>
      </c>
      <c r="K114" s="384">
        <f>L114-1.4</f>
        <v>26.25</v>
      </c>
      <c r="L114" s="384">
        <v>27.65</v>
      </c>
      <c r="M114" s="384">
        <v>0.11</v>
      </c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9"/>
    </row>
    <row r="115" s="278" customFormat="1" ht="56.25" customHeight="1" spans="1:26">
      <c r="A115" s="384">
        <v>45</v>
      </c>
      <c r="B115" s="384" t="s">
        <v>34</v>
      </c>
      <c r="C115" s="219" t="s">
        <v>36</v>
      </c>
      <c r="D115" s="384">
        <v>1051120</v>
      </c>
      <c r="E115" s="384" t="s">
        <v>58</v>
      </c>
      <c r="F115" s="384" t="s">
        <v>38</v>
      </c>
      <c r="G115" s="384" t="s">
        <v>99</v>
      </c>
      <c r="H115" s="390" t="s">
        <v>35</v>
      </c>
      <c r="I115" s="386">
        <v>1000</v>
      </c>
      <c r="J115" s="384" t="s">
        <v>39</v>
      </c>
      <c r="K115" s="384">
        <f>L115-1.4</f>
        <v>20.9</v>
      </c>
      <c r="L115" s="384">
        <v>22.3</v>
      </c>
      <c r="M115" s="384">
        <v>0.11</v>
      </c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9"/>
    </row>
    <row r="116" s="278" customFormat="1" ht="56.25" customHeight="1" spans="1:26">
      <c r="A116" s="384">
        <v>46</v>
      </c>
      <c r="B116" s="384" t="s">
        <v>34</v>
      </c>
      <c r="C116" s="219" t="s">
        <v>36</v>
      </c>
      <c r="D116" s="384">
        <v>1051120</v>
      </c>
      <c r="E116" s="384" t="s">
        <v>58</v>
      </c>
      <c r="F116" s="384" t="s">
        <v>38</v>
      </c>
      <c r="G116" s="384" t="s">
        <v>99</v>
      </c>
      <c r="H116" s="390" t="s">
        <v>35</v>
      </c>
      <c r="I116" s="386">
        <f>1059+41</f>
        <v>1100</v>
      </c>
      <c r="J116" s="384" t="s">
        <v>39</v>
      </c>
      <c r="K116" s="384">
        <f>L116-1.4</f>
        <v>22.8</v>
      </c>
      <c r="L116" s="384">
        <v>24.2</v>
      </c>
      <c r="M116" s="384">
        <v>0.11</v>
      </c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9"/>
    </row>
    <row r="117" s="278" customFormat="1" ht="56.25" customHeight="1" spans="1:26">
      <c r="A117" s="387">
        <v>47</v>
      </c>
      <c r="B117" s="384" t="s">
        <v>34</v>
      </c>
      <c r="C117" s="219" t="s">
        <v>36</v>
      </c>
      <c r="D117" s="384">
        <v>1051120</v>
      </c>
      <c r="E117" s="384" t="s">
        <v>58</v>
      </c>
      <c r="F117" s="384" t="s">
        <v>47</v>
      </c>
      <c r="G117" s="384" t="s">
        <v>107</v>
      </c>
      <c r="H117" s="390" t="s">
        <v>35</v>
      </c>
      <c r="I117" s="386">
        <f>615+12</f>
        <v>627</v>
      </c>
      <c r="J117" s="384" t="s">
        <v>39</v>
      </c>
      <c r="K117" s="387">
        <f>L117-1.4</f>
        <v>27.4</v>
      </c>
      <c r="L117" s="387">
        <v>28.8</v>
      </c>
      <c r="M117" s="387">
        <v>0.11</v>
      </c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9"/>
    </row>
    <row r="118" s="278" customFormat="1" ht="56.25" customHeight="1" spans="1:26">
      <c r="A118" s="391"/>
      <c r="B118" s="384" t="s">
        <v>34</v>
      </c>
      <c r="C118" s="219" t="s">
        <v>36</v>
      </c>
      <c r="D118" s="384">
        <v>1051120</v>
      </c>
      <c r="E118" s="384" t="s">
        <v>58</v>
      </c>
      <c r="F118" s="384" t="s">
        <v>42</v>
      </c>
      <c r="G118" s="384" t="s">
        <v>102</v>
      </c>
      <c r="H118" s="390" t="s">
        <v>35</v>
      </c>
      <c r="I118" s="386">
        <f>377+8</f>
        <v>385</v>
      </c>
      <c r="J118" s="384" t="s">
        <v>39</v>
      </c>
      <c r="K118" s="391"/>
      <c r="L118" s="391"/>
      <c r="M118" s="391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9"/>
    </row>
    <row r="119" s="278" customFormat="1" ht="56.25" customHeight="1" spans="1:26">
      <c r="A119" s="387">
        <v>48</v>
      </c>
      <c r="B119" s="384" t="s">
        <v>34</v>
      </c>
      <c r="C119" s="219" t="s">
        <v>36</v>
      </c>
      <c r="D119" s="384">
        <v>1051120</v>
      </c>
      <c r="E119" s="384" t="s">
        <v>58</v>
      </c>
      <c r="F119" s="384" t="s">
        <v>44</v>
      </c>
      <c r="G119" s="384" t="s">
        <v>104</v>
      </c>
      <c r="H119" s="390" t="s">
        <v>35</v>
      </c>
      <c r="I119" s="386">
        <f>348+7</f>
        <v>355</v>
      </c>
      <c r="J119" s="384" t="s">
        <v>39</v>
      </c>
      <c r="K119" s="387">
        <f>L119-1.4</f>
        <v>30.4</v>
      </c>
      <c r="L119" s="387">
        <v>31.8</v>
      </c>
      <c r="M119" s="387">
        <v>0.11</v>
      </c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9"/>
    </row>
    <row r="120" s="278" customFormat="1" ht="56.25" customHeight="1" spans="1:26">
      <c r="A120" s="391"/>
      <c r="B120" s="384" t="s">
        <v>34</v>
      </c>
      <c r="C120" s="219" t="s">
        <v>36</v>
      </c>
      <c r="D120" s="384">
        <v>1051120</v>
      </c>
      <c r="E120" s="384" t="s">
        <v>58</v>
      </c>
      <c r="F120" s="384" t="s">
        <v>45</v>
      </c>
      <c r="G120" s="384" t="s">
        <v>105</v>
      </c>
      <c r="H120" s="390" t="s">
        <v>35</v>
      </c>
      <c r="I120" s="386">
        <f>751+15</f>
        <v>766</v>
      </c>
      <c r="J120" s="384" t="s">
        <v>39</v>
      </c>
      <c r="K120" s="391"/>
      <c r="L120" s="391"/>
      <c r="M120" s="391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9"/>
    </row>
    <row r="121" s="278" customFormat="1" ht="56.25" customHeight="1" spans="1:26">
      <c r="A121" s="384">
        <v>49</v>
      </c>
      <c r="B121" s="384" t="s">
        <v>34</v>
      </c>
      <c r="C121" s="219" t="s">
        <v>36</v>
      </c>
      <c r="D121" s="384">
        <v>1051120</v>
      </c>
      <c r="E121" s="384" t="s">
        <v>58</v>
      </c>
      <c r="F121" s="384" t="s">
        <v>46</v>
      </c>
      <c r="G121" s="384" t="s">
        <v>106</v>
      </c>
      <c r="H121" s="390" t="s">
        <v>35</v>
      </c>
      <c r="I121" s="386">
        <f>1100+22</f>
        <v>1122</v>
      </c>
      <c r="J121" s="384" t="s">
        <v>39</v>
      </c>
      <c r="K121" s="384">
        <f>L121-1.4</f>
        <v>34.05</v>
      </c>
      <c r="L121" s="384">
        <v>35.45</v>
      </c>
      <c r="M121" s="384">
        <v>0.11</v>
      </c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9"/>
    </row>
    <row r="122" s="278" customFormat="1" ht="56.25" customHeight="1" spans="1:26">
      <c r="A122" s="387">
        <v>50</v>
      </c>
      <c r="B122" s="384" t="s">
        <v>48</v>
      </c>
      <c r="C122" s="219" t="s">
        <v>36</v>
      </c>
      <c r="D122" s="384">
        <v>1051120</v>
      </c>
      <c r="E122" s="384" t="s">
        <v>59</v>
      </c>
      <c r="F122" s="384" t="s">
        <v>38</v>
      </c>
      <c r="G122" s="384" t="s">
        <v>99</v>
      </c>
      <c r="H122" s="384" t="s">
        <v>49</v>
      </c>
      <c r="I122" s="386">
        <v>163</v>
      </c>
      <c r="J122" s="384" t="s">
        <v>39</v>
      </c>
      <c r="K122" s="387">
        <f>L122-1.4</f>
        <v>26.65</v>
      </c>
      <c r="L122" s="387">
        <v>28.05</v>
      </c>
      <c r="M122" s="387">
        <v>0.11</v>
      </c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9"/>
    </row>
    <row r="123" s="278" customFormat="1" ht="56.25" customHeight="1" spans="1:26">
      <c r="A123" s="434"/>
      <c r="B123" s="384" t="s">
        <v>48</v>
      </c>
      <c r="C123" s="219" t="s">
        <v>36</v>
      </c>
      <c r="D123" s="384">
        <v>1051120</v>
      </c>
      <c r="E123" s="384" t="s">
        <v>59</v>
      </c>
      <c r="F123" s="384" t="s">
        <v>41</v>
      </c>
      <c r="G123" s="384" t="s">
        <v>101</v>
      </c>
      <c r="H123" s="384" t="s">
        <v>49</v>
      </c>
      <c r="I123" s="386">
        <f>571+11</f>
        <v>582</v>
      </c>
      <c r="J123" s="384" t="s">
        <v>39</v>
      </c>
      <c r="K123" s="434"/>
      <c r="L123" s="434"/>
      <c r="M123" s="434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9"/>
    </row>
    <row r="124" s="278" customFormat="1" ht="56.25" customHeight="1" spans="1:26">
      <c r="A124" s="434"/>
      <c r="B124" s="384" t="s">
        <v>48</v>
      </c>
      <c r="C124" s="219" t="s">
        <v>36</v>
      </c>
      <c r="D124" s="384">
        <v>1051120</v>
      </c>
      <c r="E124" s="384" t="s">
        <v>59</v>
      </c>
      <c r="F124" s="384" t="s">
        <v>40</v>
      </c>
      <c r="G124" s="384" t="s">
        <v>100</v>
      </c>
      <c r="H124" s="384" t="s">
        <v>49</v>
      </c>
      <c r="I124" s="386">
        <f>310+30</f>
        <v>340</v>
      </c>
      <c r="J124" s="384" t="s">
        <v>39</v>
      </c>
      <c r="K124" s="434"/>
      <c r="L124" s="434"/>
      <c r="M124" s="434"/>
      <c r="N124" s="388"/>
      <c r="O124" s="388"/>
      <c r="P124" s="388"/>
      <c r="Q124" s="388"/>
      <c r="R124" s="388"/>
      <c r="S124" s="388"/>
      <c r="T124" s="388"/>
      <c r="U124" s="388"/>
      <c r="V124" s="388"/>
      <c r="W124" s="388"/>
      <c r="X124" s="388"/>
      <c r="Y124" s="388"/>
      <c r="Z124" s="389"/>
    </row>
    <row r="125" s="278" customFormat="1" ht="56.25" customHeight="1" spans="1:26">
      <c r="A125" s="391"/>
      <c r="B125" s="384" t="s">
        <v>48</v>
      </c>
      <c r="C125" s="219" t="s">
        <v>36</v>
      </c>
      <c r="D125" s="384">
        <v>1051120</v>
      </c>
      <c r="E125" s="384" t="s">
        <v>59</v>
      </c>
      <c r="F125" s="384" t="s">
        <v>46</v>
      </c>
      <c r="G125" s="384" t="s">
        <v>106</v>
      </c>
      <c r="H125" s="384" t="s">
        <v>49</v>
      </c>
      <c r="I125" s="386">
        <v>36</v>
      </c>
      <c r="J125" s="384" t="s">
        <v>39</v>
      </c>
      <c r="K125" s="391"/>
      <c r="L125" s="391"/>
      <c r="M125" s="391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9"/>
    </row>
    <row r="126" s="278" customFormat="1" ht="56.25" customHeight="1" spans="1:26">
      <c r="A126" s="387">
        <v>51</v>
      </c>
      <c r="B126" s="384" t="s">
        <v>48</v>
      </c>
      <c r="C126" s="219" t="s">
        <v>36</v>
      </c>
      <c r="D126" s="384">
        <v>1051120</v>
      </c>
      <c r="E126" s="384" t="s">
        <v>59</v>
      </c>
      <c r="F126" s="384" t="s">
        <v>43</v>
      </c>
      <c r="G126" s="384" t="s">
        <v>103</v>
      </c>
      <c r="H126" s="384" t="s">
        <v>49</v>
      </c>
      <c r="I126" s="386">
        <f>931+19</f>
        <v>950</v>
      </c>
      <c r="J126" s="384" t="s">
        <v>39</v>
      </c>
      <c r="K126" s="387">
        <f>L126-1.4</f>
        <v>29.75</v>
      </c>
      <c r="L126" s="387">
        <v>31.15</v>
      </c>
      <c r="M126" s="387">
        <v>0.11</v>
      </c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9"/>
    </row>
    <row r="127" s="278" customFormat="1" ht="56.25" customHeight="1" spans="1:26">
      <c r="A127" s="391"/>
      <c r="B127" s="384" t="s">
        <v>48</v>
      </c>
      <c r="C127" s="219" t="s">
        <v>36</v>
      </c>
      <c r="D127" s="384">
        <v>1051120</v>
      </c>
      <c r="E127" s="384" t="s">
        <v>59</v>
      </c>
      <c r="F127" s="384" t="s">
        <v>47</v>
      </c>
      <c r="G127" s="384" t="s">
        <v>107</v>
      </c>
      <c r="H127" s="384" t="s">
        <v>49</v>
      </c>
      <c r="I127" s="386">
        <f>241+27</f>
        <v>268</v>
      </c>
      <c r="J127" s="384" t="s">
        <v>39</v>
      </c>
      <c r="K127" s="391"/>
      <c r="L127" s="391"/>
      <c r="M127" s="391"/>
      <c r="N127" s="388"/>
      <c r="O127" s="388"/>
      <c r="P127" s="388"/>
      <c r="Q127" s="388"/>
      <c r="R127" s="388"/>
      <c r="S127" s="388"/>
      <c r="T127" s="388"/>
      <c r="U127" s="388"/>
      <c r="V127" s="388"/>
      <c r="W127" s="388"/>
      <c r="X127" s="388"/>
      <c r="Y127" s="388"/>
      <c r="Z127" s="389"/>
    </row>
    <row r="128" s="278" customFormat="1" ht="56.25" customHeight="1" spans="1:26">
      <c r="A128" s="384">
        <v>52</v>
      </c>
      <c r="B128" s="384" t="s">
        <v>48</v>
      </c>
      <c r="C128" s="219" t="s">
        <v>36</v>
      </c>
      <c r="D128" s="384">
        <v>1051120</v>
      </c>
      <c r="E128" s="384" t="s">
        <v>59</v>
      </c>
      <c r="F128" s="384" t="s">
        <v>47</v>
      </c>
      <c r="G128" s="384" t="s">
        <v>107</v>
      </c>
      <c r="H128" s="384" t="s">
        <v>49</v>
      </c>
      <c r="I128" s="386">
        <v>1100</v>
      </c>
      <c r="J128" s="384" t="s">
        <v>39</v>
      </c>
      <c r="K128" s="384">
        <f>L128-1.4</f>
        <v>27.45</v>
      </c>
      <c r="L128" s="384">
        <v>28.85</v>
      </c>
      <c r="M128" s="384">
        <v>0.11</v>
      </c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9"/>
    </row>
    <row r="129" s="278" customFormat="1" ht="56.25" customHeight="1" spans="1:26">
      <c r="A129" s="384">
        <v>53</v>
      </c>
      <c r="B129" s="384" t="s">
        <v>48</v>
      </c>
      <c r="C129" s="219" t="s">
        <v>36</v>
      </c>
      <c r="D129" s="384">
        <v>1051120</v>
      </c>
      <c r="E129" s="384" t="s">
        <v>59</v>
      </c>
      <c r="F129" s="384" t="s">
        <v>40</v>
      </c>
      <c r="G129" s="384" t="s">
        <v>100</v>
      </c>
      <c r="H129" s="384" t="s">
        <v>49</v>
      </c>
      <c r="I129" s="386">
        <v>1200</v>
      </c>
      <c r="J129" s="384" t="s">
        <v>39</v>
      </c>
      <c r="K129" s="384">
        <f>L129-1.4</f>
        <v>32.05</v>
      </c>
      <c r="L129" s="384">
        <v>33.45</v>
      </c>
      <c r="M129" s="384">
        <v>0.11</v>
      </c>
      <c r="N129" s="388"/>
      <c r="O129" s="388"/>
      <c r="P129" s="388"/>
      <c r="Q129" s="388"/>
      <c r="R129" s="388"/>
      <c r="S129" s="388"/>
      <c r="T129" s="388"/>
      <c r="U129" s="388"/>
      <c r="V129" s="388"/>
      <c r="W129" s="388"/>
      <c r="X129" s="388"/>
      <c r="Y129" s="388"/>
      <c r="Z129" s="389"/>
    </row>
    <row r="130" s="278" customFormat="1" ht="56.25" customHeight="1" spans="1:26">
      <c r="A130" s="387">
        <v>54</v>
      </c>
      <c r="B130" s="384" t="s">
        <v>52</v>
      </c>
      <c r="C130" s="219" t="s">
        <v>60</v>
      </c>
      <c r="D130" s="384">
        <v>1051122</v>
      </c>
      <c r="E130" s="384" t="s">
        <v>61</v>
      </c>
      <c r="F130" s="384" t="s">
        <v>38</v>
      </c>
      <c r="G130" s="384" t="s">
        <v>108</v>
      </c>
      <c r="H130" s="384" t="s">
        <v>53</v>
      </c>
      <c r="I130" s="386">
        <f>487+10</f>
        <v>497</v>
      </c>
      <c r="J130" s="384" t="s">
        <v>39</v>
      </c>
      <c r="K130" s="387">
        <f>L130-1.4</f>
        <v>31.5</v>
      </c>
      <c r="L130" s="387">
        <v>32.9</v>
      </c>
      <c r="M130" s="387">
        <v>0.11</v>
      </c>
      <c r="N130" s="388"/>
      <c r="O130" s="388"/>
      <c r="P130" s="388"/>
      <c r="Q130" s="388"/>
      <c r="R130" s="388"/>
      <c r="S130" s="388"/>
      <c r="T130" s="388"/>
      <c r="U130" s="388"/>
      <c r="V130" s="388"/>
      <c r="W130" s="388"/>
      <c r="X130" s="388"/>
      <c r="Y130" s="388"/>
      <c r="Z130" s="389"/>
    </row>
    <row r="131" s="278" customFormat="1" ht="56.25" customHeight="1" spans="1:26">
      <c r="A131" s="434"/>
      <c r="B131" s="384" t="s">
        <v>52</v>
      </c>
      <c r="C131" s="219" t="s">
        <v>60</v>
      </c>
      <c r="D131" s="384">
        <v>1051122</v>
      </c>
      <c r="E131" s="384" t="s">
        <v>61</v>
      </c>
      <c r="F131" s="384" t="s">
        <v>40</v>
      </c>
      <c r="G131" s="384" t="s">
        <v>104</v>
      </c>
      <c r="H131" s="384" t="s">
        <v>53</v>
      </c>
      <c r="I131" s="386">
        <f>485+10</f>
        <v>495</v>
      </c>
      <c r="J131" s="384" t="s">
        <v>39</v>
      </c>
      <c r="K131" s="434"/>
      <c r="L131" s="434"/>
      <c r="M131" s="434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9"/>
    </row>
    <row r="132" s="278" customFormat="1" ht="56.25" customHeight="1" spans="1:26">
      <c r="A132" s="391"/>
      <c r="B132" s="384" t="s">
        <v>52</v>
      </c>
      <c r="C132" s="219" t="s">
        <v>60</v>
      </c>
      <c r="D132" s="384">
        <v>1051122</v>
      </c>
      <c r="E132" s="384" t="s">
        <v>61</v>
      </c>
      <c r="F132" s="384" t="s">
        <v>42</v>
      </c>
      <c r="G132" s="384" t="s">
        <v>104</v>
      </c>
      <c r="H132" s="384" t="s">
        <v>53</v>
      </c>
      <c r="I132" s="386">
        <f>321+6</f>
        <v>327</v>
      </c>
      <c r="J132" s="384" t="s">
        <v>39</v>
      </c>
      <c r="K132" s="391"/>
      <c r="L132" s="391"/>
      <c r="M132" s="391"/>
      <c r="N132" s="388"/>
      <c r="O132" s="388"/>
      <c r="P132" s="388"/>
      <c r="Q132" s="388"/>
      <c r="R132" s="388"/>
      <c r="S132" s="388"/>
      <c r="T132" s="388"/>
      <c r="U132" s="388"/>
      <c r="V132" s="388"/>
      <c r="W132" s="388"/>
      <c r="X132" s="388"/>
      <c r="Y132" s="388"/>
      <c r="Z132" s="389"/>
    </row>
    <row r="133" s="278" customFormat="1" ht="56.25" customHeight="1" spans="1:26">
      <c r="A133" s="387">
        <v>55</v>
      </c>
      <c r="B133" s="384" t="s">
        <v>52</v>
      </c>
      <c r="C133" s="219" t="s">
        <v>60</v>
      </c>
      <c r="D133" s="384">
        <v>1051122</v>
      </c>
      <c r="E133" s="384" t="s">
        <v>61</v>
      </c>
      <c r="F133" s="384" t="s">
        <v>41</v>
      </c>
      <c r="G133" s="384" t="s">
        <v>108</v>
      </c>
      <c r="H133" s="384" t="s">
        <v>53</v>
      </c>
      <c r="I133" s="386">
        <f>1080+22</f>
        <v>1102</v>
      </c>
      <c r="J133" s="384" t="s">
        <v>39</v>
      </c>
      <c r="K133" s="387">
        <f>L133-1.4</f>
        <v>24.8</v>
      </c>
      <c r="L133" s="387">
        <v>26.2</v>
      </c>
      <c r="M133" s="387">
        <v>0.11</v>
      </c>
      <c r="N133" s="388"/>
      <c r="O133" s="388"/>
      <c r="P133" s="388"/>
      <c r="Q133" s="388"/>
      <c r="R133" s="388"/>
      <c r="S133" s="388"/>
      <c r="T133" s="388"/>
      <c r="U133" s="388"/>
      <c r="V133" s="388"/>
      <c r="W133" s="388"/>
      <c r="X133" s="388"/>
      <c r="Y133" s="388"/>
      <c r="Z133" s="389"/>
    </row>
    <row r="134" s="278" customFormat="1" ht="56.25" customHeight="1" spans="1:26">
      <c r="A134" s="391"/>
      <c r="B134" s="384" t="s">
        <v>52</v>
      </c>
      <c r="C134" s="219" t="s">
        <v>60</v>
      </c>
      <c r="D134" s="384">
        <v>1051122</v>
      </c>
      <c r="E134" s="384" t="s">
        <v>61</v>
      </c>
      <c r="F134" s="384" t="s">
        <v>44</v>
      </c>
      <c r="G134" s="384" t="s">
        <v>107</v>
      </c>
      <c r="H134" s="384" t="s">
        <v>53</v>
      </c>
      <c r="I134" s="386">
        <f>85+2</f>
        <v>87</v>
      </c>
      <c r="J134" s="384" t="s">
        <v>39</v>
      </c>
      <c r="K134" s="391"/>
      <c r="L134" s="391"/>
      <c r="M134" s="391"/>
      <c r="N134" s="388"/>
      <c r="O134" s="388"/>
      <c r="P134" s="388"/>
      <c r="Q134" s="388"/>
      <c r="R134" s="388"/>
      <c r="S134" s="388"/>
      <c r="T134" s="388"/>
      <c r="U134" s="388"/>
      <c r="V134" s="388"/>
      <c r="W134" s="388"/>
      <c r="X134" s="388"/>
      <c r="Y134" s="388"/>
      <c r="Z134" s="389"/>
    </row>
    <row r="135" s="278" customFormat="1" ht="56.25" customHeight="1" spans="1:26">
      <c r="A135" s="387">
        <v>56</v>
      </c>
      <c r="B135" s="384" t="s">
        <v>52</v>
      </c>
      <c r="C135" s="219" t="s">
        <v>60</v>
      </c>
      <c r="D135" s="384">
        <v>1051122</v>
      </c>
      <c r="E135" s="384" t="s">
        <v>61</v>
      </c>
      <c r="F135" s="384" t="s">
        <v>43</v>
      </c>
      <c r="G135" s="384" t="s">
        <v>109</v>
      </c>
      <c r="H135" s="384" t="s">
        <v>53</v>
      </c>
      <c r="I135" s="386">
        <f>1083+22</f>
        <v>1105</v>
      </c>
      <c r="J135" s="384" t="s">
        <v>39</v>
      </c>
      <c r="K135" s="387">
        <f>L135-1.4</f>
        <v>27.3</v>
      </c>
      <c r="L135" s="387">
        <v>28.7</v>
      </c>
      <c r="M135" s="387">
        <v>0.11</v>
      </c>
      <c r="N135" s="388"/>
      <c r="O135" s="388"/>
      <c r="P135" s="388"/>
      <c r="Q135" s="388"/>
      <c r="R135" s="388"/>
      <c r="S135" s="388"/>
      <c r="T135" s="388"/>
      <c r="U135" s="388"/>
      <c r="V135" s="388"/>
      <c r="W135" s="388"/>
      <c r="X135" s="388"/>
      <c r="Y135" s="388"/>
      <c r="Z135" s="389"/>
    </row>
    <row r="136" s="278" customFormat="1" ht="56.25" customHeight="1" spans="1:26">
      <c r="A136" s="391"/>
      <c r="B136" s="384" t="s">
        <v>52</v>
      </c>
      <c r="C136" s="219" t="s">
        <v>60</v>
      </c>
      <c r="D136" s="384">
        <v>1051122</v>
      </c>
      <c r="E136" s="384" t="s">
        <v>61</v>
      </c>
      <c r="F136" s="384" t="s">
        <v>45</v>
      </c>
      <c r="G136" s="384" t="s">
        <v>105</v>
      </c>
      <c r="H136" s="384" t="s">
        <v>53</v>
      </c>
      <c r="I136" s="386">
        <v>66</v>
      </c>
      <c r="J136" s="384" t="s">
        <v>39</v>
      </c>
      <c r="K136" s="391"/>
      <c r="L136" s="391"/>
      <c r="M136" s="391"/>
      <c r="N136" s="388"/>
      <c r="O136" s="388"/>
      <c r="P136" s="388"/>
      <c r="Q136" s="388"/>
      <c r="R136" s="388"/>
      <c r="S136" s="388"/>
      <c r="T136" s="388"/>
      <c r="U136" s="388"/>
      <c r="V136" s="388"/>
      <c r="W136" s="388"/>
      <c r="X136" s="388"/>
      <c r="Y136" s="388"/>
      <c r="Z136" s="389"/>
    </row>
    <row r="137" s="278" customFormat="1" ht="56.25" customHeight="1" spans="1:26">
      <c r="A137" s="387">
        <v>57</v>
      </c>
      <c r="B137" s="384" t="s">
        <v>52</v>
      </c>
      <c r="C137" s="219" t="s">
        <v>60</v>
      </c>
      <c r="D137" s="384">
        <v>1051122</v>
      </c>
      <c r="E137" s="384" t="s">
        <v>61</v>
      </c>
      <c r="F137" s="384" t="s">
        <v>47</v>
      </c>
      <c r="G137" s="384" t="s">
        <v>109</v>
      </c>
      <c r="H137" s="384" t="s">
        <v>53</v>
      </c>
      <c r="I137" s="386">
        <f>952+19</f>
        <v>971</v>
      </c>
      <c r="J137" s="384" t="s">
        <v>39</v>
      </c>
      <c r="K137" s="387">
        <f>L137-1.4</f>
        <v>26.5</v>
      </c>
      <c r="L137" s="387">
        <v>27.9</v>
      </c>
      <c r="M137" s="387">
        <v>0.11</v>
      </c>
      <c r="N137" s="388"/>
      <c r="O137" s="388"/>
      <c r="P137" s="388"/>
      <c r="Q137" s="388"/>
      <c r="R137" s="388"/>
      <c r="S137" s="388"/>
      <c r="T137" s="388"/>
      <c r="U137" s="388"/>
      <c r="V137" s="388"/>
      <c r="W137" s="388"/>
      <c r="X137" s="388"/>
      <c r="Y137" s="388"/>
      <c r="Z137" s="389"/>
    </row>
    <row r="138" s="278" customFormat="1" ht="56.25" customHeight="1" spans="1:26">
      <c r="A138" s="391"/>
      <c r="B138" s="384" t="s">
        <v>52</v>
      </c>
      <c r="C138" s="219" t="s">
        <v>60</v>
      </c>
      <c r="D138" s="384">
        <v>1051122</v>
      </c>
      <c r="E138" s="384" t="s">
        <v>61</v>
      </c>
      <c r="F138" s="384" t="s">
        <v>46</v>
      </c>
      <c r="G138" s="384" t="s">
        <v>105</v>
      </c>
      <c r="H138" s="384" t="s">
        <v>53</v>
      </c>
      <c r="I138" s="386">
        <v>133</v>
      </c>
      <c r="J138" s="384" t="s">
        <v>39</v>
      </c>
      <c r="K138" s="391"/>
      <c r="L138" s="391"/>
      <c r="M138" s="391"/>
      <c r="N138" s="388"/>
      <c r="O138" s="388"/>
      <c r="P138" s="388"/>
      <c r="Q138" s="388"/>
      <c r="R138" s="388"/>
      <c r="S138" s="388"/>
      <c r="T138" s="388"/>
      <c r="U138" s="388"/>
      <c r="V138" s="388"/>
      <c r="W138" s="388"/>
      <c r="X138" s="388"/>
      <c r="Y138" s="388"/>
      <c r="Z138" s="389"/>
    </row>
    <row r="139" s="278" customFormat="1" ht="56.25" customHeight="1" spans="1:26">
      <c r="A139" s="387">
        <v>58</v>
      </c>
      <c r="B139" s="384" t="s">
        <v>52</v>
      </c>
      <c r="C139" s="219" t="s">
        <v>36</v>
      </c>
      <c r="D139" s="384">
        <v>1051120</v>
      </c>
      <c r="E139" s="384" t="s">
        <v>58</v>
      </c>
      <c r="F139" s="384" t="s">
        <v>38</v>
      </c>
      <c r="G139" s="384" t="s">
        <v>108</v>
      </c>
      <c r="H139" s="384" t="s">
        <v>53</v>
      </c>
      <c r="I139" s="386">
        <f>526+11</f>
        <v>537</v>
      </c>
      <c r="J139" s="384" t="s">
        <v>39</v>
      </c>
      <c r="K139" s="387">
        <f>L139-1.4</f>
        <v>32.35</v>
      </c>
      <c r="L139" s="387">
        <v>33.75</v>
      </c>
      <c r="M139" s="387">
        <v>0.11</v>
      </c>
      <c r="N139" s="388"/>
      <c r="O139" s="388"/>
      <c r="P139" s="388"/>
      <c r="Q139" s="388"/>
      <c r="R139" s="388"/>
      <c r="S139" s="388"/>
      <c r="T139" s="388"/>
      <c r="U139" s="388"/>
      <c r="V139" s="388"/>
      <c r="W139" s="388"/>
      <c r="X139" s="388"/>
      <c r="Y139" s="388"/>
      <c r="Z139" s="389"/>
    </row>
    <row r="140" s="278" customFormat="1" ht="56.25" customHeight="1" spans="1:26">
      <c r="A140" s="434"/>
      <c r="B140" s="384" t="s">
        <v>52</v>
      </c>
      <c r="C140" s="219" t="s">
        <v>36</v>
      </c>
      <c r="D140" s="384">
        <v>1051120</v>
      </c>
      <c r="E140" s="384" t="s">
        <v>58</v>
      </c>
      <c r="F140" s="384" t="s">
        <v>40</v>
      </c>
      <c r="G140" s="384" t="s">
        <v>104</v>
      </c>
      <c r="H140" s="384" t="s">
        <v>53</v>
      </c>
      <c r="I140" s="386">
        <f>465+9</f>
        <v>474</v>
      </c>
      <c r="J140" s="384" t="s">
        <v>39</v>
      </c>
      <c r="K140" s="434"/>
      <c r="L140" s="434"/>
      <c r="M140" s="434"/>
      <c r="N140" s="388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9"/>
    </row>
    <row r="141" s="278" customFormat="1" ht="56.25" customHeight="1" spans="1:26">
      <c r="A141" s="391"/>
      <c r="B141" s="384" t="s">
        <v>52</v>
      </c>
      <c r="C141" s="219" t="s">
        <v>36</v>
      </c>
      <c r="D141" s="384">
        <v>1051120</v>
      </c>
      <c r="E141" s="384" t="s">
        <v>58</v>
      </c>
      <c r="F141" s="384" t="s">
        <v>42</v>
      </c>
      <c r="G141" s="384" t="s">
        <v>104</v>
      </c>
      <c r="H141" s="384" t="s">
        <v>53</v>
      </c>
      <c r="I141" s="386">
        <f>342+7</f>
        <v>349</v>
      </c>
      <c r="J141" s="384" t="s">
        <v>39</v>
      </c>
      <c r="K141" s="391"/>
      <c r="L141" s="391"/>
      <c r="M141" s="391"/>
      <c r="N141" s="388"/>
      <c r="O141" s="388"/>
      <c r="P141" s="388"/>
      <c r="Q141" s="388"/>
      <c r="R141" s="388"/>
      <c r="S141" s="388"/>
      <c r="T141" s="388"/>
      <c r="U141" s="388"/>
      <c r="V141" s="388"/>
      <c r="W141" s="388"/>
      <c r="X141" s="388"/>
      <c r="Y141" s="388"/>
      <c r="Z141" s="389"/>
    </row>
    <row r="142" s="278" customFormat="1" ht="56.25" customHeight="1" spans="1:26">
      <c r="A142" s="387">
        <v>59</v>
      </c>
      <c r="B142" s="384" t="s">
        <v>52</v>
      </c>
      <c r="C142" s="219" t="s">
        <v>36</v>
      </c>
      <c r="D142" s="384">
        <v>1051120</v>
      </c>
      <c r="E142" s="384" t="s">
        <v>58</v>
      </c>
      <c r="F142" s="384" t="s">
        <v>41</v>
      </c>
      <c r="G142" s="384" t="s">
        <v>108</v>
      </c>
      <c r="H142" s="384" t="s">
        <v>53</v>
      </c>
      <c r="I142" s="386">
        <v>1100</v>
      </c>
      <c r="J142" s="384" t="s">
        <v>39</v>
      </c>
      <c r="K142" s="387">
        <f>L142-1.4</f>
        <v>25.95</v>
      </c>
      <c r="L142" s="387">
        <v>27.35</v>
      </c>
      <c r="M142" s="387">
        <v>0.11</v>
      </c>
      <c r="N142" s="388"/>
      <c r="O142" s="388"/>
      <c r="P142" s="388"/>
      <c r="Q142" s="388"/>
      <c r="R142" s="388"/>
      <c r="S142" s="388"/>
      <c r="T142" s="388"/>
      <c r="U142" s="388"/>
      <c r="V142" s="388"/>
      <c r="W142" s="388"/>
      <c r="X142" s="388"/>
      <c r="Y142" s="388"/>
      <c r="Z142" s="389"/>
    </row>
    <row r="143" s="278" customFormat="1" ht="56.25" customHeight="1" spans="1:26">
      <c r="A143" s="434"/>
      <c r="B143" s="384" t="s">
        <v>52</v>
      </c>
      <c r="C143" s="219" t="s">
        <v>36</v>
      </c>
      <c r="D143" s="384">
        <v>1051120</v>
      </c>
      <c r="E143" s="384" t="s">
        <v>58</v>
      </c>
      <c r="F143" s="384" t="s">
        <v>41</v>
      </c>
      <c r="G143" s="384" t="s">
        <v>108</v>
      </c>
      <c r="H143" s="384" t="s">
        <v>53</v>
      </c>
      <c r="I143" s="386">
        <f>52+23</f>
        <v>75</v>
      </c>
      <c r="J143" s="384" t="s">
        <v>39</v>
      </c>
      <c r="K143" s="434"/>
      <c r="L143" s="434"/>
      <c r="M143" s="434"/>
      <c r="N143" s="388"/>
      <c r="O143" s="388"/>
      <c r="P143" s="388"/>
      <c r="Q143" s="388"/>
      <c r="R143" s="388"/>
      <c r="S143" s="388"/>
      <c r="T143" s="388"/>
      <c r="U143" s="388"/>
      <c r="V143" s="388"/>
      <c r="W143" s="388"/>
      <c r="X143" s="388"/>
      <c r="Y143" s="388"/>
      <c r="Z143" s="389"/>
    </row>
    <row r="144" s="278" customFormat="1" ht="56.25" customHeight="1" spans="1:26">
      <c r="A144" s="391"/>
      <c r="B144" s="384" t="s">
        <v>52</v>
      </c>
      <c r="C144" s="219" t="s">
        <v>36</v>
      </c>
      <c r="D144" s="384">
        <v>1051120</v>
      </c>
      <c r="E144" s="384" t="s">
        <v>58</v>
      </c>
      <c r="F144" s="384" t="s">
        <v>45</v>
      </c>
      <c r="G144" s="384" t="s">
        <v>105</v>
      </c>
      <c r="H144" s="384" t="s">
        <v>53</v>
      </c>
      <c r="I144" s="386">
        <v>87</v>
      </c>
      <c r="J144" s="384" t="s">
        <v>39</v>
      </c>
      <c r="K144" s="391"/>
      <c r="L144" s="391"/>
      <c r="M144" s="391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9"/>
    </row>
    <row r="145" s="278" customFormat="1" ht="56.25" customHeight="1" spans="1:26">
      <c r="A145" s="387">
        <v>60</v>
      </c>
      <c r="B145" s="384" t="s">
        <v>52</v>
      </c>
      <c r="C145" s="219" t="s">
        <v>36</v>
      </c>
      <c r="D145" s="384">
        <v>1051120</v>
      </c>
      <c r="E145" s="384" t="s">
        <v>58</v>
      </c>
      <c r="F145" s="384" t="s">
        <v>43</v>
      </c>
      <c r="G145" s="384" t="s">
        <v>109</v>
      </c>
      <c r="H145" s="384" t="s">
        <v>53</v>
      </c>
      <c r="I145" s="386">
        <v>1150</v>
      </c>
      <c r="J145" s="384" t="s">
        <v>39</v>
      </c>
      <c r="K145" s="387">
        <f>L145-1.4</f>
        <v>29.85</v>
      </c>
      <c r="L145" s="387">
        <v>31.25</v>
      </c>
      <c r="M145" s="387">
        <v>0.11</v>
      </c>
      <c r="N145" s="388"/>
      <c r="O145" s="388"/>
      <c r="P145" s="388"/>
      <c r="Q145" s="388"/>
      <c r="R145" s="388"/>
      <c r="S145" s="388"/>
      <c r="T145" s="388"/>
      <c r="U145" s="388"/>
      <c r="V145" s="388"/>
      <c r="W145" s="388"/>
      <c r="X145" s="388"/>
      <c r="Y145" s="388"/>
      <c r="Z145" s="389"/>
    </row>
    <row r="146" s="278" customFormat="1" ht="56.25" customHeight="1" spans="1:26">
      <c r="A146" s="434"/>
      <c r="B146" s="384" t="s">
        <v>52</v>
      </c>
      <c r="C146" s="219" t="s">
        <v>36</v>
      </c>
      <c r="D146" s="384">
        <v>1051120</v>
      </c>
      <c r="E146" s="384" t="s">
        <v>58</v>
      </c>
      <c r="F146" s="384" t="s">
        <v>43</v>
      </c>
      <c r="G146" s="384" t="s">
        <v>109</v>
      </c>
      <c r="H146" s="384" t="s">
        <v>53</v>
      </c>
      <c r="I146" s="386">
        <v>23</v>
      </c>
      <c r="J146" s="384" t="s">
        <v>39</v>
      </c>
      <c r="K146" s="434"/>
      <c r="L146" s="434"/>
      <c r="M146" s="434"/>
      <c r="N146" s="388"/>
      <c r="O146" s="388"/>
      <c r="P146" s="388"/>
      <c r="Q146" s="388"/>
      <c r="R146" s="388"/>
      <c r="S146" s="388"/>
      <c r="T146" s="388"/>
      <c r="U146" s="388"/>
      <c r="V146" s="388"/>
      <c r="W146" s="388"/>
      <c r="X146" s="388"/>
      <c r="Y146" s="388"/>
      <c r="Z146" s="389"/>
    </row>
    <row r="147" s="278" customFormat="1" ht="56.25" customHeight="1" spans="1:26">
      <c r="A147" s="391"/>
      <c r="B147" s="384" t="s">
        <v>52</v>
      </c>
      <c r="C147" s="219" t="s">
        <v>36</v>
      </c>
      <c r="D147" s="384">
        <v>1051120</v>
      </c>
      <c r="E147" s="384" t="s">
        <v>58</v>
      </c>
      <c r="F147" s="384" t="s">
        <v>44</v>
      </c>
      <c r="G147" s="384" t="s">
        <v>107</v>
      </c>
      <c r="H147" s="384" t="s">
        <v>53</v>
      </c>
      <c r="I147" s="386">
        <v>97</v>
      </c>
      <c r="J147" s="384" t="s">
        <v>39</v>
      </c>
      <c r="K147" s="391"/>
      <c r="L147" s="391"/>
      <c r="M147" s="391"/>
      <c r="N147" s="388"/>
      <c r="O147" s="388"/>
      <c r="P147" s="388"/>
      <c r="Q147" s="388"/>
      <c r="R147" s="388"/>
      <c r="S147" s="388"/>
      <c r="T147" s="388"/>
      <c r="U147" s="388"/>
      <c r="V147" s="388"/>
      <c r="W147" s="388"/>
      <c r="X147" s="388"/>
      <c r="Y147" s="388"/>
      <c r="Z147" s="389"/>
    </row>
    <row r="148" s="278" customFormat="1" ht="56.25" customHeight="1" spans="1:26">
      <c r="A148" s="387">
        <v>61</v>
      </c>
      <c r="B148" s="384" t="s">
        <v>52</v>
      </c>
      <c r="C148" s="219" t="s">
        <v>36</v>
      </c>
      <c r="D148" s="384">
        <v>1051120</v>
      </c>
      <c r="E148" s="384" t="s">
        <v>58</v>
      </c>
      <c r="F148" s="384" t="s">
        <v>47</v>
      </c>
      <c r="G148" s="384" t="s">
        <v>109</v>
      </c>
      <c r="H148" s="384" t="s">
        <v>53</v>
      </c>
      <c r="I148" s="386">
        <v>977</v>
      </c>
      <c r="J148" s="384" t="s">
        <v>39</v>
      </c>
      <c r="K148" s="387">
        <f>L148-1.4</f>
        <v>27.8</v>
      </c>
      <c r="L148" s="387">
        <v>29.2</v>
      </c>
      <c r="M148" s="387">
        <v>0.11</v>
      </c>
      <c r="N148" s="388"/>
      <c r="O148" s="388"/>
      <c r="P148" s="388"/>
      <c r="Q148" s="388"/>
      <c r="R148" s="388"/>
      <c r="S148" s="388"/>
      <c r="T148" s="388"/>
      <c r="U148" s="388"/>
      <c r="V148" s="388"/>
      <c r="W148" s="388"/>
      <c r="X148" s="388"/>
      <c r="Y148" s="388"/>
      <c r="Z148" s="389"/>
    </row>
    <row r="149" s="278" customFormat="1" ht="56.25" customHeight="1" spans="1:26">
      <c r="A149" s="434"/>
      <c r="B149" s="384" t="s">
        <v>52</v>
      </c>
      <c r="C149" s="219" t="s">
        <v>36</v>
      </c>
      <c r="D149" s="384">
        <v>1051120</v>
      </c>
      <c r="E149" s="384" t="s">
        <v>58</v>
      </c>
      <c r="F149" s="384" t="s">
        <v>47</v>
      </c>
      <c r="G149" s="384" t="s">
        <v>109</v>
      </c>
      <c r="H149" s="384" t="s">
        <v>53</v>
      </c>
      <c r="I149" s="386">
        <v>20</v>
      </c>
      <c r="J149" s="384" t="s">
        <v>39</v>
      </c>
      <c r="K149" s="434"/>
      <c r="L149" s="434"/>
      <c r="M149" s="434"/>
      <c r="N149" s="388"/>
      <c r="O149" s="388"/>
      <c r="P149" s="388"/>
      <c r="Q149" s="388"/>
      <c r="R149" s="388"/>
      <c r="S149" s="388"/>
      <c r="T149" s="388"/>
      <c r="U149" s="388"/>
      <c r="V149" s="388"/>
      <c r="W149" s="388"/>
      <c r="X149" s="388"/>
      <c r="Y149" s="388"/>
      <c r="Z149" s="389"/>
    </row>
    <row r="150" s="278" customFormat="1" ht="56.25" customHeight="1" spans="1:26">
      <c r="A150" s="391"/>
      <c r="B150" s="384" t="s">
        <v>52</v>
      </c>
      <c r="C150" s="219" t="s">
        <v>36</v>
      </c>
      <c r="D150" s="384">
        <v>1051120</v>
      </c>
      <c r="E150" s="384" t="s">
        <v>58</v>
      </c>
      <c r="F150" s="384" t="s">
        <v>46</v>
      </c>
      <c r="G150" s="384" t="s">
        <v>105</v>
      </c>
      <c r="H150" s="384" t="s">
        <v>53</v>
      </c>
      <c r="I150" s="386">
        <v>138</v>
      </c>
      <c r="J150" s="384" t="s">
        <v>39</v>
      </c>
      <c r="K150" s="391"/>
      <c r="L150" s="391"/>
      <c r="M150" s="391"/>
      <c r="N150" s="388"/>
      <c r="O150" s="388"/>
      <c r="P150" s="388"/>
      <c r="Q150" s="388"/>
      <c r="R150" s="388"/>
      <c r="S150" s="388"/>
      <c r="T150" s="388"/>
      <c r="U150" s="388"/>
      <c r="V150" s="388"/>
      <c r="W150" s="388"/>
      <c r="X150" s="388"/>
      <c r="Y150" s="388"/>
      <c r="Z150" s="389"/>
    </row>
    <row r="151" s="278" customFormat="1" ht="56.25" customHeight="1" spans="1:26">
      <c r="A151" s="387">
        <v>62</v>
      </c>
      <c r="B151" s="384" t="s">
        <v>34</v>
      </c>
      <c r="C151" s="219" t="s">
        <v>36</v>
      </c>
      <c r="D151" s="384">
        <v>1051120</v>
      </c>
      <c r="E151" s="384" t="s">
        <v>57</v>
      </c>
      <c r="F151" s="384" t="s">
        <v>38</v>
      </c>
      <c r="G151" s="384" t="s">
        <v>99</v>
      </c>
      <c r="H151" s="390" t="s">
        <v>35</v>
      </c>
      <c r="I151" s="386">
        <f>422+8</f>
        <v>430</v>
      </c>
      <c r="J151" s="384" t="s">
        <v>39</v>
      </c>
      <c r="K151" s="387">
        <f>L151-1.4</f>
        <v>23.55</v>
      </c>
      <c r="L151" s="387">
        <v>24.95</v>
      </c>
      <c r="M151" s="387">
        <v>0.11</v>
      </c>
      <c r="N151" s="388"/>
      <c r="O151" s="388"/>
      <c r="P151" s="388"/>
      <c r="Q151" s="388"/>
      <c r="R151" s="388"/>
      <c r="S151" s="388"/>
      <c r="T151" s="388"/>
      <c r="U151" s="388"/>
      <c r="V151" s="388"/>
      <c r="W151" s="388"/>
      <c r="X151" s="388"/>
      <c r="Y151" s="388"/>
      <c r="Z151" s="389"/>
    </row>
    <row r="152" s="278" customFormat="1" ht="56.25" customHeight="1" spans="1:26">
      <c r="A152" s="434"/>
      <c r="B152" s="384" t="s">
        <v>34</v>
      </c>
      <c r="C152" s="219" t="s">
        <v>36</v>
      </c>
      <c r="D152" s="384">
        <v>1051120</v>
      </c>
      <c r="E152" s="384" t="s">
        <v>57</v>
      </c>
      <c r="F152" s="384" t="s">
        <v>42</v>
      </c>
      <c r="G152" s="384" t="s">
        <v>102</v>
      </c>
      <c r="H152" s="390" t="s">
        <v>35</v>
      </c>
      <c r="I152" s="386">
        <f>272+5</f>
        <v>277</v>
      </c>
      <c r="J152" s="384" t="s">
        <v>39</v>
      </c>
      <c r="K152" s="434"/>
      <c r="L152" s="434"/>
      <c r="M152" s="434"/>
      <c r="N152" s="388"/>
      <c r="O152" s="388"/>
      <c r="P152" s="388"/>
      <c r="Q152" s="388"/>
      <c r="R152" s="388"/>
      <c r="S152" s="388"/>
      <c r="T152" s="388"/>
      <c r="U152" s="388"/>
      <c r="V152" s="388"/>
      <c r="W152" s="388"/>
      <c r="X152" s="388"/>
      <c r="Y152" s="388"/>
      <c r="Z152" s="389"/>
    </row>
    <row r="153" s="278" customFormat="1" ht="56.25" customHeight="1" spans="1:26">
      <c r="A153" s="434"/>
      <c r="B153" s="384" t="s">
        <v>34</v>
      </c>
      <c r="C153" s="219" t="s">
        <v>36</v>
      </c>
      <c r="D153" s="384">
        <v>1051120</v>
      </c>
      <c r="E153" s="384" t="s">
        <v>57</v>
      </c>
      <c r="F153" s="384" t="s">
        <v>44</v>
      </c>
      <c r="G153" s="384" t="s">
        <v>104</v>
      </c>
      <c r="H153" s="390" t="s">
        <v>35</v>
      </c>
      <c r="I153" s="386">
        <v>37</v>
      </c>
      <c r="J153" s="384" t="s">
        <v>39</v>
      </c>
      <c r="K153" s="434"/>
      <c r="L153" s="434"/>
      <c r="M153" s="434"/>
      <c r="N153" s="388"/>
      <c r="O153" s="388"/>
      <c r="P153" s="388"/>
      <c r="Q153" s="388"/>
      <c r="R153" s="388"/>
      <c r="S153" s="388"/>
      <c r="T153" s="388"/>
      <c r="U153" s="388"/>
      <c r="V153" s="388"/>
      <c r="W153" s="388"/>
      <c r="X153" s="388"/>
      <c r="Y153" s="388"/>
      <c r="Z153" s="389"/>
    </row>
    <row r="154" s="278" customFormat="1" ht="56.25" customHeight="1" spans="1:26">
      <c r="A154" s="434"/>
      <c r="B154" s="384" t="s">
        <v>34</v>
      </c>
      <c r="C154" s="219" t="s">
        <v>36</v>
      </c>
      <c r="D154" s="384">
        <v>1051120</v>
      </c>
      <c r="E154" s="384" t="s">
        <v>57</v>
      </c>
      <c r="F154" s="384" t="s">
        <v>45</v>
      </c>
      <c r="G154" s="384" t="s">
        <v>105</v>
      </c>
      <c r="H154" s="390" t="s">
        <v>35</v>
      </c>
      <c r="I154" s="386">
        <v>133</v>
      </c>
      <c r="J154" s="384" t="s">
        <v>39</v>
      </c>
      <c r="K154" s="434"/>
      <c r="L154" s="434"/>
      <c r="M154" s="434"/>
      <c r="N154" s="388"/>
      <c r="O154" s="388"/>
      <c r="P154" s="388"/>
      <c r="Q154" s="388"/>
      <c r="R154" s="388"/>
      <c r="S154" s="388"/>
      <c r="T154" s="388"/>
      <c r="U154" s="388"/>
      <c r="V154" s="388"/>
      <c r="W154" s="388"/>
      <c r="X154" s="388"/>
      <c r="Y154" s="388"/>
      <c r="Z154" s="389"/>
    </row>
    <row r="155" s="278" customFormat="1" ht="56.25" customHeight="1" spans="1:26">
      <c r="A155" s="391"/>
      <c r="B155" s="384" t="s">
        <v>34</v>
      </c>
      <c r="C155" s="219" t="s">
        <v>36</v>
      </c>
      <c r="D155" s="384">
        <v>1051120</v>
      </c>
      <c r="E155" s="384" t="s">
        <v>57</v>
      </c>
      <c r="F155" s="384" t="s">
        <v>46</v>
      </c>
      <c r="G155" s="384" t="s">
        <v>106</v>
      </c>
      <c r="H155" s="390" t="s">
        <v>35</v>
      </c>
      <c r="I155" s="386">
        <v>77</v>
      </c>
      <c r="J155" s="384" t="s">
        <v>39</v>
      </c>
      <c r="K155" s="391"/>
      <c r="L155" s="391"/>
      <c r="M155" s="391"/>
      <c r="N155" s="388"/>
      <c r="O155" s="388"/>
      <c r="P155" s="388"/>
      <c r="Q155" s="388"/>
      <c r="R155" s="388"/>
      <c r="S155" s="388"/>
      <c r="T155" s="388"/>
      <c r="U155" s="388"/>
      <c r="V155" s="388"/>
      <c r="W155" s="388"/>
      <c r="X155" s="388"/>
      <c r="Y155" s="388"/>
      <c r="Z155" s="389"/>
    </row>
    <row r="156" s="278" customFormat="1" ht="56.25" customHeight="1" spans="1:26">
      <c r="A156" s="384">
        <v>63</v>
      </c>
      <c r="B156" s="384" t="s">
        <v>34</v>
      </c>
      <c r="C156" s="219" t="s">
        <v>36</v>
      </c>
      <c r="D156" s="384">
        <v>1051120</v>
      </c>
      <c r="E156" s="384" t="s">
        <v>57</v>
      </c>
      <c r="F156" s="384" t="s">
        <v>41</v>
      </c>
      <c r="G156" s="384" t="s">
        <v>101</v>
      </c>
      <c r="H156" s="390" t="s">
        <v>35</v>
      </c>
      <c r="I156" s="386">
        <f>1065+21</f>
        <v>1086</v>
      </c>
      <c r="J156" s="384" t="s">
        <v>39</v>
      </c>
      <c r="K156" s="384">
        <f>L156-1.4</f>
        <v>22.9</v>
      </c>
      <c r="L156" s="384">
        <v>24.3</v>
      </c>
      <c r="M156" s="384">
        <v>0.11</v>
      </c>
      <c r="N156" s="388"/>
      <c r="O156" s="388"/>
      <c r="P156" s="388"/>
      <c r="Q156" s="388"/>
      <c r="R156" s="388"/>
      <c r="S156" s="388"/>
      <c r="T156" s="388"/>
      <c r="U156" s="388"/>
      <c r="V156" s="388"/>
      <c r="W156" s="388"/>
      <c r="X156" s="388"/>
      <c r="Y156" s="388"/>
      <c r="Z156" s="389"/>
    </row>
    <row r="157" s="278" customFormat="1" ht="56.25" customHeight="1" spans="1:26">
      <c r="A157" s="384">
        <v>64</v>
      </c>
      <c r="B157" s="384" t="s">
        <v>34</v>
      </c>
      <c r="C157" s="219" t="s">
        <v>36</v>
      </c>
      <c r="D157" s="384">
        <v>1051120</v>
      </c>
      <c r="E157" s="384" t="s">
        <v>57</v>
      </c>
      <c r="F157" s="384" t="s">
        <v>43</v>
      </c>
      <c r="G157" s="384" t="s">
        <v>103</v>
      </c>
      <c r="H157" s="390" t="s">
        <v>35</v>
      </c>
      <c r="I157" s="386">
        <f>1037+21</f>
        <v>1058</v>
      </c>
      <c r="J157" s="384" t="s">
        <v>39</v>
      </c>
      <c r="K157" s="384">
        <f>L157-1.4</f>
        <v>24.15</v>
      </c>
      <c r="L157" s="384">
        <v>25.55</v>
      </c>
      <c r="M157" s="384">
        <v>0.11</v>
      </c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9"/>
    </row>
    <row r="158" s="278" customFormat="1" ht="56.25" customHeight="1" spans="1:26">
      <c r="A158" s="434">
        <v>65</v>
      </c>
      <c r="B158" s="384" t="s">
        <v>34</v>
      </c>
      <c r="C158" s="219" t="s">
        <v>36</v>
      </c>
      <c r="D158" s="384">
        <v>1051120</v>
      </c>
      <c r="E158" s="384" t="s">
        <v>57</v>
      </c>
      <c r="F158" s="384" t="s">
        <v>47</v>
      </c>
      <c r="G158" s="384" t="s">
        <v>107</v>
      </c>
      <c r="H158" s="390" t="s">
        <v>35</v>
      </c>
      <c r="I158" s="386">
        <v>1100</v>
      </c>
      <c r="J158" s="384" t="s">
        <v>39</v>
      </c>
      <c r="K158" s="384">
        <f>L158-1.4</f>
        <v>27.25</v>
      </c>
      <c r="L158" s="384">
        <v>28.65</v>
      </c>
      <c r="M158" s="384">
        <v>0.11</v>
      </c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9"/>
    </row>
    <row r="159" s="278" customFormat="1" ht="56.25" customHeight="1" spans="1:26">
      <c r="A159" s="387">
        <v>66</v>
      </c>
      <c r="B159" s="384" t="s">
        <v>34</v>
      </c>
      <c r="C159" s="219" t="s">
        <v>36</v>
      </c>
      <c r="D159" s="384">
        <v>1051120</v>
      </c>
      <c r="E159" s="384" t="s">
        <v>57</v>
      </c>
      <c r="F159" s="384" t="s">
        <v>47</v>
      </c>
      <c r="G159" s="384" t="s">
        <v>107</v>
      </c>
      <c r="H159" s="390" t="s">
        <v>35</v>
      </c>
      <c r="I159" s="386">
        <f>260+27</f>
        <v>287</v>
      </c>
      <c r="J159" s="384" t="s">
        <v>39</v>
      </c>
      <c r="K159" s="387">
        <f>L159-1.4</f>
        <v>30.95</v>
      </c>
      <c r="L159" s="387">
        <v>32.35</v>
      </c>
      <c r="M159" s="387">
        <v>0.11</v>
      </c>
      <c r="N159" s="388"/>
      <c r="O159" s="388"/>
      <c r="P159" s="388"/>
      <c r="Q159" s="388"/>
      <c r="R159" s="388"/>
      <c r="S159" s="388"/>
      <c r="T159" s="388"/>
      <c r="U159" s="388"/>
      <c r="V159" s="388"/>
      <c r="W159" s="388"/>
      <c r="X159" s="388"/>
      <c r="Y159" s="388"/>
      <c r="Z159" s="389"/>
    </row>
    <row r="160" s="278" customFormat="1" ht="56.25" customHeight="1" spans="1:26">
      <c r="A160" s="391"/>
      <c r="B160" s="384" t="s">
        <v>34</v>
      </c>
      <c r="C160" s="219" t="s">
        <v>36</v>
      </c>
      <c r="D160" s="384">
        <v>1051120</v>
      </c>
      <c r="E160" s="384" t="s">
        <v>57</v>
      </c>
      <c r="F160" s="384" t="s">
        <v>40</v>
      </c>
      <c r="G160" s="384" t="s">
        <v>100</v>
      </c>
      <c r="H160" s="390" t="s">
        <v>35</v>
      </c>
      <c r="I160" s="386">
        <f>873+17</f>
        <v>890</v>
      </c>
      <c r="J160" s="384" t="s">
        <v>39</v>
      </c>
      <c r="K160" s="391"/>
      <c r="L160" s="391"/>
      <c r="M160" s="391"/>
      <c r="N160" s="388"/>
      <c r="O160" s="388"/>
      <c r="P160" s="388"/>
      <c r="Q160" s="388"/>
      <c r="R160" s="388"/>
      <c r="S160" s="388"/>
      <c r="T160" s="388"/>
      <c r="U160" s="388"/>
      <c r="V160" s="388"/>
      <c r="W160" s="388"/>
      <c r="X160" s="388"/>
      <c r="Y160" s="388"/>
      <c r="Z160" s="389"/>
    </row>
    <row r="161" s="279" customFormat="1" ht="63" customHeight="1" spans="1:26">
      <c r="A161" s="392" t="s">
        <v>62</v>
      </c>
      <c r="B161" s="393"/>
      <c r="C161" s="394"/>
      <c r="D161" s="395"/>
      <c r="E161" s="396">
        <f>COUNT(A32:A160)</f>
        <v>66</v>
      </c>
      <c r="F161" s="397"/>
      <c r="G161" s="397"/>
      <c r="H161" s="436"/>
      <c r="I161" s="399">
        <f>SUM(I32:I160)</f>
        <v>73785</v>
      </c>
      <c r="J161" s="400" t="s">
        <v>39</v>
      </c>
      <c r="K161" s="401">
        <f>SUM(K32:K160)</f>
        <v>1768.5</v>
      </c>
      <c r="L161" s="401">
        <f>SUM(L32:L160)</f>
        <v>1860.6</v>
      </c>
      <c r="M161" s="437">
        <f>SUM(M32:M160)</f>
        <v>7.21370000000001</v>
      </c>
      <c r="N161" s="402"/>
      <c r="O161" s="402"/>
      <c r="P161" s="402"/>
      <c r="Q161" s="402"/>
      <c r="R161" s="402"/>
      <c r="S161" s="402"/>
      <c r="T161" s="402"/>
      <c r="U161" s="402"/>
      <c r="V161" s="402"/>
      <c r="W161" s="402"/>
      <c r="X161" s="402"/>
      <c r="Y161" s="402"/>
    </row>
    <row r="162" s="277" customFormat="1" ht="27.75" customHeight="1" spans="1:26">
      <c r="A162" s="403" t="s">
        <v>110</v>
      </c>
      <c r="B162" s="403"/>
      <c r="C162" s="403"/>
      <c r="D162" s="404"/>
      <c r="E162" s="404"/>
      <c r="F162" s="404"/>
      <c r="G162" s="404"/>
      <c r="H162" s="404"/>
      <c r="I162" s="404"/>
      <c r="J162" s="404"/>
      <c r="K162" s="404"/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</row>
    <row r="163" s="277" customFormat="1" ht="24.75" customHeight="1" spans="1:26">
      <c r="A163" s="405"/>
      <c r="B163" s="406"/>
      <c r="C163" s="406"/>
      <c r="E163" s="407"/>
      <c r="F163" s="407"/>
      <c r="G163" s="407"/>
      <c r="H163" s="407"/>
      <c r="I163" s="408" t="s">
        <v>0</v>
      </c>
      <c r="J163" s="408"/>
      <c r="K163" s="408"/>
      <c r="L163" s="408"/>
      <c r="M163" s="408"/>
      <c r="N163" s="408"/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</row>
    <row r="164" s="277" customFormat="1" ht="24.75" customHeight="1" spans="1:26">
      <c r="A164" s="409"/>
      <c r="B164" s="410"/>
      <c r="C164" s="410"/>
      <c r="D164" s="410"/>
      <c r="E164" s="411"/>
      <c r="F164" s="411"/>
      <c r="H164" s="412"/>
      <c r="I164" s="413" t="s">
        <v>111</v>
      </c>
      <c r="J164" s="413"/>
      <c r="K164" s="413"/>
      <c r="L164" s="413"/>
      <c r="M164" s="413"/>
      <c r="N164" s="41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</row>
  </sheetData>
  <autoFilter xmlns:etc="http://www.wps.cn/officeDocument/2017/etCustomData" ref="A31:AG164" etc:filterBottomFollowUsedRange="0">
    <extLst/>
  </autoFilter>
  <mergeCells count="164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E22"/>
    <mergeCell ref="A161:B161"/>
    <mergeCell ref="A162:C162"/>
    <mergeCell ref="I163:N163"/>
    <mergeCell ref="I164:N164"/>
    <mergeCell ref="A32:A33"/>
    <mergeCell ref="A34:A35"/>
    <mergeCell ref="A36:A39"/>
    <mergeCell ref="A42:A45"/>
    <mergeCell ref="A47:A48"/>
    <mergeCell ref="A50:A51"/>
    <mergeCell ref="A53:A54"/>
    <mergeCell ref="A56:A57"/>
    <mergeCell ref="A58:A62"/>
    <mergeCell ref="A63:A64"/>
    <mergeCell ref="A68:A69"/>
    <mergeCell ref="A70:A71"/>
    <mergeCell ref="A73:A75"/>
    <mergeCell ref="A76:A77"/>
    <mergeCell ref="A78:A82"/>
    <mergeCell ref="A87:A88"/>
    <mergeCell ref="A90:A95"/>
    <mergeCell ref="A98:A99"/>
    <mergeCell ref="A102:A103"/>
    <mergeCell ref="A105:A106"/>
    <mergeCell ref="A109:A113"/>
    <mergeCell ref="A117:A118"/>
    <mergeCell ref="A119:A120"/>
    <mergeCell ref="A122:A125"/>
    <mergeCell ref="A126:A127"/>
    <mergeCell ref="A130:A132"/>
    <mergeCell ref="A133:A134"/>
    <mergeCell ref="A135:A136"/>
    <mergeCell ref="A137:A138"/>
    <mergeCell ref="A139:A141"/>
    <mergeCell ref="A142:A144"/>
    <mergeCell ref="A145:A147"/>
    <mergeCell ref="A148:A150"/>
    <mergeCell ref="A151:A155"/>
    <mergeCell ref="A159:A160"/>
    <mergeCell ref="K32:K33"/>
    <mergeCell ref="K34:K35"/>
    <mergeCell ref="K36:K39"/>
    <mergeCell ref="K42:K45"/>
    <mergeCell ref="K47:K48"/>
    <mergeCell ref="K50:K51"/>
    <mergeCell ref="K53:K54"/>
    <mergeCell ref="K56:K57"/>
    <mergeCell ref="K58:K62"/>
    <mergeCell ref="K63:K64"/>
    <mergeCell ref="K68:K69"/>
    <mergeCell ref="K70:K71"/>
    <mergeCell ref="K73:K75"/>
    <mergeCell ref="K76:K77"/>
    <mergeCell ref="K78:K82"/>
    <mergeCell ref="K87:K88"/>
    <mergeCell ref="K90:K95"/>
    <mergeCell ref="K98:K99"/>
    <mergeCell ref="K102:K103"/>
    <mergeCell ref="K105:K106"/>
    <mergeCell ref="K109:K113"/>
    <mergeCell ref="K117:K118"/>
    <mergeCell ref="K119:K120"/>
    <mergeCell ref="K122:K125"/>
    <mergeCell ref="K126:K127"/>
    <mergeCell ref="K130:K132"/>
    <mergeCell ref="K133:K134"/>
    <mergeCell ref="K135:K136"/>
    <mergeCell ref="K137:K138"/>
    <mergeCell ref="K139:K141"/>
    <mergeCell ref="K142:K144"/>
    <mergeCell ref="K145:K147"/>
    <mergeCell ref="K148:K150"/>
    <mergeCell ref="K151:K155"/>
    <mergeCell ref="K159:K160"/>
    <mergeCell ref="L32:L33"/>
    <mergeCell ref="L34:L35"/>
    <mergeCell ref="L36:L39"/>
    <mergeCell ref="L42:L45"/>
    <mergeCell ref="L47:L48"/>
    <mergeCell ref="L50:L51"/>
    <mergeCell ref="L53:L54"/>
    <mergeCell ref="L56:L57"/>
    <mergeCell ref="L58:L62"/>
    <mergeCell ref="L63:L64"/>
    <mergeCell ref="L68:L69"/>
    <mergeCell ref="L70:L71"/>
    <mergeCell ref="L73:L75"/>
    <mergeCell ref="L76:L77"/>
    <mergeCell ref="L78:L82"/>
    <mergeCell ref="L87:L88"/>
    <mergeCell ref="L90:L95"/>
    <mergeCell ref="L98:L99"/>
    <mergeCell ref="L102:L103"/>
    <mergeCell ref="L105:L106"/>
    <mergeCell ref="L109:L113"/>
    <mergeCell ref="L117:L118"/>
    <mergeCell ref="L119:L120"/>
    <mergeCell ref="L122:L125"/>
    <mergeCell ref="L126:L127"/>
    <mergeCell ref="L130:L132"/>
    <mergeCell ref="L133:L134"/>
    <mergeCell ref="L135:L136"/>
    <mergeCell ref="L137:L138"/>
    <mergeCell ref="L139:L141"/>
    <mergeCell ref="L142:L144"/>
    <mergeCell ref="L145:L147"/>
    <mergeCell ref="L148:L150"/>
    <mergeCell ref="L151:L155"/>
    <mergeCell ref="L159:L160"/>
    <mergeCell ref="M32:M33"/>
    <mergeCell ref="M34:M35"/>
    <mergeCell ref="M36:M39"/>
    <mergeCell ref="M42:M45"/>
    <mergeCell ref="M47:M48"/>
    <mergeCell ref="M50:M51"/>
    <mergeCell ref="M53:M54"/>
    <mergeCell ref="M56:M57"/>
    <mergeCell ref="M58:M62"/>
    <mergeCell ref="M63:M64"/>
    <mergeCell ref="M68:M69"/>
    <mergeCell ref="M70:M71"/>
    <mergeCell ref="M73:M75"/>
    <mergeCell ref="M76:M77"/>
    <mergeCell ref="M78:M82"/>
    <mergeCell ref="M87:M88"/>
    <mergeCell ref="M90:M95"/>
    <mergeCell ref="M98:M99"/>
    <mergeCell ref="M102:M103"/>
    <mergeCell ref="M105:M106"/>
    <mergeCell ref="M109:M113"/>
    <mergeCell ref="M117:M118"/>
    <mergeCell ref="M119:M120"/>
    <mergeCell ref="M122:M125"/>
    <mergeCell ref="M126:M127"/>
    <mergeCell ref="M130:M132"/>
    <mergeCell ref="M133:M134"/>
    <mergeCell ref="M135:M136"/>
    <mergeCell ref="M137:M138"/>
    <mergeCell ref="M139:M141"/>
    <mergeCell ref="M142:M144"/>
    <mergeCell ref="M145:M147"/>
    <mergeCell ref="M148:M150"/>
    <mergeCell ref="M151:M155"/>
    <mergeCell ref="M159:M160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9"/>
  <sheetViews>
    <sheetView zoomScale="63" zoomScaleNormal="63" workbookViewId="0">
      <selection activeCell="E45" sqref="E32:E45"/>
    </sheetView>
  </sheetViews>
  <sheetFormatPr defaultColWidth="9.13636363636364" defaultRowHeight="14"/>
  <cols>
    <col min="1" max="1" width="8.42727272727273" style="233" customWidth="1"/>
    <col min="2" max="2" width="34.5727272727273" style="233" customWidth="1"/>
    <col min="3" max="3" width="54" style="92" customWidth="1"/>
    <col min="4" max="4" width="17.1363636363636" style="92" customWidth="1"/>
    <col min="5" max="5" width="34" style="92" customWidth="1"/>
    <col min="6" max="6" width="49.0545454545455" style="234" customWidth="1"/>
    <col min="7" max="7" width="27.8454545454545" style="234" customWidth="1"/>
    <col min="8" max="8" width="17.5727272727273" style="92" customWidth="1"/>
    <col min="9" max="9" width="24.2818181818182" style="233" customWidth="1"/>
    <col min="10" max="11" width="20.1363636363636" style="92" customWidth="1"/>
    <col min="12" max="12" width="21.1363636363636" style="233" customWidth="1"/>
    <col min="13" max="13" width="16.5727272727273" style="233" customWidth="1"/>
    <col min="14" max="14" width="9.13636363636364" style="98" customWidth="1"/>
    <col min="15" max="15" width="49.2818181818182" style="98" customWidth="1"/>
    <col min="16" max="16" width="20.4272727272727" style="98" customWidth="1"/>
    <col min="17" max="31" width="9.13636363636364" style="98"/>
    <col min="32" max="16384" width="9.13636363636364" style="92"/>
  </cols>
  <sheetData>
    <row r="1" ht="24" customHeight="1" spans="1:13">
      <c r="A1" s="96" t="s">
        <v>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280"/>
      <c r="M1" s="281"/>
    </row>
    <row r="2" ht="25.5" customHeight="1" spans="1:13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282"/>
      <c r="M2" s="282"/>
    </row>
    <row r="3" ht="24" customHeight="1" spans="1:13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282"/>
      <c r="M3" s="282"/>
    </row>
    <row r="4" ht="15" customHeight="1" spans="1:13">
      <c r="A4" s="283" t="s">
        <v>70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5"/>
      <c r="M4" s="286"/>
    </row>
    <row r="5" ht="15" customHeight="1" spans="1:13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5"/>
      <c r="M5" s="286"/>
    </row>
    <row r="6" ht="15" spans="1:13">
      <c r="A6" s="289" t="s">
        <v>4</v>
      </c>
      <c r="B6" s="290"/>
      <c r="C6" s="291"/>
      <c r="D6" s="291"/>
      <c r="E6" s="291"/>
      <c r="F6" s="292"/>
      <c r="G6" s="292"/>
      <c r="H6" s="239"/>
      <c r="I6" s="293" t="s">
        <v>71</v>
      </c>
      <c r="J6" s="294"/>
      <c r="K6" s="295"/>
      <c r="L6" s="241"/>
      <c r="M6" s="241"/>
    </row>
    <row r="7" ht="15" spans="1:13">
      <c r="A7" s="296" t="s">
        <v>6</v>
      </c>
      <c r="B7" s="297"/>
      <c r="C7" s="291"/>
      <c r="D7" s="291"/>
      <c r="E7" s="291"/>
      <c r="F7" s="292"/>
      <c r="G7" s="292"/>
      <c r="H7" s="239"/>
      <c r="I7" s="298" t="s">
        <v>72</v>
      </c>
      <c r="J7" s="299"/>
      <c r="K7" s="300">
        <v>46216</v>
      </c>
      <c r="L7" s="241"/>
      <c r="M7" s="241"/>
    </row>
    <row r="8" ht="25.5" customHeight="1" spans="1:13">
      <c r="A8" s="301" t="s">
        <v>1</v>
      </c>
      <c r="B8" s="302"/>
      <c r="C8" s="302"/>
      <c r="D8" s="302"/>
      <c r="E8" s="302"/>
      <c r="F8" s="303"/>
      <c r="G8" s="303"/>
      <c r="H8" s="304"/>
      <c r="I8" s="305" t="s">
        <v>5</v>
      </c>
      <c r="J8" s="237"/>
      <c r="K8" s="237"/>
      <c r="L8" s="241"/>
      <c r="M8" s="241"/>
    </row>
    <row r="9" ht="15" spans="1:13">
      <c r="A9" s="306" t="s">
        <v>2</v>
      </c>
      <c r="B9" s="307"/>
      <c r="C9" s="237"/>
      <c r="D9" s="237"/>
      <c r="E9" s="237"/>
      <c r="F9" s="292"/>
      <c r="G9" s="292"/>
      <c r="H9" s="239"/>
      <c r="I9" s="308" t="str">
        <f>I7</f>
        <v>AK/GDI-20260015</v>
      </c>
      <c r="J9" s="309"/>
      <c r="K9" s="310">
        <f>K7</f>
        <v>46216</v>
      </c>
      <c r="L9" s="241"/>
      <c r="M9" s="241"/>
    </row>
    <row r="10" ht="15" spans="1:13">
      <c r="A10" s="311" t="s">
        <v>11</v>
      </c>
      <c r="B10" s="312"/>
      <c r="C10" s="313"/>
      <c r="D10" s="313"/>
      <c r="E10" s="313"/>
      <c r="F10" s="314"/>
      <c r="G10" s="314"/>
      <c r="H10" s="315"/>
      <c r="I10" s="308"/>
      <c r="J10" s="237"/>
      <c r="K10" s="237"/>
      <c r="L10" s="241"/>
      <c r="M10" s="241"/>
    </row>
    <row r="11" ht="18.75" customHeight="1" spans="1:13">
      <c r="A11" s="316" t="s">
        <v>12</v>
      </c>
      <c r="B11" s="317"/>
      <c r="C11" s="317"/>
      <c r="D11" s="317"/>
      <c r="E11" s="317"/>
      <c r="F11" s="238"/>
      <c r="G11" s="238"/>
      <c r="H11" s="239"/>
      <c r="I11" s="240" t="s">
        <v>73</v>
      </c>
      <c r="J11" s="237"/>
      <c r="K11" s="237"/>
      <c r="L11" s="241"/>
      <c r="M11" s="241"/>
    </row>
    <row r="12" ht="15.75" customHeight="1" spans="1:13">
      <c r="A12" s="318" t="s">
        <v>13</v>
      </c>
      <c r="B12" s="319"/>
      <c r="C12" s="319"/>
      <c r="D12" s="319"/>
      <c r="E12" s="319"/>
      <c r="F12" s="319"/>
      <c r="G12" s="319"/>
      <c r="H12" s="320"/>
      <c r="I12" s="321" t="s">
        <v>74</v>
      </c>
      <c r="J12" s="322"/>
      <c r="K12" s="323">
        <v>46163</v>
      </c>
      <c r="L12" s="241"/>
      <c r="M12" s="241"/>
    </row>
    <row r="13" ht="15" spans="1:13">
      <c r="A13" s="324" t="s">
        <v>14</v>
      </c>
      <c r="B13" s="325"/>
      <c r="C13" s="325"/>
      <c r="D13" s="325"/>
      <c r="E13" s="325"/>
      <c r="F13" s="326"/>
      <c r="G13" s="326"/>
      <c r="H13" s="327"/>
      <c r="I13" s="328"/>
      <c r="J13" s="329"/>
      <c r="K13" s="330"/>
      <c r="L13" s="241"/>
      <c r="M13" s="241"/>
    </row>
    <row r="14" ht="15" spans="1:13">
      <c r="A14" s="324"/>
      <c r="B14" s="325"/>
      <c r="C14" s="331"/>
      <c r="D14" s="325"/>
      <c r="E14" s="325"/>
      <c r="F14" s="326"/>
      <c r="G14" s="326"/>
      <c r="H14" s="327"/>
      <c r="I14" s="332"/>
      <c r="J14" s="322"/>
      <c r="K14" s="323"/>
      <c r="L14" s="241"/>
      <c r="M14" s="241"/>
    </row>
    <row r="15" ht="15" spans="1:13">
      <c r="A15" s="324"/>
      <c r="B15" s="325"/>
      <c r="C15" s="325"/>
      <c r="D15" s="325"/>
      <c r="E15" s="325"/>
      <c r="F15" s="326"/>
      <c r="G15" s="326"/>
      <c r="H15" s="327"/>
      <c r="I15" s="241"/>
      <c r="J15" s="239"/>
      <c r="K15" s="239"/>
      <c r="L15" s="241"/>
      <c r="M15" s="241"/>
    </row>
    <row r="16" ht="15" spans="1:13">
      <c r="A16" s="333" t="s">
        <v>15</v>
      </c>
      <c r="B16" s="334"/>
      <c r="C16" s="335"/>
      <c r="D16" s="335"/>
      <c r="E16" s="335"/>
      <c r="F16" s="336"/>
      <c r="G16" s="336"/>
      <c r="H16" s="337"/>
      <c r="I16" s="338"/>
      <c r="J16" s="239"/>
      <c r="K16" s="239"/>
      <c r="L16" s="241"/>
      <c r="M16" s="241"/>
    </row>
    <row r="17" ht="15" spans="1:24">
      <c r="A17" s="339" t="s">
        <v>75</v>
      </c>
      <c r="B17" s="340"/>
      <c r="C17" s="340"/>
      <c r="D17" s="340"/>
      <c r="E17" s="340"/>
      <c r="F17" s="340"/>
      <c r="G17" s="340"/>
      <c r="H17" s="327"/>
      <c r="J17" s="239"/>
      <c r="K17" s="341"/>
      <c r="L17" s="342"/>
      <c r="M17" s="241"/>
    </row>
    <row r="18" ht="15" spans="1:24">
      <c r="A18" s="343" t="s">
        <v>76</v>
      </c>
      <c r="B18" s="344"/>
      <c r="C18" s="345"/>
      <c r="D18" s="345"/>
      <c r="E18" s="345"/>
      <c r="F18" s="346"/>
      <c r="G18" s="346"/>
      <c r="H18" s="347"/>
      <c r="K18" s="341"/>
      <c r="L18" s="348"/>
      <c r="M18" s="241"/>
    </row>
    <row r="19" ht="15" spans="1:24">
      <c r="A19" s="343" t="s">
        <v>77</v>
      </c>
      <c r="B19" s="344"/>
      <c r="C19" s="345"/>
      <c r="D19" s="345"/>
      <c r="E19" s="345"/>
      <c r="F19" s="346"/>
      <c r="G19" s="346"/>
      <c r="H19" s="347"/>
      <c r="L19" s="349"/>
      <c r="M19" s="241"/>
    </row>
    <row r="20" ht="15.75" customHeight="1" spans="1:24">
      <c r="A20" s="350" t="s">
        <v>78</v>
      </c>
      <c r="B20" s="351"/>
      <c r="C20" s="351"/>
      <c r="D20" s="351"/>
      <c r="E20" s="351"/>
      <c r="F20" s="346"/>
      <c r="G20" s="346"/>
      <c r="H20" s="347"/>
      <c r="I20" s="241"/>
      <c r="J20" s="239"/>
      <c r="K20" s="341"/>
      <c r="L20" s="349"/>
      <c r="M20" s="241"/>
    </row>
    <row r="21" ht="15.75" customHeight="1" spans="1:24">
      <c r="A21" s="350" t="s">
        <v>79</v>
      </c>
      <c r="B21" s="351"/>
      <c r="C21" s="351"/>
      <c r="D21" s="351"/>
      <c r="E21" s="351"/>
      <c r="F21" s="346"/>
      <c r="G21" s="346"/>
      <c r="H21" s="347"/>
      <c r="I21" s="241"/>
      <c r="J21" s="239"/>
      <c r="K21" s="341"/>
      <c r="L21" s="349"/>
      <c r="M21" s="241"/>
    </row>
    <row r="22" ht="39" customHeight="1" spans="1:24">
      <c r="A22" s="352" t="s">
        <v>18</v>
      </c>
      <c r="B22" s="353"/>
      <c r="C22" s="353"/>
      <c r="D22" s="353"/>
      <c r="E22" s="353"/>
      <c r="F22" s="346"/>
      <c r="G22" s="346"/>
      <c r="H22" s="347"/>
      <c r="I22" s="241"/>
      <c r="J22" s="239"/>
      <c r="K22" s="341"/>
      <c r="L22" s="349"/>
      <c r="M22" s="241"/>
    </row>
    <row r="23" ht="15.75" customHeight="1" spans="1:24">
      <c r="A23" s="350"/>
      <c r="B23" s="351"/>
      <c r="C23" s="351"/>
      <c r="D23" s="351"/>
      <c r="E23" s="351"/>
      <c r="F23" s="346"/>
      <c r="G23" s="346"/>
      <c r="H23" s="347"/>
      <c r="I23" s="241"/>
      <c r="J23" s="239"/>
      <c r="K23" s="341"/>
      <c r="L23" s="349"/>
      <c r="M23" s="241"/>
    </row>
    <row r="24" ht="15.75" customHeight="1" spans="1:24">
      <c r="A24" s="350"/>
      <c r="B24" s="351"/>
      <c r="C24" s="351"/>
      <c r="D24" s="351"/>
      <c r="E24" s="351"/>
      <c r="F24" s="346"/>
      <c r="G24" s="346"/>
      <c r="H24" s="347"/>
      <c r="I24" s="241"/>
      <c r="J24" s="239"/>
      <c r="K24" s="341"/>
      <c r="L24" s="349"/>
      <c r="M24" s="241"/>
    </row>
    <row r="25" ht="15.75" customHeight="1" spans="1:24">
      <c r="A25" s="289" t="s">
        <v>19</v>
      </c>
      <c r="B25" s="290"/>
      <c r="C25" s="291"/>
      <c r="D25" s="291"/>
      <c r="E25" s="354" t="s">
        <v>20</v>
      </c>
      <c r="F25" s="238"/>
      <c r="G25" s="238"/>
      <c r="H25" s="327"/>
      <c r="I25" s="290" t="s">
        <v>80</v>
      </c>
      <c r="J25" s="237"/>
      <c r="K25" s="239" t="s">
        <v>81</v>
      </c>
      <c r="L25" s="241"/>
      <c r="M25" s="241"/>
    </row>
    <row r="26" ht="15" spans="1:24">
      <c r="A26" s="306" t="s">
        <v>82</v>
      </c>
      <c r="B26" s="307"/>
      <c r="C26" s="237"/>
      <c r="D26" s="237"/>
      <c r="E26" s="355" t="s">
        <v>83</v>
      </c>
      <c r="F26" s="292"/>
      <c r="G26" s="292"/>
      <c r="H26" s="327"/>
      <c r="I26" s="290" t="s">
        <v>84</v>
      </c>
      <c r="J26" s="356"/>
      <c r="K26" s="356" t="s">
        <v>85</v>
      </c>
      <c r="L26" s="241"/>
      <c r="M26" s="241"/>
    </row>
    <row r="27" ht="15" spans="1:24">
      <c r="A27" s="306"/>
      <c r="B27" s="307"/>
      <c r="C27" s="237"/>
      <c r="D27" s="237"/>
      <c r="E27" s="355"/>
      <c r="F27" s="292"/>
      <c r="G27" s="292"/>
      <c r="H27" s="357"/>
      <c r="I27" s="358" t="s">
        <v>86</v>
      </c>
      <c r="J27" s="237"/>
      <c r="K27" s="239"/>
      <c r="L27" s="241"/>
      <c r="M27" s="241"/>
    </row>
    <row r="28" ht="15.75" customHeight="1" spans="1:24">
      <c r="A28" s="359"/>
      <c r="B28" s="360"/>
      <c r="C28" s="361" t="s">
        <v>21</v>
      </c>
      <c r="D28" s="361"/>
      <c r="E28" s="361" t="s">
        <v>22</v>
      </c>
      <c r="F28" s="362"/>
      <c r="G28" s="362"/>
      <c r="H28" s="315"/>
      <c r="I28" s="363"/>
      <c r="J28" s="237"/>
      <c r="K28" s="239"/>
      <c r="L28" s="241"/>
      <c r="M28" s="364"/>
    </row>
    <row r="29" ht="64.5" customHeight="1" spans="1:24">
      <c r="A29" s="296"/>
      <c r="B29" s="297"/>
      <c r="C29" s="365">
        <v>46221</v>
      </c>
      <c r="D29" s="366"/>
      <c r="E29" s="365">
        <f>C29+3</f>
        <v>46224</v>
      </c>
      <c r="F29" s="367"/>
      <c r="G29" s="367"/>
      <c r="H29" s="368"/>
      <c r="I29" s="369" t="s">
        <v>87</v>
      </c>
      <c r="J29" s="368" t="s">
        <v>88</v>
      </c>
      <c r="K29" s="370"/>
      <c r="L29" s="370"/>
      <c r="M29" s="370"/>
    </row>
    <row r="30" ht="17.25" spans="1:24">
      <c r="A30" s="371"/>
      <c r="B30" s="372"/>
      <c r="C30" s="373" t="s">
        <v>89</v>
      </c>
      <c r="D30" s="374"/>
      <c r="E30" s="375"/>
      <c r="F30" s="376"/>
      <c r="G30" s="376"/>
      <c r="H30" s="266"/>
      <c r="I30" s="267"/>
      <c r="J30" s="266"/>
      <c r="K30" s="266"/>
      <c r="L30" s="267"/>
      <c r="M30" s="377"/>
    </row>
    <row r="31" s="277" customFormat="1" ht="55.5" customHeight="1" spans="1:24">
      <c r="A31" s="378" t="s">
        <v>90</v>
      </c>
      <c r="B31" s="379" t="s">
        <v>91</v>
      </c>
      <c r="C31" s="380" t="s">
        <v>92</v>
      </c>
      <c r="D31" s="379" t="s">
        <v>26</v>
      </c>
      <c r="E31" s="379" t="s">
        <v>28</v>
      </c>
      <c r="F31" s="379" t="s">
        <v>93</v>
      </c>
      <c r="G31" s="381" t="s">
        <v>112</v>
      </c>
      <c r="H31" s="379" t="s">
        <v>94</v>
      </c>
      <c r="I31" s="379" t="s">
        <v>95</v>
      </c>
      <c r="J31" s="379" t="s">
        <v>96</v>
      </c>
      <c r="K31" s="382" t="s">
        <v>97</v>
      </c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</row>
    <row r="32" s="278" customFormat="1" ht="56.25" customHeight="1" spans="1:24">
      <c r="A32" s="384"/>
      <c r="B32" s="384" t="s">
        <v>48</v>
      </c>
      <c r="C32" s="219" t="s">
        <v>36</v>
      </c>
      <c r="D32" s="384">
        <v>1051120</v>
      </c>
      <c r="E32" s="385" t="s">
        <v>37</v>
      </c>
      <c r="F32" s="384" t="s">
        <v>49</v>
      </c>
      <c r="G32" s="384">
        <v>4</v>
      </c>
      <c r="H32" s="386">
        <v>4722</v>
      </c>
      <c r="I32" s="384" t="s">
        <v>39</v>
      </c>
      <c r="J32" s="387">
        <v>114.85</v>
      </c>
      <c r="K32" s="387">
        <v>120.45</v>
      </c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9"/>
    </row>
    <row r="33" s="278" customFormat="1" ht="56.25" customHeight="1" spans="1:24">
      <c r="A33" s="384"/>
      <c r="B33" s="384" t="s">
        <v>48</v>
      </c>
      <c r="C33" s="219" t="s">
        <v>36</v>
      </c>
      <c r="D33" s="384">
        <v>1051120</v>
      </c>
      <c r="E33" s="385" t="s">
        <v>50</v>
      </c>
      <c r="F33" s="384" t="s">
        <v>49</v>
      </c>
      <c r="G33" s="384">
        <v>5</v>
      </c>
      <c r="H33" s="386">
        <v>5675</v>
      </c>
      <c r="I33" s="384" t="s">
        <v>39</v>
      </c>
      <c r="J33" s="387">
        <v>137.45</v>
      </c>
      <c r="K33" s="387">
        <v>144.45</v>
      </c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9"/>
    </row>
    <row r="34" s="278" customFormat="1" ht="56.25" customHeight="1" spans="1:24">
      <c r="A34" s="384"/>
      <c r="B34" s="384" t="s">
        <v>48</v>
      </c>
      <c r="C34" s="219" t="s">
        <v>36</v>
      </c>
      <c r="D34" s="384">
        <v>1051120</v>
      </c>
      <c r="E34" s="385" t="s">
        <v>51</v>
      </c>
      <c r="F34" s="384" t="s">
        <v>49</v>
      </c>
      <c r="G34" s="384">
        <v>5</v>
      </c>
      <c r="H34" s="386">
        <v>5675</v>
      </c>
      <c r="I34" s="384" t="s">
        <v>39</v>
      </c>
      <c r="J34" s="384">
        <v>135.55</v>
      </c>
      <c r="K34" s="384">
        <v>142.55</v>
      </c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9"/>
    </row>
    <row r="35" s="278" customFormat="1" ht="56.25" customHeight="1" spans="1:24">
      <c r="A35" s="384"/>
      <c r="B35" s="384" t="s">
        <v>48</v>
      </c>
      <c r="C35" s="219" t="s">
        <v>36</v>
      </c>
      <c r="D35" s="384">
        <v>1051120</v>
      </c>
      <c r="E35" s="385" t="s">
        <v>59</v>
      </c>
      <c r="F35" s="384" t="s">
        <v>49</v>
      </c>
      <c r="G35" s="384">
        <v>4</v>
      </c>
      <c r="H35" s="386">
        <v>4639</v>
      </c>
      <c r="I35" s="384" t="s">
        <v>39</v>
      </c>
      <c r="J35" s="384">
        <v>115.9</v>
      </c>
      <c r="K35" s="384">
        <v>121.5</v>
      </c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9"/>
    </row>
    <row r="36" s="278" customFormat="1" ht="56.25" customHeight="1" spans="1:24">
      <c r="A36" s="387"/>
      <c r="B36" s="384" t="s">
        <v>34</v>
      </c>
      <c r="C36" s="219" t="s">
        <v>36</v>
      </c>
      <c r="D36" s="384">
        <v>1051120</v>
      </c>
      <c r="E36" s="385" t="s">
        <v>37</v>
      </c>
      <c r="F36" s="390" t="s">
        <v>35</v>
      </c>
      <c r="G36" s="384">
        <v>5</v>
      </c>
      <c r="H36" s="386">
        <v>5367</v>
      </c>
      <c r="I36" s="384" t="s">
        <v>39</v>
      </c>
      <c r="J36" s="387">
        <v>133.55</v>
      </c>
      <c r="K36" s="387">
        <v>140.55</v>
      </c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9"/>
    </row>
    <row r="37" s="278" customFormat="1" ht="56.25" customHeight="1" spans="1:24">
      <c r="A37" s="391"/>
      <c r="B37" s="384" t="s">
        <v>34</v>
      </c>
      <c r="C37" s="219" t="s">
        <v>36</v>
      </c>
      <c r="D37" s="384">
        <v>1051120</v>
      </c>
      <c r="E37" s="385" t="s">
        <v>50</v>
      </c>
      <c r="F37" s="390" t="s">
        <v>35</v>
      </c>
      <c r="G37" s="384">
        <v>5</v>
      </c>
      <c r="H37" s="386">
        <v>5380</v>
      </c>
      <c r="I37" s="384" t="s">
        <v>39</v>
      </c>
      <c r="J37" s="384">
        <v>131.15</v>
      </c>
      <c r="K37" s="384">
        <v>138.15</v>
      </c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9"/>
    </row>
    <row r="38" s="278" customFormat="1" ht="56.25" customHeight="1" spans="1:24">
      <c r="A38" s="387"/>
      <c r="B38" s="384" t="s">
        <v>34</v>
      </c>
      <c r="C38" s="219" t="s">
        <v>36</v>
      </c>
      <c r="D38" s="384">
        <v>1051120</v>
      </c>
      <c r="E38" s="385" t="s">
        <v>51</v>
      </c>
      <c r="F38" s="390" t="s">
        <v>35</v>
      </c>
      <c r="G38" s="384">
        <v>5</v>
      </c>
      <c r="H38" s="386">
        <v>5371</v>
      </c>
      <c r="I38" s="384" t="s">
        <v>39</v>
      </c>
      <c r="J38" s="387">
        <v>128.55</v>
      </c>
      <c r="K38" s="387">
        <v>135.55</v>
      </c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9"/>
    </row>
    <row r="39" s="278" customFormat="1" ht="56.25" customHeight="1" spans="1:24">
      <c r="A39" s="384"/>
      <c r="B39" s="384" t="s">
        <v>34</v>
      </c>
      <c r="C39" s="219" t="s">
        <v>36</v>
      </c>
      <c r="D39" s="384">
        <v>1051120</v>
      </c>
      <c r="E39" s="385" t="s">
        <v>58</v>
      </c>
      <c r="F39" s="390" t="s">
        <v>35</v>
      </c>
      <c r="G39" s="384">
        <v>5</v>
      </c>
      <c r="H39" s="386">
        <v>5355</v>
      </c>
      <c r="I39" s="384" t="s">
        <v>39</v>
      </c>
      <c r="J39" s="387">
        <v>135.55</v>
      </c>
      <c r="K39" s="387">
        <v>142.55</v>
      </c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9"/>
    </row>
    <row r="40" s="278" customFormat="1" ht="56.25" customHeight="1" spans="1:24">
      <c r="A40" s="387"/>
      <c r="B40" s="384" t="s">
        <v>34</v>
      </c>
      <c r="C40" s="219" t="s">
        <v>36</v>
      </c>
      <c r="D40" s="384">
        <v>1051120</v>
      </c>
      <c r="E40" s="385" t="s">
        <v>57</v>
      </c>
      <c r="F40" s="390" t="s">
        <v>35</v>
      </c>
      <c r="G40" s="384">
        <v>5</v>
      </c>
      <c r="H40" s="386">
        <v>5375</v>
      </c>
      <c r="I40" s="384" t="s">
        <v>39</v>
      </c>
      <c r="J40" s="387">
        <v>128.8</v>
      </c>
      <c r="K40" s="387">
        <v>135.8</v>
      </c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9"/>
    </row>
    <row r="41" s="278" customFormat="1" ht="56.25" customHeight="1" spans="1:24">
      <c r="A41" s="387"/>
      <c r="B41" s="384" t="s">
        <v>52</v>
      </c>
      <c r="C41" s="219" t="s">
        <v>36</v>
      </c>
      <c r="D41" s="384">
        <v>1051120</v>
      </c>
      <c r="E41" s="385" t="s">
        <v>54</v>
      </c>
      <c r="F41" s="390" t="s">
        <v>53</v>
      </c>
      <c r="G41" s="384">
        <v>5</v>
      </c>
      <c r="H41" s="386">
        <v>5003</v>
      </c>
      <c r="I41" s="384" t="s">
        <v>39</v>
      </c>
      <c r="J41" s="387">
        <v>115.3</v>
      </c>
      <c r="K41" s="387">
        <v>122</v>
      </c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9"/>
    </row>
    <row r="42" s="278" customFormat="1" ht="56.25" customHeight="1" spans="1:24">
      <c r="A42" s="387"/>
      <c r="B42" s="384" t="s">
        <v>52</v>
      </c>
      <c r="C42" s="219" t="s">
        <v>55</v>
      </c>
      <c r="D42" s="384">
        <v>1051123</v>
      </c>
      <c r="E42" s="385" t="s">
        <v>50</v>
      </c>
      <c r="F42" s="390" t="s">
        <v>53</v>
      </c>
      <c r="G42" s="384">
        <v>5</v>
      </c>
      <c r="H42" s="386">
        <v>5862</v>
      </c>
      <c r="I42" s="384" t="s">
        <v>39</v>
      </c>
      <c r="J42" s="387">
        <v>137.65</v>
      </c>
      <c r="K42" s="387">
        <v>144.65</v>
      </c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9"/>
    </row>
    <row r="43" s="278" customFormat="1" ht="56.25" customHeight="1" spans="1:24">
      <c r="A43" s="387"/>
      <c r="B43" s="384" t="s">
        <v>52</v>
      </c>
      <c r="C43" s="219" t="s">
        <v>56</v>
      </c>
      <c r="D43" s="384">
        <v>1051121</v>
      </c>
      <c r="E43" s="385" t="s">
        <v>57</v>
      </c>
      <c r="F43" s="390" t="s">
        <v>53</v>
      </c>
      <c r="G43" s="384">
        <v>5</v>
      </c>
      <c r="H43" s="386">
        <v>5551</v>
      </c>
      <c r="I43" s="384" t="s">
        <v>39</v>
      </c>
      <c r="J43" s="387">
        <v>128.15</v>
      </c>
      <c r="K43" s="387">
        <v>135.15</v>
      </c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9"/>
    </row>
    <row r="44" s="278" customFormat="1" ht="56.25" customHeight="1" spans="1:24">
      <c r="A44" s="387"/>
      <c r="B44" s="384" t="s">
        <v>52</v>
      </c>
      <c r="C44" s="219" t="s">
        <v>60</v>
      </c>
      <c r="D44" s="384">
        <v>1051122</v>
      </c>
      <c r="E44" s="385" t="s">
        <v>61</v>
      </c>
      <c r="F44" s="390" t="s">
        <v>53</v>
      </c>
      <c r="G44" s="384">
        <v>4</v>
      </c>
      <c r="H44" s="386">
        <v>4783</v>
      </c>
      <c r="I44" s="384" t="s">
        <v>39</v>
      </c>
      <c r="J44" s="387">
        <v>110.1</v>
      </c>
      <c r="K44" s="387">
        <v>115.7</v>
      </c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9"/>
    </row>
    <row r="45" s="278" customFormat="1" ht="56.25" customHeight="1" spans="1:24">
      <c r="A45" s="387"/>
      <c r="B45" s="384" t="s">
        <v>52</v>
      </c>
      <c r="C45" s="219" t="s">
        <v>36</v>
      </c>
      <c r="D45" s="384">
        <v>1051120</v>
      </c>
      <c r="E45" s="385" t="s">
        <v>58</v>
      </c>
      <c r="F45" s="390" t="s">
        <v>53</v>
      </c>
      <c r="G45" s="384">
        <v>4</v>
      </c>
      <c r="H45" s="386">
        <v>5027</v>
      </c>
      <c r="I45" s="384" t="s">
        <v>39</v>
      </c>
      <c r="J45" s="387">
        <v>115.95</v>
      </c>
      <c r="K45" s="387">
        <v>121.55</v>
      </c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9"/>
    </row>
    <row r="46" s="279" customFormat="1" ht="63" customHeight="1" spans="1:24">
      <c r="A46" s="392" t="s">
        <v>62</v>
      </c>
      <c r="B46" s="393"/>
      <c r="C46" s="394"/>
      <c r="D46" s="395"/>
      <c r="E46" s="396"/>
      <c r="F46" s="397"/>
      <c r="G46" s="398">
        <f>SUM(G32:G45)</f>
        <v>66</v>
      </c>
      <c r="H46" s="399">
        <f>SUM(H32:H45)</f>
        <v>73785</v>
      </c>
      <c r="I46" s="400" t="s">
        <v>39</v>
      </c>
      <c r="J46" s="401">
        <f>SUM(J32:J45)</f>
        <v>1768.5</v>
      </c>
      <c r="K46" s="401">
        <f>SUM(K32:K45)</f>
        <v>1860.6</v>
      </c>
      <c r="L46" s="402"/>
      <c r="M46" s="402"/>
      <c r="N46" s="402"/>
      <c r="O46" s="402"/>
      <c r="P46" s="402"/>
      <c r="Q46" s="402"/>
      <c r="R46" s="402"/>
      <c r="S46" s="402"/>
      <c r="T46" s="402"/>
      <c r="U46" s="402"/>
      <c r="V46" s="402"/>
      <c r="W46" s="402"/>
    </row>
    <row r="47" s="277" customFormat="1" ht="27.75" customHeight="1" spans="1:24">
      <c r="A47" s="403" t="s">
        <v>110</v>
      </c>
      <c r="B47" s="403"/>
      <c r="C47" s="403"/>
      <c r="D47" s="404"/>
      <c r="E47" s="404"/>
      <c r="F47" s="404"/>
      <c r="G47" s="404"/>
      <c r="H47" s="404"/>
      <c r="I47" s="404"/>
      <c r="J47" s="404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</row>
    <row r="48" s="277" customFormat="1" ht="24.75" customHeight="1" spans="1:24">
      <c r="A48" s="405"/>
      <c r="B48" s="406"/>
      <c r="C48" s="406"/>
      <c r="E48" s="407"/>
      <c r="F48" s="407"/>
      <c r="G48" s="407"/>
      <c r="H48" s="408" t="s">
        <v>0</v>
      </c>
      <c r="I48" s="408"/>
      <c r="J48" s="408"/>
      <c r="K48" s="408"/>
      <c r="L48" s="408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</row>
    <row r="49" s="277" customFormat="1" ht="24.75" customHeight="1" spans="1:24">
      <c r="A49" s="409"/>
      <c r="B49" s="410"/>
      <c r="C49" s="410"/>
      <c r="D49" s="410"/>
      <c r="E49" s="411"/>
      <c r="G49" s="412"/>
      <c r="H49" s="413" t="s">
        <v>111</v>
      </c>
      <c r="I49" s="413"/>
      <c r="J49" s="413"/>
      <c r="K49" s="413"/>
      <c r="L49" s="41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</row>
  </sheetData>
  <autoFilter xmlns:etc="http://www.wps.cn/officeDocument/2017/etCustomData" ref="A31:AE49" etc:filterBottomFollowUsedRange="0">
    <extLst/>
  </autoFilter>
  <mergeCells count="16">
    <mergeCell ref="A1:K1"/>
    <mergeCell ref="A2:K2"/>
    <mergeCell ref="A3:K3"/>
    <mergeCell ref="A8:E8"/>
    <mergeCell ref="A11:E11"/>
    <mergeCell ref="A12:F12"/>
    <mergeCell ref="A13:E13"/>
    <mergeCell ref="A17:E17"/>
    <mergeCell ref="A20:E20"/>
    <mergeCell ref="A21:E21"/>
    <mergeCell ref="A22:E22"/>
    <mergeCell ref="A46:B46"/>
    <mergeCell ref="A47:C47"/>
    <mergeCell ref="H48:L48"/>
    <mergeCell ref="H49:L49"/>
    <mergeCell ref="A4:K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workbookViewId="0">
      <selection activeCell="D13" sqref="D13"/>
    </sheetView>
  </sheetViews>
  <sheetFormatPr defaultColWidth="9.13636363636364" defaultRowHeight="14"/>
  <cols>
    <col min="1" max="1" width="9.13636363636364" style="233" customWidth="1"/>
    <col min="2" max="2" width="22.2818181818182" style="92" customWidth="1"/>
    <col min="3" max="3" width="6.70909090909091" style="92" customWidth="1"/>
    <col min="4" max="4" width="60.2818181818182" style="92" customWidth="1"/>
    <col min="5" max="5" width="19.2818181818182" style="92" customWidth="1"/>
    <col min="6" max="6" width="14.1363636363636" style="234" customWidth="1"/>
    <col min="7" max="7" width="7" style="234" customWidth="1"/>
    <col min="8" max="8" width="16.8545454545455" style="92" customWidth="1"/>
    <col min="9" max="9" width="13" style="233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3" customWidth="1"/>
    <col min="14" max="14" width="16.5727272727273" style="233" customWidth="1"/>
    <col min="15" max="16384" width="9.13636363636364" style="92"/>
  </cols>
  <sheetData>
    <row r="1" ht="46.5" customHeight="1" spans="1:14">
      <c r="A1" s="235" t="s">
        <v>113</v>
      </c>
      <c r="B1" s="236"/>
      <c r="C1" s="236"/>
      <c r="D1" s="236"/>
      <c r="E1" s="237"/>
      <c r="F1" s="238"/>
      <c r="G1" s="238"/>
      <c r="H1" s="239"/>
      <c r="I1" s="240"/>
      <c r="J1" s="237"/>
      <c r="K1" s="237"/>
      <c r="L1" s="237"/>
      <c r="M1" s="241"/>
      <c r="N1" s="242"/>
    </row>
    <row r="2" ht="32.25" customHeight="1" spans="1:14">
      <c r="A2" s="243" t="s">
        <v>114</v>
      </c>
      <c r="B2" s="244" t="s">
        <v>115</v>
      </c>
      <c r="C2" s="244"/>
      <c r="D2" s="245" t="s">
        <v>92</v>
      </c>
      <c r="E2" s="244" t="s">
        <v>116</v>
      </c>
      <c r="F2" s="244" t="s">
        <v>28</v>
      </c>
      <c r="G2" s="244"/>
      <c r="H2" s="244" t="s">
        <v>29</v>
      </c>
      <c r="I2" s="246" t="s">
        <v>117</v>
      </c>
      <c r="J2" s="244" t="s">
        <v>94</v>
      </c>
      <c r="K2" s="244" t="s">
        <v>95</v>
      </c>
      <c r="L2" s="244" t="s">
        <v>96</v>
      </c>
      <c r="M2" s="247" t="s">
        <v>97</v>
      </c>
      <c r="N2" s="248" t="s">
        <v>98</v>
      </c>
    </row>
    <row r="3" ht="47.25" customHeight="1" spans="1:14">
      <c r="A3" s="249">
        <v>14</v>
      </c>
      <c r="B3" s="59" t="s">
        <v>118</v>
      </c>
      <c r="C3" s="48" t="s">
        <v>119</v>
      </c>
      <c r="D3" s="250" t="s">
        <v>120</v>
      </c>
      <c r="E3" s="251" t="s">
        <v>121</v>
      </c>
      <c r="F3" s="252">
        <v>1030</v>
      </c>
      <c r="G3" s="252" t="s">
        <v>41</v>
      </c>
      <c r="H3" s="252" t="s">
        <v>122</v>
      </c>
      <c r="I3" s="253" t="s">
        <v>123</v>
      </c>
      <c r="J3" s="252">
        <v>98</v>
      </c>
      <c r="K3" s="252" t="s">
        <v>124</v>
      </c>
      <c r="L3" s="254">
        <f>M3-1.35</f>
        <v>28.95</v>
      </c>
      <c r="M3" s="254">
        <v>30.3</v>
      </c>
      <c r="N3" s="255">
        <v>0.11</v>
      </c>
    </row>
    <row r="4" ht="47.25" customHeight="1" spans="1:14">
      <c r="A4" s="249"/>
      <c r="B4" s="59" t="s">
        <v>118</v>
      </c>
      <c r="C4" s="48" t="s">
        <v>119</v>
      </c>
      <c r="D4" s="250" t="s">
        <v>120</v>
      </c>
      <c r="E4" s="251" t="s">
        <v>121</v>
      </c>
      <c r="F4" s="252">
        <v>1030</v>
      </c>
      <c r="G4" s="252" t="s">
        <v>43</v>
      </c>
      <c r="H4" s="252" t="s">
        <v>125</v>
      </c>
      <c r="I4" s="253" t="s">
        <v>123</v>
      </c>
      <c r="J4" s="252">
        <v>219</v>
      </c>
      <c r="K4" s="252" t="s">
        <v>124</v>
      </c>
      <c r="L4" s="254"/>
      <c r="M4" s="254"/>
      <c r="N4" s="255"/>
    </row>
    <row r="5" ht="47.25" customHeight="1" spans="1:14">
      <c r="A5" s="249"/>
      <c r="B5" s="59" t="s">
        <v>118</v>
      </c>
      <c r="C5" s="48" t="s">
        <v>119</v>
      </c>
      <c r="D5" s="250" t="s">
        <v>120</v>
      </c>
      <c r="E5" s="251" t="s">
        <v>121</v>
      </c>
      <c r="F5" s="252">
        <v>1030</v>
      </c>
      <c r="G5" s="252" t="s">
        <v>47</v>
      </c>
      <c r="H5" s="252" t="s">
        <v>126</v>
      </c>
      <c r="I5" s="253" t="s">
        <v>123</v>
      </c>
      <c r="J5" s="252">
        <v>208</v>
      </c>
      <c r="K5" s="252" t="s">
        <v>124</v>
      </c>
      <c r="L5" s="254"/>
      <c r="M5" s="254"/>
      <c r="N5" s="255"/>
    </row>
    <row r="6" ht="47.25" customHeight="1" spans="1:14">
      <c r="A6" s="249"/>
      <c r="B6" s="59" t="s">
        <v>118</v>
      </c>
      <c r="C6" s="48" t="s">
        <v>119</v>
      </c>
      <c r="D6" s="250" t="s">
        <v>120</v>
      </c>
      <c r="E6" s="251" t="s">
        <v>121</v>
      </c>
      <c r="F6" s="252">
        <v>1030</v>
      </c>
      <c r="G6" s="252" t="s">
        <v>127</v>
      </c>
      <c r="H6" s="252" t="s">
        <v>128</v>
      </c>
      <c r="I6" s="253" t="s">
        <v>123</v>
      </c>
      <c r="J6" s="252">
        <v>84</v>
      </c>
      <c r="K6" s="252" t="s">
        <v>124</v>
      </c>
      <c r="L6" s="254"/>
      <c r="M6" s="254"/>
      <c r="N6" s="255"/>
    </row>
    <row r="7" ht="47.25" customHeight="1" spans="1:14">
      <c r="A7" s="249"/>
      <c r="B7" s="59" t="s">
        <v>129</v>
      </c>
      <c r="C7" s="48" t="s">
        <v>119</v>
      </c>
      <c r="D7" s="250" t="s">
        <v>130</v>
      </c>
      <c r="E7" s="251" t="s">
        <v>131</v>
      </c>
      <c r="F7" s="252">
        <v>1030</v>
      </c>
      <c r="G7" s="252" t="s">
        <v>43</v>
      </c>
      <c r="H7" s="252" t="s">
        <v>132</v>
      </c>
      <c r="I7" s="253" t="s">
        <v>123</v>
      </c>
      <c r="J7" s="252">
        <v>209</v>
      </c>
      <c r="K7" s="252" t="s">
        <v>124</v>
      </c>
      <c r="L7" s="254"/>
      <c r="M7" s="254"/>
      <c r="N7" s="255"/>
    </row>
    <row r="8" ht="47.25" customHeight="1" spans="1:14">
      <c r="A8" s="249"/>
      <c r="B8" s="59" t="s">
        <v>129</v>
      </c>
      <c r="C8" s="48" t="s">
        <v>119</v>
      </c>
      <c r="D8" s="250" t="s">
        <v>130</v>
      </c>
      <c r="E8" s="251" t="s">
        <v>131</v>
      </c>
      <c r="F8" s="252">
        <v>1030</v>
      </c>
      <c r="G8" s="252" t="s">
        <v>47</v>
      </c>
      <c r="H8" s="252" t="s">
        <v>133</v>
      </c>
      <c r="I8" s="253" t="s">
        <v>123</v>
      </c>
      <c r="J8" s="252">
        <v>412</v>
      </c>
      <c r="K8" s="252" t="s">
        <v>124</v>
      </c>
      <c r="L8" s="254"/>
      <c r="M8" s="254"/>
      <c r="N8" s="255"/>
    </row>
    <row r="9" ht="47.25" customHeight="1" spans="1:14">
      <c r="A9" s="249"/>
      <c r="B9" s="59" t="s">
        <v>129</v>
      </c>
      <c r="C9" s="48" t="s">
        <v>119</v>
      </c>
      <c r="D9" s="250" t="s">
        <v>130</v>
      </c>
      <c r="E9" s="251" t="s">
        <v>131</v>
      </c>
      <c r="F9" s="252">
        <v>1030</v>
      </c>
      <c r="G9" s="252" t="s">
        <v>127</v>
      </c>
      <c r="H9" s="252" t="s">
        <v>134</v>
      </c>
      <c r="I9" s="253" t="s">
        <v>123</v>
      </c>
      <c r="J9" s="252">
        <v>330</v>
      </c>
      <c r="K9" s="252" t="s">
        <v>124</v>
      </c>
      <c r="L9" s="254"/>
      <c r="M9" s="254"/>
      <c r="N9" s="255"/>
    </row>
    <row r="10" ht="47.25" customHeight="1" spans="1:14">
      <c r="A10" s="249"/>
      <c r="B10" s="59" t="s">
        <v>129</v>
      </c>
      <c r="C10" s="48" t="s">
        <v>119</v>
      </c>
      <c r="D10" s="250" t="s">
        <v>130</v>
      </c>
      <c r="E10" s="251" t="s">
        <v>131</v>
      </c>
      <c r="F10" s="252">
        <v>1030</v>
      </c>
      <c r="G10" s="252" t="s">
        <v>135</v>
      </c>
      <c r="H10" s="252" t="s">
        <v>136</v>
      </c>
      <c r="I10" s="253" t="s">
        <v>123</v>
      </c>
      <c r="J10" s="252">
        <v>199</v>
      </c>
      <c r="K10" s="252" t="s">
        <v>124</v>
      </c>
      <c r="L10" s="254"/>
      <c r="M10" s="254"/>
      <c r="N10" s="255"/>
    </row>
    <row r="11" s="232" customFormat="1" ht="53.25" customHeight="1" spans="1:14">
      <c r="A11" s="256">
        <f>COUNT(A3:A10)</f>
        <v>1</v>
      </c>
      <c r="B11" s="257"/>
      <c r="C11" s="257"/>
      <c r="D11" s="257"/>
      <c r="E11" s="257"/>
      <c r="F11" s="258"/>
      <c r="G11" s="258"/>
      <c r="H11" s="258"/>
      <c r="I11" s="259"/>
      <c r="J11" s="260">
        <f>SUM(J3:J10)</f>
        <v>1759</v>
      </c>
      <c r="K11" s="260" t="s">
        <v>124</v>
      </c>
      <c r="L11" s="261">
        <f>SUM(L3:L10)</f>
        <v>28.95</v>
      </c>
      <c r="M11" s="262">
        <f>SUM(M3:M10)</f>
        <v>30.3</v>
      </c>
      <c r="N11" s="263">
        <f>SUM(N3:N10)</f>
        <v>0.11</v>
      </c>
    </row>
    <row r="12" ht="21.75" customHeight="1" spans="1:14">
      <c r="A12" s="264" t="s">
        <v>110</v>
      </c>
      <c r="B12" s="264"/>
      <c r="C12" s="264"/>
      <c r="D12" s="265"/>
      <c r="E12" s="266"/>
      <c r="F12" s="266"/>
      <c r="G12" s="266"/>
      <c r="H12" s="266"/>
      <c r="I12" s="267"/>
      <c r="J12" s="266"/>
      <c r="K12" s="266"/>
      <c r="L12" s="266"/>
      <c r="M12" s="267"/>
      <c r="N12" s="267"/>
    </row>
    <row r="13" ht="21.75" customHeight="1" spans="1:14">
      <c r="A13" s="268"/>
      <c r="B13" s="269"/>
      <c r="C13" s="269"/>
      <c r="D13" s="265"/>
      <c r="E13" s="265"/>
      <c r="F13" s="270" t="s">
        <v>137</v>
      </c>
      <c r="G13" s="270"/>
      <c r="H13" s="270"/>
      <c r="I13" s="270"/>
      <c r="J13" s="270"/>
      <c r="K13" s="270"/>
      <c r="L13" s="270"/>
      <c r="M13" s="270"/>
      <c r="N13" s="270"/>
    </row>
    <row r="14" ht="23.25" customHeight="1" spans="1:14">
      <c r="A14" s="271"/>
      <c r="B14" s="272"/>
      <c r="C14" s="272"/>
      <c r="D14" s="272"/>
      <c r="E14" s="272"/>
      <c r="F14" s="272"/>
      <c r="G14" s="272"/>
      <c r="H14" s="273"/>
      <c r="I14" s="274"/>
      <c r="J14" s="273" t="s">
        <v>111</v>
      </c>
      <c r="K14" s="273"/>
      <c r="L14" s="273"/>
      <c r="M14" s="273"/>
      <c r="N14" s="273"/>
    </row>
    <row r="15" ht="21.75" customHeight="1"/>
    <row r="18" spans="2:14">
      <c r="J18" s="275"/>
      <c r="K18" s="275"/>
      <c r="L18" s="275"/>
      <c r="M18" s="275"/>
      <c r="N18" s="275"/>
    </row>
    <row r="28" s="233" customFormat="1" ht="32" spans="2:14">
      <c r="B28" s="92"/>
      <c r="C28" s="92"/>
      <c r="D28" s="92"/>
      <c r="E28" s="92"/>
      <c r="F28" s="234"/>
      <c r="G28" s="234"/>
      <c r="H28" s="92"/>
      <c r="J28" s="276"/>
      <c r="K28" s="276"/>
      <c r="L28" s="276"/>
      <c r="M28" s="276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A10" workbookViewId="0">
      <selection activeCell="C19" sqref="C19:H19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818181818182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138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139</v>
      </c>
      <c r="B3" s="194" t="s">
        <v>140</v>
      </c>
      <c r="C3" s="197" t="str">
        <f>DPK!J7</f>
        <v>AK/GDI-20260015</v>
      </c>
      <c r="D3" s="198"/>
      <c r="E3" s="198"/>
      <c r="F3" s="198"/>
      <c r="G3" s="198"/>
    </row>
    <row r="4" spans="1:12">
      <c r="A4" s="194" t="s">
        <v>141</v>
      </c>
      <c r="B4" s="194" t="s">
        <v>140</v>
      </c>
      <c r="C4" s="199">
        <f>DPK!L7</f>
        <v>46216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142</v>
      </c>
      <c r="B6" s="194" t="s">
        <v>140</v>
      </c>
      <c r="C6" s="198" t="s">
        <v>143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144</v>
      </c>
      <c r="B9" s="194" t="s">
        <v>140</v>
      </c>
      <c r="C9" s="201" t="str">
        <f>DPK!A11</f>
        <v>GDI HK LIMITED</v>
      </c>
      <c r="D9" s="201"/>
      <c r="E9" s="201"/>
      <c r="F9" s="201"/>
      <c r="G9" s="201"/>
    </row>
    <row r="10" ht="39" customHeight="1" spans="1:12">
      <c r="C10" s="202" t="s">
        <v>145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146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147</v>
      </c>
      <c r="D14" s="204"/>
      <c r="E14" s="204"/>
      <c r="F14" s="204"/>
      <c r="G14" s="204"/>
    </row>
    <row r="15" ht="20.25" customHeight="1" spans="1:12">
      <c r="A15" s="194" t="s">
        <v>148</v>
      </c>
      <c r="B15" s="194" t="s">
        <v>140</v>
      </c>
      <c r="C15" s="197" t="str">
        <f>DPK!A17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149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150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151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152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153</v>
      </c>
      <c r="C20" s="207" t="s">
        <v>154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155</v>
      </c>
      <c r="D21" s="208"/>
      <c r="E21" s="208"/>
      <c r="F21" s="208"/>
      <c r="G21" s="208"/>
      <c r="H21" s="208"/>
      <c r="J21" s="206"/>
    </row>
    <row r="22" spans="1:12">
      <c r="C22" s="209" t="s">
        <v>156</v>
      </c>
    </row>
    <row r="23" spans="1:12">
      <c r="A23" s="210" t="s">
        <v>157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</row>
    <row r="24" ht="14.75" spans="1:12">
      <c r="A24" s="210"/>
      <c r="B24" s="210"/>
      <c r="C24" s="210"/>
      <c r="D24" s="210"/>
      <c r="E24" s="210"/>
      <c r="F24" s="210"/>
      <c r="G24" s="211"/>
      <c r="H24" s="211"/>
      <c r="I24" s="211"/>
      <c r="J24" s="211"/>
      <c r="K24" s="210"/>
      <c r="L24" s="210"/>
    </row>
    <row r="25" ht="46.5" customHeight="1" spans="1:12">
      <c r="A25" s="128" t="s">
        <v>24</v>
      </c>
      <c r="B25" s="212" t="s">
        <v>25</v>
      </c>
      <c r="C25" s="213"/>
      <c r="D25" s="130" t="s">
        <v>26</v>
      </c>
      <c r="E25" s="130" t="s">
        <v>27</v>
      </c>
      <c r="F25" s="130" t="s">
        <v>28</v>
      </c>
      <c r="G25" s="130" t="s">
        <v>29</v>
      </c>
      <c r="H25" s="214" t="s">
        <v>30</v>
      </c>
      <c r="I25" s="215" t="s">
        <v>31</v>
      </c>
      <c r="J25" s="215" t="s">
        <v>32</v>
      </c>
      <c r="K25" s="132" t="s">
        <v>33</v>
      </c>
      <c r="L25" s="210"/>
    </row>
    <row r="26" ht="44.1" customHeight="1" spans="1:12">
      <c r="A26" s="133" t="s">
        <v>158</v>
      </c>
      <c r="B26" s="216" t="s">
        <v>159</v>
      </c>
      <c r="C26" s="217"/>
      <c r="D26" s="218">
        <v>1051120</v>
      </c>
      <c r="E26" s="136" t="s">
        <v>36</v>
      </c>
      <c r="F26" s="570" t="s">
        <v>54</v>
      </c>
      <c r="G26" s="219" t="s">
        <v>38</v>
      </c>
      <c r="H26" s="218">
        <v>1152</v>
      </c>
      <c r="I26" s="218" t="s">
        <v>39</v>
      </c>
      <c r="J26" s="136">
        <v>0.17</v>
      </c>
      <c r="K26" s="137">
        <f>ROUND(H26*J26,3)</f>
        <v>195.84</v>
      </c>
      <c r="L26" s="210"/>
    </row>
    <row r="27" ht="44.1" customHeight="1" spans="1:12">
      <c r="A27" s="133" t="s">
        <v>158</v>
      </c>
      <c r="B27" s="216" t="s">
        <v>159</v>
      </c>
      <c r="C27" s="217"/>
      <c r="D27" s="218">
        <v>1051120</v>
      </c>
      <c r="E27" s="136" t="s">
        <v>36</v>
      </c>
      <c r="F27" s="570" t="s">
        <v>54</v>
      </c>
      <c r="G27" s="219" t="s">
        <v>41</v>
      </c>
      <c r="H27" s="218">
        <v>2703</v>
      </c>
      <c r="I27" s="218" t="s">
        <v>39</v>
      </c>
      <c r="J27" s="136">
        <v>0.17</v>
      </c>
      <c r="K27" s="137">
        <f>ROUND(H27*J27,3)</f>
        <v>459.51</v>
      </c>
      <c r="L27" s="210"/>
    </row>
    <row r="28" ht="44.1" customHeight="1" spans="1:12">
      <c r="A28" s="133" t="s">
        <v>158</v>
      </c>
      <c r="B28" s="216" t="s">
        <v>159</v>
      </c>
      <c r="C28" s="217"/>
      <c r="D28" s="218">
        <v>1051120</v>
      </c>
      <c r="E28" s="136" t="s">
        <v>36</v>
      </c>
      <c r="F28" s="570" t="s">
        <v>54</v>
      </c>
      <c r="G28" s="219" t="s">
        <v>43</v>
      </c>
      <c r="H28" s="218">
        <v>1869</v>
      </c>
      <c r="I28" s="218" t="s">
        <v>39</v>
      </c>
      <c r="J28" s="136">
        <v>0.17</v>
      </c>
      <c r="K28" s="137">
        <f>ROUND(H28*J28,3)</f>
        <v>317.73</v>
      </c>
      <c r="L28" s="210"/>
    </row>
    <row r="29" ht="44.1" customHeight="1" spans="1:12">
      <c r="A29" s="133" t="s">
        <v>158</v>
      </c>
      <c r="B29" s="216" t="s">
        <v>159</v>
      </c>
      <c r="C29" s="217"/>
      <c r="D29" s="218">
        <v>1051120</v>
      </c>
      <c r="E29" s="136" t="s">
        <v>36</v>
      </c>
      <c r="F29" s="570" t="s">
        <v>54</v>
      </c>
      <c r="G29" s="219" t="s">
        <v>47</v>
      </c>
      <c r="H29" s="218">
        <v>3823</v>
      </c>
      <c r="I29" s="218" t="s">
        <v>39</v>
      </c>
      <c r="J29" s="136">
        <v>0.17</v>
      </c>
      <c r="K29" s="137">
        <f>ROUND(H29*J29,3)</f>
        <v>649.91</v>
      </c>
    </row>
    <row r="30" ht="44.1" customHeight="1" spans="1:12">
      <c r="A30" s="133" t="s">
        <v>158</v>
      </c>
      <c r="B30" s="216" t="s">
        <v>159</v>
      </c>
      <c r="C30" s="217"/>
      <c r="D30" s="218">
        <v>1051120</v>
      </c>
      <c r="E30" s="136" t="s">
        <v>36</v>
      </c>
      <c r="F30" s="570" t="s">
        <v>54</v>
      </c>
      <c r="G30" s="219" t="s">
        <v>40</v>
      </c>
      <c r="H30" s="218">
        <v>2332</v>
      </c>
      <c r="I30" s="218" t="s">
        <v>39</v>
      </c>
      <c r="J30" s="136">
        <v>0.17</v>
      </c>
      <c r="K30" s="137">
        <f>ROUND(H30*J30,3)</f>
        <v>396.44</v>
      </c>
      <c r="L30" s="210"/>
    </row>
    <row r="31" ht="44.1" customHeight="1" spans="1:12">
      <c r="A31" s="133" t="s">
        <v>158</v>
      </c>
      <c r="B31" s="216" t="s">
        <v>159</v>
      </c>
      <c r="C31" s="217"/>
      <c r="D31" s="218">
        <v>1051120</v>
      </c>
      <c r="E31" s="136" t="s">
        <v>36</v>
      </c>
      <c r="F31" s="570" t="s">
        <v>54</v>
      </c>
      <c r="G31" s="219" t="s">
        <v>42</v>
      </c>
      <c r="H31" s="218">
        <v>1744</v>
      </c>
      <c r="I31" s="218" t="s">
        <v>39</v>
      </c>
      <c r="J31" s="136">
        <v>0.17</v>
      </c>
      <c r="K31" s="137">
        <f>ROUND(H31*J31,3)</f>
        <v>296.48</v>
      </c>
      <c r="L31" s="210"/>
    </row>
    <row r="32" ht="44.1" customHeight="1" spans="1:12">
      <c r="A32" s="133" t="s">
        <v>158</v>
      </c>
      <c r="B32" s="216" t="s">
        <v>159</v>
      </c>
      <c r="C32" s="217"/>
      <c r="D32" s="218">
        <v>1051120</v>
      </c>
      <c r="E32" s="136" t="s">
        <v>36</v>
      </c>
      <c r="F32" s="570" t="s">
        <v>54</v>
      </c>
      <c r="G32" s="219" t="s">
        <v>44</v>
      </c>
      <c r="H32" s="218">
        <v>205</v>
      </c>
      <c r="I32" s="218" t="s">
        <v>39</v>
      </c>
      <c r="J32" s="136">
        <v>0.17</v>
      </c>
      <c r="K32" s="137">
        <f>ROUND(H32*J32,3)</f>
        <v>34.85</v>
      </c>
      <c r="L32" s="210"/>
    </row>
    <row r="33" ht="44.1" customHeight="1" spans="1:12">
      <c r="A33" s="133" t="s">
        <v>158</v>
      </c>
      <c r="B33" s="216" t="s">
        <v>159</v>
      </c>
      <c r="C33" s="217"/>
      <c r="D33" s="218">
        <v>1051120</v>
      </c>
      <c r="E33" s="136" t="s">
        <v>36</v>
      </c>
      <c r="F33" s="570" t="s">
        <v>54</v>
      </c>
      <c r="G33" s="219" t="s">
        <v>45</v>
      </c>
      <c r="H33" s="218">
        <v>147</v>
      </c>
      <c r="I33" s="218" t="s">
        <v>39</v>
      </c>
      <c r="J33" s="136">
        <v>0.17</v>
      </c>
      <c r="K33" s="137">
        <f>ROUND(H33*J33,3)</f>
        <v>24.99</v>
      </c>
      <c r="L33" s="210"/>
    </row>
    <row r="34" ht="44.1" customHeight="1" spans="1:12">
      <c r="A34" s="133" t="s">
        <v>158</v>
      </c>
      <c r="B34" s="216" t="s">
        <v>159</v>
      </c>
      <c r="C34" s="217"/>
      <c r="D34" s="218">
        <v>1051120</v>
      </c>
      <c r="E34" s="136" t="s">
        <v>36</v>
      </c>
      <c r="F34" s="570" t="s">
        <v>54</v>
      </c>
      <c r="G34" s="219" t="s">
        <v>46</v>
      </c>
      <c r="H34" s="218">
        <v>186</v>
      </c>
      <c r="I34" s="218" t="s">
        <v>39</v>
      </c>
      <c r="J34" s="136">
        <v>0.17</v>
      </c>
      <c r="K34" s="137">
        <f>ROUND(H34*J34,3)</f>
        <v>31.62</v>
      </c>
    </row>
    <row r="35" ht="39.95" customHeight="1" spans="1:12">
      <c r="A35" s="220"/>
      <c r="B35" s="221" t="s">
        <v>62</v>
      </c>
      <c r="C35" s="222"/>
      <c r="D35" s="223"/>
      <c r="E35" s="223"/>
      <c r="F35" s="224"/>
      <c r="G35" s="143"/>
      <c r="H35" s="225">
        <f>SUM(H26:H34)</f>
        <v>14161</v>
      </c>
      <c r="I35" s="143" t="s">
        <v>39</v>
      </c>
      <c r="J35" s="226" t="s">
        <v>63</v>
      </c>
      <c r="K35" s="227">
        <f>SUM(K26:K34)</f>
        <v>2407.37</v>
      </c>
      <c r="L35" s="210"/>
    </row>
    <row r="36" ht="24.95" customHeight="1" spans="1:12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</row>
    <row r="38" spans="1:12">
      <c r="A38" s="228" t="s">
        <v>160</v>
      </c>
      <c r="C38" s="198" t="e">
        <f>INV!#REF!</f>
        <v>#REF!</v>
      </c>
    </row>
    <row r="39" spans="1:12">
      <c r="A39" s="228" t="s">
        <v>161</v>
      </c>
    </row>
    <row r="40" spans="1:12">
      <c r="A40" s="228" t="s">
        <v>162</v>
      </c>
      <c r="C40" s="194" t="s">
        <v>163</v>
      </c>
    </row>
    <row r="41" spans="1:12">
      <c r="A41" s="228" t="s">
        <v>164</v>
      </c>
    </row>
    <row r="42" spans="1:12">
      <c r="A42" s="228" t="s">
        <v>165</v>
      </c>
      <c r="C42" s="206" t="s">
        <v>166</v>
      </c>
    </row>
    <row r="43" spans="1:12">
      <c r="A43" s="228" t="s">
        <v>167</v>
      </c>
      <c r="C43" s="229">
        <f>DPK!E29</f>
        <v>46224</v>
      </c>
    </row>
    <row r="44" spans="1:12">
      <c r="A44" s="228" t="s">
        <v>168</v>
      </c>
      <c r="C44" s="198" t="s">
        <v>169</v>
      </c>
    </row>
    <row r="45" spans="1:12">
      <c r="A45" s="228" t="s">
        <v>170</v>
      </c>
      <c r="C45" s="198" t="str">
        <f>C9</f>
        <v>GDI HK LIMITED</v>
      </c>
    </row>
    <row r="46" ht="31.5" customHeight="1" spans="1:12">
      <c r="A46" s="230" t="s">
        <v>171</v>
      </c>
      <c r="B46" s="230"/>
      <c r="C46" s="230"/>
      <c r="D46" s="230"/>
      <c r="E46" s="230"/>
      <c r="F46" s="230"/>
      <c r="G46" s="230"/>
      <c r="H46" s="230"/>
    </row>
    <row r="48" ht="15" spans="1:12">
      <c r="A48" s="231" t="s">
        <v>172</v>
      </c>
      <c r="B48" s="231"/>
      <c r="C48" s="231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A1" sqref="A1:J1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818181818182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69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173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174</v>
      </c>
      <c r="B6" s="108"/>
      <c r="C6" s="109"/>
      <c r="D6" s="109"/>
      <c r="E6" s="109"/>
      <c r="F6" s="109"/>
      <c r="H6" s="110" t="s">
        <v>175</v>
      </c>
      <c r="I6" s="111" t="s">
        <v>176</v>
      </c>
    </row>
    <row r="7" ht="27.75" customHeight="1" spans="1:27">
      <c r="A7" s="112" t="s">
        <v>177</v>
      </c>
      <c r="B7" s="113"/>
      <c r="C7" s="113"/>
      <c r="D7" s="113"/>
      <c r="E7" s="113"/>
      <c r="F7" s="113"/>
      <c r="H7" s="114" t="s">
        <v>178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179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180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181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182</v>
      </c>
      <c r="B12" s="125"/>
      <c r="C12" s="127" t="s">
        <v>140</v>
      </c>
      <c r="D12" s="118" t="s">
        <v>183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24</v>
      </c>
      <c r="B14" s="129" t="s">
        <v>25</v>
      </c>
      <c r="C14" s="130" t="s">
        <v>26</v>
      </c>
      <c r="D14" s="130" t="s">
        <v>27</v>
      </c>
      <c r="E14" s="130" t="s">
        <v>28</v>
      </c>
      <c r="F14" s="130" t="s">
        <v>29</v>
      </c>
      <c r="G14" s="131" t="s">
        <v>30</v>
      </c>
      <c r="H14" s="130" t="s">
        <v>31</v>
      </c>
      <c r="I14" s="130" t="s">
        <v>32</v>
      </c>
      <c r="J14" s="132" t="s">
        <v>33</v>
      </c>
    </row>
    <row r="15" s="93" customFormat="1" ht="69.95" customHeight="1" spans="1:27">
      <c r="A15" s="133" t="s">
        <v>184</v>
      </c>
      <c r="B15" s="133" t="s">
        <v>185</v>
      </c>
      <c r="C15" s="134">
        <v>1051120</v>
      </c>
      <c r="D15" s="133" t="s">
        <v>36</v>
      </c>
      <c r="E15" s="571" t="s">
        <v>51</v>
      </c>
      <c r="F15" s="135" t="s">
        <v>40</v>
      </c>
      <c r="G15" s="135">
        <v>41</v>
      </c>
      <c r="H15" s="135" t="s">
        <v>39</v>
      </c>
      <c r="I15" s="136">
        <v>0.17</v>
      </c>
      <c r="J15" s="137">
        <v>6.97</v>
      </c>
    </row>
    <row r="16" ht="69.95" customHeight="1" spans="1:27">
      <c r="A16" s="133" t="s">
        <v>184</v>
      </c>
      <c r="B16" s="133" t="s">
        <v>185</v>
      </c>
      <c r="C16" s="134">
        <v>1051120</v>
      </c>
      <c r="D16" s="133" t="s">
        <v>36</v>
      </c>
      <c r="E16" s="571" t="s">
        <v>51</v>
      </c>
      <c r="F16" s="135" t="s">
        <v>42</v>
      </c>
      <c r="G16" s="135">
        <v>12</v>
      </c>
      <c r="H16" s="135" t="s">
        <v>39</v>
      </c>
      <c r="I16" s="136">
        <v>0.17</v>
      </c>
      <c r="J16" s="137">
        <v>2.04</v>
      </c>
    </row>
    <row r="17" s="93" customFormat="1" ht="69.95" customHeight="1" spans="1:10">
      <c r="A17" s="133" t="s">
        <v>184</v>
      </c>
      <c r="B17" s="133" t="s">
        <v>185</v>
      </c>
      <c r="C17" s="134">
        <v>1051120</v>
      </c>
      <c r="D17" s="133" t="s">
        <v>36</v>
      </c>
      <c r="E17" s="571" t="s">
        <v>54</v>
      </c>
      <c r="F17" s="135" t="s">
        <v>41</v>
      </c>
      <c r="G17" s="135">
        <v>123</v>
      </c>
      <c r="H17" s="135" t="s">
        <v>39</v>
      </c>
      <c r="I17" s="136">
        <v>0.17</v>
      </c>
      <c r="J17" s="137">
        <v>20.91</v>
      </c>
    </row>
    <row r="18" s="93" customFormat="1" ht="69.95" customHeight="1" spans="1:10">
      <c r="A18" s="133" t="s">
        <v>184</v>
      </c>
      <c r="B18" s="133" t="s">
        <v>185</v>
      </c>
      <c r="C18" s="134">
        <v>1051120</v>
      </c>
      <c r="D18" s="133" t="s">
        <v>36</v>
      </c>
      <c r="E18" s="571" t="s">
        <v>54</v>
      </c>
      <c r="F18" s="135" t="s">
        <v>45</v>
      </c>
      <c r="G18" s="135">
        <v>52</v>
      </c>
      <c r="H18" s="135" t="s">
        <v>39</v>
      </c>
      <c r="I18" s="136">
        <v>0.17</v>
      </c>
      <c r="J18" s="137">
        <v>8.84</v>
      </c>
    </row>
    <row r="19" ht="69.95" customHeight="1" spans="1:10">
      <c r="A19" s="133" t="s">
        <v>184</v>
      </c>
      <c r="B19" s="133" t="s">
        <v>185</v>
      </c>
      <c r="C19" s="134">
        <v>1051120</v>
      </c>
      <c r="D19" s="133" t="s">
        <v>36</v>
      </c>
      <c r="E19" s="571" t="s">
        <v>54</v>
      </c>
      <c r="F19" s="135" t="s">
        <v>46</v>
      </c>
      <c r="G19" s="135">
        <v>31</v>
      </c>
      <c r="H19" s="135" t="s">
        <v>39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62</v>
      </c>
      <c r="D20" s="141"/>
      <c r="E20" s="142"/>
      <c r="F20" s="142"/>
      <c r="G20" s="143">
        <f>SUM(G15:G19)</f>
        <v>259</v>
      </c>
      <c r="H20" s="143" t="s">
        <v>39</v>
      </c>
      <c r="I20" s="144" t="s">
        <v>63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186</v>
      </c>
      <c r="B23" s="125"/>
      <c r="C23" s="127" t="s">
        <v>140</v>
      </c>
      <c r="D23" s="118" t="s">
        <v>187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30</v>
      </c>
      <c r="B24" s="125"/>
      <c r="C24" s="127" t="s">
        <v>140</v>
      </c>
      <c r="D24" s="152">
        <f>G20</f>
        <v>259</v>
      </c>
      <c r="E24" s="152" t="s">
        <v>39</v>
      </c>
      <c r="F24" s="152"/>
      <c r="G24" s="153"/>
      <c r="H24" s="154"/>
      <c r="I24" s="125"/>
    </row>
    <row r="25" s="93" customFormat="1" ht="21.75" customHeight="1" spans="1:10">
      <c r="A25" s="124" t="s">
        <v>188</v>
      </c>
      <c r="B25" s="125"/>
      <c r="C25" s="127" t="s">
        <v>140</v>
      </c>
      <c r="D25" s="118" t="s">
        <v>189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190</v>
      </c>
      <c r="B26" s="125"/>
      <c r="C26" s="127" t="s">
        <v>140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191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192</v>
      </c>
      <c r="B28" s="158"/>
      <c r="C28" s="159" t="s">
        <v>140</v>
      </c>
      <c r="D28" s="160" t="s">
        <v>193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194</v>
      </c>
      <c r="B29" s="158"/>
      <c r="C29" s="159" t="s">
        <v>140</v>
      </c>
      <c r="D29" s="118" t="s">
        <v>195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196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149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150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197</v>
      </c>
      <c r="B33" s="121"/>
      <c r="C33" s="159"/>
      <c r="D33" s="160" t="s">
        <v>169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198</v>
      </c>
      <c r="B34" s="121"/>
      <c r="C34" s="159"/>
      <c r="D34" s="160" t="e">
        <f>DPK!#REF!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DPK!#REF!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DPK!#REF!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199</v>
      </c>
      <c r="B37" s="158"/>
      <c r="C37" s="159" t="s">
        <v>140</v>
      </c>
      <c r="D37" s="121" t="s">
        <v>200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201</v>
      </c>
      <c r="B38" s="158"/>
      <c r="C38" s="159" t="s">
        <v>140</v>
      </c>
      <c r="D38" s="121" t="s">
        <v>202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203</v>
      </c>
      <c r="B39" s="158"/>
      <c r="C39" s="159" t="s">
        <v>140</v>
      </c>
      <c r="D39" s="572" t="s">
        <v>204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205</v>
      </c>
      <c r="B40" s="158"/>
      <c r="C40" s="159" t="s">
        <v>140</v>
      </c>
      <c r="D40" s="165" t="s">
        <v>206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207</v>
      </c>
      <c r="B41" s="167"/>
      <c r="C41" s="159" t="s">
        <v>140</v>
      </c>
      <c r="D41" s="168">
        <f>DPK!C29</f>
        <v>46221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208</v>
      </c>
      <c r="B42" s="158"/>
      <c r="C42" s="159" t="s">
        <v>140</v>
      </c>
      <c r="D42" s="170" t="s">
        <v>209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210</v>
      </c>
      <c r="B43" s="158"/>
      <c r="C43" s="159" t="s">
        <v>140</v>
      </c>
      <c r="D43" s="170" t="s">
        <v>82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211</v>
      </c>
      <c r="B44" s="158"/>
      <c r="C44" s="159" t="s">
        <v>140</v>
      </c>
      <c r="D44" s="160" t="s">
        <v>212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213</v>
      </c>
      <c r="B45" s="158"/>
      <c r="C45" s="159" t="s">
        <v>140</v>
      </c>
      <c r="D45" s="160" t="s">
        <v>214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215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216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217</v>
      </c>
      <c r="B48" s="178"/>
      <c r="C48" s="179"/>
      <c r="D48" s="179"/>
      <c r="E48" s="160"/>
      <c r="F48" s="178" t="s">
        <v>217</v>
      </c>
      <c r="G48" s="178"/>
      <c r="H48" s="178"/>
      <c r="I48" s="178"/>
    </row>
    <row r="49" s="93" customFormat="1" ht="20.25" customHeight="1" spans="1:10">
      <c r="A49" s="180" t="s">
        <v>218</v>
      </c>
      <c r="B49" s="164"/>
      <c r="C49" s="163"/>
      <c r="D49" s="163"/>
      <c r="E49" s="160"/>
      <c r="F49" s="178" t="s">
        <v>219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8181818181818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220</v>
      </c>
      <c r="J1" s="15"/>
    </row>
    <row r="2" s="1" customFormat="1" ht="15.75" customHeight="1" spans="1:12">
      <c r="A2" s="11"/>
      <c r="B2" s="11"/>
      <c r="C2" s="16"/>
      <c r="D2" s="17" t="s">
        <v>221</v>
      </c>
      <c r="E2" s="17"/>
      <c r="F2" s="17"/>
      <c r="G2" s="17"/>
      <c r="H2" s="18"/>
      <c r="I2" s="19" t="s">
        <v>222</v>
      </c>
      <c r="J2" s="20"/>
    </row>
    <row r="3" s="1" customFormat="1" ht="31.5" customHeight="1" spans="1:12">
      <c r="A3" s="21" t="s">
        <v>223</v>
      </c>
      <c r="B3" s="21"/>
      <c r="C3" s="21"/>
      <c r="D3" s="17"/>
      <c r="E3" s="17"/>
      <c r="F3" s="17"/>
      <c r="G3" s="17"/>
      <c r="H3" s="18"/>
      <c r="I3" s="19" t="s">
        <v>224</v>
      </c>
      <c r="J3" s="20"/>
    </row>
    <row r="4" s="1" customFormat="1" ht="23.25" customHeight="1" spans="1:12">
      <c r="A4" s="22"/>
      <c r="B4" s="22"/>
      <c r="C4" s="23">
        <f ca="1">NOW()</f>
        <v>46218.415150463</v>
      </c>
      <c r="D4" s="23"/>
      <c r="E4" s="23"/>
      <c r="F4" s="23"/>
      <c r="G4" s="23"/>
      <c r="H4" s="23"/>
      <c r="I4" s="24" t="s">
        <v>225</v>
      </c>
    </row>
    <row r="5" ht="24" customHeight="1" spans="1:12">
      <c r="A5" s="22"/>
      <c r="B5" s="22"/>
      <c r="C5" s="23" t="s">
        <v>226</v>
      </c>
      <c r="D5" s="23"/>
      <c r="E5" s="23"/>
      <c r="F5" s="23"/>
      <c r="G5" s="23"/>
      <c r="H5" s="23"/>
      <c r="I5" s="24" t="s">
        <v>227</v>
      </c>
      <c r="L5" s="2"/>
    </row>
    <row r="6" ht="31.5" customHeight="1" spans="1:12">
      <c r="A6" s="6" t="s">
        <v>228</v>
      </c>
      <c r="C6" s="25"/>
      <c r="D6" s="25"/>
      <c r="E6" s="25"/>
      <c r="H6" s="26" t="s">
        <v>229</v>
      </c>
      <c r="I6" s="27"/>
      <c r="J6" s="27"/>
      <c r="K6" s="28"/>
    </row>
    <row r="7" ht="31.5" customHeight="1" spans="1:12">
      <c r="A7" s="6" t="s">
        <v>230</v>
      </c>
      <c r="H7" s="29" t="s">
        <v>231</v>
      </c>
      <c r="I7" s="29"/>
      <c r="J7" s="25"/>
      <c r="K7" s="30"/>
    </row>
    <row r="8" ht="31.5" customHeight="1" spans="1:12">
      <c r="A8" s="6" t="s">
        <v>232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233</v>
      </c>
      <c r="C9" s="32" t="s">
        <v>234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235</v>
      </c>
      <c r="C10" s="10" t="s">
        <v>236</v>
      </c>
      <c r="D10" s="10"/>
      <c r="E10" s="10"/>
      <c r="J10" s="9" t="s">
        <v>237</v>
      </c>
    </row>
    <row r="11" ht="31.5" customHeight="1" spans="1:12">
      <c r="A11" s="6" t="s">
        <v>238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239</v>
      </c>
      <c r="B12" s="35" t="s">
        <v>24</v>
      </c>
      <c r="C12" s="35" t="s">
        <v>240</v>
      </c>
      <c r="D12" s="35" t="s">
        <v>241</v>
      </c>
      <c r="E12" s="36" t="s">
        <v>242</v>
      </c>
      <c r="F12" s="36"/>
      <c r="G12" s="35" t="s">
        <v>243</v>
      </c>
      <c r="H12" s="37" t="s">
        <v>244</v>
      </c>
      <c r="I12" s="38" t="s">
        <v>245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246</v>
      </c>
      <c r="I13" s="45"/>
      <c r="J13" s="46"/>
    </row>
    <row r="14" s="2" customFormat="1" ht="19.5" customHeight="1" spans="1:12">
      <c r="A14" s="47">
        <v>1</v>
      </c>
      <c r="B14" s="48" t="s">
        <v>247</v>
      </c>
      <c r="C14" s="49" t="s">
        <v>248</v>
      </c>
      <c r="D14" s="50" t="s">
        <v>249</v>
      </c>
      <c r="E14" s="51" t="s">
        <v>250</v>
      </c>
      <c r="F14" s="52"/>
      <c r="G14" s="53" t="s">
        <v>39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247</v>
      </c>
      <c r="C15" s="49" t="s">
        <v>251</v>
      </c>
      <c r="D15" s="50" t="s">
        <v>252</v>
      </c>
      <c r="E15" s="51" t="s">
        <v>250</v>
      </c>
      <c r="F15" s="52"/>
      <c r="G15" s="53" t="s">
        <v>39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247</v>
      </c>
      <c r="C16" s="49" t="s">
        <v>253</v>
      </c>
      <c r="D16" s="50" t="s">
        <v>254</v>
      </c>
      <c r="E16" s="51" t="s">
        <v>250</v>
      </c>
      <c r="F16" s="52"/>
      <c r="G16" s="53" t="s">
        <v>39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255</v>
      </c>
      <c r="C17" s="49" t="s">
        <v>256</v>
      </c>
      <c r="D17" s="50" t="s">
        <v>257</v>
      </c>
      <c r="E17" s="60" t="s">
        <v>43</v>
      </c>
      <c r="F17" s="60" t="s">
        <v>258</v>
      </c>
      <c r="G17" s="53" t="s">
        <v>39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255</v>
      </c>
      <c r="C18" s="49" t="s">
        <v>256</v>
      </c>
      <c r="D18" s="50" t="s">
        <v>257</v>
      </c>
      <c r="E18" s="60" t="s">
        <v>47</v>
      </c>
      <c r="F18" s="60" t="s">
        <v>258</v>
      </c>
      <c r="G18" s="53" t="s">
        <v>39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255</v>
      </c>
      <c r="C19" s="49" t="s">
        <v>256</v>
      </c>
      <c r="D19" s="50" t="s">
        <v>257</v>
      </c>
      <c r="E19" s="60" t="s">
        <v>127</v>
      </c>
      <c r="F19" s="60" t="s">
        <v>258</v>
      </c>
      <c r="G19" s="53" t="s">
        <v>39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255</v>
      </c>
      <c r="C20" s="49" t="s">
        <v>256</v>
      </c>
      <c r="D20" s="50" t="s">
        <v>257</v>
      </c>
      <c r="E20" s="60" t="s">
        <v>135</v>
      </c>
      <c r="F20" s="60" t="s">
        <v>258</v>
      </c>
      <c r="G20" s="53" t="s">
        <v>39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255</v>
      </c>
      <c r="C21" s="49" t="s">
        <v>259</v>
      </c>
      <c r="D21" s="50" t="s">
        <v>257</v>
      </c>
      <c r="E21" s="60" t="s">
        <v>43</v>
      </c>
      <c r="F21" s="60" t="s">
        <v>258</v>
      </c>
      <c r="G21" s="53" t="s">
        <v>39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255</v>
      </c>
      <c r="C22" s="49" t="s">
        <v>259</v>
      </c>
      <c r="D22" s="50" t="s">
        <v>257</v>
      </c>
      <c r="E22" s="60" t="s">
        <v>47</v>
      </c>
      <c r="F22" s="60" t="s">
        <v>258</v>
      </c>
      <c r="G22" s="53" t="s">
        <v>39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255</v>
      </c>
      <c r="C23" s="49" t="s">
        <v>259</v>
      </c>
      <c r="D23" s="50" t="s">
        <v>257</v>
      </c>
      <c r="E23" s="60" t="s">
        <v>127</v>
      </c>
      <c r="F23" s="60" t="s">
        <v>258</v>
      </c>
      <c r="G23" s="53" t="s">
        <v>39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255</v>
      </c>
      <c r="C24" s="49" t="s">
        <v>259</v>
      </c>
      <c r="D24" s="50" t="s">
        <v>257</v>
      </c>
      <c r="E24" s="60" t="s">
        <v>135</v>
      </c>
      <c r="F24" s="60" t="s">
        <v>258</v>
      </c>
      <c r="G24" s="53" t="s">
        <v>39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255</v>
      </c>
      <c r="C25" s="49" t="s">
        <v>260</v>
      </c>
      <c r="D25" s="50" t="s">
        <v>257</v>
      </c>
      <c r="E25" s="60" t="s">
        <v>43</v>
      </c>
      <c r="F25" s="60" t="s">
        <v>258</v>
      </c>
      <c r="G25" s="53" t="s">
        <v>39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255</v>
      </c>
      <c r="C26" s="49" t="s">
        <v>260</v>
      </c>
      <c r="D26" s="50" t="s">
        <v>257</v>
      </c>
      <c r="E26" s="60" t="s">
        <v>47</v>
      </c>
      <c r="F26" s="60" t="s">
        <v>258</v>
      </c>
      <c r="G26" s="53" t="s">
        <v>39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255</v>
      </c>
      <c r="C27" s="49" t="s">
        <v>260</v>
      </c>
      <c r="D27" s="50" t="s">
        <v>257</v>
      </c>
      <c r="E27" s="60" t="s">
        <v>127</v>
      </c>
      <c r="F27" s="60" t="s">
        <v>258</v>
      </c>
      <c r="G27" s="53" t="s">
        <v>39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255</v>
      </c>
      <c r="C28" s="49" t="s">
        <v>260</v>
      </c>
      <c r="D28" s="50" t="s">
        <v>257</v>
      </c>
      <c r="E28" s="60" t="s">
        <v>135</v>
      </c>
      <c r="F28" s="60" t="s">
        <v>258</v>
      </c>
      <c r="G28" s="53" t="s">
        <v>39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255</v>
      </c>
      <c r="C29" s="49" t="s">
        <v>261</v>
      </c>
      <c r="D29" s="50" t="s">
        <v>257</v>
      </c>
      <c r="E29" s="60" t="s">
        <v>43</v>
      </c>
      <c r="F29" s="60" t="s">
        <v>258</v>
      </c>
      <c r="G29" s="53" t="s">
        <v>39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255</v>
      </c>
      <c r="C30" s="49" t="s">
        <v>261</v>
      </c>
      <c r="D30" s="50" t="s">
        <v>257</v>
      </c>
      <c r="E30" s="60" t="s">
        <v>47</v>
      </c>
      <c r="F30" s="60" t="s">
        <v>258</v>
      </c>
      <c r="G30" s="53" t="s">
        <v>39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255</v>
      </c>
      <c r="C31" s="49" t="s">
        <v>261</v>
      </c>
      <c r="D31" s="50" t="s">
        <v>257</v>
      </c>
      <c r="E31" s="60" t="s">
        <v>127</v>
      </c>
      <c r="F31" s="60" t="s">
        <v>258</v>
      </c>
      <c r="G31" s="53" t="s">
        <v>39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255</v>
      </c>
      <c r="C32" s="49" t="s">
        <v>261</v>
      </c>
      <c r="D32" s="50" t="s">
        <v>257</v>
      </c>
      <c r="E32" s="60" t="s">
        <v>135</v>
      </c>
      <c r="F32" s="60" t="s">
        <v>258</v>
      </c>
      <c r="G32" s="53" t="s">
        <v>39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118</v>
      </c>
      <c r="C33" s="61">
        <v>1030</v>
      </c>
      <c r="D33" s="50" t="s">
        <v>123</v>
      </c>
      <c r="E33" s="60" t="s">
        <v>41</v>
      </c>
      <c r="F33" s="60" t="s">
        <v>122</v>
      </c>
      <c r="G33" s="53" t="s">
        <v>39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118</v>
      </c>
      <c r="C34" s="61">
        <v>1030</v>
      </c>
      <c r="D34" s="50" t="s">
        <v>123</v>
      </c>
      <c r="E34" s="60" t="s">
        <v>43</v>
      </c>
      <c r="F34" s="60" t="s">
        <v>125</v>
      </c>
      <c r="G34" s="53" t="s">
        <v>39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118</v>
      </c>
      <c r="C35" s="61">
        <v>1030</v>
      </c>
      <c r="D35" s="50" t="s">
        <v>123</v>
      </c>
      <c r="E35" s="60" t="s">
        <v>47</v>
      </c>
      <c r="F35" s="60" t="s">
        <v>126</v>
      </c>
      <c r="G35" s="53" t="s">
        <v>39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118</v>
      </c>
      <c r="C36" s="61">
        <v>1030</v>
      </c>
      <c r="D36" s="50" t="s">
        <v>123</v>
      </c>
      <c r="E36" s="60" t="s">
        <v>127</v>
      </c>
      <c r="F36" s="60" t="s">
        <v>128</v>
      </c>
      <c r="G36" s="53" t="s">
        <v>39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129</v>
      </c>
      <c r="C37" s="61">
        <v>1030</v>
      </c>
      <c r="D37" s="50" t="s">
        <v>123</v>
      </c>
      <c r="E37" s="60" t="s">
        <v>43</v>
      </c>
      <c r="F37" s="60" t="s">
        <v>132</v>
      </c>
      <c r="G37" s="53" t="s">
        <v>39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129</v>
      </c>
      <c r="C38" s="61">
        <v>1030</v>
      </c>
      <c r="D38" s="50" t="s">
        <v>123</v>
      </c>
      <c r="E38" s="60" t="s">
        <v>47</v>
      </c>
      <c r="F38" s="60" t="s">
        <v>133</v>
      </c>
      <c r="G38" s="53" t="s">
        <v>39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129</v>
      </c>
      <c r="C39" s="61">
        <v>1030</v>
      </c>
      <c r="D39" s="50" t="s">
        <v>123</v>
      </c>
      <c r="E39" s="60" t="s">
        <v>127</v>
      </c>
      <c r="F39" s="60" t="s">
        <v>134</v>
      </c>
      <c r="G39" s="53" t="s">
        <v>39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129</v>
      </c>
      <c r="C40" s="61">
        <v>1030</v>
      </c>
      <c r="D40" s="50" t="s">
        <v>123</v>
      </c>
      <c r="E40" s="60" t="s">
        <v>135</v>
      </c>
      <c r="F40" s="60" t="s">
        <v>136</v>
      </c>
      <c r="G40" s="53" t="s">
        <v>39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118</v>
      </c>
      <c r="C41" s="61">
        <v>1120</v>
      </c>
      <c r="D41" s="50" t="s">
        <v>123</v>
      </c>
      <c r="E41" s="60" t="s">
        <v>41</v>
      </c>
      <c r="F41" s="60" t="s">
        <v>122</v>
      </c>
      <c r="G41" s="53" t="s">
        <v>39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118</v>
      </c>
      <c r="C42" s="61">
        <v>1120</v>
      </c>
      <c r="D42" s="50" t="s">
        <v>123</v>
      </c>
      <c r="E42" s="60" t="s">
        <v>43</v>
      </c>
      <c r="F42" s="60" t="s">
        <v>125</v>
      </c>
      <c r="G42" s="53" t="s">
        <v>39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118</v>
      </c>
      <c r="C43" s="61">
        <v>1120</v>
      </c>
      <c r="D43" s="50" t="s">
        <v>123</v>
      </c>
      <c r="E43" s="60" t="s">
        <v>47</v>
      </c>
      <c r="F43" s="60" t="s">
        <v>126</v>
      </c>
      <c r="G43" s="53" t="s">
        <v>39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118</v>
      </c>
      <c r="C44" s="61">
        <v>1120</v>
      </c>
      <c r="D44" s="50" t="s">
        <v>123</v>
      </c>
      <c r="E44" s="60" t="s">
        <v>127</v>
      </c>
      <c r="F44" s="60" t="s">
        <v>128</v>
      </c>
      <c r="G44" s="53" t="s">
        <v>39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129</v>
      </c>
      <c r="C45" s="61">
        <v>1120</v>
      </c>
      <c r="D45" s="50" t="s">
        <v>123</v>
      </c>
      <c r="E45" s="60" t="s">
        <v>43</v>
      </c>
      <c r="F45" s="60" t="s">
        <v>132</v>
      </c>
      <c r="G45" s="53" t="s">
        <v>39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129</v>
      </c>
      <c r="C46" s="61">
        <v>1120</v>
      </c>
      <c r="D46" s="50" t="s">
        <v>123</v>
      </c>
      <c r="E46" s="60" t="s">
        <v>47</v>
      </c>
      <c r="F46" s="60" t="s">
        <v>133</v>
      </c>
      <c r="G46" s="53" t="s">
        <v>39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129</v>
      </c>
      <c r="C47" s="61">
        <v>1120</v>
      </c>
      <c r="D47" s="50" t="s">
        <v>123</v>
      </c>
      <c r="E47" s="60" t="s">
        <v>127</v>
      </c>
      <c r="F47" s="60" t="s">
        <v>134</v>
      </c>
      <c r="G47" s="53" t="s">
        <v>39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129</v>
      </c>
      <c r="C48" s="61">
        <v>1120</v>
      </c>
      <c r="D48" s="50" t="s">
        <v>123</v>
      </c>
      <c r="E48" s="60" t="s">
        <v>135</v>
      </c>
      <c r="F48" s="60" t="s">
        <v>136</v>
      </c>
      <c r="G48" s="53" t="s">
        <v>39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129</v>
      </c>
      <c r="C49" s="61">
        <v>1120</v>
      </c>
      <c r="D49" s="50" t="s">
        <v>257</v>
      </c>
      <c r="E49" s="60" t="s">
        <v>47</v>
      </c>
      <c r="F49" s="60" t="s">
        <v>133</v>
      </c>
      <c r="G49" s="53" t="s">
        <v>39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129</v>
      </c>
      <c r="C50" s="61">
        <v>1120</v>
      </c>
      <c r="D50" s="50" t="s">
        <v>257</v>
      </c>
      <c r="E50" s="60" t="s">
        <v>127</v>
      </c>
      <c r="F50" s="60" t="s">
        <v>134</v>
      </c>
      <c r="G50" s="53" t="s">
        <v>39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129</v>
      </c>
      <c r="C51" s="61">
        <v>1120</v>
      </c>
      <c r="D51" s="50" t="s">
        <v>257</v>
      </c>
      <c r="E51" s="60" t="s">
        <v>135</v>
      </c>
      <c r="F51" s="60" t="s">
        <v>136</v>
      </c>
      <c r="G51" s="53" t="s">
        <v>39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118</v>
      </c>
      <c r="C52" s="61">
        <v>1120</v>
      </c>
      <c r="D52" s="50" t="s">
        <v>257</v>
      </c>
      <c r="E52" s="60" t="s">
        <v>41</v>
      </c>
      <c r="F52" s="60" t="s">
        <v>122</v>
      </c>
      <c r="G52" s="53" t="s">
        <v>39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118</v>
      </c>
      <c r="C53" s="61">
        <v>1120</v>
      </c>
      <c r="D53" s="50" t="s">
        <v>257</v>
      </c>
      <c r="E53" s="60" t="s">
        <v>127</v>
      </c>
      <c r="F53" s="60" t="s">
        <v>128</v>
      </c>
      <c r="G53" s="53" t="s">
        <v>39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262</v>
      </c>
      <c r="C54" s="61" t="s">
        <v>253</v>
      </c>
      <c r="D54" s="62" t="s">
        <v>263</v>
      </c>
      <c r="E54" s="63" t="s">
        <v>264</v>
      </c>
      <c r="F54" s="64"/>
      <c r="G54" s="53" t="s">
        <v>39</v>
      </c>
      <c r="H54" s="54">
        <v>1917</v>
      </c>
      <c r="I54" s="57" t="s">
        <v>265</v>
      </c>
      <c r="J54" s="58"/>
    </row>
    <row r="55" s="2" customFormat="1" ht="31.5" customHeight="1" spans="1:17">
      <c r="A55" s="47">
        <v>42</v>
      </c>
      <c r="B55" s="59" t="s">
        <v>262</v>
      </c>
      <c r="C55" s="61" t="s">
        <v>266</v>
      </c>
      <c r="D55" s="62" t="s">
        <v>267</v>
      </c>
      <c r="E55" s="63" t="s">
        <v>264</v>
      </c>
      <c r="F55" s="64"/>
      <c r="G55" s="53" t="s">
        <v>39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262</v>
      </c>
      <c r="C56" s="49" t="s">
        <v>251</v>
      </c>
      <c r="D56" s="62" t="s">
        <v>267</v>
      </c>
      <c r="E56" s="63" t="s">
        <v>264</v>
      </c>
      <c r="F56" s="64"/>
      <c r="G56" s="53" t="s">
        <v>39</v>
      </c>
      <c r="H56" s="54">
        <v>1658</v>
      </c>
      <c r="I56" s="57" t="s">
        <v>268</v>
      </c>
      <c r="J56" s="58"/>
    </row>
    <row r="57" s="2" customFormat="1" ht="33" customHeight="1" spans="1:17">
      <c r="A57" s="47">
        <v>44</v>
      </c>
      <c r="B57" s="59" t="s">
        <v>262</v>
      </c>
      <c r="C57" s="49" t="s">
        <v>269</v>
      </c>
      <c r="D57" s="62" t="s">
        <v>263</v>
      </c>
      <c r="E57" s="63" t="s">
        <v>264</v>
      </c>
      <c r="F57" s="64"/>
      <c r="G57" s="53" t="s">
        <v>39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262</v>
      </c>
      <c r="C58" s="49" t="s">
        <v>269</v>
      </c>
      <c r="D58" s="62" t="s">
        <v>270</v>
      </c>
      <c r="E58" s="51" t="s">
        <v>271</v>
      </c>
      <c r="F58" s="52"/>
      <c r="G58" s="53" t="s">
        <v>39</v>
      </c>
      <c r="H58" s="54">
        <v>1907</v>
      </c>
      <c r="I58" s="57" t="s">
        <v>272</v>
      </c>
      <c r="J58" s="58"/>
    </row>
    <row r="59" ht="18.75" spans="1:17">
      <c r="A59" s="65" t="s">
        <v>273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274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275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276</v>
      </c>
      <c r="B67" s="77"/>
      <c r="C67" s="77" t="s">
        <v>277</v>
      </c>
      <c r="D67" s="77"/>
      <c r="E67" s="77"/>
      <c r="F67" s="78" t="s">
        <v>278</v>
      </c>
      <c r="G67" s="78"/>
      <c r="H67" s="78"/>
      <c r="I67" s="79"/>
      <c r="J67" s="80" t="s">
        <v>279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280</v>
      </c>
      <c r="D70" s="86"/>
      <c r="E70" s="86"/>
      <c r="F70" s="86" t="s">
        <v>281</v>
      </c>
      <c r="G70" s="86"/>
      <c r="H70" s="86"/>
      <c r="I70" s="87">
        <f ca="1">NOW()</f>
        <v>46218.415150463</v>
      </c>
      <c r="J70" s="87"/>
    </row>
    <row r="71" spans="1:20">
      <c r="C71" s="88"/>
      <c r="D71" s="88"/>
      <c r="E71" s="88"/>
      <c r="I71" s="25" t="s">
        <v>282</v>
      </c>
      <c r="J71" s="25"/>
    </row>
    <row r="72" spans="1:20">
      <c r="A72" s="89"/>
    </row>
    <row r="74" spans="1:20">
      <c r="A74" s="90" t="s">
        <v>283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237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D2:G3"/>
    <mergeCell ref="E12:F13"/>
    <mergeCell ref="I12:J1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</vt:lpstr>
      <vt:lpstr>DPK</vt:lpstr>
      <vt:lpstr>PKL 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2026-07-10T02:52:00Z</cp:lastPrinted>
  <dcterms:modified xsi:type="dcterms:W3CDTF">2026-07-15T01:58:22Z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