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7.04.2026\"/>
    </mc:Choice>
  </mc:AlternateContent>
  <xr:revisionPtr revIDLastSave="0" documentId="13_ncr:1_{F4F03CE0-0051-4EC5-817F-513ECC47721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547" sheetId="135" r:id="rId3"/>
    <sheet name="548" sheetId="137" r:id="rId4"/>
    <sheet name="549" sheetId="138" r:id="rId5"/>
    <sheet name="550" sheetId="141" r:id="rId6"/>
    <sheet name="551" sheetId="142" r:id="rId7"/>
    <sheet name="552" sheetId="143" r:id="rId8"/>
    <sheet name="553" sheetId="163" r:id="rId9"/>
    <sheet name="554" sheetId="164" r:id="rId10"/>
    <sheet name="555" sheetId="165" r:id="rId11"/>
    <sheet name="556" sheetId="166" r:id="rId12"/>
    <sheet name="557" sheetId="167" r:id="rId13"/>
    <sheet name="558" sheetId="168" r:id="rId14"/>
    <sheet name="559" sheetId="169" r:id="rId15"/>
    <sheet name="560" sheetId="172" r:id="rId16"/>
    <sheet name="561" sheetId="173" r:id="rId17"/>
    <sheet name="562" sheetId="174" r:id="rId18"/>
  </sheets>
  <externalReferences>
    <externalReference r:id="rId19"/>
    <externalReference r:id="rId20"/>
    <externalReference r:id="rId2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>[2]xdata!#REF!</definedName>
    <definedName name="INVOICE">[2]xdata!$B$2</definedName>
    <definedName name="_xlnm.Print_Area" localSheetId="2">'547'!$B$1:$I$58</definedName>
    <definedName name="_xlnm.Print_Area" localSheetId="3">'548'!$B$1:$I$57</definedName>
    <definedName name="_xlnm.Print_Area" localSheetId="4">'549'!$B$1:$I$56</definedName>
    <definedName name="_xlnm.Print_Area" localSheetId="5">'550'!$B$1:$I$57</definedName>
    <definedName name="_xlnm.Print_Area" localSheetId="6">'551'!$B$1:$I$57</definedName>
    <definedName name="_xlnm.Print_Area" localSheetId="7">'552'!$B$1:$I$57</definedName>
    <definedName name="_xlnm.Print_Area" localSheetId="8">'553'!$B$1:$I$57</definedName>
    <definedName name="_xlnm.Print_Area" localSheetId="9">'554'!$B$1:$I$57</definedName>
    <definedName name="_xlnm.Print_Area" localSheetId="10">'555'!$B$1:$I$57</definedName>
    <definedName name="_xlnm.Print_Area" localSheetId="11">'556'!$B$1:$I$58</definedName>
    <definedName name="_xlnm.Print_Area" localSheetId="12">'557'!$B$1:$I$57</definedName>
    <definedName name="_xlnm.Print_Area" localSheetId="13">'558'!$B$1:$I$58</definedName>
    <definedName name="_xlnm.Print_Area" localSheetId="14">'559'!$B$1:$I$58</definedName>
    <definedName name="_xlnm.Print_Area" localSheetId="15">'560'!$B$1:$I$57</definedName>
    <definedName name="_xlnm.Print_Area" localSheetId="16">'561'!$B$1:$I$57</definedName>
    <definedName name="_xlnm.Print_Area" localSheetId="17">'562'!$B$1:$I$57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68" l="1"/>
  <c r="I33" i="168" s="1"/>
  <c r="D32" i="168"/>
  <c r="I32" i="166"/>
  <c r="I33" i="166"/>
  <c r="I35" i="166" s="1"/>
  <c r="D33" i="166"/>
  <c r="D32" i="166"/>
  <c r="I33" i="169"/>
  <c r="F32" i="166"/>
  <c r="F35" i="166"/>
  <c r="I33" i="135" l="1"/>
  <c r="H52" i="174"/>
  <c r="F32" i="174"/>
  <c r="I32" i="174" s="1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4" i="173"/>
  <c r="F32" i="173"/>
  <c r="I32" i="173" s="1"/>
  <c r="I34" i="173" s="1"/>
  <c r="I36" i="173" s="1"/>
  <c r="I38" i="173" s="1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2" i="172"/>
  <c r="F34" i="172"/>
  <c r="F32" i="172"/>
  <c r="I32" i="172" s="1"/>
  <c r="I34" i="172" s="1"/>
  <c r="I36" i="172" s="1"/>
  <c r="I38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37"/>
  <c r="H3" i="138" s="1"/>
  <c r="H3" i="141" s="1"/>
  <c r="H3" i="142" s="1"/>
  <c r="H3" i="143" s="1"/>
  <c r="H3" i="163" s="1"/>
  <c r="H3" i="164" s="1"/>
  <c r="H3" i="165" s="1"/>
  <c r="H3" i="166" s="1"/>
  <c r="H3" i="167" s="1"/>
  <c r="H3" i="168" s="1"/>
  <c r="H3" i="169" s="1"/>
  <c r="H3" i="172" l="1"/>
  <c r="H3" i="173"/>
  <c r="H3" i="174"/>
  <c r="F34" i="174"/>
  <c r="F32" i="167"/>
  <c r="F32" i="143" l="1"/>
  <c r="F32" i="142"/>
  <c r="F34" i="142" s="1"/>
  <c r="F32" i="138"/>
  <c r="F33" i="138" s="1"/>
  <c r="H53" i="169"/>
  <c r="I32" i="169"/>
  <c r="I35" i="169" s="1"/>
  <c r="I37" i="169" s="1"/>
  <c r="I39" i="169" s="1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3" i="168"/>
  <c r="F32" i="168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3" i="166"/>
  <c r="I37" i="166"/>
  <c r="I39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F32" i="165"/>
  <c r="I32" i="165" s="1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F32" i="141"/>
  <c r="F34" i="141" s="1"/>
  <c r="F32" i="137"/>
  <c r="F32" i="164"/>
  <c r="F32" i="163"/>
  <c r="I32" i="168" l="1"/>
  <c r="F35" i="168"/>
  <c r="F34" i="167"/>
  <c r="I34" i="167"/>
  <c r="I36" i="167" s="1"/>
  <c r="I38" i="167" s="1"/>
  <c r="F35" i="169"/>
  <c r="F34" i="165"/>
  <c r="I35" i="168"/>
  <c r="I37" i="168" s="1"/>
  <c r="I39" i="168" s="1"/>
  <c r="I32" i="138"/>
  <c r="I33" i="138" s="1"/>
  <c r="I32" i="141"/>
  <c r="I34" i="141" s="1"/>
  <c r="F34" i="137"/>
  <c r="F35" i="135"/>
  <c r="I32" i="137" l="1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I34" i="163" l="1"/>
  <c r="I36" i="163" s="1"/>
  <c r="I38" i="163" s="1"/>
  <c r="I32" i="164"/>
  <c r="I34" i="164" s="1"/>
  <c r="I36" i="164" s="1"/>
  <c r="I38" i="164" s="1"/>
  <c r="H52" i="142" l="1"/>
  <c r="E21" i="135"/>
  <c r="E21" i="137"/>
  <c r="E21" i="138"/>
  <c r="E21" i="141"/>
  <c r="E21" i="142"/>
  <c r="E21" i="143"/>
  <c r="H52" i="141"/>
  <c r="C21" i="135"/>
  <c r="C21" i="137"/>
  <c r="C21" i="138"/>
  <c r="C21" i="141"/>
  <c r="C21" i="142"/>
  <c r="C21" i="143"/>
  <c r="H53" i="135"/>
  <c r="H52" i="137"/>
  <c r="H51" i="138"/>
  <c r="H52" i="14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5" l="1"/>
  <c r="I37" i="135" s="1"/>
  <c r="I39" i="135" s="1"/>
  <c r="I35" i="138"/>
  <c r="I37" i="138" s="1"/>
  <c r="C3" i="137" l="1"/>
  <c r="C3" i="138" s="1"/>
  <c r="C3" i="141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l="1"/>
  <c r="C3" i="172" s="1"/>
  <c r="C3" i="173" s="1"/>
  <c r="C3" i="174" s="1"/>
</calcChain>
</file>

<file path=xl/sharedStrings.xml><?xml version="1.0" encoding="utf-8"?>
<sst xmlns="http://schemas.openxmlformats.org/spreadsheetml/2006/main" count="1449" uniqueCount="220">
  <si>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</si>
  <si>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</si>
  <si>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</si>
  <si>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</si>
  <si>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</si>
  <si>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</si>
  <si>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</si>
  <si>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</si>
  <si>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</si>
  <si>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</si>
  <si>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</si>
  <si>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</si>
  <si>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</si>
  <si>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</si>
  <si>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</si>
  <si>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</si>
  <si>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</si>
  <si>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</si>
  <si>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</si>
  <si>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</si>
  <si>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</si>
  <si>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</si>
  <si>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</si>
  <si>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</si>
  <si>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</si>
  <si>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</si>
  <si>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</si>
  <si>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</si>
  <si>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</si>
  <si>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</si>
  <si>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</si>
  <si>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</si>
  <si>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</si>
  <si>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</si>
  <si>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</si>
  <si>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</si>
  <si>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</si>
  <si>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</si>
  <si>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</si>
  <si>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</si>
  <si>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</si>
  <si>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</si>
  <si>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</si>
  <si>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</si>
  <si>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</si>
  <si>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</si>
  <si>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</si>
  <si>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</si>
  <si>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</si>
  <si>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</si>
  <si>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</si>
  <si>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</si>
  <si>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</si>
  <si>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</si>
  <si>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</si>
  <si>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</si>
  <si>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</si>
  <si>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</si>
  <si>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</si>
  <si>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</si>
  <si>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</si>
  <si>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</si>
  <si>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</si>
  <si>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</si>
  <si>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</si>
  <si>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</si>
  <si>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</si>
  <si>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</si>
  <si>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</si>
  <si>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</si>
  <si>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</si>
  <si>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</si>
  <si>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</si>
  <si>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</si>
  <si>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</si>
  <si>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</si>
  <si>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</si>
  <si>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</si>
  <si>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</si>
  <si>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</si>
  <si>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</si>
  <si>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</si>
  <si>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</si>
  <si>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</si>
  <si>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</si>
  <si>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</si>
  <si>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</si>
  <si>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</si>
  <si>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</si>
  <si>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</si>
  <si>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</si>
  <si>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</si>
  <si>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</si>
  <si>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</si>
  <si>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</si>
  <si>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</si>
  <si>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</si>
  <si>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</si>
  <si>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</si>
  <si>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</si>
  <si>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</si>
  <si>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</si>
  <si>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</si>
  <si>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</si>
  <si>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</si>
  <si>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</si>
  <si>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</si>
  <si>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</si>
  <si>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</si>
  <si>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</si>
  <si>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</si>
  <si>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</si>
  <si>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</si>
  <si>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</si>
  <si>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</si>
  <si>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</si>
  <si>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</si>
  <si>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</si>
  <si>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</si>
  <si>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</si>
  <si>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</si>
  <si>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</si>
  <si>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</si>
  <si>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</si>
  <si>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</si>
  <si>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</si>
  <si>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</si>
  <si>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</si>
  <si>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</si>
  <si>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</si>
  <si>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</si>
  <si>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</si>
  <si>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</si>
  <si>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</si>
  <si>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</si>
  <si>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</si>
  <si>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</si>
  <si>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</si>
  <si>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</si>
  <si>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</si>
  <si>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</si>
  <si>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</si>
  <si>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</si>
  <si>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</si>
  <si>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</si>
  <si>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</si>
  <si>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</si>
  <si>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</si>
  <si>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</si>
  <si>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</si>
  <si>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</si>
  <si>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</si>
  <si>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</si>
  <si>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</si>
  <si>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</si>
  <si>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</si>
  <si>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</si>
  <si>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</si>
  <si>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</si>
  <si>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</si>
  <si>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</si>
  <si>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</si>
  <si>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</si>
  <si>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</si>
  <si>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</si>
  <si>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</si>
  <si>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</si>
  <si>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</si>
  <si>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</si>
  <si>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</si>
  <si>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</si>
  <si>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</si>
  <si>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</si>
  <si>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</si>
  <si>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</si>
  <si>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</si>
  <si>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</si>
  <si>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</si>
  <si>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</si>
  <si>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</si>
  <si>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CALLA LILY 451</t>
  </si>
  <si>
    <t>ONLINE</t>
  </si>
  <si>
    <t>RETAIL</t>
  </si>
  <si>
    <t>00, 01</t>
  </si>
  <si>
    <t>265K0028</t>
  </si>
  <si>
    <t>265K0031</t>
  </si>
  <si>
    <t>POLKA DOT</t>
  </si>
  <si>
    <t>01</t>
  </si>
  <si>
    <t>ICED WATER</t>
  </si>
  <si>
    <t>265K0035</t>
  </si>
  <si>
    <t>DUSKY LAVENDER, PRESSED FLOWER</t>
  </si>
  <si>
    <t>265K0041</t>
  </si>
  <si>
    <t>265K0045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</si>
  <si>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</si>
  <si>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</si>
  <si>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</si>
  <si>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 xml:space="preserve">  </t>
  </si>
  <si>
    <t>265K0040</t>
  </si>
  <si>
    <t>265K0033</t>
  </si>
  <si>
    <t>265K0026</t>
  </si>
  <si>
    <t>265K0006</t>
  </si>
  <si>
    <t>BRIGHT WHITE</t>
  </si>
  <si>
    <t>04</t>
  </si>
  <si>
    <t>FAUX HEATHER GREY, RED TAPE</t>
  </si>
  <si>
    <t>Boys Cotton Fibers, Knit Shirt, With Neck Closure, Stitch Count Equal Or Is Greater Than 10/1cm, Hem Bottom [60% Cotton 40% Polyester]</t>
  </si>
  <si>
    <t>RED TAPE</t>
  </si>
  <si>
    <t>CALLA LILY 451, INK BLUE</t>
  </si>
  <si>
    <t>00, 02</t>
  </si>
  <si>
    <t>Girls Cotton Fibers, Knit T-Shirt, With No Neck Closure, Stitch Count Is Greater Than 9/2cm, Reaches Waist [60% Cotton 40% Polyester]</t>
  </si>
  <si>
    <t>Girls Cotton Fibers, Knit T-Shirt, With No Neck Closure, Stitch Count Is Greater Than 9/2cm, Reaches Waist [100% Cotton]</t>
  </si>
  <si>
    <t>GIRLS COTTON FIBERS, KNIT T-SHIRT, WITH NO NECK CLOSURE, STITCH COUNT IS GREATER THAN 9/2CM, REACHES WAIST [100% COTTON]</t>
  </si>
  <si>
    <t>PINK COMBO</t>
  </si>
  <si>
    <t>A MULTY PACK OF 3 PIECES OF GIRLS COTTON FIBERS, KNIT PULLOVER, WITH NO NECK CLOSURE, STITCH COUNT IS GREATER THAN 9/2CM, REACHES WAIST [60% COTTON 40% POLYESTER]</t>
  </si>
  <si>
    <t>1449 PCS</t>
  </si>
  <si>
    <t>BLACKJACK JAS</t>
  </si>
  <si>
    <t>GIRLS COTTON FIBERS, KNIT PULLOVER, WITH NO NECK CLOSURE, STITCH COUNT IS GREATER THAN 9/2CM, REACHES WAIST [60% COTTON 40% RECYCLED POLYESTER]</t>
  </si>
  <si>
    <t>4743 PCS</t>
  </si>
  <si>
    <t>BLACKJACK JAS, BLUSH HUE</t>
  </si>
  <si>
    <t>01, 02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</si>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</sst>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  <numFmt numFmtId="170" formatCode="#,###\ &quot;SET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98451012-9C98-4FD2-893A-C834BD908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396A1-1858-469E-BD0C-A505A107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F13D6231-BBC5-46C3-B423-AA9B3AFE4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8E9E0-3527-4721-85AF-7DF4EFF16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7365C72-BC02-4595-A4D6-5F98A706D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B7A724-ADA8-4D6C-A43B-F5F77C37C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7" sqref="I17"/>
    </sheetView>
  </sheetViews>
  <sheetFormatPr defaultRowHeight="12.75" x14ac:dyDescent="0.2"/>
  <sheetData>
    <row r="2" spans="2:9" ht="15" x14ac:dyDescent="0.25">
      <c r="B2" s="56">
        <v>1</v>
      </c>
      <c r="C2" t="s">
        <v>197</v>
      </c>
      <c r="E2" s="56">
        <v>1</v>
      </c>
      <c r="F2">
        <v>416363</v>
      </c>
      <c r="H2" s="56">
        <v>1</v>
      </c>
      <c r="I2" s="57" t="s">
        <v>181</v>
      </c>
    </row>
    <row r="3" spans="2:9" ht="15" x14ac:dyDescent="0.25">
      <c r="B3" s="56">
        <v>2</v>
      </c>
      <c r="C3" t="s">
        <v>191</v>
      </c>
      <c r="E3" s="56">
        <v>2</v>
      </c>
      <c r="F3">
        <v>767468</v>
      </c>
      <c r="H3" s="56">
        <v>2</v>
      </c>
      <c r="I3" s="57" t="s">
        <v>181</v>
      </c>
    </row>
    <row r="4" spans="2:9" ht="15" x14ac:dyDescent="0.25">
      <c r="B4" s="56">
        <v>3</v>
      </c>
      <c r="C4" t="s">
        <v>191</v>
      </c>
      <c r="E4" s="56">
        <v>3</v>
      </c>
      <c r="F4">
        <v>767468</v>
      </c>
      <c r="H4" s="56">
        <v>3</v>
      </c>
      <c r="I4" s="57" t="s">
        <v>181</v>
      </c>
    </row>
    <row r="5" spans="2:9" ht="15" x14ac:dyDescent="0.25">
      <c r="B5" s="56">
        <v>4</v>
      </c>
      <c r="C5" t="s">
        <v>184</v>
      </c>
      <c r="E5" s="56">
        <v>4</v>
      </c>
      <c r="F5">
        <v>896206</v>
      </c>
      <c r="H5" s="56">
        <v>4</v>
      </c>
      <c r="I5" s="57" t="s">
        <v>182</v>
      </c>
    </row>
    <row r="6" spans="2:9" ht="15" x14ac:dyDescent="0.25">
      <c r="B6" s="56">
        <v>5</v>
      </c>
      <c r="C6" t="s">
        <v>185</v>
      </c>
      <c r="E6" s="56">
        <v>5</v>
      </c>
      <c r="F6">
        <v>893958</v>
      </c>
      <c r="H6" s="56">
        <v>5</v>
      </c>
      <c r="I6" s="57" t="s">
        <v>182</v>
      </c>
    </row>
    <row r="7" spans="2:9" ht="15" x14ac:dyDescent="0.25">
      <c r="B7" s="56">
        <v>6</v>
      </c>
      <c r="C7" t="s">
        <v>189</v>
      </c>
      <c r="E7" s="56">
        <v>6</v>
      </c>
      <c r="F7">
        <v>903770</v>
      </c>
      <c r="H7" s="56">
        <v>6</v>
      </c>
      <c r="I7" s="57" t="s">
        <v>182</v>
      </c>
    </row>
    <row r="8" spans="2:9" ht="15" x14ac:dyDescent="0.25">
      <c r="B8" s="56">
        <v>7</v>
      </c>
      <c r="C8" t="s">
        <v>189</v>
      </c>
      <c r="E8" s="56">
        <v>7</v>
      </c>
      <c r="F8">
        <v>903770</v>
      </c>
      <c r="H8" s="56">
        <v>7</v>
      </c>
      <c r="I8" s="57" t="s">
        <v>181</v>
      </c>
    </row>
    <row r="9" spans="2:9" ht="15" x14ac:dyDescent="0.25">
      <c r="B9" s="56">
        <v>8</v>
      </c>
      <c r="C9" t="s">
        <v>184</v>
      </c>
      <c r="E9" s="56">
        <v>8</v>
      </c>
      <c r="F9">
        <v>896206</v>
      </c>
      <c r="H9" s="56">
        <v>8</v>
      </c>
      <c r="I9" s="57" t="s">
        <v>181</v>
      </c>
    </row>
    <row r="10" spans="2:9" ht="15" x14ac:dyDescent="0.25">
      <c r="B10" s="56">
        <v>9</v>
      </c>
      <c r="C10" t="s">
        <v>185</v>
      </c>
      <c r="E10" s="56">
        <v>9</v>
      </c>
      <c r="F10">
        <v>893958</v>
      </c>
      <c r="H10" s="56">
        <v>9</v>
      </c>
      <c r="I10" s="57" t="s">
        <v>181</v>
      </c>
    </row>
    <row r="11" spans="2:9" ht="15" x14ac:dyDescent="0.25">
      <c r="B11" s="56">
        <v>10</v>
      </c>
      <c r="C11" t="s">
        <v>198</v>
      </c>
      <c r="E11" s="56">
        <v>10</v>
      </c>
      <c r="F11">
        <v>845865</v>
      </c>
      <c r="H11" s="56">
        <v>10</v>
      </c>
      <c r="I11" s="57" t="s">
        <v>181</v>
      </c>
    </row>
    <row r="12" spans="2:9" ht="15" x14ac:dyDescent="0.25">
      <c r="B12" s="56">
        <v>11</v>
      </c>
      <c r="C12" t="s">
        <v>199</v>
      </c>
      <c r="E12" s="56">
        <v>11</v>
      </c>
      <c r="F12">
        <v>867788</v>
      </c>
      <c r="H12" s="56">
        <v>11</v>
      </c>
      <c r="I12" s="57" t="s">
        <v>181</v>
      </c>
    </row>
    <row r="13" spans="2:9" ht="15" x14ac:dyDescent="0.25">
      <c r="B13" s="56">
        <v>12</v>
      </c>
      <c r="C13" t="s">
        <v>198</v>
      </c>
      <c r="E13" s="56">
        <v>12</v>
      </c>
      <c r="F13">
        <v>845865</v>
      </c>
      <c r="H13" s="56">
        <v>12</v>
      </c>
      <c r="I13" s="57" t="s">
        <v>181</v>
      </c>
    </row>
    <row r="14" spans="2:9" ht="15" x14ac:dyDescent="0.25">
      <c r="B14" s="56">
        <v>13</v>
      </c>
      <c r="C14" t="s">
        <v>199</v>
      </c>
      <c r="E14" s="56">
        <v>13</v>
      </c>
      <c r="F14">
        <v>867788</v>
      </c>
      <c r="H14" s="56">
        <v>13</v>
      </c>
      <c r="I14" s="57" t="s">
        <v>181</v>
      </c>
    </row>
    <row r="15" spans="2:9" ht="15" x14ac:dyDescent="0.25">
      <c r="B15" s="56">
        <v>14</v>
      </c>
      <c r="C15" t="s">
        <v>200</v>
      </c>
      <c r="E15" s="56">
        <v>14</v>
      </c>
      <c r="F15">
        <v>878746</v>
      </c>
      <c r="H15" s="56">
        <v>14</v>
      </c>
      <c r="I15" s="57" t="s">
        <v>182</v>
      </c>
    </row>
    <row r="16" spans="2:9" ht="15" x14ac:dyDescent="0.25">
      <c r="B16" s="56">
        <v>15</v>
      </c>
      <c r="C16" t="s">
        <v>192</v>
      </c>
      <c r="E16" s="56">
        <v>15</v>
      </c>
      <c r="F16">
        <v>692926</v>
      </c>
      <c r="H16" s="56">
        <v>15</v>
      </c>
      <c r="I16" s="57" t="s">
        <v>181</v>
      </c>
    </row>
    <row r="17" spans="2:11" ht="15" x14ac:dyDescent="0.25">
      <c r="B17" s="56">
        <v>16</v>
      </c>
      <c r="C17" t="s">
        <v>192</v>
      </c>
      <c r="E17" s="56">
        <v>16</v>
      </c>
      <c r="F17">
        <v>692926</v>
      </c>
      <c r="H17" s="56">
        <v>16</v>
      </c>
      <c r="I17" s="57" t="s">
        <v>182</v>
      </c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tabSelected="1" view="pageBreakPreview" topLeftCell="A25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61373586</v>
      </c>
      <c r="K2" s="50">
        <v>1017</v>
      </c>
      <c r="L2" s="44">
        <v>24</v>
      </c>
      <c r="M2" s="44">
        <v>113.306</v>
      </c>
      <c r="N2" s="44">
        <v>115.34</v>
      </c>
      <c r="O2" s="44">
        <v>129.54</v>
      </c>
      <c r="P2" s="44" t="s">
        <v>54</v>
      </c>
      <c r="Q2" s="44">
        <v>0.63700000000000001</v>
      </c>
      <c r="R2" s="44" t="s">
        <v>62</v>
      </c>
    </row>
    <row r="3" spans="2:22" x14ac:dyDescent="0.2">
      <c r="B3" s="6" t="s">
        <v>53</v>
      </c>
      <c r="C3" s="64">
        <v>547</v>
      </c>
      <c r="D3" s="5"/>
      <c r="E3" s="5"/>
      <c r="F3" s="5"/>
      <c r="G3" s="5" t="s">
        <v>52</v>
      </c>
      <c r="H3" s="31"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 t="s">
        <v>196</v>
      </c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61373586</v>
      </c>
      <c r="C21" s="55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129.54</v>
      </c>
      <c r="G23" s="23">
        <f>+N2</f>
        <v>115.34</v>
      </c>
      <c r="H23" s="23">
        <f>+M2</f>
        <v>113.306</v>
      </c>
      <c r="I23" s="54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4" customHeight="1" x14ac:dyDescent="0.2">
      <c r="B32" s="41" t="s">
        <v>202</v>
      </c>
      <c r="C32" s="19" t="s">
        <v>201</v>
      </c>
      <c r="D32" s="76"/>
      <c r="E32" s="77"/>
      <c r="F32" s="76">
        <v>699</v>
      </c>
      <c r="G32" s="77"/>
      <c r="H32" s="17">
        <v>0.9</v>
      </c>
      <c r="I32" s="18">
        <f>+H32*F32</f>
        <v>629.1</v>
      </c>
      <c r="K32" s="48"/>
      <c r="M32" s="39"/>
    </row>
    <row r="33" spans="2:13" ht="24" customHeight="1" x14ac:dyDescent="0.2">
      <c r="B33" s="41" t="s">
        <v>183</v>
      </c>
      <c r="C33" s="19" t="s">
        <v>203</v>
      </c>
      <c r="D33" s="76"/>
      <c r="E33" s="77"/>
      <c r="F33" s="76">
        <v>318</v>
      </c>
      <c r="G33" s="77"/>
      <c r="H33" s="17">
        <v>0.9</v>
      </c>
      <c r="I33" s="18">
        <f>+H33*F33</f>
        <v>286.2</v>
      </c>
      <c r="K33" s="48"/>
      <c r="M33" s="39"/>
    </row>
    <row r="34" spans="2:13" ht="21" customHeight="1" x14ac:dyDescent="0.2">
      <c r="B34" s="15" t="s">
        <v>15</v>
      </c>
      <c r="C34" s="15"/>
      <c r="D34" s="70"/>
      <c r="E34" s="71"/>
      <c r="F34" s="70"/>
      <c r="G34" s="71"/>
      <c r="H34" s="17"/>
      <c r="I34" s="60"/>
    </row>
    <row r="35" spans="2:13" ht="21.75" customHeight="1" x14ac:dyDescent="0.2">
      <c r="B35" s="15" t="s">
        <v>14</v>
      </c>
      <c r="C35" s="15"/>
      <c r="D35" s="85"/>
      <c r="E35" s="86"/>
      <c r="F35" s="76">
        <f>SUM(F32:G34)</f>
        <v>1017</v>
      </c>
      <c r="G35" s="77"/>
      <c r="H35" s="15"/>
      <c r="I35" s="14">
        <f>SUM(I32:I33)</f>
        <v>915.3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1"/>
      <c r="F36" s="70"/>
      <c r="G36" s="71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0"/>
      <c r="E37" s="71"/>
      <c r="F37" s="70"/>
      <c r="G37" s="71"/>
      <c r="H37" s="15"/>
      <c r="I37" s="14">
        <f>+I35</f>
        <v>915.3</v>
      </c>
    </row>
    <row r="38" spans="2:13" ht="20.25" customHeight="1" x14ac:dyDescent="0.2">
      <c r="B38" s="15" t="s">
        <v>80</v>
      </c>
      <c r="C38" s="70" t="s">
        <v>11</v>
      </c>
      <c r="D38" s="72"/>
      <c r="E38" s="72"/>
      <c r="F38" s="72"/>
      <c r="G38" s="72"/>
      <c r="H38" s="71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915.3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3" t="s">
        <v>7</v>
      </c>
      <c r="C47" s="73"/>
      <c r="D47" s="7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4" t="s">
        <v>1</v>
      </c>
      <c r="D56" s="74"/>
      <c r="E56" s="5"/>
      <c r="F56" s="5"/>
      <c r="G56" s="5"/>
      <c r="H56" s="5"/>
      <c r="I56" s="4"/>
    </row>
    <row r="57" spans="2:11" x14ac:dyDescent="0.2">
      <c r="B57" s="6"/>
      <c r="C57" s="75" t="s">
        <v>0</v>
      </c>
      <c r="D57" s="75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61287562</v>
      </c>
      <c r="K2" s="44">
        <v>100</v>
      </c>
      <c r="L2" s="44">
        <v>2</v>
      </c>
      <c r="M2" s="44">
        <v>12.99</v>
      </c>
      <c r="N2" s="44">
        <v>14.99</v>
      </c>
      <c r="O2" s="44">
        <v>16.440000000000001</v>
      </c>
      <c r="P2" s="44" t="s">
        <v>54</v>
      </c>
      <c r="Q2" s="44">
        <v>8.4000000000000005E-2</v>
      </c>
      <c r="R2" s="44" t="s">
        <v>62</v>
      </c>
    </row>
    <row r="3" spans="2:22" x14ac:dyDescent="0.2">
      <c r="B3" s="6" t="s">
        <v>53</v>
      </c>
      <c r="C3" s="64">
        <f>+'547'!C3+1</f>
        <v>548</v>
      </c>
      <c r="D3" s="5"/>
      <c r="E3" s="5"/>
      <c r="F3" s="5"/>
      <c r="G3" s="5" t="s">
        <v>52</v>
      </c>
      <c r="H3" s="31">
        <f>+'547'!H3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61287562</v>
      </c>
      <c r="C21" s="55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16.440000000000001</v>
      </c>
      <c r="G23" s="23">
        <f>+N2</f>
        <v>14.99</v>
      </c>
      <c r="H23" s="23">
        <f>+M2</f>
        <v>12.99</v>
      </c>
      <c r="I23" s="54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205</v>
      </c>
      <c r="D32" s="76"/>
      <c r="E32" s="77"/>
      <c r="F32" s="76">
        <f>+K2</f>
        <v>100</v>
      </c>
      <c r="G32" s="77"/>
      <c r="H32" s="17">
        <v>1.05</v>
      </c>
      <c r="I32" s="18">
        <f>+H32*F32</f>
        <v>105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4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100</v>
      </c>
      <c r="G34" s="77"/>
      <c r="H34" s="15"/>
      <c r="I34" s="14">
        <f>SUM(I32:I33)</f>
        <v>105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105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61373589</v>
      </c>
      <c r="K2" s="50">
        <v>1544</v>
      </c>
      <c r="L2" s="44">
        <v>37</v>
      </c>
      <c r="M2" s="44">
        <v>205.66</v>
      </c>
      <c r="N2" s="44">
        <v>236.54</v>
      </c>
      <c r="O2" s="44">
        <v>262.94</v>
      </c>
      <c r="P2" s="44" t="s">
        <v>54</v>
      </c>
      <c r="Q2" s="44">
        <v>1.3759999999999999</v>
      </c>
      <c r="R2" s="44" t="s">
        <v>62</v>
      </c>
    </row>
    <row r="3" spans="2:22" x14ac:dyDescent="0.2">
      <c r="B3" s="6" t="s">
        <v>53</v>
      </c>
      <c r="C3" s="64">
        <f>+'548'!C3+1</f>
        <v>549</v>
      </c>
      <c r="D3" s="5"/>
      <c r="E3" s="5"/>
      <c r="F3" s="5"/>
      <c r="G3" s="5" t="s">
        <v>52</v>
      </c>
      <c r="H3" s="31">
        <f>+'548'!H3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61373589</v>
      </c>
      <c r="C21" s="55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262.94</v>
      </c>
      <c r="G23" s="23">
        <f>+N2</f>
        <v>236.54</v>
      </c>
      <c r="H23" s="23">
        <f>+M2</f>
        <v>205.66</v>
      </c>
      <c r="I23" s="54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207</v>
      </c>
      <c r="C32" s="19" t="s">
        <v>206</v>
      </c>
      <c r="D32" s="76"/>
      <c r="E32" s="77"/>
      <c r="F32" s="76">
        <f>+K2</f>
        <v>1544</v>
      </c>
      <c r="G32" s="77"/>
      <c r="H32" s="17">
        <v>1.05</v>
      </c>
      <c r="I32" s="18">
        <f>+H32*F32</f>
        <v>1621.2</v>
      </c>
      <c r="K32" s="48"/>
      <c r="M32" s="39"/>
    </row>
    <row r="33" spans="2:11" ht="21.75" customHeight="1" x14ac:dyDescent="0.2">
      <c r="B33" s="15" t="s">
        <v>14</v>
      </c>
      <c r="C33" s="15"/>
      <c r="D33" s="85"/>
      <c r="E33" s="86"/>
      <c r="F33" s="76">
        <f>SUM(F32:G32)</f>
        <v>1544</v>
      </c>
      <c r="G33" s="77"/>
      <c r="H33" s="15"/>
      <c r="I33" s="14">
        <f>SUM(I32:I32)</f>
        <v>1621.2</v>
      </c>
      <c r="J33" s="40"/>
      <c r="K33" s="40"/>
    </row>
    <row r="34" spans="2:11" ht="21.75" customHeight="1" x14ac:dyDescent="0.2">
      <c r="B34" s="16" t="s">
        <v>13</v>
      </c>
      <c r="C34" s="15"/>
      <c r="D34" s="70"/>
      <c r="E34" s="71"/>
      <c r="F34" s="70"/>
      <c r="G34" s="71"/>
      <c r="H34" s="15"/>
      <c r="I34" s="54"/>
      <c r="J34" s="40"/>
    </row>
    <row r="35" spans="2:11" ht="21.75" customHeight="1" x14ac:dyDescent="0.2">
      <c r="B35" s="16" t="s">
        <v>12</v>
      </c>
      <c r="C35" s="15"/>
      <c r="D35" s="70"/>
      <c r="E35" s="71"/>
      <c r="F35" s="70"/>
      <c r="G35" s="71"/>
      <c r="H35" s="15"/>
      <c r="I35" s="14">
        <f>+I33</f>
        <v>1621.2</v>
      </c>
    </row>
    <row r="36" spans="2:11" ht="20.25" customHeight="1" x14ac:dyDescent="0.2">
      <c r="B36" s="15" t="s">
        <v>80</v>
      </c>
      <c r="C36" s="70" t="s">
        <v>11</v>
      </c>
      <c r="D36" s="72"/>
      <c r="E36" s="72"/>
      <c r="F36" s="72"/>
      <c r="G36" s="72"/>
      <c r="H36" s="71"/>
      <c r="I36" s="47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1621.2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73" t="s">
        <v>7</v>
      </c>
      <c r="C45" s="73"/>
      <c r="D45" s="73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265K0041</v>
      </c>
      <c r="I51" s="8"/>
      <c r="K51">
        <v>3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74" t="s">
        <v>1</v>
      </c>
      <c r="D54" s="74"/>
      <c r="E54" s="5"/>
      <c r="F54" s="5"/>
      <c r="G54" s="5"/>
      <c r="H54" s="5"/>
      <c r="I54" s="4"/>
    </row>
    <row r="55" spans="2:11" x14ac:dyDescent="0.2">
      <c r="B55" s="6"/>
      <c r="C55" s="75" t="s">
        <v>0</v>
      </c>
      <c r="D55" s="75"/>
      <c r="E55" s="5"/>
      <c r="F55" s="5"/>
      <c r="G55" s="5"/>
      <c r="H55" s="5"/>
      <c r="I55" s="4"/>
      <c r="K55">
        <v>3</v>
      </c>
    </row>
    <row r="56" spans="2:11" x14ac:dyDescent="0.2">
      <c r="B56" s="2"/>
      <c r="C56" s="69"/>
      <c r="D56" s="69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61357676</v>
      </c>
      <c r="K2" s="50">
        <v>1750</v>
      </c>
      <c r="L2" s="44">
        <v>13</v>
      </c>
      <c r="M2" s="44">
        <v>138.535</v>
      </c>
      <c r="N2" s="44">
        <v>142.035</v>
      </c>
      <c r="O2" s="44">
        <v>153.88499999999999</v>
      </c>
      <c r="P2" s="44" t="s">
        <v>54</v>
      </c>
      <c r="Q2" s="44">
        <v>0.72099999999999997</v>
      </c>
      <c r="R2" s="44" t="s">
        <v>62</v>
      </c>
    </row>
    <row r="3" spans="2:22" x14ac:dyDescent="0.2">
      <c r="B3" s="6" t="s">
        <v>53</v>
      </c>
      <c r="C3" s="64">
        <f>+'549'!C3+1</f>
        <v>550</v>
      </c>
      <c r="D3" s="5"/>
      <c r="E3" s="5"/>
      <c r="F3" s="5"/>
      <c r="G3" s="5" t="s">
        <v>52</v>
      </c>
      <c r="H3" s="31">
        <f>+'549'!H3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61357676</v>
      </c>
      <c r="C21" s="55">
        <f>VLOOKUP($K55,reff!E2:F29,2,0)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153.88499999999999</v>
      </c>
      <c r="G23" s="23">
        <f>+N2</f>
        <v>142.035</v>
      </c>
      <c r="H23" s="23">
        <f>+M2</f>
        <v>138.535</v>
      </c>
      <c r="I23" s="54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T-Shirt, With No Neck Closure, Stitch Count Is Greater Than 9/2cm, Reaches Waist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76"/>
      <c r="E32" s="77"/>
      <c r="F32" s="76">
        <f>+K2</f>
        <v>1750</v>
      </c>
      <c r="G32" s="77"/>
      <c r="H32" s="17">
        <v>0.81</v>
      </c>
      <c r="I32" s="18">
        <f>+H32*F32</f>
        <v>1417.5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1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1750</v>
      </c>
      <c r="G34" s="77"/>
      <c r="H34" s="15"/>
      <c r="I34" s="14">
        <f>SUM(I32:I33)</f>
        <v>1417.5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1417.5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1417.5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  <c r="K55">
        <v>4</v>
      </c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61357674</v>
      </c>
      <c r="K2" s="44">
        <v>629</v>
      </c>
      <c r="L2" s="44">
        <v>8</v>
      </c>
      <c r="M2" s="44">
        <v>49.921999999999997</v>
      </c>
      <c r="N2" s="44">
        <v>51.18</v>
      </c>
      <c r="O2" s="44">
        <v>57.43</v>
      </c>
      <c r="P2" s="44" t="s">
        <v>54</v>
      </c>
      <c r="Q2" s="44">
        <v>0.28499999999999998</v>
      </c>
      <c r="R2" s="44" t="s">
        <v>62</v>
      </c>
    </row>
    <row r="3" spans="2:22" x14ac:dyDescent="0.2">
      <c r="B3" s="6" t="s">
        <v>53</v>
      </c>
      <c r="C3" s="64">
        <f>+'550'!C3+1</f>
        <v>551</v>
      </c>
      <c r="D3" s="5"/>
      <c r="E3" s="5"/>
      <c r="F3" s="5"/>
      <c r="G3" s="5" t="s">
        <v>52</v>
      </c>
      <c r="H3" s="31">
        <f>+'550'!H3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61357674</v>
      </c>
      <c r="C21" s="55">
        <f>VLOOKUP($K55,reff!E2:F29,2,0)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57.43</v>
      </c>
      <c r="G23" s="23">
        <f>+N2</f>
        <v>51.18</v>
      </c>
      <c r="H23" s="23">
        <f>+M2</f>
        <v>49.921999999999997</v>
      </c>
      <c r="I23" s="54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T-Shirt, With No Neck Closure, Stitch Count Is Greater Than 9/2cm, Reaches Waist [100% Cotton]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188</v>
      </c>
      <c r="D32" s="76"/>
      <c r="E32" s="77"/>
      <c r="F32" s="76">
        <f>+K2</f>
        <v>629</v>
      </c>
      <c r="G32" s="77"/>
      <c r="H32" s="17">
        <v>0.78</v>
      </c>
      <c r="I32" s="18">
        <f>+H32*F32</f>
        <v>490.62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4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629</v>
      </c>
      <c r="G34" s="77"/>
      <c r="H34" s="15"/>
      <c r="I34" s="14">
        <f>SUM(I32:I33)</f>
        <v>490.62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490.62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490.62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  <c r="K55">
        <v>5</v>
      </c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61419903</v>
      </c>
      <c r="K2" s="44">
        <v>627</v>
      </c>
      <c r="L2" s="44">
        <v>12</v>
      </c>
      <c r="M2" s="44">
        <v>39.450000000000003</v>
      </c>
      <c r="N2" s="44">
        <v>51.99</v>
      </c>
      <c r="O2" s="44">
        <v>58.99</v>
      </c>
      <c r="P2" s="44" t="s">
        <v>54</v>
      </c>
      <c r="Q2" s="44">
        <v>0.30199999999999999</v>
      </c>
      <c r="R2" s="44" t="s">
        <v>62</v>
      </c>
    </row>
    <row r="3" spans="2:22" x14ac:dyDescent="0.2">
      <c r="B3" s="6" t="s">
        <v>53</v>
      </c>
      <c r="C3" s="64">
        <f>+'551'!C3+1</f>
        <v>552</v>
      </c>
      <c r="D3" s="5"/>
      <c r="E3" s="5"/>
      <c r="F3" s="5"/>
      <c r="G3" s="5" t="s">
        <v>52</v>
      </c>
      <c r="H3" s="31">
        <f>+'551'!H3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61419903</v>
      </c>
      <c r="C21" s="55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58.99</v>
      </c>
      <c r="G23" s="23">
        <f>+N2</f>
        <v>51.99</v>
      </c>
      <c r="H23" s="23">
        <f>+M2</f>
        <v>39.450000000000003</v>
      </c>
      <c r="I23" s="5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T-SHIRT, WITH NO NECK CLOSURE, STITCH COUNT IS GREATER THAN 9/2CM, REACHES WAIST [100% COTTON]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190</v>
      </c>
      <c r="D32" s="76"/>
      <c r="E32" s="77"/>
      <c r="F32" s="76">
        <f>+K2</f>
        <v>627</v>
      </c>
      <c r="G32" s="77"/>
      <c r="H32" s="17">
        <v>0.81</v>
      </c>
      <c r="I32" s="18">
        <f>+H32*F32</f>
        <v>507.87000000000006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4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627</v>
      </c>
      <c r="G34" s="77"/>
      <c r="H34" s="15"/>
      <c r="I34" s="14">
        <f>SUM(I32:I33)</f>
        <v>507.87000000000006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507.87000000000006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507.87000000000006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61411686</v>
      </c>
      <c r="K2" s="44">
        <v>444</v>
      </c>
      <c r="L2" s="44">
        <v>4</v>
      </c>
      <c r="M2" s="44">
        <v>27.32</v>
      </c>
      <c r="N2" s="44">
        <v>36.200000000000003</v>
      </c>
      <c r="O2" s="44">
        <v>39.6</v>
      </c>
      <c r="P2" s="44" t="s">
        <v>54</v>
      </c>
      <c r="Q2" s="44">
        <v>0.17899999999999999</v>
      </c>
      <c r="R2" s="44" t="s">
        <v>62</v>
      </c>
    </row>
    <row r="3" spans="2:22" x14ac:dyDescent="0.2">
      <c r="B3" s="6" t="s">
        <v>53</v>
      </c>
      <c r="C3" s="64">
        <f>'552'!C3+1</f>
        <v>553</v>
      </c>
      <c r="D3" s="5"/>
      <c r="E3" s="5"/>
      <c r="F3" s="5"/>
      <c r="G3" s="5" t="s">
        <v>52</v>
      </c>
      <c r="H3" s="31">
        <f>+'552'!H3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61411686</v>
      </c>
      <c r="C21" s="58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9" t="s">
        <v>35</v>
      </c>
      <c r="G21" s="59"/>
      <c r="H21" s="49" t="str">
        <f>IF(LEFT(G17,2)="CA","CA",IF(LEFT(G17,2)="UN","US",IF(LEFT(G17,2)="PA","PA",IF(LEFT(G17,2)="JA","JP"))))</f>
        <v>CA</v>
      </c>
      <c r="I21" s="59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39.6</v>
      </c>
      <c r="G23" s="23">
        <f>+N2</f>
        <v>36.200000000000003</v>
      </c>
      <c r="H23" s="23">
        <f>+M2</f>
        <v>27.32</v>
      </c>
      <c r="I23" s="59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T-SHIRT, WITH NO NECK CLOSURE, STITCH COUNT IS GREATER THAN 9/2CM, REACHES WAIST [100% COTTON]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84" t="s">
        <v>19</v>
      </c>
      <c r="E31" s="84"/>
      <c r="F31" s="84" t="s">
        <v>18</v>
      </c>
      <c r="G31" s="84"/>
      <c r="H31" s="59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190</v>
      </c>
      <c r="D32" s="76"/>
      <c r="E32" s="77"/>
      <c r="F32" s="76">
        <f>+K2</f>
        <v>444</v>
      </c>
      <c r="G32" s="77"/>
      <c r="H32" s="17">
        <v>0.81</v>
      </c>
      <c r="I32" s="18">
        <f>+H32*F32</f>
        <v>359.64000000000004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9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444</v>
      </c>
      <c r="G34" s="77"/>
      <c r="H34" s="15"/>
      <c r="I34" s="14">
        <f>SUM(I32:I33)</f>
        <v>359.64000000000004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9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359.64000000000004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359.64000000000004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61352081</v>
      </c>
      <c r="K2" s="44">
        <v>474</v>
      </c>
      <c r="L2" s="44">
        <v>6</v>
      </c>
      <c r="M2" s="44">
        <v>37.237000000000002</v>
      </c>
      <c r="N2" s="44">
        <v>38.344999999999999</v>
      </c>
      <c r="O2" s="44">
        <v>43.145000000000003</v>
      </c>
      <c r="P2" s="44" t="s">
        <v>54</v>
      </c>
      <c r="Q2" s="44">
        <v>0.21199999999999999</v>
      </c>
      <c r="R2" s="44" t="s">
        <v>62</v>
      </c>
    </row>
    <row r="3" spans="2:22" x14ac:dyDescent="0.2">
      <c r="B3" s="6" t="s">
        <v>53</v>
      </c>
      <c r="C3" s="64">
        <f>'553'!C3+1</f>
        <v>554</v>
      </c>
      <c r="D3" s="5"/>
      <c r="E3" s="5"/>
      <c r="F3" s="5"/>
      <c r="G3" s="5" t="s">
        <v>52</v>
      </c>
      <c r="H3" s="31">
        <f>+'553'!H3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61352081</v>
      </c>
      <c r="C21" s="58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9" t="s">
        <v>35</v>
      </c>
      <c r="G21" s="59"/>
      <c r="H21" s="49" t="str">
        <f>IF(LEFT(G17,2)="CA","CA",IF(LEFT(G17,2)="UN","US",IF(LEFT(G17,2)="PA","PA",IF(LEFT(G17,2)="JA","JP"))))</f>
        <v>CA</v>
      </c>
      <c r="I21" s="59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43.145000000000003</v>
      </c>
      <c r="G23" s="23">
        <f>+N2</f>
        <v>38.344999999999999</v>
      </c>
      <c r="H23" s="23">
        <f>+M2</f>
        <v>37.237000000000002</v>
      </c>
      <c r="I23" s="59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T-Shirt, With No Neck Closure, Stitch Count Is Greater Than 9/2cm, Reaches Waist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84" t="s">
        <v>19</v>
      </c>
      <c r="E31" s="84"/>
      <c r="F31" s="84" t="s">
        <v>18</v>
      </c>
      <c r="G31" s="84"/>
      <c r="H31" s="59" t="s">
        <v>17</v>
      </c>
      <c r="I31" s="19" t="s">
        <v>16</v>
      </c>
      <c r="M31"/>
    </row>
    <row r="32" spans="2:13" ht="39" customHeight="1" x14ac:dyDescent="0.2">
      <c r="B32" s="41" t="s">
        <v>187</v>
      </c>
      <c r="C32" s="19" t="s">
        <v>186</v>
      </c>
      <c r="D32" s="76"/>
      <c r="E32" s="77"/>
      <c r="F32" s="76">
        <f>+K2</f>
        <v>474</v>
      </c>
      <c r="G32" s="77"/>
      <c r="H32" s="17">
        <v>0.81</v>
      </c>
      <c r="I32" s="18">
        <f>+H32*F32</f>
        <v>383.94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9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474</v>
      </c>
      <c r="G34" s="77"/>
      <c r="H34" s="15"/>
      <c r="I34" s="14">
        <f>SUM(I32:I33)</f>
        <v>383.94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9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383.94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383.94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8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61351844</v>
      </c>
      <c r="K2" s="44">
        <v>401</v>
      </c>
      <c r="L2" s="44">
        <v>4</v>
      </c>
      <c r="M2" s="44">
        <v>31.498000000000001</v>
      </c>
      <c r="N2" s="44">
        <v>32.44</v>
      </c>
      <c r="O2" s="44">
        <v>35.840000000000003</v>
      </c>
      <c r="P2" s="44" t="s">
        <v>54</v>
      </c>
      <c r="Q2" s="44">
        <v>0.16800000000000001</v>
      </c>
      <c r="R2" s="44" t="s">
        <v>62</v>
      </c>
    </row>
    <row r="3" spans="2:22" x14ac:dyDescent="0.2">
      <c r="B3" s="6" t="s">
        <v>53</v>
      </c>
      <c r="C3" s="64">
        <f>+'554'!C3+1</f>
        <v>555</v>
      </c>
      <c r="D3" s="5"/>
      <c r="E3" s="5"/>
      <c r="F3" s="5"/>
      <c r="G3" s="5" t="s">
        <v>52</v>
      </c>
      <c r="H3" s="31">
        <f>+'554'!H3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61351844</v>
      </c>
      <c r="C21" s="62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CA</v>
      </c>
      <c r="I21" s="63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35.840000000000003</v>
      </c>
      <c r="G23" s="23">
        <f>+N2</f>
        <v>32.44</v>
      </c>
      <c r="H23" s="23">
        <f>+M2</f>
        <v>31.498000000000001</v>
      </c>
      <c r="I23" s="63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T-Shirt, With No Neck Closure, Stitch Count Is Greater Than 9/2cm, Reaches Waist [100% Cotton]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4" t="s">
        <v>19</v>
      </c>
      <c r="E31" s="84"/>
      <c r="F31" s="84" t="s">
        <v>18</v>
      </c>
      <c r="G31" s="84"/>
      <c r="H31" s="63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188</v>
      </c>
      <c r="D32" s="76"/>
      <c r="E32" s="77"/>
      <c r="F32" s="76">
        <f>+K2</f>
        <v>401</v>
      </c>
      <c r="G32" s="77"/>
      <c r="H32" s="17">
        <v>0.78</v>
      </c>
      <c r="I32" s="18">
        <f>+H32*F32</f>
        <v>312.78000000000003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3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401</v>
      </c>
      <c r="G34" s="77"/>
      <c r="H34" s="15"/>
      <c r="I34" s="14">
        <f>SUM(I32:I33)</f>
        <v>312.78000000000003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312.78000000000003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312.78000000000003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9"/>
  <sheetViews>
    <sheetView view="pageBreakPreview" topLeftCell="A27" zoomScaleNormal="100" zoomScaleSheetLayoutView="100" workbookViewId="0">
      <selection activeCell="A32" sqref="A32:XFD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61251036</v>
      </c>
      <c r="K2" s="44">
        <v>483</v>
      </c>
      <c r="L2" s="44">
        <v>15</v>
      </c>
      <c r="M2" s="44">
        <v>102.333</v>
      </c>
      <c r="N2" s="44">
        <v>105.601</v>
      </c>
      <c r="O2" s="44">
        <v>118.20099999999999</v>
      </c>
      <c r="P2" s="44" t="s">
        <v>54</v>
      </c>
      <c r="Q2" s="44">
        <v>0.626</v>
      </c>
      <c r="R2" s="44" t="s">
        <v>62</v>
      </c>
    </row>
    <row r="3" spans="2:22" x14ac:dyDescent="0.2">
      <c r="B3" s="6" t="s">
        <v>53</v>
      </c>
      <c r="C3" s="64">
        <f>+'555'!C3+1</f>
        <v>556</v>
      </c>
      <c r="D3" s="5"/>
      <c r="E3" s="5"/>
      <c r="F3" s="5"/>
      <c r="G3" s="5" t="s">
        <v>52</v>
      </c>
      <c r="H3" s="31">
        <f>+'555'!H3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61251036</v>
      </c>
      <c r="C21" s="62">
        <f>VLOOKUP($K57,reff!E2:F29,2,0)</f>
        <v>845865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118.20099999999999</v>
      </c>
      <c r="G23" s="23">
        <f>+N2</f>
        <v>105.601</v>
      </c>
      <c r="H23" s="23">
        <f>+M2</f>
        <v>102.333</v>
      </c>
      <c r="I23" s="63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A MULTY PACK OF 3 PIECES OF GIRLS COTTON FIBERS, KNIT PULLOVER, WITH NO NECK CLOSURE, STITCH COUNT IS GREATER THAN 9/2CM, REACHES WAIST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4" t="s">
        <v>19</v>
      </c>
      <c r="E31" s="84"/>
      <c r="F31" s="84" t="s">
        <v>18</v>
      </c>
      <c r="G31" s="84"/>
      <c r="H31" s="63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211</v>
      </c>
      <c r="D32" s="76">
        <f>+F32*2</f>
        <v>966</v>
      </c>
      <c r="E32" s="77"/>
      <c r="F32" s="91">
        <f>+K2</f>
        <v>483</v>
      </c>
      <c r="G32" s="92"/>
      <c r="H32" s="17">
        <v>0.57999999999999996</v>
      </c>
      <c r="I32" s="18">
        <f>+H32*D32</f>
        <v>560.28</v>
      </c>
      <c r="K32" s="48"/>
      <c r="M32" s="39"/>
    </row>
    <row r="33" spans="2:13" ht="39" customHeight="1" x14ac:dyDescent="0.2">
      <c r="B33" s="41" t="s">
        <v>177</v>
      </c>
      <c r="C33" s="19" t="s">
        <v>211</v>
      </c>
      <c r="D33" s="76">
        <f>+F32*1</f>
        <v>483</v>
      </c>
      <c r="E33" s="77"/>
      <c r="F33" s="93"/>
      <c r="G33" s="94"/>
      <c r="H33" s="17">
        <v>0.8</v>
      </c>
      <c r="I33" s="18">
        <f>+H33*D33</f>
        <v>386.40000000000003</v>
      </c>
      <c r="K33" s="48"/>
      <c r="M33" s="39"/>
    </row>
    <row r="34" spans="2:13" ht="21" customHeight="1" x14ac:dyDescent="0.2">
      <c r="B34" s="15" t="s">
        <v>15</v>
      </c>
      <c r="C34" s="15"/>
      <c r="D34" s="68"/>
      <c r="E34" s="65"/>
      <c r="F34" s="70"/>
      <c r="G34" s="71"/>
      <c r="H34" s="17"/>
      <c r="I34" s="63"/>
    </row>
    <row r="35" spans="2:13" ht="21.75" customHeight="1" x14ac:dyDescent="0.2">
      <c r="B35" s="15" t="s">
        <v>14</v>
      </c>
      <c r="C35" s="15"/>
      <c r="D35" s="89" t="s">
        <v>213</v>
      </c>
      <c r="E35" s="90"/>
      <c r="F35" s="87">
        <f>SUM(F31:G34)</f>
        <v>483</v>
      </c>
      <c r="G35" s="88"/>
      <c r="H35" s="15"/>
      <c r="I35" s="14">
        <f>SUM(I32:I34)</f>
        <v>946.68000000000006</v>
      </c>
      <c r="J35" s="40"/>
      <c r="K35" s="40"/>
    </row>
    <row r="36" spans="2:13" ht="21.75" customHeight="1" x14ac:dyDescent="0.2">
      <c r="B36" s="16" t="s">
        <v>13</v>
      </c>
      <c r="C36" s="15"/>
      <c r="E36" s="65"/>
      <c r="F36" s="70"/>
      <c r="G36" s="71"/>
      <c r="H36" s="15"/>
      <c r="I36" s="63"/>
      <c r="J36" s="40"/>
    </row>
    <row r="37" spans="2:13" ht="21.75" customHeight="1" x14ac:dyDescent="0.2">
      <c r="B37" s="16" t="s">
        <v>12</v>
      </c>
      <c r="C37" s="15"/>
      <c r="D37" s="70"/>
      <c r="E37" s="71"/>
      <c r="F37" s="70"/>
      <c r="G37" s="71"/>
      <c r="H37" s="15"/>
      <c r="I37" s="14">
        <f>+I35</f>
        <v>946.68000000000006</v>
      </c>
    </row>
    <row r="38" spans="2:13" ht="20.25" customHeight="1" x14ac:dyDescent="0.2">
      <c r="B38" s="15" t="s">
        <v>80</v>
      </c>
      <c r="C38" s="70" t="s">
        <v>11</v>
      </c>
      <c r="D38" s="72"/>
      <c r="E38" s="72"/>
      <c r="F38" s="72"/>
      <c r="G38" s="72"/>
      <c r="H38" s="71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946.68000000000006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3" t="s">
        <v>7</v>
      </c>
      <c r="C47" s="73"/>
      <c r="D47" s="7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265K0033</v>
      </c>
      <c r="I53" s="8"/>
      <c r="K53">
        <v>10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4" t="s">
        <v>1</v>
      </c>
      <c r="D56" s="74"/>
      <c r="E56" s="5"/>
      <c r="F56" s="5"/>
      <c r="G56" s="5"/>
      <c r="H56" s="5"/>
      <c r="I56" s="4"/>
    </row>
    <row r="57" spans="2:11" x14ac:dyDescent="0.2">
      <c r="B57" s="6"/>
      <c r="C57" s="75" t="s">
        <v>0</v>
      </c>
      <c r="D57" s="75"/>
      <c r="E57" s="5"/>
      <c r="F57" s="5"/>
      <c r="G57" s="5"/>
      <c r="H57" s="5"/>
      <c r="I57" s="4"/>
      <c r="K57">
        <v>10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19">
    <mergeCell ref="D33:E33"/>
    <mergeCell ref="F32:G33"/>
    <mergeCell ref="F34:G34"/>
    <mergeCell ref="D35:E35"/>
    <mergeCell ref="F35:G35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61309081</v>
      </c>
      <c r="K2" s="44">
        <v>262</v>
      </c>
      <c r="L2" s="44">
        <v>4</v>
      </c>
      <c r="M2" s="44">
        <v>19.919</v>
      </c>
      <c r="N2" s="44">
        <v>20.443000000000001</v>
      </c>
      <c r="O2" s="44">
        <v>23.443000000000001</v>
      </c>
      <c r="P2" s="44" t="s">
        <v>54</v>
      </c>
      <c r="Q2" s="44">
        <v>0.112</v>
      </c>
      <c r="R2" s="44" t="s">
        <v>62</v>
      </c>
    </row>
    <row r="3" spans="2:22" x14ac:dyDescent="0.2">
      <c r="B3" s="6" t="s">
        <v>53</v>
      </c>
      <c r="C3" s="64">
        <f>+'556'!C3+1</f>
        <v>557</v>
      </c>
      <c r="D3" s="5"/>
      <c r="E3" s="5"/>
      <c r="F3" s="5"/>
      <c r="G3" s="5" t="s">
        <v>52</v>
      </c>
      <c r="H3" s="31">
        <f>+'556'!H3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61309081</v>
      </c>
      <c r="C21" s="62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23.443000000000001</v>
      </c>
      <c r="G23" s="23">
        <f>+N2</f>
        <v>20.443000000000001</v>
      </c>
      <c r="H23" s="23">
        <f>+M2</f>
        <v>19.919</v>
      </c>
      <c r="I23" s="63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PULLOVER, WITH NO NECK CLOSURE, STITCH COUNT IS GREATER THAN 9/2CM, REACHES WAIST [60% COTTON 40% RECYCLED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4" t="s">
        <v>19</v>
      </c>
      <c r="E31" s="84"/>
      <c r="F31" s="84" t="s">
        <v>18</v>
      </c>
      <c r="G31" s="84"/>
      <c r="H31" s="63" t="s">
        <v>17</v>
      </c>
      <c r="I31" s="19" t="s">
        <v>16</v>
      </c>
      <c r="M31"/>
    </row>
    <row r="32" spans="2:13" ht="39" customHeight="1" x14ac:dyDescent="0.2">
      <c r="B32" s="41" t="s">
        <v>187</v>
      </c>
      <c r="C32" s="19" t="s">
        <v>214</v>
      </c>
      <c r="D32" s="76"/>
      <c r="E32" s="77"/>
      <c r="F32" s="76">
        <f>+K2</f>
        <v>262</v>
      </c>
      <c r="G32" s="77"/>
      <c r="H32" s="17">
        <v>0.71</v>
      </c>
      <c r="I32" s="18">
        <f>+H32*F32</f>
        <v>186.01999999999998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3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262</v>
      </c>
      <c r="G34" s="77"/>
      <c r="H34" s="15"/>
      <c r="I34" s="14">
        <f>SUM(I32:I33)</f>
        <v>186.01999999999998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186.01999999999998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186.01999999999998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265K0026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9"/>
  <sheetViews>
    <sheetView view="pageBreakPreview" topLeftCell="A22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61251034</v>
      </c>
      <c r="K2" s="50">
        <v>1581</v>
      </c>
      <c r="L2" s="44">
        <v>34</v>
      </c>
      <c r="M2" s="44">
        <v>335.61</v>
      </c>
      <c r="N2" s="44">
        <v>346.30099999999999</v>
      </c>
      <c r="O2" s="44">
        <v>378.40100000000001</v>
      </c>
      <c r="P2" s="44" t="s">
        <v>54</v>
      </c>
      <c r="Q2" s="44">
        <v>1.968</v>
      </c>
      <c r="R2" s="44" t="s">
        <v>62</v>
      </c>
    </row>
    <row r="3" spans="2:22" x14ac:dyDescent="0.2">
      <c r="B3" s="6" t="s">
        <v>53</v>
      </c>
      <c r="C3" s="64">
        <f>'557'!C3+1</f>
        <v>558</v>
      </c>
      <c r="D3" s="5"/>
      <c r="E3" s="5"/>
      <c r="F3" s="5"/>
      <c r="G3" s="5" t="s">
        <v>52</v>
      </c>
      <c r="H3" s="31">
        <f>+'557'!H3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61251034</v>
      </c>
      <c r="C21" s="62">
        <f>VLOOKUP($K57,reff!E2:F29,2,0)</f>
        <v>845865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378.40100000000001</v>
      </c>
      <c r="G23" s="23">
        <f>+N2</f>
        <v>346.30099999999999</v>
      </c>
      <c r="H23" s="23">
        <f>+M2</f>
        <v>335.61</v>
      </c>
      <c r="I23" s="63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A MULTY PACK OF 3 PIECES OF GIRLS COTTON FIBERS, KNIT PULLOVER, WITH NO NECK CLOSURE, STITCH COUNT IS GREATER THAN 9/2CM, REACHES WAIST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4" t="s">
        <v>19</v>
      </c>
      <c r="E31" s="84"/>
      <c r="F31" s="84" t="s">
        <v>18</v>
      </c>
      <c r="G31" s="84"/>
      <c r="H31" s="63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211</v>
      </c>
      <c r="D32" s="76">
        <f>+F32*2</f>
        <v>3162</v>
      </c>
      <c r="E32" s="77"/>
      <c r="F32" s="91">
        <f>+K2</f>
        <v>1581</v>
      </c>
      <c r="G32" s="92"/>
      <c r="H32" s="17">
        <v>0.57999999999999996</v>
      </c>
      <c r="I32" s="18">
        <f>+H32*D32</f>
        <v>1833.9599999999998</v>
      </c>
      <c r="K32" s="48"/>
      <c r="M32" s="39"/>
    </row>
    <row r="33" spans="2:13" ht="39" customHeight="1" x14ac:dyDescent="0.2">
      <c r="B33" s="41" t="s">
        <v>177</v>
      </c>
      <c r="C33" s="19" t="s">
        <v>211</v>
      </c>
      <c r="D33" s="76">
        <f>+F32*1</f>
        <v>1581</v>
      </c>
      <c r="E33" s="77"/>
      <c r="F33" s="93"/>
      <c r="G33" s="94"/>
      <c r="H33" s="17">
        <v>0.8</v>
      </c>
      <c r="I33" s="18">
        <f>+H33*D33</f>
        <v>1264.8000000000002</v>
      </c>
      <c r="K33" s="48"/>
      <c r="M33" s="39"/>
    </row>
    <row r="34" spans="2:13" ht="21" customHeight="1" x14ac:dyDescent="0.2">
      <c r="B34" s="15" t="s">
        <v>15</v>
      </c>
      <c r="C34" s="15"/>
      <c r="D34" s="70"/>
      <c r="E34" s="71"/>
      <c r="F34" s="70"/>
      <c r="G34" s="71"/>
      <c r="H34" s="17"/>
      <c r="I34" s="63"/>
    </row>
    <row r="35" spans="2:13" ht="21.75" customHeight="1" x14ac:dyDescent="0.2">
      <c r="B35" s="15" t="s">
        <v>14</v>
      </c>
      <c r="C35" s="15"/>
      <c r="D35" s="89" t="s">
        <v>216</v>
      </c>
      <c r="E35" s="90"/>
      <c r="F35" s="87">
        <f>SUM(F31:G34)</f>
        <v>1581</v>
      </c>
      <c r="G35" s="88"/>
      <c r="H35" s="15"/>
      <c r="I35" s="14">
        <f>SUM(I32:I34)</f>
        <v>3098.76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1"/>
      <c r="F36" s="70"/>
      <c r="G36" s="71"/>
      <c r="H36" s="15"/>
      <c r="I36" s="63"/>
      <c r="J36" s="40"/>
    </row>
    <row r="37" spans="2:13" ht="21.75" customHeight="1" x14ac:dyDescent="0.2">
      <c r="B37" s="16" t="s">
        <v>12</v>
      </c>
      <c r="C37" s="15"/>
      <c r="D37" s="70"/>
      <c r="E37" s="71"/>
      <c r="F37" s="70"/>
      <c r="G37" s="71"/>
      <c r="H37" s="15"/>
      <c r="I37" s="14">
        <f>+I35</f>
        <v>3098.76</v>
      </c>
    </row>
    <row r="38" spans="2:13" ht="20.25" customHeight="1" x14ac:dyDescent="0.2">
      <c r="B38" s="15" t="s">
        <v>80</v>
      </c>
      <c r="C38" s="70" t="s">
        <v>11</v>
      </c>
      <c r="D38" s="72"/>
      <c r="E38" s="72"/>
      <c r="F38" s="72"/>
      <c r="G38" s="72"/>
      <c r="H38" s="71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3098.76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3" t="s">
        <v>7</v>
      </c>
      <c r="C47" s="73"/>
      <c r="D47" s="7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265K0033</v>
      </c>
      <c r="I53" s="8"/>
      <c r="K53">
        <v>12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4" t="s">
        <v>1</v>
      </c>
      <c r="D56" s="74"/>
      <c r="E56" s="5"/>
      <c r="F56" s="5"/>
      <c r="G56" s="5"/>
      <c r="H56" s="5"/>
      <c r="I56" s="4"/>
    </row>
    <row r="57" spans="2:11" x14ac:dyDescent="0.2">
      <c r="B57" s="6"/>
      <c r="C57" s="75" t="s">
        <v>0</v>
      </c>
      <c r="D57" s="75"/>
      <c r="E57" s="5"/>
      <c r="F57" s="5"/>
      <c r="G57" s="5"/>
      <c r="H57" s="5"/>
      <c r="I57" s="4"/>
      <c r="K57">
        <v>12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1">
    <mergeCell ref="D33:E33"/>
    <mergeCell ref="F32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9"/>
  <sheetViews>
    <sheetView view="pageBreakPreview" topLeftCell="A21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61309079</v>
      </c>
      <c r="K2" s="50">
        <v>1230</v>
      </c>
      <c r="L2" s="44">
        <v>15</v>
      </c>
      <c r="M2" s="44">
        <v>93.459000000000003</v>
      </c>
      <c r="N2" s="44">
        <v>95.918999999999997</v>
      </c>
      <c r="O2" s="44">
        <v>107.819</v>
      </c>
      <c r="P2" s="44" t="s">
        <v>54</v>
      </c>
      <c r="Q2" s="44">
        <v>0.52600000000000002</v>
      </c>
      <c r="R2" s="44" t="s">
        <v>62</v>
      </c>
    </row>
    <row r="3" spans="2:22" x14ac:dyDescent="0.2">
      <c r="B3" s="6" t="s">
        <v>53</v>
      </c>
      <c r="C3" s="64">
        <f>'558'!C3+1</f>
        <v>559</v>
      </c>
      <c r="D3" s="5"/>
      <c r="E3" s="5"/>
      <c r="F3" s="5"/>
      <c r="G3" s="5" t="s">
        <v>52</v>
      </c>
      <c r="H3" s="31">
        <f>+'558'!H3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61309079</v>
      </c>
      <c r="C21" s="62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107.819</v>
      </c>
      <c r="G23" s="23">
        <f>+N2</f>
        <v>95.918999999999997</v>
      </c>
      <c r="H23" s="23">
        <f>+M2</f>
        <v>93.459000000000003</v>
      </c>
      <c r="I23" s="63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PULLOVER, WITH NO NECK CLOSURE, STITCH COUNT IS GREATER THAN 9/2CM, REACHES WAIST [60% COTTON 40% RECYCLED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4" t="s">
        <v>19</v>
      </c>
      <c r="E31" s="84"/>
      <c r="F31" s="84" t="s">
        <v>18</v>
      </c>
      <c r="G31" s="84"/>
      <c r="H31" s="63" t="s">
        <v>17</v>
      </c>
      <c r="I31" s="19" t="s">
        <v>16</v>
      </c>
      <c r="M31"/>
    </row>
    <row r="32" spans="2:13" ht="39" customHeight="1" x14ac:dyDescent="0.2">
      <c r="B32" s="41" t="s">
        <v>218</v>
      </c>
      <c r="C32" s="19" t="s">
        <v>217</v>
      </c>
      <c r="D32" s="76"/>
      <c r="E32" s="77"/>
      <c r="F32" s="76">
        <v>1015</v>
      </c>
      <c r="G32" s="77"/>
      <c r="H32" s="17">
        <v>0.71</v>
      </c>
      <c r="I32" s="18">
        <f>+H32*F32</f>
        <v>720.65</v>
      </c>
      <c r="K32" s="48"/>
      <c r="M32" s="39"/>
    </row>
    <row r="33" spans="2:13" ht="27" customHeight="1" x14ac:dyDescent="0.2">
      <c r="B33" s="41" t="s">
        <v>177</v>
      </c>
      <c r="C33" s="19" t="s">
        <v>180</v>
      </c>
      <c r="D33" s="76"/>
      <c r="E33" s="77"/>
      <c r="F33" s="76">
        <v>215</v>
      </c>
      <c r="G33" s="77"/>
      <c r="H33" s="17">
        <v>0.71</v>
      </c>
      <c r="I33" s="18">
        <f>+H33*F33</f>
        <v>152.65</v>
      </c>
      <c r="K33" s="48"/>
      <c r="M33" s="39"/>
    </row>
    <row r="34" spans="2:13" ht="21" customHeight="1" x14ac:dyDescent="0.2">
      <c r="B34" s="15" t="s">
        <v>15</v>
      </c>
      <c r="C34" s="15"/>
      <c r="D34" s="70"/>
      <c r="E34" s="71"/>
      <c r="F34" s="70"/>
      <c r="G34" s="71"/>
      <c r="H34" s="17"/>
      <c r="I34" s="63"/>
    </row>
    <row r="35" spans="2:13" ht="21.75" customHeight="1" x14ac:dyDescent="0.2">
      <c r="B35" s="15" t="s">
        <v>14</v>
      </c>
      <c r="C35" s="15"/>
      <c r="D35" s="85"/>
      <c r="E35" s="86"/>
      <c r="F35" s="76">
        <f>SUM(F32:G34)</f>
        <v>1230</v>
      </c>
      <c r="G35" s="77"/>
      <c r="H35" s="15"/>
      <c r="I35" s="14">
        <f>SUM(I32:I34)</f>
        <v>873.3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1"/>
      <c r="F36" s="70"/>
      <c r="G36" s="71"/>
      <c r="H36" s="15"/>
      <c r="I36" s="63"/>
      <c r="J36" s="40"/>
    </row>
    <row r="37" spans="2:13" ht="21.75" customHeight="1" x14ac:dyDescent="0.2">
      <c r="B37" s="16" t="s">
        <v>12</v>
      </c>
      <c r="C37" s="15"/>
      <c r="D37" s="70"/>
      <c r="E37" s="71"/>
      <c r="F37" s="70"/>
      <c r="G37" s="71"/>
      <c r="H37" s="15"/>
      <c r="I37" s="14">
        <f>+I35</f>
        <v>873.3</v>
      </c>
    </row>
    <row r="38" spans="2:13" ht="20.25" customHeight="1" x14ac:dyDescent="0.2">
      <c r="B38" s="15" t="s">
        <v>80</v>
      </c>
      <c r="C38" s="70" t="s">
        <v>11</v>
      </c>
      <c r="D38" s="72"/>
      <c r="E38" s="72"/>
      <c r="F38" s="72"/>
      <c r="G38" s="72"/>
      <c r="H38" s="71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873.3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3" t="s">
        <v>7</v>
      </c>
      <c r="C47" s="73"/>
      <c r="D47" s="7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265K0026</v>
      </c>
      <c r="I53" s="8"/>
      <c r="K53">
        <v>13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4" t="s">
        <v>1</v>
      </c>
      <c r="D56" s="74"/>
      <c r="E56" s="5"/>
      <c r="F56" s="5"/>
      <c r="G56" s="5"/>
      <c r="H56" s="5"/>
      <c r="I56" s="4"/>
    </row>
    <row r="57" spans="2:11" x14ac:dyDescent="0.2">
      <c r="B57" s="6"/>
      <c r="C57" s="75" t="s">
        <v>0</v>
      </c>
      <c r="D57" s="75"/>
      <c r="E57" s="5"/>
      <c r="F57" s="5"/>
      <c r="G57" s="5"/>
      <c r="H57" s="5"/>
      <c r="I57" s="4"/>
      <c r="K57">
        <v>13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8D20-D0F9-414A-8363-FAA8E9F1D4D4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61775568</v>
      </c>
      <c r="K2" s="50">
        <v>2140</v>
      </c>
      <c r="L2" s="44">
        <v>13</v>
      </c>
      <c r="M2" s="44">
        <v>163.31</v>
      </c>
      <c r="N2" s="44">
        <v>167.59</v>
      </c>
      <c r="O2" s="44">
        <v>180.59</v>
      </c>
      <c r="P2" s="44" t="s">
        <v>54</v>
      </c>
      <c r="Q2" s="44">
        <v>0.872</v>
      </c>
      <c r="R2" s="44" t="s">
        <v>62</v>
      </c>
    </row>
    <row r="3" spans="2:22" x14ac:dyDescent="0.2">
      <c r="B3" s="6" t="s">
        <v>53</v>
      </c>
      <c r="C3" s="64">
        <f>+'559'!C3+1</f>
        <v>560</v>
      </c>
      <c r="D3" s="5"/>
      <c r="E3" s="5"/>
      <c r="F3" s="5"/>
      <c r="G3" s="5" t="s">
        <v>52</v>
      </c>
      <c r="H3" s="31">
        <f>+'558'!H3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61775568</v>
      </c>
      <c r="C21" s="66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180.59</v>
      </c>
      <c r="G23" s="23">
        <f>+N2</f>
        <v>167.59</v>
      </c>
      <c r="H23" s="23">
        <f>+M2</f>
        <v>163.31</v>
      </c>
      <c r="I23" s="67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GIRLS COTTON FIBERS, KNIT PULLOVER, WITH NO NECK CLOSURE, STITCH COUNT IS GREATER THAN 9/2CM, REACHES WAIST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4" t="s">
        <v>19</v>
      </c>
      <c r="E31" s="84"/>
      <c r="F31" s="84" t="s">
        <v>18</v>
      </c>
      <c r="G31" s="84"/>
      <c r="H31" s="67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214</v>
      </c>
      <c r="D32" s="76"/>
      <c r="E32" s="77"/>
      <c r="F32" s="76">
        <f>+K2</f>
        <v>2140</v>
      </c>
      <c r="G32" s="77"/>
      <c r="H32" s="17">
        <v>0.57999999999999996</v>
      </c>
      <c r="I32" s="18">
        <f>+H32*F32</f>
        <v>1241.1999999999998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2140</v>
      </c>
      <c r="G34" s="77"/>
      <c r="H34" s="15"/>
      <c r="I34" s="14">
        <f>SUM(I32:I33)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3BE446-FB16-4C91-AF1B-3A72019A915C}">
          <x14:formula1>
            <xm:f>Sheet1!$L$5:$L$25</xm:f>
          </x14:formula1>
          <xm:sqref>G13</xm:sqref>
        </x14:dataValidation>
        <x14:dataValidation type="list" allowBlank="1" showInputMessage="1" showErrorMessage="1" xr:uid="{931D84DF-EC68-4B6C-AD1E-186FCC2BBD73}">
          <x14:formula1>
            <xm:f>Sheet1!$B$17:$B$18</xm:f>
          </x14:formula1>
          <xm:sqref>G5</xm:sqref>
        </x14:dataValidation>
        <x14:dataValidation type="list" allowBlank="1" showInputMessage="1" showErrorMessage="1" xr:uid="{34B53F29-FF46-40B4-8223-BAE4F4523CF6}">
          <x14:formula1>
            <xm:f>Sheet1!$K$5:$K$12</xm:f>
          </x14:formula1>
          <xm:sqref>B14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C0C-8C24-4D49-99E6-D4154EC2ECD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61432482</v>
      </c>
      <c r="K2" s="44">
        <v>790</v>
      </c>
      <c r="L2" s="44">
        <v>23</v>
      </c>
      <c r="M2" s="44">
        <v>86.36</v>
      </c>
      <c r="N2" s="44">
        <v>94.26</v>
      </c>
      <c r="O2" s="44">
        <v>111.56</v>
      </c>
      <c r="P2" s="44" t="s">
        <v>54</v>
      </c>
      <c r="Q2" s="44">
        <v>0.67100000000000004</v>
      </c>
      <c r="R2" s="44" t="s">
        <v>62</v>
      </c>
    </row>
    <row r="3" spans="2:22" x14ac:dyDescent="0.2">
      <c r="B3" s="6" t="s">
        <v>53</v>
      </c>
      <c r="C3" s="64">
        <f>+'560'!C3+1</f>
        <v>561</v>
      </c>
      <c r="D3" s="5"/>
      <c r="E3" s="5"/>
      <c r="F3" s="5"/>
      <c r="G3" s="5" t="s">
        <v>52</v>
      </c>
      <c r="H3" s="31">
        <f>+'558'!H3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61432482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CA</v>
      </c>
      <c r="I21" s="67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111.56</v>
      </c>
      <c r="G23" s="23">
        <f>+N2</f>
        <v>94.26</v>
      </c>
      <c r="H23" s="23">
        <f>+M2</f>
        <v>86.36</v>
      </c>
      <c r="I23" s="67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WOMENS COTTON FIBERS, KNIT PULLOVER, WITH NO NECK CLOSURE, STITCH COUNT IS GREATER THAN 9/2CM, REACHES WAIST, SLEEVELESS [95% COTTON 5% ELASTANE]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4" t="s">
        <v>19</v>
      </c>
      <c r="E31" s="84"/>
      <c r="F31" s="84" t="s">
        <v>18</v>
      </c>
      <c r="G31" s="84"/>
      <c r="H31" s="67" t="s">
        <v>17</v>
      </c>
      <c r="I31" s="19" t="s">
        <v>16</v>
      </c>
      <c r="M31"/>
    </row>
    <row r="32" spans="2:13" ht="39" customHeight="1" x14ac:dyDescent="0.2">
      <c r="B32" s="41" t="s">
        <v>195</v>
      </c>
      <c r="C32" s="19" t="s">
        <v>194</v>
      </c>
      <c r="D32" s="76"/>
      <c r="E32" s="77"/>
      <c r="F32" s="76">
        <f>+K2</f>
        <v>790</v>
      </c>
      <c r="G32" s="77"/>
      <c r="H32" s="17">
        <v>0.76</v>
      </c>
      <c r="I32" s="18">
        <f>+H32*F32</f>
        <v>600.4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790</v>
      </c>
      <c r="G34" s="77"/>
      <c r="H34" s="15"/>
      <c r="I34" s="14">
        <f>SUM(I32:I33)</f>
        <v>600.4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600.4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600.4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59685-71A9-4BBE-9261-412AF579EF6B}">
          <x14:formula1>
            <xm:f>Sheet1!$K$5:$K$12</xm:f>
          </x14:formula1>
          <xm:sqref>B14</xm:sqref>
        </x14:dataValidation>
        <x14:dataValidation type="list" allowBlank="1" showInputMessage="1" showErrorMessage="1" xr:uid="{75A9CCB0-82A8-4364-A383-A9CD4B5A9A1B}">
          <x14:formula1>
            <xm:f>Sheet1!$B$17:$B$18</xm:f>
          </x14:formula1>
          <xm:sqref>G5</xm:sqref>
        </x14:dataValidation>
        <x14:dataValidation type="list" allowBlank="1" showInputMessage="1" showErrorMessage="1" xr:uid="{60195C20-E0D4-4C7A-9206-240886AB0F51}">
          <x14:formula1>
            <xm:f>Sheet1!$L$5:$L$25</xm:f>
          </x14:formula1>
          <xm:sqref>G13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5B55-A618-4A4B-B4AE-9F81EF9635A1}">
  <sheetPr>
    <pageSetUpPr fitToPage="1"/>
  </sheetPr>
  <dimension ref="B1:V58"/>
  <sheetViews>
    <sheetView view="pageBreakPreview" topLeftCell="A1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219</v>
      </c>
      <c r="C2" s="79"/>
      <c r="D2" s="79"/>
      <c r="E2" s="79"/>
      <c r="F2" s="79"/>
      <c r="G2" s="79"/>
      <c r="H2" s="79"/>
      <c r="I2" s="80"/>
      <c r="J2" s="43">
        <v>61433173</v>
      </c>
      <c r="K2" s="50">
        <v>3366</v>
      </c>
      <c r="L2" s="44">
        <v>89</v>
      </c>
      <c r="M2" s="44">
        <v>347.63</v>
      </c>
      <c r="N2" s="44">
        <v>465.44</v>
      </c>
      <c r="O2" s="44">
        <v>544.64</v>
      </c>
      <c r="P2" s="44" t="s">
        <v>54</v>
      </c>
      <c r="Q2" s="44">
        <v>4.3280000000000003</v>
      </c>
      <c r="R2" s="44" t="s">
        <v>62</v>
      </c>
    </row>
    <row r="3" spans="2:22" x14ac:dyDescent="0.2">
      <c r="B3" s="6" t="s">
        <v>53</v>
      </c>
      <c r="C3" s="64">
        <f>+'561'!C3+1</f>
        <v>562</v>
      </c>
      <c r="D3" s="5"/>
      <c r="E3" s="5"/>
      <c r="F3" s="5"/>
      <c r="G3" s="5" t="s">
        <v>52</v>
      </c>
      <c r="H3" s="31">
        <f>+'558'!H3</f>
        <v>46139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61433173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CA</v>
      </c>
      <c r="I21" s="67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544.64</v>
      </c>
      <c r="G23" s="23">
        <f>+N2</f>
        <v>465.44</v>
      </c>
      <c r="H23" s="23">
        <f>+M2</f>
        <v>347.63</v>
      </c>
      <c r="I23" s="67">
        <f>+L2</f>
        <v>89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2"/>
      <c r="D26" s="72"/>
      <c r="E26" s="72"/>
      <c r="F26" s="72"/>
      <c r="G26" s="72"/>
      <c r="H26" s="72"/>
      <c r="I26" s="71"/>
    </row>
    <row r="27" spans="2:13" ht="24.75" customHeight="1" x14ac:dyDescent="0.2">
      <c r="B27" s="81" t="str">
        <f>+K4</f>
        <v>WOMENS COTTON FIBERS, KNIT PULLOVER, WITH NO NECK CLOSURE, STITCH COUNT IS GREATER THAN 9/2CM, REACHES WAIST, SLEEVELESS [95% COTTON 5% ELASTANE]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4" t="s">
        <v>19</v>
      </c>
      <c r="E31" s="84"/>
      <c r="F31" s="84" t="s">
        <v>18</v>
      </c>
      <c r="G31" s="84"/>
      <c r="H31" s="67" t="s">
        <v>17</v>
      </c>
      <c r="I31" s="19" t="s">
        <v>16</v>
      </c>
      <c r="M31"/>
    </row>
    <row r="32" spans="2:13" ht="39" customHeight="1" x14ac:dyDescent="0.2">
      <c r="B32" s="41" t="s">
        <v>195</v>
      </c>
      <c r="C32" s="19" t="s">
        <v>194</v>
      </c>
      <c r="D32" s="76"/>
      <c r="E32" s="77"/>
      <c r="F32" s="76">
        <f>+K2</f>
        <v>3366</v>
      </c>
      <c r="G32" s="77"/>
      <c r="H32" s="17">
        <v>0.76</v>
      </c>
      <c r="I32" s="18">
        <f>+H32*F32</f>
        <v>2558.16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76">
        <f>SUM(F32:G33)</f>
        <v>3366</v>
      </c>
      <c r="G34" s="77"/>
      <c r="H34" s="15"/>
      <c r="I34" s="14">
        <f>SUM(I32:I33)</f>
        <v>2558.16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2558.16</v>
      </c>
    </row>
    <row r="37" spans="2:11" ht="20.25" customHeight="1" x14ac:dyDescent="0.2">
      <c r="B37" s="15" t="s">
        <v>80</v>
      </c>
      <c r="C37" s="70" t="s">
        <v>11</v>
      </c>
      <c r="D37" s="72"/>
      <c r="E37" s="72"/>
      <c r="F37" s="72"/>
      <c r="G37" s="72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2558.16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16</v>
      </c>
    </row>
    <row r="57" spans="2:11" x14ac:dyDescent="0.2">
      <c r="B57" s="2"/>
      <c r="C57" s="69"/>
      <c r="D57" s="6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05D9AF-8BBA-46D2-AAB8-870E81D7EC6D}">
          <x14:formula1>
            <xm:f>Sheet1!$L$5:$L$25</xm:f>
          </x14:formula1>
          <xm:sqref>G13</xm:sqref>
        </x14:dataValidation>
        <x14:dataValidation type="list" allowBlank="1" showInputMessage="1" showErrorMessage="1" xr:uid="{0BE30334-96C5-4EA1-AD72-89CD09DFA607}">
          <x14:formula1>
            <xm:f>Sheet1!$B$17:$B$18</xm:f>
          </x14:formula1>
          <xm:sqref>G5</xm:sqref>
        </x14:dataValidation>
        <x14:dataValidation type="list" allowBlank="1" showInputMessage="1" showErrorMessage="1" xr:uid="{5EC49B28-1797-4452-B23A-A14AC6C5F663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Sheet1</vt:lpstr>
      <vt:lpstr>reff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'547'!Print_Area</vt:lpstr>
      <vt:lpstr>'548'!Print_Area</vt:lpstr>
      <vt:lpstr>'549'!Print_Area</vt:lpstr>
      <vt:lpstr>'550'!Print_Area</vt:lpstr>
      <vt:lpstr>'551'!Print_Area</vt:lpstr>
      <vt:lpstr>'552'!Print_Area</vt:lpstr>
      <vt:lpstr>'553'!Print_Area</vt:lpstr>
      <vt:lpstr>'554'!Print_Area</vt:lpstr>
      <vt:lpstr>'555'!Print_Area</vt:lpstr>
      <vt:lpstr>'556'!Print_Area</vt:lpstr>
      <vt:lpstr>'557'!Print_Area</vt:lpstr>
      <vt:lpstr>'558'!Print_Area</vt:lpstr>
      <vt:lpstr>'559'!Print_Area</vt:lpstr>
      <vt:lpstr>'560'!Print_Area</vt:lpstr>
      <vt:lpstr>'561'!Print_Area</vt:lpstr>
      <vt:lpstr>'562'!Print_Area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2026-04-27T03:12:22Z</cp:lastPrinted>
  <dcterms:created xsi:type="dcterms:W3CDTF">2024-04-17T09:56:05Z</dcterms:created>
  <dcterms:modified xsi:type="dcterms:W3CDTF">2026-04-27T03:14:04Z</dcterms:modified>
</cp:coreProperties>
</file>