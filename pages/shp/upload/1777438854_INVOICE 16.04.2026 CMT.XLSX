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16.04.2026\"/>
    </mc:Choice>
  </mc:AlternateContent>
  <xr:revisionPtr revIDLastSave="0" documentId="13_ncr:1_{67A839AC-1FCB-4071-AD69-1A7C8FDBA58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72" sheetId="129" r:id="rId3"/>
    <sheet name="373" sheetId="133" r:id="rId4"/>
    <sheet name="374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'372'!$B$1:$I$57</definedName>
    <definedName name="_xlnm.Print_Area" localSheetId="3">'373'!$B$1:$I$57</definedName>
    <definedName name="_xlnm.Print_Area" localSheetId="4">'374'!$B$1:$I$57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I32" i="134" s="1"/>
  <c r="F34" i="134"/>
  <c r="F32" i="129" l="1"/>
  <c r="F32" i="133"/>
  <c r="F34" i="133" s="1"/>
  <c r="F34" i="129" l="1"/>
  <c r="C3" i="133"/>
  <c r="H3" i="134"/>
  <c r="H3" i="133"/>
  <c r="I32" i="129" l="1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<sst xmlns="http://schemas.openxmlformats.org/spreadsheetml/2006/main" count="399" uniqueCount="188">
  <si>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</si>
  <si>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</si>
  <si>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</si>
  <si>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</si>
  <si>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</si>
  <si>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</si>
  <si>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</si>
  <si>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</si>
  <si>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</si>
  <si>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</si>
  <si>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</si>
  <si>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</si>
  <si>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</si>
  <si>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</si>
  <si>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</si>
  <si>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</si>
  <si>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</si>
  <si>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</si>
  <si>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</si>
  <si>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</si>
  <si>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</si>
  <si>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</si>
  <si>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</si>
  <si>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</si>
  <si>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</si>
  <si>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</si>
  <si>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</si>
  <si>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</si>
  <si>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</si>
  <si>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</si>
  <si>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</si>
  <si>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</si>
  <si>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</si>
  <si>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</si>
  <si>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</si>
  <si>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</si>
  <si>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</si>
  <si>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</si>
  <si>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</si>
  <si>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</si>
  <si>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</si>
  <si>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</si>
  <si>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</si>
  <si>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</si>
  <si>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</si>
  <si>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</si>
  <si>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</si>
  <si>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</si>
  <si>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</si>
  <si>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</si>
  <si>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</si>
  <si>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</si>
  <si>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</si>
  <si>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</si>
  <si>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</si>
  <si>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</si>
  <si>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</si>
  <si>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</si>
  <si>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</si>
  <si>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</si>
  <si>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</si>
  <si>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</si>
  <si>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</si>
  <si>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</si>
  <si>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</si>
  <si>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</si>
  <si>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</si>
  <si>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</si>
  <si>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</si>
  <si>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</si>
  <si>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</si>
  <si>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</si>
  <si>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</si>
  <si>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</si>
  <si>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</si>
  <si>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</si>
  <si>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</si>
  <si>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</si>
  <si>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</si>
  <si>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</si>
  <si>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</si>
  <si>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</si>
  <si>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</si>
  <si>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</si>
  <si>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</si>
  <si>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</si>
  <si>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</si>
  <si>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</si>
  <si>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</si>
  <si>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</si>
  <si>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</si>
  <si>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</si>
  <si>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</si>
  <si>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</si>
  <si>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</si>
  <si>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</si>
  <si>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</si>
  <si>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</si>
  <si>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</si>
  <si>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</si>
  <si>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</si>
  <si>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</si>
  <si>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</si>
  <si>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</si>
  <si>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</si>
  <si>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</si>
  <si>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</si>
  <si>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</si>
  <si>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</si>
  <si>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</si>
  <si>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</si>
  <si>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</si>
  <si>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</si>
  <si>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</si>
  <si>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</si>
  <si>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</si>
  <si>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</si>
  <si>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</si>
  <si>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</si>
  <si>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</si>
  <si>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</si>
  <si>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</si>
  <si>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</si>
  <si>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</si>
  <si>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</si>
  <si>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</si>
  <si>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</si>
  <si>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</si>
  <si>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</si>
  <si>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</si>
  <si>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</si>
  <si>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</si>
  <si>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</si>
  <si>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</si>
  <si>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</si>
  <si>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</si>
  <si>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</si>
  <si>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</si>
  <si>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</si>
  <si>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</si>
  <si>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</si>
  <si>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</si>
  <si>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</si>
  <si>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</si>
  <si>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</si>
  <si>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</si>
  <si>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</si>
  <si>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</si>
  <si>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</si>
  <si>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</si>
  <si>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</si>
  <si>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</si>
  <si>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</si>
  <si>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</si>
  <si>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</si>
  <si>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</si>
  <si>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</si>
  <si>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</si>
  <si>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</si>
  <si>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</si>
  <si>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</si>
  <si>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</si>
  <si>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</si>
  <si>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</si>
  <si>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</si>
  <si>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</si>
  <si>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</si>
  <si>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</si>
  <si>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</si>
  <si>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</si>
  <si>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</si>
  <si>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</si>
  <si>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</si>
  <si>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</si>
  <si>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</si>
  <si>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</si>
  <si>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</si>
  <si>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</si>
  <si>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</si>
  <si>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265K0045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</si>
  <si>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</si>
  <si>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</si>
  <si>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</si>
  <si>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BLUSH ON YOU, SHOOTING STAR</t>
  </si>
  <si>
    <t>21, 22</t>
  </si>
  <si>
    <t>22, 21</t>
  </si>
  <si>
    <t>(FS INVOICE)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</si>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</sst>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" sqref="I2"/>
    </sheetView>
  </sheetViews>
  <sheetFormatPr defaultRowHeight="12.75" x14ac:dyDescent="0.2"/>
  <sheetData>
    <row r="2" spans="2:9" ht="15" x14ac:dyDescent="0.25">
      <c r="B2" s="58">
        <v>1</v>
      </c>
      <c r="C2" t="s">
        <v>179</v>
      </c>
      <c r="E2" s="58">
        <v>1</v>
      </c>
      <c r="F2">
        <v>692926</v>
      </c>
      <c r="H2" s="58">
        <v>1</v>
      </c>
      <c r="I2" s="59" t="s">
        <v>178</v>
      </c>
    </row>
    <row r="3" spans="2:9" ht="15" x14ac:dyDescent="0.25">
      <c r="B3" s="58">
        <v>2</v>
      </c>
      <c r="C3" t="s">
        <v>179</v>
      </c>
      <c r="E3" s="58">
        <v>2</v>
      </c>
      <c r="F3">
        <v>692926</v>
      </c>
      <c r="H3" s="58">
        <v>2</v>
      </c>
      <c r="I3" s="59" t="s">
        <v>178</v>
      </c>
    </row>
    <row r="4" spans="2:9" ht="15" x14ac:dyDescent="0.25">
      <c r="B4" s="58">
        <v>3</v>
      </c>
      <c r="C4" t="s">
        <v>179</v>
      </c>
      <c r="E4" s="58">
        <v>3</v>
      </c>
      <c r="F4">
        <v>692926</v>
      </c>
      <c r="H4" s="58">
        <v>3</v>
      </c>
      <c r="I4" s="59" t="s">
        <v>177</v>
      </c>
    </row>
    <row r="5" spans="2:9" ht="15" x14ac:dyDescent="0.25">
      <c r="B5" s="58">
        <v>4</v>
      </c>
      <c r="E5" s="58">
        <v>4</v>
      </c>
      <c r="H5" s="58">
        <v>4</v>
      </c>
      <c r="I5" s="59"/>
    </row>
    <row r="6" spans="2:9" ht="15" x14ac:dyDescent="0.25">
      <c r="B6" s="58">
        <v>5</v>
      </c>
      <c r="E6" s="58">
        <v>5</v>
      </c>
      <c r="H6" s="58">
        <v>5</v>
      </c>
      <c r="I6" s="59"/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187</v>
      </c>
      <c r="C2" s="74"/>
      <c r="D2" s="74"/>
      <c r="E2" s="74"/>
      <c r="F2" s="74"/>
      <c r="G2" s="74"/>
      <c r="H2" s="74"/>
      <c r="I2" s="75"/>
      <c r="J2" s="43">
        <v>61398075</v>
      </c>
      <c r="K2" s="50">
        <v>21618</v>
      </c>
      <c r="L2" s="44">
        <v>435</v>
      </c>
      <c r="M2" s="60">
        <v>2294.3000000000002</v>
      </c>
      <c r="N2" s="60">
        <v>3050.93</v>
      </c>
      <c r="O2" s="60">
        <v>3481.13</v>
      </c>
      <c r="P2" s="44" t="s">
        <v>54</v>
      </c>
      <c r="Q2" s="44">
        <v>28.382999999999999</v>
      </c>
      <c r="R2" s="44" t="s">
        <v>62</v>
      </c>
    </row>
    <row r="3" spans="2:22" x14ac:dyDescent="0.2">
      <c r="B3" s="6" t="s">
        <v>53</v>
      </c>
      <c r="C3" s="61">
        <v>372</v>
      </c>
      <c r="D3" s="5"/>
      <c r="E3" s="5"/>
      <c r="F3" s="5"/>
      <c r="G3" s="5" t="s">
        <v>52</v>
      </c>
      <c r="H3" s="31">
        <v>46128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61398075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3481.13</v>
      </c>
      <c r="G23" s="23">
        <f>+N2</f>
        <v>3050.93</v>
      </c>
      <c r="H23" s="23">
        <f>+M2</f>
        <v>2294.3000000000002</v>
      </c>
      <c r="I23" s="51">
        <f>+L2</f>
        <v>435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9" t="s">
        <v>19</v>
      </c>
      <c r="E31" s="79"/>
      <c r="F31" s="79" t="s">
        <v>18</v>
      </c>
      <c r="G31" s="79"/>
      <c r="H31" s="51" t="s">
        <v>17</v>
      </c>
      <c r="I31" s="19" t="s">
        <v>16</v>
      </c>
      <c r="M31"/>
    </row>
    <row r="32" spans="2:13" ht="24.75" customHeight="1" x14ac:dyDescent="0.2">
      <c r="B32" s="41" t="s">
        <v>184</v>
      </c>
      <c r="C32" s="19" t="s">
        <v>183</v>
      </c>
      <c r="D32" s="66"/>
      <c r="E32" s="67"/>
      <c r="F32" s="66">
        <f>+K2</f>
        <v>21618</v>
      </c>
      <c r="G32" s="67"/>
      <c r="H32" s="17">
        <v>0.76</v>
      </c>
      <c r="I32" s="18">
        <f>+H32*F32</f>
        <v>16429.68</v>
      </c>
      <c r="K32" s="48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51"/>
    </row>
    <row r="34" spans="2:11" ht="21.75" customHeight="1" x14ac:dyDescent="0.2">
      <c r="B34" s="15" t="s">
        <v>14</v>
      </c>
      <c r="C34" s="15"/>
      <c r="D34" s="64"/>
      <c r="E34" s="65"/>
      <c r="F34" s="66">
        <f>SUM(F31:G33)</f>
        <v>21618</v>
      </c>
      <c r="G34" s="67"/>
      <c r="H34" s="15"/>
      <c r="I34" s="14">
        <f>SUM(I32:I33)</f>
        <v>16429.68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16429.68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16429.68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topLeftCell="A30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187</v>
      </c>
      <c r="C2" s="74"/>
      <c r="D2" s="74"/>
      <c r="E2" s="74"/>
      <c r="F2" s="74"/>
      <c r="G2" s="74"/>
      <c r="H2" s="74"/>
      <c r="I2" s="75"/>
      <c r="J2" s="43">
        <v>61432439</v>
      </c>
      <c r="K2" s="50">
        <v>12313</v>
      </c>
      <c r="L2" s="44">
        <v>267</v>
      </c>
      <c r="M2" s="60">
        <v>1264.3</v>
      </c>
      <c r="N2" s="60">
        <v>1695.2550000000001</v>
      </c>
      <c r="O2" s="60">
        <v>1947.655</v>
      </c>
      <c r="P2" s="44" t="s">
        <v>54</v>
      </c>
      <c r="Q2" s="44">
        <v>15.465999999999999</v>
      </c>
      <c r="R2" s="44" t="s">
        <v>62</v>
      </c>
    </row>
    <row r="3" spans="2:22" x14ac:dyDescent="0.2">
      <c r="B3" s="6" t="s">
        <v>53</v>
      </c>
      <c r="C3" s="61">
        <f>+'372'!C3+1</f>
        <v>373</v>
      </c>
      <c r="D3" s="5"/>
      <c r="E3" s="5"/>
      <c r="F3" s="5"/>
      <c r="G3" s="5" t="s">
        <v>52</v>
      </c>
      <c r="H3" s="31">
        <f>+'372'!H3+0</f>
        <v>46128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61432439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1947.655</v>
      </c>
      <c r="G23" s="23">
        <f>+N2</f>
        <v>1695.2550000000001</v>
      </c>
      <c r="H23" s="23">
        <f>+M2</f>
        <v>1264.3</v>
      </c>
      <c r="I23" s="51">
        <f>+L2</f>
        <v>267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9" t="s">
        <v>19</v>
      </c>
      <c r="E31" s="79"/>
      <c r="F31" s="79" t="s">
        <v>18</v>
      </c>
      <c r="G31" s="79"/>
      <c r="H31" s="51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6"/>
      <c r="E32" s="67"/>
      <c r="F32" s="66">
        <f>+K2</f>
        <v>12313</v>
      </c>
      <c r="G32" s="67"/>
      <c r="H32" s="17">
        <v>0.76</v>
      </c>
      <c r="I32" s="18">
        <f>+H32*F32</f>
        <v>9357.880000000001</v>
      </c>
      <c r="K32" s="48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51"/>
    </row>
    <row r="34" spans="2:11" ht="21.75" customHeight="1" x14ac:dyDescent="0.2">
      <c r="B34" s="15" t="s">
        <v>14</v>
      </c>
      <c r="C34" s="15"/>
      <c r="D34" s="64"/>
      <c r="E34" s="65"/>
      <c r="F34" s="66">
        <f>SUM(F31:G33)</f>
        <v>12313</v>
      </c>
      <c r="G34" s="67"/>
      <c r="H34" s="15"/>
      <c r="I34" s="14">
        <f>SUM(I32:I33)</f>
        <v>9357.880000000001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9357.880000000001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9357.880000000001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187</v>
      </c>
      <c r="C2" s="74"/>
      <c r="D2" s="74"/>
      <c r="E2" s="74"/>
      <c r="F2" s="74"/>
      <c r="G2" s="74"/>
      <c r="H2" s="74"/>
      <c r="I2" s="75"/>
      <c r="J2" s="43">
        <v>61397574</v>
      </c>
      <c r="K2" s="50">
        <v>1443</v>
      </c>
      <c r="L2" s="44">
        <v>28</v>
      </c>
      <c r="M2" s="44">
        <v>155.57</v>
      </c>
      <c r="N2" s="44">
        <v>170</v>
      </c>
      <c r="O2" s="44">
        <v>192</v>
      </c>
      <c r="P2" s="44" t="s">
        <v>54</v>
      </c>
      <c r="Q2" s="44">
        <v>0.96199999999999997</v>
      </c>
      <c r="R2" s="44" t="s">
        <v>62</v>
      </c>
    </row>
    <row r="3" spans="2:22" x14ac:dyDescent="0.2">
      <c r="B3" s="6" t="s">
        <v>53</v>
      </c>
      <c r="C3" s="61">
        <f>+'373'!C3+1</f>
        <v>374</v>
      </c>
      <c r="D3" s="5"/>
      <c r="E3" s="5"/>
      <c r="F3" s="5"/>
      <c r="G3" s="5" t="s">
        <v>52</v>
      </c>
      <c r="H3" s="31">
        <f>+'372'!H3+0</f>
        <v>46128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61397574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192</v>
      </c>
      <c r="G23" s="23">
        <f>+N2</f>
        <v>170</v>
      </c>
      <c r="H23" s="23">
        <f>+M2</f>
        <v>155.57</v>
      </c>
      <c r="I23" s="57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2" t="s">
        <v>23</v>
      </c>
      <c r="C26" s="69"/>
      <c r="D26" s="69"/>
      <c r="E26" s="69"/>
      <c r="F26" s="69"/>
      <c r="G26" s="69"/>
      <c r="H26" s="69"/>
      <c r="I26" s="63"/>
    </row>
    <row r="27" spans="2:13" ht="24.75" customHeight="1" x14ac:dyDescent="0.2">
      <c r="B27" s="76" t="str">
        <f>+K4</f>
        <v>WOMENS COTTON FIBERS, KNIT PULLOVER, WITH NO NECK CLOSURE, STITCH COUNT IS GREATER THAN 9/2CM, REACHES WAIST, SLEEVELESS [95% COTTON 5% ELASTANE]</v>
      </c>
      <c r="C27" s="77"/>
      <c r="D27" s="77"/>
      <c r="E27" s="77"/>
      <c r="F27" s="77"/>
      <c r="G27" s="77"/>
      <c r="H27" s="77"/>
      <c r="I27" s="78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9" t="s">
        <v>19</v>
      </c>
      <c r="E31" s="79"/>
      <c r="F31" s="79" t="s">
        <v>18</v>
      </c>
      <c r="G31" s="79"/>
      <c r="H31" s="57" t="s">
        <v>17</v>
      </c>
      <c r="I31" s="19" t="s">
        <v>16</v>
      </c>
      <c r="M31"/>
    </row>
    <row r="32" spans="2:13" ht="25.5" x14ac:dyDescent="0.2">
      <c r="B32" s="41" t="s">
        <v>185</v>
      </c>
      <c r="C32" s="19" t="s">
        <v>183</v>
      </c>
      <c r="D32" s="66"/>
      <c r="E32" s="67"/>
      <c r="F32" s="66">
        <f>+K2</f>
        <v>1443</v>
      </c>
      <c r="G32" s="67"/>
      <c r="H32" s="17">
        <v>0.76</v>
      </c>
      <c r="I32" s="18">
        <f>+H32*F32</f>
        <v>1096.68</v>
      </c>
      <c r="K32" s="48"/>
      <c r="M32" s="39"/>
    </row>
    <row r="33" spans="2:11" ht="21" customHeight="1" x14ac:dyDescent="0.2">
      <c r="B33" s="15" t="s">
        <v>15</v>
      </c>
      <c r="C33" s="15"/>
      <c r="D33" s="62"/>
      <c r="E33" s="63"/>
      <c r="F33" s="62"/>
      <c r="G33" s="63"/>
      <c r="H33" s="17"/>
      <c r="I33" s="57"/>
    </row>
    <row r="34" spans="2:11" ht="21.75" customHeight="1" x14ac:dyDescent="0.2">
      <c r="B34" s="15" t="s">
        <v>14</v>
      </c>
      <c r="C34" s="15"/>
      <c r="D34" s="64"/>
      <c r="E34" s="65"/>
      <c r="F34" s="66">
        <f>SUM(F31:G33)</f>
        <v>1443</v>
      </c>
      <c r="G34" s="67"/>
      <c r="H34" s="15"/>
      <c r="I34" s="14">
        <f>SUM(I32:I33)</f>
        <v>1096.68</v>
      </c>
      <c r="J34" s="40"/>
      <c r="K34" s="40"/>
    </row>
    <row r="35" spans="2:11" ht="21.75" customHeight="1" x14ac:dyDescent="0.2">
      <c r="B35" s="16" t="s">
        <v>13</v>
      </c>
      <c r="C35" s="15"/>
      <c r="D35" s="62"/>
      <c r="E35" s="63"/>
      <c r="F35" s="62"/>
      <c r="G35" s="63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2"/>
      <c r="E36" s="63"/>
      <c r="F36" s="62"/>
      <c r="G36" s="63"/>
      <c r="H36" s="15"/>
      <c r="I36" s="14">
        <f>+I34</f>
        <v>1096.68</v>
      </c>
    </row>
    <row r="37" spans="2:11" ht="20.25" customHeight="1" x14ac:dyDescent="0.2">
      <c r="B37" s="15" t="s">
        <v>80</v>
      </c>
      <c r="C37" s="62" t="s">
        <v>11</v>
      </c>
      <c r="D37" s="69"/>
      <c r="E37" s="69"/>
      <c r="F37" s="69"/>
      <c r="G37" s="69"/>
      <c r="H37" s="63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1096.68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68"/>
      <c r="D57" s="6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372</vt:lpstr>
      <vt:lpstr>373</vt:lpstr>
      <vt:lpstr>374</vt:lpstr>
      <vt:lpstr>'372'!Print_Area</vt:lpstr>
      <vt:lpstr>'373'!Print_Area</vt:lpstr>
      <vt:lpstr>'374'!Print_Area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2026-04-13T01:17:44Z</cp:lastPrinted>
  <dcterms:created xsi:type="dcterms:W3CDTF">2024-04-17T09:56:05Z</dcterms:created>
  <dcterms:modified xsi:type="dcterms:W3CDTF">2026-04-15T10:42:47Z</dcterms:modified>
</cp:coreProperties>
</file>