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2.06.2026\MOBIL 2\"/>
    </mc:Choice>
  </mc:AlternateContent>
  <xr:revisionPtr revIDLastSave="0" documentId="13_ncr:1_{1D9D5D6A-05E7-42C0-A445-B43D0A43A3F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10 FOB" sheetId="129" r:id="rId3"/>
    <sheet name="10 CMT" sheetId="16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'10 CMT'!$B$1:$I$57</definedName>
    <definedName name="_xlnm.Print_Area" localSheetId="2">'10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3" l="1"/>
  <c r="F34" i="163"/>
  <c r="F32" i="163"/>
  <c r="I32" i="163" s="1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F32" i="129" l="1"/>
  <c r="F34" i="129" l="1"/>
  <c r="I32" i="129" l="1"/>
  <c r="E21" i="129" l="1"/>
  <c r="C21" i="129" l="1"/>
  <c r="H52" i="129"/>
  <c r="I34" i="129" l="1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<sst xmlns="http://schemas.openxmlformats.org/spreadsheetml/2006/main" count="318" uniqueCount="184">
  <si>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</si>
  <si>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</si>
  <si>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</si>
  <si>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</si>
  <si>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</si>
  <si>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</si>
  <si>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</si>
  <si>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</si>
  <si>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</si>
  <si>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</si>
  <si>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</si>
  <si>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</si>
  <si>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</si>
  <si>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</si>
  <si>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</si>
  <si>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</si>
  <si>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</si>
  <si>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</si>
  <si>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</si>
  <si>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</si>
  <si>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</si>
  <si>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</si>
  <si>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</si>
  <si>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</si>
  <si>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</si>
  <si>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</si>
  <si>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</si>
  <si>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</si>
  <si>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</si>
  <si>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</si>
  <si>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</si>
  <si>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</si>
  <si>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</si>
  <si>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</si>
  <si>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</si>
  <si>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</si>
  <si>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</si>
  <si>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</si>
  <si>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</si>
  <si>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</si>
  <si>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</si>
  <si>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</si>
  <si>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</si>
  <si>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</si>
  <si>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</si>
  <si>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</si>
  <si>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</si>
  <si>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</si>
  <si>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</si>
  <si>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</si>
  <si>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</si>
  <si>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</si>
  <si>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</si>
  <si>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</si>
  <si>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</si>
  <si>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</si>
  <si>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</si>
  <si>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</si>
  <si>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</si>
  <si>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</si>
  <si>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</si>
  <si>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</si>
  <si>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</si>
  <si>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</si>
  <si>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</si>
  <si>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</si>
  <si>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</si>
  <si>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</si>
  <si>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</si>
  <si>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</si>
  <si>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</si>
  <si>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</si>
  <si>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</si>
  <si>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</si>
  <si>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</si>
  <si>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</si>
  <si>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</si>
  <si>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</si>
  <si>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</si>
  <si>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</si>
  <si>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</si>
  <si>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</si>
  <si>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</si>
  <si>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</si>
  <si>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</si>
  <si>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</si>
  <si>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</si>
  <si>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</si>
  <si>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</si>
  <si>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</si>
  <si>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</si>
  <si>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</si>
  <si>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</si>
  <si>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</si>
  <si>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</si>
  <si>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</si>
  <si>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</si>
  <si>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</si>
  <si>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</si>
  <si>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</si>
  <si>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</si>
  <si>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</si>
  <si>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</si>
  <si>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</si>
  <si>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</si>
  <si>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</si>
  <si>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</si>
  <si>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</si>
  <si>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</si>
  <si>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</si>
  <si>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</si>
  <si>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</si>
  <si>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</si>
  <si>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</si>
  <si>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</si>
  <si>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</si>
  <si>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</si>
  <si>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</si>
  <si>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</si>
  <si>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</si>
  <si>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</si>
  <si>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</si>
  <si>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</si>
  <si>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</si>
  <si>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</si>
  <si>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</si>
  <si>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</si>
  <si>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</si>
  <si>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</si>
  <si>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</si>
  <si>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</si>
  <si>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</si>
  <si>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</si>
  <si>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</si>
  <si>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</si>
  <si>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</si>
  <si>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</si>
  <si>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</si>
  <si>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</si>
  <si>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</si>
  <si>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</si>
  <si>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</si>
  <si>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</si>
  <si>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</si>
  <si>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</si>
  <si>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</si>
  <si>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</si>
  <si>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</si>
  <si>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</si>
  <si>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</si>
  <si>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</si>
  <si>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</si>
  <si>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</si>
  <si>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</si>
  <si>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</si>
  <si>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</si>
  <si>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</si>
  <si>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</si>
  <si>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</si>
  <si>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</si>
  <si>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</si>
  <si>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</si>
  <si>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</si>
  <si>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</si>
  <si>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</si>
  <si>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</si>
  <si>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</si>
  <si>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</si>
  <si>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</si>
  <si>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</si>
  <si>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</si>
  <si>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</si>
  <si>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</si>
  <si>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</si>
  <si>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</si>
  <si>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</si>
  <si>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</si>
  <si>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</si>
  <si>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HK</t>
  </si>
  <si>
    <t/>
  </si>
  <si>
    <t>265K0056</t>
  </si>
  <si>
    <t>DUSKY LAVENDER, PRESSED FLOWER</t>
  </si>
  <si>
    <t>GIRLS COTTON FIBERS, KNIT PULLOVER, WITH NO NECK CLOSURE, STITCH COUNT IS GREATER THAN 9/2CM, REACHES WAIST [100% COTTON]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</si>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</sst>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5588FD0-372D-4CE1-8A5B-DAF6C8D2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C47F1-F49C-44A6-8201-4D325FC19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7" sqref="I7"/>
    </sheetView>
  </sheetViews>
  <sheetFormatPr defaultRowHeight="12.75" x14ac:dyDescent="0.2"/>
  <sheetData>
    <row r="2" spans="2:9" ht="15" x14ac:dyDescent="0.25">
      <c r="B2" s="53">
        <v>1</v>
      </c>
      <c r="C2" t="s">
        <v>180</v>
      </c>
      <c r="E2" s="53">
        <v>1</v>
      </c>
      <c r="F2">
        <v>903770</v>
      </c>
      <c r="H2" s="53">
        <v>1</v>
      </c>
      <c r="I2" s="54"/>
    </row>
    <row r="3" spans="2:9" ht="15" x14ac:dyDescent="0.25">
      <c r="B3" s="53">
        <v>2</v>
      </c>
      <c r="E3" s="53">
        <v>2</v>
      </c>
      <c r="H3" s="53">
        <v>2</v>
      </c>
      <c r="I3" s="54"/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2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177</v>
      </c>
      <c r="C2" s="63"/>
      <c r="D2" s="63"/>
      <c r="E2" s="63"/>
      <c r="F2" s="63"/>
      <c r="G2" s="63"/>
      <c r="H2" s="63"/>
      <c r="I2" s="64"/>
      <c r="J2" s="57">
        <v>1778356</v>
      </c>
      <c r="K2" s="58">
        <v>90</v>
      </c>
      <c r="L2" s="58">
        <v>10</v>
      </c>
      <c r="M2" s="58">
        <v>6.26</v>
      </c>
      <c r="N2" s="58">
        <v>6.44</v>
      </c>
      <c r="O2" s="58">
        <v>10.94</v>
      </c>
      <c r="P2" s="58" t="s">
        <v>54</v>
      </c>
      <c r="Q2" s="58">
        <v>0.16800000000000001</v>
      </c>
      <c r="R2" s="58" t="s">
        <v>62</v>
      </c>
    </row>
    <row r="3" spans="2:22" x14ac:dyDescent="0.2">
      <c r="B3" s="6" t="s">
        <v>53</v>
      </c>
      <c r="C3" s="59">
        <v>10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132</v>
      </c>
      <c r="H13" s="5"/>
      <c r="I13" s="4"/>
    </row>
    <row r="14" spans="2:22" x14ac:dyDescent="0.2">
      <c r="B14" s="6" t="s">
        <v>127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 xml:space="preserve">COMPARTMENT 1503, 15/F, 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13TH FLOOR, ONE ANGEL COURT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KERRY CARGO CENTRE,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LONDON, UNITED KINGDOM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55 WING KEI ROAD, KWAI CHUNG, NT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EC2R 7HJ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HONG KONG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KINGDOM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1778356</v>
      </c>
      <c r="C21" s="49">
        <f>VLOOKUP($K56,reff!E2:F29,2,0)</f>
        <v>903770</v>
      </c>
      <c r="D21" s="19" t="str">
        <f>IF(LEFT(B14,2)="OL","OLD NAVY",IF(LEFT(B14,2)="TH","THE GAP",IF(LEFT(B14,2)="GA","GAP",IF(LEFT(B14,2)="GP","OLD NAVY"))))</f>
        <v>GAP</v>
      </c>
      <c r="E21" s="19">
        <f>VLOOKUP($K21,reff!H2:I29,2,0)</f>
        <v>0</v>
      </c>
      <c r="F21" s="48" t="s">
        <v>35</v>
      </c>
      <c r="G21" s="48"/>
      <c r="H21" s="47" t="s">
        <v>178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10.94</v>
      </c>
      <c r="G23" s="23">
        <f>+N2</f>
        <v>6.44</v>
      </c>
      <c r="H23" s="23">
        <f>+M2</f>
        <v>6.26</v>
      </c>
      <c r="I23" s="48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[100% COTTON]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30.75" customHeight="1" x14ac:dyDescent="0.2">
      <c r="B32" s="41" t="s">
        <v>179</v>
      </c>
      <c r="C32" s="19" t="s">
        <v>181</v>
      </c>
      <c r="D32" s="60"/>
      <c r="E32" s="61"/>
      <c r="F32" s="60">
        <f>+K2</f>
        <v>90</v>
      </c>
      <c r="G32" s="61"/>
      <c r="H32" s="17">
        <v>1.84</v>
      </c>
      <c r="I32" s="18">
        <f>+H32*F32</f>
        <v>165.6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90</v>
      </c>
      <c r="G34" s="61"/>
      <c r="H34" s="15"/>
      <c r="I34" s="14">
        <f>SUM(I32:I33)</f>
        <v>165.6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165.6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165.6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EAC6-8FA5-444F-B34F-4A4997F2DDB0}">
  <sheetPr>
    <pageSetUpPr fitToPage="1"/>
  </sheetPr>
  <dimension ref="B1:V58"/>
  <sheetViews>
    <sheetView tabSelected="1" view="pageBreakPreview" zoomScaleNormal="100" zoomScaleSheetLayoutView="100" workbookViewId="0">
      <selection activeCell="H3" sqref="H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183</v>
      </c>
      <c r="C2" s="63"/>
      <c r="D2" s="63"/>
      <c r="E2" s="63"/>
      <c r="F2" s="63"/>
      <c r="G2" s="63"/>
      <c r="H2" s="63"/>
      <c r="I2" s="64"/>
      <c r="J2" s="57">
        <v>1778356</v>
      </c>
      <c r="K2" s="58">
        <v>90</v>
      </c>
      <c r="L2" s="58">
        <v>10</v>
      </c>
      <c r="M2" s="58">
        <v>6.26</v>
      </c>
      <c r="N2" s="58">
        <v>6.44</v>
      </c>
      <c r="O2" s="58">
        <v>10.94</v>
      </c>
      <c r="P2" s="58" t="s">
        <v>54</v>
      </c>
      <c r="Q2" s="58">
        <v>0.16800000000000001</v>
      </c>
      <c r="R2" s="58" t="s">
        <v>62</v>
      </c>
    </row>
    <row r="3" spans="2:22" x14ac:dyDescent="0.2">
      <c r="B3" s="6" t="s">
        <v>53</v>
      </c>
      <c r="C3" s="59">
        <v>10</v>
      </c>
      <c r="D3" s="5"/>
      <c r="E3" s="5"/>
      <c r="F3" s="5"/>
      <c r="G3" s="5" t="s">
        <v>52</v>
      </c>
      <c r="H3" s="31">
        <v>46187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132</v>
      </c>
      <c r="H13" s="5"/>
      <c r="I13" s="4"/>
    </row>
    <row r="14" spans="2:22" x14ac:dyDescent="0.2">
      <c r="B14" s="6" t="s">
        <v>127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 xml:space="preserve">COMPARTMENT 1503, 15/F, 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13TH FLOOR, ONE ANGEL COURT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KERRY CARGO CENTRE,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LONDON, UNITED KINGDOM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55 WING KEI ROAD, KWAI CHUNG, NT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EC2R 7HJ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HONG KONG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KINGDOM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1778356</v>
      </c>
      <c r="C21" s="56">
        <f>VLOOKUP($K56,reff!E2:F29,2,0)</f>
        <v>903770</v>
      </c>
      <c r="D21" s="19" t="str">
        <f>IF(LEFT(B14,2)="OL","OLD NAVY",IF(LEFT(B14,2)="TH","THE GAP",IF(LEFT(B14,2)="GA","GAP",IF(LEFT(B14,2)="GP","OLD NAVY"))))</f>
        <v>GAP</v>
      </c>
      <c r="E21" s="19">
        <f>VLOOKUP($K21,reff!H2:I29,2,0)</f>
        <v>0</v>
      </c>
      <c r="F21" s="55" t="s">
        <v>35</v>
      </c>
      <c r="G21" s="55"/>
      <c r="H21" s="47" t="s">
        <v>178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10.94</v>
      </c>
      <c r="G23" s="23">
        <f>+N2</f>
        <v>6.44</v>
      </c>
      <c r="H23" s="23">
        <f>+M2</f>
        <v>6.26</v>
      </c>
      <c r="I23" s="55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GIRLS COTTON FIBERS, KNIT PULLOVER, WITH NO NECK CLOSURE, STITCH COUNT IS GREATER THAN 9/2CM, REACHES WAIST [100% COTTON]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1" t="s">
        <v>19</v>
      </c>
      <c r="E31" s="71"/>
      <c r="F31" s="71" t="s">
        <v>18</v>
      </c>
      <c r="G31" s="71"/>
      <c r="H31" s="55" t="s">
        <v>17</v>
      </c>
      <c r="I31" s="19" t="s">
        <v>16</v>
      </c>
      <c r="M31"/>
    </row>
    <row r="32" spans="2:13" ht="30.75" customHeight="1" x14ac:dyDescent="0.2">
      <c r="B32" s="41" t="s">
        <v>179</v>
      </c>
      <c r="C32" s="19" t="s">
        <v>181</v>
      </c>
      <c r="D32" s="60"/>
      <c r="E32" s="61"/>
      <c r="F32" s="60">
        <f>+K2</f>
        <v>90</v>
      </c>
      <c r="G32" s="61"/>
      <c r="H32" s="17">
        <v>0.81</v>
      </c>
      <c r="I32" s="18">
        <f>+H32*F32</f>
        <v>72.900000000000006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5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90</v>
      </c>
      <c r="G34" s="61"/>
      <c r="H34" s="15"/>
      <c r="I34" s="14">
        <f>SUM(I32:I33)</f>
        <v>72.900000000000006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72.900000000000006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72.900000000000006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A9EDE5-2A6D-405E-937A-BBF8DF8D0431}">
          <x14:formula1>
            <xm:f>Sheet1!$L$5:$L$25</xm:f>
          </x14:formula1>
          <xm:sqref>G13</xm:sqref>
        </x14:dataValidation>
        <x14:dataValidation type="list" allowBlank="1" showInputMessage="1" showErrorMessage="1" xr:uid="{A6E1A838-919F-47FA-B6A2-DD840B905CF4}">
          <x14:formula1>
            <xm:f>Sheet1!$B$17:$B$18</xm:f>
          </x14:formula1>
          <xm:sqref>G5</xm:sqref>
        </x14:dataValidation>
        <x14:dataValidation type="list" allowBlank="1" showInputMessage="1" showErrorMessage="1" xr:uid="{5D8EDD6F-CBC7-4DF4-AB7E-6EDEEA43851E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10 FOB</vt:lpstr>
      <vt:lpstr>10 CMT</vt:lpstr>
      <vt:lpstr>'10 CMT'!Print_Area</vt:lpstr>
      <vt:lpstr>'10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2026-05-19T02:10:58Z</cp:lastPrinted>
  <dcterms:created xsi:type="dcterms:W3CDTF">2024-04-17T09:56:05Z</dcterms:created>
  <dcterms:modified xsi:type="dcterms:W3CDTF">2026-06-05T08:39:48Z</dcterms:modified>
</cp:coreProperties>
</file>