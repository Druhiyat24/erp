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5. MEI\25.05.2026\MOBIL 1\"/>
    </mc:Choice>
  </mc:AlternateContent>
  <xr:revisionPtr revIDLastSave="0" documentId="13_ncr:1_{C108E243-B65C-4807-8E7D-17B2EA5C4252}" xr6:coauthVersionLast="47" xr6:coauthVersionMax="47" xr10:uidLastSave="{00000000-0000-0000-0000-000000000000}"/>
  <bookViews>
    <workbookView xWindow="-120" yWindow="-120" windowWidth="20730" windowHeight="11160" activeTab="8" xr2:uid="{00000000-000D-0000-FFFF-FFFF00000000}"/>
  </bookViews>
  <sheets>
    <sheet name="Sheet1" sheetId="128" r:id="rId1"/>
    <sheet name="reff" sheetId="162" r:id="rId2"/>
    <sheet name="391" sheetId="133" r:id="rId3"/>
    <sheet name="394" sheetId="137" r:id="rId4"/>
    <sheet name="395" sheetId="138" r:id="rId5"/>
    <sheet name="396" sheetId="141" r:id="rId6"/>
    <sheet name="397" sheetId="142" r:id="rId7"/>
    <sheet name="398" sheetId="143" r:id="rId8"/>
    <sheet name="400" sheetId="164" r:id="rId9"/>
  </sheets>
  <externalReferences>
    <externalReference r:id="rId10"/>
    <externalReference r:id="rId11"/>
    <externalReference r:id="rId12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>[2]xdata!#REF!</definedName>
    <definedName name="INVOICE">[2]xdata!$B$2</definedName>
    <definedName name="_xlnm.Print_Area" localSheetId="2">'391'!$B$1:$I$57</definedName>
    <definedName name="_xlnm.Print_Area" localSheetId="3">'394'!$B$1:$I$57</definedName>
    <definedName name="_xlnm.Print_Area" localSheetId="4">'395'!$B$1:$I$56</definedName>
    <definedName name="_xlnm.Print_Area" localSheetId="5">'396'!$B$1:$I$58</definedName>
    <definedName name="_xlnm.Print_Area" localSheetId="6">'397'!$B$1:$I$57</definedName>
    <definedName name="_xlnm.Print_Area" localSheetId="7">'398'!$B$1:$I$57</definedName>
    <definedName name="_xlnm.Print_Area" localSheetId="8">'400'!$B$1:$I$57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64" l="1"/>
  <c r="H3" i="143"/>
  <c r="H3" i="142"/>
  <c r="H3" i="138"/>
  <c r="H3" i="137"/>
  <c r="F32" i="142"/>
  <c r="I33" i="141"/>
  <c r="F32" i="137"/>
  <c r="H52" i="164" l="1"/>
  <c r="I34" i="164"/>
  <c r="I36" i="164" s="1"/>
  <c r="I38" i="164" s="1"/>
  <c r="F34" i="164"/>
  <c r="I32" i="164"/>
  <c r="F32" i="164"/>
  <c r="B27" i="164"/>
  <c r="I23" i="164"/>
  <c r="H23" i="164"/>
  <c r="G23" i="164"/>
  <c r="F23" i="164"/>
  <c r="E23" i="164"/>
  <c r="H21" i="164"/>
  <c r="E21" i="164"/>
  <c r="D21" i="164"/>
  <c r="C21" i="164"/>
  <c r="B21" i="164"/>
  <c r="B18" i="164"/>
  <c r="G17" i="164"/>
  <c r="B17" i="164"/>
  <c r="G16" i="164"/>
  <c r="B16" i="164"/>
  <c r="G15" i="164"/>
  <c r="B15" i="164"/>
  <c r="G14" i="164"/>
  <c r="H52" i="143"/>
  <c r="F34" i="143"/>
  <c r="I32" i="143"/>
  <c r="I34" i="143" s="1"/>
  <c r="I36" i="143" s="1"/>
  <c r="I38" i="143" s="1"/>
  <c r="F32" i="143"/>
  <c r="B27" i="143"/>
  <c r="I23" i="143"/>
  <c r="H23" i="143"/>
  <c r="G23" i="143"/>
  <c r="F23" i="143"/>
  <c r="E23" i="143"/>
  <c r="H21" i="143"/>
  <c r="E21" i="143"/>
  <c r="D21" i="143"/>
  <c r="C21" i="143"/>
  <c r="B21" i="143"/>
  <c r="B18" i="143"/>
  <c r="G17" i="143"/>
  <c r="B17" i="143"/>
  <c r="G16" i="143"/>
  <c r="B16" i="143"/>
  <c r="G15" i="143"/>
  <c r="B15" i="143"/>
  <c r="G14" i="143"/>
  <c r="H52" i="142"/>
  <c r="F34" i="142"/>
  <c r="I32" i="142"/>
  <c r="I34" i="142" s="1"/>
  <c r="I36" i="142" s="1"/>
  <c r="I38" i="142" s="1"/>
  <c r="B27" i="142"/>
  <c r="I23" i="142"/>
  <c r="H23" i="142"/>
  <c r="G23" i="142"/>
  <c r="F23" i="142"/>
  <c r="E23" i="142"/>
  <c r="E21" i="142"/>
  <c r="D21" i="142"/>
  <c r="C21" i="142"/>
  <c r="B21" i="142"/>
  <c r="B15" i="142"/>
  <c r="B16" i="142" s="1"/>
  <c r="B17" i="142" s="1"/>
  <c r="B18" i="142" s="1"/>
  <c r="G14" i="142"/>
  <c r="G15" i="142" s="1"/>
  <c r="G16" i="142" s="1"/>
  <c r="G17" i="142" s="1"/>
  <c r="H21" i="142" s="1"/>
  <c r="H53" i="141"/>
  <c r="F35" i="141"/>
  <c r="I32" i="141"/>
  <c r="I35" i="141" s="1"/>
  <c r="I37" i="141" s="1"/>
  <c r="I39" i="141" s="1"/>
  <c r="B27" i="141"/>
  <c r="I23" i="141"/>
  <c r="H23" i="141"/>
  <c r="G23" i="141"/>
  <c r="F23" i="141"/>
  <c r="E23" i="141"/>
  <c r="E21" i="141"/>
  <c r="D21" i="141"/>
  <c r="C21" i="141"/>
  <c r="B21" i="141"/>
  <c r="G15" i="141"/>
  <c r="G16" i="141" s="1"/>
  <c r="G17" i="141" s="1"/>
  <c r="H21" i="141" s="1"/>
  <c r="B15" i="141"/>
  <c r="B16" i="141" s="1"/>
  <c r="B17" i="141" s="1"/>
  <c r="B18" i="141" s="1"/>
  <c r="G14" i="141"/>
  <c r="H51" i="138"/>
  <c r="F33" i="138"/>
  <c r="I32" i="138"/>
  <c r="I33" i="138" s="1"/>
  <c r="I35" i="138" s="1"/>
  <c r="I37" i="138" s="1"/>
  <c r="F32" i="138"/>
  <c r="B27" i="138"/>
  <c r="I23" i="138"/>
  <c r="H23" i="138"/>
  <c r="G23" i="138"/>
  <c r="F23" i="138"/>
  <c r="E23" i="138"/>
  <c r="H21" i="138"/>
  <c r="E21" i="138"/>
  <c r="D21" i="138"/>
  <c r="C21" i="138"/>
  <c r="B21" i="138"/>
  <c r="B18" i="138"/>
  <c r="G17" i="138"/>
  <c r="B17" i="138"/>
  <c r="G16" i="138"/>
  <c r="B16" i="138"/>
  <c r="G15" i="138"/>
  <c r="B15" i="138"/>
  <c r="G14" i="138"/>
  <c r="H52" i="137"/>
  <c r="F34" i="137"/>
  <c r="I32" i="137"/>
  <c r="I34" i="137" s="1"/>
  <c r="I36" i="137" s="1"/>
  <c r="I38" i="137" s="1"/>
  <c r="B27" i="137"/>
  <c r="I23" i="137"/>
  <c r="H23" i="137"/>
  <c r="G23" i="137"/>
  <c r="F23" i="137"/>
  <c r="E23" i="137"/>
  <c r="E21" i="137"/>
  <c r="D21" i="137"/>
  <c r="C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H52" i="133"/>
  <c r="F34" i="133"/>
  <c r="I32" i="133"/>
  <c r="I34" i="133" s="1"/>
  <c r="I36" i="133" s="1"/>
  <c r="I38" i="133" s="1"/>
  <c r="F32" i="133"/>
  <c r="B27" i="133"/>
  <c r="I23" i="133"/>
  <c r="H23" i="133"/>
  <c r="G23" i="133"/>
  <c r="F23" i="133"/>
  <c r="E23" i="133"/>
  <c r="H21" i="133"/>
  <c r="E21" i="133"/>
  <c r="D21" i="133"/>
  <c r="C21" i="133"/>
  <c r="B21" i="133"/>
  <c r="B18" i="133"/>
  <c r="G17" i="133"/>
  <c r="B17" i="133"/>
  <c r="G16" i="133"/>
  <c r="B16" i="133"/>
  <c r="G15" i="133"/>
  <c r="B15" i="133"/>
  <c r="G14" i="133"/>
  <c r="C3" i="138"/>
  <c r="C3" i="141" s="1"/>
  <c r="C3" i="142" s="1"/>
  <c r="C3" i="143" s="1"/>
  <c r="L25" i="128"/>
  <c r="L24" i="128"/>
  <c r="L23" i="128"/>
  <c r="L22" i="128"/>
  <c r="L21" i="128"/>
  <c r="L20" i="128"/>
  <c r="L19" i="128"/>
  <c r="L18" i="128"/>
  <c r="B18" i="128"/>
  <c r="L17" i="128"/>
  <c r="B17" i="128"/>
  <c r="L16" i="128"/>
  <c r="L15" i="128"/>
  <c r="L14" i="128"/>
  <c r="L13" i="128"/>
  <c r="L12" i="128"/>
  <c r="K12" i="128"/>
  <c r="L11" i="128"/>
  <c r="K11" i="128"/>
  <c r="L10" i="128"/>
  <c r="K10" i="128"/>
  <c r="L9" i="128"/>
  <c r="K9" i="128"/>
  <c r="L8" i="128"/>
  <c r="K8" i="128"/>
  <c r="L7" i="128"/>
  <c r="K7" i="128"/>
  <c r="L6" i="128"/>
  <c r="K6" i="128"/>
  <c r="L5" i="128"/>
  <c r="K5" i="128"/>
</calcChain>
</file>

<file path=xl/sharedStrings.xml><?xml version="1.0" encoding="utf-8"?>
<sst xmlns="http://schemas.openxmlformats.org/spreadsheetml/2006/main" count="728" uniqueCount="195">
  <si>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</si>
  <si>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</si>
  <si>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</si>
  <si>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</si>
  <si>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</si>
  <si>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</si>
  <si>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</si>
  <si>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</si>
  <si>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</si>
  <si>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</si>
  <si>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</si>
  <si>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</si>
  <si>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</si>
  <si>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</si>
  <si>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</si>
  <si>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</si>
  <si>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</si>
  <si>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</si>
  <si>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</si>
  <si>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</si>
  <si>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</si>
  <si>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</si>
  <si>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</si>
  <si>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</si>
  <si>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</si>
  <si>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</si>
  <si>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</si>
  <si>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</si>
  <si>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</si>
  <si>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</si>
  <si>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</si>
  <si>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</si>
  <si>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</si>
  <si>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</si>
  <si>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</si>
  <si>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</si>
  <si>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</si>
  <si>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</si>
  <si>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</si>
  <si>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</si>
  <si>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</si>
  <si>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</si>
  <si>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</si>
  <si>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</si>
  <si>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</si>
  <si>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</si>
  <si>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</si>
  <si>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</si>
  <si>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</si>
  <si>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</si>
  <si>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</si>
  <si>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</si>
  <si>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</si>
  <si>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</si>
  <si>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</si>
  <si>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</si>
  <si>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</si>
  <si>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</si>
  <si>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</si>
  <si>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</si>
  <si>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</si>
  <si>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</si>
  <si>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</si>
  <si>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</si>
  <si>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</si>
  <si>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</si>
  <si>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</si>
  <si>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</si>
  <si>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</si>
  <si>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</si>
  <si>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</si>
  <si>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</si>
  <si>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</si>
  <si>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</si>
  <si>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</si>
  <si>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</si>
  <si>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</si>
  <si>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</si>
  <si>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</si>
  <si>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</si>
  <si>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</si>
  <si>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</si>
  <si>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</si>
  <si>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</si>
  <si>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</si>
  <si>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</si>
  <si>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</si>
  <si>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</si>
  <si>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</si>
  <si>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</si>
  <si>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</si>
  <si>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</si>
  <si>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</si>
  <si>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</si>
  <si>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</si>
  <si>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</si>
  <si>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</si>
  <si>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</si>
  <si>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</si>
  <si>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</si>
  <si>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</si>
  <si>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</si>
  <si>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</si>
  <si>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</si>
  <si>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</si>
  <si>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</si>
  <si>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</si>
  <si>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</si>
  <si>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</si>
  <si>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</si>
  <si>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</si>
  <si>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</si>
  <si>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</si>
  <si>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</si>
  <si>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</si>
  <si>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</si>
  <si>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</si>
  <si>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</si>
  <si>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</si>
  <si>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</si>
  <si>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</si>
  <si>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</si>
  <si>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</si>
  <si>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</si>
  <si>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</si>
  <si>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</si>
  <si>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</si>
  <si>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</si>
  <si>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</si>
  <si>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</si>
  <si>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</si>
  <si>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</si>
  <si>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</si>
  <si>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</si>
  <si>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</si>
  <si>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</si>
  <si>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</si>
  <si>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</si>
  <si>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</si>
  <si>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</si>
  <si>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</si>
  <si>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</si>
  <si>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</si>
  <si>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</si>
  <si>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</si>
  <si>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</si>
  <si>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</si>
  <si>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</si>
  <si>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</si>
  <si>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</si>
  <si>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</si>
  <si>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</si>
  <si>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</si>
  <si>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</si>
  <si>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</si>
  <si>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</si>
  <si>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</si>
  <si>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</si>
  <si>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</si>
  <si>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</si>
  <si>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</si>
  <si>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</si>
  <si>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</si>
  <si>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</si>
  <si>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</si>
  <si>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</si>
  <si>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</si>
  <si>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</si>
  <si>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</si>
  <si>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</si>
  <si>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</si>
  <si>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</si>
  <si>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</si>
  <si>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</si>
  <si>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</si>
  <si>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</si>
  <si>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</si>
  <si>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ONLINE</t>
  </si>
  <si>
    <t>RETAIL</t>
  </si>
  <si>
    <t>01</t>
  </si>
  <si>
    <t>265K0051</t>
  </si>
  <si>
    <t>265K0052</t>
  </si>
  <si>
    <t>BRIGHT WHITE</t>
  </si>
  <si>
    <t>04</t>
  </si>
  <si>
    <t>RED TAPE</t>
  </si>
  <si>
    <t>BLUE TANGO</t>
  </si>
  <si>
    <t>07</t>
  </si>
  <si>
    <t>BOYS COTTON FIBERS, KNIT SHIRT, WITH NECK CLOSURE, STITCH COUNT EQUAL OR IS GREATER THAN 10/1CM, HEM BOTTOM [60% COTTON 40% POLYESTER]</t>
  </si>
  <si>
    <t>BLUE TANGO, RED TAPE</t>
  </si>
  <si>
    <t>07, 01</t>
  </si>
  <si>
    <t>DARK FOREST GREEN, RON BURGUNDY</t>
  </si>
  <si>
    <t>10, 09</t>
  </si>
  <si>
    <t>02, 05</t>
  </si>
  <si>
    <t>INK BLUE, MONET BLUE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</si>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</sst>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5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4" fontId="14" fillId="3" borderId="0" xfId="0" applyNumberFormat="1" applyFont="1" applyFill="1" applyAlignment="1">
      <alignment horizontal="right" vertical="center" wrapText="1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46</xdr:row>
      <xdr:rowOff>9525</xdr:rowOff>
    </xdr:from>
    <xdr:to>
      <xdr:col>4</xdr:col>
      <xdr:colOff>322160</xdr:colOff>
      <xdr:row>54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9660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14" sqref="I14"/>
    </sheetView>
  </sheetViews>
  <sheetFormatPr defaultRowHeight="12.75" x14ac:dyDescent="0.2"/>
  <sheetData>
    <row r="2" spans="2:9" ht="15" x14ac:dyDescent="0.25">
      <c r="B2" s="55">
        <v>1</v>
      </c>
      <c r="C2" t="s">
        <v>180</v>
      </c>
      <c r="E2" s="55">
        <v>1</v>
      </c>
      <c r="F2">
        <v>416363</v>
      </c>
      <c r="H2" s="55">
        <v>1</v>
      </c>
      <c r="I2" s="56" t="s">
        <v>178</v>
      </c>
    </row>
    <row r="3" spans="2:9" ht="15" x14ac:dyDescent="0.25">
      <c r="B3" s="55">
        <v>2</v>
      </c>
      <c r="C3" t="s">
        <v>180</v>
      </c>
      <c r="E3" s="55">
        <v>2</v>
      </c>
      <c r="F3">
        <v>416363</v>
      </c>
      <c r="H3" s="55">
        <v>2</v>
      </c>
      <c r="I3" s="56" t="s">
        <v>178</v>
      </c>
    </row>
    <row r="4" spans="2:9" ht="15" x14ac:dyDescent="0.25">
      <c r="B4" s="55">
        <v>3</v>
      </c>
      <c r="C4" t="s">
        <v>180</v>
      </c>
      <c r="E4" s="55">
        <v>3</v>
      </c>
      <c r="F4">
        <v>416363</v>
      </c>
      <c r="H4" s="55">
        <v>3</v>
      </c>
      <c r="I4" s="56" t="s">
        <v>178</v>
      </c>
    </row>
    <row r="5" spans="2:9" ht="15" x14ac:dyDescent="0.25">
      <c r="B5" s="55">
        <v>4</v>
      </c>
      <c r="C5" t="s">
        <v>181</v>
      </c>
      <c r="E5" s="55">
        <v>4</v>
      </c>
      <c r="F5">
        <v>767468</v>
      </c>
      <c r="H5" s="55">
        <v>4</v>
      </c>
      <c r="I5" s="56" t="s">
        <v>178</v>
      </c>
    </row>
    <row r="6" spans="2:9" ht="15" x14ac:dyDescent="0.25">
      <c r="B6" s="55">
        <v>5</v>
      </c>
      <c r="C6" t="s">
        <v>180</v>
      </c>
      <c r="E6" s="55">
        <v>5</v>
      </c>
      <c r="F6">
        <v>416363</v>
      </c>
      <c r="H6" s="55">
        <v>5</v>
      </c>
      <c r="I6" s="56" t="s">
        <v>177</v>
      </c>
    </row>
    <row r="7" spans="2:9" ht="15" x14ac:dyDescent="0.25">
      <c r="B7" s="55">
        <v>6</v>
      </c>
      <c r="C7" t="s">
        <v>180</v>
      </c>
      <c r="E7" s="55">
        <v>6</v>
      </c>
      <c r="F7">
        <v>416363</v>
      </c>
      <c r="H7" s="55">
        <v>6</v>
      </c>
      <c r="I7" s="56" t="s">
        <v>177</v>
      </c>
    </row>
    <row r="8" spans="2:9" ht="15" x14ac:dyDescent="0.25">
      <c r="B8" s="55">
        <v>7</v>
      </c>
      <c r="C8" t="s">
        <v>180</v>
      </c>
      <c r="E8" s="55">
        <v>7</v>
      </c>
      <c r="F8">
        <v>416363</v>
      </c>
      <c r="H8" s="55">
        <v>7</v>
      </c>
      <c r="I8" s="56" t="s">
        <v>178</v>
      </c>
    </row>
    <row r="9" spans="2:9" ht="15" x14ac:dyDescent="0.25">
      <c r="B9" s="55">
        <v>8</v>
      </c>
      <c r="C9" t="s">
        <v>180</v>
      </c>
      <c r="E9" s="55">
        <v>8</v>
      </c>
      <c r="F9">
        <v>416363</v>
      </c>
      <c r="H9" s="55">
        <v>8</v>
      </c>
      <c r="I9" s="56" t="s">
        <v>177</v>
      </c>
    </row>
    <row r="10" spans="2:9" ht="15" x14ac:dyDescent="0.25">
      <c r="B10" s="55">
        <v>9</v>
      </c>
      <c r="C10" t="s">
        <v>180</v>
      </c>
      <c r="E10" s="55">
        <v>9</v>
      </c>
      <c r="F10">
        <v>416363</v>
      </c>
      <c r="H10" s="55">
        <v>9</v>
      </c>
      <c r="I10" s="56" t="s">
        <v>177</v>
      </c>
    </row>
    <row r="11" spans="2:9" ht="15" x14ac:dyDescent="0.25">
      <c r="B11" s="55">
        <v>10</v>
      </c>
      <c r="C11" t="s">
        <v>181</v>
      </c>
      <c r="E11" s="55">
        <v>10</v>
      </c>
      <c r="F11">
        <v>767468</v>
      </c>
      <c r="H11" s="55">
        <v>10</v>
      </c>
      <c r="I11" s="56" t="s">
        <v>177</v>
      </c>
    </row>
    <row r="12" spans="2:9" ht="15" x14ac:dyDescent="0.25">
      <c r="B12" s="55">
        <v>11</v>
      </c>
      <c r="C12" t="s">
        <v>181</v>
      </c>
      <c r="E12" s="55">
        <v>11</v>
      </c>
      <c r="F12">
        <v>767468</v>
      </c>
      <c r="H12" s="55">
        <v>11</v>
      </c>
      <c r="I12" s="56" t="s">
        <v>177</v>
      </c>
    </row>
    <row r="13" spans="2:9" ht="15" x14ac:dyDescent="0.25">
      <c r="B13" s="55">
        <v>12</v>
      </c>
      <c r="E13" s="55">
        <v>12</v>
      </c>
      <c r="H13" s="55">
        <v>12</v>
      </c>
      <c r="I13" s="56"/>
    </row>
    <row r="14" spans="2:9" ht="15" x14ac:dyDescent="0.25">
      <c r="B14" s="55">
        <v>13</v>
      </c>
      <c r="E14" s="55">
        <v>13</v>
      </c>
      <c r="H14" s="55">
        <v>13</v>
      </c>
      <c r="I14" s="56"/>
    </row>
    <row r="15" spans="2:9" ht="15" x14ac:dyDescent="0.25">
      <c r="B15" s="55">
        <v>14</v>
      </c>
      <c r="E15" s="55">
        <v>14</v>
      </c>
      <c r="H15" s="55">
        <v>14</v>
      </c>
      <c r="I15" s="56"/>
    </row>
    <row r="16" spans="2:9" ht="15" x14ac:dyDescent="0.25">
      <c r="B16" s="55">
        <v>15</v>
      </c>
      <c r="E16" s="55">
        <v>15</v>
      </c>
      <c r="H16" s="55">
        <v>15</v>
      </c>
      <c r="I16" s="56"/>
    </row>
    <row r="17" spans="2:11" ht="15" x14ac:dyDescent="0.25">
      <c r="B17" s="55">
        <v>16</v>
      </c>
      <c r="E17" s="55">
        <v>16</v>
      </c>
      <c r="H17" s="55">
        <v>16</v>
      </c>
      <c r="I17" s="56"/>
    </row>
    <row r="18" spans="2:11" ht="15" x14ac:dyDescent="0.25">
      <c r="B18" s="55">
        <v>17</v>
      </c>
      <c r="E18" s="55">
        <v>17</v>
      </c>
      <c r="H18" s="55">
        <v>17</v>
      </c>
      <c r="I18" s="56"/>
    </row>
    <row r="19" spans="2:11" ht="15" x14ac:dyDescent="0.25">
      <c r="B19" s="55">
        <v>18</v>
      </c>
      <c r="E19" s="55">
        <v>18</v>
      </c>
      <c r="H19" s="55">
        <v>18</v>
      </c>
      <c r="I19" s="56"/>
    </row>
    <row r="20" spans="2:11" ht="15" x14ac:dyDescent="0.25">
      <c r="B20" s="55">
        <v>19</v>
      </c>
      <c r="E20" s="55">
        <v>19</v>
      </c>
      <c r="H20" s="55">
        <v>19</v>
      </c>
      <c r="I20" s="56"/>
    </row>
    <row r="21" spans="2:11" ht="15" x14ac:dyDescent="0.25">
      <c r="B21" s="55">
        <v>20</v>
      </c>
      <c r="E21" s="55">
        <v>20</v>
      </c>
      <c r="H21" s="55">
        <v>20</v>
      </c>
      <c r="I21" s="56"/>
    </row>
    <row r="22" spans="2:11" ht="15" x14ac:dyDescent="0.25">
      <c r="B22" s="55">
        <v>21</v>
      </c>
      <c r="E22" s="55">
        <v>21</v>
      </c>
      <c r="H22" s="55">
        <v>21</v>
      </c>
      <c r="I22" s="56"/>
      <c r="K22" t="s">
        <v>63</v>
      </c>
    </row>
    <row r="23" spans="2:11" ht="15" x14ac:dyDescent="0.25">
      <c r="B23" s="55">
        <v>22</v>
      </c>
      <c r="E23" s="55">
        <v>22</v>
      </c>
      <c r="H23" s="55">
        <v>22</v>
      </c>
      <c r="I23" s="56"/>
    </row>
    <row r="24" spans="2:11" ht="15" x14ac:dyDescent="0.25">
      <c r="B24" s="55">
        <v>23</v>
      </c>
      <c r="E24" s="55">
        <v>23</v>
      </c>
      <c r="H24" s="55">
        <v>23</v>
      </c>
      <c r="I24" s="56"/>
    </row>
    <row r="25" spans="2:11" ht="15" x14ac:dyDescent="0.25">
      <c r="B25" s="55">
        <v>24</v>
      </c>
      <c r="E25" s="55">
        <v>24</v>
      </c>
      <c r="H25" s="55">
        <v>24</v>
      </c>
      <c r="I25" s="56"/>
    </row>
    <row r="26" spans="2:11" ht="15" x14ac:dyDescent="0.25">
      <c r="B26" s="55">
        <v>25</v>
      </c>
      <c r="E26" s="55">
        <v>25</v>
      </c>
      <c r="H26" s="55">
        <v>25</v>
      </c>
      <c r="I26" s="56"/>
    </row>
    <row r="27" spans="2:11" ht="15" x14ac:dyDescent="0.25">
      <c r="B27" s="55">
        <v>26</v>
      </c>
      <c r="E27" s="55">
        <v>26</v>
      </c>
      <c r="H27" s="55">
        <v>26</v>
      </c>
      <c r="I27" s="56"/>
    </row>
    <row r="28" spans="2:11" x14ac:dyDescent="0.2">
      <c r="B28" s="55">
        <v>27</v>
      </c>
      <c r="E28" s="55">
        <v>27</v>
      </c>
      <c r="H28" s="55">
        <v>27</v>
      </c>
    </row>
    <row r="29" spans="2:11" x14ac:dyDescent="0.2">
      <c r="B29" s="55">
        <v>28</v>
      </c>
      <c r="E29" s="55">
        <v>28</v>
      </c>
      <c r="H29" s="55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7" t="s">
        <v>194</v>
      </c>
      <c r="C2" s="68"/>
      <c r="D2" s="68"/>
      <c r="E2" s="68"/>
      <c r="F2" s="68"/>
      <c r="G2" s="68"/>
      <c r="H2" s="68"/>
      <c r="I2" s="69"/>
      <c r="J2" s="61">
        <v>61469328</v>
      </c>
      <c r="K2" s="63">
        <v>568</v>
      </c>
      <c r="L2" s="63">
        <v>9</v>
      </c>
      <c r="M2" s="63">
        <v>65.498999999999995</v>
      </c>
      <c r="N2" s="63">
        <v>66.635000000000005</v>
      </c>
      <c r="O2" s="63">
        <v>73.385000000000005</v>
      </c>
      <c r="P2" s="63" t="s">
        <v>54</v>
      </c>
      <c r="Q2" s="63">
        <v>0.35199999999999998</v>
      </c>
      <c r="R2" s="63" t="s">
        <v>62</v>
      </c>
    </row>
    <row r="3" spans="2:22" x14ac:dyDescent="0.2">
      <c r="B3" s="6" t="s">
        <v>53</v>
      </c>
      <c r="C3" s="60">
        <v>391</v>
      </c>
      <c r="D3" s="5"/>
      <c r="E3" s="5"/>
      <c r="F3" s="5"/>
      <c r="G3" s="5" t="s">
        <v>52</v>
      </c>
      <c r="H3" s="31">
        <v>46175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61469328</v>
      </c>
      <c r="C21" s="49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CA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73.385000000000005</v>
      </c>
      <c r="G23" s="23">
        <f>+N2</f>
        <v>66.635000000000005</v>
      </c>
      <c r="H23" s="23">
        <f>+M2</f>
        <v>65.498999999999995</v>
      </c>
      <c r="I23" s="48">
        <f>+L2</f>
        <v>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1"/>
      <c r="D26" s="71"/>
      <c r="E26" s="71"/>
      <c r="F26" s="71"/>
      <c r="G26" s="71"/>
      <c r="H26" s="71"/>
      <c r="I26" s="72"/>
    </row>
    <row r="27" spans="2:13" ht="24.75" customHeight="1" x14ac:dyDescent="0.2">
      <c r="B27" s="73" t="str">
        <f>+K4</f>
        <v>BOYS COTTON FIBERS, KNIT SHIRT, WITH NECK CLOSURE, STITCH COUNT EQUAL OR IS GREATER THAN 10/1CM, HEM BOTTOM [60% COTTON 40% POLYESTER]</v>
      </c>
      <c r="C27" s="74"/>
      <c r="D27" s="74"/>
      <c r="E27" s="74"/>
      <c r="F27" s="74"/>
      <c r="G27" s="74"/>
      <c r="H27" s="74"/>
      <c r="I27" s="7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6" t="s">
        <v>19</v>
      </c>
      <c r="E31" s="76"/>
      <c r="F31" s="76" t="s">
        <v>18</v>
      </c>
      <c r="G31" s="76"/>
      <c r="H31" s="48" t="s">
        <v>17</v>
      </c>
      <c r="I31" s="19" t="s">
        <v>16</v>
      </c>
      <c r="M31"/>
    </row>
    <row r="32" spans="2:13" ht="27.75" customHeight="1" x14ac:dyDescent="0.2">
      <c r="B32" s="41" t="s">
        <v>179</v>
      </c>
      <c r="C32" s="19" t="s">
        <v>184</v>
      </c>
      <c r="D32" s="65"/>
      <c r="E32" s="66"/>
      <c r="F32" s="65">
        <f>+K2</f>
        <v>568</v>
      </c>
      <c r="G32" s="66"/>
      <c r="H32" s="17">
        <v>0.9</v>
      </c>
      <c r="I32" s="18">
        <f>+H32*F32</f>
        <v>511.2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2"/>
      <c r="F33" s="70"/>
      <c r="G33" s="72"/>
      <c r="H33" s="17"/>
      <c r="I33" s="48"/>
    </row>
    <row r="34" spans="2:11" ht="21.75" customHeight="1" x14ac:dyDescent="0.2">
      <c r="B34" s="15" t="s">
        <v>14</v>
      </c>
      <c r="C34" s="15"/>
      <c r="D34" s="77"/>
      <c r="E34" s="78"/>
      <c r="F34" s="65">
        <f>SUM(F31:G33)</f>
        <v>568</v>
      </c>
      <c r="G34" s="66"/>
      <c r="H34" s="15"/>
      <c r="I34" s="14">
        <f>SUM(I32:I33)</f>
        <v>511.2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2"/>
      <c r="F35" s="70"/>
      <c r="G35" s="72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0"/>
      <c r="E36" s="72"/>
      <c r="F36" s="70"/>
      <c r="G36" s="72"/>
      <c r="H36" s="15"/>
      <c r="I36" s="14">
        <f>+I34</f>
        <v>511.2</v>
      </c>
    </row>
    <row r="37" spans="2:11" ht="20.25" customHeight="1" x14ac:dyDescent="0.2">
      <c r="B37" s="15" t="s">
        <v>80</v>
      </c>
      <c r="C37" s="70" t="s">
        <v>11</v>
      </c>
      <c r="D37" s="71"/>
      <c r="E37" s="71"/>
      <c r="F37" s="71"/>
      <c r="G37" s="71"/>
      <c r="H37" s="7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511.2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V58"/>
  <sheetViews>
    <sheetView view="pageBreakPreview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7" t="s">
        <v>194</v>
      </c>
      <c r="C2" s="68"/>
      <c r="D2" s="68"/>
      <c r="E2" s="68"/>
      <c r="F2" s="68"/>
      <c r="G2" s="68"/>
      <c r="H2" s="68"/>
      <c r="I2" s="69"/>
      <c r="J2" s="61">
        <v>61558820</v>
      </c>
      <c r="K2" s="62">
        <v>4656</v>
      </c>
      <c r="L2" s="63">
        <v>55</v>
      </c>
      <c r="M2" s="63">
        <v>591.673</v>
      </c>
      <c r="N2" s="63">
        <v>600.98500000000001</v>
      </c>
      <c r="O2" s="63">
        <v>652.88499999999999</v>
      </c>
      <c r="P2" s="63" t="s">
        <v>54</v>
      </c>
      <c r="Q2" s="63">
        <v>3.1869999999999998</v>
      </c>
      <c r="R2" s="63" t="s">
        <v>62</v>
      </c>
    </row>
    <row r="3" spans="2:22" x14ac:dyDescent="0.2">
      <c r="B3" s="6" t="s">
        <v>53</v>
      </c>
      <c r="C3" s="60">
        <v>394</v>
      </c>
      <c r="D3" s="5"/>
      <c r="E3" s="5"/>
      <c r="F3" s="5"/>
      <c r="G3" s="5" t="s">
        <v>52</v>
      </c>
      <c r="H3" s="31">
        <f>+'391'!H3</f>
        <v>46175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3">
        <f>J2</f>
        <v>61558820</v>
      </c>
      <c r="C21" s="54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3" t="s">
        <v>35</v>
      </c>
      <c r="G21" s="53"/>
      <c r="H21" s="47" t="str">
        <f>IF(LEFT(G17,2)="CA","CA",IF(LEFT(G17,2)="UN","US",IF(LEFT(G17,2)="PA","PA",IF(LEFT(G17,2)="JA","JP"))))</f>
        <v>US</v>
      </c>
      <c r="I21" s="53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3" t="s">
        <v>25</v>
      </c>
      <c r="C23" s="53"/>
      <c r="D23" s="53" t="s">
        <v>24</v>
      </c>
      <c r="E23" s="53" t="str">
        <f>+D23</f>
        <v>JAKARTA,ID</v>
      </c>
      <c r="F23" s="23">
        <f>+O2</f>
        <v>652.88499999999999</v>
      </c>
      <c r="G23" s="23">
        <f>+N2</f>
        <v>600.98500000000001</v>
      </c>
      <c r="H23" s="23">
        <f>+M2</f>
        <v>591.673</v>
      </c>
      <c r="I23" s="53">
        <f>+L2</f>
        <v>55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1"/>
      <c r="D26" s="71"/>
      <c r="E26" s="71"/>
      <c r="F26" s="71"/>
      <c r="G26" s="71"/>
      <c r="H26" s="71"/>
      <c r="I26" s="72"/>
    </row>
    <row r="27" spans="2:13" ht="24.75" customHeight="1" x14ac:dyDescent="0.2">
      <c r="B27" s="73" t="str">
        <f>+K4</f>
        <v>BOYS COTTON FIBERS, KNIT SHIRT, WITH NECK CLOSURE, STITCH COUNT EQUAL OR IS GREATER THAN 10/1CM, HEM BOTTOM [60% COTTON 40% POLYESTER]</v>
      </c>
      <c r="C27" s="74"/>
      <c r="D27" s="74"/>
      <c r="E27" s="74"/>
      <c r="F27" s="74"/>
      <c r="G27" s="74"/>
      <c r="H27" s="74"/>
      <c r="I27" s="7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3" t="s">
        <v>21</v>
      </c>
      <c r="C31" s="53" t="s">
        <v>20</v>
      </c>
      <c r="D31" s="76" t="s">
        <v>19</v>
      </c>
      <c r="E31" s="76"/>
      <c r="F31" s="76" t="s">
        <v>18</v>
      </c>
      <c r="G31" s="76"/>
      <c r="H31" s="53" t="s">
        <v>17</v>
      </c>
      <c r="I31" s="19" t="s">
        <v>16</v>
      </c>
      <c r="M31"/>
    </row>
    <row r="32" spans="2:13" ht="27.75" customHeight="1" x14ac:dyDescent="0.2">
      <c r="B32" s="41" t="s">
        <v>191</v>
      </c>
      <c r="C32" s="19" t="s">
        <v>190</v>
      </c>
      <c r="D32" s="65"/>
      <c r="E32" s="66"/>
      <c r="F32" s="65">
        <f>+K2</f>
        <v>4656</v>
      </c>
      <c r="G32" s="66"/>
      <c r="H32" s="17">
        <v>0.9</v>
      </c>
      <c r="I32" s="18">
        <f>+H32*F32</f>
        <v>4190.4000000000005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2"/>
      <c r="F33" s="70"/>
      <c r="G33" s="72"/>
      <c r="H33" s="17"/>
      <c r="I33" s="53"/>
    </row>
    <row r="34" spans="2:11" ht="21.75" customHeight="1" x14ac:dyDescent="0.2">
      <c r="B34" s="15" t="s">
        <v>14</v>
      </c>
      <c r="C34" s="15"/>
      <c r="D34" s="77"/>
      <c r="E34" s="78"/>
      <c r="F34" s="65">
        <f>SUM(F32:G33)</f>
        <v>4656</v>
      </c>
      <c r="G34" s="66"/>
      <c r="H34" s="15"/>
      <c r="I34" s="14">
        <f>SUM(I32:I33)</f>
        <v>4190.4000000000005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2"/>
      <c r="F35" s="70"/>
      <c r="G35" s="72"/>
      <c r="H35" s="15"/>
      <c r="I35" s="53"/>
      <c r="J35" s="40"/>
    </row>
    <row r="36" spans="2:11" ht="21.75" customHeight="1" x14ac:dyDescent="0.2">
      <c r="B36" s="16" t="s">
        <v>12</v>
      </c>
      <c r="C36" s="15"/>
      <c r="D36" s="70"/>
      <c r="E36" s="72"/>
      <c r="F36" s="70"/>
      <c r="G36" s="72"/>
      <c r="H36" s="15"/>
      <c r="I36" s="14">
        <f>+I34</f>
        <v>4190.4000000000005</v>
      </c>
    </row>
    <row r="37" spans="2:11" ht="20.25" customHeight="1" x14ac:dyDescent="0.2">
      <c r="B37" s="15" t="s">
        <v>80</v>
      </c>
      <c r="C37" s="70" t="s">
        <v>11</v>
      </c>
      <c r="D37" s="71"/>
      <c r="E37" s="71"/>
      <c r="F37" s="71"/>
      <c r="G37" s="71"/>
      <c r="H37" s="7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4190.4000000000005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6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6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V57"/>
  <sheetViews>
    <sheetView view="pageBreakPreview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7" t="s">
        <v>194</v>
      </c>
      <c r="C2" s="68"/>
      <c r="D2" s="68"/>
      <c r="E2" s="68"/>
      <c r="F2" s="68"/>
      <c r="G2" s="68"/>
      <c r="H2" s="68"/>
      <c r="I2" s="69"/>
      <c r="J2" s="61">
        <v>61558824</v>
      </c>
      <c r="K2" s="62">
        <v>1898</v>
      </c>
      <c r="L2" s="63">
        <v>26</v>
      </c>
      <c r="M2" s="63">
        <v>241.26900000000001</v>
      </c>
      <c r="N2" s="63">
        <v>245.065</v>
      </c>
      <c r="O2" s="63">
        <v>268.36500000000001</v>
      </c>
      <c r="P2" s="63" t="s">
        <v>54</v>
      </c>
      <c r="Q2" s="63">
        <v>1.32</v>
      </c>
      <c r="R2" s="63" t="s">
        <v>62</v>
      </c>
    </row>
    <row r="3" spans="2:22" x14ac:dyDescent="0.2">
      <c r="B3" s="6" t="s">
        <v>53</v>
      </c>
      <c r="C3" s="60">
        <f>+'394'!C3+1</f>
        <v>395</v>
      </c>
      <c r="D3" s="5"/>
      <c r="E3" s="5"/>
      <c r="F3" s="5"/>
      <c r="G3" s="5" t="s">
        <v>52</v>
      </c>
      <c r="H3" s="31">
        <f>+'394'!H3</f>
        <v>46175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3">
        <f>J2</f>
        <v>61558824</v>
      </c>
      <c r="C21" s="54">
        <f>VLOOKUP($K55,reff!E2:F29,2,0)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3" t="s">
        <v>35</v>
      </c>
      <c r="G21" s="53"/>
      <c r="H21" s="47" t="str">
        <f>IF(LEFT(G17,2)="CA","CA",IF(LEFT(G17,2)="UN","US",IF(LEFT(G17,2)="PA","PA",IF(LEFT(G17,2)="JA","JP"))))</f>
        <v>US</v>
      </c>
      <c r="I21" s="53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3" t="s">
        <v>25</v>
      </c>
      <c r="C23" s="53"/>
      <c r="D23" s="53" t="s">
        <v>24</v>
      </c>
      <c r="E23" s="53" t="str">
        <f>+D23</f>
        <v>JAKARTA,ID</v>
      </c>
      <c r="F23" s="23">
        <f>+O2</f>
        <v>268.36500000000001</v>
      </c>
      <c r="G23" s="23">
        <f>+N2</f>
        <v>245.065</v>
      </c>
      <c r="H23" s="23">
        <f>+M2</f>
        <v>241.26900000000001</v>
      </c>
      <c r="I23" s="53">
        <f>+L2</f>
        <v>26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1"/>
      <c r="D26" s="71"/>
      <c r="E26" s="71"/>
      <c r="F26" s="71"/>
      <c r="G26" s="71"/>
      <c r="H26" s="71"/>
      <c r="I26" s="72"/>
    </row>
    <row r="27" spans="2:13" ht="24.75" customHeight="1" x14ac:dyDescent="0.2">
      <c r="B27" s="73" t="str">
        <f>+K4</f>
        <v>BOYS COTTON FIBERS, KNIT SHIRT, WITH NECK CLOSURE, STITCH COUNT EQUAL OR IS GREATER THAN 10/1CM, HEM BOTTOM [60% COTTON 40% POLYESTER]</v>
      </c>
      <c r="C27" s="74"/>
      <c r="D27" s="74"/>
      <c r="E27" s="74"/>
      <c r="F27" s="74"/>
      <c r="G27" s="74"/>
      <c r="H27" s="74"/>
      <c r="I27" s="7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3" t="s">
        <v>21</v>
      </c>
      <c r="C31" s="53" t="s">
        <v>20</v>
      </c>
      <c r="D31" s="76" t="s">
        <v>19</v>
      </c>
      <c r="E31" s="76"/>
      <c r="F31" s="76" t="s">
        <v>18</v>
      </c>
      <c r="G31" s="76"/>
      <c r="H31" s="53" t="s">
        <v>17</v>
      </c>
      <c r="I31" s="19" t="s">
        <v>16</v>
      </c>
      <c r="M31"/>
    </row>
    <row r="32" spans="2:13" ht="38.25" x14ac:dyDescent="0.2">
      <c r="B32" s="41" t="s">
        <v>191</v>
      </c>
      <c r="C32" s="19" t="s">
        <v>190</v>
      </c>
      <c r="D32" s="65"/>
      <c r="E32" s="66"/>
      <c r="F32" s="65">
        <f>+K2</f>
        <v>1898</v>
      </c>
      <c r="G32" s="66"/>
      <c r="H32" s="17">
        <v>0.9</v>
      </c>
      <c r="I32" s="18">
        <f>+H32*F32</f>
        <v>1708.2</v>
      </c>
      <c r="K32" s="46"/>
      <c r="M32" s="39"/>
    </row>
    <row r="33" spans="2:11" ht="21.75" customHeight="1" x14ac:dyDescent="0.2">
      <c r="B33" s="15" t="s">
        <v>14</v>
      </c>
      <c r="C33" s="15"/>
      <c r="D33" s="77"/>
      <c r="E33" s="78"/>
      <c r="F33" s="65">
        <f>SUM(F32:G32)</f>
        <v>1898</v>
      </c>
      <c r="G33" s="66"/>
      <c r="H33" s="15"/>
      <c r="I33" s="14">
        <f>SUM(I32:I32)</f>
        <v>1708.2</v>
      </c>
      <c r="J33" s="40"/>
      <c r="K33" s="40"/>
    </row>
    <row r="34" spans="2:11" ht="21.75" customHeight="1" x14ac:dyDescent="0.2">
      <c r="B34" s="16" t="s">
        <v>13</v>
      </c>
      <c r="C34" s="15"/>
      <c r="D34" s="70"/>
      <c r="E34" s="72"/>
      <c r="F34" s="70"/>
      <c r="G34" s="72"/>
      <c r="H34" s="15"/>
      <c r="I34" s="53"/>
      <c r="J34" s="40"/>
    </row>
    <row r="35" spans="2:11" ht="21.75" customHeight="1" x14ac:dyDescent="0.2">
      <c r="B35" s="16" t="s">
        <v>12</v>
      </c>
      <c r="C35" s="15"/>
      <c r="D35" s="70"/>
      <c r="E35" s="72"/>
      <c r="F35" s="70"/>
      <c r="G35" s="72"/>
      <c r="H35" s="15"/>
      <c r="I35" s="14">
        <f>+I33</f>
        <v>1708.2</v>
      </c>
    </row>
    <row r="36" spans="2:11" ht="20.25" customHeight="1" x14ac:dyDescent="0.2">
      <c r="B36" s="15" t="s">
        <v>80</v>
      </c>
      <c r="C36" s="70" t="s">
        <v>11</v>
      </c>
      <c r="D36" s="71"/>
      <c r="E36" s="71"/>
      <c r="F36" s="71"/>
      <c r="G36" s="71"/>
      <c r="H36" s="72"/>
      <c r="I36" s="45"/>
    </row>
    <row r="37" spans="2:11" ht="21" customHeight="1" x14ac:dyDescent="0.2">
      <c r="B37" s="16" t="s">
        <v>10</v>
      </c>
      <c r="C37" s="15"/>
      <c r="D37" s="15"/>
      <c r="E37" s="15"/>
      <c r="F37" s="15"/>
      <c r="G37" s="15"/>
      <c r="H37" s="15"/>
      <c r="I37" s="14">
        <f>+I35+I36</f>
        <v>1708.2</v>
      </c>
    </row>
    <row r="38" spans="2:11" ht="18.75" customHeight="1" x14ac:dyDescent="0.2">
      <c r="B38" s="6"/>
      <c r="C38" s="5"/>
      <c r="D38" s="5"/>
      <c r="E38" s="5"/>
      <c r="F38" s="5"/>
      <c r="G38" s="5"/>
      <c r="H38" s="5"/>
      <c r="I38" s="4"/>
    </row>
    <row r="39" spans="2:1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13" t="s">
        <v>9</v>
      </c>
      <c r="C40" s="12"/>
      <c r="D40" s="12"/>
      <c r="E40" s="12"/>
      <c r="F40" s="12"/>
      <c r="G40" s="12"/>
      <c r="H40" s="12"/>
      <c r="I40" s="11"/>
    </row>
    <row r="41" spans="2:11" x14ac:dyDescent="0.2">
      <c r="B41" s="2" t="s">
        <v>86</v>
      </c>
      <c r="C41" s="1"/>
      <c r="D41" s="1"/>
      <c r="E41" s="1"/>
      <c r="F41" s="1"/>
      <c r="G41" s="1"/>
      <c r="H41" s="1"/>
      <c r="I41" s="3"/>
    </row>
    <row r="42" spans="2:11" x14ac:dyDescent="0.2">
      <c r="B42" s="6"/>
      <c r="C42" s="5"/>
      <c r="D42" s="5"/>
      <c r="E42" s="5"/>
      <c r="F42" s="5"/>
      <c r="G42" s="5"/>
      <c r="H42" s="5"/>
      <c r="I42" s="4"/>
    </row>
    <row r="43" spans="2:11" x14ac:dyDescent="0.2">
      <c r="B43" s="6" t="s">
        <v>8</v>
      </c>
      <c r="C43" s="5"/>
      <c r="D43" s="5"/>
      <c r="E43" s="5"/>
      <c r="F43" s="5"/>
      <c r="G43" s="5"/>
      <c r="H43" s="5"/>
      <c r="I43" s="4"/>
    </row>
    <row r="44" spans="2:11" x14ac:dyDescent="0.2">
      <c r="B44" s="6"/>
      <c r="C44" s="5"/>
      <c r="D44" s="5"/>
      <c r="E44" s="5"/>
      <c r="F44" s="5"/>
      <c r="G44" s="5"/>
      <c r="H44" s="5"/>
      <c r="I44" s="4"/>
    </row>
    <row r="45" spans="2:11" x14ac:dyDescent="0.2">
      <c r="B45" s="80" t="s">
        <v>7</v>
      </c>
      <c r="C45" s="80"/>
      <c r="D45" s="80"/>
      <c r="E45" s="10" t="s">
        <v>6</v>
      </c>
      <c r="F45" s="10"/>
      <c r="G45" s="10"/>
      <c r="H45" s="10"/>
      <c r="I45" s="10"/>
    </row>
    <row r="46" spans="2:11" x14ac:dyDescent="0.2">
      <c r="B46" s="2"/>
      <c r="C46" s="1"/>
      <c r="D46" s="3"/>
      <c r="E46" s="9" t="s">
        <v>5</v>
      </c>
      <c r="F46" s="9"/>
      <c r="G46" s="9"/>
      <c r="H46" s="2"/>
      <c r="I46" s="3"/>
    </row>
    <row r="47" spans="2:11" x14ac:dyDescent="0.2">
      <c r="B47" s="6"/>
      <c r="C47" s="5"/>
      <c r="D47" s="5"/>
      <c r="E47" s="5"/>
      <c r="F47" s="5"/>
      <c r="G47" s="5"/>
      <c r="H47" s="5"/>
      <c r="I47" s="4"/>
    </row>
    <row r="48" spans="2:11" x14ac:dyDescent="0.2">
      <c r="B48" s="6" t="s">
        <v>4</v>
      </c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3</v>
      </c>
      <c r="C49" s="5"/>
      <c r="D49" s="5"/>
      <c r="E49" s="5"/>
      <c r="F49" s="5"/>
      <c r="G49" s="5"/>
      <c r="H49" s="5"/>
      <c r="I49" s="4"/>
    </row>
    <row r="50" spans="2:11" x14ac:dyDescent="0.2">
      <c r="B50" s="6"/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 t="s">
        <v>2</v>
      </c>
      <c r="H51" s="5" t="str">
        <f>VLOOKUP($K51,reff!B2:C29,2,0)</f>
        <v>265K0051</v>
      </c>
      <c r="I51" s="8"/>
      <c r="K51">
        <v>6</v>
      </c>
    </row>
    <row r="52" spans="2:11" x14ac:dyDescent="0.2">
      <c r="B52" s="6"/>
      <c r="C52" s="5"/>
      <c r="D52" s="5"/>
      <c r="E52" s="5"/>
      <c r="F52" s="5"/>
      <c r="G52" s="5"/>
      <c r="H52" s="7"/>
      <c r="I52" s="4"/>
    </row>
    <row r="53" spans="2:11" x14ac:dyDescent="0.2">
      <c r="B53" s="6"/>
      <c r="C53" s="5"/>
      <c r="D53" s="5"/>
      <c r="E53" s="5"/>
      <c r="F53" s="5"/>
      <c r="G53" s="5"/>
      <c r="H53" s="5"/>
      <c r="I53" s="4"/>
    </row>
    <row r="54" spans="2:11" x14ac:dyDescent="0.2">
      <c r="B54" s="6"/>
      <c r="C54" s="81" t="s">
        <v>1</v>
      </c>
      <c r="D54" s="81"/>
      <c r="E54" s="5"/>
      <c r="F54" s="5"/>
      <c r="G54" s="5"/>
      <c r="H54" s="5"/>
      <c r="I54" s="4"/>
    </row>
    <row r="55" spans="2:11" x14ac:dyDescent="0.2">
      <c r="B55" s="6"/>
      <c r="C55" s="82" t="s">
        <v>0</v>
      </c>
      <c r="D55" s="82"/>
      <c r="E55" s="5"/>
      <c r="F55" s="5"/>
      <c r="G55" s="5"/>
      <c r="H55" s="5"/>
      <c r="I55" s="4"/>
      <c r="K55">
        <v>6</v>
      </c>
    </row>
    <row r="56" spans="2:11" x14ac:dyDescent="0.2">
      <c r="B56" s="2"/>
      <c r="C56" s="79"/>
      <c r="D56" s="79"/>
      <c r="E56" s="1"/>
      <c r="F56" s="1"/>
      <c r="G56" s="1"/>
      <c r="H56" s="1"/>
      <c r="I56" s="1"/>
    </row>
    <row r="57" spans="2:11" x14ac:dyDescent="0.2">
      <c r="B57" s="5"/>
      <c r="C57" s="5"/>
      <c r="D57" s="5"/>
      <c r="E57" s="5"/>
      <c r="F57" s="5"/>
      <c r="G57" s="5"/>
      <c r="H57" s="5"/>
      <c r="I57" s="5"/>
    </row>
  </sheetData>
  <mergeCells count="18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C56:D56"/>
    <mergeCell ref="D35:E35"/>
    <mergeCell ref="F35:G35"/>
    <mergeCell ref="C36:H36"/>
    <mergeCell ref="B45:D45"/>
    <mergeCell ref="C54:D54"/>
    <mergeCell ref="C55:D5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7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7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V59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7" t="s">
        <v>194</v>
      </c>
      <c r="C2" s="68"/>
      <c r="D2" s="68"/>
      <c r="E2" s="68"/>
      <c r="F2" s="68"/>
      <c r="G2" s="68"/>
      <c r="H2" s="68"/>
      <c r="I2" s="69"/>
      <c r="J2" s="61">
        <v>61473109</v>
      </c>
      <c r="K2" s="62">
        <v>16171</v>
      </c>
      <c r="L2" s="63">
        <v>161</v>
      </c>
      <c r="M2" s="64">
        <v>1795.7329999999999</v>
      </c>
      <c r="N2" s="64">
        <v>1828.075</v>
      </c>
      <c r="O2" s="64">
        <v>1978.925</v>
      </c>
      <c r="P2" s="63" t="s">
        <v>54</v>
      </c>
      <c r="Q2" s="63">
        <v>9.6449999999999996</v>
      </c>
      <c r="R2" s="63" t="s">
        <v>62</v>
      </c>
    </row>
    <row r="3" spans="2:22" x14ac:dyDescent="0.2">
      <c r="B3" s="6" t="s">
        <v>53</v>
      </c>
      <c r="C3" s="60">
        <f>+'395'!C3+1</f>
        <v>396</v>
      </c>
      <c r="D3" s="5"/>
      <c r="E3" s="5"/>
      <c r="F3" s="5"/>
      <c r="G3" s="5" t="s">
        <v>52</v>
      </c>
      <c r="H3" s="31">
        <v>46180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3">
        <f>J2</f>
        <v>61473109</v>
      </c>
      <c r="C21" s="54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3" t="s">
        <v>35</v>
      </c>
      <c r="G21" s="53"/>
      <c r="H21" s="47" t="str">
        <f>IF(LEFT(G17,2)="CA","CA",IF(LEFT(G17,2)="UN","US",IF(LEFT(G17,2)="PA","PA",IF(LEFT(G17,2)="JA","JP"))))</f>
        <v>US</v>
      </c>
      <c r="I21" s="53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3" t="s">
        <v>25</v>
      </c>
      <c r="C23" s="53"/>
      <c r="D23" s="53" t="s">
        <v>24</v>
      </c>
      <c r="E23" s="53" t="str">
        <f>+D23</f>
        <v>JAKARTA,ID</v>
      </c>
      <c r="F23" s="23">
        <f>+O2</f>
        <v>1978.925</v>
      </c>
      <c r="G23" s="23">
        <f>+N2</f>
        <v>1828.075</v>
      </c>
      <c r="H23" s="23">
        <f>+M2</f>
        <v>1795.7329999999999</v>
      </c>
      <c r="I23" s="53">
        <f>+L2</f>
        <v>161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1"/>
      <c r="D26" s="71"/>
      <c r="E26" s="71"/>
      <c r="F26" s="71"/>
      <c r="G26" s="71"/>
      <c r="H26" s="71"/>
      <c r="I26" s="72"/>
    </row>
    <row r="27" spans="2:13" ht="24.75" customHeight="1" x14ac:dyDescent="0.2">
      <c r="B27" s="73" t="str">
        <f>+K4</f>
        <v>BOYS COTTON FIBERS, KNIT SHIRT, WITH NECK CLOSURE, STITCH COUNT EQUAL OR IS GREATER THAN 10/1CM, HEM BOTTOM [60% COTTON 40% POLYESTER]</v>
      </c>
      <c r="C27" s="74"/>
      <c r="D27" s="74"/>
      <c r="E27" s="74"/>
      <c r="F27" s="74"/>
      <c r="G27" s="74"/>
      <c r="H27" s="74"/>
      <c r="I27" s="7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3" t="s">
        <v>21</v>
      </c>
      <c r="C31" s="53" t="s">
        <v>20</v>
      </c>
      <c r="D31" s="76" t="s">
        <v>19</v>
      </c>
      <c r="E31" s="76"/>
      <c r="F31" s="76" t="s">
        <v>18</v>
      </c>
      <c r="G31" s="76"/>
      <c r="H31" s="53" t="s">
        <v>17</v>
      </c>
      <c r="I31" s="19" t="s">
        <v>16</v>
      </c>
      <c r="M31"/>
    </row>
    <row r="32" spans="2:13" ht="27.75" customHeight="1" x14ac:dyDescent="0.2">
      <c r="B32" s="41" t="s">
        <v>183</v>
      </c>
      <c r="C32" s="19" t="s">
        <v>182</v>
      </c>
      <c r="D32" s="65"/>
      <c r="E32" s="66"/>
      <c r="F32" s="65">
        <v>7188</v>
      </c>
      <c r="G32" s="66"/>
      <c r="H32" s="17">
        <v>0.9</v>
      </c>
      <c r="I32" s="18">
        <f>+H32*F32</f>
        <v>6469.2</v>
      </c>
      <c r="K32" s="46"/>
      <c r="M32" s="39"/>
    </row>
    <row r="33" spans="2:13" ht="27.75" customHeight="1" x14ac:dyDescent="0.2">
      <c r="B33" s="41" t="s">
        <v>192</v>
      </c>
      <c r="C33" s="19" t="s">
        <v>193</v>
      </c>
      <c r="D33" s="65"/>
      <c r="E33" s="66"/>
      <c r="F33" s="65">
        <v>8983</v>
      </c>
      <c r="G33" s="66"/>
      <c r="H33" s="17">
        <v>0.9</v>
      </c>
      <c r="I33" s="18">
        <f>+H33*F33</f>
        <v>8084.7</v>
      </c>
      <c r="K33" s="46"/>
      <c r="M33" s="39"/>
    </row>
    <row r="34" spans="2:13" ht="21" customHeight="1" x14ac:dyDescent="0.2">
      <c r="B34" s="15" t="s">
        <v>15</v>
      </c>
      <c r="C34" s="15"/>
      <c r="D34" s="70"/>
      <c r="E34" s="72"/>
      <c r="F34" s="70"/>
      <c r="G34" s="72"/>
      <c r="H34" s="17"/>
      <c r="I34" s="59"/>
    </row>
    <row r="35" spans="2:13" ht="21.75" customHeight="1" x14ac:dyDescent="0.2">
      <c r="B35" s="15" t="s">
        <v>14</v>
      </c>
      <c r="C35" s="15"/>
      <c r="D35" s="77"/>
      <c r="E35" s="78"/>
      <c r="F35" s="65">
        <f>SUM(F32:G34)</f>
        <v>16171</v>
      </c>
      <c r="G35" s="66"/>
      <c r="H35" s="15"/>
      <c r="I35" s="14">
        <f>SUM(I32:I34)</f>
        <v>14553.9</v>
      </c>
      <c r="J35" s="40"/>
      <c r="K35" s="40"/>
    </row>
    <row r="36" spans="2:13" ht="21.75" customHeight="1" x14ac:dyDescent="0.2">
      <c r="B36" s="16" t="s">
        <v>13</v>
      </c>
      <c r="C36" s="15"/>
      <c r="D36" s="70"/>
      <c r="E36" s="72"/>
      <c r="F36" s="70"/>
      <c r="G36" s="72"/>
      <c r="H36" s="15"/>
      <c r="I36" s="53"/>
      <c r="J36" s="40"/>
    </row>
    <row r="37" spans="2:13" ht="21.75" customHeight="1" x14ac:dyDescent="0.2">
      <c r="B37" s="16" t="s">
        <v>12</v>
      </c>
      <c r="C37" s="15"/>
      <c r="D37" s="70"/>
      <c r="E37" s="72"/>
      <c r="F37" s="70"/>
      <c r="G37" s="72"/>
      <c r="H37" s="15"/>
      <c r="I37" s="14">
        <f>+I35</f>
        <v>14553.9</v>
      </c>
    </row>
    <row r="38" spans="2:13" ht="20.25" customHeight="1" x14ac:dyDescent="0.2">
      <c r="B38" s="15" t="s">
        <v>80</v>
      </c>
      <c r="C38" s="70" t="s">
        <v>11</v>
      </c>
      <c r="D38" s="71"/>
      <c r="E38" s="71"/>
      <c r="F38" s="71"/>
      <c r="G38" s="71"/>
      <c r="H38" s="72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14553.9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0" t="s">
        <v>7</v>
      </c>
      <c r="C47" s="80"/>
      <c r="D47" s="8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265K0051</v>
      </c>
      <c r="I53" s="8"/>
      <c r="K53">
        <v>7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1" t="s">
        <v>1</v>
      </c>
      <c r="D56" s="81"/>
      <c r="E56" s="5"/>
      <c r="F56" s="5"/>
      <c r="G56" s="5"/>
      <c r="H56" s="5"/>
      <c r="I56" s="4"/>
      <c r="K56">
        <v>7</v>
      </c>
    </row>
    <row r="57" spans="2:11" x14ac:dyDescent="0.2">
      <c r="B57" s="6"/>
      <c r="C57" s="82" t="s">
        <v>0</v>
      </c>
      <c r="D57" s="82"/>
      <c r="E57" s="5"/>
      <c r="F57" s="5"/>
      <c r="G57" s="5"/>
      <c r="H57" s="5"/>
      <c r="I57" s="4"/>
    </row>
    <row r="58" spans="2:11" x14ac:dyDescent="0.2">
      <c r="B58" s="2"/>
      <c r="C58" s="79"/>
      <c r="D58" s="79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2:E32"/>
    <mergeCell ref="F32:G32"/>
    <mergeCell ref="B2:I2"/>
    <mergeCell ref="B26:I26"/>
    <mergeCell ref="B27:I27"/>
    <mergeCell ref="D31:E31"/>
    <mergeCell ref="F31:G31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8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8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V58"/>
  <sheetViews>
    <sheetView view="pageBreakPreview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7" t="s">
        <v>194</v>
      </c>
      <c r="C2" s="68"/>
      <c r="D2" s="68"/>
      <c r="E2" s="68"/>
      <c r="F2" s="68"/>
      <c r="G2" s="68"/>
      <c r="H2" s="68"/>
      <c r="I2" s="69"/>
      <c r="J2" s="61">
        <v>61558821</v>
      </c>
      <c r="K2" s="62">
        <v>4999</v>
      </c>
      <c r="L2" s="63">
        <v>57</v>
      </c>
      <c r="M2" s="63">
        <v>635.20699999999999</v>
      </c>
      <c r="N2" s="63">
        <v>645.20500000000004</v>
      </c>
      <c r="O2" s="63">
        <v>699.505</v>
      </c>
      <c r="P2" s="63" t="s">
        <v>54</v>
      </c>
      <c r="Q2" s="63">
        <v>3.3879999999999999</v>
      </c>
      <c r="R2" s="63" t="s">
        <v>62</v>
      </c>
    </row>
    <row r="3" spans="2:22" x14ac:dyDescent="0.2">
      <c r="B3" s="6" t="s">
        <v>53</v>
      </c>
      <c r="C3" s="60">
        <f>+'396'!C3+1</f>
        <v>397</v>
      </c>
      <c r="D3" s="5"/>
      <c r="E3" s="5"/>
      <c r="F3" s="5"/>
      <c r="G3" s="5" t="s">
        <v>52</v>
      </c>
      <c r="H3" s="31">
        <f>+'396'!H3</f>
        <v>46180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3">
        <f>J2</f>
        <v>61558821</v>
      </c>
      <c r="C21" s="54">
        <f>VLOOKUP($K55,reff!E2:F29,2,0)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3" t="s">
        <v>35</v>
      </c>
      <c r="G21" s="53"/>
      <c r="H21" s="47" t="str">
        <f>IF(LEFT(G17,2)="CA","CA",IF(LEFT(G17,2)="UN","US",IF(LEFT(G17,2)="PA","PA",IF(LEFT(G17,2)="JA","JP"))))</f>
        <v>US</v>
      </c>
      <c r="I21" s="53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3" t="s">
        <v>25</v>
      </c>
      <c r="C23" s="53"/>
      <c r="D23" s="53" t="s">
        <v>24</v>
      </c>
      <c r="E23" s="53" t="str">
        <f>+D23</f>
        <v>JAKARTA,ID</v>
      </c>
      <c r="F23" s="23">
        <f>+O2</f>
        <v>699.505</v>
      </c>
      <c r="G23" s="23">
        <f>+N2</f>
        <v>645.20500000000004</v>
      </c>
      <c r="H23" s="23">
        <f>+M2</f>
        <v>635.20699999999999</v>
      </c>
      <c r="I23" s="53">
        <f>+L2</f>
        <v>57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1"/>
      <c r="D26" s="71"/>
      <c r="E26" s="71"/>
      <c r="F26" s="71"/>
      <c r="G26" s="71"/>
      <c r="H26" s="71"/>
      <c r="I26" s="72"/>
    </row>
    <row r="27" spans="2:13" ht="24.75" customHeight="1" x14ac:dyDescent="0.2">
      <c r="B27" s="73" t="str">
        <f>+K4</f>
        <v>BOYS COTTON FIBERS, KNIT SHIRT, WITH NECK CLOSURE, STITCH COUNT EQUAL OR IS GREATER THAN 10/1CM, HEM BOTTOM [60% COTTON 40% POLYESTER]</v>
      </c>
      <c r="C27" s="74"/>
      <c r="D27" s="74"/>
      <c r="E27" s="74"/>
      <c r="F27" s="74"/>
      <c r="G27" s="74"/>
      <c r="H27" s="74"/>
      <c r="I27" s="7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3" t="s">
        <v>21</v>
      </c>
      <c r="C31" s="53" t="s">
        <v>20</v>
      </c>
      <c r="D31" s="76" t="s">
        <v>19</v>
      </c>
      <c r="E31" s="76"/>
      <c r="F31" s="76" t="s">
        <v>18</v>
      </c>
      <c r="G31" s="76"/>
      <c r="H31" s="53" t="s">
        <v>17</v>
      </c>
      <c r="I31" s="19" t="s">
        <v>16</v>
      </c>
      <c r="M31"/>
    </row>
    <row r="32" spans="2:13" ht="38.25" customHeight="1" x14ac:dyDescent="0.2">
      <c r="B32" s="41" t="s">
        <v>191</v>
      </c>
      <c r="C32" s="19" t="s">
        <v>190</v>
      </c>
      <c r="D32" s="65"/>
      <c r="E32" s="66"/>
      <c r="F32" s="65">
        <f>+K2</f>
        <v>4999</v>
      </c>
      <c r="G32" s="66"/>
      <c r="H32" s="17">
        <v>0.9</v>
      </c>
      <c r="I32" s="18">
        <f>+H32*F32</f>
        <v>4499.1000000000004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2"/>
      <c r="F33" s="70"/>
      <c r="G33" s="72"/>
      <c r="H33" s="17"/>
      <c r="I33" s="53"/>
    </row>
    <row r="34" spans="2:11" ht="21.75" customHeight="1" x14ac:dyDescent="0.2">
      <c r="B34" s="15" t="s">
        <v>14</v>
      </c>
      <c r="C34" s="15"/>
      <c r="D34" s="77"/>
      <c r="E34" s="78"/>
      <c r="F34" s="65">
        <f>SUM(F32:G33)</f>
        <v>4999</v>
      </c>
      <c r="G34" s="66"/>
      <c r="H34" s="15"/>
      <c r="I34" s="14">
        <f>SUM(I32:I33)</f>
        <v>4499.1000000000004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2"/>
      <c r="F35" s="70"/>
      <c r="G35" s="72"/>
      <c r="H35" s="15"/>
      <c r="I35" s="53"/>
      <c r="J35" s="40"/>
    </row>
    <row r="36" spans="2:11" ht="21.75" customHeight="1" x14ac:dyDescent="0.2">
      <c r="B36" s="16" t="s">
        <v>12</v>
      </c>
      <c r="C36" s="15"/>
      <c r="D36" s="70"/>
      <c r="E36" s="72"/>
      <c r="F36" s="70"/>
      <c r="G36" s="72"/>
      <c r="H36" s="15"/>
      <c r="I36" s="14">
        <f>+I34</f>
        <v>4499.1000000000004</v>
      </c>
    </row>
    <row r="37" spans="2:11" ht="20.25" customHeight="1" x14ac:dyDescent="0.2">
      <c r="B37" s="15" t="s">
        <v>80</v>
      </c>
      <c r="C37" s="70" t="s">
        <v>11</v>
      </c>
      <c r="D37" s="71"/>
      <c r="E37" s="71"/>
      <c r="F37" s="71"/>
      <c r="G37" s="71"/>
      <c r="H37" s="7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4499.1000000000004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  <c r="K55">
        <v>8</v>
      </c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9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9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V58"/>
  <sheetViews>
    <sheetView view="pageBreakPreview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7" t="s">
        <v>194</v>
      </c>
      <c r="C2" s="68"/>
      <c r="D2" s="68"/>
      <c r="E2" s="68"/>
      <c r="F2" s="68"/>
      <c r="G2" s="68"/>
      <c r="H2" s="68"/>
      <c r="I2" s="69"/>
      <c r="J2" s="61">
        <v>61475257</v>
      </c>
      <c r="K2" s="62">
        <v>2177</v>
      </c>
      <c r="L2" s="63">
        <v>26</v>
      </c>
      <c r="M2" s="63">
        <v>274.90300000000002</v>
      </c>
      <c r="N2" s="63">
        <v>285.38900000000001</v>
      </c>
      <c r="O2" s="63">
        <v>309.98899999999998</v>
      </c>
      <c r="P2" s="63" t="s">
        <v>54</v>
      </c>
      <c r="Q2" s="63">
        <v>1.5209999999999999</v>
      </c>
      <c r="R2" s="63" t="s">
        <v>62</v>
      </c>
    </row>
    <row r="3" spans="2:22" x14ac:dyDescent="0.2">
      <c r="B3" s="6" t="s">
        <v>53</v>
      </c>
      <c r="C3" s="60">
        <f>+'397'!C3+1</f>
        <v>398</v>
      </c>
      <c r="D3" s="5"/>
      <c r="E3" s="5"/>
      <c r="F3" s="5"/>
      <c r="G3" s="5" t="s">
        <v>52</v>
      </c>
      <c r="H3" s="31">
        <f>+'397'!H3</f>
        <v>46180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3">
        <f>J2</f>
        <v>61475257</v>
      </c>
      <c r="C21" s="54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3" t="s">
        <v>35</v>
      </c>
      <c r="G21" s="53"/>
      <c r="H21" s="47" t="str">
        <f>IF(LEFT(G17,2)="CA","CA",IF(LEFT(G17,2)="UN","US",IF(LEFT(G17,2)="PA","PA",IF(LEFT(G17,2)="JA","JP"))))</f>
        <v>US</v>
      </c>
      <c r="I21" s="53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3" t="s">
        <v>25</v>
      </c>
      <c r="C23" s="53"/>
      <c r="D23" s="53" t="s">
        <v>24</v>
      </c>
      <c r="E23" s="53" t="str">
        <f>+D23</f>
        <v>JAKARTA,ID</v>
      </c>
      <c r="F23" s="23">
        <f>+O2</f>
        <v>309.98899999999998</v>
      </c>
      <c r="G23" s="23">
        <f>+N2</f>
        <v>285.38900000000001</v>
      </c>
      <c r="H23" s="23">
        <f>+M2</f>
        <v>274.90300000000002</v>
      </c>
      <c r="I23" s="53">
        <f>+L2</f>
        <v>26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1"/>
      <c r="D26" s="71"/>
      <c r="E26" s="71"/>
      <c r="F26" s="71"/>
      <c r="G26" s="71"/>
      <c r="H26" s="71"/>
      <c r="I26" s="72"/>
    </row>
    <row r="27" spans="2:13" ht="24.75" customHeight="1" x14ac:dyDescent="0.2">
      <c r="B27" s="73" t="str">
        <f>+K4</f>
        <v>BOYS COTTON FIBERS, KNIT SHIRT, WITH NECK CLOSURE, STITCH COUNT EQUAL OR IS GREATER THAN 10/1CM, HEM BOTTOM [60% COTTON 40% POLYESTER]</v>
      </c>
      <c r="C27" s="74"/>
      <c r="D27" s="74"/>
      <c r="E27" s="74"/>
      <c r="F27" s="74"/>
      <c r="G27" s="74"/>
      <c r="H27" s="74"/>
      <c r="I27" s="7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3" t="s">
        <v>21</v>
      </c>
      <c r="C31" s="53" t="s">
        <v>20</v>
      </c>
      <c r="D31" s="76" t="s">
        <v>19</v>
      </c>
      <c r="E31" s="76"/>
      <c r="F31" s="76" t="s">
        <v>18</v>
      </c>
      <c r="G31" s="76"/>
      <c r="H31" s="53" t="s">
        <v>17</v>
      </c>
      <c r="I31" s="19" t="s">
        <v>16</v>
      </c>
      <c r="M31"/>
    </row>
    <row r="32" spans="2:13" ht="31.5" customHeight="1" x14ac:dyDescent="0.2">
      <c r="B32" s="41" t="s">
        <v>189</v>
      </c>
      <c r="C32" s="19" t="s">
        <v>188</v>
      </c>
      <c r="D32" s="65"/>
      <c r="E32" s="66"/>
      <c r="F32" s="65">
        <f>+K2</f>
        <v>2177</v>
      </c>
      <c r="G32" s="66"/>
      <c r="H32" s="17">
        <v>0.9</v>
      </c>
      <c r="I32" s="18">
        <f>+H32*F32</f>
        <v>1959.3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2"/>
      <c r="F33" s="70"/>
      <c r="G33" s="72"/>
      <c r="H33" s="17"/>
      <c r="I33" s="53"/>
    </row>
    <row r="34" spans="2:11" ht="21.75" customHeight="1" x14ac:dyDescent="0.2">
      <c r="B34" s="15" t="s">
        <v>14</v>
      </c>
      <c r="C34" s="15"/>
      <c r="D34" s="77"/>
      <c r="E34" s="78"/>
      <c r="F34" s="65">
        <f>SUM(F32:G33)</f>
        <v>2177</v>
      </c>
      <c r="G34" s="66"/>
      <c r="H34" s="15"/>
      <c r="I34" s="14">
        <f>SUM(I32:I33)</f>
        <v>1959.3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2"/>
      <c r="F35" s="70"/>
      <c r="G35" s="72"/>
      <c r="H35" s="15"/>
      <c r="I35" s="53"/>
      <c r="J35" s="40"/>
    </row>
    <row r="36" spans="2:11" ht="21.75" customHeight="1" x14ac:dyDescent="0.2">
      <c r="B36" s="16" t="s">
        <v>12</v>
      </c>
      <c r="C36" s="15"/>
      <c r="D36" s="70"/>
      <c r="E36" s="72"/>
      <c r="F36" s="70"/>
      <c r="G36" s="72"/>
      <c r="H36" s="15"/>
      <c r="I36" s="14">
        <f>+I34</f>
        <v>1959.3</v>
      </c>
    </row>
    <row r="37" spans="2:11" ht="20.25" customHeight="1" x14ac:dyDescent="0.2">
      <c r="B37" s="15" t="s">
        <v>80</v>
      </c>
      <c r="C37" s="70" t="s">
        <v>11</v>
      </c>
      <c r="D37" s="71"/>
      <c r="E37" s="71"/>
      <c r="F37" s="71"/>
      <c r="G37" s="71"/>
      <c r="H37" s="7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1959.3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9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9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A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A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V58"/>
  <sheetViews>
    <sheetView tabSelected="1" view="pageBreakPreview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7" t="s">
        <v>194</v>
      </c>
      <c r="C2" s="68"/>
      <c r="D2" s="68"/>
      <c r="E2" s="68"/>
      <c r="F2" s="68"/>
      <c r="G2" s="68"/>
      <c r="H2" s="68"/>
      <c r="I2" s="69"/>
      <c r="J2" s="61">
        <v>61476483</v>
      </c>
      <c r="K2" s="63">
        <v>595</v>
      </c>
      <c r="L2" s="63">
        <v>13</v>
      </c>
      <c r="M2" s="63">
        <v>80.430000000000007</v>
      </c>
      <c r="N2" s="63">
        <v>92.33</v>
      </c>
      <c r="O2" s="63">
        <v>103.13</v>
      </c>
      <c r="P2" s="63" t="s">
        <v>54</v>
      </c>
      <c r="Q2" s="63">
        <v>0.52600000000000002</v>
      </c>
      <c r="R2" s="63" t="s">
        <v>62</v>
      </c>
    </row>
    <row r="3" spans="2:22" x14ac:dyDescent="0.2">
      <c r="B3" s="6" t="s">
        <v>53</v>
      </c>
      <c r="C3" s="60">
        <v>400</v>
      </c>
      <c r="D3" s="5"/>
      <c r="E3" s="5"/>
      <c r="F3" s="5"/>
      <c r="G3" s="5" t="s">
        <v>52</v>
      </c>
      <c r="H3" s="31">
        <f>+'398'!H3</f>
        <v>46180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105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5401 MICKEY MELTON BLD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LONGVIEW, TX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75605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8">
        <f>J2</f>
        <v>61476483</v>
      </c>
      <c r="C21" s="57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8" t="s">
        <v>35</v>
      </c>
      <c r="G21" s="58"/>
      <c r="H21" s="47" t="str">
        <f>IF(LEFT(G17,2)="CA","CA",IF(LEFT(G17,2)="UN","US",IF(LEFT(G17,2)="PA","PA",IF(LEFT(G17,2)="JA","JP"))))</f>
        <v>US</v>
      </c>
      <c r="I21" s="58" t="s">
        <v>34</v>
      </c>
      <c r="K21" s="20">
        <v>11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8" t="s">
        <v>25</v>
      </c>
      <c r="C23" s="58"/>
      <c r="D23" s="58" t="s">
        <v>24</v>
      </c>
      <c r="E23" s="58" t="str">
        <f>+D23</f>
        <v>JAKARTA,ID</v>
      </c>
      <c r="F23" s="23">
        <f>+O2</f>
        <v>103.13</v>
      </c>
      <c r="G23" s="23">
        <f>+N2</f>
        <v>92.33</v>
      </c>
      <c r="H23" s="23">
        <f>+M2</f>
        <v>80.430000000000007</v>
      </c>
      <c r="I23" s="58">
        <f>+L2</f>
        <v>13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0" t="s">
        <v>23</v>
      </c>
      <c r="C26" s="71"/>
      <c r="D26" s="71"/>
      <c r="E26" s="71"/>
      <c r="F26" s="71"/>
      <c r="G26" s="71"/>
      <c r="H26" s="71"/>
      <c r="I26" s="72"/>
    </row>
    <row r="27" spans="2:13" ht="24.75" customHeight="1" x14ac:dyDescent="0.2">
      <c r="B27" s="73" t="str">
        <f>+K4</f>
        <v>BOYS COTTON FIBERS, KNIT SHIRT, WITH NECK CLOSURE, STITCH COUNT EQUAL OR IS GREATER THAN 10/1CM, HEM BOTTOM [60% COTTON 40% POLYESTER]</v>
      </c>
      <c r="C27" s="74"/>
      <c r="D27" s="74"/>
      <c r="E27" s="74"/>
      <c r="F27" s="74"/>
      <c r="G27" s="74"/>
      <c r="H27" s="74"/>
      <c r="I27" s="75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8" t="s">
        <v>21</v>
      </c>
      <c r="C31" s="58" t="s">
        <v>20</v>
      </c>
      <c r="D31" s="76" t="s">
        <v>19</v>
      </c>
      <c r="E31" s="76"/>
      <c r="F31" s="76" t="s">
        <v>18</v>
      </c>
      <c r="G31" s="76"/>
      <c r="H31" s="58" t="s">
        <v>17</v>
      </c>
      <c r="I31" s="19" t="s">
        <v>16</v>
      </c>
      <c r="M31"/>
    </row>
    <row r="32" spans="2:13" ht="39" customHeight="1" x14ac:dyDescent="0.2">
      <c r="B32" s="41" t="s">
        <v>186</v>
      </c>
      <c r="C32" s="19" t="s">
        <v>185</v>
      </c>
      <c r="D32" s="65"/>
      <c r="E32" s="66"/>
      <c r="F32" s="65">
        <f>+K2</f>
        <v>595</v>
      </c>
      <c r="G32" s="66"/>
      <c r="H32" s="17">
        <v>1.05</v>
      </c>
      <c r="I32" s="18">
        <f>+H32*F32</f>
        <v>624.75</v>
      </c>
      <c r="K32" s="46"/>
      <c r="M32" s="39"/>
    </row>
    <row r="33" spans="2:11" ht="21" customHeight="1" x14ac:dyDescent="0.2">
      <c r="B33" s="15" t="s">
        <v>15</v>
      </c>
      <c r="C33" s="15"/>
      <c r="D33" s="70"/>
      <c r="E33" s="72"/>
      <c r="F33" s="70"/>
      <c r="G33" s="72"/>
      <c r="H33" s="17"/>
      <c r="I33" s="58"/>
    </row>
    <row r="34" spans="2:11" ht="21.75" customHeight="1" x14ac:dyDescent="0.2">
      <c r="B34" s="15" t="s">
        <v>14</v>
      </c>
      <c r="C34" s="15"/>
      <c r="D34" s="77"/>
      <c r="E34" s="78"/>
      <c r="F34" s="65">
        <f>SUM(F32:G33)</f>
        <v>595</v>
      </c>
      <c r="G34" s="66"/>
      <c r="H34" s="15"/>
      <c r="I34" s="14">
        <f>SUM(I32:I33)</f>
        <v>624.75</v>
      </c>
      <c r="J34" s="40"/>
      <c r="K34" s="40"/>
    </row>
    <row r="35" spans="2:11" ht="21.75" customHeight="1" x14ac:dyDescent="0.2">
      <c r="B35" s="16" t="s">
        <v>13</v>
      </c>
      <c r="C35" s="15"/>
      <c r="D35" s="70"/>
      <c r="E35" s="72"/>
      <c r="F35" s="70"/>
      <c r="G35" s="72"/>
      <c r="H35" s="15"/>
      <c r="I35" s="58"/>
      <c r="J35" s="40"/>
    </row>
    <row r="36" spans="2:11" ht="21.75" customHeight="1" x14ac:dyDescent="0.2">
      <c r="B36" s="16" t="s">
        <v>12</v>
      </c>
      <c r="C36" s="15"/>
      <c r="D36" s="70"/>
      <c r="E36" s="72"/>
      <c r="F36" s="70"/>
      <c r="G36" s="72"/>
      <c r="H36" s="15"/>
      <c r="I36" s="14">
        <f>+I34</f>
        <v>624.75</v>
      </c>
    </row>
    <row r="37" spans="2:11" ht="20.25" customHeight="1" x14ac:dyDescent="0.2">
      <c r="B37" s="15" t="s">
        <v>80</v>
      </c>
      <c r="C37" s="70" t="s">
        <v>11</v>
      </c>
      <c r="D37" s="71"/>
      <c r="E37" s="71"/>
      <c r="F37" s="71"/>
      <c r="G37" s="71"/>
      <c r="H37" s="72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624.75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0" t="s">
        <v>7</v>
      </c>
      <c r="C46" s="80"/>
      <c r="D46" s="8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11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1" t="s">
        <v>1</v>
      </c>
      <c r="D55" s="81"/>
      <c r="E55" s="5"/>
      <c r="F55" s="5"/>
      <c r="G55" s="5"/>
      <c r="H55" s="5"/>
      <c r="I55" s="4"/>
    </row>
    <row r="56" spans="2:11" x14ac:dyDescent="0.2">
      <c r="B56" s="6"/>
      <c r="C56" s="82" t="s">
        <v>0</v>
      </c>
      <c r="D56" s="82"/>
      <c r="E56" s="5"/>
      <c r="F56" s="5"/>
      <c r="G56" s="5"/>
      <c r="H56" s="5"/>
      <c r="I56" s="4"/>
      <c r="K56">
        <v>11</v>
      </c>
    </row>
    <row r="57" spans="2:11" x14ac:dyDescent="0.2">
      <c r="B57" s="2"/>
      <c r="C57" s="79"/>
      <c r="D57" s="79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C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C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C00-000002000000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Sheet1</vt:lpstr>
      <vt:lpstr>reff</vt:lpstr>
      <vt:lpstr>391</vt:lpstr>
      <vt:lpstr>394</vt:lpstr>
      <vt:lpstr>395</vt:lpstr>
      <vt:lpstr>396</vt:lpstr>
      <vt:lpstr>397</vt:lpstr>
      <vt:lpstr>398</vt:lpstr>
      <vt:lpstr>400</vt:lpstr>
      <vt:lpstr>'391'!Print_Area</vt:lpstr>
      <vt:lpstr>'394'!Print_Area</vt:lpstr>
      <vt:lpstr>'395'!Print_Area</vt:lpstr>
      <vt:lpstr>'396'!Print_Area</vt:lpstr>
      <vt:lpstr>'397'!Print_Area</vt:lpstr>
      <vt:lpstr>'398'!Print_Area</vt:lpstr>
      <vt:lpstr>'400'!Print_Area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2026-05-25T02:10:45Z</cp:lastPrinted>
  <dcterms:created xsi:type="dcterms:W3CDTF">2024-04-17T09:56:05Z</dcterms:created>
  <dcterms:modified xsi:type="dcterms:W3CDTF">2026-05-29T01:06:09Z</dcterms:modified>
</cp:coreProperties>
</file>