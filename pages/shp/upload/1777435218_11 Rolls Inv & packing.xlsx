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FILE LUSI\FILE DOCUMENT\data lusi\BC 2.3\2026\AJU 127 - G-MEGA\"/>
    </mc:Choice>
  </mc:AlternateContent>
  <xr:revisionPtr revIDLastSave="0" documentId="13_ncr:1_{9496EB25-BCAA-46C5-9A45-BD665E31840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VOICE" sheetId="1" r:id="rId1"/>
    <sheet name="PACKING " sheetId="6" r:id="rId2"/>
    <sheet name="DETAIL PACKING" sheetId="5" r:id="rId3"/>
  </sheets>
  <definedNames>
    <definedName name="_xlnm._FilterDatabase" localSheetId="2" hidden="1">'DETAIL PACKING'!$A$1:$F$8</definedName>
    <definedName name="_xlnm.Print_Area" localSheetId="2">'DETAIL PACKING'!$A$1:$F$23</definedName>
    <definedName name="_xlnm.Print_Area" localSheetId="0">INVOICE!$A$1:$J$35</definedName>
    <definedName name="_xlnm.Print_Area" localSheetId="1">'PACKING '!$A$1:$J$27</definedName>
    <definedName name="_xlnm.Print_Titles" localSheetId="2">'DETAIL PACKING'!$A:$F,'DETAIL PACKING'!$1:$8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E15" i="5"/>
  <c r="E16" i="5"/>
  <c r="E17" i="5"/>
  <c r="E18" i="5"/>
  <c r="E19" i="5"/>
  <c r="E20" i="5"/>
  <c r="E21" i="5"/>
  <c r="E14" i="5"/>
  <c r="E11" i="5"/>
  <c r="E12" i="5"/>
  <c r="E10" i="5"/>
  <c r="F13" i="5"/>
  <c r="D13" i="5"/>
  <c r="F22" i="5"/>
  <c r="D22" i="5"/>
  <c r="C23" i="5"/>
  <c r="D23" i="1"/>
  <c r="I22" i="6"/>
  <c r="F22" i="6"/>
  <c r="D22" i="6"/>
  <c r="C22" i="6"/>
  <c r="J23" i="1" l="1"/>
  <c r="F23" i="5"/>
  <c r="D23" i="5"/>
  <c r="E22" i="5"/>
  <c r="E13" i="5"/>
  <c r="E23" i="5" l="1"/>
</calcChain>
</file>

<file path=xl/sharedStrings.xml><?xml version="1.0" encoding="utf-8"?>
<sst xmlns="http://schemas.openxmlformats.org/spreadsheetml/2006/main" count="111" uniqueCount="68">
  <si>
    <t xml:space="preserve">Marks </t>
  </si>
  <si>
    <t xml:space="preserve"> Description of Goods</t>
  </si>
  <si>
    <t>QTY</t>
  </si>
  <si>
    <t xml:space="preserve"> Unit  Price  </t>
  </si>
  <si>
    <t xml:space="preserve">  Amount</t>
  </si>
  <si>
    <t>YDS</t>
  </si>
  <si>
    <t xml:space="preserve"> </t>
  </si>
  <si>
    <t>DETAILED PACKING LIST</t>
  </si>
  <si>
    <t>G MEGA TEXTILE ENTERPRISE CO., LTD.</t>
    <phoneticPr fontId="20" type="noConversion"/>
  </si>
  <si>
    <t>FOR ACCOUNT AND RISK OF MESSRS.:</t>
    <phoneticPr fontId="20" type="noConversion"/>
  </si>
  <si>
    <t xml:space="preserve">1F., No. 52 , Wuquan 7th Rd., Wugu Dist., New Taipei City 24890, Taiwan </t>
    <phoneticPr fontId="20" type="noConversion"/>
  </si>
  <si>
    <t>KNITTED FABRIC</t>
    <phoneticPr fontId="20" type="noConversion"/>
  </si>
  <si>
    <t>G-MEGA TEXTILE ENTERPRISE CO., LTD.</t>
  </si>
  <si>
    <t>1ST FL.,NO.52, WU QUAN 7TH RD., WU KU IND., PART TAIPEI-TAIWAN</t>
  </si>
  <si>
    <t>QUANTITY
(YDS)</t>
    <phoneticPr fontId="20" type="noConversion"/>
  </si>
  <si>
    <t xml:space="preserve">     
COLOR</t>
    <phoneticPr fontId="20" type="noConversion"/>
  </si>
  <si>
    <t>N.W.
(KGS)</t>
    <phoneticPr fontId="20" type="noConversion"/>
  </si>
  <si>
    <t>G.W.
(KGS)</t>
    <phoneticPr fontId="20" type="noConversion"/>
  </si>
  <si>
    <t>FROM: SHANGHAI</t>
    <phoneticPr fontId="19" type="noConversion"/>
  </si>
  <si>
    <t>TOTAL</t>
    <phoneticPr fontId="19" type="noConversion"/>
  </si>
  <si>
    <t>DESCRIPTION</t>
  </si>
  <si>
    <t>LOT</t>
    <phoneticPr fontId="20" type="noConversion"/>
  </si>
  <si>
    <t>PACKING LIST</t>
    <phoneticPr fontId="26" type="noConversion"/>
  </si>
  <si>
    <t>YDS</t>
    <phoneticPr fontId="26" type="noConversion"/>
  </si>
  <si>
    <t>KGS</t>
    <phoneticPr fontId="26" type="noConversion"/>
  </si>
  <si>
    <t>N.W</t>
    <phoneticPr fontId="26" type="noConversion"/>
  </si>
  <si>
    <t>G.W.</t>
    <phoneticPr fontId="26" type="noConversion"/>
  </si>
  <si>
    <t>FU KWOK KNITTING &amp; GARMENT CO., LTD</t>
    <phoneticPr fontId="19" type="noConversion"/>
  </si>
  <si>
    <t>FOR ACCOUNT AND RISK OF MESSRS: 
FU KWOK KNITTING &amp; GARMENT CO., LTD
110, NEI-HUAN SOUTH ROAD, N.E.P.Z. KAOHSIUNG 811 TAIWAN, R.O.C.</t>
    <phoneticPr fontId="20" type="noConversion"/>
  </si>
  <si>
    <t>110, NEI-HUAN SOUTH ROAD, N.E.P.Z. KAOHSIUNG 811 TAIWAN, R.O.C.</t>
    <phoneticPr fontId="26" type="noConversion"/>
  </si>
  <si>
    <t>110, NEI-HUAN SOUTH ROAD, N.E.P.Z. KAOHSIUNG 811 TAIWAN, R.O.C.</t>
    <phoneticPr fontId="19" type="noConversion"/>
  </si>
  <si>
    <t>TOTAL</t>
    <phoneticPr fontId="26" type="noConversion"/>
  </si>
  <si>
    <t>ITEM:P8109 - 95% Recycled Polyester 5% Elastane</t>
    <phoneticPr fontId="19" type="noConversion"/>
  </si>
  <si>
    <t>TO: JAKARTA, INDONESIA</t>
    <phoneticPr fontId="20" type="noConversion"/>
  </si>
  <si>
    <t>PI NO.:T31922CN</t>
    <phoneticPr fontId="19" type="noConversion"/>
  </si>
  <si>
    <t>47/63" X 330G/M2</t>
    <phoneticPr fontId="19" type="noConversion"/>
  </si>
  <si>
    <t>STYLE NO:RI1290/RI70124</t>
    <phoneticPr fontId="19" type="noConversion"/>
  </si>
  <si>
    <t>CABERNET</t>
    <phoneticPr fontId="19" type="noConversion"/>
  </si>
  <si>
    <t>DARK CHOCOLATE</t>
    <phoneticPr fontId="19" type="noConversion"/>
  </si>
  <si>
    <t>PO NO.:SKBDYE32/E34A01</t>
    <phoneticPr fontId="19" type="noConversion"/>
  </si>
  <si>
    <t>TERMS OF PRICE : FOB SHANGHAI, CHINA
PI:T31922CN 
PO NO.:SKBDYE32/E34A01
STYLE NO:RI1290/RI70124
ITEM:P8109 - 95% Recycled Polyester 5% Elastane
47/63" X 330G/M2</t>
    <phoneticPr fontId="26" type="noConversion"/>
  </si>
  <si>
    <t>ROLL</t>
    <phoneticPr fontId="26" type="noConversion"/>
  </si>
  <si>
    <t>ROLL</t>
    <phoneticPr fontId="20" type="noConversion"/>
  </si>
  <si>
    <t>INVOICE NO.: T31922CN-2</t>
    <phoneticPr fontId="20" type="noConversion"/>
  </si>
  <si>
    <t>INVOICE NO.: T31922CN-2</t>
    <phoneticPr fontId="26" type="noConversion"/>
  </si>
  <si>
    <t xml:space="preserve">CONSIGNEE:
PT. NIRWANA ALABARE GARMENT
JL. RAYA RANCAEKEK - MAJALAYA NO.289, DESA
SOLOKAN JERUK, KEC.SOLOKAN JERUK, KABUPATEN BANDUNG,
JAWA BARAT 40382 INDONESIA 6222-85962076
ATTN: CINHUI/NINA
NPWP CODE: 0745 4069 2644 4000	</t>
    <phoneticPr fontId="19" type="noConversion"/>
  </si>
  <si>
    <t xml:space="preserve">CONSIGNEE:
PT. NIRWANA ALABARE GARMENT
JL. RAYA RANCAEKEK - MAJALAYA NO.289, DESA
SOLOKAN JERUK, KEC.SOLOKAN JERUK, KABUPATEN BANDUNG,
JAWA BARAT 40382 INDONESIA 6222-85962076
ATTN: CINHUI/NINA
NPWP CODE: 0745 4069 2644 4000		</t>
    <phoneticPr fontId="19" type="noConversion"/>
  </si>
  <si>
    <t xml:space="preserve">CONSIGNEE:
PT. NIRWANA ALABARE GARMENT
JL. RAYA RANCAEKEK - MAJALAYA NO.289, DESA
SOLOKAN JERUK, KEC.SOLOKAN JERUK, KABUPATEN BANDUNG,
JAWA BARAT 40382 INDONESIA 6222-85962076
ATTN: CINHUI/NINA
NPWP CODE: 0745 4069 2644 4000	</t>
    <phoneticPr fontId="20" type="noConversion"/>
  </si>
  <si>
    <t>HS CODE:6006.32</t>
    <phoneticPr fontId="19" type="noConversion"/>
  </si>
  <si>
    <t>DATE: 2026.4.20</t>
    <phoneticPr fontId="26" type="noConversion"/>
  </si>
  <si>
    <t>DATE: 2026.4.20</t>
    <phoneticPr fontId="20" type="noConversion"/>
  </si>
  <si>
    <t>CABERNET</t>
  </si>
  <si>
    <t>9</t>
    <phoneticPr fontId="26" type="noConversion"/>
  </si>
  <si>
    <t>CABERNET</t>
    <phoneticPr fontId="26" type="noConversion"/>
  </si>
  <si>
    <t>TOTAL OF CABERNET</t>
    <phoneticPr fontId="26" type="noConversion"/>
  </si>
  <si>
    <t>3</t>
    <phoneticPr fontId="26" type="noConversion"/>
  </si>
  <si>
    <t>DARK CHOCOLATE</t>
  </si>
  <si>
    <t>8</t>
    <phoneticPr fontId="26" type="noConversion"/>
  </si>
  <si>
    <t>DARK CHOCOLATE</t>
    <phoneticPr fontId="26" type="noConversion"/>
  </si>
  <si>
    <t>TOTAL OF DARK CHOCOLATE</t>
    <phoneticPr fontId="26" type="noConversion"/>
  </si>
  <si>
    <t>TOTAL Q'TY</t>
    <phoneticPr fontId="26" type="noConversion"/>
  </si>
  <si>
    <t>BEYOND YOGA FA26 BULK</t>
    <phoneticPr fontId="19" type="noConversion"/>
  </si>
  <si>
    <t>ITEM:P8109 - 95%   Polyester 5% Elastane</t>
    <phoneticPr fontId="19" type="noConversion"/>
  </si>
  <si>
    <t>Width: 63" X 330G/M2</t>
    <phoneticPr fontId="19" type="noConversion"/>
  </si>
  <si>
    <t xml:space="preserve">11 Rolls </t>
    <phoneticPr fontId="19" type="noConversion"/>
  </si>
  <si>
    <t xml:space="preserve">FROM: SHANGHAI  by AIR (MU5069  Apr 21 ) </t>
    <phoneticPr fontId="19" type="noConversion"/>
  </si>
  <si>
    <t>/YARD</t>
  </si>
  <si>
    <t>NON COMMERCIAL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</si>
</sst>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0.00;[Red]0.00"/>
    <numFmt numFmtId="165" formatCode="0.00_);[Red]\(0.00\)"/>
    <numFmt numFmtId="166" formatCode="#,##0.00_ "/>
    <numFmt numFmtId="167" formatCode="0.00_ "/>
    <numFmt numFmtId="168" formatCode="#,##0.00;[Red]#,##0.00"/>
    <numFmt numFmtId="169" formatCode="#,##0.0_);[Red]\(#,##0.0\)"/>
    <numFmt numFmtId="170" formatCode="0.0;[Red]0.0"/>
    <numFmt numFmtId="171" formatCode="0;[Red]0"/>
    <numFmt numFmtId="172" formatCode="_-[$$-409]* #,##0.00_ ;_-[$$-409]* \-#,##0.00\ ;_-[$$-409]* &quot;-&quot;??_ ;_-@_ "/>
  </numFmts>
  <fonts count="41"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</font>
    <font>
      <sz val="11"/>
      <name val="Calibri"/>
      <family val="2"/>
    </font>
    <font>
      <sz val="11"/>
      <color indexed="8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9"/>
      <name val="細明體"/>
      <family val="3"/>
      <charset val="136"/>
    </font>
    <font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sz val="22"/>
      <name val="Calibri"/>
      <family val="2"/>
    </font>
    <font>
      <sz val="11"/>
      <color theme="1"/>
      <name val="Calibri"/>
      <family val="3"/>
      <charset val="134"/>
      <scheme val="minor"/>
    </font>
    <font>
      <sz val="11"/>
      <name val="宋体"/>
      <family val="3"/>
      <charset val="134"/>
    </font>
    <font>
      <b/>
      <sz val="12"/>
      <color indexed="8"/>
      <name val="Calibri"/>
      <family val="2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0"/>
      <color theme="1"/>
      <name val="Calibri"/>
      <family val="2"/>
    </font>
    <font>
      <sz val="12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41" fontId="18" fillId="0" borderId="0" applyFont="0" applyFill="0" applyBorder="0" applyAlignment="0" applyProtection="0"/>
  </cellStyleXfs>
  <cellXfs count="146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0" borderId="0" xfId="0" applyFont="1" applyAlignment="1"/>
    <xf numFmtId="0" fontId="21" fillId="0" borderId="0" xfId="42" applyFont="1" applyAlignment="1">
      <alignment horizontal="center" vertical="center"/>
    </xf>
    <xf numFmtId="164" fontId="21" fillId="0" borderId="0" xfId="0" applyNumberFormat="1" applyFont="1" applyAlignment="1">
      <alignment horizontal="right"/>
    </xf>
    <xf numFmtId="0" fontId="27" fillId="0" borderId="0" xfId="0" applyFont="1">
      <alignment vertical="center"/>
    </xf>
    <xf numFmtId="164" fontId="24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8" fillId="0" borderId="0" xfId="0" applyFont="1" applyAlignment="1"/>
    <xf numFmtId="164" fontId="29" fillId="0" borderId="0" xfId="42" applyNumberFormat="1" applyFont="1" applyAlignment="1">
      <alignment horizontal="right"/>
    </xf>
    <xf numFmtId="164" fontId="29" fillId="0" borderId="0" xfId="42" applyNumberFormat="1" applyFont="1" applyAlignment="1">
      <alignment horizontal="left"/>
    </xf>
    <xf numFmtId="164" fontId="29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/>
    <xf numFmtId="49" fontId="28" fillId="0" borderId="0" xfId="0" applyNumberFormat="1" applyFont="1" applyAlignment="1">
      <alignment horizontal="right"/>
    </xf>
    <xf numFmtId="16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9" fillId="0" borderId="0" xfId="42" applyFont="1" applyAlignment="1">
      <alignment horizontal="left"/>
    </xf>
    <xf numFmtId="0" fontId="24" fillId="0" borderId="0" xfId="42" applyFont="1" applyAlignment="1">
      <alignment horizontal="center" vertical="center"/>
    </xf>
    <xf numFmtId="0" fontId="24" fillId="0" borderId="0" xfId="42" applyFont="1">
      <alignment vertical="center"/>
    </xf>
    <xf numFmtId="0" fontId="21" fillId="0" borderId="0" xfId="0" applyFont="1" applyAlignment="1">
      <alignment horizontal="left" vertical="center"/>
    </xf>
    <xf numFmtId="0" fontId="21" fillId="0" borderId="10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169" fontId="27" fillId="0" borderId="0" xfId="0" applyNumberFormat="1" applyFont="1" applyAlignment="1">
      <alignment horizontal="center"/>
    </xf>
    <xf numFmtId="0" fontId="24" fillId="0" borderId="13" xfId="42" applyFont="1" applyBorder="1">
      <alignment vertical="center"/>
    </xf>
    <xf numFmtId="0" fontId="30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 wrapText="1"/>
    </xf>
    <xf numFmtId="169" fontId="30" fillId="0" borderId="14" xfId="0" applyNumberFormat="1" applyFont="1" applyBorder="1" applyAlignment="1">
      <alignment horizontal="center" vertical="center" wrapText="1"/>
    </xf>
    <xf numFmtId="0" fontId="30" fillId="34" borderId="16" xfId="0" applyFont="1" applyFill="1" applyBorder="1" applyAlignment="1">
      <alignment horizontal="center" vertical="center"/>
    </xf>
    <xf numFmtId="49" fontId="30" fillId="34" borderId="16" xfId="43" applyNumberFormat="1" applyFont="1" applyFill="1" applyBorder="1" applyAlignment="1">
      <alignment horizontal="center" vertical="center"/>
    </xf>
    <xf numFmtId="164" fontId="30" fillId="34" borderId="16" xfId="43" applyNumberFormat="1" applyFont="1" applyFill="1" applyBorder="1" applyAlignment="1">
      <alignment horizontal="center" vertical="center"/>
    </xf>
    <xf numFmtId="0" fontId="21" fillId="0" borderId="0" xfId="42" applyFont="1" applyAlignment="1">
      <alignment horizontal="left" vertical="center"/>
    </xf>
    <xf numFmtId="0" fontId="21" fillId="0" borderId="0" xfId="0" applyFont="1" applyAlignment="1">
      <alignment horizontal="right" vertical="center" wrapText="1"/>
    </xf>
    <xf numFmtId="164" fontId="21" fillId="0" borderId="0" xfId="42" applyNumberFormat="1" applyFont="1" applyAlignment="1">
      <alignment horizontal="left"/>
    </xf>
    <xf numFmtId="164" fontId="21" fillId="0" borderId="0" xfId="42" applyNumberFormat="1" applyFont="1" applyAlignment="1">
      <alignment horizontal="right"/>
    </xf>
    <xf numFmtId="165" fontId="22" fillId="0" borderId="0" xfId="42" applyNumberFormat="1" applyFont="1" applyAlignment="1"/>
    <xf numFmtId="164" fontId="21" fillId="0" borderId="0" xfId="42" applyNumberFormat="1" applyFont="1" applyAlignment="1"/>
    <xf numFmtId="9" fontId="21" fillId="0" borderId="0" xfId="0" applyNumberFormat="1" applyFont="1">
      <alignment vertical="center"/>
    </xf>
    <xf numFmtId="164" fontId="21" fillId="0" borderId="0" xfId="0" applyNumberFormat="1" applyFont="1" applyAlignment="1">
      <alignment horizontal="right" vertical="center"/>
    </xf>
    <xf numFmtId="164" fontId="21" fillId="0" borderId="0" xfId="42" applyNumberFormat="1" applyFont="1" applyAlignment="1">
      <alignment horizontal="right" vertical="center"/>
    </xf>
    <xf numFmtId="164" fontId="22" fillId="0" borderId="0" xfId="42" applyNumberFormat="1" applyFont="1" applyAlignment="1">
      <alignment horizontal="right" vertical="center"/>
    </xf>
    <xf numFmtId="0" fontId="24" fillId="0" borderId="0" xfId="0" applyFont="1" applyAlignment="1">
      <alignment vertical="center" wrapText="1"/>
    </xf>
    <xf numFmtId="168" fontId="21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36" fillId="33" borderId="16" xfId="0" applyFont="1" applyFill="1" applyBorder="1" applyAlignment="1">
      <alignment horizontal="center" vertical="center" wrapText="1"/>
    </xf>
    <xf numFmtId="165" fontId="21" fillId="0" borderId="0" xfId="42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21" fillId="0" borderId="11" xfId="42" applyFont="1" applyBorder="1" applyAlignment="1">
      <alignment horizontal="center" vertical="center"/>
    </xf>
    <xf numFmtId="170" fontId="30" fillId="34" borderId="16" xfId="43" applyNumberFormat="1" applyFont="1" applyFill="1" applyBorder="1" applyAlignment="1">
      <alignment horizontal="center" vertical="center"/>
    </xf>
    <xf numFmtId="170" fontId="21" fillId="0" borderId="0" xfId="0" applyNumberFormat="1" applyFont="1" applyAlignment="1">
      <alignment horizontal="center" vertical="center"/>
    </xf>
    <xf numFmtId="0" fontId="35" fillId="34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left"/>
    </xf>
    <xf numFmtId="49" fontId="38" fillId="0" borderId="0" xfId="0" applyNumberFormat="1" applyFont="1" applyAlignment="1"/>
    <xf numFmtId="0" fontId="38" fillId="0" borderId="0" xfId="0" applyFont="1" applyAlignment="1"/>
    <xf numFmtId="170" fontId="24" fillId="0" borderId="13" xfId="0" applyNumberFormat="1" applyFont="1" applyBorder="1" applyAlignment="1">
      <alignment horizontal="center" vertical="center"/>
    </xf>
    <xf numFmtId="0" fontId="21" fillId="0" borderId="16" xfId="42" applyFont="1" applyBorder="1" applyAlignment="1">
      <alignment horizontal="center" vertical="center"/>
    </xf>
    <xf numFmtId="164" fontId="24" fillId="0" borderId="13" xfId="42" applyNumberFormat="1" applyFont="1" applyBorder="1" applyAlignment="1">
      <alignment horizontal="center" vertical="center"/>
    </xf>
    <xf numFmtId="164" fontId="22" fillId="0" borderId="0" xfId="42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left"/>
    </xf>
    <xf numFmtId="165" fontId="22" fillId="0" borderId="0" xfId="42" applyNumberFormat="1" applyFont="1" applyAlignment="1">
      <alignment horizontal="left"/>
    </xf>
    <xf numFmtId="164" fontId="21" fillId="0" borderId="0" xfId="42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6" fontId="38" fillId="0" borderId="0" xfId="0" applyNumberFormat="1" applyFont="1" applyAlignment="1">
      <alignment horizontal="left"/>
    </xf>
    <xf numFmtId="49" fontId="38" fillId="0" borderId="0" xfId="0" applyNumberFormat="1" applyFont="1" applyAlignment="1">
      <alignment horizontal="left"/>
    </xf>
    <xf numFmtId="0" fontId="24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left" vertical="center"/>
    </xf>
    <xf numFmtId="171" fontId="29" fillId="0" borderId="0" xfId="42" applyNumberFormat="1" applyFont="1" applyAlignment="1">
      <alignment horizontal="left"/>
    </xf>
    <xf numFmtId="49" fontId="21" fillId="0" borderId="0" xfId="0" applyNumberFormat="1" applyFont="1" applyAlignment="1">
      <alignment horizontal="left"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28" fillId="0" borderId="0" xfId="0" applyFont="1" applyAlignment="1">
      <alignment horizontal="left"/>
    </xf>
    <xf numFmtId="166" fontId="28" fillId="0" borderId="0" xfId="0" applyNumberFormat="1" applyFont="1" applyAlignment="1">
      <alignment horizontal="right"/>
    </xf>
    <xf numFmtId="49" fontId="28" fillId="0" borderId="0" xfId="0" applyNumberFormat="1" applyFont="1">
      <alignment vertical="center"/>
    </xf>
    <xf numFmtId="49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171" fontId="24" fillId="34" borderId="13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164" fontId="21" fillId="0" borderId="0" xfId="42" applyNumberFormat="1" applyFont="1" applyAlignment="1">
      <alignment horizontal="center" vertical="center"/>
    </xf>
    <xf numFmtId="164" fontId="25" fillId="0" borderId="13" xfId="42" applyNumberFormat="1" applyFont="1" applyBorder="1" applyAlignment="1">
      <alignment horizontal="center" vertical="center"/>
    </xf>
    <xf numFmtId="0" fontId="22" fillId="34" borderId="0" xfId="42" applyFont="1" applyFill="1" applyAlignment="1">
      <alignment horizontal="center" vertical="center"/>
    </xf>
    <xf numFmtId="0" fontId="21" fillId="34" borderId="0" xfId="0" applyFont="1" applyFill="1" applyAlignment="1"/>
    <xf numFmtId="0" fontId="21" fillId="34" borderId="0" xfId="0" applyFont="1" applyFill="1">
      <alignment vertical="center"/>
    </xf>
    <xf numFmtId="164" fontId="21" fillId="34" borderId="0" xfId="0" applyNumberFormat="1" applyFont="1" applyFill="1" applyAlignment="1">
      <alignment horizontal="right"/>
    </xf>
    <xf numFmtId="49" fontId="21" fillId="0" borderId="17" xfId="0" applyNumberFormat="1" applyFont="1" applyBorder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0" fontId="21" fillId="34" borderId="0" xfId="0" applyFont="1" applyFill="1" applyAlignment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23" fillId="34" borderId="0" xfId="0" applyFont="1" applyFill="1">
      <alignment vertical="center"/>
    </xf>
    <xf numFmtId="0" fontId="23" fillId="34" borderId="0" xfId="0" applyFont="1" applyFill="1" applyAlignment="1">
      <alignment horizontal="left" vertical="center"/>
    </xf>
    <xf numFmtId="0" fontId="27" fillId="34" borderId="0" xfId="0" applyFont="1" applyFill="1" applyAlignment="1">
      <alignment horizontal="center"/>
    </xf>
    <xf numFmtId="0" fontId="27" fillId="34" borderId="0" xfId="0" applyFont="1" applyFill="1">
      <alignment vertical="center"/>
    </xf>
    <xf numFmtId="9" fontId="24" fillId="34" borderId="0" xfId="0" applyNumberFormat="1" applyFont="1" applyFill="1" applyAlignment="1">
      <alignment horizontal="left" vertical="center"/>
    </xf>
    <xf numFmtId="9" fontId="21" fillId="34" borderId="0" xfId="0" applyNumberFormat="1" applyFont="1" applyFill="1">
      <alignment vertical="center"/>
    </xf>
    <xf numFmtId="168" fontId="21" fillId="34" borderId="0" xfId="0" applyNumberFormat="1" applyFont="1" applyFill="1" applyAlignment="1">
      <alignment horizontal="right" vertical="center"/>
    </xf>
    <xf numFmtId="164" fontId="21" fillId="34" borderId="0" xfId="42" applyNumberFormat="1" applyFont="1" applyFill="1" applyAlignment="1">
      <alignment horizontal="right" vertical="center"/>
    </xf>
    <xf numFmtId="164" fontId="22" fillId="34" borderId="0" xfId="42" applyNumberFormat="1" applyFont="1" applyFill="1" applyAlignment="1">
      <alignment horizontal="right" vertical="center"/>
    </xf>
    <xf numFmtId="165" fontId="21" fillId="34" borderId="0" xfId="42" applyNumberFormat="1" applyFont="1" applyFill="1" applyAlignment="1">
      <alignment horizontal="center" vertical="center"/>
    </xf>
    <xf numFmtId="0" fontId="30" fillId="36" borderId="16" xfId="0" applyFont="1" applyFill="1" applyBorder="1" applyAlignment="1">
      <alignment horizontal="center" vertical="center"/>
    </xf>
    <xf numFmtId="49" fontId="30" fillId="36" borderId="16" xfId="43" applyNumberFormat="1" applyFont="1" applyFill="1" applyBorder="1" applyAlignment="1">
      <alignment horizontal="center" vertical="center"/>
    </xf>
    <xf numFmtId="164" fontId="30" fillId="36" borderId="16" xfId="43" applyNumberFormat="1" applyFont="1" applyFill="1" applyBorder="1" applyAlignment="1">
      <alignment horizontal="center" vertical="center"/>
    </xf>
    <xf numFmtId="170" fontId="30" fillId="36" borderId="16" xfId="43" applyNumberFormat="1" applyFont="1" applyFill="1" applyBorder="1" applyAlignment="1">
      <alignment horizontal="center" vertical="center"/>
    </xf>
    <xf numFmtId="0" fontId="30" fillId="35" borderId="16" xfId="0" applyFont="1" applyFill="1" applyBorder="1" applyAlignment="1">
      <alignment horizontal="center" vertical="center"/>
    </xf>
    <xf numFmtId="49" fontId="30" fillId="35" borderId="16" xfId="43" applyNumberFormat="1" applyFont="1" applyFill="1" applyBorder="1" applyAlignment="1">
      <alignment horizontal="center" vertical="center"/>
    </xf>
    <xf numFmtId="164" fontId="30" fillId="35" borderId="16" xfId="43" applyNumberFormat="1" applyFont="1" applyFill="1" applyBorder="1" applyAlignment="1">
      <alignment horizontal="center" vertical="center"/>
    </xf>
    <xf numFmtId="170" fontId="30" fillId="35" borderId="16" xfId="43" applyNumberFormat="1" applyFont="1" applyFill="1" applyBorder="1" applyAlignment="1">
      <alignment horizontal="center" vertical="center"/>
    </xf>
    <xf numFmtId="171" fontId="30" fillId="35" borderId="16" xfId="43" applyNumberFormat="1" applyFont="1" applyFill="1" applyBorder="1" applyAlignment="1">
      <alignment horizontal="center" vertical="center"/>
    </xf>
    <xf numFmtId="0" fontId="21" fillId="34" borderId="0" xfId="0" applyFont="1" applyFill="1" applyAlignment="1">
      <alignment horizontal="left" vertical="center" wrapText="1"/>
    </xf>
    <xf numFmtId="0" fontId="21" fillId="0" borderId="12" xfId="42" applyFont="1" applyBorder="1" applyAlignment="1">
      <alignment horizontal="center" vertical="center"/>
    </xf>
    <xf numFmtId="0" fontId="21" fillId="0" borderId="15" xfId="42" applyFont="1" applyBorder="1" applyAlignment="1">
      <alignment horizontal="center" vertical="center"/>
    </xf>
    <xf numFmtId="0" fontId="21" fillId="0" borderId="11" xfId="42" applyFont="1" applyBorder="1" applyAlignment="1">
      <alignment horizontal="center" vertical="center"/>
    </xf>
    <xf numFmtId="0" fontId="31" fillId="0" borderId="0" xfId="42" applyFont="1" applyAlignment="1">
      <alignment horizontal="center"/>
    </xf>
    <xf numFmtId="0" fontId="24" fillId="0" borderId="0" xfId="42" applyFont="1" applyAlignment="1">
      <alignment horizontal="center"/>
    </xf>
    <xf numFmtId="0" fontId="31" fillId="0" borderId="0" xfId="42" applyFont="1" applyAlignment="1">
      <alignment horizontal="center" vertical="center"/>
    </xf>
    <xf numFmtId="0" fontId="22" fillId="0" borderId="0" xfId="42" applyFont="1" applyAlignment="1">
      <alignment horizontal="center" vertical="center" wrapText="1"/>
    </xf>
    <xf numFmtId="0" fontId="22" fillId="34" borderId="0" xfId="42" applyFont="1" applyFill="1" applyAlignment="1">
      <alignment horizontal="center" vertical="center"/>
    </xf>
    <xf numFmtId="164" fontId="24" fillId="0" borderId="13" xfId="42" applyNumberFormat="1" applyFont="1" applyBorder="1" applyAlignment="1">
      <alignment horizontal="center" vertical="center"/>
    </xf>
    <xf numFmtId="0" fontId="21" fillId="0" borderId="12" xfId="42" applyFont="1" applyBorder="1" applyAlignment="1">
      <alignment horizontal="center" vertical="center" wrapText="1"/>
    </xf>
    <xf numFmtId="164" fontId="21" fillId="0" borderId="0" xfId="42" applyNumberFormat="1" applyFont="1" applyAlignment="1">
      <alignment horizontal="center" vertical="center"/>
    </xf>
    <xf numFmtId="0" fontId="36" fillId="33" borderId="15" xfId="0" applyFont="1" applyFill="1" applyBorder="1" applyAlignment="1">
      <alignment horizontal="left" vertical="center" wrapText="1"/>
    </xf>
    <xf numFmtId="0" fontId="36" fillId="33" borderId="11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67" fontId="28" fillId="0" borderId="0" xfId="0" applyNumberFormat="1" applyFont="1" applyAlignment="1">
      <alignment horizontal="center"/>
    </xf>
    <xf numFmtId="0" fontId="32" fillId="0" borderId="0" xfId="0" applyFont="1" applyAlignment="1">
      <alignment horizontal="center" vertical="center" wrapText="1"/>
    </xf>
    <xf numFmtId="167" fontId="32" fillId="0" borderId="0" xfId="0" applyNumberFormat="1" applyFont="1" applyAlignment="1">
      <alignment horizontal="center" vertical="center" wrapText="1"/>
    </xf>
    <xf numFmtId="0" fontId="25" fillId="33" borderId="12" xfId="0" applyFont="1" applyFill="1" applyBorder="1" applyAlignment="1">
      <alignment horizontal="left" vertical="center" wrapText="1"/>
    </xf>
    <xf numFmtId="0" fontId="25" fillId="33" borderId="15" xfId="0" applyFont="1" applyFill="1" applyBorder="1" applyAlignment="1">
      <alignment horizontal="left" vertical="center" wrapText="1"/>
    </xf>
    <xf numFmtId="0" fontId="25" fillId="33" borderId="11" xfId="0" applyFont="1" applyFill="1" applyBorder="1" applyAlignment="1">
      <alignment horizontal="left" vertical="center" wrapText="1"/>
    </xf>
    <xf numFmtId="0" fontId="25" fillId="34" borderId="14" xfId="0" applyFont="1" applyFill="1" applyBorder="1" applyAlignment="1">
      <alignment horizontal="left" vertical="center" wrapText="1"/>
    </xf>
    <xf numFmtId="0" fontId="25" fillId="34" borderId="16" xfId="0" applyFont="1" applyFill="1" applyBorder="1" applyAlignment="1">
      <alignment horizontal="left" vertical="center" wrapText="1"/>
    </xf>
    <xf numFmtId="169" fontId="30" fillId="0" borderId="0" xfId="0" applyNumberFormat="1" applyFont="1" applyAlignment="1">
      <alignment horizontal="center" vertical="center" wrapText="1"/>
    </xf>
    <xf numFmtId="169" fontId="30" fillId="34" borderId="10" xfId="0" applyNumberFormat="1" applyFont="1" applyFill="1" applyBorder="1" applyAlignment="1">
      <alignment horizontal="center" vertical="center" wrapText="1"/>
    </xf>
    <xf numFmtId="41" fontId="27" fillId="0" borderId="0" xfId="44" applyFont="1" applyAlignment="1">
      <alignment vertical="center"/>
    </xf>
    <xf numFmtId="172" fontId="21" fillId="0" borderId="0" xfId="42" applyNumberFormat="1" applyFont="1" applyAlignment="1">
      <alignment horizontal="center" vertical="center"/>
    </xf>
    <xf numFmtId="172" fontId="24" fillId="0" borderId="13" xfId="0" applyNumberFormat="1" applyFont="1" applyBorder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4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4" xfId="43" xr:uid="{00000000-0005-0000-0000-000018000000}"/>
    <cellStyle name="常规_4THCAM" xfId="42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view="pageBreakPreview" topLeftCell="A13" zoomScaleNormal="100" zoomScaleSheetLayoutView="100" workbookViewId="0">
      <selection activeCell="B20" sqref="B20"/>
    </sheetView>
  </sheetViews>
  <sheetFormatPr defaultColWidth="9" defaultRowHeight="18" customHeight="1"/>
  <cols>
    <col min="1" max="1" width="17.5" style="5" customWidth="1"/>
    <col min="2" max="2" width="24.625" style="5" customWidth="1"/>
    <col min="3" max="3" width="5.75" style="5" customWidth="1"/>
    <col min="4" max="4" width="11.25" style="17" customWidth="1"/>
    <col min="5" max="5" width="4.25" style="5" customWidth="1"/>
    <col min="6" max="6" width="4.75" style="5" customWidth="1"/>
    <col min="7" max="7" width="6.125" style="5" customWidth="1"/>
    <col min="8" max="8" width="4.25" style="5" customWidth="1"/>
    <col min="9" max="9" width="4.875" style="5" customWidth="1"/>
    <col min="10" max="10" width="14" style="5" customWidth="1"/>
    <col min="11" max="11" width="9" style="5"/>
    <col min="12" max="12" width="11.125" style="5" bestFit="1" customWidth="1"/>
    <col min="13" max="16384" width="9" style="5"/>
  </cols>
  <sheetData>
    <row r="1" spans="1:12" ht="18" customHeight="1">
      <c r="A1" s="120" t="s">
        <v>8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2" ht="18" customHeight="1">
      <c r="A2" s="121" t="s">
        <v>10</v>
      </c>
      <c r="B2" s="121"/>
      <c r="C2" s="121"/>
      <c r="D2" s="121"/>
      <c r="E2" s="121"/>
      <c r="F2" s="121"/>
      <c r="G2" s="121"/>
      <c r="H2" s="121"/>
      <c r="I2" s="121"/>
      <c r="J2" s="121"/>
      <c r="K2" s="1"/>
      <c r="L2" s="1"/>
    </row>
    <row r="3" spans="1:12" ht="18" customHeight="1">
      <c r="A3" s="122" t="s">
        <v>67</v>
      </c>
      <c r="B3" s="122"/>
      <c r="C3" s="122"/>
      <c r="D3" s="122"/>
      <c r="E3" s="122"/>
      <c r="F3" s="122"/>
      <c r="G3" s="122"/>
      <c r="H3" s="122"/>
      <c r="I3" s="122"/>
      <c r="J3" s="122"/>
      <c r="K3" s="1"/>
      <c r="L3" s="1"/>
    </row>
    <row r="4" spans="1:12" s="1" customFormat="1" ht="34.9" customHeight="1">
      <c r="A4" s="1" t="s">
        <v>9</v>
      </c>
      <c r="B4" s="2"/>
      <c r="C4" s="3"/>
      <c r="D4" s="4"/>
      <c r="E4" s="2"/>
      <c r="F4" s="123" t="s">
        <v>43</v>
      </c>
      <c r="G4" s="123"/>
      <c r="H4" s="123"/>
      <c r="I4" s="123"/>
      <c r="J4" s="123"/>
    </row>
    <row r="5" spans="1:12" s="1" customFormat="1" ht="25.15" customHeight="1">
      <c r="A5" s="1" t="s">
        <v>27</v>
      </c>
      <c r="B5" s="2"/>
      <c r="D5" s="4"/>
      <c r="E5" s="2"/>
      <c r="F5" s="124" t="s">
        <v>50</v>
      </c>
      <c r="G5" s="124"/>
      <c r="H5" s="124"/>
      <c r="I5" s="124"/>
      <c r="J5" s="124"/>
    </row>
    <row r="6" spans="1:12" s="91" customFormat="1" ht="25.15" customHeight="1">
      <c r="A6" s="91" t="s">
        <v>30</v>
      </c>
      <c r="B6" s="90"/>
      <c r="D6" s="92"/>
      <c r="E6" s="90"/>
      <c r="G6" s="89"/>
      <c r="H6" s="89"/>
      <c r="I6" s="89"/>
      <c r="J6" s="89"/>
    </row>
    <row r="7" spans="1:12" s="2" customFormat="1" ht="63.6" customHeight="1">
      <c r="A7" s="116" t="s">
        <v>45</v>
      </c>
      <c r="B7" s="116"/>
      <c r="C7" s="116"/>
      <c r="D7" s="116"/>
      <c r="E7" s="116"/>
      <c r="F7" s="116"/>
      <c r="G7" s="116"/>
      <c r="H7" s="116"/>
      <c r="I7" s="116"/>
      <c r="J7" s="116"/>
    </row>
    <row r="8" spans="1:12" s="2" customFormat="1" ht="63.6" customHeight="1">
      <c r="A8" s="116"/>
      <c r="B8" s="116"/>
      <c r="C8" s="116"/>
      <c r="D8" s="116"/>
      <c r="E8" s="116"/>
      <c r="F8" s="116"/>
      <c r="G8" s="116"/>
      <c r="H8" s="116"/>
      <c r="I8" s="116"/>
      <c r="J8" s="116"/>
    </row>
    <row r="9" spans="1:12" s="1" customFormat="1" ht="23.25" customHeight="1">
      <c r="A9" s="53" t="s">
        <v>65</v>
      </c>
      <c r="D9" s="43"/>
      <c r="G9" s="97" t="s">
        <v>33</v>
      </c>
      <c r="H9" s="95"/>
      <c r="I9" s="91"/>
      <c r="J9" s="96"/>
    </row>
    <row r="10" spans="1:12" s="1" customFormat="1" ht="18" customHeight="1">
      <c r="A10" s="2" t="s">
        <v>64</v>
      </c>
      <c r="B10" s="2"/>
      <c r="D10" s="4"/>
      <c r="E10" s="2"/>
      <c r="H10" s="25"/>
      <c r="I10" s="26"/>
      <c r="J10" s="27"/>
    </row>
    <row r="11" spans="1:12" ht="18" customHeight="1">
      <c r="A11" s="54" t="s">
        <v>0</v>
      </c>
      <c r="B11" s="117" t="s">
        <v>1</v>
      </c>
      <c r="C11" s="119"/>
      <c r="D11" s="117" t="s">
        <v>2</v>
      </c>
      <c r="E11" s="119"/>
      <c r="F11" s="117" t="s">
        <v>3</v>
      </c>
      <c r="G11" s="118"/>
      <c r="H11" s="119"/>
      <c r="I11" s="117" t="s">
        <v>4</v>
      </c>
      <c r="J11" s="118"/>
      <c r="K11" s="1"/>
      <c r="L11" s="1"/>
    </row>
    <row r="12" spans="1:12" ht="22.5" customHeight="1">
      <c r="B12" s="1" t="s">
        <v>11</v>
      </c>
      <c r="C12" s="37"/>
      <c r="D12" s="1"/>
      <c r="E12" s="4"/>
      <c r="F12" s="38"/>
      <c r="G12" s="39"/>
      <c r="H12" s="40"/>
      <c r="I12" s="41"/>
      <c r="J12" s="44"/>
    </row>
    <row r="13" spans="1:12" ht="22.5" customHeight="1">
      <c r="B13" s="1" t="s">
        <v>61</v>
      </c>
      <c r="C13" s="37"/>
      <c r="D13" s="1"/>
      <c r="E13" s="4"/>
      <c r="F13" s="38"/>
      <c r="G13" s="39"/>
      <c r="H13" s="40"/>
      <c r="I13" s="41"/>
      <c r="J13" s="44"/>
    </row>
    <row r="14" spans="1:12" ht="22.5" customHeight="1">
      <c r="A14" s="36"/>
      <c r="B14" s="46" t="s">
        <v>34</v>
      </c>
      <c r="C14" s="86"/>
      <c r="D14" s="43"/>
      <c r="E14" s="44"/>
      <c r="F14" s="44"/>
      <c r="G14" s="45"/>
      <c r="H14" s="44"/>
      <c r="I14" s="44"/>
      <c r="J14" s="52"/>
    </row>
    <row r="15" spans="1:12" ht="22.5" customHeight="1">
      <c r="A15" s="36"/>
      <c r="B15" s="42" t="s">
        <v>62</v>
      </c>
      <c r="C15" s="1"/>
      <c r="D15" s="4"/>
      <c r="E15" s="38"/>
      <c r="F15" s="39"/>
      <c r="G15" s="40"/>
      <c r="H15" s="41"/>
      <c r="I15" s="39"/>
      <c r="J15" s="44"/>
    </row>
    <row r="16" spans="1:12" ht="22.5" customHeight="1">
      <c r="A16" s="36"/>
      <c r="B16" s="48" t="s">
        <v>63</v>
      </c>
      <c r="C16" s="42"/>
      <c r="D16" s="47"/>
      <c r="E16" s="44"/>
      <c r="F16" s="44"/>
      <c r="G16" s="45"/>
      <c r="H16" s="44"/>
      <c r="I16" s="44"/>
      <c r="J16" s="52"/>
    </row>
    <row r="17" spans="1:12" ht="22.5" customHeight="1">
      <c r="B17" s="101" t="s">
        <v>48</v>
      </c>
      <c r="C17" s="42"/>
      <c r="D17" s="47"/>
      <c r="E17" s="44"/>
      <c r="F17" s="44"/>
      <c r="G17" s="45"/>
      <c r="H17" s="44"/>
      <c r="I17" s="44"/>
      <c r="J17" s="52"/>
    </row>
    <row r="18" spans="1:12" s="100" customFormat="1" ht="22.5" customHeight="1">
      <c r="B18" s="101" t="s">
        <v>39</v>
      </c>
      <c r="C18" s="102"/>
      <c r="D18" s="103"/>
      <c r="E18" s="104"/>
      <c r="F18" s="104"/>
      <c r="G18" s="105"/>
      <c r="H18" s="104"/>
      <c r="I18" s="104"/>
      <c r="J18" s="106"/>
    </row>
    <row r="19" spans="1:12" ht="22.5" customHeight="1">
      <c r="A19" s="36"/>
      <c r="B19" s="49" t="s">
        <v>36</v>
      </c>
      <c r="C19" s="86"/>
      <c r="D19" s="43"/>
      <c r="E19" s="44"/>
      <c r="F19" s="44"/>
      <c r="G19" s="45"/>
      <c r="H19" s="44"/>
      <c r="I19" s="44"/>
      <c r="J19" s="52"/>
    </row>
    <row r="20" spans="1:12" ht="22.5" customHeight="1">
      <c r="A20" s="36"/>
      <c r="B20" s="76" t="s">
        <v>37</v>
      </c>
      <c r="C20" s="48"/>
      <c r="D20" s="56">
        <v>144</v>
      </c>
      <c r="E20" s="87" t="s">
        <v>5</v>
      </c>
      <c r="F20" s="87"/>
      <c r="G20" s="64">
        <v>2.93</v>
      </c>
      <c r="H20" s="68" t="s">
        <v>66</v>
      </c>
      <c r="I20" s="87"/>
      <c r="J20" s="144">
        <f>G20*D20</f>
        <v>421.92</v>
      </c>
    </row>
    <row r="21" spans="1:12" ht="22.5" customHeight="1">
      <c r="A21" s="36"/>
      <c r="B21" s="76" t="s">
        <v>38</v>
      </c>
      <c r="C21" s="48"/>
      <c r="D21" s="56">
        <v>373</v>
      </c>
      <c r="E21" s="87" t="s">
        <v>5</v>
      </c>
      <c r="F21" s="87"/>
      <c r="G21" s="64">
        <v>2.93</v>
      </c>
      <c r="H21" s="68" t="s">
        <v>66</v>
      </c>
      <c r="I21" s="87"/>
      <c r="J21" s="144">
        <f>G21*D21</f>
        <v>1092.8900000000001</v>
      </c>
    </row>
    <row r="22" spans="1:12" ht="22.5" customHeight="1" thickBot="1">
      <c r="A22" s="36"/>
      <c r="B22" s="76"/>
      <c r="C22" s="48"/>
      <c r="D22" s="56"/>
      <c r="E22" s="87"/>
      <c r="F22" s="87"/>
      <c r="G22" s="64"/>
      <c r="H22" s="87"/>
      <c r="I22" s="87"/>
      <c r="J22" s="144"/>
    </row>
    <row r="23" spans="1:12" ht="22.5" customHeight="1">
      <c r="A23" s="36"/>
      <c r="B23" s="29" t="s">
        <v>19</v>
      </c>
      <c r="C23" s="57"/>
      <c r="D23" s="61">
        <f>SUM(D20:D21)</f>
        <v>517</v>
      </c>
      <c r="E23" s="63" t="s">
        <v>5</v>
      </c>
      <c r="F23" s="63"/>
      <c r="G23" s="88"/>
      <c r="H23" s="63"/>
      <c r="I23" s="63"/>
      <c r="J23" s="145">
        <f>SUM(J20:J21)</f>
        <v>1514.8100000000002</v>
      </c>
      <c r="L23" s="143"/>
    </row>
    <row r="24" spans="1:12" ht="22.5" customHeight="1">
      <c r="A24" s="36"/>
      <c r="C24" s="22"/>
      <c r="D24" s="9"/>
      <c r="E24" s="10" t="s">
        <v>6</v>
      </c>
      <c r="F24" s="9"/>
      <c r="G24" s="9"/>
      <c r="H24" s="9"/>
      <c r="J24" s="11" t="s">
        <v>6</v>
      </c>
    </row>
    <row r="25" spans="1:12" ht="22.5" customHeight="1">
      <c r="A25" s="36"/>
      <c r="B25" s="77"/>
      <c r="C25" s="78"/>
      <c r="D25" s="78"/>
      <c r="E25" s="78"/>
      <c r="F25" s="79"/>
      <c r="G25" s="80"/>
      <c r="H25" s="14"/>
      <c r="I25" s="8"/>
      <c r="J25" s="6"/>
    </row>
    <row r="26" spans="1:12" ht="22.5" customHeight="1">
      <c r="A26" s="36"/>
      <c r="B26" s="81"/>
      <c r="C26" s="81"/>
      <c r="D26" s="82"/>
      <c r="E26" s="83"/>
      <c r="F26" s="84"/>
      <c r="G26" s="84"/>
      <c r="H26" s="81"/>
      <c r="I26" s="84"/>
      <c r="J26" s="6"/>
    </row>
    <row r="27" spans="1:12" ht="22.5" customHeight="1">
      <c r="A27" s="36"/>
      <c r="B27" s="81"/>
      <c r="C27" s="84"/>
      <c r="D27" s="81"/>
      <c r="E27" s="84"/>
      <c r="F27" s="81"/>
      <c r="G27" s="84"/>
      <c r="H27" s="81"/>
      <c r="I27" s="84"/>
      <c r="J27" s="6"/>
    </row>
    <row r="28" spans="1:12" ht="22.5" customHeight="1">
      <c r="A28" s="36"/>
      <c r="B28" s="84"/>
      <c r="C28" s="84"/>
      <c r="D28" s="81"/>
      <c r="E28" s="81"/>
      <c r="F28" s="84"/>
      <c r="G28" s="84"/>
      <c r="H28" s="81"/>
      <c r="I28" s="84"/>
      <c r="J28" s="50"/>
    </row>
    <row r="29" spans="1:12" ht="22.5" customHeight="1">
      <c r="A29" s="36"/>
      <c r="B29" s="84"/>
      <c r="C29" s="84"/>
      <c r="D29" s="81"/>
      <c r="E29" s="84"/>
      <c r="F29" s="84"/>
      <c r="G29" s="84"/>
      <c r="H29" s="84"/>
      <c r="I29" s="84"/>
      <c r="J29" s="23"/>
    </row>
    <row r="30" spans="1:12" ht="22.5" customHeight="1">
      <c r="A30" s="76"/>
      <c r="B30" s="84"/>
      <c r="C30" s="84"/>
      <c r="D30" s="84"/>
      <c r="E30" s="84"/>
      <c r="F30" s="78"/>
      <c r="G30" s="78"/>
      <c r="H30" s="78"/>
      <c r="I30" s="78"/>
      <c r="J30" s="23"/>
    </row>
    <row r="31" spans="1:12" ht="22.5" customHeight="1">
      <c r="A31" s="76"/>
      <c r="G31" s="1"/>
      <c r="H31" s="1"/>
      <c r="I31" s="1"/>
      <c r="J31" s="7"/>
    </row>
    <row r="32" spans="1:12" ht="22.5" customHeight="1">
      <c r="G32" s="1"/>
      <c r="H32" s="1"/>
      <c r="I32" s="1"/>
      <c r="J32" s="7" t="s">
        <v>6</v>
      </c>
    </row>
    <row r="33" spans="2:10" ht="22.5" customHeight="1">
      <c r="G33" s="12"/>
      <c r="H33" s="12"/>
      <c r="J33" s="15"/>
    </row>
    <row r="34" spans="2:10" ht="22.5" customHeight="1">
      <c r="B34" s="1"/>
      <c r="C34" s="1"/>
      <c r="D34" s="1"/>
      <c r="E34" s="1"/>
      <c r="F34" s="1"/>
      <c r="G34" s="14"/>
      <c r="H34" s="8"/>
      <c r="J34" s="15"/>
    </row>
    <row r="35" spans="2:10" ht="22.5" customHeight="1">
      <c r="B35" s="1"/>
      <c r="C35" s="1"/>
      <c r="D35" s="1"/>
      <c r="E35" s="1"/>
      <c r="F35" s="1"/>
      <c r="G35" s="13"/>
      <c r="H35" s="8"/>
      <c r="J35" s="15"/>
    </row>
    <row r="36" spans="2:10" ht="22.5" customHeight="1">
      <c r="B36" s="1"/>
      <c r="C36" s="1"/>
      <c r="D36" s="1"/>
      <c r="E36" s="1"/>
      <c r="F36" s="1"/>
      <c r="G36" s="13"/>
      <c r="H36" s="8"/>
      <c r="J36" s="15"/>
    </row>
    <row r="37" spans="2:10" ht="22.5" customHeight="1">
      <c r="B37" s="8"/>
      <c r="C37" s="13"/>
      <c r="D37" s="8"/>
      <c r="E37" s="8"/>
      <c r="F37" s="8"/>
      <c r="G37" s="13"/>
      <c r="H37" s="8"/>
      <c r="J37" s="16"/>
    </row>
    <row r="38" spans="2:10" ht="18.600000000000001" customHeight="1"/>
    <row r="39" spans="2:10" ht="27.6" customHeight="1"/>
    <row r="45" spans="2:10" ht="21.75" customHeight="1"/>
  </sheetData>
  <mergeCells count="10">
    <mergeCell ref="A1:J1"/>
    <mergeCell ref="A2:J2"/>
    <mergeCell ref="A3:J3"/>
    <mergeCell ref="F4:J4"/>
    <mergeCell ref="F5:J5"/>
    <mergeCell ref="A7:J8"/>
    <mergeCell ref="I11:J11"/>
    <mergeCell ref="B11:C11"/>
    <mergeCell ref="D11:E11"/>
    <mergeCell ref="F11:H11"/>
  </mergeCells>
  <phoneticPr fontId="19" type="noConversion"/>
  <printOptions horizontalCentered="1"/>
  <pageMargins left="0.35433070866141736" right="0.31496062992125984" top="0.6692913385826772" bottom="0.74803149606299213" header="0.51181102362204722" footer="0.51181102362204722"/>
  <pageSetup paperSize="9" scale="80" fitToWidth="0" fitToHeight="0" orientation="portrait" r:id="rId1"/>
  <headerFooter>
    <oddFooter>&amp;C&amp;"Calibri,標準"&amp;9&amp;P/&amp;N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8065-5518-44C7-AF47-2C0418737F4C}">
  <dimension ref="A1:L36"/>
  <sheetViews>
    <sheetView tabSelected="1" topLeftCell="A16" zoomScaleNormal="100" zoomScaleSheetLayoutView="100" workbookViewId="0">
      <selection activeCell="B26" sqref="B26"/>
    </sheetView>
  </sheetViews>
  <sheetFormatPr defaultColWidth="9" defaultRowHeight="18" customHeight="1"/>
  <cols>
    <col min="1" max="1" width="14.875" style="5" customWidth="1"/>
    <col min="2" max="2" width="45.75" style="5" customWidth="1"/>
    <col min="3" max="3" width="10.375" style="5" customWidth="1"/>
    <col min="4" max="4" width="10.25" style="17" customWidth="1"/>
    <col min="5" max="6" width="4.75" style="5" customWidth="1"/>
    <col min="7" max="7" width="4.875" style="5" customWidth="1"/>
    <col min="8" max="8" width="4.375" style="5" customWidth="1"/>
    <col min="9" max="9" width="10.75" style="5" customWidth="1"/>
    <col min="10" max="10" width="5.125" style="5" customWidth="1"/>
    <col min="11" max="16384" width="9" style="5"/>
  </cols>
  <sheetData>
    <row r="1" spans="1:12" ht="18" customHeight="1">
      <c r="A1" s="120" t="s">
        <v>8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2" ht="18" customHeight="1">
      <c r="A2" s="121" t="s">
        <v>10</v>
      </c>
      <c r="B2" s="121"/>
      <c r="C2" s="121"/>
      <c r="D2" s="121"/>
      <c r="E2" s="121"/>
      <c r="F2" s="121"/>
      <c r="G2" s="121"/>
      <c r="H2" s="121"/>
      <c r="I2" s="121"/>
      <c r="J2" s="121"/>
      <c r="K2" s="1"/>
      <c r="L2" s="1"/>
    </row>
    <row r="3" spans="1:12" ht="18" customHeight="1">
      <c r="A3" s="122" t="s">
        <v>22</v>
      </c>
      <c r="B3" s="122"/>
      <c r="C3" s="122"/>
      <c r="D3" s="122"/>
      <c r="E3" s="122"/>
      <c r="F3" s="122"/>
      <c r="G3" s="122"/>
      <c r="H3" s="122"/>
      <c r="I3" s="122"/>
      <c r="J3" s="122"/>
      <c r="K3" s="1"/>
      <c r="L3" s="1"/>
    </row>
    <row r="4" spans="1:12" s="1" customFormat="1" ht="36.6" customHeight="1">
      <c r="A4" s="1" t="s">
        <v>9</v>
      </c>
      <c r="B4" s="2"/>
      <c r="C4" s="3"/>
      <c r="D4" s="4"/>
      <c r="E4" s="123" t="s">
        <v>43</v>
      </c>
      <c r="F4" s="123"/>
      <c r="G4" s="123"/>
      <c r="H4" s="123"/>
      <c r="I4" s="123"/>
      <c r="J4" s="123"/>
    </row>
    <row r="5" spans="1:12" s="1" customFormat="1" ht="23.45" customHeight="1">
      <c r="A5" s="1" t="s">
        <v>27</v>
      </c>
      <c r="B5" s="2"/>
      <c r="D5" s="4"/>
      <c r="E5" s="124" t="s">
        <v>50</v>
      </c>
      <c r="F5" s="124"/>
      <c r="G5" s="124"/>
      <c r="H5" s="124"/>
      <c r="I5" s="124"/>
      <c r="J5" s="124"/>
    </row>
    <row r="6" spans="1:12" s="91" customFormat="1" ht="23.45" customHeight="1">
      <c r="A6" s="91" t="s">
        <v>29</v>
      </c>
      <c r="B6" s="90"/>
      <c r="D6" s="92"/>
      <c r="E6" s="90"/>
      <c r="G6" s="89"/>
      <c r="H6" s="89"/>
      <c r="I6" s="89"/>
      <c r="J6" s="89"/>
    </row>
    <row r="7" spans="1:12" s="90" customFormat="1" ht="58.9" customHeight="1">
      <c r="A7" s="116" t="s">
        <v>46</v>
      </c>
      <c r="B7" s="116"/>
      <c r="C7" s="116"/>
      <c r="D7" s="116"/>
      <c r="E7" s="116"/>
      <c r="F7" s="116"/>
      <c r="G7" s="116"/>
      <c r="H7" s="116"/>
      <c r="I7" s="116"/>
      <c r="J7" s="116"/>
    </row>
    <row r="8" spans="1:12" s="90" customFormat="1" ht="58.9" customHeight="1">
      <c r="A8" s="116"/>
      <c r="B8" s="116"/>
      <c r="C8" s="116"/>
      <c r="D8" s="116"/>
      <c r="E8" s="116"/>
      <c r="F8" s="116"/>
      <c r="G8" s="116"/>
      <c r="H8" s="116"/>
      <c r="I8" s="116"/>
      <c r="J8" s="116"/>
    </row>
    <row r="9" spans="1:12" s="1" customFormat="1" ht="23.25" customHeight="1">
      <c r="A9" s="53" t="s">
        <v>18</v>
      </c>
      <c r="D9" s="43"/>
      <c r="G9" s="97" t="s">
        <v>33</v>
      </c>
      <c r="H9" s="98"/>
      <c r="I9" s="97"/>
      <c r="J9" s="96"/>
    </row>
    <row r="10" spans="1:12" s="1" customFormat="1" ht="18" customHeight="1">
      <c r="A10" s="2"/>
      <c r="B10" s="2"/>
      <c r="D10" s="4"/>
      <c r="E10" s="2"/>
      <c r="H10" s="25"/>
      <c r="I10" s="26"/>
      <c r="J10" s="27"/>
    </row>
    <row r="11" spans="1:12" ht="18" customHeight="1">
      <c r="A11" s="54" t="s">
        <v>0</v>
      </c>
      <c r="B11" s="62" t="s">
        <v>1</v>
      </c>
      <c r="C11" s="62" t="s">
        <v>41</v>
      </c>
      <c r="D11" s="62" t="s">
        <v>2</v>
      </c>
      <c r="E11" s="62" t="s">
        <v>23</v>
      </c>
      <c r="F11" s="126" t="s">
        <v>25</v>
      </c>
      <c r="G11" s="119"/>
      <c r="H11" s="62" t="s">
        <v>24</v>
      </c>
      <c r="I11" s="62" t="s">
        <v>26</v>
      </c>
      <c r="J11" s="62" t="s">
        <v>24</v>
      </c>
      <c r="K11" s="1"/>
      <c r="L11" s="1"/>
    </row>
    <row r="12" spans="1:12" s="65" customFormat="1" ht="21" customHeight="1">
      <c r="A12" s="5"/>
      <c r="B12" s="1" t="s">
        <v>11</v>
      </c>
      <c r="C12" s="37"/>
      <c r="D12" s="25"/>
      <c r="E12" s="66"/>
      <c r="F12" s="38"/>
      <c r="G12" s="38"/>
      <c r="H12" s="67"/>
      <c r="I12" s="38"/>
      <c r="J12" s="68"/>
    </row>
    <row r="13" spans="1:12" s="65" customFormat="1" ht="21" customHeight="1">
      <c r="A13" s="36"/>
      <c r="B13" s="46" t="s">
        <v>34</v>
      </c>
      <c r="C13" s="21"/>
      <c r="D13" s="56"/>
      <c r="E13" s="87"/>
      <c r="F13" s="87"/>
      <c r="G13" s="87"/>
      <c r="H13" s="87"/>
      <c r="I13" s="87"/>
      <c r="J13" s="87"/>
    </row>
    <row r="14" spans="1:12" s="65" customFormat="1" ht="21" customHeight="1">
      <c r="A14" s="36"/>
      <c r="B14" s="42" t="s">
        <v>32</v>
      </c>
      <c r="C14" s="21"/>
      <c r="D14" s="56"/>
      <c r="E14" s="87"/>
      <c r="F14" s="87"/>
      <c r="G14" s="87"/>
      <c r="H14" s="87"/>
      <c r="I14" s="87"/>
      <c r="J14" s="87"/>
    </row>
    <row r="15" spans="1:12" s="65" customFormat="1" ht="21" customHeight="1">
      <c r="A15" s="36"/>
      <c r="B15" s="48" t="s">
        <v>35</v>
      </c>
      <c r="C15" s="21"/>
      <c r="D15" s="56"/>
      <c r="E15" s="87"/>
      <c r="F15" s="87"/>
      <c r="G15" s="87"/>
      <c r="H15" s="87"/>
      <c r="I15" s="87"/>
      <c r="J15" s="87"/>
    </row>
    <row r="16" spans="1:12" s="65" customFormat="1" ht="21" customHeight="1">
      <c r="A16" s="36"/>
      <c r="B16" s="101" t="s">
        <v>48</v>
      </c>
      <c r="C16" s="21"/>
      <c r="D16" s="56"/>
      <c r="E16" s="87"/>
      <c r="F16" s="87"/>
      <c r="G16" s="87"/>
      <c r="H16" s="87"/>
      <c r="I16" s="87"/>
      <c r="J16" s="87"/>
    </row>
    <row r="17" spans="1:10" s="100" customFormat="1" ht="22.5" customHeight="1">
      <c r="B17" s="101" t="s">
        <v>39</v>
      </c>
      <c r="C17" s="102"/>
      <c r="D17" s="103"/>
      <c r="E17" s="104"/>
      <c r="F17" s="104"/>
      <c r="G17" s="105"/>
      <c r="H17" s="104"/>
      <c r="I17" s="104"/>
      <c r="J17" s="106"/>
    </row>
    <row r="18" spans="1:10" s="65" customFormat="1" ht="21" customHeight="1">
      <c r="A18" s="36"/>
      <c r="B18" s="49" t="s">
        <v>36</v>
      </c>
      <c r="C18" s="21"/>
      <c r="D18" s="56"/>
      <c r="E18" s="87"/>
      <c r="F18" s="127"/>
      <c r="G18" s="127"/>
      <c r="H18" s="87"/>
      <c r="I18" s="87"/>
      <c r="J18" s="87"/>
    </row>
    <row r="19" spans="1:10" s="65" customFormat="1" ht="21" customHeight="1">
      <c r="A19" s="36"/>
      <c r="B19" s="76" t="s">
        <v>38</v>
      </c>
      <c r="C19" s="21">
        <v>8</v>
      </c>
      <c r="D19" s="56">
        <v>373</v>
      </c>
      <c r="E19" s="87" t="s">
        <v>5</v>
      </c>
      <c r="F19" s="127">
        <v>186.3</v>
      </c>
      <c r="G19" s="127"/>
      <c r="H19" s="87" t="s">
        <v>24</v>
      </c>
      <c r="I19" s="87">
        <v>190.66</v>
      </c>
      <c r="J19" s="87" t="s">
        <v>24</v>
      </c>
    </row>
    <row r="20" spans="1:10" s="65" customFormat="1" ht="21" customHeight="1">
      <c r="A20" s="36"/>
      <c r="B20" s="76" t="s">
        <v>37</v>
      </c>
      <c r="C20" s="21">
        <v>3</v>
      </c>
      <c r="D20" s="56">
        <v>144</v>
      </c>
      <c r="E20" s="87" t="s">
        <v>5</v>
      </c>
      <c r="F20" s="127">
        <v>71.7</v>
      </c>
      <c r="G20" s="127"/>
      <c r="H20" s="87" t="s">
        <v>24</v>
      </c>
      <c r="I20" s="87">
        <v>73.34</v>
      </c>
      <c r="J20" s="87" t="s">
        <v>24</v>
      </c>
    </row>
    <row r="21" spans="1:10" s="65" customFormat="1" ht="21" customHeight="1" thickBot="1">
      <c r="A21" s="36"/>
      <c r="B21" s="93"/>
      <c r="C21" s="21"/>
      <c r="D21" s="56"/>
      <c r="E21" s="87"/>
      <c r="F21" s="87"/>
      <c r="G21" s="87"/>
      <c r="H21" s="87"/>
      <c r="I21" s="87"/>
      <c r="J21" s="87"/>
    </row>
    <row r="22" spans="1:10" s="65" customFormat="1" ht="21" customHeight="1">
      <c r="A22" s="36"/>
      <c r="B22" s="94" t="s">
        <v>31</v>
      </c>
      <c r="C22" s="85">
        <f>SUM(C18:C20)</f>
        <v>11</v>
      </c>
      <c r="D22" s="61">
        <f>SUM(D19:D20)</f>
        <v>517</v>
      </c>
      <c r="E22" s="63" t="s">
        <v>5</v>
      </c>
      <c r="F22" s="125">
        <f>SUM(F19:G20)</f>
        <v>258</v>
      </c>
      <c r="G22" s="125"/>
      <c r="H22" s="63" t="s">
        <v>24</v>
      </c>
      <c r="I22" s="63">
        <f>SUM(I19:I20)</f>
        <v>264</v>
      </c>
      <c r="J22" s="63" t="s">
        <v>24</v>
      </c>
    </row>
    <row r="23" spans="1:10" s="65" customFormat="1" ht="21" customHeight="1">
      <c r="A23" s="36"/>
      <c r="C23" s="75"/>
      <c r="D23" s="10"/>
      <c r="E23" s="10" t="s">
        <v>6</v>
      </c>
      <c r="F23" s="10"/>
      <c r="G23" s="10"/>
      <c r="H23" s="10"/>
      <c r="J23" s="11" t="s">
        <v>6</v>
      </c>
    </row>
    <row r="24" spans="1:10" s="65" customFormat="1" ht="21" customHeight="1">
      <c r="A24" s="36"/>
      <c r="B24" s="69"/>
      <c r="C24" s="70"/>
      <c r="D24" s="70"/>
      <c r="E24" s="70"/>
      <c r="F24" s="58"/>
      <c r="G24" s="71"/>
      <c r="H24" s="72"/>
      <c r="I24" s="73"/>
      <c r="J24" s="74"/>
    </row>
    <row r="25" spans="1:10" s="65" customFormat="1" ht="21" customHeight="1">
      <c r="A25" s="36"/>
      <c r="B25" s="72"/>
      <c r="C25" s="72"/>
      <c r="D25" s="72"/>
      <c r="E25" s="58"/>
      <c r="F25" s="58"/>
      <c r="G25" s="58"/>
      <c r="H25" s="72"/>
      <c r="I25" s="73"/>
      <c r="J25" s="74"/>
    </row>
    <row r="26" spans="1:10" s="65" customFormat="1" ht="21" customHeight="1">
      <c r="A26" s="36"/>
      <c r="B26" s="72"/>
      <c r="C26" s="58"/>
      <c r="D26" s="72"/>
      <c r="E26" s="58"/>
      <c r="F26" s="72"/>
      <c r="G26" s="58"/>
      <c r="H26" s="72"/>
      <c r="I26" s="73"/>
      <c r="J26" s="74"/>
    </row>
    <row r="27" spans="1:10" s="65" customFormat="1" ht="21" customHeight="1">
      <c r="A27" s="36"/>
      <c r="B27" s="58"/>
      <c r="C27" s="58"/>
      <c r="D27" s="72"/>
      <c r="E27" s="72"/>
      <c r="F27" s="58"/>
      <c r="G27" s="58"/>
      <c r="H27" s="72"/>
      <c r="I27" s="73"/>
      <c r="J27" s="73"/>
    </row>
    <row r="28" spans="1:10" s="65" customFormat="1" ht="21" customHeight="1">
      <c r="A28" s="36"/>
      <c r="B28" s="60"/>
      <c r="C28" s="60"/>
      <c r="D28" s="59"/>
      <c r="E28" s="60"/>
      <c r="F28" s="60"/>
      <c r="G28" s="60"/>
      <c r="H28" s="60"/>
      <c r="I28" s="49"/>
      <c r="J28" s="23"/>
    </row>
    <row r="29" spans="1:10" s="65" customFormat="1" ht="21" customHeight="1">
      <c r="A29" s="76"/>
      <c r="B29" s="60"/>
      <c r="C29" s="60"/>
      <c r="D29" s="60"/>
      <c r="E29" s="60"/>
      <c r="F29"/>
      <c r="G29"/>
      <c r="H29"/>
      <c r="I29" s="24"/>
      <c r="J29" s="23"/>
    </row>
    <row r="30" spans="1:10" s="65" customFormat="1" ht="21" customHeight="1">
      <c r="A30" s="76"/>
      <c r="B30" s="5"/>
      <c r="C30" s="5"/>
      <c r="D30" s="17"/>
      <c r="E30" s="5"/>
      <c r="F30" s="5"/>
      <c r="G30" s="1"/>
      <c r="H30" s="1"/>
      <c r="I30" s="1"/>
      <c r="J30" s="7"/>
    </row>
    <row r="31" spans="1:10" s="65" customFormat="1" ht="21" customHeight="1">
      <c r="A31" s="76"/>
      <c r="B31" s="5"/>
      <c r="C31" s="5"/>
      <c r="D31" s="17"/>
      <c r="E31" s="5"/>
      <c r="F31" s="5"/>
      <c r="G31" s="1"/>
      <c r="H31" s="1"/>
      <c r="I31" s="1"/>
      <c r="J31" s="7"/>
    </row>
    <row r="32" spans="1:10" ht="18" customHeight="1">
      <c r="G32" s="12"/>
      <c r="H32" s="12"/>
      <c r="J32" s="15"/>
    </row>
    <row r="33" spans="2:10" ht="18" customHeight="1">
      <c r="B33" s="1"/>
      <c r="C33" s="1"/>
      <c r="D33" s="1"/>
      <c r="E33" s="1"/>
      <c r="F33" s="1"/>
      <c r="G33" s="14"/>
      <c r="H33" s="8"/>
      <c r="J33" s="15"/>
    </row>
    <row r="34" spans="2:10" ht="18" customHeight="1">
      <c r="B34" s="1"/>
      <c r="C34" s="1"/>
      <c r="D34" s="1"/>
      <c r="E34" s="1"/>
      <c r="F34" s="1"/>
      <c r="G34" s="13"/>
      <c r="H34" s="8"/>
      <c r="J34" s="15"/>
    </row>
    <row r="35" spans="2:10" ht="18" customHeight="1">
      <c r="B35" s="1"/>
      <c r="C35" s="1"/>
      <c r="D35" s="1"/>
      <c r="E35" s="1"/>
      <c r="F35" s="1"/>
      <c r="G35" s="13"/>
      <c r="H35" s="8"/>
      <c r="J35" s="15"/>
    </row>
    <row r="36" spans="2:10" ht="18" customHeight="1">
      <c r="B36" s="8"/>
      <c r="C36" s="13"/>
      <c r="D36" s="8"/>
      <c r="E36" s="8"/>
      <c r="F36" s="8"/>
      <c r="G36" s="13"/>
      <c r="H36" s="8"/>
      <c r="J36" s="16"/>
    </row>
  </sheetData>
  <mergeCells count="11">
    <mergeCell ref="F22:G22"/>
    <mergeCell ref="A7:J8"/>
    <mergeCell ref="F11:G11"/>
    <mergeCell ref="A1:J1"/>
    <mergeCell ref="A2:J2"/>
    <mergeCell ref="A3:J3"/>
    <mergeCell ref="E4:J4"/>
    <mergeCell ref="E5:J5"/>
    <mergeCell ref="F18:G18"/>
    <mergeCell ref="F19:G19"/>
    <mergeCell ref="F20:G20"/>
  </mergeCells>
  <phoneticPr fontId="26" type="noConversion"/>
  <printOptions horizontalCentered="1"/>
  <pageMargins left="0.35433070866141736" right="0.31496062992125984" top="0.6692913385826772" bottom="0.74803149606299213" header="0.51181102362204722" footer="0.51181102362204722"/>
  <pageSetup paperSize="9" scale="70" fitToWidth="0" fitToHeight="0" orientation="portrait" r:id="rId1"/>
  <headerFooter>
    <oddFooter>&amp;C&amp;"Calibri,標準"&amp;9&amp;P/&amp;N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opLeftCell="A10" zoomScaleNormal="100" workbookViewId="0">
      <selection activeCell="F13" sqref="F13"/>
    </sheetView>
  </sheetViews>
  <sheetFormatPr defaultColWidth="9" defaultRowHeight="15.75"/>
  <cols>
    <col min="1" max="1" width="39.375" style="19" customWidth="1"/>
    <col min="2" max="2" width="11.75" style="19" customWidth="1"/>
    <col min="3" max="3" width="10" style="19" customWidth="1"/>
    <col min="4" max="5" width="11.875" style="28" customWidth="1"/>
    <col min="6" max="6" width="12.875" style="28" customWidth="1"/>
    <col min="7" max="249" width="9" style="19"/>
    <col min="250" max="250" width="28.75" style="19" customWidth="1"/>
    <col min="251" max="255" width="12.75" style="19" customWidth="1"/>
    <col min="256" max="505" width="9" style="19"/>
    <col min="506" max="506" width="28.75" style="19" customWidth="1"/>
    <col min="507" max="511" width="12.75" style="19" customWidth="1"/>
    <col min="512" max="761" width="9" style="19"/>
    <col min="762" max="762" width="28.75" style="19" customWidth="1"/>
    <col min="763" max="767" width="12.75" style="19" customWidth="1"/>
    <col min="768" max="1017" width="9" style="19"/>
    <col min="1018" max="1018" width="28.75" style="19" customWidth="1"/>
    <col min="1019" max="1023" width="12.75" style="19" customWidth="1"/>
    <col min="1024" max="1273" width="9" style="19"/>
    <col min="1274" max="1274" width="28.75" style="19" customWidth="1"/>
    <col min="1275" max="1279" width="12.75" style="19" customWidth="1"/>
    <col min="1280" max="1529" width="9" style="19"/>
    <col min="1530" max="1530" width="28.75" style="19" customWidth="1"/>
    <col min="1531" max="1535" width="12.75" style="19" customWidth="1"/>
    <col min="1536" max="1785" width="9" style="19"/>
    <col min="1786" max="1786" width="28.75" style="19" customWidth="1"/>
    <col min="1787" max="1791" width="12.75" style="19" customWidth="1"/>
    <col min="1792" max="2041" width="9" style="19"/>
    <col min="2042" max="2042" width="28.75" style="19" customWidth="1"/>
    <col min="2043" max="2047" width="12.75" style="19" customWidth="1"/>
    <col min="2048" max="2297" width="9" style="19"/>
    <col min="2298" max="2298" width="28.75" style="19" customWidth="1"/>
    <col min="2299" max="2303" width="12.75" style="19" customWidth="1"/>
    <col min="2304" max="2553" width="9" style="19"/>
    <col min="2554" max="2554" width="28.75" style="19" customWidth="1"/>
    <col min="2555" max="2559" width="12.75" style="19" customWidth="1"/>
    <col min="2560" max="2809" width="9" style="19"/>
    <col min="2810" max="2810" width="28.75" style="19" customWidth="1"/>
    <col min="2811" max="2815" width="12.75" style="19" customWidth="1"/>
    <col min="2816" max="3065" width="9" style="19"/>
    <col min="3066" max="3066" width="28.75" style="19" customWidth="1"/>
    <col min="3067" max="3071" width="12.75" style="19" customWidth="1"/>
    <col min="3072" max="3321" width="9" style="19"/>
    <col min="3322" max="3322" width="28.75" style="19" customWidth="1"/>
    <col min="3323" max="3327" width="12.75" style="19" customWidth="1"/>
    <col min="3328" max="3577" width="9" style="19"/>
    <col min="3578" max="3578" width="28.75" style="19" customWidth="1"/>
    <col min="3579" max="3583" width="12.75" style="19" customWidth="1"/>
    <col min="3584" max="3833" width="9" style="19"/>
    <col min="3834" max="3834" width="28.75" style="19" customWidth="1"/>
    <col min="3835" max="3839" width="12.75" style="19" customWidth="1"/>
    <col min="3840" max="4089" width="9" style="19"/>
    <col min="4090" max="4090" width="28.75" style="19" customWidth="1"/>
    <col min="4091" max="4095" width="12.75" style="19" customWidth="1"/>
    <col min="4096" max="4345" width="9" style="19"/>
    <col min="4346" max="4346" width="28.75" style="19" customWidth="1"/>
    <col min="4347" max="4351" width="12.75" style="19" customWidth="1"/>
    <col min="4352" max="4601" width="9" style="19"/>
    <col min="4602" max="4602" width="28.75" style="19" customWidth="1"/>
    <col min="4603" max="4607" width="12.75" style="19" customWidth="1"/>
    <col min="4608" max="4857" width="9" style="19"/>
    <col min="4858" max="4858" width="28.75" style="19" customWidth="1"/>
    <col min="4859" max="4863" width="12.75" style="19" customWidth="1"/>
    <col min="4864" max="5113" width="9" style="19"/>
    <col min="5114" max="5114" width="28.75" style="19" customWidth="1"/>
    <col min="5115" max="5119" width="12.75" style="19" customWidth="1"/>
    <col min="5120" max="5369" width="9" style="19"/>
    <col min="5370" max="5370" width="28.75" style="19" customWidth="1"/>
    <col min="5371" max="5375" width="12.75" style="19" customWidth="1"/>
    <col min="5376" max="5625" width="9" style="19"/>
    <col min="5626" max="5626" width="28.75" style="19" customWidth="1"/>
    <col min="5627" max="5631" width="12.75" style="19" customWidth="1"/>
    <col min="5632" max="5881" width="9" style="19"/>
    <col min="5882" max="5882" width="28.75" style="19" customWidth="1"/>
    <col min="5883" max="5887" width="12.75" style="19" customWidth="1"/>
    <col min="5888" max="6137" width="9" style="19"/>
    <col min="6138" max="6138" width="28.75" style="19" customWidth="1"/>
    <col min="6139" max="6143" width="12.75" style="19" customWidth="1"/>
    <col min="6144" max="6393" width="9" style="19"/>
    <col min="6394" max="6394" width="28.75" style="19" customWidth="1"/>
    <col min="6395" max="6399" width="12.75" style="19" customWidth="1"/>
    <col min="6400" max="6649" width="9" style="19"/>
    <col min="6650" max="6650" width="28.75" style="19" customWidth="1"/>
    <col min="6651" max="6655" width="12.75" style="19" customWidth="1"/>
    <col min="6656" max="6905" width="9" style="19"/>
    <col min="6906" max="6906" width="28.75" style="19" customWidth="1"/>
    <col min="6907" max="6911" width="12.75" style="19" customWidth="1"/>
    <col min="6912" max="7161" width="9" style="19"/>
    <col min="7162" max="7162" width="28.75" style="19" customWidth="1"/>
    <col min="7163" max="7167" width="12.75" style="19" customWidth="1"/>
    <col min="7168" max="7417" width="9" style="19"/>
    <col min="7418" max="7418" width="28.75" style="19" customWidth="1"/>
    <col min="7419" max="7423" width="12.75" style="19" customWidth="1"/>
    <col min="7424" max="7673" width="9" style="19"/>
    <col min="7674" max="7674" width="28.75" style="19" customWidth="1"/>
    <col min="7675" max="7679" width="12.75" style="19" customWidth="1"/>
    <col min="7680" max="7929" width="9" style="19"/>
    <col min="7930" max="7930" width="28.75" style="19" customWidth="1"/>
    <col min="7931" max="7935" width="12.75" style="19" customWidth="1"/>
    <col min="7936" max="8185" width="9" style="19"/>
    <col min="8186" max="8186" width="28.75" style="19" customWidth="1"/>
    <col min="8187" max="8191" width="12.75" style="19" customWidth="1"/>
    <col min="8192" max="8441" width="9" style="19"/>
    <col min="8442" max="8442" width="28.75" style="19" customWidth="1"/>
    <col min="8443" max="8447" width="12.75" style="19" customWidth="1"/>
    <col min="8448" max="8697" width="9" style="19"/>
    <col min="8698" max="8698" width="28.75" style="19" customWidth="1"/>
    <col min="8699" max="8703" width="12.75" style="19" customWidth="1"/>
    <col min="8704" max="8953" width="9" style="19"/>
    <col min="8954" max="8954" width="28.75" style="19" customWidth="1"/>
    <col min="8955" max="8959" width="12.75" style="19" customWidth="1"/>
    <col min="8960" max="9209" width="9" style="19"/>
    <col min="9210" max="9210" width="28.75" style="19" customWidth="1"/>
    <col min="9211" max="9215" width="12.75" style="19" customWidth="1"/>
    <col min="9216" max="9465" width="9" style="19"/>
    <col min="9466" max="9466" width="28.75" style="19" customWidth="1"/>
    <col min="9467" max="9471" width="12.75" style="19" customWidth="1"/>
    <col min="9472" max="9721" width="9" style="19"/>
    <col min="9722" max="9722" width="28.75" style="19" customWidth="1"/>
    <col min="9723" max="9727" width="12.75" style="19" customWidth="1"/>
    <col min="9728" max="9977" width="9" style="19"/>
    <col min="9978" max="9978" width="28.75" style="19" customWidth="1"/>
    <col min="9979" max="9983" width="12.75" style="19" customWidth="1"/>
    <col min="9984" max="10233" width="9" style="19"/>
    <col min="10234" max="10234" width="28.75" style="19" customWidth="1"/>
    <col min="10235" max="10239" width="12.75" style="19" customWidth="1"/>
    <col min="10240" max="10489" width="9" style="19"/>
    <col min="10490" max="10490" width="28.75" style="19" customWidth="1"/>
    <col min="10491" max="10495" width="12.75" style="19" customWidth="1"/>
    <col min="10496" max="10745" width="9" style="19"/>
    <col min="10746" max="10746" width="28.75" style="19" customWidth="1"/>
    <col min="10747" max="10751" width="12.75" style="19" customWidth="1"/>
    <col min="10752" max="11001" width="9" style="19"/>
    <col min="11002" max="11002" width="28.75" style="19" customWidth="1"/>
    <col min="11003" max="11007" width="12.75" style="19" customWidth="1"/>
    <col min="11008" max="11257" width="9" style="19"/>
    <col min="11258" max="11258" width="28.75" style="19" customWidth="1"/>
    <col min="11259" max="11263" width="12.75" style="19" customWidth="1"/>
    <col min="11264" max="11513" width="9" style="19"/>
    <col min="11514" max="11514" width="28.75" style="19" customWidth="1"/>
    <col min="11515" max="11519" width="12.75" style="19" customWidth="1"/>
    <col min="11520" max="11769" width="9" style="19"/>
    <col min="11770" max="11770" width="28.75" style="19" customWidth="1"/>
    <col min="11771" max="11775" width="12.75" style="19" customWidth="1"/>
    <col min="11776" max="12025" width="9" style="19"/>
    <col min="12026" max="12026" width="28.75" style="19" customWidth="1"/>
    <col min="12027" max="12031" width="12.75" style="19" customWidth="1"/>
    <col min="12032" max="12281" width="9" style="19"/>
    <col min="12282" max="12282" width="28.75" style="19" customWidth="1"/>
    <col min="12283" max="12287" width="12.75" style="19" customWidth="1"/>
    <col min="12288" max="12537" width="9" style="19"/>
    <col min="12538" max="12538" width="28.75" style="19" customWidth="1"/>
    <col min="12539" max="12543" width="12.75" style="19" customWidth="1"/>
    <col min="12544" max="12793" width="9" style="19"/>
    <col min="12794" max="12794" width="28.75" style="19" customWidth="1"/>
    <col min="12795" max="12799" width="12.75" style="19" customWidth="1"/>
    <col min="12800" max="13049" width="9" style="19"/>
    <col min="13050" max="13050" width="28.75" style="19" customWidth="1"/>
    <col min="13051" max="13055" width="12.75" style="19" customWidth="1"/>
    <col min="13056" max="13305" width="9" style="19"/>
    <col min="13306" max="13306" width="28.75" style="19" customWidth="1"/>
    <col min="13307" max="13311" width="12.75" style="19" customWidth="1"/>
    <col min="13312" max="13561" width="9" style="19"/>
    <col min="13562" max="13562" width="28.75" style="19" customWidth="1"/>
    <col min="13563" max="13567" width="12.75" style="19" customWidth="1"/>
    <col min="13568" max="13817" width="9" style="19"/>
    <col min="13818" max="13818" width="28.75" style="19" customWidth="1"/>
    <col min="13819" max="13823" width="12.75" style="19" customWidth="1"/>
    <col min="13824" max="14073" width="9" style="19"/>
    <col min="14074" max="14074" width="28.75" style="19" customWidth="1"/>
    <col min="14075" max="14079" width="12.75" style="19" customWidth="1"/>
    <col min="14080" max="14329" width="9" style="19"/>
    <col min="14330" max="14330" width="28.75" style="19" customWidth="1"/>
    <col min="14331" max="14335" width="12.75" style="19" customWidth="1"/>
    <col min="14336" max="14585" width="9" style="19"/>
    <col min="14586" max="14586" width="28.75" style="19" customWidth="1"/>
    <col min="14587" max="14591" width="12.75" style="19" customWidth="1"/>
    <col min="14592" max="14841" width="9" style="19"/>
    <col min="14842" max="14842" width="28.75" style="19" customWidth="1"/>
    <col min="14843" max="14847" width="12.75" style="19" customWidth="1"/>
    <col min="14848" max="15097" width="9" style="19"/>
    <col min="15098" max="15098" width="28.75" style="19" customWidth="1"/>
    <col min="15099" max="15103" width="12.75" style="19" customWidth="1"/>
    <col min="15104" max="15353" width="9" style="19"/>
    <col min="15354" max="15354" width="28.75" style="19" customWidth="1"/>
    <col min="15355" max="15359" width="12.75" style="19" customWidth="1"/>
    <col min="15360" max="15609" width="9" style="19"/>
    <col min="15610" max="15610" width="28.75" style="19" customWidth="1"/>
    <col min="15611" max="15615" width="12.75" style="19" customWidth="1"/>
    <col min="15616" max="15865" width="9" style="19"/>
    <col min="15866" max="15866" width="28.75" style="19" customWidth="1"/>
    <col min="15867" max="15871" width="12.75" style="19" customWidth="1"/>
    <col min="15872" max="16121" width="9" style="19"/>
    <col min="16122" max="16122" width="28.75" style="19" customWidth="1"/>
    <col min="16123" max="16127" width="12.75" style="19" customWidth="1"/>
    <col min="16128" max="16384" width="9" style="19"/>
  </cols>
  <sheetData>
    <row r="1" spans="1:6" s="18" customFormat="1" ht="28.5">
      <c r="A1" s="130" t="s">
        <v>12</v>
      </c>
      <c r="B1" s="130"/>
      <c r="C1" s="130"/>
      <c r="D1" s="131"/>
      <c r="E1" s="131"/>
      <c r="F1" s="131"/>
    </row>
    <row r="2" spans="1:6">
      <c r="A2" s="132" t="s">
        <v>13</v>
      </c>
      <c r="B2" s="132"/>
      <c r="C2" s="132"/>
      <c r="D2" s="133"/>
      <c r="E2" s="133"/>
      <c r="F2" s="133"/>
    </row>
    <row r="3" spans="1:6" ht="23.25">
      <c r="A3" s="134" t="s">
        <v>7</v>
      </c>
      <c r="B3" s="134"/>
      <c r="C3" s="134"/>
      <c r="D3" s="135"/>
      <c r="E3" s="135"/>
      <c r="F3" s="135"/>
    </row>
    <row r="4" spans="1:6" ht="26.45" customHeight="1">
      <c r="A4" s="20"/>
      <c r="D4" s="141" t="s">
        <v>44</v>
      </c>
      <c r="E4" s="141"/>
      <c r="F4" s="141"/>
    </row>
    <row r="5" spans="1:6" ht="25.9" customHeight="1">
      <c r="A5" s="20"/>
      <c r="D5" s="142" t="s">
        <v>49</v>
      </c>
      <c r="E5" s="142"/>
      <c r="F5" s="142"/>
    </row>
    <row r="6" spans="1:6" s="21" customFormat="1" ht="55.15" customHeight="1">
      <c r="A6" s="136" t="s">
        <v>28</v>
      </c>
      <c r="B6" s="137"/>
      <c r="C6" s="137"/>
      <c r="D6" s="137"/>
      <c r="E6" s="137"/>
      <c r="F6" s="138"/>
    </row>
    <row r="7" spans="1:6" s="21" customFormat="1" ht="123" customHeight="1">
      <c r="A7" s="139" t="s">
        <v>47</v>
      </c>
      <c r="B7" s="139"/>
      <c r="C7" s="140"/>
      <c r="D7" s="139"/>
      <c r="E7" s="139"/>
      <c r="F7" s="139"/>
    </row>
    <row r="8" spans="1:6" ht="31.5">
      <c r="A8" s="30" t="s">
        <v>15</v>
      </c>
      <c r="B8" s="31" t="s">
        <v>21</v>
      </c>
      <c r="C8" s="31" t="s">
        <v>42</v>
      </c>
      <c r="D8" s="32" t="s">
        <v>16</v>
      </c>
      <c r="E8" s="32" t="s">
        <v>17</v>
      </c>
      <c r="F8" s="32" t="s">
        <v>14</v>
      </c>
    </row>
    <row r="9" spans="1:6" ht="109.9" customHeight="1">
      <c r="A9" s="51" t="s">
        <v>20</v>
      </c>
      <c r="B9" s="128" t="s">
        <v>40</v>
      </c>
      <c r="C9" s="128"/>
      <c r="D9" s="128"/>
      <c r="E9" s="128"/>
      <c r="F9" s="129"/>
    </row>
    <row r="10" spans="1:6" s="99" customFormat="1" ht="21" customHeight="1">
      <c r="A10" s="33" t="s">
        <v>51</v>
      </c>
      <c r="B10" s="34" t="s">
        <v>52</v>
      </c>
      <c r="C10" s="34">
        <v>116</v>
      </c>
      <c r="D10" s="35">
        <v>22.8</v>
      </c>
      <c r="E10" s="35">
        <f>D10+0.5454</f>
        <v>23.345400000000001</v>
      </c>
      <c r="F10" s="55">
        <v>46</v>
      </c>
    </row>
    <row r="11" spans="1:6" s="99" customFormat="1" ht="21" customHeight="1">
      <c r="A11" s="33" t="s">
        <v>51</v>
      </c>
      <c r="B11" s="34" t="s">
        <v>52</v>
      </c>
      <c r="C11" s="34">
        <v>117</v>
      </c>
      <c r="D11" s="35">
        <v>23.5</v>
      </c>
      <c r="E11" s="35">
        <f t="shared" ref="E11:E12" si="0">D11+0.5454</f>
        <v>24.045400000000001</v>
      </c>
      <c r="F11" s="55">
        <v>47</v>
      </c>
    </row>
    <row r="12" spans="1:6" s="99" customFormat="1" ht="21" customHeight="1">
      <c r="A12" s="33" t="s">
        <v>53</v>
      </c>
      <c r="B12" s="34" t="s">
        <v>52</v>
      </c>
      <c r="C12" s="34">
        <v>118</v>
      </c>
      <c r="D12" s="35">
        <v>25.4</v>
      </c>
      <c r="E12" s="35">
        <f t="shared" si="0"/>
        <v>25.945399999999999</v>
      </c>
      <c r="F12" s="55">
        <v>51</v>
      </c>
    </row>
    <row r="13" spans="1:6" s="99" customFormat="1" ht="21" customHeight="1">
      <c r="A13" s="107" t="s">
        <v>54</v>
      </c>
      <c r="B13" s="108"/>
      <c r="C13" s="108" t="s">
        <v>55</v>
      </c>
      <c r="D13" s="109">
        <f>SUM(D10:D12)</f>
        <v>71.699999999999989</v>
      </c>
      <c r="E13" s="109">
        <f>SUM(E10:E12)</f>
        <v>73.336199999999991</v>
      </c>
      <c r="F13" s="110">
        <f>SUM(F10:F12)</f>
        <v>144</v>
      </c>
    </row>
    <row r="14" spans="1:6" s="99" customFormat="1" ht="21" customHeight="1">
      <c r="A14" s="33" t="s">
        <v>56</v>
      </c>
      <c r="B14" s="34">
        <v>8</v>
      </c>
      <c r="C14" s="34">
        <v>132</v>
      </c>
      <c r="D14" s="35">
        <v>21.9</v>
      </c>
      <c r="E14" s="35">
        <f>D14+0.545</f>
        <v>22.445</v>
      </c>
      <c r="F14" s="55">
        <v>44</v>
      </c>
    </row>
    <row r="15" spans="1:6" s="99" customFormat="1" ht="21" customHeight="1">
      <c r="A15" s="33" t="s">
        <v>56</v>
      </c>
      <c r="B15" s="34">
        <v>8</v>
      </c>
      <c r="C15" s="34">
        <v>133</v>
      </c>
      <c r="D15" s="35">
        <v>22.8</v>
      </c>
      <c r="E15" s="35">
        <f t="shared" ref="E15:E21" si="1">D15+0.545</f>
        <v>23.345000000000002</v>
      </c>
      <c r="F15" s="55">
        <v>46</v>
      </c>
    </row>
    <row r="16" spans="1:6" s="99" customFormat="1" ht="21" customHeight="1">
      <c r="A16" s="33" t="s">
        <v>56</v>
      </c>
      <c r="B16" s="34">
        <v>8</v>
      </c>
      <c r="C16" s="34">
        <v>134</v>
      </c>
      <c r="D16" s="35">
        <v>23.9</v>
      </c>
      <c r="E16" s="35">
        <f t="shared" si="1"/>
        <v>24.445</v>
      </c>
      <c r="F16" s="55">
        <v>48</v>
      </c>
    </row>
    <row r="17" spans="1:6" s="99" customFormat="1" ht="21" customHeight="1">
      <c r="A17" s="33" t="s">
        <v>56</v>
      </c>
      <c r="B17" s="34">
        <v>8</v>
      </c>
      <c r="C17" s="34">
        <v>135</v>
      </c>
      <c r="D17" s="35">
        <v>23</v>
      </c>
      <c r="E17" s="35">
        <f t="shared" si="1"/>
        <v>23.545000000000002</v>
      </c>
      <c r="F17" s="55">
        <v>46</v>
      </c>
    </row>
    <row r="18" spans="1:6" s="99" customFormat="1" ht="21" customHeight="1">
      <c r="A18" s="33" t="s">
        <v>56</v>
      </c>
      <c r="B18" s="34">
        <v>8</v>
      </c>
      <c r="C18" s="34">
        <v>136</v>
      </c>
      <c r="D18" s="35">
        <v>23.3</v>
      </c>
      <c r="E18" s="35">
        <f t="shared" si="1"/>
        <v>23.845000000000002</v>
      </c>
      <c r="F18" s="55">
        <v>47</v>
      </c>
    </row>
    <row r="19" spans="1:6" s="99" customFormat="1" ht="21" customHeight="1">
      <c r="A19" s="33" t="s">
        <v>58</v>
      </c>
      <c r="B19" s="34">
        <v>8</v>
      </c>
      <c r="C19" s="34">
        <v>137</v>
      </c>
      <c r="D19" s="35">
        <v>23.7</v>
      </c>
      <c r="E19" s="35">
        <f t="shared" si="1"/>
        <v>24.245000000000001</v>
      </c>
      <c r="F19" s="55">
        <v>47</v>
      </c>
    </row>
    <row r="20" spans="1:6" s="99" customFormat="1" ht="21" customHeight="1">
      <c r="A20" s="33" t="s">
        <v>56</v>
      </c>
      <c r="B20" s="34">
        <v>8</v>
      </c>
      <c r="C20" s="34">
        <v>138</v>
      </c>
      <c r="D20" s="35">
        <v>24.2</v>
      </c>
      <c r="E20" s="35">
        <f t="shared" si="1"/>
        <v>24.745000000000001</v>
      </c>
      <c r="F20" s="55">
        <v>48</v>
      </c>
    </row>
    <row r="21" spans="1:6" s="99" customFormat="1" ht="21" customHeight="1">
      <c r="A21" s="33" t="s">
        <v>56</v>
      </c>
      <c r="B21" s="34">
        <v>8</v>
      </c>
      <c r="C21" s="34">
        <v>139</v>
      </c>
      <c r="D21" s="35">
        <v>23.5</v>
      </c>
      <c r="E21" s="35">
        <f t="shared" si="1"/>
        <v>24.045000000000002</v>
      </c>
      <c r="F21" s="55">
        <v>47</v>
      </c>
    </row>
    <row r="22" spans="1:6" s="99" customFormat="1" ht="21" customHeight="1">
      <c r="A22" s="107" t="s">
        <v>59</v>
      </c>
      <c r="B22" s="108"/>
      <c r="C22" s="108" t="s">
        <v>57</v>
      </c>
      <c r="D22" s="109">
        <f>SUM(D14:D21)</f>
        <v>186.29999999999998</v>
      </c>
      <c r="E22" s="109">
        <f>SUM(E14:E21)</f>
        <v>190.66000000000003</v>
      </c>
      <c r="F22" s="110">
        <f>SUM(F14:F21)</f>
        <v>373</v>
      </c>
    </row>
    <row r="23" spans="1:6" s="99" customFormat="1" ht="21" customHeight="1">
      <c r="A23" s="111" t="s">
        <v>60</v>
      </c>
      <c r="B23" s="112"/>
      <c r="C23" s="115">
        <f>C22+C13</f>
        <v>11</v>
      </c>
      <c r="D23" s="113">
        <f>D22+D13</f>
        <v>258</v>
      </c>
      <c r="E23" s="113">
        <f>E22+E13</f>
        <v>263.99620000000004</v>
      </c>
      <c r="F23" s="114">
        <f>F22+F13</f>
        <v>517</v>
      </c>
    </row>
  </sheetData>
  <mergeCells count="8">
    <mergeCell ref="B9:F9"/>
    <mergeCell ref="A1:F1"/>
    <mergeCell ref="A2:F2"/>
    <mergeCell ref="A3:F3"/>
    <mergeCell ref="A6:F6"/>
    <mergeCell ref="A7:F7"/>
    <mergeCell ref="D4:F4"/>
    <mergeCell ref="D5:F5"/>
  </mergeCells>
  <phoneticPr fontId="26" type="noConversion"/>
  <dataValidations count="1">
    <dataValidation allowBlank="1" showInputMessage="1" showErrorMessage="1" sqref="WVB980369:WVB980401 WLF980369:WLF980401 WBJ980369:WBJ980401 VRN980369:VRN980401 VHR980369:VHR980401 UXV980369:UXV980401 UNZ980369:UNZ980401 UED980369:UED980401 TUH980369:TUH980401 TKL980369:TKL980401 TAP980369:TAP980401 SQT980369:SQT980401 SGX980369:SGX980401 RXB980369:RXB980401 RNF980369:RNF980401 RDJ980369:RDJ980401 QTN980369:QTN980401 QJR980369:QJR980401 PZV980369:PZV980401 PPZ980369:PPZ980401 PGD980369:PGD980401 OWH980369:OWH980401 OML980369:OML980401 OCP980369:OCP980401 NST980369:NST980401 NIX980369:NIX980401 MZB980369:MZB980401 MPF980369:MPF980401 MFJ980369:MFJ980401 LVN980369:LVN980401 LLR980369:LLR980401 LBV980369:LBV980401 KRZ980369:KRZ980401 KID980369:KID980401 JYH980369:JYH980401 JOL980369:JOL980401 JEP980369:JEP980401 IUT980369:IUT980401 IKX980369:IKX980401 IBB980369:IBB980401 HRF980369:HRF980401 HHJ980369:HHJ980401 GXN980369:GXN980401 GNR980369:GNR980401 GDV980369:GDV980401 FTZ980369:FTZ980401 FKD980369:FKD980401 FAH980369:FAH980401 EQL980369:EQL980401 EGP980369:EGP980401 DWT980369:DWT980401 DMX980369:DMX980401 DDB980369:DDB980401 CTF980369:CTF980401 CJJ980369:CJJ980401 BZN980369:BZN980401 BPR980369:BPR980401 BFV980369:BFV980401 AVZ980369:AVZ980401 AMD980369:AMD980401 ACH980369:ACH980401 SL980369:SL980401 IP980369:IP980401 WVB914833:WVB914865 WLF914833:WLF914865 WBJ914833:WBJ914865 VRN914833:VRN914865 VHR914833:VHR914865 UXV914833:UXV914865 UNZ914833:UNZ914865 UED914833:UED914865 TUH914833:TUH914865 TKL914833:TKL914865 TAP914833:TAP914865 SQT914833:SQT914865 SGX914833:SGX914865 RXB914833:RXB914865 RNF914833:RNF914865 RDJ914833:RDJ914865 QTN914833:QTN914865 QJR914833:QJR914865 PZV914833:PZV914865 PPZ914833:PPZ914865 PGD914833:PGD914865 OWH914833:OWH914865 OML914833:OML914865 OCP914833:OCP914865 NST914833:NST914865 NIX914833:NIX914865 MZB914833:MZB914865 MPF914833:MPF914865 MFJ914833:MFJ914865 LVN914833:LVN914865 LLR914833:LLR914865 LBV914833:LBV914865 KRZ914833:KRZ914865 KID914833:KID914865 JYH914833:JYH914865 JOL914833:JOL914865 JEP914833:JEP914865 IUT914833:IUT914865 IKX914833:IKX914865 IBB914833:IBB914865 HRF914833:HRF914865 HHJ914833:HHJ914865 GXN914833:GXN914865 GNR914833:GNR914865 GDV914833:GDV914865 FTZ914833:FTZ914865 FKD914833:FKD914865 FAH914833:FAH914865 EQL914833:EQL914865 EGP914833:EGP914865 DWT914833:DWT914865 DMX914833:DMX914865 DDB914833:DDB914865 CTF914833:CTF914865 CJJ914833:CJJ914865 BZN914833:BZN914865 BPR914833:BPR914865 BFV914833:BFV914865 AVZ914833:AVZ914865 AMD914833:AMD914865 ACH914833:ACH914865 SL914833:SL914865 IP914833:IP914865 WVB849297:WVB849329 WLF849297:WLF849329 WBJ849297:WBJ849329 VRN849297:VRN849329 VHR849297:VHR849329 UXV849297:UXV849329 UNZ849297:UNZ849329 UED849297:UED849329 TUH849297:TUH849329 TKL849297:TKL849329 TAP849297:TAP849329 SQT849297:SQT849329 SGX849297:SGX849329 RXB849297:RXB849329 RNF849297:RNF849329 RDJ849297:RDJ849329 QTN849297:QTN849329 QJR849297:QJR849329 PZV849297:PZV849329 PPZ849297:PPZ849329 PGD849297:PGD849329 OWH849297:OWH849329 OML849297:OML849329 OCP849297:OCP849329 NST849297:NST849329 NIX849297:NIX849329 MZB849297:MZB849329 MPF849297:MPF849329 MFJ849297:MFJ849329 LVN849297:LVN849329 LLR849297:LLR849329 LBV849297:LBV849329 KRZ849297:KRZ849329 KID849297:KID849329 JYH849297:JYH849329 JOL849297:JOL849329 JEP849297:JEP849329 IUT849297:IUT849329 IKX849297:IKX849329 IBB849297:IBB849329 HRF849297:HRF849329 HHJ849297:HHJ849329 GXN849297:GXN849329 GNR849297:GNR849329 GDV849297:GDV849329 FTZ849297:FTZ849329 FKD849297:FKD849329 FAH849297:FAH849329 EQL849297:EQL849329 EGP849297:EGP849329 DWT849297:DWT849329 DMX849297:DMX849329 DDB849297:DDB849329 CTF849297:CTF849329 CJJ849297:CJJ849329 BZN849297:BZN849329 BPR849297:BPR849329 BFV849297:BFV849329 AVZ849297:AVZ849329 AMD849297:AMD849329 ACH849297:ACH849329 SL849297:SL849329 IP849297:IP849329 WVB783761:WVB783793 WLF783761:WLF783793 WBJ783761:WBJ783793 VRN783761:VRN783793 VHR783761:VHR783793 UXV783761:UXV783793 UNZ783761:UNZ783793 UED783761:UED783793 TUH783761:TUH783793 TKL783761:TKL783793 TAP783761:TAP783793 SQT783761:SQT783793 SGX783761:SGX783793 RXB783761:RXB783793 RNF783761:RNF783793 RDJ783761:RDJ783793 QTN783761:QTN783793 QJR783761:QJR783793 PZV783761:PZV783793 PPZ783761:PPZ783793 PGD783761:PGD783793 OWH783761:OWH783793 OML783761:OML783793 OCP783761:OCP783793 NST783761:NST783793 NIX783761:NIX783793 MZB783761:MZB783793 MPF783761:MPF783793 MFJ783761:MFJ783793 LVN783761:LVN783793 LLR783761:LLR783793 LBV783761:LBV783793 KRZ783761:KRZ783793 KID783761:KID783793 JYH783761:JYH783793 JOL783761:JOL783793 JEP783761:JEP783793 IUT783761:IUT783793 IKX783761:IKX783793 IBB783761:IBB783793 HRF783761:HRF783793 HHJ783761:HHJ783793 GXN783761:GXN783793 GNR783761:GNR783793 GDV783761:GDV783793 FTZ783761:FTZ783793 FKD783761:FKD783793 FAH783761:FAH783793 EQL783761:EQL783793 EGP783761:EGP783793 DWT783761:DWT783793 DMX783761:DMX783793 DDB783761:DDB783793 CTF783761:CTF783793 CJJ783761:CJJ783793 BZN783761:BZN783793 BPR783761:BPR783793 BFV783761:BFV783793 AVZ783761:AVZ783793 AMD783761:AMD783793 ACH783761:ACH783793 SL783761:SL783793 IP783761:IP783793 WVB718225:WVB718257 WLF718225:WLF718257 WBJ718225:WBJ718257 VRN718225:VRN718257 VHR718225:VHR718257 UXV718225:UXV718257 UNZ718225:UNZ718257 UED718225:UED718257 TUH718225:TUH718257 TKL718225:TKL718257 TAP718225:TAP718257 SQT718225:SQT718257 SGX718225:SGX718257 RXB718225:RXB718257 RNF718225:RNF718257 RDJ718225:RDJ718257 QTN718225:QTN718257 QJR718225:QJR718257 PZV718225:PZV718257 PPZ718225:PPZ718257 PGD718225:PGD718257 OWH718225:OWH718257 OML718225:OML718257 OCP718225:OCP718257 NST718225:NST718257 NIX718225:NIX718257 MZB718225:MZB718257 MPF718225:MPF718257 MFJ718225:MFJ718257 LVN718225:LVN718257 LLR718225:LLR718257 LBV718225:LBV718257 KRZ718225:KRZ718257 KID718225:KID718257 JYH718225:JYH718257 JOL718225:JOL718257 JEP718225:JEP718257 IUT718225:IUT718257 IKX718225:IKX718257 IBB718225:IBB718257 HRF718225:HRF718257 HHJ718225:HHJ718257 GXN718225:GXN718257 GNR718225:GNR718257 GDV718225:GDV718257 FTZ718225:FTZ718257 FKD718225:FKD718257 FAH718225:FAH718257 EQL718225:EQL718257 EGP718225:EGP718257 DWT718225:DWT718257 DMX718225:DMX718257 DDB718225:DDB718257 CTF718225:CTF718257 CJJ718225:CJJ718257 BZN718225:BZN718257 BPR718225:BPR718257 BFV718225:BFV718257 AVZ718225:AVZ718257 AMD718225:AMD718257 ACH718225:ACH718257 SL718225:SL718257 IP718225:IP718257 WVB652689:WVB652721 WLF652689:WLF652721 WBJ652689:WBJ652721 VRN652689:VRN652721 VHR652689:VHR652721 UXV652689:UXV652721 UNZ652689:UNZ652721 UED652689:UED652721 TUH652689:TUH652721 TKL652689:TKL652721 TAP652689:TAP652721 SQT652689:SQT652721 SGX652689:SGX652721 RXB652689:RXB652721 RNF652689:RNF652721 RDJ652689:RDJ652721 QTN652689:QTN652721 QJR652689:QJR652721 PZV652689:PZV652721 PPZ652689:PPZ652721 PGD652689:PGD652721 OWH652689:OWH652721 OML652689:OML652721 OCP652689:OCP652721 NST652689:NST652721 NIX652689:NIX652721 MZB652689:MZB652721 MPF652689:MPF652721 MFJ652689:MFJ652721 LVN652689:LVN652721 LLR652689:LLR652721 LBV652689:LBV652721 KRZ652689:KRZ652721 KID652689:KID652721 JYH652689:JYH652721 JOL652689:JOL652721 JEP652689:JEP652721 IUT652689:IUT652721 IKX652689:IKX652721 IBB652689:IBB652721 HRF652689:HRF652721 HHJ652689:HHJ652721 GXN652689:GXN652721 GNR652689:GNR652721 GDV652689:GDV652721 FTZ652689:FTZ652721 FKD652689:FKD652721 FAH652689:FAH652721 EQL652689:EQL652721 EGP652689:EGP652721 DWT652689:DWT652721 DMX652689:DMX652721 DDB652689:DDB652721 CTF652689:CTF652721 CJJ652689:CJJ652721 BZN652689:BZN652721 BPR652689:BPR652721 BFV652689:BFV652721 AVZ652689:AVZ652721 AMD652689:AMD652721 ACH652689:ACH652721 SL652689:SL652721 IP652689:IP652721 WVB587153:WVB587185 WLF587153:WLF587185 WBJ587153:WBJ587185 VRN587153:VRN587185 VHR587153:VHR587185 UXV587153:UXV587185 UNZ587153:UNZ587185 UED587153:UED587185 TUH587153:TUH587185 TKL587153:TKL587185 TAP587153:TAP587185 SQT587153:SQT587185 SGX587153:SGX587185 RXB587153:RXB587185 RNF587153:RNF587185 RDJ587153:RDJ587185 QTN587153:QTN587185 QJR587153:QJR587185 PZV587153:PZV587185 PPZ587153:PPZ587185 PGD587153:PGD587185 OWH587153:OWH587185 OML587153:OML587185 OCP587153:OCP587185 NST587153:NST587185 NIX587153:NIX587185 MZB587153:MZB587185 MPF587153:MPF587185 MFJ587153:MFJ587185 LVN587153:LVN587185 LLR587153:LLR587185 LBV587153:LBV587185 KRZ587153:KRZ587185 KID587153:KID587185 JYH587153:JYH587185 JOL587153:JOL587185 JEP587153:JEP587185 IUT587153:IUT587185 IKX587153:IKX587185 IBB587153:IBB587185 HRF587153:HRF587185 HHJ587153:HHJ587185 GXN587153:GXN587185 GNR587153:GNR587185 GDV587153:GDV587185 FTZ587153:FTZ587185 FKD587153:FKD587185 FAH587153:FAH587185 EQL587153:EQL587185 EGP587153:EGP587185 DWT587153:DWT587185 DMX587153:DMX587185 DDB587153:DDB587185 CTF587153:CTF587185 CJJ587153:CJJ587185 BZN587153:BZN587185 BPR587153:BPR587185 BFV587153:BFV587185 AVZ587153:AVZ587185 AMD587153:AMD587185 ACH587153:ACH587185 SL587153:SL587185 IP587153:IP587185 WVB521617:WVB521649 WLF521617:WLF521649 WBJ521617:WBJ521649 VRN521617:VRN521649 VHR521617:VHR521649 UXV521617:UXV521649 UNZ521617:UNZ521649 UED521617:UED521649 TUH521617:TUH521649 TKL521617:TKL521649 TAP521617:TAP521649 SQT521617:SQT521649 SGX521617:SGX521649 RXB521617:RXB521649 RNF521617:RNF521649 RDJ521617:RDJ521649 QTN521617:QTN521649 QJR521617:QJR521649 PZV521617:PZV521649 PPZ521617:PPZ521649 PGD521617:PGD521649 OWH521617:OWH521649 OML521617:OML521649 OCP521617:OCP521649 NST521617:NST521649 NIX521617:NIX521649 MZB521617:MZB521649 MPF521617:MPF521649 MFJ521617:MFJ521649 LVN521617:LVN521649 LLR521617:LLR521649 LBV521617:LBV521649 KRZ521617:KRZ521649 KID521617:KID521649 JYH521617:JYH521649 JOL521617:JOL521649 JEP521617:JEP521649 IUT521617:IUT521649 IKX521617:IKX521649 IBB521617:IBB521649 HRF521617:HRF521649 HHJ521617:HHJ521649 GXN521617:GXN521649 GNR521617:GNR521649 GDV521617:GDV521649 FTZ521617:FTZ521649 FKD521617:FKD521649 FAH521617:FAH521649 EQL521617:EQL521649 EGP521617:EGP521649 DWT521617:DWT521649 DMX521617:DMX521649 DDB521617:DDB521649 CTF521617:CTF521649 CJJ521617:CJJ521649 BZN521617:BZN521649 BPR521617:BPR521649 BFV521617:BFV521649 AVZ521617:AVZ521649 AMD521617:AMD521649 ACH521617:ACH521649 SL521617:SL521649 IP521617:IP521649 WVB456081:WVB456113 WLF456081:WLF456113 WBJ456081:WBJ456113 VRN456081:VRN456113 VHR456081:VHR456113 UXV456081:UXV456113 UNZ456081:UNZ456113 UED456081:UED456113 TUH456081:TUH456113 TKL456081:TKL456113 TAP456081:TAP456113 SQT456081:SQT456113 SGX456081:SGX456113 RXB456081:RXB456113 RNF456081:RNF456113 RDJ456081:RDJ456113 QTN456081:QTN456113 QJR456081:QJR456113 PZV456081:PZV456113 PPZ456081:PPZ456113 PGD456081:PGD456113 OWH456081:OWH456113 OML456081:OML456113 OCP456081:OCP456113 NST456081:NST456113 NIX456081:NIX456113 MZB456081:MZB456113 MPF456081:MPF456113 MFJ456081:MFJ456113 LVN456081:LVN456113 LLR456081:LLR456113 LBV456081:LBV456113 KRZ456081:KRZ456113 KID456081:KID456113 JYH456081:JYH456113 JOL456081:JOL456113 JEP456081:JEP456113 IUT456081:IUT456113 IKX456081:IKX456113 IBB456081:IBB456113 HRF456081:HRF456113 HHJ456081:HHJ456113 GXN456081:GXN456113 GNR456081:GNR456113 GDV456081:GDV456113 FTZ456081:FTZ456113 FKD456081:FKD456113 FAH456081:FAH456113 EQL456081:EQL456113 EGP456081:EGP456113 DWT456081:DWT456113 DMX456081:DMX456113 DDB456081:DDB456113 CTF456081:CTF456113 CJJ456081:CJJ456113 BZN456081:BZN456113 BPR456081:BPR456113 BFV456081:BFV456113 AVZ456081:AVZ456113 AMD456081:AMD456113 ACH456081:ACH456113 SL456081:SL456113 IP456081:IP456113 WVB390545:WVB390577 WLF390545:WLF390577 WBJ390545:WBJ390577 VRN390545:VRN390577 VHR390545:VHR390577 UXV390545:UXV390577 UNZ390545:UNZ390577 UED390545:UED390577 TUH390545:TUH390577 TKL390545:TKL390577 TAP390545:TAP390577 SQT390545:SQT390577 SGX390545:SGX390577 RXB390545:RXB390577 RNF390545:RNF390577 RDJ390545:RDJ390577 QTN390545:QTN390577 QJR390545:QJR390577 PZV390545:PZV390577 PPZ390545:PPZ390577 PGD390545:PGD390577 OWH390545:OWH390577 OML390545:OML390577 OCP390545:OCP390577 NST390545:NST390577 NIX390545:NIX390577 MZB390545:MZB390577 MPF390545:MPF390577 MFJ390545:MFJ390577 LVN390545:LVN390577 LLR390545:LLR390577 LBV390545:LBV390577 KRZ390545:KRZ390577 KID390545:KID390577 JYH390545:JYH390577 JOL390545:JOL390577 JEP390545:JEP390577 IUT390545:IUT390577 IKX390545:IKX390577 IBB390545:IBB390577 HRF390545:HRF390577 HHJ390545:HHJ390577 GXN390545:GXN390577 GNR390545:GNR390577 GDV390545:GDV390577 FTZ390545:FTZ390577 FKD390545:FKD390577 FAH390545:FAH390577 EQL390545:EQL390577 EGP390545:EGP390577 DWT390545:DWT390577 DMX390545:DMX390577 DDB390545:DDB390577 CTF390545:CTF390577 CJJ390545:CJJ390577 BZN390545:BZN390577 BPR390545:BPR390577 BFV390545:BFV390577 AVZ390545:AVZ390577 AMD390545:AMD390577 ACH390545:ACH390577 SL390545:SL390577 IP390545:IP390577 WVB325009:WVB325041 WLF325009:WLF325041 WBJ325009:WBJ325041 VRN325009:VRN325041 VHR325009:VHR325041 UXV325009:UXV325041 UNZ325009:UNZ325041 UED325009:UED325041 TUH325009:TUH325041 TKL325009:TKL325041 TAP325009:TAP325041 SQT325009:SQT325041 SGX325009:SGX325041 RXB325009:RXB325041 RNF325009:RNF325041 RDJ325009:RDJ325041 QTN325009:QTN325041 QJR325009:QJR325041 PZV325009:PZV325041 PPZ325009:PPZ325041 PGD325009:PGD325041 OWH325009:OWH325041 OML325009:OML325041 OCP325009:OCP325041 NST325009:NST325041 NIX325009:NIX325041 MZB325009:MZB325041 MPF325009:MPF325041 MFJ325009:MFJ325041 LVN325009:LVN325041 LLR325009:LLR325041 LBV325009:LBV325041 KRZ325009:KRZ325041 KID325009:KID325041 JYH325009:JYH325041 JOL325009:JOL325041 JEP325009:JEP325041 IUT325009:IUT325041 IKX325009:IKX325041 IBB325009:IBB325041 HRF325009:HRF325041 HHJ325009:HHJ325041 GXN325009:GXN325041 GNR325009:GNR325041 GDV325009:GDV325041 FTZ325009:FTZ325041 FKD325009:FKD325041 FAH325009:FAH325041 EQL325009:EQL325041 EGP325009:EGP325041 DWT325009:DWT325041 DMX325009:DMX325041 DDB325009:DDB325041 CTF325009:CTF325041 CJJ325009:CJJ325041 BZN325009:BZN325041 BPR325009:BPR325041 BFV325009:BFV325041 AVZ325009:AVZ325041 AMD325009:AMD325041 ACH325009:ACH325041 SL325009:SL325041 IP325009:IP325041 WVB259473:WVB259505 WLF259473:WLF259505 WBJ259473:WBJ259505 VRN259473:VRN259505 VHR259473:VHR259505 UXV259473:UXV259505 UNZ259473:UNZ259505 UED259473:UED259505 TUH259473:TUH259505 TKL259473:TKL259505 TAP259473:TAP259505 SQT259473:SQT259505 SGX259473:SGX259505 RXB259473:RXB259505 RNF259473:RNF259505 RDJ259473:RDJ259505 QTN259473:QTN259505 QJR259473:QJR259505 PZV259473:PZV259505 PPZ259473:PPZ259505 PGD259473:PGD259505 OWH259473:OWH259505 OML259473:OML259505 OCP259473:OCP259505 NST259473:NST259505 NIX259473:NIX259505 MZB259473:MZB259505 MPF259473:MPF259505 MFJ259473:MFJ259505 LVN259473:LVN259505 LLR259473:LLR259505 LBV259473:LBV259505 KRZ259473:KRZ259505 KID259473:KID259505 JYH259473:JYH259505 JOL259473:JOL259505 JEP259473:JEP259505 IUT259473:IUT259505 IKX259473:IKX259505 IBB259473:IBB259505 HRF259473:HRF259505 HHJ259473:HHJ259505 GXN259473:GXN259505 GNR259473:GNR259505 GDV259473:GDV259505 FTZ259473:FTZ259505 FKD259473:FKD259505 FAH259473:FAH259505 EQL259473:EQL259505 EGP259473:EGP259505 DWT259473:DWT259505 DMX259473:DMX259505 DDB259473:DDB259505 CTF259473:CTF259505 CJJ259473:CJJ259505 BZN259473:BZN259505 BPR259473:BPR259505 BFV259473:BFV259505 AVZ259473:AVZ259505 AMD259473:AMD259505 ACH259473:ACH259505 SL259473:SL259505 IP259473:IP259505 WVB193937:WVB193969 WLF193937:WLF193969 WBJ193937:WBJ193969 VRN193937:VRN193969 VHR193937:VHR193969 UXV193937:UXV193969 UNZ193937:UNZ193969 UED193937:UED193969 TUH193937:TUH193969 TKL193937:TKL193969 TAP193937:TAP193969 SQT193937:SQT193969 SGX193937:SGX193969 RXB193937:RXB193969 RNF193937:RNF193969 RDJ193937:RDJ193969 QTN193937:QTN193969 QJR193937:QJR193969 PZV193937:PZV193969 PPZ193937:PPZ193969 PGD193937:PGD193969 OWH193937:OWH193969 OML193937:OML193969 OCP193937:OCP193969 NST193937:NST193969 NIX193937:NIX193969 MZB193937:MZB193969 MPF193937:MPF193969 MFJ193937:MFJ193969 LVN193937:LVN193969 LLR193937:LLR193969 LBV193937:LBV193969 KRZ193937:KRZ193969 KID193937:KID193969 JYH193937:JYH193969 JOL193937:JOL193969 JEP193937:JEP193969 IUT193937:IUT193969 IKX193937:IKX193969 IBB193937:IBB193969 HRF193937:HRF193969 HHJ193937:HHJ193969 GXN193937:GXN193969 GNR193937:GNR193969 GDV193937:GDV193969 FTZ193937:FTZ193969 FKD193937:FKD193969 FAH193937:FAH193969 EQL193937:EQL193969 EGP193937:EGP193969 DWT193937:DWT193969 DMX193937:DMX193969 DDB193937:DDB193969 CTF193937:CTF193969 CJJ193937:CJJ193969 BZN193937:BZN193969 BPR193937:BPR193969 BFV193937:BFV193969 AVZ193937:AVZ193969 AMD193937:AMD193969 ACH193937:ACH193969 SL193937:SL193969 IP193937:IP193969 WVB128401:WVB128433 WLF128401:WLF128433 WBJ128401:WBJ128433 VRN128401:VRN128433 VHR128401:VHR128433 UXV128401:UXV128433 UNZ128401:UNZ128433 UED128401:UED128433 TUH128401:TUH128433 TKL128401:TKL128433 TAP128401:TAP128433 SQT128401:SQT128433 SGX128401:SGX128433 RXB128401:RXB128433 RNF128401:RNF128433 RDJ128401:RDJ128433 QTN128401:QTN128433 QJR128401:QJR128433 PZV128401:PZV128433 PPZ128401:PPZ128433 PGD128401:PGD128433 OWH128401:OWH128433 OML128401:OML128433 OCP128401:OCP128433 NST128401:NST128433 NIX128401:NIX128433 MZB128401:MZB128433 MPF128401:MPF128433 MFJ128401:MFJ128433 LVN128401:LVN128433 LLR128401:LLR128433 LBV128401:LBV128433 KRZ128401:KRZ128433 KID128401:KID128433 JYH128401:JYH128433 JOL128401:JOL128433 JEP128401:JEP128433 IUT128401:IUT128433 IKX128401:IKX128433 IBB128401:IBB128433 HRF128401:HRF128433 HHJ128401:HHJ128433 GXN128401:GXN128433 GNR128401:GNR128433 GDV128401:GDV128433 FTZ128401:FTZ128433 FKD128401:FKD128433 FAH128401:FAH128433 EQL128401:EQL128433 EGP128401:EGP128433 DWT128401:DWT128433 DMX128401:DMX128433 DDB128401:DDB128433 CTF128401:CTF128433 CJJ128401:CJJ128433 BZN128401:BZN128433 BPR128401:BPR128433 BFV128401:BFV128433 AVZ128401:AVZ128433 AMD128401:AMD128433 ACH128401:ACH128433 SL128401:SL128433 IP128401:IP128433 WVB62865:WVB62897 WLF62865:WLF62897 WBJ62865:WBJ62897 VRN62865:VRN62897 VHR62865:VHR62897 UXV62865:UXV62897 UNZ62865:UNZ62897 UED62865:UED62897 TUH62865:TUH62897 TKL62865:TKL62897 TAP62865:TAP62897 SQT62865:SQT62897 SGX62865:SGX62897 RXB62865:RXB62897 RNF62865:RNF62897 RDJ62865:RDJ62897 QTN62865:QTN62897 QJR62865:QJR62897 PZV62865:PZV62897 PPZ62865:PPZ62897 PGD62865:PGD62897 OWH62865:OWH62897 OML62865:OML62897 OCP62865:OCP62897 NST62865:NST62897 NIX62865:NIX62897 MZB62865:MZB62897 MPF62865:MPF62897 MFJ62865:MFJ62897 LVN62865:LVN62897 LLR62865:LLR62897 LBV62865:LBV62897 KRZ62865:KRZ62897 KID62865:KID62897 JYH62865:JYH62897 JOL62865:JOL62897 JEP62865:JEP62897 IUT62865:IUT62897 IKX62865:IKX62897 IBB62865:IBB62897 HRF62865:HRF62897 HHJ62865:HHJ62897 GXN62865:GXN62897 GNR62865:GNR62897 GDV62865:GDV62897 FTZ62865:FTZ62897 FKD62865:FKD62897 FAH62865:FAH62897 EQL62865:EQL62897 EGP62865:EGP62897 DWT62865:DWT62897 DMX62865:DMX62897 DDB62865:DDB62897 CTF62865:CTF62897 CJJ62865:CJJ62897 BZN62865:BZN62897 BPR62865:BPR62897 BFV62865:BFV62897 AVZ62865:AVZ62897 AMD62865:AMD62897 ACH62865:ACH62897 SL62865:SL62897 IP62865:IP62897 A128364:A128396 A193900:A193932 A259436:A259468 A324972:A325004 A390508:A390540 A456044:A456076 A521580:A521612 A587116:A587148 A652652:A652684 A718188:A718220 A783724:A783756 A849260:A849292 A914796:A914828 A980332:A980364 A62828:A62860" xr:uid="{00000000-0002-0000-0100-000000000000}"/>
  </dataValidations>
  <printOptions horizontalCentered="1"/>
  <pageMargins left="0.25" right="0.25" top="0.75" bottom="0.75" header="0.3" footer="0.3"/>
  <pageSetup paperSize="9" scale="60" fitToWidth="0" fitToHeight="0" orientation="portrait" r:id="rId1"/>
  <headerFooter>
    <oddFooter>&amp;C&amp;"Calibri,標準"&amp;11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INVOICE</vt:lpstr>
      <vt:lpstr>PACKING </vt:lpstr>
      <vt:lpstr>DETAIL PACKING</vt:lpstr>
      <vt:lpstr>'DETAIL PACKING'!Print_Area</vt:lpstr>
      <vt:lpstr>INVOICE!Print_Area</vt:lpstr>
      <vt:lpstr>'PACKING '!Print_Area</vt:lpstr>
      <vt:lpstr>'DETAIL PACKING'!Print_Titles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 Jin</dc:creator>
  <cp:lastModifiedBy>EXIM2</cp:lastModifiedBy>
  <cp:lastPrinted>2026-04-22T07:41:09Z</cp:lastPrinted>
  <dcterms:created xsi:type="dcterms:W3CDTF">2019-01-13T09:27:07Z</dcterms:created>
  <dcterms:modified xsi:type="dcterms:W3CDTF">2026-04-22T08:13:47Z</dcterms:modified>
</cp:coreProperties>
</file>