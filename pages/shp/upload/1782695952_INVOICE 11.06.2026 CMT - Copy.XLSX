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11.06.2026\"/>
    </mc:Choice>
  </mc:AlternateContent>
  <xr:revisionPtr revIDLastSave="0" documentId="13_ncr:1_{69FC38EA-A06F-4417-BBC8-190F0C3DF080}" xr6:coauthVersionLast="47" xr6:coauthVersionMax="47" xr10:uidLastSave="{00000000-0000-0000-0000-000000000000}"/>
  <bookViews>
    <workbookView xWindow="-120" yWindow="-120" windowWidth="20730" windowHeight="11160" activeTab="10" xr2:uid="{00000000-000D-0000-FFFF-FFFF00000000}"/>
  </bookViews>
  <sheets>
    <sheet name="Sheet1" sheetId="128" r:id="rId1"/>
    <sheet name="reff" sheetId="162" r:id="rId2"/>
    <sheet name="150" sheetId="129" r:id="rId3"/>
    <sheet name="151" sheetId="133" r:id="rId4"/>
    <sheet name="152" sheetId="134" r:id="rId5"/>
    <sheet name="153" sheetId="135" r:id="rId6"/>
    <sheet name="154" sheetId="137" r:id="rId7"/>
    <sheet name="155" sheetId="138" r:id="rId8"/>
    <sheet name="156" sheetId="141" r:id="rId9"/>
    <sheet name="157" sheetId="142" r:id="rId10"/>
    <sheet name="158" sheetId="143" r:id="rId11"/>
  </sheets>
  <externalReferences>
    <externalReference r:id="rId12"/>
    <externalReference r:id="rId13"/>
    <externalReference r:id="rId14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'150'!$B$1:$I$58</definedName>
    <definedName name="_xlnm.Print_Area" localSheetId="3">'151'!$B$1:$I$58</definedName>
    <definedName name="_xlnm.Print_Area" localSheetId="4">'152'!$B$1:$I$57</definedName>
    <definedName name="_xlnm.Print_Area" localSheetId="5">'153'!$B$1:$I$58</definedName>
    <definedName name="_xlnm.Print_Area" localSheetId="6">'154'!$B$1:$I$57</definedName>
    <definedName name="_xlnm.Print_Area" localSheetId="7">'155'!$B$1:$I$57</definedName>
    <definedName name="_xlnm.Print_Area" localSheetId="8">'156'!$B$1:$I$57</definedName>
    <definedName name="_xlnm.Print_Area" localSheetId="9">'157'!$B$1:$I$57</definedName>
    <definedName name="_xlnm.Print_Area" localSheetId="10">'158'!$B$1:$I$58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43" l="1"/>
  <c r="F35" i="135"/>
  <c r="I33" i="135"/>
  <c r="F32" i="141"/>
  <c r="F32" i="138"/>
  <c r="F32" i="134" l="1"/>
  <c r="I33" i="133"/>
  <c r="I32" i="138" l="1"/>
  <c r="F34" i="138"/>
  <c r="I33" i="129"/>
  <c r="I34" i="138" l="1"/>
  <c r="F35" i="133" l="1"/>
  <c r="F35" i="129" l="1"/>
  <c r="F32" i="142"/>
  <c r="F34" i="142" s="1"/>
  <c r="I32" i="134"/>
  <c r="C3" i="133"/>
  <c r="F34" i="141"/>
  <c r="F32" i="137"/>
  <c r="H3" i="142"/>
  <c r="H3" i="141"/>
  <c r="H3" i="138"/>
  <c r="H3" i="137"/>
  <c r="H3" i="135"/>
  <c r="H3" i="134"/>
  <c r="I32" i="141" l="1"/>
  <c r="I34" i="141" s="1"/>
  <c r="F34" i="137"/>
  <c r="I32" i="129" l="1"/>
  <c r="I35" i="129" s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3" i="129"/>
  <c r="H52" i="134"/>
  <c r="H53" i="135"/>
  <c r="H52" i="137"/>
  <c r="H52" i="138"/>
  <c r="H53" i="143"/>
  <c r="H53" i="133"/>
  <c r="F35" i="143" l="1"/>
  <c r="I32" i="143"/>
  <c r="I35" i="143" s="1"/>
  <c r="I37" i="143" s="1"/>
  <c r="I39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5" l="1"/>
  <c r="I37" i="135" s="1"/>
  <c r="I39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7" i="129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</calcChain>
</file>

<file path=xl/sharedStrings.xml><?xml version="1.0" encoding="utf-8"?>
<sst xmlns="http://schemas.openxmlformats.org/spreadsheetml/2006/main" count="887" uniqueCount="210">
  <si>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</si>
  <si>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</si>
  <si>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</si>
  <si>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</si>
  <si>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</si>
  <si>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</si>
  <si>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</si>
  <si>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</si>
  <si>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</si>
  <si>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</si>
  <si>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</si>
  <si>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</si>
  <si>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</si>
  <si>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</si>
  <si>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</si>
  <si>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</si>
  <si>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</si>
  <si>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</si>
  <si>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</si>
  <si>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</si>
  <si>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</si>
  <si>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</si>
  <si>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</si>
  <si>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</si>
  <si>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</si>
  <si>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</si>
  <si>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</si>
  <si>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</si>
  <si>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</si>
  <si>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</si>
  <si>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</si>
  <si>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</si>
  <si>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</si>
  <si>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</si>
  <si>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</si>
  <si>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</si>
  <si>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</si>
  <si>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</si>
  <si>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</si>
  <si>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</si>
  <si>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</si>
  <si>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</si>
  <si>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</si>
  <si>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</si>
  <si>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</si>
  <si>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</si>
  <si>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</si>
  <si>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</si>
  <si>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</si>
  <si>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</si>
  <si>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</si>
  <si>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</si>
  <si>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</si>
  <si>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</si>
  <si>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</si>
  <si>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</si>
  <si>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</si>
  <si>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</si>
  <si>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</si>
  <si>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</si>
  <si>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</si>
  <si>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</si>
  <si>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</si>
  <si>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</si>
  <si>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</si>
  <si>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</si>
  <si>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</si>
  <si>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</si>
  <si>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</si>
  <si>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</si>
  <si>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</si>
  <si>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</si>
  <si>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</si>
  <si>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</si>
  <si>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</si>
  <si>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</si>
  <si>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</si>
  <si>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</si>
  <si>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</si>
  <si>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</si>
  <si>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</si>
  <si>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</si>
  <si>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</si>
  <si>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</si>
  <si>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</si>
  <si>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</si>
  <si>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</si>
  <si>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</si>
  <si>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</si>
  <si>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</si>
  <si>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</si>
  <si>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</si>
  <si>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</si>
  <si>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</si>
  <si>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</si>
  <si>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</si>
  <si>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</si>
  <si>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</si>
  <si>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</si>
  <si>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</si>
  <si>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</si>
  <si>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</si>
  <si>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</si>
  <si>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</si>
  <si>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</si>
  <si>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</si>
  <si>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</si>
  <si>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</si>
  <si>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</si>
  <si>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</si>
  <si>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</si>
  <si>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</si>
  <si>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</si>
  <si>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</si>
  <si>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</si>
  <si>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</si>
  <si>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</si>
  <si>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</si>
  <si>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</si>
  <si>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</si>
  <si>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</si>
  <si>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</si>
  <si>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</si>
  <si>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</si>
  <si>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</si>
  <si>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</si>
  <si>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</si>
  <si>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</si>
  <si>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</si>
  <si>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</si>
  <si>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</si>
  <si>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</si>
  <si>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</si>
  <si>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</si>
  <si>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</si>
  <si>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</si>
  <si>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</si>
  <si>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</si>
  <si>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</si>
  <si>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</si>
  <si>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</si>
  <si>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</si>
  <si>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</si>
  <si>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</si>
  <si>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</si>
  <si>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</si>
  <si>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</si>
  <si>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</si>
  <si>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</si>
  <si>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</si>
  <si>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</si>
  <si>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</si>
  <si>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</si>
  <si>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</si>
  <si>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</si>
  <si>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</si>
  <si>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</si>
  <si>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</si>
  <si>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</si>
  <si>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</si>
  <si>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</si>
  <si>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</si>
  <si>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</si>
  <si>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</si>
  <si>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</si>
  <si>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</si>
  <si>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</si>
  <si>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</si>
  <si>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</si>
  <si>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</si>
  <si>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</si>
  <si>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</si>
  <si>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</si>
  <si>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</si>
  <si>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</si>
  <si>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</si>
  <si>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</si>
  <si>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</si>
  <si>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</si>
  <si>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</si>
  <si>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01</t>
  </si>
  <si>
    <t>BLACK LEOPARD, PINK LEOPARD HEART</t>
  </si>
  <si>
    <t>GIRLS COTTON FIBERS, KNIT PULLOVER, WITH NO NECK CLOSURE, STITCH COUNT IS GREATER THAN 9/2CM, REACHES WAIST [100% COTTON]</t>
  </si>
  <si>
    <t>265K0051</t>
  </si>
  <si>
    <t>BRIGHT WHITE</t>
  </si>
  <si>
    <t>04</t>
  </si>
  <si>
    <t xml:space="preserve"> 265K0075 </t>
  </si>
  <si>
    <t>SHOOTING STAR</t>
  </si>
  <si>
    <t>21</t>
  </si>
  <si>
    <t>WOMENS COTTON FIBERS, KNIT PULLOVER, WITH NO NECK CLOSURE, STITCH COUNT IS GREATER THAN 9/2CM, REACHES WAIST, SLEEVELESS [95% COTTON 5% ELASTANE]</t>
  </si>
  <si>
    <t>265K0052</t>
  </si>
  <si>
    <t>265K0058</t>
  </si>
  <si>
    <t>265K0005</t>
  </si>
  <si>
    <t>RED TAPE</t>
  </si>
  <si>
    <t>BOYS COTTON FIBERS, KNIT SHIRT, WITH NECK CLOSURE, STITCH COUNT EQUAL OR IS GREATER THAN 10/1CM, HEM BOTTOM [60% COTTON 40% POLYESTER</t>
  </si>
  <si>
    <t>BOYS COTTON FIBERS, KNIT SHIRT, WITH NECK CLOSURE, STITCH COUNT EQUAL OR IS GREATER THAN 10/1CM, HEM BOTTOM [60% COTTON 40% POLYESTER]</t>
  </si>
  <si>
    <t>BLACK JACK</t>
  </si>
  <si>
    <t>03</t>
  </si>
  <si>
    <t>MONET BLUE</t>
  </si>
  <si>
    <t>05</t>
  </si>
  <si>
    <t>BLACK JACK, BLUE TANGO, DARK GREEN, RED TAPE, RON BURGUNDY</t>
  </si>
  <si>
    <t>04, 07, 06, 01, 05</t>
  </si>
  <si>
    <t>CALLA LILY 451, INK BLUE, MONET BLUE</t>
  </si>
  <si>
    <t>00, 02, 03</t>
  </si>
  <si>
    <t>CALLA LILY 451</t>
  </si>
  <si>
    <t>00</t>
  </si>
  <si>
    <t>GIRLS COTTON FIBERS, KNIT PULLOVER, WITH NO NECK CLOSURE, STITCH COUNT IS GREATER THAN 9/2CM, REACHES WAIST [60% COTTON 40% RECYCLED POLYESTER]</t>
  </si>
  <si>
    <t>COMERCIAL INVOICE CMT</t>
  </si>
  <si>
    <t>BLUSH HUE, BLACKJACK JAS</t>
  </si>
  <si>
    <t>02, 01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</si>
</sst>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9" sqref="I9"/>
    </sheetView>
  </sheetViews>
  <sheetFormatPr defaultRowHeight="12.75" x14ac:dyDescent="0.2"/>
  <sheetData>
    <row r="2" spans="2:9" ht="15" x14ac:dyDescent="0.25">
      <c r="B2" s="57">
        <v>1</v>
      </c>
      <c r="C2" t="s">
        <v>183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183</v>
      </c>
      <c r="E3" s="57">
        <v>2</v>
      </c>
      <c r="F3">
        <v>416363</v>
      </c>
      <c r="H3" s="57">
        <v>2</v>
      </c>
      <c r="I3" s="58" t="s">
        <v>178</v>
      </c>
    </row>
    <row r="4" spans="2:9" ht="15" x14ac:dyDescent="0.25">
      <c r="B4" s="57">
        <v>3</v>
      </c>
      <c r="C4" t="s">
        <v>183</v>
      </c>
      <c r="E4" s="57">
        <v>3</v>
      </c>
      <c r="F4">
        <v>416363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183</v>
      </c>
      <c r="E5" s="57">
        <v>4</v>
      </c>
      <c r="F5">
        <v>416363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190</v>
      </c>
      <c r="E6" s="57">
        <v>5</v>
      </c>
      <c r="F6">
        <v>767468</v>
      </c>
      <c r="H6" s="57">
        <v>5</v>
      </c>
      <c r="I6" s="58" t="s">
        <v>177</v>
      </c>
    </row>
    <row r="7" spans="2:9" ht="15" x14ac:dyDescent="0.25">
      <c r="B7" s="57">
        <v>6</v>
      </c>
      <c r="C7" t="s">
        <v>190</v>
      </c>
      <c r="E7" s="57">
        <v>6</v>
      </c>
      <c r="F7">
        <v>767468</v>
      </c>
      <c r="H7" s="57">
        <v>6</v>
      </c>
      <c r="I7" s="58" t="s">
        <v>177</v>
      </c>
    </row>
    <row r="8" spans="2:9" ht="15" x14ac:dyDescent="0.25">
      <c r="B8" s="57">
        <v>7</v>
      </c>
      <c r="C8" t="s">
        <v>191</v>
      </c>
      <c r="E8" s="57">
        <v>7</v>
      </c>
      <c r="F8">
        <v>905994</v>
      </c>
      <c r="H8" s="57">
        <v>7</v>
      </c>
      <c r="I8" s="58" t="s">
        <v>178</v>
      </c>
    </row>
    <row r="9" spans="2:9" ht="15" x14ac:dyDescent="0.25">
      <c r="B9" s="57">
        <v>8</v>
      </c>
      <c r="C9" t="s">
        <v>186</v>
      </c>
      <c r="E9" s="57">
        <v>8</v>
      </c>
      <c r="F9">
        <v>692926</v>
      </c>
      <c r="H9" s="57">
        <v>8</v>
      </c>
      <c r="I9" s="58" t="s">
        <v>177</v>
      </c>
    </row>
    <row r="10" spans="2:9" ht="15" x14ac:dyDescent="0.25">
      <c r="B10" s="57">
        <v>9</v>
      </c>
      <c r="C10" t="s">
        <v>192</v>
      </c>
      <c r="E10" s="57">
        <v>9</v>
      </c>
      <c r="F10">
        <v>867788</v>
      </c>
      <c r="H10" s="57">
        <v>9</v>
      </c>
      <c r="I10" s="58" t="s">
        <v>178</v>
      </c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61730708</v>
      </c>
      <c r="K2" s="62">
        <v>5822</v>
      </c>
      <c r="L2" s="63">
        <v>64</v>
      </c>
      <c r="M2" s="63">
        <v>657.39599999999996</v>
      </c>
      <c r="N2" s="63">
        <v>669.04</v>
      </c>
      <c r="O2" s="63">
        <v>726.79</v>
      </c>
      <c r="P2" s="63" t="s">
        <v>54</v>
      </c>
      <c r="Q2" s="63">
        <v>3.5390000000000001</v>
      </c>
      <c r="R2" s="63" t="s">
        <v>62</v>
      </c>
    </row>
    <row r="3" spans="2:22" x14ac:dyDescent="0.2">
      <c r="B3" s="6" t="s">
        <v>53</v>
      </c>
      <c r="C3" s="64">
        <v>150</v>
      </c>
      <c r="D3" s="5"/>
      <c r="E3" s="5"/>
      <c r="F3" s="5"/>
      <c r="G3" s="5" t="s">
        <v>52</v>
      </c>
      <c r="H3" s="31"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61730708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726.79</v>
      </c>
      <c r="G23" s="23">
        <f>+N2</f>
        <v>669.04</v>
      </c>
      <c r="H23" s="23">
        <f>+M2</f>
        <v>657.39599999999996</v>
      </c>
      <c r="I23" s="48">
        <f>+L2</f>
        <v>64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30.75" customHeight="1" x14ac:dyDescent="0.2">
      <c r="B32" s="41" t="s">
        <v>185</v>
      </c>
      <c r="C32" s="19" t="s">
        <v>184</v>
      </c>
      <c r="D32" s="67"/>
      <c r="E32" s="68"/>
      <c r="F32" s="67">
        <v>2817</v>
      </c>
      <c r="G32" s="68"/>
      <c r="H32" s="17">
        <v>0.9</v>
      </c>
      <c r="I32" s="18">
        <f>+H32*F32</f>
        <v>2535.3000000000002</v>
      </c>
      <c r="K32" s="46"/>
      <c r="M32" s="39"/>
    </row>
    <row r="33" spans="2:13" ht="36.75" customHeight="1" x14ac:dyDescent="0.2">
      <c r="B33" s="41" t="s">
        <v>180</v>
      </c>
      <c r="C33" s="19" t="s">
        <v>193</v>
      </c>
      <c r="D33" s="67"/>
      <c r="E33" s="68"/>
      <c r="F33" s="67">
        <v>3005</v>
      </c>
      <c r="G33" s="68"/>
      <c r="H33" s="17">
        <v>0.9</v>
      </c>
      <c r="I33" s="18">
        <f>+H33*F33</f>
        <v>2704.5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48"/>
    </row>
    <row r="35" spans="2:13" ht="21.75" customHeight="1" x14ac:dyDescent="0.2">
      <c r="B35" s="15" t="s">
        <v>14</v>
      </c>
      <c r="C35" s="15"/>
      <c r="D35" s="83"/>
      <c r="E35" s="84"/>
      <c r="F35" s="67">
        <f>SUM(F31:G34)</f>
        <v>5822</v>
      </c>
      <c r="G35" s="68"/>
      <c r="H35" s="15"/>
      <c r="I35" s="14">
        <f>SUM(I32:I34)</f>
        <v>5239.8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5239.8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5239.8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61730709</v>
      </c>
      <c r="K2" s="62">
        <v>1982</v>
      </c>
      <c r="L2" s="63">
        <v>22</v>
      </c>
      <c r="M2" s="63">
        <v>220.441</v>
      </c>
      <c r="N2" s="63">
        <v>224.405</v>
      </c>
      <c r="O2" s="63">
        <v>244.655</v>
      </c>
      <c r="P2" s="63" t="s">
        <v>54</v>
      </c>
      <c r="Q2" s="63">
        <v>1.2250000000000001</v>
      </c>
      <c r="R2" s="63" t="s">
        <v>62</v>
      </c>
    </row>
    <row r="3" spans="2:22" x14ac:dyDescent="0.2">
      <c r="B3" s="6" t="s">
        <v>53</v>
      </c>
      <c r="C3" s="64">
        <f>+'150'!C3+1</f>
        <v>151</v>
      </c>
      <c r="D3" s="5"/>
      <c r="E3" s="5"/>
      <c r="F3" s="5"/>
      <c r="G3" s="5" t="s">
        <v>52</v>
      </c>
      <c r="H3" s="31">
        <v>46196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61730709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244.655</v>
      </c>
      <c r="G23" s="23">
        <f>+N2</f>
        <v>224.405</v>
      </c>
      <c r="H23" s="23">
        <f>+M2</f>
        <v>220.441</v>
      </c>
      <c r="I23" s="48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8" t="s">
        <v>19</v>
      </c>
      <c r="E31" s="78"/>
      <c r="F31" s="78" t="s">
        <v>18</v>
      </c>
      <c r="G31" s="78"/>
      <c r="H31" s="48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184</v>
      </c>
      <c r="D32" s="67"/>
      <c r="E32" s="68"/>
      <c r="F32" s="67">
        <v>1978</v>
      </c>
      <c r="G32" s="68"/>
      <c r="H32" s="17">
        <v>0.9</v>
      </c>
      <c r="I32" s="18">
        <f>+H32*F32</f>
        <v>1780.2</v>
      </c>
      <c r="K32" s="46"/>
      <c r="M32" s="39"/>
    </row>
    <row r="33" spans="2:13" ht="27.75" customHeight="1" x14ac:dyDescent="0.2">
      <c r="B33" s="41" t="s">
        <v>180</v>
      </c>
      <c r="C33" s="19" t="s">
        <v>193</v>
      </c>
      <c r="D33" s="67"/>
      <c r="E33" s="68"/>
      <c r="F33" s="67">
        <v>4</v>
      </c>
      <c r="G33" s="68"/>
      <c r="H33" s="17">
        <v>0.9</v>
      </c>
      <c r="I33" s="18">
        <f>+H33*F33</f>
        <v>3.6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48"/>
    </row>
    <row r="35" spans="2:13" ht="21.75" customHeight="1" x14ac:dyDescent="0.2">
      <c r="B35" s="15" t="s">
        <v>14</v>
      </c>
      <c r="C35" s="15"/>
      <c r="D35" s="83"/>
      <c r="E35" s="84"/>
      <c r="F35" s="67">
        <f>SUM(F31:G34)</f>
        <v>1982</v>
      </c>
      <c r="G35" s="68"/>
      <c r="H35" s="15"/>
      <c r="I35" s="14">
        <f>SUM(I32:I34)</f>
        <v>1783.8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1783.8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1783.8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61478746</v>
      </c>
      <c r="K2" s="63">
        <v>501</v>
      </c>
      <c r="L2" s="63">
        <v>8</v>
      </c>
      <c r="M2" s="63">
        <v>59.073</v>
      </c>
      <c r="N2" s="63">
        <v>60.075000000000003</v>
      </c>
      <c r="O2" s="63">
        <v>66.674999999999997</v>
      </c>
      <c r="P2" s="63" t="s">
        <v>54</v>
      </c>
      <c r="Q2" s="63">
        <v>0.313</v>
      </c>
      <c r="R2" s="63" t="s">
        <v>62</v>
      </c>
    </row>
    <row r="3" spans="2:22" x14ac:dyDescent="0.2">
      <c r="B3" s="6" t="s">
        <v>53</v>
      </c>
      <c r="C3" s="64">
        <f>+'151'!C3+1</f>
        <v>152</v>
      </c>
      <c r="D3" s="5"/>
      <c r="E3" s="5"/>
      <c r="F3" s="5"/>
      <c r="G3" s="5" t="s">
        <v>52</v>
      </c>
      <c r="H3" s="31">
        <f>+'150'!H3+0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61478746</v>
      </c>
      <c r="C21" s="53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66.674999999999997</v>
      </c>
      <c r="G23" s="23">
        <f>+N2</f>
        <v>60.075000000000003</v>
      </c>
      <c r="H23" s="23">
        <f>+M2</f>
        <v>59.073</v>
      </c>
      <c r="I23" s="54">
        <f>+L2</f>
        <v>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8" t="s">
        <v>19</v>
      </c>
      <c r="E31" s="78"/>
      <c r="F31" s="78" t="s">
        <v>18</v>
      </c>
      <c r="G31" s="78"/>
      <c r="H31" s="54" t="s">
        <v>17</v>
      </c>
      <c r="I31" s="19" t="s">
        <v>16</v>
      </c>
      <c r="M31"/>
    </row>
    <row r="32" spans="2:13" ht="27.75" customHeight="1" x14ac:dyDescent="0.2">
      <c r="B32" s="41" t="s">
        <v>197</v>
      </c>
      <c r="C32" s="19" t="s">
        <v>196</v>
      </c>
      <c r="D32" s="67"/>
      <c r="E32" s="68"/>
      <c r="F32" s="67">
        <f>+K2</f>
        <v>501</v>
      </c>
      <c r="G32" s="68"/>
      <c r="H32" s="17">
        <v>0.9</v>
      </c>
      <c r="I32" s="18">
        <f>+H32*F32</f>
        <v>450.90000000000003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4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501</v>
      </c>
      <c r="G34" s="68"/>
      <c r="H34" s="15"/>
      <c r="I34" s="14">
        <f>SUM(I32:I33)</f>
        <v>450.90000000000003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450.90000000000003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450.90000000000003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61717830</v>
      </c>
      <c r="K2" s="62">
        <v>4215</v>
      </c>
      <c r="L2" s="63">
        <v>48</v>
      </c>
      <c r="M2" s="63">
        <v>496.37</v>
      </c>
      <c r="N2" s="63">
        <v>504.8</v>
      </c>
      <c r="O2" s="63">
        <v>549.20000000000005</v>
      </c>
      <c r="P2" s="63" t="s">
        <v>54</v>
      </c>
      <c r="Q2" s="63">
        <v>2.65</v>
      </c>
      <c r="R2" s="63" t="s">
        <v>62</v>
      </c>
    </row>
    <row r="3" spans="2:22" x14ac:dyDescent="0.2">
      <c r="B3" s="6" t="s">
        <v>53</v>
      </c>
      <c r="C3" s="64">
        <f>+'152'!C3+1</f>
        <v>153</v>
      </c>
      <c r="D3" s="5"/>
      <c r="E3" s="5"/>
      <c r="F3" s="5"/>
      <c r="G3" s="5" t="s">
        <v>52</v>
      </c>
      <c r="H3" s="31">
        <f>+'150'!H3+0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61717830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549.20000000000005</v>
      </c>
      <c r="G23" s="23">
        <f>+N2</f>
        <v>504.8</v>
      </c>
      <c r="H23" s="23">
        <f>+M2</f>
        <v>496.37</v>
      </c>
      <c r="I23" s="55">
        <f>+L2</f>
        <v>48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33" customHeight="1" x14ac:dyDescent="0.2">
      <c r="B32" s="41" t="s">
        <v>185</v>
      </c>
      <c r="C32" s="19" t="s">
        <v>184</v>
      </c>
      <c r="D32" s="67"/>
      <c r="E32" s="68"/>
      <c r="F32" s="67">
        <v>3735</v>
      </c>
      <c r="G32" s="68"/>
      <c r="H32" s="17">
        <v>0.9</v>
      </c>
      <c r="I32" s="18">
        <f>+H32*F32</f>
        <v>3361.5</v>
      </c>
      <c r="K32" s="46"/>
      <c r="M32" s="39"/>
    </row>
    <row r="33" spans="2:13" ht="28.5" customHeight="1" x14ac:dyDescent="0.2">
      <c r="B33" s="41" t="s">
        <v>199</v>
      </c>
      <c r="C33" s="19" t="s">
        <v>198</v>
      </c>
      <c r="D33" s="67"/>
      <c r="E33" s="68"/>
      <c r="F33" s="67">
        <v>480</v>
      </c>
      <c r="G33" s="68"/>
      <c r="H33" s="17">
        <v>0.9</v>
      </c>
      <c r="I33" s="18">
        <f>+H33*F33</f>
        <v>432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9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4215</v>
      </c>
      <c r="G35" s="68"/>
      <c r="H35" s="15"/>
      <c r="I35" s="14">
        <f>SUM(I32:I33)</f>
        <v>3793.5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3793.5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3793.5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F36:G36"/>
    <mergeCell ref="D32:E32"/>
    <mergeCell ref="F32:G32"/>
    <mergeCell ref="B2:I2"/>
    <mergeCell ref="B26:I26"/>
    <mergeCell ref="B27:I27"/>
    <mergeCell ref="D31:E31"/>
    <mergeCell ref="F31:G31"/>
    <mergeCell ref="D35:E35"/>
    <mergeCell ref="F35:G35"/>
    <mergeCell ref="D36:E36"/>
    <mergeCell ref="D34:E34"/>
    <mergeCell ref="F34:G34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61478739</v>
      </c>
      <c r="K2" s="62">
        <v>2535</v>
      </c>
      <c r="L2" s="63">
        <v>64</v>
      </c>
      <c r="M2" s="63">
        <v>327.39999999999998</v>
      </c>
      <c r="N2" s="63">
        <v>378.1</v>
      </c>
      <c r="O2" s="63">
        <v>428.3</v>
      </c>
      <c r="P2" s="63" t="s">
        <v>54</v>
      </c>
      <c r="Q2" s="63">
        <v>2.125</v>
      </c>
      <c r="R2" s="63" t="s">
        <v>62</v>
      </c>
    </row>
    <row r="3" spans="2:22" x14ac:dyDescent="0.2">
      <c r="B3" s="6" t="s">
        <v>53</v>
      </c>
      <c r="C3" s="64">
        <f>+'153'!C3+1</f>
        <v>154</v>
      </c>
      <c r="D3" s="5"/>
      <c r="E3" s="5"/>
      <c r="F3" s="5"/>
      <c r="G3" s="5" t="s">
        <v>52</v>
      </c>
      <c r="H3" s="31">
        <f>+'150'!H3+0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61478739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428.3</v>
      </c>
      <c r="G23" s="23">
        <f>+N2</f>
        <v>378.1</v>
      </c>
      <c r="H23" s="23">
        <f>+M2</f>
        <v>327.39999999999998</v>
      </c>
      <c r="I23" s="55">
        <f>+L2</f>
        <v>64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58.5" customHeight="1" x14ac:dyDescent="0.2">
      <c r="B32" s="66" t="s">
        <v>201</v>
      </c>
      <c r="C32" s="19" t="s">
        <v>200</v>
      </c>
      <c r="D32" s="67"/>
      <c r="E32" s="68"/>
      <c r="F32" s="67">
        <f>+K2</f>
        <v>2535</v>
      </c>
      <c r="G32" s="68"/>
      <c r="H32" s="17">
        <v>1.05</v>
      </c>
      <c r="I32" s="18">
        <f>+H32*F32</f>
        <v>2661.75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5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2535</v>
      </c>
      <c r="G34" s="68"/>
      <c r="H34" s="15"/>
      <c r="I34" s="14">
        <f>SUM(I32:I33)</f>
        <v>2661.75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2661.75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2661.75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61716266</v>
      </c>
      <c r="K2" s="62">
        <v>3950</v>
      </c>
      <c r="L2" s="63">
        <v>62</v>
      </c>
      <c r="M2" s="63">
        <v>509.72</v>
      </c>
      <c r="N2" s="63">
        <v>588.72</v>
      </c>
      <c r="O2" s="63">
        <v>645.12</v>
      </c>
      <c r="P2" s="63" t="s">
        <v>54</v>
      </c>
      <c r="Q2" s="63">
        <v>3.2770000000000001</v>
      </c>
      <c r="R2" s="63" t="s">
        <v>62</v>
      </c>
    </row>
    <row r="3" spans="2:22" x14ac:dyDescent="0.2">
      <c r="B3" s="6" t="s">
        <v>53</v>
      </c>
      <c r="C3" s="64">
        <f>+'154'!C3+1</f>
        <v>155</v>
      </c>
      <c r="D3" s="5"/>
      <c r="E3" s="5"/>
      <c r="F3" s="5"/>
      <c r="G3" s="5" t="s">
        <v>52</v>
      </c>
      <c r="H3" s="31">
        <f>+'150'!H3+0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195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61716266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645.12</v>
      </c>
      <c r="G23" s="23">
        <f>+N2</f>
        <v>588.72</v>
      </c>
      <c r="H23" s="23">
        <f>+M2</f>
        <v>509.72</v>
      </c>
      <c r="I23" s="55">
        <f>+L2</f>
        <v>62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BOYS COTTON FIBERS, KNIT SHIRT, WITH NECK CLOSURE, STITCH COUNT EQUAL OR IS GREATER THAN 10/1CM, HEM BOTTOM [60% COTTON 40%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7.75" customHeight="1" x14ac:dyDescent="0.2">
      <c r="B32" s="41" t="s">
        <v>203</v>
      </c>
      <c r="C32" s="19" t="s">
        <v>202</v>
      </c>
      <c r="D32" s="67"/>
      <c r="E32" s="68"/>
      <c r="F32" s="67">
        <f>+K2</f>
        <v>3950</v>
      </c>
      <c r="G32" s="68"/>
      <c r="H32" s="17">
        <v>1.05</v>
      </c>
      <c r="I32" s="18">
        <f>+H32*F32</f>
        <v>4147.5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5"/>
    </row>
    <row r="34" spans="2:11" ht="21.75" customHeight="1" x14ac:dyDescent="0.2">
      <c r="B34" s="15" t="s">
        <v>14</v>
      </c>
      <c r="C34" s="15"/>
      <c r="D34" s="83"/>
      <c r="E34" s="84"/>
      <c r="F34" s="67">
        <f>SUM(F32:G32)</f>
        <v>3950</v>
      </c>
      <c r="G34" s="68"/>
      <c r="H34" s="15"/>
      <c r="I34" s="14">
        <f>SUM(I32:I32)</f>
        <v>4147.5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4147.5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4147.5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61742763</v>
      </c>
      <c r="K2" s="62">
        <v>2975</v>
      </c>
      <c r="L2" s="63">
        <v>39</v>
      </c>
      <c r="M2" s="63">
        <v>205.33500000000001</v>
      </c>
      <c r="N2" s="63">
        <v>211.285</v>
      </c>
      <c r="O2" s="63">
        <v>239.685</v>
      </c>
      <c r="P2" s="63" t="s">
        <v>54</v>
      </c>
      <c r="Q2" s="63">
        <v>1.3420000000000001</v>
      </c>
      <c r="R2" s="63" t="s">
        <v>62</v>
      </c>
    </row>
    <row r="3" spans="2:22" x14ac:dyDescent="0.2">
      <c r="B3" s="6" t="s">
        <v>53</v>
      </c>
      <c r="C3" s="64">
        <f>+'155'!C3+1</f>
        <v>156</v>
      </c>
      <c r="D3" s="5"/>
      <c r="E3" s="5"/>
      <c r="F3" s="5"/>
      <c r="G3" s="5" t="s">
        <v>52</v>
      </c>
      <c r="H3" s="31">
        <f>+'150'!H3+0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61742763</v>
      </c>
      <c r="C21" s="56">
        <f>VLOOKUP($K55,reff!E2:F29,2,0)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239.685</v>
      </c>
      <c r="G23" s="23">
        <f>+N2</f>
        <v>211.285</v>
      </c>
      <c r="H23" s="23">
        <f>+M2</f>
        <v>205.33500000000001</v>
      </c>
      <c r="I23" s="55">
        <f>+L2</f>
        <v>39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[100% COTTON]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181</v>
      </c>
      <c r="D32" s="67"/>
      <c r="E32" s="68"/>
      <c r="F32" s="67">
        <f>+K2</f>
        <v>2975</v>
      </c>
      <c r="G32" s="68"/>
      <c r="H32" s="17">
        <v>0.81</v>
      </c>
      <c r="I32" s="18">
        <f>+H32*F32</f>
        <v>2409.75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60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2975</v>
      </c>
      <c r="G34" s="68"/>
      <c r="H34" s="15"/>
      <c r="I34" s="14">
        <f>SUM(I32:I33)</f>
        <v>2409.75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2409.75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2409.75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61811916</v>
      </c>
      <c r="K2" s="63">
        <v>900</v>
      </c>
      <c r="L2" s="63">
        <v>18</v>
      </c>
      <c r="M2" s="63">
        <v>96.96</v>
      </c>
      <c r="N2" s="63">
        <v>105.96</v>
      </c>
      <c r="O2" s="63">
        <v>120.06</v>
      </c>
      <c r="P2" s="63" t="s">
        <v>54</v>
      </c>
      <c r="Q2" s="63">
        <v>0.60399999999999998</v>
      </c>
      <c r="R2" s="63" t="s">
        <v>62</v>
      </c>
    </row>
    <row r="3" spans="2:22" x14ac:dyDescent="0.2">
      <c r="B3" s="6" t="s">
        <v>53</v>
      </c>
      <c r="C3" s="64">
        <f>+'156'!C3+1</f>
        <v>157</v>
      </c>
      <c r="D3" s="5"/>
      <c r="E3" s="5"/>
      <c r="F3" s="5"/>
      <c r="G3" s="5" t="s">
        <v>52</v>
      </c>
      <c r="H3" s="31">
        <f>+'150'!H3+0</f>
        <v>46194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61811916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120.06</v>
      </c>
      <c r="G23" s="23">
        <f>+N2</f>
        <v>105.96</v>
      </c>
      <c r="H23" s="23">
        <f>+M2</f>
        <v>96.96</v>
      </c>
      <c r="I23" s="55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WOMENS COTTON FIBERS, KNIT PULLOVER, WITH NO NECK CLOSURE, STITCH COUNT IS GREATER THAN 9/2CM, REACHES WAIST, SLEEVELESS [95% COTTON 5% ELASTANE]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7.75" customHeight="1" x14ac:dyDescent="0.2">
      <c r="B32" s="41" t="s">
        <v>188</v>
      </c>
      <c r="C32" s="19" t="s">
        <v>187</v>
      </c>
      <c r="D32" s="67"/>
      <c r="E32" s="68"/>
      <c r="F32" s="67">
        <f>+K2</f>
        <v>900</v>
      </c>
      <c r="G32" s="68"/>
      <c r="H32" s="17">
        <v>0.76</v>
      </c>
      <c r="I32" s="18">
        <f>+H32*F32</f>
        <v>684</v>
      </c>
      <c r="K32" s="46"/>
      <c r="M32" s="39"/>
    </row>
    <row r="33" spans="2:11" ht="21" customHeight="1" x14ac:dyDescent="0.2">
      <c r="B33" s="15" t="s">
        <v>15</v>
      </c>
      <c r="C33" s="15"/>
      <c r="D33" s="72"/>
      <c r="E33" s="74"/>
      <c r="F33" s="72"/>
      <c r="G33" s="74"/>
      <c r="H33" s="17"/>
      <c r="I33" s="55"/>
    </row>
    <row r="34" spans="2:11" ht="21.75" customHeight="1" x14ac:dyDescent="0.2">
      <c r="B34" s="15" t="s">
        <v>14</v>
      </c>
      <c r="C34" s="15"/>
      <c r="D34" s="83"/>
      <c r="E34" s="84"/>
      <c r="F34" s="67">
        <f>SUM(F32:G33)</f>
        <v>900</v>
      </c>
      <c r="G34" s="68"/>
      <c r="H34" s="15"/>
      <c r="I34" s="14">
        <f>SUM(I32:I33)</f>
        <v>684</v>
      </c>
      <c r="J34" s="40"/>
      <c r="K34" s="40"/>
    </row>
    <row r="35" spans="2:11" ht="21.75" customHeight="1" x14ac:dyDescent="0.2">
      <c r="B35" s="16" t="s">
        <v>13</v>
      </c>
      <c r="C35" s="15"/>
      <c r="D35" s="72"/>
      <c r="E35" s="74"/>
      <c r="F35" s="72"/>
      <c r="G35" s="74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2"/>
      <c r="E36" s="74"/>
      <c r="F36" s="72"/>
      <c r="G36" s="74"/>
      <c r="H36" s="15"/>
      <c r="I36" s="14">
        <f>+I34</f>
        <v>684</v>
      </c>
    </row>
    <row r="37" spans="2:11" ht="20.25" customHeight="1" x14ac:dyDescent="0.2">
      <c r="B37" s="15" t="s">
        <v>80</v>
      </c>
      <c r="C37" s="72" t="s">
        <v>11</v>
      </c>
      <c r="D37" s="73"/>
      <c r="E37" s="73"/>
      <c r="F37" s="73"/>
      <c r="G37" s="73"/>
      <c r="H37" s="74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9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9" t="s">
        <v>207</v>
      </c>
      <c r="C2" s="70"/>
      <c r="D2" s="70"/>
      <c r="E2" s="70"/>
      <c r="F2" s="70"/>
      <c r="G2" s="70"/>
      <c r="H2" s="70"/>
      <c r="I2" s="71"/>
      <c r="J2" s="61">
        <v>62039949</v>
      </c>
      <c r="K2" s="62">
        <v>2000</v>
      </c>
      <c r="L2" s="63">
        <v>12</v>
      </c>
      <c r="M2" s="63">
        <v>151.30000000000001</v>
      </c>
      <c r="N2" s="63">
        <v>155.30000000000001</v>
      </c>
      <c r="O2" s="63">
        <v>167.3</v>
      </c>
      <c r="P2" s="63" t="s">
        <v>54</v>
      </c>
      <c r="Q2" s="63">
        <v>0.80500000000000005</v>
      </c>
      <c r="R2" s="63" t="s">
        <v>62</v>
      </c>
    </row>
    <row r="3" spans="2:22" x14ac:dyDescent="0.2">
      <c r="B3" s="6" t="s">
        <v>53</v>
      </c>
      <c r="C3" s="64">
        <f>+'157'!C3+1</f>
        <v>158</v>
      </c>
      <c r="D3" s="5"/>
      <c r="E3" s="5"/>
      <c r="F3" s="5"/>
      <c r="G3" s="5" t="s">
        <v>52</v>
      </c>
      <c r="H3" s="31">
        <v>46196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62039949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167.3</v>
      </c>
      <c r="G23" s="23">
        <f>+N2</f>
        <v>155.30000000000001</v>
      </c>
      <c r="H23" s="23">
        <f>+M2</f>
        <v>151.30000000000001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2" t="s">
        <v>23</v>
      </c>
      <c r="C26" s="73"/>
      <c r="D26" s="73"/>
      <c r="E26" s="73"/>
      <c r="F26" s="73"/>
      <c r="G26" s="73"/>
      <c r="H26" s="73"/>
      <c r="I26" s="74"/>
    </row>
    <row r="27" spans="2:13" ht="24.75" customHeight="1" x14ac:dyDescent="0.2">
      <c r="B27" s="75" t="str">
        <f>+K4</f>
        <v>GIRLS COTTON FIBERS, KNIT PULLOVER, WITH NO NECK CLOSURE, STITCH COUNT IS GREATER THAN 9/2CM, REACHES WAIST [60% COTTON 40% RECYCLED POLYESTER]</v>
      </c>
      <c r="C27" s="76"/>
      <c r="D27" s="76"/>
      <c r="E27" s="76"/>
      <c r="F27" s="76"/>
      <c r="G27" s="76"/>
      <c r="H27" s="76"/>
      <c r="I27" s="77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8" t="s">
        <v>19</v>
      </c>
      <c r="E31" s="78"/>
      <c r="F31" s="78" t="s">
        <v>18</v>
      </c>
      <c r="G31" s="78"/>
      <c r="H31" s="55" t="s">
        <v>17</v>
      </c>
      <c r="I31" s="19" t="s">
        <v>16</v>
      </c>
      <c r="M31"/>
    </row>
    <row r="32" spans="2:13" ht="24" customHeight="1" x14ac:dyDescent="0.2">
      <c r="B32" s="41" t="s">
        <v>205</v>
      </c>
      <c r="C32" s="19" t="s">
        <v>204</v>
      </c>
      <c r="D32" s="67"/>
      <c r="E32" s="68"/>
      <c r="F32" s="67">
        <v>170</v>
      </c>
      <c r="G32" s="68"/>
      <c r="H32" s="17">
        <v>0.71</v>
      </c>
      <c r="I32" s="18">
        <f>+H32*F32</f>
        <v>120.69999999999999</v>
      </c>
      <c r="K32" s="46"/>
      <c r="M32" s="39"/>
    </row>
    <row r="33" spans="2:13" ht="29.25" customHeight="1" x14ac:dyDescent="0.2">
      <c r="B33" s="41" t="s">
        <v>209</v>
      </c>
      <c r="C33" s="19" t="s">
        <v>208</v>
      </c>
      <c r="D33" s="67"/>
      <c r="E33" s="68"/>
      <c r="F33" s="67">
        <v>1830</v>
      </c>
      <c r="G33" s="68"/>
      <c r="H33" s="17">
        <v>0.71</v>
      </c>
      <c r="I33" s="18">
        <f>+H33*F33</f>
        <v>1299.3</v>
      </c>
      <c r="K33" s="46"/>
      <c r="M33" s="39"/>
    </row>
    <row r="34" spans="2:13" ht="21" customHeight="1" x14ac:dyDescent="0.2">
      <c r="B34" s="15" t="s">
        <v>15</v>
      </c>
      <c r="C34" s="15"/>
      <c r="D34" s="72"/>
      <c r="E34" s="74"/>
      <c r="F34" s="72"/>
      <c r="G34" s="74"/>
      <c r="H34" s="17"/>
      <c r="I34" s="55"/>
    </row>
    <row r="35" spans="2:13" ht="21.75" customHeight="1" x14ac:dyDescent="0.2">
      <c r="B35" s="15" t="s">
        <v>14</v>
      </c>
      <c r="C35" s="15"/>
      <c r="D35" s="83"/>
      <c r="E35" s="84"/>
      <c r="F35" s="67">
        <f>SUM(F32:G34)</f>
        <v>2000</v>
      </c>
      <c r="G35" s="68"/>
      <c r="H35" s="15"/>
      <c r="I35" s="14">
        <f>SUM(I32:I34)</f>
        <v>1420</v>
      </c>
      <c r="J35" s="40"/>
      <c r="K35" s="40"/>
    </row>
    <row r="36" spans="2:13" ht="21.75" customHeight="1" x14ac:dyDescent="0.2">
      <c r="B36" s="16" t="s">
        <v>13</v>
      </c>
      <c r="C36" s="15"/>
      <c r="D36" s="72"/>
      <c r="E36" s="74"/>
      <c r="F36" s="72"/>
      <c r="G36" s="74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2"/>
      <c r="E37" s="74"/>
      <c r="F37" s="72"/>
      <c r="G37" s="74"/>
      <c r="H37" s="15"/>
      <c r="I37" s="14">
        <f>+I35</f>
        <v>1420</v>
      </c>
    </row>
    <row r="38" spans="2:13" ht="20.25" customHeight="1" x14ac:dyDescent="0.2">
      <c r="B38" s="15" t="s">
        <v>80</v>
      </c>
      <c r="C38" s="72" t="s">
        <v>11</v>
      </c>
      <c r="D38" s="73"/>
      <c r="E38" s="73"/>
      <c r="F38" s="73"/>
      <c r="G38" s="73"/>
      <c r="H38" s="74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1420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265K0005</v>
      </c>
      <c r="I53" s="8"/>
      <c r="K53">
        <v>9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  <c r="K57">
        <v>9</v>
      </c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reff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'150'!Print_Area</vt:lpstr>
      <vt:lpstr>'151'!Print_Area</vt:lpstr>
      <vt:lpstr>'152'!Print_Area</vt:lpstr>
      <vt:lpstr>'153'!Print_Area</vt:lpstr>
      <vt:lpstr>'154'!Print_Area</vt:lpstr>
      <vt:lpstr>'155'!Print_Area</vt:lpstr>
      <vt:lpstr>'156'!Print_Area</vt:lpstr>
      <vt:lpstr>'157'!Print_Area</vt:lpstr>
      <vt:lpstr>'158'!Print_Area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2026-06-11T03:13:24Z</cp:lastPrinted>
  <dcterms:created xsi:type="dcterms:W3CDTF">2024-04-17T09:56:05Z</dcterms:created>
  <dcterms:modified xsi:type="dcterms:W3CDTF">2026-06-12T01:16:39Z</dcterms:modified>
</cp:coreProperties>
</file>