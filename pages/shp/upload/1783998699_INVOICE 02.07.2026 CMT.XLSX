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7. JULI\02.07.2026\"/>
    </mc:Choice>
  </mc:AlternateContent>
  <xr:revisionPtr revIDLastSave="0" documentId="13_ncr:1_{BD32C23A-02FD-4627-8264-FAE3081E7A2A}" xr6:coauthVersionLast="47" xr6:coauthVersionMax="47" xr10:uidLastSave="{00000000-0000-0000-0000-000000000000}"/>
  <bookViews>
    <workbookView xWindow="-120" yWindow="-120" windowWidth="20730" windowHeight="11160" firstSheet="1" activeTab="16" xr2:uid="{00000000-000D-0000-FFFF-FFFF00000000}"/>
  </bookViews>
  <sheets>
    <sheet name="Sheet1" sheetId="128" r:id="rId1"/>
    <sheet name="reff" sheetId="162" r:id="rId2"/>
    <sheet name="32" sheetId="129" r:id="rId3"/>
    <sheet name="33" sheetId="133" r:id="rId4"/>
    <sheet name="34" sheetId="134" r:id="rId5"/>
    <sheet name="35" sheetId="135" r:id="rId6"/>
    <sheet name="36" sheetId="137" r:id="rId7"/>
    <sheet name="37" sheetId="138" r:id="rId8"/>
    <sheet name="38" sheetId="141" r:id="rId9"/>
    <sheet name="39" sheetId="142" r:id="rId10"/>
    <sheet name="40" sheetId="143" r:id="rId11"/>
    <sheet name="41" sheetId="163" r:id="rId12"/>
    <sheet name="42" sheetId="164" r:id="rId13"/>
    <sheet name="43" sheetId="165" r:id="rId14"/>
    <sheet name="44" sheetId="166" r:id="rId15"/>
    <sheet name="45" sheetId="167" r:id="rId16"/>
    <sheet name="46" sheetId="168" r:id="rId17"/>
  </sheets>
  <externalReferences>
    <externalReference r:id="rId18"/>
    <externalReference r:id="rId19"/>
    <externalReference r:id="rId20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>[2]xdata!#REF!</definedName>
    <definedName name="INVOICE">[2]xdata!$B$2</definedName>
    <definedName name="_xlnm.Print_Area" localSheetId="2">'32'!$B$1:$I$57</definedName>
    <definedName name="_xlnm.Print_Area" localSheetId="3">'33'!$B$1:$I$57</definedName>
    <definedName name="_xlnm.Print_Area" localSheetId="4">'34'!$B$1:$I$57</definedName>
    <definedName name="_xlnm.Print_Area" localSheetId="5">'35'!$B$1:$I$57</definedName>
    <definedName name="_xlnm.Print_Area" localSheetId="6">'36'!$B$1:$I$57</definedName>
    <definedName name="_xlnm.Print_Area" localSheetId="7">'37'!$B$1:$I$57</definedName>
    <definedName name="_xlnm.Print_Area" localSheetId="8">'38'!$B$1:$I$57</definedName>
    <definedName name="_xlnm.Print_Area" localSheetId="9">'39'!$B$1:$I$57</definedName>
    <definedName name="_xlnm.Print_Area" localSheetId="10">'40'!$B$1:$I$57</definedName>
    <definedName name="_xlnm.Print_Area" localSheetId="11">'41'!$B$1:$I$57</definedName>
    <definedName name="_xlnm.Print_Area" localSheetId="12">'42'!$B$1:$I$57</definedName>
    <definedName name="_xlnm.Print_Area" localSheetId="13">'43'!$B$1:$I$57</definedName>
    <definedName name="_xlnm.Print_Area" localSheetId="14">'44'!$B$1:$I$57</definedName>
    <definedName name="_xlnm.Print_Area" localSheetId="15">'45'!$B$1:$I$57</definedName>
    <definedName name="_xlnm.Print_Area" localSheetId="16">'46'!$B$1:$I$57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2" i="168" l="1"/>
  <c r="F34" i="168"/>
  <c r="F32" i="168"/>
  <c r="I32" i="168" s="1"/>
  <c r="I34" i="168" s="1"/>
  <c r="I36" i="168" s="1"/>
  <c r="I38" i="168" s="1"/>
  <c r="B27" i="168"/>
  <c r="I23" i="168"/>
  <c r="H23" i="168"/>
  <c r="G23" i="168"/>
  <c r="F23" i="168"/>
  <c r="E23" i="168"/>
  <c r="E21" i="168"/>
  <c r="D21" i="168"/>
  <c r="C21" i="168"/>
  <c r="B21" i="168"/>
  <c r="G15" i="168"/>
  <c r="G16" i="168" s="1"/>
  <c r="G17" i="168" s="1"/>
  <c r="H21" i="168" s="1"/>
  <c r="B15" i="168"/>
  <c r="B16" i="168" s="1"/>
  <c r="B17" i="168" s="1"/>
  <c r="B18" i="168" s="1"/>
  <c r="G14" i="168"/>
  <c r="H3" i="168"/>
  <c r="F32" i="167" l="1"/>
  <c r="F34" i="167" s="1"/>
  <c r="F32" i="166"/>
  <c r="I32" i="166" s="1"/>
  <c r="I34" i="166" s="1"/>
  <c r="I36" i="166" s="1"/>
  <c r="I38" i="166" s="1"/>
  <c r="F32" i="165"/>
  <c r="F34" i="165" s="1"/>
  <c r="F32" i="164"/>
  <c r="I32" i="164" s="1"/>
  <c r="I34" i="164" s="1"/>
  <c r="I36" i="164" s="1"/>
  <c r="I38" i="164" s="1"/>
  <c r="F32" i="163"/>
  <c r="F34" i="163" s="1"/>
  <c r="F32" i="143"/>
  <c r="F32" i="135"/>
  <c r="F34" i="135" s="1"/>
  <c r="F32" i="133"/>
  <c r="F32" i="129"/>
  <c r="H52" i="167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3" i="167"/>
  <c r="H52" i="166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3" i="166"/>
  <c r="H52" i="165"/>
  <c r="B27" i="165"/>
  <c r="I23" i="165"/>
  <c r="H23" i="165"/>
  <c r="G23" i="165"/>
  <c r="F23" i="165"/>
  <c r="E23" i="165"/>
  <c r="E21" i="165"/>
  <c r="D21" i="165"/>
  <c r="C21" i="165"/>
  <c r="B21" i="165"/>
  <c r="B15" i="165"/>
  <c r="B16" i="165" s="1"/>
  <c r="B17" i="165" s="1"/>
  <c r="B18" i="165" s="1"/>
  <c r="G14" i="165"/>
  <c r="G15" i="165" s="1"/>
  <c r="G16" i="165" s="1"/>
  <c r="G17" i="165" s="1"/>
  <c r="H21" i="165" s="1"/>
  <c r="H3" i="165"/>
  <c r="H52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3" i="164"/>
  <c r="H52" i="163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H3" i="163"/>
  <c r="F32" i="141"/>
  <c r="F32" i="138"/>
  <c r="I32" i="167" l="1"/>
  <c r="I34" i="167" s="1"/>
  <c r="I36" i="167" s="1"/>
  <c r="I38" i="167" s="1"/>
  <c r="F34" i="166"/>
  <c r="I32" i="165"/>
  <c r="I34" i="165" s="1"/>
  <c r="I36" i="165" s="1"/>
  <c r="I38" i="165" s="1"/>
  <c r="F34" i="164"/>
  <c r="I32" i="163"/>
  <c r="I34" i="163" s="1"/>
  <c r="I36" i="163" s="1"/>
  <c r="I38" i="163" s="1"/>
  <c r="F32" i="134"/>
  <c r="I32" i="138" l="1"/>
  <c r="F34" i="138"/>
  <c r="I34" i="138" l="1"/>
  <c r="F34" i="133" l="1"/>
  <c r="F34" i="129" l="1"/>
  <c r="F32" i="142"/>
  <c r="F34" i="142" s="1"/>
  <c r="I32" i="134"/>
  <c r="C3" i="133"/>
  <c r="F34" i="141"/>
  <c r="F32" i="137"/>
  <c r="H3" i="143"/>
  <c r="H3" i="142"/>
  <c r="H3" i="141"/>
  <c r="H3" i="138"/>
  <c r="H3" i="137"/>
  <c r="H3" i="135"/>
  <c r="H3" i="134"/>
  <c r="H3" i="133"/>
  <c r="I32" i="141" l="1"/>
  <c r="I34" i="141" s="1"/>
  <c r="F34" i="137"/>
  <c r="I32" i="129" l="1"/>
  <c r="I34" i="129" s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2" i="134"/>
  <c r="H52" i="135"/>
  <c r="H52" i="137"/>
  <c r="H52" i="138"/>
  <c r="H52" i="143"/>
  <c r="H52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l="1"/>
  <c r="C3" i="163" s="1"/>
  <c r="C3" i="164" s="1"/>
  <c r="C3" i="165" s="1"/>
  <c r="C3" i="166" s="1"/>
  <c r="C3" i="167" l="1"/>
  <c r="C3" i="168" s="1"/>
</calcChain>
</file>

<file path=xl/sharedStrings.xml><?xml version="1.0" encoding="utf-8"?>
<sst xmlns="http://schemas.openxmlformats.org/spreadsheetml/2006/main" count="1360" uniqueCount="209">
  <si>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</si>
  <si>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</si>
  <si>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</si>
  <si>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</si>
  <si>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</si>
  <si>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</si>
  <si>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</si>
  <si>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</si>
  <si>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</si>
  <si>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</si>
  <si>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</si>
  <si>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</si>
  <si>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</si>
  <si>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</si>
  <si>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</si>
  <si>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</si>
  <si>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</si>
  <si>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</si>
  <si>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</si>
  <si>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</si>
  <si>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</si>
  <si>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</si>
  <si>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</si>
  <si>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</si>
  <si>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</si>
  <si>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</si>
  <si>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</si>
  <si>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</si>
  <si>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</si>
  <si>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</si>
  <si>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</si>
  <si>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</si>
  <si>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</si>
  <si>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</si>
  <si>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</si>
  <si>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</si>
  <si>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</si>
  <si>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</si>
  <si>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</si>
  <si>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</si>
  <si>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</si>
  <si>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</si>
  <si>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</si>
  <si>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</si>
  <si>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</si>
  <si>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</si>
  <si>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</si>
  <si>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</si>
  <si>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</si>
  <si>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</si>
  <si>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</si>
  <si>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</si>
  <si>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</si>
  <si>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</si>
  <si>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</si>
  <si>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</si>
  <si>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</si>
  <si>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</si>
  <si>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</si>
  <si>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</si>
  <si>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</si>
  <si>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</si>
  <si>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</si>
  <si>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</si>
  <si>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</si>
  <si>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</si>
  <si>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</si>
  <si>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</si>
  <si>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</si>
  <si>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</si>
  <si>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</si>
  <si>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</si>
  <si>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</si>
  <si>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</si>
  <si>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</si>
  <si>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</si>
  <si>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</si>
  <si>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</si>
  <si>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</si>
  <si>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</si>
  <si>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</si>
  <si>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</si>
  <si>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</si>
  <si>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</si>
  <si>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</si>
  <si>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</si>
  <si>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</si>
  <si>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</si>
  <si>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</si>
  <si>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</si>
  <si>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</si>
  <si>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</si>
  <si>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</si>
  <si>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</si>
  <si>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</si>
  <si>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</si>
  <si>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</si>
  <si>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</si>
  <si>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</si>
  <si>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</si>
  <si>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</si>
  <si>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</si>
  <si>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</si>
  <si>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</si>
  <si>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</si>
  <si>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</si>
  <si>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</si>
  <si>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</si>
  <si>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</si>
  <si>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</si>
  <si>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</si>
  <si>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</si>
  <si>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</si>
  <si>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</si>
  <si>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</si>
  <si>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</si>
  <si>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</si>
  <si>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</si>
  <si>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</si>
  <si>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</si>
  <si>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</si>
  <si>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</si>
  <si>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</si>
  <si>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</si>
  <si>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</si>
  <si>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</si>
  <si>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</si>
  <si>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</si>
  <si>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</si>
  <si>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</si>
  <si>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</si>
  <si>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</si>
  <si>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</si>
  <si>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</si>
  <si>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</si>
  <si>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</si>
  <si>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</si>
  <si>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</si>
  <si>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</si>
  <si>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</si>
  <si>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</si>
  <si>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</si>
  <si>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</si>
  <si>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</si>
  <si>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</si>
  <si>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</si>
  <si>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</si>
  <si>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</si>
  <si>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</si>
  <si>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</si>
  <si>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</si>
  <si>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</si>
  <si>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</si>
  <si>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</si>
  <si>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</si>
  <si>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</si>
  <si>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</si>
  <si>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</si>
  <si>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</si>
  <si>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</si>
  <si>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</si>
  <si>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</si>
  <si>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</si>
  <si>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</si>
  <si>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</si>
  <si>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</si>
  <si>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</si>
  <si>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</si>
  <si>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</si>
  <si>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</si>
  <si>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</si>
  <si>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</si>
  <si>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</si>
  <si>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</si>
  <si>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</si>
  <si>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</si>
  <si>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</si>
  <si>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</si>
  <si>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</si>
  <si>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00, 01</t>
  </si>
  <si>
    <t>BLACK LEOPARD, PINK LEOPARD HEART</t>
  </si>
  <si>
    <t>GIRLS COTTON FIBERS, KNIT PULLOVER, WITH NO NECK CLOSURE, STITCH COUNT IS GREATER THAN 9/2CM, REACHES WAIST [100% COTTON]</t>
  </si>
  <si>
    <t>265K0051</t>
  </si>
  <si>
    <t xml:space="preserve"> 265K0075 </t>
  </si>
  <si>
    <t>SHOOTING STAR</t>
  </si>
  <si>
    <t>21</t>
  </si>
  <si>
    <t>265K0052</t>
  </si>
  <si>
    <t>BOYS COTTON FIBERS, KNIT SHIRT, WITH NECK CLOSURE, STITCH COUNT EQUAL OR IS GREATER THAN 10/1CM, HEM BOTTOM [60% COTTON 40% POLYESTER]</t>
  </si>
  <si>
    <t>CALLA LILY 451, INK BLUE, MONET BLUE</t>
  </si>
  <si>
    <t>00, 02, 03</t>
  </si>
  <si>
    <t>265K0056</t>
  </si>
  <si>
    <t>265K0059</t>
  </si>
  <si>
    <t>BLACK JACK, RED TAPE, RON BURGUNDY</t>
  </si>
  <si>
    <t>04, 01, 05</t>
  </si>
  <si>
    <t>BLUE TANGO, DARK GREEN</t>
  </si>
  <si>
    <t>07, 06</t>
  </si>
  <si>
    <t>DUSKY LAVENDER, PRESSED FLOWER</t>
  </si>
  <si>
    <t>BLACK COFFEE, BLACK JACK 3, CALLA LILY 2</t>
  </si>
  <si>
    <t>13, 15, 20</t>
  </si>
  <si>
    <t>WOMENS COTTON FIBERS, KNIT PULLOVER, WITH NO NECK CLOSURE, STITCH COUNT IS GREATER THAN 9/2CM, REACHES WAIST, SLEEVELESS [96% COTTON 4% SPANDEX]</t>
  </si>
  <si>
    <t>BLACK JACK 3</t>
  </si>
  <si>
    <t>15</t>
  </si>
  <si>
    <t>BLUSH ON YOU</t>
  </si>
  <si>
    <t>22</t>
  </si>
  <si>
    <t>265K0058</t>
  </si>
  <si>
    <t>INK BLUE, MONET BLUE</t>
  </si>
  <si>
    <t>02, 05</t>
  </si>
  <si>
    <t>01, 00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</si>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</sst>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7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4" fontId="14" fillId="3" borderId="0" xfId="0" applyNumberFormat="1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46FA3E08-21C0-4433-A716-B1F45A60D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D7D257-BA55-4372-8490-FC4D30351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DCEFA181-E701-47AE-BD53-BC4EA829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0E2841-339D-4482-832F-8C4EBDD66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1A3B00C-4887-428C-A5B5-34455068B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2BF0CD-BD6B-450B-BD02-203743CF5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FCC83DB0-3C1A-439F-AB6A-7A4CA82BB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8101E4-C755-4232-A861-DCE177F0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EB8DE1AE-EF79-4230-9B5F-C3E615EF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72103C-02DF-467D-89F8-AFFE9D1E4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77575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92CD7B98-1A96-4091-8B3A-8549C94D4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9F4E0A-CBBA-48EF-B6FB-D66B44AE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K12" sqref="K12"/>
    </sheetView>
  </sheetViews>
  <sheetFormatPr defaultRowHeight="12.75" x14ac:dyDescent="0.2"/>
  <sheetData>
    <row r="2" spans="2:9" ht="15" x14ac:dyDescent="0.25">
      <c r="B2" s="57">
        <v>1</v>
      </c>
      <c r="C2" t="s">
        <v>182</v>
      </c>
      <c r="E2" s="57">
        <v>1</v>
      </c>
      <c r="F2">
        <v>416363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186</v>
      </c>
      <c r="E3" s="57">
        <v>2</v>
      </c>
      <c r="F3">
        <v>767468</v>
      </c>
      <c r="H3" s="57">
        <v>2</v>
      </c>
      <c r="I3" s="58" t="s">
        <v>177</v>
      </c>
    </row>
    <row r="4" spans="2:9" ht="15" x14ac:dyDescent="0.25">
      <c r="B4" s="57">
        <v>3</v>
      </c>
      <c r="C4" t="s">
        <v>186</v>
      </c>
      <c r="E4" s="57">
        <v>3</v>
      </c>
      <c r="F4">
        <v>767468</v>
      </c>
      <c r="H4" s="57">
        <v>3</v>
      </c>
      <c r="I4" s="58" t="s">
        <v>177</v>
      </c>
    </row>
    <row r="5" spans="2:9" ht="15" x14ac:dyDescent="0.25">
      <c r="B5" s="57">
        <v>4</v>
      </c>
      <c r="C5" t="s">
        <v>186</v>
      </c>
      <c r="E5" s="57">
        <v>4</v>
      </c>
      <c r="F5">
        <v>767468</v>
      </c>
      <c r="H5" s="57">
        <v>4</v>
      </c>
      <c r="I5" s="58" t="s">
        <v>177</v>
      </c>
    </row>
    <row r="6" spans="2:9" ht="15" x14ac:dyDescent="0.25">
      <c r="B6" s="57">
        <v>5</v>
      </c>
      <c r="C6" t="s">
        <v>190</v>
      </c>
      <c r="E6" s="57">
        <v>5</v>
      </c>
      <c r="F6">
        <v>903770</v>
      </c>
      <c r="H6" s="57">
        <v>5</v>
      </c>
      <c r="I6" s="58" t="s">
        <v>178</v>
      </c>
    </row>
    <row r="7" spans="2:9" ht="15" x14ac:dyDescent="0.25">
      <c r="B7" s="57">
        <v>6</v>
      </c>
      <c r="C7" t="s">
        <v>204</v>
      </c>
      <c r="E7" s="57">
        <v>6</v>
      </c>
      <c r="F7">
        <v>905994</v>
      </c>
      <c r="H7" s="57">
        <v>6</v>
      </c>
      <c r="I7" s="58" t="s">
        <v>178</v>
      </c>
    </row>
    <row r="8" spans="2:9" ht="15" x14ac:dyDescent="0.25">
      <c r="B8" s="57">
        <v>7</v>
      </c>
      <c r="C8" t="s">
        <v>191</v>
      </c>
      <c r="E8" s="57">
        <v>7</v>
      </c>
      <c r="F8">
        <v>906033</v>
      </c>
      <c r="H8" s="57">
        <v>7</v>
      </c>
      <c r="I8" s="58" t="s">
        <v>178</v>
      </c>
    </row>
    <row r="9" spans="2:9" ht="15" x14ac:dyDescent="0.25">
      <c r="B9" s="57">
        <v>8</v>
      </c>
      <c r="C9" t="s">
        <v>191</v>
      </c>
      <c r="E9" s="57">
        <v>8</v>
      </c>
      <c r="F9">
        <v>906033</v>
      </c>
      <c r="H9" s="57">
        <v>8</v>
      </c>
      <c r="I9" s="58" t="s">
        <v>177</v>
      </c>
    </row>
    <row r="10" spans="2:9" ht="15" x14ac:dyDescent="0.25">
      <c r="B10" s="57">
        <v>9</v>
      </c>
      <c r="C10" t="s">
        <v>204</v>
      </c>
      <c r="E10" s="57">
        <v>9</v>
      </c>
      <c r="F10">
        <v>905994</v>
      </c>
      <c r="H10" s="57">
        <v>9</v>
      </c>
      <c r="I10" s="58" t="s">
        <v>177</v>
      </c>
    </row>
    <row r="11" spans="2:9" ht="15" x14ac:dyDescent="0.25">
      <c r="B11" s="57">
        <v>10</v>
      </c>
      <c r="C11" t="s">
        <v>183</v>
      </c>
      <c r="E11" s="57">
        <v>10</v>
      </c>
      <c r="F11">
        <v>692926</v>
      </c>
      <c r="H11" s="57">
        <v>10</v>
      </c>
      <c r="I11" s="58" t="s">
        <v>178</v>
      </c>
    </row>
    <row r="12" spans="2:9" ht="15" x14ac:dyDescent="0.25">
      <c r="B12" s="57">
        <v>11</v>
      </c>
      <c r="C12" t="s">
        <v>183</v>
      </c>
      <c r="E12" s="57">
        <v>11</v>
      </c>
      <c r="F12">
        <v>692926</v>
      </c>
      <c r="H12" s="57">
        <v>11</v>
      </c>
      <c r="I12" s="58" t="s">
        <v>177</v>
      </c>
    </row>
    <row r="13" spans="2:9" ht="15" x14ac:dyDescent="0.25">
      <c r="B13" s="57">
        <v>12</v>
      </c>
      <c r="C13" t="s">
        <v>183</v>
      </c>
      <c r="E13" s="57">
        <v>12</v>
      </c>
      <c r="F13">
        <v>692926</v>
      </c>
      <c r="H13" s="57">
        <v>12</v>
      </c>
      <c r="I13" s="58" t="s">
        <v>178</v>
      </c>
    </row>
    <row r="14" spans="2:9" ht="15" x14ac:dyDescent="0.25">
      <c r="B14" s="57">
        <v>13</v>
      </c>
      <c r="C14" t="s">
        <v>183</v>
      </c>
      <c r="E14" s="57">
        <v>13</v>
      </c>
      <c r="F14">
        <v>692926</v>
      </c>
      <c r="H14" s="57">
        <v>13</v>
      </c>
      <c r="I14" s="58" t="s">
        <v>178</v>
      </c>
    </row>
    <row r="15" spans="2:9" ht="15" x14ac:dyDescent="0.25">
      <c r="B15" s="57">
        <v>14</v>
      </c>
      <c r="C15" t="s">
        <v>183</v>
      </c>
      <c r="E15" s="57">
        <v>14</v>
      </c>
      <c r="F15">
        <v>692926</v>
      </c>
      <c r="H15" s="57">
        <v>14</v>
      </c>
      <c r="I15" s="58" t="s">
        <v>178</v>
      </c>
    </row>
    <row r="16" spans="2:9" ht="15" x14ac:dyDescent="0.25">
      <c r="B16" s="57">
        <v>15</v>
      </c>
      <c r="C16" t="s">
        <v>183</v>
      </c>
      <c r="E16" s="57">
        <v>15</v>
      </c>
      <c r="F16">
        <v>692926</v>
      </c>
      <c r="H16" s="57">
        <v>15</v>
      </c>
      <c r="I16" s="58" t="s">
        <v>178</v>
      </c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61730698</v>
      </c>
      <c r="K2" s="62">
        <v>4498</v>
      </c>
      <c r="L2" s="63">
        <v>51</v>
      </c>
      <c r="M2" s="63">
        <v>483.10700000000003</v>
      </c>
      <c r="N2" s="63">
        <v>504.22300000000001</v>
      </c>
      <c r="O2" s="63">
        <v>549.02300000000002</v>
      </c>
      <c r="P2" s="63" t="s">
        <v>54</v>
      </c>
      <c r="Q2" s="63">
        <v>2.7170000000000001</v>
      </c>
      <c r="R2" s="63" t="s">
        <v>62</v>
      </c>
    </row>
    <row r="3" spans="2:22" x14ac:dyDescent="0.2">
      <c r="B3" s="6" t="s">
        <v>53</v>
      </c>
      <c r="C3" s="70">
        <v>32</v>
      </c>
      <c r="D3" s="5"/>
      <c r="E3" s="5"/>
      <c r="F3" s="5"/>
      <c r="G3" s="5" t="s">
        <v>52</v>
      </c>
      <c r="H3" s="31"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61730698</v>
      </c>
      <c r="C21" s="4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549.02300000000002</v>
      </c>
      <c r="G23" s="23">
        <f>+N2</f>
        <v>504.22300000000001</v>
      </c>
      <c r="H23" s="23">
        <f>+M2</f>
        <v>483.10700000000003</v>
      </c>
      <c r="I23" s="48">
        <f>+L2</f>
        <v>51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3" t="s">
        <v>19</v>
      </c>
      <c r="E31" s="83"/>
      <c r="F31" s="83" t="s">
        <v>18</v>
      </c>
      <c r="G31" s="83"/>
      <c r="H31" s="48" t="s">
        <v>17</v>
      </c>
      <c r="I31" s="19" t="s">
        <v>16</v>
      </c>
      <c r="M31"/>
    </row>
    <row r="32" spans="2:13" ht="30.75" customHeight="1" x14ac:dyDescent="0.2">
      <c r="B32" s="41" t="s">
        <v>206</v>
      </c>
      <c r="C32" s="19" t="s">
        <v>205</v>
      </c>
      <c r="D32" s="72"/>
      <c r="E32" s="73"/>
      <c r="F32" s="72">
        <f>+K2</f>
        <v>4498</v>
      </c>
      <c r="G32" s="73"/>
      <c r="H32" s="17">
        <v>0.9</v>
      </c>
      <c r="I32" s="18">
        <f>+H32*F32</f>
        <v>4048.2000000000003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48"/>
    </row>
    <row r="34" spans="2:11" ht="21.75" customHeight="1" x14ac:dyDescent="0.2">
      <c r="B34" s="15" t="s">
        <v>14</v>
      </c>
      <c r="C34" s="15"/>
      <c r="D34" s="88"/>
      <c r="E34" s="89"/>
      <c r="F34" s="72">
        <f>SUM(F31:G33)</f>
        <v>4498</v>
      </c>
      <c r="G34" s="73"/>
      <c r="H34" s="15"/>
      <c r="I34" s="14">
        <f>SUM(I32:I33)</f>
        <v>4048.2000000000003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4048.2000000000003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4048.2000000000003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61475307</v>
      </c>
      <c r="K2" s="62">
        <v>1138</v>
      </c>
      <c r="L2" s="63">
        <v>29</v>
      </c>
      <c r="M2" s="63">
        <v>160.65899999999999</v>
      </c>
      <c r="N2" s="63">
        <v>175.04300000000001</v>
      </c>
      <c r="O2" s="63">
        <v>197.74299999999999</v>
      </c>
      <c r="P2" s="63" t="s">
        <v>54</v>
      </c>
      <c r="Q2" s="63">
        <v>0.96199999999999997</v>
      </c>
      <c r="R2" s="63" t="s">
        <v>62</v>
      </c>
    </row>
    <row r="3" spans="2:22" x14ac:dyDescent="0.2">
      <c r="B3" s="6" t="s">
        <v>53</v>
      </c>
      <c r="C3" s="70">
        <f>+'32'!C3+1</f>
        <v>33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61475307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197.74299999999999</v>
      </c>
      <c r="G23" s="23">
        <f>+N2</f>
        <v>175.04300000000001</v>
      </c>
      <c r="H23" s="23">
        <f>+M2</f>
        <v>160.65899999999999</v>
      </c>
      <c r="I23" s="48">
        <f>+L2</f>
        <v>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3" t="s">
        <v>19</v>
      </c>
      <c r="E31" s="83"/>
      <c r="F31" s="83" t="s">
        <v>18</v>
      </c>
      <c r="G31" s="83"/>
      <c r="H31" s="48" t="s">
        <v>17</v>
      </c>
      <c r="I31" s="19" t="s">
        <v>16</v>
      </c>
      <c r="M31"/>
    </row>
    <row r="32" spans="2:13" ht="27.75" customHeight="1" x14ac:dyDescent="0.2">
      <c r="B32" s="41" t="s">
        <v>193</v>
      </c>
      <c r="C32" s="19" t="s">
        <v>192</v>
      </c>
      <c r="D32" s="72"/>
      <c r="E32" s="73"/>
      <c r="F32" s="72">
        <f>+K2</f>
        <v>1138</v>
      </c>
      <c r="G32" s="73"/>
      <c r="H32" s="17">
        <v>1.05</v>
      </c>
      <c r="I32" s="18">
        <f>+H32*F32</f>
        <v>1194.9000000000001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48"/>
    </row>
    <row r="34" spans="2:11" ht="21.75" customHeight="1" x14ac:dyDescent="0.2">
      <c r="B34" s="15" t="s">
        <v>14</v>
      </c>
      <c r="C34" s="15"/>
      <c r="D34" s="88"/>
      <c r="E34" s="89"/>
      <c r="F34" s="72">
        <f>SUM(F31:G33)</f>
        <v>1138</v>
      </c>
      <c r="G34" s="73"/>
      <c r="H34" s="15"/>
      <c r="I34" s="14">
        <f>SUM(I32:I33)</f>
        <v>1194.9000000000001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1194.9000000000001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1194.9000000000001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61558572</v>
      </c>
      <c r="K2" s="63">
        <v>633</v>
      </c>
      <c r="L2" s="63">
        <v>15</v>
      </c>
      <c r="M2" s="63">
        <v>84.82</v>
      </c>
      <c r="N2" s="63">
        <v>97.48</v>
      </c>
      <c r="O2" s="63">
        <v>109.58</v>
      </c>
      <c r="P2" s="63" t="s">
        <v>54</v>
      </c>
      <c r="Q2" s="63">
        <v>0.56999999999999995</v>
      </c>
      <c r="R2" s="63" t="s">
        <v>62</v>
      </c>
    </row>
    <row r="3" spans="2:22" x14ac:dyDescent="0.2">
      <c r="B3" s="6" t="s">
        <v>53</v>
      </c>
      <c r="C3" s="70">
        <f>+'33'!C3+1</f>
        <v>34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61558572</v>
      </c>
      <c r="C21" s="53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109.58</v>
      </c>
      <c r="G23" s="23">
        <f>+N2</f>
        <v>97.48</v>
      </c>
      <c r="H23" s="23">
        <f>+M2</f>
        <v>84.82</v>
      </c>
      <c r="I23" s="54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3" t="s">
        <v>19</v>
      </c>
      <c r="E31" s="83"/>
      <c r="F31" s="83" t="s">
        <v>18</v>
      </c>
      <c r="G31" s="83"/>
      <c r="H31" s="54" t="s">
        <v>17</v>
      </c>
      <c r="I31" s="19" t="s">
        <v>16</v>
      </c>
      <c r="M31"/>
    </row>
    <row r="32" spans="2:13" ht="27.75" customHeight="1" x14ac:dyDescent="0.2">
      <c r="B32" s="41" t="s">
        <v>195</v>
      </c>
      <c r="C32" s="19" t="s">
        <v>194</v>
      </c>
      <c r="D32" s="72"/>
      <c r="E32" s="73"/>
      <c r="F32" s="72">
        <f>+K2</f>
        <v>633</v>
      </c>
      <c r="G32" s="73"/>
      <c r="H32" s="17">
        <v>1.05</v>
      </c>
      <c r="I32" s="18">
        <f>+H32*F32</f>
        <v>664.65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54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633</v>
      </c>
      <c r="G34" s="73"/>
      <c r="H34" s="15"/>
      <c r="I34" s="14">
        <f>SUM(I32:I33)</f>
        <v>664.65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664.65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664.65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61717520</v>
      </c>
      <c r="K2" s="62">
        <v>1815</v>
      </c>
      <c r="L2" s="63">
        <v>45</v>
      </c>
      <c r="M2" s="63">
        <v>251.55</v>
      </c>
      <c r="N2" s="63">
        <v>282.08999999999997</v>
      </c>
      <c r="O2" s="63">
        <v>317.89</v>
      </c>
      <c r="P2" s="63" t="s">
        <v>54</v>
      </c>
      <c r="Q2" s="63">
        <v>1.5880000000000001</v>
      </c>
      <c r="R2" s="63" t="s">
        <v>62</v>
      </c>
    </row>
    <row r="3" spans="2:22" x14ac:dyDescent="0.2">
      <c r="B3" s="6" t="s">
        <v>53</v>
      </c>
      <c r="C3" s="70">
        <f>+'34'!C3+1</f>
        <v>35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61717520</v>
      </c>
      <c r="C21" s="56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317.89</v>
      </c>
      <c r="G23" s="23">
        <f>+N2</f>
        <v>282.08999999999997</v>
      </c>
      <c r="H23" s="23">
        <f>+M2</f>
        <v>251.55</v>
      </c>
      <c r="I23" s="55">
        <f>+L2</f>
        <v>45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33" customHeight="1" x14ac:dyDescent="0.2">
      <c r="B32" s="41" t="s">
        <v>189</v>
      </c>
      <c r="C32" s="19" t="s">
        <v>188</v>
      </c>
      <c r="D32" s="72"/>
      <c r="E32" s="73"/>
      <c r="F32" s="72">
        <f>+K2</f>
        <v>1815</v>
      </c>
      <c r="G32" s="73"/>
      <c r="H32" s="17">
        <v>1.05</v>
      </c>
      <c r="I32" s="18">
        <f>+H32*F32</f>
        <v>1905.75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59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1815</v>
      </c>
      <c r="G34" s="73"/>
      <c r="H34" s="15"/>
      <c r="I34" s="14">
        <f>SUM(I32:I32)</f>
        <v>1905.75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1905.75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1905.75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0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61420136</v>
      </c>
      <c r="K2" s="62">
        <v>2242</v>
      </c>
      <c r="L2" s="63">
        <v>24</v>
      </c>
      <c r="M2" s="63">
        <v>159.286</v>
      </c>
      <c r="N2" s="63">
        <v>163.77000000000001</v>
      </c>
      <c r="O2" s="63">
        <v>182.12</v>
      </c>
      <c r="P2" s="63" t="s">
        <v>54</v>
      </c>
      <c r="Q2" s="63">
        <v>0.95599999999999996</v>
      </c>
      <c r="R2" s="63" t="s">
        <v>62</v>
      </c>
    </row>
    <row r="3" spans="2:22" x14ac:dyDescent="0.2">
      <c r="B3" s="6" t="s">
        <v>53</v>
      </c>
      <c r="C3" s="70">
        <f>+'35'!C3+1</f>
        <v>36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61420136</v>
      </c>
      <c r="C21" s="56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182.12</v>
      </c>
      <c r="G23" s="23">
        <f>+N2</f>
        <v>163.77000000000001</v>
      </c>
      <c r="H23" s="23">
        <f>+M2</f>
        <v>159.286</v>
      </c>
      <c r="I23" s="55">
        <f>+L2</f>
        <v>24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GIRLS COTTON FIBERS, KNIT PULLOVER, WITH NO NECK CLOSURE, STITCH COUNT IS GREATER THAN 9/2CM, REACHES WAIST [100% COTTON]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37.5" customHeight="1" x14ac:dyDescent="0.2">
      <c r="B32" s="65" t="s">
        <v>179</v>
      </c>
      <c r="C32" s="19" t="s">
        <v>196</v>
      </c>
      <c r="D32" s="72"/>
      <c r="E32" s="73"/>
      <c r="F32" s="72">
        <f>+K2</f>
        <v>2242</v>
      </c>
      <c r="G32" s="73"/>
      <c r="H32" s="17">
        <v>0.81</v>
      </c>
      <c r="I32" s="18">
        <f>+H32*F32</f>
        <v>1816.0200000000002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55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2242</v>
      </c>
      <c r="G34" s="73"/>
      <c r="H34" s="15"/>
      <c r="I34" s="14">
        <f>SUM(I32:I33)</f>
        <v>1816.0200000000002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1816.0200000000002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1816.0200000000002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8"/>
  <sheetViews>
    <sheetView view="pageBreakPreview" topLeftCell="A17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61635625</v>
      </c>
      <c r="K2" s="63">
        <v>404</v>
      </c>
      <c r="L2" s="63">
        <v>5</v>
      </c>
      <c r="M2" s="63">
        <v>28.192</v>
      </c>
      <c r="N2" s="63">
        <v>29</v>
      </c>
      <c r="O2" s="63">
        <v>32.35</v>
      </c>
      <c r="P2" s="63" t="s">
        <v>54</v>
      </c>
      <c r="Q2" s="63">
        <v>0.185</v>
      </c>
      <c r="R2" s="63" t="s">
        <v>62</v>
      </c>
    </row>
    <row r="3" spans="2:22" x14ac:dyDescent="0.2">
      <c r="B3" s="6" t="s">
        <v>53</v>
      </c>
      <c r="C3" s="70">
        <f>+'36'!C3+1</f>
        <v>37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61635625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32.35</v>
      </c>
      <c r="G23" s="23">
        <f>+N2</f>
        <v>29</v>
      </c>
      <c r="H23" s="23">
        <f>+M2</f>
        <v>28.192</v>
      </c>
      <c r="I23" s="55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GIRLS COTTON FIBERS, KNIT PULLOVER, WITH NO NECK CLOSURE, STITCH COUNT IS GREATER THAN 9/2CM, REACHES WAIST [100% COTTON]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27.75" customHeight="1" x14ac:dyDescent="0.2">
      <c r="B32" s="41" t="s">
        <v>207</v>
      </c>
      <c r="C32" s="19" t="s">
        <v>180</v>
      </c>
      <c r="D32" s="72"/>
      <c r="E32" s="73"/>
      <c r="F32" s="72">
        <f>+K2</f>
        <v>404</v>
      </c>
      <c r="G32" s="73"/>
      <c r="H32" s="17">
        <v>0.81</v>
      </c>
      <c r="I32" s="18">
        <f>+H32*F32</f>
        <v>327.24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64"/>
    </row>
    <row r="34" spans="2:11" ht="21.75" customHeight="1" x14ac:dyDescent="0.2">
      <c r="B34" s="15" t="s">
        <v>14</v>
      </c>
      <c r="C34" s="15"/>
      <c r="D34" s="88"/>
      <c r="E34" s="89"/>
      <c r="F34" s="72">
        <f>SUM(F32:G32)</f>
        <v>404</v>
      </c>
      <c r="G34" s="73"/>
      <c r="H34" s="15"/>
      <c r="I34" s="14">
        <f>SUM(I32:I32)</f>
        <v>327.24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327.24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327.24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61613700</v>
      </c>
      <c r="K2" s="62">
        <v>5382</v>
      </c>
      <c r="L2" s="63">
        <v>56</v>
      </c>
      <c r="M2" s="63">
        <v>435.81099999999998</v>
      </c>
      <c r="N2" s="63">
        <v>446.57499999999999</v>
      </c>
      <c r="O2" s="63">
        <v>495.92500000000001</v>
      </c>
      <c r="P2" s="63" t="s">
        <v>54</v>
      </c>
      <c r="Q2" s="63">
        <v>2.9359999999999999</v>
      </c>
      <c r="R2" s="63" t="s">
        <v>62</v>
      </c>
    </row>
    <row r="3" spans="2:22" x14ac:dyDescent="0.2">
      <c r="B3" s="6" t="s">
        <v>53</v>
      </c>
      <c r="C3" s="70">
        <f>+'37'!C3+1</f>
        <v>38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61613700</v>
      </c>
      <c r="C21" s="56">
        <f>VLOOKUP($K55,reff!E2:F29,2,0)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495.92500000000001</v>
      </c>
      <c r="G23" s="23">
        <f>+N2</f>
        <v>446.57499999999999</v>
      </c>
      <c r="H23" s="23">
        <f>+M2</f>
        <v>435.81099999999998</v>
      </c>
      <c r="I23" s="55">
        <f>+L2</f>
        <v>56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GIRLS COTTON FIBERS, KNIT PULLOVER, WITH NO NECK CLOSURE, STITCH COUNT IS GREATER THAN 9/2CM, REACHES WAIST [100% COTTON]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180</v>
      </c>
      <c r="D32" s="72"/>
      <c r="E32" s="73"/>
      <c r="F32" s="72">
        <f>+K2</f>
        <v>5382</v>
      </c>
      <c r="G32" s="73"/>
      <c r="H32" s="17">
        <v>0.84</v>
      </c>
      <c r="I32" s="18">
        <f>+H32*F32</f>
        <v>4520.88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60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5382</v>
      </c>
      <c r="G34" s="73"/>
      <c r="H34" s="15"/>
      <c r="I34" s="14">
        <f>SUM(I32:I33)</f>
        <v>4520.88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4520.88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4520.88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61646977</v>
      </c>
      <c r="K2" s="62">
        <v>2201</v>
      </c>
      <c r="L2" s="63">
        <v>25</v>
      </c>
      <c r="M2" s="63">
        <v>184.31299999999999</v>
      </c>
      <c r="N2" s="63">
        <v>188.715</v>
      </c>
      <c r="O2" s="63">
        <v>210.61500000000001</v>
      </c>
      <c r="P2" s="63" t="s">
        <v>54</v>
      </c>
      <c r="Q2" s="63">
        <v>1.1850000000000001</v>
      </c>
      <c r="R2" s="63" t="s">
        <v>62</v>
      </c>
    </row>
    <row r="3" spans="2:22" x14ac:dyDescent="0.2">
      <c r="B3" s="6" t="s">
        <v>53</v>
      </c>
      <c r="C3" s="70">
        <f>+'38'!C3+1</f>
        <v>39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61646977</v>
      </c>
      <c r="C21" s="56">
        <f>VLOOKUP($K55,reff!E2:F29,2,0)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210.61500000000001</v>
      </c>
      <c r="G23" s="23">
        <f>+N2</f>
        <v>188.715</v>
      </c>
      <c r="H23" s="23">
        <f>+M2</f>
        <v>184.31299999999999</v>
      </c>
      <c r="I23" s="55">
        <f>+L2</f>
        <v>25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GIRLS COTTON FIBERS, KNIT PULLOVER, WITH NO NECK CLOSURE, STITCH COUNT IS GREATER THAN 9/2CM, REACHES WAIST [100% COTTON]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180</v>
      </c>
      <c r="D32" s="72"/>
      <c r="E32" s="73"/>
      <c r="F32" s="72">
        <f>+K2</f>
        <v>2201</v>
      </c>
      <c r="G32" s="73"/>
      <c r="H32" s="17">
        <v>0.84</v>
      </c>
      <c r="I32" s="18">
        <f>+H32*F32</f>
        <v>1848.84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55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2201</v>
      </c>
      <c r="G34" s="73"/>
      <c r="H34" s="15"/>
      <c r="I34" s="14">
        <f>SUM(I32:I33)</f>
        <v>1848.84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1848.84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1848.84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61646976</v>
      </c>
      <c r="K2" s="62">
        <v>1355</v>
      </c>
      <c r="L2" s="63">
        <v>16</v>
      </c>
      <c r="M2" s="63">
        <v>99.584999999999994</v>
      </c>
      <c r="N2" s="63">
        <v>102.295</v>
      </c>
      <c r="O2" s="63">
        <v>115.095</v>
      </c>
      <c r="P2" s="63" t="s">
        <v>54</v>
      </c>
      <c r="Q2" s="63">
        <v>0.56999999999999995</v>
      </c>
      <c r="R2" s="63" t="s">
        <v>62</v>
      </c>
    </row>
    <row r="3" spans="2:22" x14ac:dyDescent="0.2">
      <c r="B3" s="6" t="s">
        <v>53</v>
      </c>
      <c r="C3" s="70">
        <f>+'39'!C3+1</f>
        <v>40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61646976</v>
      </c>
      <c r="C21" s="56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115.095</v>
      </c>
      <c r="G23" s="23">
        <f>+N2</f>
        <v>102.295</v>
      </c>
      <c r="H23" s="23">
        <f>+M2</f>
        <v>99.584999999999994</v>
      </c>
      <c r="I23" s="55">
        <f>+L2</f>
        <v>16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GIRLS COTTON FIBERS, KNIT PULLOVER, WITH NO NECK CLOSURE, STITCH COUNT IS GREATER THAN 9/2CM, REACHES WAIST [100% COTTON]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3" t="s">
        <v>19</v>
      </c>
      <c r="E31" s="83"/>
      <c r="F31" s="83" t="s">
        <v>18</v>
      </c>
      <c r="G31" s="83"/>
      <c r="H31" s="55" t="s">
        <v>17</v>
      </c>
      <c r="I31" s="19" t="s">
        <v>16</v>
      </c>
      <c r="M31"/>
    </row>
    <row r="32" spans="2:13" ht="40.5" customHeight="1" x14ac:dyDescent="0.2">
      <c r="B32" s="41" t="s">
        <v>179</v>
      </c>
      <c r="C32" s="19" t="s">
        <v>180</v>
      </c>
      <c r="D32" s="72"/>
      <c r="E32" s="73"/>
      <c r="F32" s="72">
        <f>+K2</f>
        <v>1355</v>
      </c>
      <c r="G32" s="73"/>
      <c r="H32" s="17">
        <v>0.81</v>
      </c>
      <c r="I32" s="18">
        <f>+H32*F32</f>
        <v>1097.5500000000002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55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1355</v>
      </c>
      <c r="G34" s="73"/>
      <c r="H34" s="15"/>
      <c r="I34" s="14">
        <f>SUM(I32:I33)</f>
        <v>1097.5500000000002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1097.5500000000002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1097.5500000000002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265K0058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9634-DFB4-4030-B9A3-B612200B8198}">
  <sheetPr>
    <pageSetUpPr fitToPage="1"/>
  </sheetPr>
  <dimension ref="B1:V58"/>
  <sheetViews>
    <sheetView view="pageBreakPreview" topLeftCell="A21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61751585</v>
      </c>
      <c r="K2" s="62">
        <v>11342</v>
      </c>
      <c r="L2" s="63">
        <v>229</v>
      </c>
      <c r="M2" s="71">
        <v>1183.69</v>
      </c>
      <c r="N2" s="71">
        <v>1580.66</v>
      </c>
      <c r="O2" s="71">
        <v>1802.86</v>
      </c>
      <c r="P2" s="63" t="s">
        <v>54</v>
      </c>
      <c r="Q2" s="63">
        <v>14.225</v>
      </c>
      <c r="R2" s="63" t="s">
        <v>62</v>
      </c>
    </row>
    <row r="3" spans="2:22" x14ac:dyDescent="0.2">
      <c r="B3" s="6" t="s">
        <v>53</v>
      </c>
      <c r="C3" s="70">
        <f>+'40'!C3+1</f>
        <v>41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 t="s">
        <v>63</v>
      </c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61751585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1802.86</v>
      </c>
      <c r="G23" s="23">
        <f>+N2</f>
        <v>1580.66</v>
      </c>
      <c r="H23" s="23">
        <f>+M2</f>
        <v>1183.69</v>
      </c>
      <c r="I23" s="66">
        <f>+L2</f>
        <v>229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WOMENS COTTON FIBERS, KNIT PULLOVER, WITH NO NECK CLOSURE, STITCH COUNT IS GREATER THAN 9/2CM, REACHES WAIST, SLEEVELESS [96% COTTON 4% SPANDEX]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3" t="s">
        <v>19</v>
      </c>
      <c r="E31" s="83"/>
      <c r="F31" s="83" t="s">
        <v>18</v>
      </c>
      <c r="G31" s="83"/>
      <c r="H31" s="66" t="s">
        <v>17</v>
      </c>
      <c r="I31" s="19" t="s">
        <v>16</v>
      </c>
      <c r="M31"/>
    </row>
    <row r="32" spans="2:13" ht="37.5" customHeight="1" x14ac:dyDescent="0.2">
      <c r="B32" s="41" t="s">
        <v>198</v>
      </c>
      <c r="C32" s="19" t="s">
        <v>197</v>
      </c>
      <c r="D32" s="72"/>
      <c r="E32" s="73"/>
      <c r="F32" s="72">
        <f>+K2</f>
        <v>11342</v>
      </c>
      <c r="G32" s="73"/>
      <c r="H32" s="17">
        <v>0.76</v>
      </c>
      <c r="I32" s="18">
        <f>+H32*F32</f>
        <v>8619.92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66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11342</v>
      </c>
      <c r="G34" s="73"/>
      <c r="H34" s="15"/>
      <c r="I34" s="14">
        <f>SUM(I32:I33)</f>
        <v>8619.92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8619.92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8619.92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10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8B020DB-BFBB-4EAF-8B11-7B0B2C8ADF05}">
          <x14:formula1>
            <xm:f>Sheet1!$K$5:$K$12</xm:f>
          </x14:formula1>
          <xm:sqref>B14</xm:sqref>
        </x14:dataValidation>
        <x14:dataValidation type="list" allowBlank="1" showInputMessage="1" showErrorMessage="1" xr:uid="{AE0A1F0A-10EB-4A61-94BB-DC04166BA8D5}">
          <x14:formula1>
            <xm:f>Sheet1!$B$17:$B$18</xm:f>
          </x14:formula1>
          <xm:sqref>G5</xm:sqref>
        </x14:dataValidation>
        <x14:dataValidation type="list" allowBlank="1" showInputMessage="1" showErrorMessage="1" xr:uid="{894B0A25-C231-4CB1-B83F-AD14596D6633}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E7F5-1BEF-4C4D-B8BD-3095EA96C1CB}">
  <sheetPr>
    <pageSetUpPr fitToPage="1"/>
  </sheetPr>
  <dimension ref="B1:V58"/>
  <sheetViews>
    <sheetView view="pageBreakPreview" topLeftCell="A22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61969485</v>
      </c>
      <c r="K2" s="63">
        <v>825</v>
      </c>
      <c r="L2" s="63">
        <v>16</v>
      </c>
      <c r="M2" s="63">
        <v>88.78</v>
      </c>
      <c r="N2" s="63">
        <v>97.03</v>
      </c>
      <c r="O2" s="63">
        <v>109.73</v>
      </c>
      <c r="P2" s="63" t="s">
        <v>54</v>
      </c>
      <c r="Q2" s="63">
        <v>0.56999999999999995</v>
      </c>
      <c r="R2" s="63" t="s">
        <v>62</v>
      </c>
    </row>
    <row r="3" spans="2:22" x14ac:dyDescent="0.2">
      <c r="B3" s="6" t="s">
        <v>53</v>
      </c>
      <c r="C3" s="70">
        <f>+'41'!C3+1</f>
        <v>42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61969485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109.73</v>
      </c>
      <c r="G23" s="23">
        <f>+N2</f>
        <v>97.03</v>
      </c>
      <c r="H23" s="23">
        <f>+M2</f>
        <v>88.78</v>
      </c>
      <c r="I23" s="66">
        <f>+L2</f>
        <v>16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WOMENS COTTON FIBERS, KNIT PULLOVER, WITH NO NECK CLOSURE, STITCH COUNT IS GREATER THAN 9/2CM, REACHES WAIST, SLEEVELESS [96% COTTON 4% SPANDEX]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3" t="s">
        <v>19</v>
      </c>
      <c r="E31" s="83"/>
      <c r="F31" s="83" t="s">
        <v>18</v>
      </c>
      <c r="G31" s="83"/>
      <c r="H31" s="66" t="s">
        <v>17</v>
      </c>
      <c r="I31" s="19" t="s">
        <v>16</v>
      </c>
      <c r="M31"/>
    </row>
    <row r="32" spans="2:13" ht="36" customHeight="1" x14ac:dyDescent="0.2">
      <c r="B32" s="41" t="s">
        <v>185</v>
      </c>
      <c r="C32" s="19" t="s">
        <v>184</v>
      </c>
      <c r="D32" s="72"/>
      <c r="E32" s="73"/>
      <c r="F32" s="72">
        <f>+K2</f>
        <v>825</v>
      </c>
      <c r="G32" s="73"/>
      <c r="H32" s="17">
        <v>0.76</v>
      </c>
      <c r="I32" s="18">
        <f>+H32*F32</f>
        <v>627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66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825</v>
      </c>
      <c r="G34" s="73"/>
      <c r="H34" s="15"/>
      <c r="I34" s="14">
        <f>SUM(I32:I33)</f>
        <v>627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627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627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2694A94-4E9E-4E16-9CBD-9D4B3E241D3B}">
          <x14:formula1>
            <xm:f>Sheet1!$L$5:$L$25</xm:f>
          </x14:formula1>
          <xm:sqref>G13</xm:sqref>
        </x14:dataValidation>
        <x14:dataValidation type="list" allowBlank="1" showInputMessage="1" showErrorMessage="1" xr:uid="{F6BF3FBC-4F3F-48D9-A7E2-FF89485685A7}">
          <x14:formula1>
            <xm:f>Sheet1!$B$17:$B$18</xm:f>
          </x14:formula1>
          <xm:sqref>G5</xm:sqref>
        </x14:dataValidation>
        <x14:dataValidation type="list" allowBlank="1" showInputMessage="1" showErrorMessage="1" xr:uid="{17D7553E-1133-4EAB-9F8E-A5C82FCBDCDC}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BD73-958E-47B6-88A8-595AA712F751}">
  <sheetPr>
    <pageSetUpPr fitToPage="1"/>
  </sheetPr>
  <dimension ref="B1:V58"/>
  <sheetViews>
    <sheetView view="pageBreakPreview" topLeftCell="A22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61953715</v>
      </c>
      <c r="K2" s="62">
        <v>3216</v>
      </c>
      <c r="L2" s="63">
        <v>65</v>
      </c>
      <c r="M2" s="63">
        <v>338.39</v>
      </c>
      <c r="N2" s="63">
        <v>450.95</v>
      </c>
      <c r="O2" s="63">
        <v>513.95000000000005</v>
      </c>
      <c r="P2" s="63" t="s">
        <v>54</v>
      </c>
      <c r="Q2" s="63">
        <v>4.0259999999999998</v>
      </c>
      <c r="R2" s="63" t="s">
        <v>62</v>
      </c>
    </row>
    <row r="3" spans="2:22" x14ac:dyDescent="0.2">
      <c r="B3" s="6" t="s">
        <v>53</v>
      </c>
      <c r="C3" s="70">
        <f>+'42'!C3+1</f>
        <v>43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61953715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513.95000000000005</v>
      </c>
      <c r="G23" s="23">
        <f>+N2</f>
        <v>450.95</v>
      </c>
      <c r="H23" s="23">
        <f>+M2</f>
        <v>338.39</v>
      </c>
      <c r="I23" s="66">
        <f>+L2</f>
        <v>65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WOMENS COTTON FIBERS, KNIT PULLOVER, WITH NO NECK CLOSURE, STITCH COUNT IS GREATER THAN 9/2CM, REACHES WAIST, SLEEVELESS [96% COTTON 4% SPANDEX]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3" t="s">
        <v>19</v>
      </c>
      <c r="E31" s="83"/>
      <c r="F31" s="83" t="s">
        <v>18</v>
      </c>
      <c r="G31" s="83"/>
      <c r="H31" s="66" t="s">
        <v>17</v>
      </c>
      <c r="I31" s="19" t="s">
        <v>16</v>
      </c>
      <c r="M31"/>
    </row>
    <row r="32" spans="2:13" ht="24" customHeight="1" x14ac:dyDescent="0.2">
      <c r="B32" s="41" t="s">
        <v>201</v>
      </c>
      <c r="C32" s="19" t="s">
        <v>200</v>
      </c>
      <c r="D32" s="72"/>
      <c r="E32" s="73"/>
      <c r="F32" s="72">
        <f>+K2</f>
        <v>3216</v>
      </c>
      <c r="G32" s="73"/>
      <c r="H32" s="17">
        <v>0.76</v>
      </c>
      <c r="I32" s="18">
        <f>+H32*F32</f>
        <v>2444.16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66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3216</v>
      </c>
      <c r="G34" s="73"/>
      <c r="H34" s="15"/>
      <c r="I34" s="14">
        <f>SUM(I32:I33)</f>
        <v>2444.16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2444.16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2444.16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12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370EE62-112F-4F30-BBD0-0D118DDF9E22}">
          <x14:formula1>
            <xm:f>Sheet1!$K$5:$K$12</xm:f>
          </x14:formula1>
          <xm:sqref>B14</xm:sqref>
        </x14:dataValidation>
        <x14:dataValidation type="list" allowBlank="1" showInputMessage="1" showErrorMessage="1" xr:uid="{477F97C5-55EF-4FA9-94A9-85A180529C83}">
          <x14:formula1>
            <xm:f>Sheet1!$B$17:$B$18</xm:f>
          </x14:formula1>
          <xm:sqref>G5</xm:sqref>
        </x14:dataValidation>
        <x14:dataValidation type="list" allowBlank="1" showInputMessage="1" showErrorMessage="1" xr:uid="{DBE2C9A2-FA53-4757-A54C-95ABD20E11E5}">
          <x14:formula1>
            <xm:f>Sheet1!$L$5:$L$25</xm:f>
          </x14:formula1>
          <xm:sqref>G13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496F-C263-415D-9A98-8D896F3C8498}">
  <sheetPr>
    <pageSetUpPr fitToPage="1"/>
  </sheetPr>
  <dimension ref="B1:V58"/>
  <sheetViews>
    <sheetView view="pageBreakPreview" topLeftCell="A20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62023766</v>
      </c>
      <c r="K2" s="62">
        <v>1288</v>
      </c>
      <c r="L2" s="63">
        <v>28</v>
      </c>
      <c r="M2" s="63">
        <v>131.46</v>
      </c>
      <c r="N2" s="63">
        <v>176.54</v>
      </c>
      <c r="O2" s="63">
        <v>202.94</v>
      </c>
      <c r="P2" s="63" t="s">
        <v>54</v>
      </c>
      <c r="Q2" s="63">
        <v>1.61</v>
      </c>
      <c r="R2" s="63" t="s">
        <v>62</v>
      </c>
    </row>
    <row r="3" spans="2:22" x14ac:dyDescent="0.2">
      <c r="B3" s="6" t="s">
        <v>53</v>
      </c>
      <c r="C3" s="70">
        <f>+'43'!C3+1</f>
        <v>44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62023766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202.94</v>
      </c>
      <c r="G23" s="23">
        <f>+N2</f>
        <v>176.54</v>
      </c>
      <c r="H23" s="23">
        <f>+M2</f>
        <v>131.46</v>
      </c>
      <c r="I23" s="66">
        <f>+L2</f>
        <v>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WOMENS COTTON FIBERS, KNIT PULLOVER, WITH NO NECK CLOSURE, STITCH COUNT IS GREATER THAN 9/2CM, REACHES WAIST, SLEEVELESS [96% COTTON 4% SPANDEX]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3" t="s">
        <v>19</v>
      </c>
      <c r="E31" s="83"/>
      <c r="F31" s="83" t="s">
        <v>18</v>
      </c>
      <c r="G31" s="83"/>
      <c r="H31" s="66" t="s">
        <v>17</v>
      </c>
      <c r="I31" s="19" t="s">
        <v>16</v>
      </c>
      <c r="M31"/>
    </row>
    <row r="32" spans="2:13" ht="24" customHeight="1" x14ac:dyDescent="0.2">
      <c r="B32" s="41" t="s">
        <v>185</v>
      </c>
      <c r="C32" s="19" t="s">
        <v>184</v>
      </c>
      <c r="D32" s="72"/>
      <c r="E32" s="73"/>
      <c r="F32" s="72">
        <f>+K2</f>
        <v>1288</v>
      </c>
      <c r="G32" s="73"/>
      <c r="H32" s="17">
        <v>0.76</v>
      </c>
      <c r="I32" s="18">
        <f>+H32*F32</f>
        <v>978.88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66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1288</v>
      </c>
      <c r="G34" s="73"/>
      <c r="H34" s="15"/>
      <c r="I34" s="14">
        <f>SUM(I32:I33)</f>
        <v>978.88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978.88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978.88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13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CC6EE7-D259-45F5-A645-586D3D3C3F1D}">
          <x14:formula1>
            <xm:f>Sheet1!$L$5:$L$25</xm:f>
          </x14:formula1>
          <xm:sqref>G13</xm:sqref>
        </x14:dataValidation>
        <x14:dataValidation type="list" allowBlank="1" showInputMessage="1" showErrorMessage="1" xr:uid="{66FE809E-9DDF-4988-B4BE-FF8D7CBD308A}">
          <x14:formula1>
            <xm:f>Sheet1!$B$17:$B$18</xm:f>
          </x14:formula1>
          <xm:sqref>G5</xm:sqref>
        </x14:dataValidation>
        <x14:dataValidation type="list" allowBlank="1" showInputMessage="1" showErrorMessage="1" xr:uid="{FE293C3F-4124-4BAD-9D7F-F7A2E12AAB19}">
          <x14:formula1>
            <xm:f>Sheet1!$K$5:$K$12</xm:f>
          </x14:formula1>
          <xm:sqref>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B395-D66E-4695-AAC9-9D081AAE562E}">
  <sheetPr>
    <pageSetUpPr fitToPage="1"/>
  </sheetPr>
  <dimension ref="B1:V58"/>
  <sheetViews>
    <sheetView view="pageBreakPreview" topLeftCell="A22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62023769</v>
      </c>
      <c r="K2" s="62">
        <v>1211</v>
      </c>
      <c r="L2" s="63">
        <v>27</v>
      </c>
      <c r="M2" s="63">
        <v>123.93</v>
      </c>
      <c r="N2" s="63">
        <v>166.315</v>
      </c>
      <c r="O2" s="63">
        <v>191.715</v>
      </c>
      <c r="P2" s="63" t="s">
        <v>54</v>
      </c>
      <c r="Q2" s="63">
        <v>1.5429999999999999</v>
      </c>
      <c r="R2" s="63" t="s">
        <v>62</v>
      </c>
    </row>
    <row r="3" spans="2:22" x14ac:dyDescent="0.2">
      <c r="B3" s="6" t="s">
        <v>53</v>
      </c>
      <c r="C3" s="70">
        <f>+'44'!C3+1</f>
        <v>45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62023769</v>
      </c>
      <c r="C21" s="67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191.715</v>
      </c>
      <c r="G23" s="23">
        <f>+N2</f>
        <v>166.315</v>
      </c>
      <c r="H23" s="23">
        <f>+M2</f>
        <v>123.93</v>
      </c>
      <c r="I23" s="66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WOMENS COTTON FIBERS, KNIT PULLOVER, WITH NO NECK CLOSURE, STITCH COUNT IS GREATER THAN 9/2CM, REACHES WAIST, SLEEVELESS [96% COTTON 4% SPANDEX]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3" t="s">
        <v>19</v>
      </c>
      <c r="E31" s="83"/>
      <c r="F31" s="83" t="s">
        <v>18</v>
      </c>
      <c r="G31" s="83"/>
      <c r="H31" s="66" t="s">
        <v>17</v>
      </c>
      <c r="I31" s="19" t="s">
        <v>16</v>
      </c>
      <c r="M31"/>
    </row>
    <row r="32" spans="2:13" ht="24" customHeight="1" x14ac:dyDescent="0.2">
      <c r="B32" s="41" t="s">
        <v>203</v>
      </c>
      <c r="C32" s="19" t="s">
        <v>202</v>
      </c>
      <c r="D32" s="72"/>
      <c r="E32" s="73"/>
      <c r="F32" s="72">
        <f>+K2</f>
        <v>1211</v>
      </c>
      <c r="G32" s="73"/>
      <c r="H32" s="17">
        <v>0.76</v>
      </c>
      <c r="I32" s="18">
        <f>+H32*F32</f>
        <v>920.36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66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1211</v>
      </c>
      <c r="G34" s="73"/>
      <c r="H34" s="15"/>
      <c r="I34" s="14">
        <f>SUM(I32:I33)</f>
        <v>920.36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920.36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920.36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14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770FB7E-F94D-43F7-BC9C-BB78DEC9BD48}">
          <x14:formula1>
            <xm:f>Sheet1!$K$5:$K$12</xm:f>
          </x14:formula1>
          <xm:sqref>B14</xm:sqref>
        </x14:dataValidation>
        <x14:dataValidation type="list" allowBlank="1" showInputMessage="1" showErrorMessage="1" xr:uid="{EFC5D84E-2B52-402B-960E-A390C7E779ED}">
          <x14:formula1>
            <xm:f>Sheet1!$B$17:$B$18</xm:f>
          </x14:formula1>
          <xm:sqref>G5</xm:sqref>
        </x14:dataValidation>
        <x14:dataValidation type="list" allowBlank="1" showInputMessage="1" showErrorMessage="1" xr:uid="{E62FA088-EA0F-49C6-AC70-B68A1CFD8339}">
          <x14:formula1>
            <xm:f>Sheet1!$L$5:$L$25</xm:f>
          </x14:formula1>
          <xm:sqref>G13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0215-4FAF-4E94-B0CC-EA9AAC5E1A8F}">
  <sheetPr>
    <pageSetUpPr fitToPage="1"/>
  </sheetPr>
  <dimension ref="B1:V58"/>
  <sheetViews>
    <sheetView tabSelected="1" view="pageBreakPreview" zoomScaleNormal="100" zoomScaleSheetLayoutView="100" workbookViewId="0">
      <selection activeCell="E10" sqref="E10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208</v>
      </c>
      <c r="C2" s="75"/>
      <c r="D2" s="75"/>
      <c r="E2" s="75"/>
      <c r="F2" s="75"/>
      <c r="G2" s="75"/>
      <c r="H2" s="75"/>
      <c r="I2" s="76"/>
      <c r="J2" s="61">
        <v>61953713</v>
      </c>
      <c r="K2" s="62">
        <v>2799</v>
      </c>
      <c r="L2" s="63">
        <v>60</v>
      </c>
      <c r="M2" s="63">
        <v>294</v>
      </c>
      <c r="N2" s="63">
        <v>391.96499999999997</v>
      </c>
      <c r="O2" s="63">
        <v>448.96499999999997</v>
      </c>
      <c r="P2" s="63" t="s">
        <v>54</v>
      </c>
      <c r="Q2" s="63">
        <v>3.5230000000000001</v>
      </c>
      <c r="R2" s="63" t="s">
        <v>62</v>
      </c>
    </row>
    <row r="3" spans="2:22" x14ac:dyDescent="0.2">
      <c r="B3" s="6" t="s">
        <v>53</v>
      </c>
      <c r="C3" s="70">
        <f>+'45'!C3+1</f>
        <v>46</v>
      </c>
      <c r="D3" s="5"/>
      <c r="E3" s="5"/>
      <c r="F3" s="5"/>
      <c r="G3" s="5" t="s">
        <v>52</v>
      </c>
      <c r="H3" s="31">
        <f>+'32'!H3+0</f>
        <v>46205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199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61953713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448.96499999999997</v>
      </c>
      <c r="G23" s="23">
        <f>+N2</f>
        <v>391.96499999999997</v>
      </c>
      <c r="H23" s="23">
        <f>+M2</f>
        <v>294</v>
      </c>
      <c r="I23" s="69">
        <f>+L2</f>
        <v>60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7" t="s">
        <v>23</v>
      </c>
      <c r="C26" s="78"/>
      <c r="D26" s="78"/>
      <c r="E26" s="78"/>
      <c r="F26" s="78"/>
      <c r="G26" s="78"/>
      <c r="H26" s="78"/>
      <c r="I26" s="79"/>
    </row>
    <row r="27" spans="2:13" ht="24.75" customHeight="1" x14ac:dyDescent="0.2">
      <c r="B27" s="80" t="str">
        <f>+K4</f>
        <v>WOMENS COTTON FIBERS, KNIT PULLOVER, WITH NO NECK CLOSURE, STITCH COUNT IS GREATER THAN 9/2CM, REACHES WAIST, SLEEVELESS [96% COTTON 4% SPANDEX]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3" t="s">
        <v>19</v>
      </c>
      <c r="E31" s="83"/>
      <c r="F31" s="83" t="s">
        <v>18</v>
      </c>
      <c r="G31" s="83"/>
      <c r="H31" s="69" t="s">
        <v>17</v>
      </c>
      <c r="I31" s="19" t="s">
        <v>16</v>
      </c>
      <c r="M31"/>
    </row>
    <row r="32" spans="2:13" ht="24" customHeight="1" x14ac:dyDescent="0.2">
      <c r="B32" s="41" t="s">
        <v>201</v>
      </c>
      <c r="C32" s="19" t="s">
        <v>200</v>
      </c>
      <c r="D32" s="72"/>
      <c r="E32" s="73"/>
      <c r="F32" s="72">
        <f>+K2</f>
        <v>2799</v>
      </c>
      <c r="G32" s="73"/>
      <c r="H32" s="17">
        <v>0.76</v>
      </c>
      <c r="I32" s="18">
        <f>+H32*F32</f>
        <v>2127.2400000000002</v>
      </c>
      <c r="K32" s="46"/>
      <c r="M32" s="39"/>
    </row>
    <row r="33" spans="2:11" ht="21" customHeight="1" x14ac:dyDescent="0.2">
      <c r="B33" s="15" t="s">
        <v>15</v>
      </c>
      <c r="C33" s="15"/>
      <c r="D33" s="77"/>
      <c r="E33" s="79"/>
      <c r="F33" s="77"/>
      <c r="G33" s="79"/>
      <c r="H33" s="17"/>
      <c r="I33" s="69"/>
    </row>
    <row r="34" spans="2:11" ht="21.75" customHeight="1" x14ac:dyDescent="0.2">
      <c r="B34" s="15" t="s">
        <v>14</v>
      </c>
      <c r="C34" s="15"/>
      <c r="D34" s="88"/>
      <c r="E34" s="89"/>
      <c r="F34" s="72">
        <f>SUM(F32:G33)</f>
        <v>2799</v>
      </c>
      <c r="G34" s="73"/>
      <c r="H34" s="15"/>
      <c r="I34" s="14">
        <f>SUM(I32:I33)</f>
        <v>2127.2400000000002</v>
      </c>
      <c r="J34" s="40"/>
      <c r="K34" s="40"/>
    </row>
    <row r="35" spans="2:11" ht="21.75" customHeight="1" x14ac:dyDescent="0.2">
      <c r="B35" s="16" t="s">
        <v>13</v>
      </c>
      <c r="C35" s="15"/>
      <c r="D35" s="77"/>
      <c r="E35" s="79"/>
      <c r="F35" s="77"/>
      <c r="G35" s="79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7"/>
      <c r="E36" s="79"/>
      <c r="F36" s="77"/>
      <c r="G36" s="79"/>
      <c r="H36" s="15"/>
      <c r="I36" s="14">
        <f>+I34</f>
        <v>2127.2400000000002</v>
      </c>
    </row>
    <row r="37" spans="2:11" ht="20.25" customHeight="1" x14ac:dyDescent="0.2">
      <c r="B37" s="15" t="s">
        <v>80</v>
      </c>
      <c r="C37" s="77" t="s">
        <v>11</v>
      </c>
      <c r="D37" s="78"/>
      <c r="E37" s="78"/>
      <c r="F37" s="78"/>
      <c r="G37" s="78"/>
      <c r="H37" s="7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2127.2400000000002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5" t="s">
        <v>7</v>
      </c>
      <c r="C46" s="85"/>
      <c r="D46" s="8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6" t="s">
        <v>1</v>
      </c>
      <c r="D55" s="86"/>
      <c r="E55" s="5"/>
      <c r="F55" s="5"/>
      <c r="G55" s="5"/>
      <c r="H55" s="5"/>
      <c r="I55" s="4"/>
    </row>
    <row r="56" spans="2:11" x14ac:dyDescent="0.2">
      <c r="B56" s="6"/>
      <c r="C56" s="87" t="s">
        <v>0</v>
      </c>
      <c r="D56" s="87"/>
      <c r="E56" s="5"/>
      <c r="F56" s="5"/>
      <c r="G56" s="5"/>
      <c r="H56" s="5"/>
      <c r="I56" s="4"/>
      <c r="K56">
        <v>15</v>
      </c>
    </row>
    <row r="57" spans="2:11" x14ac:dyDescent="0.2">
      <c r="B57" s="2"/>
      <c r="C57" s="84"/>
      <c r="D57" s="8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FDB99DE-5FDA-4A64-A814-62E04A4EA30F}">
          <x14:formula1>
            <xm:f>Sheet1!$L$5:$L$25</xm:f>
          </x14:formula1>
          <xm:sqref>G13</xm:sqref>
        </x14:dataValidation>
        <x14:dataValidation type="list" allowBlank="1" showInputMessage="1" showErrorMessage="1" xr:uid="{88607B17-85C7-4C42-95A5-16DA0483E637}">
          <x14:formula1>
            <xm:f>Sheet1!$B$17:$B$18</xm:f>
          </x14:formula1>
          <xm:sqref>G5</xm:sqref>
        </x14:dataValidation>
        <x14:dataValidation type="list" allowBlank="1" showInputMessage="1" showErrorMessage="1" xr:uid="{9E634383-BDB4-45CC-B3E7-D1A1C223C3E6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Sheet1</vt:lpstr>
      <vt:lpstr>reff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2026-07-02T01:22:20Z</cp:lastPrinted>
  <dcterms:created xsi:type="dcterms:W3CDTF">2024-04-17T09:56:05Z</dcterms:created>
  <dcterms:modified xsi:type="dcterms:W3CDTF">2026-07-02T01:23:04Z</dcterms:modified>
</cp:coreProperties>
</file>