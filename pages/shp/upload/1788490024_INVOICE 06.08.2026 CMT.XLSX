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06.08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64" sheetId="138" r:id="rId3"/>
    <sheet name="65" sheetId="129" r:id="rId4"/>
    <sheet name="66" sheetId="133" r:id="rId5"/>
    <sheet name="67" sheetId="134" r:id="rId6"/>
    <sheet name="68" sheetId="135" r:id="rId7"/>
    <sheet name="69" sheetId="137" r:id="rId8"/>
    <sheet name="70" sheetId="172" r:id="rId9"/>
    <sheet name="71" sheetId="173" r:id="rId10"/>
    <sheet name="72" sheetId="174" r:id="rId11"/>
    <sheet name="73" sheetId="175" r:id="rId12"/>
    <sheet name="74" sheetId="176" r:id="rId13"/>
  </sheets>
  <externalReferences>
    <externalReference r:id="rId14"/>
    <externalReference r:id="rId15"/>
    <externalReference r:id="rId16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>[2]xdata!#REF!</definedName>
    <definedName name="INVOICE">[2]xdata!$B$2</definedName>
    <definedName name="_xlnm.Print_Area" localSheetId="2">'64'!$B$1:$I$58</definedName>
    <definedName name="_xlnm.Print_Area" localSheetId="3">'65'!$B$1:$I$57</definedName>
    <definedName name="_xlnm.Print_Area" localSheetId="4">'66'!$B$1:$I$57</definedName>
    <definedName name="_xlnm.Print_Area" localSheetId="5">'67'!$B$1:$I$57</definedName>
    <definedName name="_xlnm.Print_Area" localSheetId="6">'68'!$B$1:$I$57</definedName>
    <definedName name="_xlnm.Print_Area" localSheetId="7">'69'!$B$1:$I$57</definedName>
    <definedName name="_xlnm.Print_Area" localSheetId="8">'70'!$B$1:$I$57</definedName>
    <definedName name="_xlnm.Print_Area" localSheetId="9">'71'!$B$1:$I$58</definedName>
    <definedName name="_xlnm.Print_Area" localSheetId="10">'72'!$B$1:$I$58</definedName>
    <definedName name="_xlnm.Print_Area" localSheetId="11">'73'!$B$1:$I$57</definedName>
    <definedName name="_xlnm.Print_Area" localSheetId="12">'74'!$B$1:$I$57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8" l="1"/>
  <c r="I32" i="138"/>
  <c r="F33" i="174" l="1"/>
  <c r="F33" i="173"/>
  <c r="F33" i="138"/>
  <c r="F32" i="175" l="1"/>
  <c r="I33" i="174"/>
  <c r="I32" i="174"/>
  <c r="I33" i="173"/>
  <c r="F32" i="172"/>
  <c r="F32" i="129"/>
  <c r="F32" i="176" l="1"/>
  <c r="F32" i="135"/>
  <c r="F34" i="129"/>
  <c r="I32" i="129"/>
  <c r="F35" i="138"/>
  <c r="D33" i="138"/>
  <c r="D32" i="138"/>
  <c r="D35" i="138" s="1"/>
  <c r="H52" i="176"/>
  <c r="F34" i="176"/>
  <c r="I32" i="176"/>
  <c r="I34" i="176" s="1"/>
  <c r="I36" i="176" s="1"/>
  <c r="I38" i="176" s="1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3" i="174"/>
  <c r="F35" i="174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3" i="173"/>
  <c r="F35" i="173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5" i="174" l="1"/>
  <c r="I37" i="174" s="1"/>
  <c r="I39" i="174" s="1"/>
  <c r="I34" i="175"/>
  <c r="I36" i="175" s="1"/>
  <c r="I38" i="175" s="1"/>
  <c r="I34" i="129"/>
  <c r="I32" i="173"/>
  <c r="I35" i="173" s="1"/>
  <c r="I37" i="173" s="1"/>
  <c r="I39" i="173" s="1"/>
  <c r="I32" i="172"/>
  <c r="I34" i="172" s="1"/>
  <c r="I36" i="172" s="1"/>
  <c r="I38" i="172" s="1"/>
  <c r="I32" i="135" l="1"/>
  <c r="F34" i="135"/>
  <c r="B27" i="135"/>
  <c r="I35" i="138" l="1"/>
  <c r="C3" i="129" l="1"/>
  <c r="F32" i="133" l="1"/>
  <c r="F32" i="134" l="1"/>
  <c r="F34" i="133" l="1"/>
  <c r="I32" i="134" l="1"/>
  <c r="C3" i="133"/>
  <c r="F32" i="137"/>
  <c r="F34" i="137" l="1"/>
  <c r="I32" i="137" l="1"/>
  <c r="F34" i="134"/>
  <c r="I32" i="133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2" i="129"/>
  <c r="H52" i="134"/>
  <c r="H52" i="135"/>
  <c r="H52" i="137"/>
  <c r="H53" i="138"/>
  <c r="H52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<sst xmlns="http://schemas.openxmlformats.org/spreadsheetml/2006/main" count="1045" uniqueCount="201">
  <si>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</si>
  <si>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</si>
  <si>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</si>
  <si>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</si>
  <si>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</si>
  <si>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</si>
  <si>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</si>
  <si>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</si>
  <si>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</si>
  <si>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</si>
  <si>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</si>
  <si>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</si>
  <si>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</si>
  <si>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</si>
  <si>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</si>
  <si>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</si>
  <si>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</si>
  <si>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</si>
  <si>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</si>
  <si>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</si>
  <si>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</si>
  <si>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</si>
  <si>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</si>
  <si>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</si>
  <si>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</si>
  <si>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</si>
  <si>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</si>
  <si>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</si>
  <si>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</si>
  <si>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</si>
  <si>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</si>
  <si>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</si>
  <si>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</si>
  <si>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</si>
  <si>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</si>
  <si>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</si>
  <si>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</si>
  <si>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</si>
  <si>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</si>
  <si>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</si>
  <si>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</si>
  <si>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</si>
  <si>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</si>
  <si>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</si>
  <si>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</si>
  <si>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</si>
  <si>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</si>
  <si>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</si>
  <si>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</si>
  <si>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</si>
  <si>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</si>
  <si>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</si>
  <si>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</si>
  <si>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</si>
  <si>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</si>
  <si>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</si>
  <si>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</si>
  <si>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</si>
  <si>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</si>
  <si>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</si>
  <si>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</si>
  <si>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</si>
  <si>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</si>
  <si>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</si>
  <si>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</si>
  <si>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</si>
  <si>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</si>
  <si>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</si>
  <si>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</si>
  <si>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</si>
  <si>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</si>
  <si>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</si>
  <si>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</si>
  <si>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</si>
  <si>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</si>
  <si>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</si>
  <si>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</si>
  <si>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</si>
  <si>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</si>
  <si>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</si>
  <si>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</si>
  <si>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</si>
  <si>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</si>
  <si>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</si>
  <si>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</si>
  <si>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</si>
  <si>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</si>
  <si>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</si>
  <si>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</si>
  <si>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</si>
  <si>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</si>
  <si>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</si>
  <si>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</si>
  <si>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</si>
  <si>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</si>
  <si>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</si>
  <si>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</si>
  <si>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</si>
  <si>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</si>
  <si>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</si>
  <si>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</si>
  <si>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</si>
  <si>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</si>
  <si>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</si>
  <si>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</si>
  <si>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</si>
  <si>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</si>
  <si>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</si>
  <si>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</si>
  <si>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</si>
  <si>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</si>
  <si>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</si>
  <si>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</si>
  <si>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</si>
  <si>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</si>
  <si>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</si>
  <si>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</si>
  <si>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</si>
  <si>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</si>
  <si>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</si>
  <si>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</si>
  <si>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</si>
  <si>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</si>
  <si>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</si>
  <si>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</si>
  <si>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</si>
  <si>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</si>
  <si>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</si>
  <si>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</si>
  <si>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</si>
  <si>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</si>
  <si>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</si>
  <si>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</si>
  <si>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</si>
  <si>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</si>
  <si>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</si>
  <si>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</si>
  <si>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</si>
  <si>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</si>
  <si>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</si>
  <si>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</si>
  <si>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</si>
  <si>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</si>
  <si>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</si>
  <si>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</si>
  <si>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</si>
  <si>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</si>
  <si>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</si>
  <si>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</si>
  <si>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</si>
  <si>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</si>
  <si>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</si>
  <si>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</si>
  <si>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</si>
  <si>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</si>
  <si>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</si>
  <si>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</si>
  <si>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</si>
  <si>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</si>
  <si>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</si>
  <si>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</si>
  <si>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</si>
  <si>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</si>
  <si>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</si>
  <si>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</si>
  <si>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</si>
  <si>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</si>
  <si>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</si>
  <si>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</si>
  <si>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</si>
  <si>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</si>
  <si>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</si>
  <si>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</si>
  <si>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</si>
  <si>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</si>
  <si>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</si>
  <si>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</si>
  <si>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INK BLUE</t>
  </si>
  <si>
    <t>02</t>
  </si>
  <si>
    <t>CALLA LILY 451</t>
  </si>
  <si>
    <t>265K0089</t>
  </si>
  <si>
    <t>265K0090</t>
  </si>
  <si>
    <t>06</t>
  </si>
  <si>
    <t>01</t>
  </si>
  <si>
    <t>00, 01</t>
  </si>
  <si>
    <t>GIRLS COTTON FIBERS, KNIT PULLOVER, WITH NO NECK CLOSURE, STITCH COUNT IS GREATER THAN 9/2CM, REACHES WAIST [100% COTTON]</t>
  </si>
  <si>
    <t>BLACK LEOPARD, PINK LEOPARD HEART</t>
  </si>
  <si>
    <t>A MULTY PACK OF 3 PIECES OF BOYS COTTON FIBERS, KNIT SHIRT, WITH NECK CLOSURE, STITCH COUNT EQUAL OR IS GREATER THAN 10/1CM, HEM BOTTOM [60% COTTON 40% POLYESTER]</t>
  </si>
  <si>
    <t>265K0087</t>
  </si>
  <si>
    <t>265K0058</t>
  </si>
  <si>
    <t>265K0059</t>
  </si>
  <si>
    <t>Online</t>
  </si>
  <si>
    <t>Retail</t>
  </si>
  <si>
    <t>PINK LEOPARD HEART,
BLACK LEOPARD</t>
  </si>
  <si>
    <t>04</t>
  </si>
  <si>
    <t>PINK FLORAL</t>
  </si>
  <si>
    <t>PURPLE CHECK</t>
  </si>
  <si>
    <t>03, 05</t>
  </si>
  <si>
    <t>RED HEART, PURPLE CHECK</t>
  </si>
  <si>
    <t>PINK LEOPARD HEAR, BLACK LEOPARD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</si>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</sst>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#,###\ &quot;SET&quot;"/>
    <numFmt numFmtId="170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69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H9" sqref="H9"/>
    </sheetView>
  </sheetViews>
  <sheetFormatPr defaultRowHeight="12.75" x14ac:dyDescent="0.2"/>
  <sheetData>
    <row r="2" spans="2:9" ht="15" x14ac:dyDescent="0.25">
      <c r="B2" s="57">
        <v>1</v>
      </c>
      <c r="C2" t="s">
        <v>188</v>
      </c>
      <c r="E2" s="57">
        <v>1</v>
      </c>
      <c r="F2">
        <v>769950</v>
      </c>
      <c r="H2" s="57">
        <v>1</v>
      </c>
      <c r="I2" s="65" t="s">
        <v>191</v>
      </c>
    </row>
    <row r="3" spans="2:9" ht="15" x14ac:dyDescent="0.25">
      <c r="B3" s="57">
        <v>2</v>
      </c>
      <c r="C3" t="s">
        <v>189</v>
      </c>
      <c r="E3" s="57">
        <v>2</v>
      </c>
      <c r="F3">
        <v>905994</v>
      </c>
      <c r="H3" s="57">
        <v>2</v>
      </c>
      <c r="I3" s="65" t="s">
        <v>192</v>
      </c>
    </row>
    <row r="4" spans="2:9" ht="15" x14ac:dyDescent="0.25">
      <c r="B4" s="57">
        <v>3</v>
      </c>
      <c r="C4" t="s">
        <v>190</v>
      </c>
      <c r="E4" s="57">
        <v>3</v>
      </c>
      <c r="F4">
        <v>906033</v>
      </c>
      <c r="H4" s="57">
        <v>3</v>
      </c>
      <c r="I4" s="65" t="s">
        <v>192</v>
      </c>
    </row>
    <row r="5" spans="2:9" ht="15" x14ac:dyDescent="0.25">
      <c r="B5" s="57">
        <v>4</v>
      </c>
      <c r="C5" t="s">
        <v>189</v>
      </c>
      <c r="E5" s="57">
        <v>4</v>
      </c>
      <c r="F5">
        <v>905994</v>
      </c>
      <c r="H5" s="57">
        <v>4</v>
      </c>
      <c r="I5" s="65" t="s">
        <v>191</v>
      </c>
    </row>
    <row r="6" spans="2:9" ht="15" x14ac:dyDescent="0.25">
      <c r="B6" s="57">
        <v>5</v>
      </c>
      <c r="C6" t="s">
        <v>190</v>
      </c>
      <c r="E6" s="57">
        <v>5</v>
      </c>
      <c r="F6">
        <v>906033</v>
      </c>
      <c r="H6" s="57">
        <v>5</v>
      </c>
      <c r="I6" s="65" t="s">
        <v>191</v>
      </c>
    </row>
    <row r="7" spans="2:9" ht="15" x14ac:dyDescent="0.25">
      <c r="B7" s="57">
        <v>6</v>
      </c>
      <c r="C7" t="s">
        <v>180</v>
      </c>
      <c r="E7" s="57">
        <v>6</v>
      </c>
      <c r="F7">
        <v>905994</v>
      </c>
      <c r="H7" s="57">
        <v>6</v>
      </c>
      <c r="I7" s="65" t="s">
        <v>192</v>
      </c>
    </row>
    <row r="8" spans="2:9" ht="15" x14ac:dyDescent="0.25">
      <c r="B8" s="57">
        <v>7</v>
      </c>
      <c r="C8" t="s">
        <v>180</v>
      </c>
      <c r="E8" s="57">
        <v>7</v>
      </c>
      <c r="F8">
        <v>905994</v>
      </c>
      <c r="H8" s="57">
        <v>7</v>
      </c>
      <c r="I8" s="65" t="s">
        <v>192</v>
      </c>
    </row>
    <row r="9" spans="2:9" ht="15" x14ac:dyDescent="0.25">
      <c r="B9" s="57">
        <v>8</v>
      </c>
      <c r="C9" t="s">
        <v>181</v>
      </c>
      <c r="E9" s="57">
        <v>8</v>
      </c>
      <c r="F9">
        <v>906033</v>
      </c>
      <c r="H9" s="57">
        <v>8</v>
      </c>
      <c r="I9" s="65" t="s">
        <v>192</v>
      </c>
    </row>
    <row r="10" spans="2:9" ht="15" x14ac:dyDescent="0.25">
      <c r="B10" s="57">
        <v>9</v>
      </c>
      <c r="C10" t="s">
        <v>181</v>
      </c>
      <c r="E10" s="57">
        <v>9</v>
      </c>
      <c r="F10">
        <v>906033</v>
      </c>
      <c r="H10" s="57">
        <v>9</v>
      </c>
      <c r="I10" s="65" t="s">
        <v>191</v>
      </c>
    </row>
    <row r="11" spans="2:9" ht="15" x14ac:dyDescent="0.25">
      <c r="B11" s="57">
        <v>10</v>
      </c>
      <c r="C11" t="s">
        <v>180</v>
      </c>
      <c r="E11" s="57">
        <v>10</v>
      </c>
      <c r="F11">
        <v>905994</v>
      </c>
      <c r="H11" s="57">
        <v>10</v>
      </c>
      <c r="I11" s="65" t="s">
        <v>191</v>
      </c>
    </row>
    <row r="12" spans="2:9" ht="15" x14ac:dyDescent="0.25">
      <c r="B12" s="57">
        <v>11</v>
      </c>
      <c r="C12" t="s">
        <v>180</v>
      </c>
      <c r="E12" s="57">
        <v>11</v>
      </c>
      <c r="F12">
        <v>905994</v>
      </c>
      <c r="H12" s="57">
        <v>11</v>
      </c>
      <c r="I12" s="65" t="s">
        <v>191</v>
      </c>
    </row>
    <row r="13" spans="2:9" ht="15" x14ac:dyDescent="0.25">
      <c r="B13" s="57">
        <v>12</v>
      </c>
      <c r="E13" s="57">
        <v>12</v>
      </c>
      <c r="H13" s="57">
        <v>12</v>
      </c>
      <c r="I13" s="65"/>
    </row>
    <row r="14" spans="2:9" ht="15" x14ac:dyDescent="0.25">
      <c r="B14" s="57">
        <v>13</v>
      </c>
      <c r="E14" s="57">
        <v>13</v>
      </c>
      <c r="H14" s="57">
        <v>13</v>
      </c>
      <c r="I14" s="65"/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61808372</v>
      </c>
      <c r="K2" s="63">
        <v>1797</v>
      </c>
      <c r="L2" s="64">
        <v>62</v>
      </c>
      <c r="M2" s="64">
        <v>661.87800000000004</v>
      </c>
      <c r="N2" s="64">
        <v>672.66</v>
      </c>
      <c r="O2" s="64">
        <v>729.56</v>
      </c>
      <c r="P2" s="64" t="s">
        <v>54</v>
      </c>
      <c r="Q2" s="64">
        <v>3.355</v>
      </c>
      <c r="R2" s="64" t="s">
        <v>62</v>
      </c>
    </row>
    <row r="3" spans="2:22" x14ac:dyDescent="0.2">
      <c r="B3" s="6" t="s">
        <v>53</v>
      </c>
      <c r="C3" s="69">
        <v>64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61808372</v>
      </c>
      <c r="C21" s="56">
        <f>VLOOKUP($K57,reff!E2:F29,2,0)</f>
        <v>769950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729.56</v>
      </c>
      <c r="G23" s="23">
        <f>+N2</f>
        <v>672.66</v>
      </c>
      <c r="H23" s="23">
        <f>+M2</f>
        <v>661.87800000000004</v>
      </c>
      <c r="I23" s="55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A MULTY PACK OF 3 PIECES OF 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4.95" customHeight="1" x14ac:dyDescent="0.2">
      <c r="B32" s="41" t="s">
        <v>183</v>
      </c>
      <c r="C32" s="19" t="s">
        <v>177</v>
      </c>
      <c r="D32" s="70">
        <f>+F32*3</f>
        <v>2613</v>
      </c>
      <c r="E32" s="71"/>
      <c r="F32" s="70">
        <v>871</v>
      </c>
      <c r="G32" s="71"/>
      <c r="H32" s="17">
        <v>0.9</v>
      </c>
      <c r="I32" s="18">
        <f>+H32*D32</f>
        <v>2351.7000000000003</v>
      </c>
      <c r="K32" s="46"/>
      <c r="M32" s="39"/>
    </row>
    <row r="33" spans="2:13" ht="24.95" customHeight="1" x14ac:dyDescent="0.2">
      <c r="B33" s="41" t="s">
        <v>178</v>
      </c>
      <c r="C33" s="19" t="s">
        <v>179</v>
      </c>
      <c r="D33" s="70">
        <f>+F33*3</f>
        <v>2778</v>
      </c>
      <c r="E33" s="71"/>
      <c r="F33" s="70">
        <f>+K2-F32</f>
        <v>926</v>
      </c>
      <c r="G33" s="71"/>
      <c r="H33" s="17">
        <v>0.9</v>
      </c>
      <c r="I33" s="18">
        <f>+H33*D33</f>
        <v>2500.2000000000003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0"/>
    </row>
    <row r="35" spans="2:13" ht="21.75" customHeight="1" x14ac:dyDescent="0.2">
      <c r="B35" s="15" t="s">
        <v>14</v>
      </c>
      <c r="C35" s="15"/>
      <c r="D35" s="74">
        <f>SUM(D32:E34)</f>
        <v>5391</v>
      </c>
      <c r="E35" s="75"/>
      <c r="F35" s="76">
        <f>SUM(F32:G34)</f>
        <v>1797</v>
      </c>
      <c r="G35" s="77"/>
      <c r="H35" s="15"/>
      <c r="I35" s="14">
        <f>SUM(I32:I34)</f>
        <v>4851.9000000000005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4851.9000000000005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4851.9000000000005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265K0087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D34:E34"/>
    <mergeCell ref="F34:G34"/>
    <mergeCell ref="D35:E35"/>
    <mergeCell ref="F35:G35"/>
    <mergeCell ref="D33:E33"/>
    <mergeCell ref="F33:G33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3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61635628</v>
      </c>
      <c r="K2" s="64">
        <v>747</v>
      </c>
      <c r="L2" s="64">
        <v>13</v>
      </c>
      <c r="M2" s="64">
        <v>52.061</v>
      </c>
      <c r="N2" s="64">
        <v>53.555</v>
      </c>
      <c r="O2" s="64">
        <v>60.505000000000003</v>
      </c>
      <c r="P2" s="64" t="s">
        <v>54</v>
      </c>
      <c r="Q2" s="64">
        <v>0.31900000000000001</v>
      </c>
      <c r="R2" s="64" t="s">
        <v>62</v>
      </c>
    </row>
    <row r="3" spans="2:22" x14ac:dyDescent="0.2">
      <c r="B3" s="6" t="s">
        <v>53</v>
      </c>
      <c r="C3" s="69">
        <f>+'64'!C3+1</f>
        <v>65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61635628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60.505000000000003</v>
      </c>
      <c r="G23" s="23">
        <f>+N2</f>
        <v>53.555</v>
      </c>
      <c r="H23" s="23">
        <f>+M2</f>
        <v>52.061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41.25" customHeight="1" x14ac:dyDescent="0.2">
      <c r="B32" s="41" t="s">
        <v>184</v>
      </c>
      <c r="C32" s="19" t="s">
        <v>199</v>
      </c>
      <c r="D32" s="70"/>
      <c r="E32" s="71"/>
      <c r="F32" s="70">
        <f>+K2</f>
        <v>747</v>
      </c>
      <c r="G32" s="71"/>
      <c r="H32" s="17">
        <v>0.81</v>
      </c>
      <c r="I32" s="18">
        <f>+H32*F32</f>
        <v>605.07000000000005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48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747</v>
      </c>
      <c r="G34" s="71"/>
      <c r="H34" s="15"/>
      <c r="I34" s="14">
        <f>SUM(I32:I33)</f>
        <v>605.07000000000005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605.07000000000005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605.07000000000005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61613711</v>
      </c>
      <c r="K2" s="63">
        <v>4815</v>
      </c>
      <c r="L2" s="64">
        <v>49</v>
      </c>
      <c r="M2" s="64">
        <v>391.51499999999999</v>
      </c>
      <c r="N2" s="64">
        <v>401.14499999999998</v>
      </c>
      <c r="O2" s="64">
        <v>444.495</v>
      </c>
      <c r="P2" s="64" t="s">
        <v>54</v>
      </c>
      <c r="Q2" s="64">
        <v>2.6339999999999999</v>
      </c>
      <c r="R2" s="64" t="s">
        <v>62</v>
      </c>
    </row>
    <row r="3" spans="2:22" x14ac:dyDescent="0.2">
      <c r="B3" s="6" t="s">
        <v>53</v>
      </c>
      <c r="C3" s="69">
        <f>+'65'!C3+1</f>
        <v>66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61613711</v>
      </c>
      <c r="C21" s="49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444.495</v>
      </c>
      <c r="G23" s="23">
        <f>+N2</f>
        <v>401.14499999999998</v>
      </c>
      <c r="H23" s="23">
        <f>+M2</f>
        <v>391.51499999999999</v>
      </c>
      <c r="I23" s="48">
        <f>+L2</f>
        <v>49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41.25" customHeight="1" x14ac:dyDescent="0.2">
      <c r="B32" s="41" t="s">
        <v>184</v>
      </c>
      <c r="C32" s="19" t="s">
        <v>193</v>
      </c>
      <c r="D32" s="70"/>
      <c r="E32" s="71"/>
      <c r="F32" s="70">
        <f>+K2</f>
        <v>4815</v>
      </c>
      <c r="G32" s="71"/>
      <c r="H32" s="17">
        <v>0.84</v>
      </c>
      <c r="I32" s="18">
        <f>+H32*F32</f>
        <v>4044.6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48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4815</v>
      </c>
      <c r="G34" s="71"/>
      <c r="H34" s="15"/>
      <c r="I34" s="14">
        <f>SUM(I32:I33)</f>
        <v>4044.6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4044.6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4044.6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61646956</v>
      </c>
      <c r="K2" s="64">
        <v>390</v>
      </c>
      <c r="L2" s="64">
        <v>3</v>
      </c>
      <c r="M2" s="64">
        <v>28.57</v>
      </c>
      <c r="N2" s="64">
        <v>29.35</v>
      </c>
      <c r="O2" s="64">
        <v>32.049999999999997</v>
      </c>
      <c r="P2" s="64" t="s">
        <v>54</v>
      </c>
      <c r="Q2" s="64">
        <v>0.157</v>
      </c>
      <c r="R2" s="64" t="s">
        <v>62</v>
      </c>
    </row>
    <row r="3" spans="2:22" x14ac:dyDescent="0.2">
      <c r="B3" s="6" t="s">
        <v>53</v>
      </c>
      <c r="C3" s="69">
        <f>+'66'!C3+1</f>
        <v>67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61646956</v>
      </c>
      <c r="C21" s="53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32.049999999999997</v>
      </c>
      <c r="G23" s="23">
        <f>+N2</f>
        <v>29.35</v>
      </c>
      <c r="H23" s="23">
        <f>+M2</f>
        <v>28.57</v>
      </c>
      <c r="I23" s="54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9" t="s">
        <v>19</v>
      </c>
      <c r="E31" s="89"/>
      <c r="F31" s="89" t="s">
        <v>18</v>
      </c>
      <c r="G31" s="89"/>
      <c r="H31" s="54" t="s">
        <v>17</v>
      </c>
      <c r="I31" s="19" t="s">
        <v>16</v>
      </c>
      <c r="M31"/>
    </row>
    <row r="32" spans="2:13" ht="39" customHeight="1" x14ac:dyDescent="0.2">
      <c r="B32" s="41" t="s">
        <v>184</v>
      </c>
      <c r="C32" s="19" t="s">
        <v>186</v>
      </c>
      <c r="D32" s="70"/>
      <c r="E32" s="71"/>
      <c r="F32" s="70">
        <f>+K2</f>
        <v>390</v>
      </c>
      <c r="G32" s="71"/>
      <c r="H32" s="17">
        <v>0.81</v>
      </c>
      <c r="I32" s="18">
        <f>+H32*F32</f>
        <v>315.90000000000003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4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390</v>
      </c>
      <c r="G34" s="71"/>
      <c r="H34" s="15"/>
      <c r="I34" s="14">
        <f>SUM(I32:I33)</f>
        <v>315.90000000000003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315.90000000000003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315.90000000000003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61646972</v>
      </c>
      <c r="K2" s="63">
        <v>1777</v>
      </c>
      <c r="L2" s="64">
        <v>24</v>
      </c>
      <c r="M2" s="64">
        <v>148.80600000000001</v>
      </c>
      <c r="N2" s="64">
        <v>152.36000000000001</v>
      </c>
      <c r="O2" s="64">
        <v>172.26</v>
      </c>
      <c r="P2" s="64" t="s">
        <v>54</v>
      </c>
      <c r="Q2" s="64">
        <v>0.97299999999999998</v>
      </c>
      <c r="R2" s="64" t="s">
        <v>62</v>
      </c>
    </row>
    <row r="3" spans="2:22" x14ac:dyDescent="0.2">
      <c r="B3" s="6" t="s">
        <v>53</v>
      </c>
      <c r="C3" s="69">
        <f>+'67'!C3+1</f>
        <v>68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61646972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172.26</v>
      </c>
      <c r="G23" s="23">
        <f>+N2</f>
        <v>152.36000000000001</v>
      </c>
      <c r="H23" s="23">
        <f>+M2</f>
        <v>148.80600000000001</v>
      </c>
      <c r="I23" s="55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36.75" customHeight="1" x14ac:dyDescent="0.2">
      <c r="B32" s="41" t="s">
        <v>184</v>
      </c>
      <c r="C32" s="19" t="s">
        <v>186</v>
      </c>
      <c r="D32" s="70"/>
      <c r="E32" s="71"/>
      <c r="F32" s="70">
        <f>+K2</f>
        <v>1777</v>
      </c>
      <c r="G32" s="71"/>
      <c r="H32" s="17">
        <v>0.84</v>
      </c>
      <c r="I32" s="18">
        <f>+H32*F32</f>
        <v>1492.6799999999998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9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1777</v>
      </c>
      <c r="G34" s="71"/>
      <c r="H34" s="15"/>
      <c r="I34" s="14">
        <f>SUM(I32:I32)</f>
        <v>1492.6799999999998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1492.6799999999998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1492.6799999999998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61996866</v>
      </c>
      <c r="K2" s="64">
        <v>764</v>
      </c>
      <c r="L2" s="64">
        <v>9</v>
      </c>
      <c r="M2" s="64">
        <v>50.322000000000003</v>
      </c>
      <c r="N2" s="64">
        <v>51.85</v>
      </c>
      <c r="O2" s="64">
        <v>58.6</v>
      </c>
      <c r="P2" s="64" t="s">
        <v>54</v>
      </c>
      <c r="Q2" s="64">
        <v>0.35199999999999998</v>
      </c>
      <c r="R2" s="64" t="s">
        <v>62</v>
      </c>
    </row>
    <row r="3" spans="2:22" x14ac:dyDescent="0.2">
      <c r="B3" s="6" t="s">
        <v>53</v>
      </c>
      <c r="C3" s="69">
        <f>+'68'!C3+1</f>
        <v>69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61996866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58.6</v>
      </c>
      <c r="G23" s="23">
        <f>+N2</f>
        <v>51.85</v>
      </c>
      <c r="H23" s="23">
        <f>+M2</f>
        <v>50.322000000000003</v>
      </c>
      <c r="I23" s="55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9.25" customHeight="1" x14ac:dyDescent="0.2">
      <c r="B32" s="61" t="s">
        <v>182</v>
      </c>
      <c r="C32" s="19" t="s">
        <v>196</v>
      </c>
      <c r="D32" s="70"/>
      <c r="E32" s="71"/>
      <c r="F32" s="70">
        <f>+K2</f>
        <v>764</v>
      </c>
      <c r="G32" s="71"/>
      <c r="H32" s="17">
        <v>0.81</v>
      </c>
      <c r="I32" s="18">
        <f>+H32*F32</f>
        <v>618.84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5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764</v>
      </c>
      <c r="G34" s="71"/>
      <c r="H34" s="15"/>
      <c r="I34" s="14">
        <f>SUM(I32:I33)</f>
        <v>618.84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618.84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618.84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61996889</v>
      </c>
      <c r="K2" s="63">
        <v>2300</v>
      </c>
      <c r="L2" s="64">
        <v>28</v>
      </c>
      <c r="M2" s="64">
        <v>152.095</v>
      </c>
      <c r="N2" s="64">
        <v>156.69499999999999</v>
      </c>
      <c r="O2" s="64">
        <v>177.345</v>
      </c>
      <c r="P2" s="64" t="s">
        <v>54</v>
      </c>
      <c r="Q2" s="64">
        <v>1.0229999999999999</v>
      </c>
      <c r="R2" s="64" t="s">
        <v>62</v>
      </c>
    </row>
    <row r="3" spans="2:22" x14ac:dyDescent="0.2">
      <c r="B3" s="6" t="s">
        <v>53</v>
      </c>
      <c r="C3" s="69">
        <f>+'69'!C3+1</f>
        <v>70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61996889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177.345</v>
      </c>
      <c r="G23" s="23">
        <f>+N2</f>
        <v>156.69499999999999</v>
      </c>
      <c r="H23" s="23">
        <f>+M2</f>
        <v>152.095</v>
      </c>
      <c r="I23" s="67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195</v>
      </c>
      <c r="D32" s="70"/>
      <c r="E32" s="71"/>
      <c r="F32" s="70">
        <f>+K2</f>
        <v>2300</v>
      </c>
      <c r="G32" s="71"/>
      <c r="H32" s="17">
        <v>0.81</v>
      </c>
      <c r="I32" s="18">
        <f>+H32*F32</f>
        <v>1863.0000000000002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2300</v>
      </c>
      <c r="G34" s="71"/>
      <c r="H34" s="15"/>
      <c r="I34" s="14">
        <f>SUM(I32:I33)</f>
        <v>1863.0000000000002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1863.0000000000002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1863.0000000000002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3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61996851</v>
      </c>
      <c r="K2" s="63">
        <v>14477</v>
      </c>
      <c r="L2" s="64">
        <v>142</v>
      </c>
      <c r="M2" s="66">
        <v>1180.346</v>
      </c>
      <c r="N2" s="66">
        <v>1209.3</v>
      </c>
      <c r="O2" s="66">
        <v>1335.6</v>
      </c>
      <c r="P2" s="64" t="s">
        <v>54</v>
      </c>
      <c r="Q2" s="64">
        <v>7.8170000000000002</v>
      </c>
      <c r="R2" s="64" t="s">
        <v>62</v>
      </c>
    </row>
    <row r="3" spans="2:22" x14ac:dyDescent="0.2">
      <c r="B3" s="6" t="s">
        <v>53</v>
      </c>
      <c r="C3" s="69">
        <f>+'70'!C3+1</f>
        <v>71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61996851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1335.6</v>
      </c>
      <c r="G23" s="23">
        <f>+N2</f>
        <v>1209.3</v>
      </c>
      <c r="H23" s="23">
        <f>+M2</f>
        <v>1180.346</v>
      </c>
      <c r="I23" s="67">
        <f>+L2</f>
        <v>142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30.75" customHeight="1" x14ac:dyDescent="0.2">
      <c r="B32" s="41" t="s">
        <v>194</v>
      </c>
      <c r="C32" s="19" t="s">
        <v>195</v>
      </c>
      <c r="D32" s="70"/>
      <c r="E32" s="71"/>
      <c r="F32" s="70">
        <v>5237</v>
      </c>
      <c r="G32" s="71"/>
      <c r="H32" s="17">
        <v>0.84</v>
      </c>
      <c r="I32" s="18">
        <f>+H32*F32</f>
        <v>4399.08</v>
      </c>
      <c r="K32" s="46"/>
      <c r="M32" s="39"/>
    </row>
    <row r="33" spans="2:13" ht="42" customHeight="1" x14ac:dyDescent="0.2">
      <c r="B33" s="41" t="s">
        <v>197</v>
      </c>
      <c r="C33" s="19" t="s">
        <v>198</v>
      </c>
      <c r="D33" s="70"/>
      <c r="E33" s="71"/>
      <c r="F33" s="70">
        <f>+K2-F32</f>
        <v>9240</v>
      </c>
      <c r="G33" s="71"/>
      <c r="H33" s="17">
        <v>0.84</v>
      </c>
      <c r="I33" s="18">
        <f>+H33*F33</f>
        <v>7761.5999999999995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SUM(F31:G34)</f>
        <v>14477</v>
      </c>
      <c r="G35" s="71"/>
      <c r="H35" s="15"/>
      <c r="I35" s="14">
        <f>SUM(I32:I34)</f>
        <v>12160.68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12160.68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12160.68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 s="20">
        <v>8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61997057</v>
      </c>
      <c r="K2" s="63">
        <v>4861</v>
      </c>
      <c r="L2" s="64">
        <v>56</v>
      </c>
      <c r="M2" s="64">
        <v>407.91300000000001</v>
      </c>
      <c r="N2" s="64">
        <v>417.63499999999999</v>
      </c>
      <c r="O2" s="64">
        <v>466.83499999999998</v>
      </c>
      <c r="P2" s="64" t="s">
        <v>54</v>
      </c>
      <c r="Q2" s="64">
        <v>2.6949999999999998</v>
      </c>
      <c r="R2" s="64" t="s">
        <v>62</v>
      </c>
    </row>
    <row r="3" spans="2:22" x14ac:dyDescent="0.2">
      <c r="B3" s="6" t="s">
        <v>53</v>
      </c>
      <c r="C3" s="69">
        <f>+'71'!C3+1</f>
        <v>72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61997057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466.83499999999998</v>
      </c>
      <c r="G23" s="23">
        <f>+N2</f>
        <v>417.63499999999999</v>
      </c>
      <c r="H23" s="23">
        <f>+M2</f>
        <v>407.91300000000001</v>
      </c>
      <c r="I23" s="67">
        <f>+L2</f>
        <v>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195</v>
      </c>
      <c r="D32" s="70"/>
      <c r="E32" s="71"/>
      <c r="F32" s="70">
        <v>2082</v>
      </c>
      <c r="G32" s="71"/>
      <c r="H32" s="17">
        <v>0.84</v>
      </c>
      <c r="I32" s="18">
        <f>+H32*F32</f>
        <v>1748.8799999999999</v>
      </c>
      <c r="K32" s="46"/>
      <c r="M32" s="39"/>
    </row>
    <row r="33" spans="2:13" ht="38.25" customHeight="1" x14ac:dyDescent="0.2">
      <c r="B33" s="41" t="s">
        <v>197</v>
      </c>
      <c r="C33" s="19" t="s">
        <v>198</v>
      </c>
      <c r="D33" s="70"/>
      <c r="E33" s="71"/>
      <c r="F33" s="70">
        <f>+K2-F32</f>
        <v>2779</v>
      </c>
      <c r="G33" s="71"/>
      <c r="H33" s="17">
        <v>0.84</v>
      </c>
      <c r="I33" s="18">
        <f>+H33*F33</f>
        <v>2334.36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SUM(F31:G34)</f>
        <v>4861</v>
      </c>
      <c r="G35" s="71"/>
      <c r="H35" s="15"/>
      <c r="I35" s="14">
        <f>SUM(I32:I34)</f>
        <v>4083.24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4083.24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4083.24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9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 s="20">
        <v>9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61996931</v>
      </c>
      <c r="K2" s="63">
        <v>1052</v>
      </c>
      <c r="L2" s="64">
        <v>10</v>
      </c>
      <c r="M2" s="64">
        <v>74.075999999999993</v>
      </c>
      <c r="N2" s="64">
        <v>76.180000000000007</v>
      </c>
      <c r="O2" s="64">
        <v>84.68</v>
      </c>
      <c r="P2" s="64" t="s">
        <v>54</v>
      </c>
      <c r="Q2" s="64">
        <v>0.436</v>
      </c>
      <c r="R2" s="64" t="s">
        <v>62</v>
      </c>
    </row>
    <row r="3" spans="2:22" x14ac:dyDescent="0.2">
      <c r="B3" s="6" t="s">
        <v>53</v>
      </c>
      <c r="C3" s="69">
        <f>+'72'!C3+1</f>
        <v>73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61996931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84.68</v>
      </c>
      <c r="G23" s="23">
        <f>+N2</f>
        <v>76.180000000000007</v>
      </c>
      <c r="H23" s="23">
        <f>+M2</f>
        <v>74.075999999999993</v>
      </c>
      <c r="I23" s="67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1" customHeight="1" x14ac:dyDescent="0.2">
      <c r="B32" s="41" t="s">
        <v>194</v>
      </c>
      <c r="C32" s="19" t="s">
        <v>195</v>
      </c>
      <c r="D32" s="70"/>
      <c r="E32" s="71"/>
      <c r="F32" s="70">
        <f>+K2</f>
        <v>1052</v>
      </c>
      <c r="G32" s="71"/>
      <c r="H32" s="17">
        <v>0.81</v>
      </c>
      <c r="I32" s="18">
        <f>+H32*F32</f>
        <v>852.12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1052</v>
      </c>
      <c r="G34" s="71"/>
      <c r="H34" s="15"/>
      <c r="I34" s="14">
        <f>SUM(I32:I33)</f>
        <v>852.12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852.12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852.12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200</v>
      </c>
      <c r="C2" s="84"/>
      <c r="D2" s="84"/>
      <c r="E2" s="84"/>
      <c r="F2" s="84"/>
      <c r="G2" s="84"/>
      <c r="H2" s="84"/>
      <c r="I2" s="85"/>
      <c r="J2" s="62">
        <v>61996970</v>
      </c>
      <c r="K2" s="64">
        <v>496</v>
      </c>
      <c r="L2" s="64">
        <v>6</v>
      </c>
      <c r="M2" s="64">
        <v>34.902999999999999</v>
      </c>
      <c r="N2" s="64">
        <v>35.895000000000003</v>
      </c>
      <c r="O2" s="64">
        <v>40.695</v>
      </c>
      <c r="P2" s="64" t="s">
        <v>54</v>
      </c>
      <c r="Q2" s="64">
        <v>0.21199999999999999</v>
      </c>
      <c r="R2" s="64" t="s">
        <v>62</v>
      </c>
    </row>
    <row r="3" spans="2:22" x14ac:dyDescent="0.2">
      <c r="B3" s="6" t="s">
        <v>53</v>
      </c>
      <c r="C3" s="69">
        <f>+'73'!C3+1</f>
        <v>74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61996970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40.695</v>
      </c>
      <c r="G23" s="23">
        <f>+N2</f>
        <v>35.895000000000003</v>
      </c>
      <c r="H23" s="23">
        <f>+M2</f>
        <v>34.902999999999999</v>
      </c>
      <c r="I23" s="67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4.95" customHeight="1" x14ac:dyDescent="0.2">
      <c r="B32" s="41" t="s">
        <v>182</v>
      </c>
      <c r="C32" s="19" t="s">
        <v>196</v>
      </c>
      <c r="D32" s="70"/>
      <c r="E32" s="71"/>
      <c r="F32" s="70">
        <f>+K2</f>
        <v>496</v>
      </c>
      <c r="G32" s="71"/>
      <c r="H32" s="17">
        <v>0.81</v>
      </c>
      <c r="I32" s="18">
        <f>+H32*F32</f>
        <v>401.76000000000005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496</v>
      </c>
      <c r="G34" s="71"/>
      <c r="H34" s="15"/>
      <c r="I34" s="14">
        <f>SUM(I32:I32)</f>
        <v>401.76000000000005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401.76000000000005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401.76000000000005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Sheet1</vt:lpstr>
      <vt:lpstr>reff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'64'!Print_Area</vt:lpstr>
      <vt:lpstr>'65'!Print_Area</vt:lpstr>
      <vt:lpstr>'66'!Print_Area</vt:lpstr>
      <vt:lpstr>'67'!Print_Area</vt:lpstr>
      <vt:lpstr>'68'!Print_Area</vt:lpstr>
      <vt:lpstr>'69'!Print_Area</vt:lpstr>
      <vt:lpstr>'70'!Print_Area</vt:lpstr>
      <vt:lpstr>'71'!Print_Area</vt:lpstr>
      <vt:lpstr>'72'!Print_Area</vt:lpstr>
      <vt:lpstr>'73'!Print_Area</vt:lpstr>
      <vt:lpstr>'74'!Print_Area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2026-08-06T01:24:12Z</cp:lastPrinted>
  <dcterms:created xsi:type="dcterms:W3CDTF">2024-04-17T09:56:05Z</dcterms:created>
  <dcterms:modified xsi:type="dcterms:W3CDTF">2026-08-07T10:24:07Z</dcterms:modified>
</cp:coreProperties>
</file>