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9. SEPTEMBER\03.09.2026\"/>
    </mc:Choice>
  </mc:AlternateContent>
  <bookViews>
    <workbookView xWindow="-120" yWindow="-120" windowWidth="20730" windowHeight="11160" tabRatio="804" firstSheet="1" activeTab="2"/>
  </bookViews>
  <sheets>
    <sheet name="Sheet1" sheetId="128" r:id="rId1"/>
    <sheet name="reff" sheetId="162" r:id="rId2"/>
    <sheet name="47" sheetId="138" r:id="rId3"/>
    <sheet name="48" sheetId="129" r:id="rId4"/>
    <sheet name="49" sheetId="133" r:id="rId5"/>
    <sheet name="50" sheetId="134" r:id="rId6"/>
    <sheet name="51" sheetId="135" r:id="rId7"/>
    <sheet name="52" sheetId="137" r:id="rId8"/>
    <sheet name="53" sheetId="172" r:id="rId9"/>
    <sheet name="54" sheetId="173" r:id="rId10"/>
    <sheet name="55" sheetId="174" r:id="rId11"/>
    <sheet name="56" sheetId="175" r:id="rId12"/>
    <sheet name="57" sheetId="176" r:id="rId13"/>
    <sheet name="58" sheetId="177" r:id="rId14"/>
    <sheet name="59" sheetId="178" r:id="rId15"/>
  </sheets>
  <externalReferences>
    <externalReference r:id="rId16"/>
    <externalReference r:id="rId17"/>
    <externalReference r:id="rId1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>[2]xdata!#REF!</definedName>
    <definedName name="INVOICE">[2]xdata!$B$2</definedName>
    <definedName name="_xlnm.Print_Area" localSheetId="2">'47'!$B$1:$I$58</definedName>
    <definedName name="_xlnm.Print_Area" localSheetId="3">'48'!$B$1:$I$59</definedName>
    <definedName name="_xlnm.Print_Area" localSheetId="4">'49'!$B$1:$I$58</definedName>
    <definedName name="_xlnm.Print_Area" localSheetId="5">'50'!$B$1:$I$57</definedName>
    <definedName name="_xlnm.Print_Area" localSheetId="6">'51'!$B$1:$I$58</definedName>
    <definedName name="_xlnm.Print_Area" localSheetId="7">'52'!$B$1:$I$57</definedName>
    <definedName name="_xlnm.Print_Area" localSheetId="8">'53'!$B$1:$I$57</definedName>
    <definedName name="_xlnm.Print_Area" localSheetId="9">'54'!$B$1:$I$57</definedName>
    <definedName name="_xlnm.Print_Area" localSheetId="10">'55'!$B$1:$I$57</definedName>
    <definedName name="_xlnm.Print_Area" localSheetId="11">'56'!$B$1:$I$57</definedName>
    <definedName name="_xlnm.Print_Area" localSheetId="12">'57'!$B$1:$I$57</definedName>
    <definedName name="_xlnm.Print_Area" localSheetId="13">'58'!$B$1:$I$57</definedName>
    <definedName name="_xlnm.Print_Area" localSheetId="14">'59'!$B$1:$I$57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5" l="1"/>
  <c r="F32" i="135"/>
  <c r="F32" i="133"/>
  <c r="F32" i="129"/>
  <c r="F32" i="138"/>
  <c r="F32" i="172"/>
  <c r="I33" i="135"/>
  <c r="I33" i="133"/>
  <c r="I32" i="133"/>
  <c r="F32" i="176" l="1"/>
  <c r="F32" i="174"/>
  <c r="I32" i="172"/>
  <c r="F32" i="137"/>
  <c r="F32" i="134"/>
  <c r="I32" i="129"/>
  <c r="I34" i="129"/>
  <c r="I33" i="129"/>
  <c r="B21" i="138"/>
  <c r="I33" i="138"/>
  <c r="F36" i="129" l="1"/>
  <c r="F32" i="178" l="1"/>
  <c r="F34" i="176"/>
  <c r="F32" i="177" l="1"/>
  <c r="F32" i="175"/>
  <c r="F35" i="133"/>
  <c r="I35" i="133"/>
  <c r="I32" i="178" l="1"/>
  <c r="I32" i="176"/>
  <c r="F35" i="138"/>
  <c r="I32" i="138"/>
  <c r="I35" i="138" s="1"/>
  <c r="H52" i="178"/>
  <c r="F34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2" i="177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2" i="176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2" i="174"/>
  <c r="F34" i="174"/>
  <c r="I32" i="174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76" l="1"/>
  <c r="I36" i="176" s="1"/>
  <c r="I38" i="176" s="1"/>
  <c r="I34" i="178"/>
  <c r="I36" i="178" s="1"/>
  <c r="I38" i="178" s="1"/>
  <c r="I34" i="175"/>
  <c r="I36" i="175" s="1"/>
  <c r="I38" i="175" s="1"/>
  <c r="I36" i="129"/>
  <c r="I32" i="173"/>
  <c r="I34" i="173" s="1"/>
  <c r="I36" i="173" s="1"/>
  <c r="I38" i="173" s="1"/>
  <c r="I34" i="172"/>
  <c r="I36" i="172" s="1"/>
  <c r="I38" i="172" s="1"/>
  <c r="I32" i="135" l="1"/>
  <c r="I35" i="135" s="1"/>
  <c r="B27" i="135"/>
  <c r="C3" i="129" l="1"/>
  <c r="I32" i="134" l="1"/>
  <c r="C3" i="133"/>
  <c r="F34" i="137" l="1"/>
  <c r="I32" i="137" l="1"/>
  <c r="F34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4" i="129"/>
  <c r="H52" i="134"/>
  <c r="H53" i="135"/>
  <c r="H52" i="137"/>
  <c r="H53" i="138"/>
  <c r="H53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C3" i="177" s="1"/>
  <c r="C3" i="178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8" i="129"/>
  <c r="I40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7" i="133" l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<sst xmlns="http://schemas.openxmlformats.org/spreadsheetml/2006/main" count="1207" uniqueCount="204">
  <si>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</si>
  <si>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</si>
  <si>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</si>
  <si>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</si>
  <si>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</si>
  <si>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</si>
  <si>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</si>
  <si>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</si>
  <si>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</si>
  <si>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</si>
  <si>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</si>
  <si>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</si>
  <si>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</si>
  <si>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</si>
  <si>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</si>
  <si>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</si>
  <si>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</si>
  <si>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</si>
  <si>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</si>
  <si>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</si>
  <si>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</si>
  <si>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</si>
  <si>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</si>
  <si>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</si>
  <si>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</si>
  <si>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</si>
  <si>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</si>
  <si>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</si>
  <si>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</si>
  <si>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</si>
  <si>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</si>
  <si>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</si>
  <si>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</si>
  <si>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</si>
  <si>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</si>
  <si>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</si>
  <si>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</si>
  <si>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</si>
  <si>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</si>
  <si>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</si>
  <si>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</si>
  <si>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</si>
  <si>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</si>
  <si>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</si>
  <si>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</si>
  <si>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</si>
  <si>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</si>
  <si>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</si>
  <si>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</si>
  <si>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</si>
  <si>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</si>
  <si>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</si>
  <si>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</si>
  <si>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</si>
  <si>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</si>
  <si>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</si>
  <si>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</si>
  <si>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</si>
  <si>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</si>
  <si>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</si>
  <si>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</si>
  <si>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</si>
  <si>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</si>
  <si>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</si>
  <si>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</si>
  <si>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</si>
  <si>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</si>
  <si>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</si>
  <si>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</si>
  <si>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</si>
  <si>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</si>
  <si>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</si>
  <si>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</si>
  <si>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</si>
  <si>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</si>
  <si>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</si>
  <si>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</si>
  <si>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</si>
  <si>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</si>
  <si>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</si>
  <si>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</si>
  <si>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</si>
  <si>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</si>
  <si>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</si>
  <si>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</si>
  <si>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</si>
  <si>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</si>
  <si>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</si>
  <si>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</si>
  <si>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</si>
  <si>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</si>
  <si>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</si>
  <si>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</si>
  <si>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</si>
  <si>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</si>
  <si>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</si>
  <si>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</si>
  <si>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</si>
  <si>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</si>
  <si>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</si>
  <si>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</si>
  <si>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</si>
  <si>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</si>
  <si>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</si>
  <si>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</si>
  <si>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</si>
  <si>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</si>
  <si>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</si>
  <si>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</si>
  <si>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</si>
  <si>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</si>
  <si>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</si>
  <si>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</si>
  <si>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</si>
  <si>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</si>
  <si>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</si>
  <si>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</si>
  <si>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</si>
  <si>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</si>
  <si>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</si>
  <si>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</si>
  <si>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</si>
  <si>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</si>
  <si>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</si>
  <si>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</si>
  <si>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</si>
  <si>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</si>
  <si>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</si>
  <si>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</si>
  <si>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</si>
  <si>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</si>
  <si>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</si>
  <si>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</si>
  <si>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</si>
  <si>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</si>
  <si>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</si>
  <si>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</si>
  <si>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</si>
  <si>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</si>
  <si>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</si>
  <si>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</si>
  <si>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</si>
  <si>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</si>
  <si>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</si>
  <si>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</si>
  <si>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</si>
  <si>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</si>
  <si>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</si>
  <si>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</si>
  <si>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</si>
  <si>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</si>
  <si>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</si>
  <si>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</si>
  <si>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</si>
  <si>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</si>
  <si>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</si>
  <si>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</si>
  <si>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</si>
  <si>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</si>
  <si>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</si>
  <si>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</si>
  <si>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</si>
  <si>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</si>
  <si>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</si>
  <si>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</si>
  <si>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</si>
  <si>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</si>
  <si>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</si>
  <si>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</si>
  <si>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</si>
  <si>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</si>
  <si>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</si>
  <si>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</si>
  <si>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</si>
  <si>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</si>
  <si>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</si>
  <si>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</si>
  <si>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265K0089</t>
  </si>
  <si>
    <t>GIRLS COTTON FIBERS, KNIT PULLOVER, WITH NO NECK CLOSURE, STITCH COUNT IS GREATER THAN 9/2CM, REACHES WAIST [100% COTTON]</t>
  </si>
  <si>
    <t>Online</t>
  </si>
  <si>
    <t>Retail</t>
  </si>
  <si>
    <t>265K0103</t>
  </si>
  <si>
    <t>00</t>
  </si>
  <si>
    <t>BLACK LEOPARD</t>
  </si>
  <si>
    <t>WOMENS COTTON FIBERS, KNIT PULLOVER, WITH NO NECK CLOSURE, STITCH COUNT IS GREATER THAN 9/2CM, REACHES WAIST, SLEEVELESS [96% COTTON 4% SPANDEX]</t>
  </si>
  <si>
    <t>265K0076</t>
  </si>
  <si>
    <t>265K0090</t>
  </si>
  <si>
    <t>BRIGHT WHITE</t>
  </si>
  <si>
    <t>04</t>
  </si>
  <si>
    <t>DARK FOREST GREEN</t>
  </si>
  <si>
    <t>01, 02, 05</t>
  </si>
  <si>
    <t>RED TAPE, INK BLUE, MONET BLUE</t>
  </si>
  <si>
    <t>BOYS COTTON FIBERS, KNIT SHIRT, WITH NECK CLOSURE, STITCH COUNT EQUAL OR IS GREATER THAN 10/1CM, HEM BOTTOM [60% COTTON 40% POLYESTER]</t>
  </si>
  <si>
    <t>PURPLE CHECK</t>
  </si>
  <si>
    <t>06</t>
  </si>
  <si>
    <t>PINK FLORAL</t>
  </si>
  <si>
    <t>RED HEART, PURPLE CHECK</t>
  </si>
  <si>
    <t>03, 05</t>
  </si>
  <si>
    <t>00, 01</t>
  </si>
  <si>
    <t>RED HEART,
PURPLE CHECK</t>
  </si>
  <si>
    <t>BLACK LEOPARD, PINK LEOPARD HEART</t>
  </si>
  <si>
    <t>SHOOTING STAR</t>
  </si>
  <si>
    <t>Franchise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</si>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</sst>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9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49</xdr:row>
      <xdr:rowOff>9525</xdr:rowOff>
    </xdr:from>
    <xdr:to>
      <xdr:col>4</xdr:col>
      <xdr:colOff>322160</xdr:colOff>
      <xdr:row>57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5" sqref="I15:I16"/>
    </sheetView>
  </sheetViews>
  <sheetFormatPr defaultRowHeight="12.75" x14ac:dyDescent="0.2"/>
  <sheetData>
    <row r="2" spans="2:9" ht="15" x14ac:dyDescent="0.25">
      <c r="B2" s="57">
        <v>1</v>
      </c>
      <c r="C2" t="s">
        <v>185</v>
      </c>
      <c r="E2" s="57">
        <v>1</v>
      </c>
      <c r="F2">
        <v>416363</v>
      </c>
      <c r="H2" s="57">
        <v>1</v>
      </c>
      <c r="I2" s="65" t="s">
        <v>202</v>
      </c>
    </row>
    <row r="3" spans="2:9" ht="15" x14ac:dyDescent="0.25">
      <c r="B3" s="57">
        <v>2</v>
      </c>
      <c r="C3" t="s">
        <v>185</v>
      </c>
      <c r="E3" s="57">
        <v>2</v>
      </c>
      <c r="F3">
        <v>416363</v>
      </c>
      <c r="H3" s="57">
        <v>2</v>
      </c>
      <c r="I3" s="65" t="s">
        <v>179</v>
      </c>
    </row>
    <row r="4" spans="2:9" ht="15" x14ac:dyDescent="0.25">
      <c r="B4" s="57">
        <v>3</v>
      </c>
      <c r="C4" t="s">
        <v>185</v>
      </c>
      <c r="E4" s="57">
        <v>3</v>
      </c>
      <c r="F4">
        <v>416363</v>
      </c>
      <c r="H4" s="57">
        <v>3</v>
      </c>
      <c r="I4" s="65" t="s">
        <v>180</v>
      </c>
    </row>
    <row r="5" spans="2:9" ht="15" x14ac:dyDescent="0.25">
      <c r="B5" s="57">
        <v>4</v>
      </c>
      <c r="C5" t="s">
        <v>186</v>
      </c>
      <c r="E5" s="57">
        <v>4</v>
      </c>
      <c r="F5">
        <v>906033</v>
      </c>
      <c r="H5" s="57">
        <v>4</v>
      </c>
      <c r="I5" s="65" t="s">
        <v>179</v>
      </c>
    </row>
    <row r="6" spans="2:9" ht="15" x14ac:dyDescent="0.25">
      <c r="B6" s="57">
        <v>5</v>
      </c>
      <c r="C6" t="s">
        <v>186</v>
      </c>
      <c r="E6" s="57">
        <v>5</v>
      </c>
      <c r="F6">
        <v>906033</v>
      </c>
      <c r="H6" s="57">
        <v>5</v>
      </c>
      <c r="I6" s="65" t="s">
        <v>180</v>
      </c>
    </row>
    <row r="7" spans="2:9" ht="15" x14ac:dyDescent="0.25">
      <c r="B7" s="57">
        <v>6</v>
      </c>
      <c r="C7" t="s">
        <v>177</v>
      </c>
      <c r="E7" s="57">
        <v>6</v>
      </c>
      <c r="F7">
        <v>905994</v>
      </c>
      <c r="H7" s="57">
        <v>6</v>
      </c>
      <c r="I7" s="65" t="s">
        <v>180</v>
      </c>
    </row>
    <row r="8" spans="2:9" ht="15" x14ac:dyDescent="0.25">
      <c r="B8" s="57">
        <v>7</v>
      </c>
      <c r="C8" t="s">
        <v>177</v>
      </c>
      <c r="E8" s="57">
        <v>7</v>
      </c>
      <c r="F8">
        <v>905994</v>
      </c>
      <c r="H8" s="57">
        <v>7</v>
      </c>
      <c r="I8" s="65" t="s">
        <v>180</v>
      </c>
    </row>
    <row r="9" spans="2:9" ht="15" x14ac:dyDescent="0.25">
      <c r="B9" s="57">
        <v>8</v>
      </c>
      <c r="C9" t="s">
        <v>186</v>
      </c>
      <c r="E9" s="57">
        <v>8</v>
      </c>
      <c r="F9">
        <v>906033</v>
      </c>
      <c r="H9" s="57">
        <v>8</v>
      </c>
      <c r="I9" s="65" t="s">
        <v>180</v>
      </c>
    </row>
    <row r="10" spans="2:9" ht="15" x14ac:dyDescent="0.25">
      <c r="B10" s="57">
        <v>9</v>
      </c>
      <c r="C10" t="s">
        <v>186</v>
      </c>
      <c r="E10" s="57">
        <v>9</v>
      </c>
      <c r="F10">
        <v>906033</v>
      </c>
      <c r="H10" s="57">
        <v>9</v>
      </c>
      <c r="I10" s="65" t="s">
        <v>179</v>
      </c>
    </row>
    <row r="11" spans="2:9" ht="15" x14ac:dyDescent="0.25">
      <c r="B11" s="57">
        <v>10</v>
      </c>
      <c r="C11" t="s">
        <v>186</v>
      </c>
      <c r="E11" s="57">
        <v>10</v>
      </c>
      <c r="F11">
        <v>906033</v>
      </c>
      <c r="H11" s="57">
        <v>10</v>
      </c>
      <c r="I11" s="65" t="s">
        <v>179</v>
      </c>
    </row>
    <row r="12" spans="2:9" ht="15" x14ac:dyDescent="0.25">
      <c r="B12" s="57">
        <v>11</v>
      </c>
      <c r="C12" t="s">
        <v>177</v>
      </c>
      <c r="E12" s="57">
        <v>11</v>
      </c>
      <c r="F12">
        <v>905994</v>
      </c>
      <c r="H12" s="57">
        <v>11</v>
      </c>
      <c r="I12" s="65" t="s">
        <v>179</v>
      </c>
    </row>
    <row r="13" spans="2:9" ht="15" x14ac:dyDescent="0.25">
      <c r="B13" s="57">
        <v>12</v>
      </c>
      <c r="C13" t="s">
        <v>177</v>
      </c>
      <c r="E13" s="57">
        <v>12</v>
      </c>
      <c r="F13">
        <v>905994</v>
      </c>
      <c r="H13" s="57">
        <v>12</v>
      </c>
      <c r="I13" s="65" t="s">
        <v>179</v>
      </c>
    </row>
    <row r="14" spans="2:9" ht="15" x14ac:dyDescent="0.25">
      <c r="B14" s="57">
        <v>13</v>
      </c>
      <c r="C14" t="s">
        <v>181</v>
      </c>
      <c r="E14" s="57">
        <v>13</v>
      </c>
      <c r="F14">
        <v>692926</v>
      </c>
      <c r="H14" s="57">
        <v>13</v>
      </c>
      <c r="I14" s="65" t="s">
        <v>179</v>
      </c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62006332</v>
      </c>
      <c r="K2" s="63">
        <v>4104</v>
      </c>
      <c r="L2" s="64">
        <v>56</v>
      </c>
      <c r="M2" s="64">
        <v>452.58800000000002</v>
      </c>
      <c r="N2" s="64">
        <v>460.6</v>
      </c>
      <c r="O2" s="64">
        <v>505.4</v>
      </c>
      <c r="P2" s="64" t="s">
        <v>54</v>
      </c>
      <c r="Q2" s="64">
        <v>2.5499999999999998</v>
      </c>
      <c r="R2" s="64" t="s">
        <v>62</v>
      </c>
    </row>
    <row r="3" spans="2:22" x14ac:dyDescent="0.2">
      <c r="B3" s="6" t="s">
        <v>53</v>
      </c>
      <c r="C3" s="68">
        <v>47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62006332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505.4</v>
      </c>
      <c r="G23" s="23">
        <f>+N2</f>
        <v>460.6</v>
      </c>
      <c r="H23" s="23">
        <f>+M2</f>
        <v>452.58800000000002</v>
      </c>
      <c r="I23" s="55">
        <f>+L2</f>
        <v>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41.25" customHeight="1" x14ac:dyDescent="0.2">
      <c r="B32" s="41" t="s">
        <v>190</v>
      </c>
      <c r="C32" s="19" t="s">
        <v>191</v>
      </c>
      <c r="D32" s="85"/>
      <c r="E32" s="86"/>
      <c r="F32" s="85">
        <f>+K2-F33</f>
        <v>3078</v>
      </c>
      <c r="G32" s="86"/>
      <c r="H32" s="17">
        <v>0.9</v>
      </c>
      <c r="I32" s="18">
        <f>+H32*F32</f>
        <v>2770.2000000000003</v>
      </c>
      <c r="K32" s="46"/>
      <c r="M32" s="39"/>
    </row>
    <row r="33" spans="2:13" ht="24.95" customHeight="1" x14ac:dyDescent="0.2">
      <c r="B33" s="41" t="s">
        <v>188</v>
      </c>
      <c r="C33" s="19" t="s">
        <v>187</v>
      </c>
      <c r="D33" s="85"/>
      <c r="E33" s="86"/>
      <c r="F33" s="85">
        <v>1026</v>
      </c>
      <c r="G33" s="86"/>
      <c r="H33" s="17">
        <v>0.9</v>
      </c>
      <c r="I33" s="18">
        <f>+H33*F33</f>
        <v>923.4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60"/>
    </row>
    <row r="35" spans="2:13" ht="21.75" customHeight="1" x14ac:dyDescent="0.2">
      <c r="B35" s="15" t="s">
        <v>14</v>
      </c>
      <c r="C35" s="15"/>
      <c r="D35" s="83"/>
      <c r="E35" s="84"/>
      <c r="F35" s="85">
        <f>SUM(F32:G34)</f>
        <v>4104</v>
      </c>
      <c r="G35" s="86"/>
      <c r="H35" s="15"/>
      <c r="I35" s="14">
        <f>SUM(I32:I34)</f>
        <v>3693.6000000000004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3693.6000000000004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3693.6000000000004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265K0076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2:E32"/>
    <mergeCell ref="F32:G32"/>
    <mergeCell ref="D33:E33"/>
    <mergeCell ref="F33:G33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0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62050444</v>
      </c>
      <c r="K2" s="63">
        <v>7042</v>
      </c>
      <c r="L2" s="64">
        <v>101</v>
      </c>
      <c r="M2" s="64">
        <v>857.53099999999995</v>
      </c>
      <c r="N2" s="64">
        <v>871.61500000000001</v>
      </c>
      <c r="O2" s="64">
        <v>959.21500000000003</v>
      </c>
      <c r="P2" s="64" t="s">
        <v>54</v>
      </c>
      <c r="Q2" s="64">
        <v>4.6859999999999999</v>
      </c>
      <c r="R2" s="64" t="s">
        <v>62</v>
      </c>
    </row>
    <row r="3" spans="2:22" x14ac:dyDescent="0.2">
      <c r="B3" s="6" t="s">
        <v>53</v>
      </c>
      <c r="C3" s="68">
        <f>+'47'!C3+1</f>
        <v>48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62050444</v>
      </c>
      <c r="C21" s="49">
        <f>VLOOKUP($K58,reff!E2:F29,2,0)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959.21500000000003</v>
      </c>
      <c r="G23" s="23">
        <f>+N2</f>
        <v>871.61500000000001</v>
      </c>
      <c r="H23" s="23">
        <f>+M2</f>
        <v>857.53099999999995</v>
      </c>
      <c r="I23" s="48">
        <f>+L2</f>
        <v>101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43.5" customHeight="1" x14ac:dyDescent="0.2">
      <c r="B32" s="41" t="s">
        <v>190</v>
      </c>
      <c r="C32" s="19" t="s">
        <v>191</v>
      </c>
      <c r="D32" s="85"/>
      <c r="E32" s="86"/>
      <c r="F32" s="85">
        <f>+K2-F33-F34</f>
        <v>4210</v>
      </c>
      <c r="G32" s="86"/>
      <c r="H32" s="17">
        <v>0.9</v>
      </c>
      <c r="I32" s="18">
        <f>+H32*F32</f>
        <v>3789</v>
      </c>
      <c r="K32" s="46"/>
      <c r="M32" s="39"/>
    </row>
    <row r="33" spans="2:13" ht="24.95" customHeight="1" x14ac:dyDescent="0.2">
      <c r="B33" s="41" t="s">
        <v>188</v>
      </c>
      <c r="C33" s="19" t="s">
        <v>187</v>
      </c>
      <c r="D33" s="85"/>
      <c r="E33" s="86"/>
      <c r="F33" s="85">
        <v>1381</v>
      </c>
      <c r="G33" s="86"/>
      <c r="H33" s="17">
        <v>0.9</v>
      </c>
      <c r="I33" s="18">
        <f>+H33*F33</f>
        <v>1242.9000000000001</v>
      </c>
      <c r="K33" s="46"/>
      <c r="M33" s="39"/>
    </row>
    <row r="34" spans="2:13" ht="24.95" customHeight="1" x14ac:dyDescent="0.2">
      <c r="B34" s="41">
        <v>10</v>
      </c>
      <c r="C34" s="19" t="s">
        <v>189</v>
      </c>
      <c r="D34" s="85"/>
      <c r="E34" s="86"/>
      <c r="F34" s="85">
        <v>1451</v>
      </c>
      <c r="G34" s="86"/>
      <c r="H34" s="17">
        <v>0.9</v>
      </c>
      <c r="I34" s="18">
        <f>+H34*F34</f>
        <v>1305.9000000000001</v>
      </c>
      <c r="K34" s="46"/>
      <c r="M34" s="39"/>
    </row>
    <row r="35" spans="2:13" ht="21" customHeight="1" x14ac:dyDescent="0.2">
      <c r="B35" s="15" t="s">
        <v>15</v>
      </c>
      <c r="C35" s="15"/>
      <c r="D35" s="72"/>
      <c r="E35" s="74"/>
      <c r="F35" s="72"/>
      <c r="G35" s="74"/>
      <c r="H35" s="17"/>
      <c r="I35" s="48"/>
    </row>
    <row r="36" spans="2:13" ht="21.75" customHeight="1" x14ac:dyDescent="0.2">
      <c r="B36" s="15" t="s">
        <v>14</v>
      </c>
      <c r="C36" s="15"/>
      <c r="D36" s="83"/>
      <c r="E36" s="84"/>
      <c r="F36" s="85">
        <f>SUM(F32:G35)</f>
        <v>7042</v>
      </c>
      <c r="G36" s="86"/>
      <c r="H36" s="15"/>
      <c r="I36" s="14">
        <f>SUM(I32:I35)</f>
        <v>6337.7999999999993</v>
      </c>
      <c r="J36" s="40"/>
      <c r="K36" s="40"/>
    </row>
    <row r="37" spans="2:13" ht="21.75" customHeight="1" x14ac:dyDescent="0.2">
      <c r="B37" s="16" t="s">
        <v>13</v>
      </c>
      <c r="C37" s="15"/>
      <c r="D37" s="72"/>
      <c r="E37" s="74"/>
      <c r="F37" s="72"/>
      <c r="G37" s="74"/>
      <c r="H37" s="15"/>
      <c r="I37" s="48"/>
      <c r="J37" s="40"/>
    </row>
    <row r="38" spans="2:13" ht="21.75" customHeight="1" x14ac:dyDescent="0.2">
      <c r="B38" s="16" t="s">
        <v>12</v>
      </c>
      <c r="C38" s="15"/>
      <c r="D38" s="72"/>
      <c r="E38" s="74"/>
      <c r="F38" s="72"/>
      <c r="G38" s="74"/>
      <c r="H38" s="15"/>
      <c r="I38" s="14">
        <f>+I36</f>
        <v>6337.7999999999993</v>
      </c>
    </row>
    <row r="39" spans="2:13" ht="20.25" customHeight="1" x14ac:dyDescent="0.2">
      <c r="B39" s="15" t="s">
        <v>80</v>
      </c>
      <c r="C39" s="72" t="s">
        <v>11</v>
      </c>
      <c r="D39" s="73"/>
      <c r="E39" s="73"/>
      <c r="F39" s="73"/>
      <c r="G39" s="73"/>
      <c r="H39" s="74"/>
      <c r="I39" s="45"/>
    </row>
    <row r="40" spans="2:13" ht="21" customHeight="1" x14ac:dyDescent="0.2">
      <c r="B40" s="16" t="s">
        <v>10</v>
      </c>
      <c r="C40" s="15"/>
      <c r="D40" s="15"/>
      <c r="E40" s="15"/>
      <c r="F40" s="15"/>
      <c r="G40" s="15"/>
      <c r="H40" s="15"/>
      <c r="I40" s="14">
        <f>+I38+I39</f>
        <v>6337.7999999999993</v>
      </c>
    </row>
    <row r="41" spans="2:13" ht="18.75" customHeight="1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6"/>
      <c r="C42" s="5"/>
      <c r="D42" s="5"/>
      <c r="E42" s="5"/>
      <c r="F42" s="5"/>
      <c r="G42" s="5"/>
      <c r="H42" s="5"/>
      <c r="I42" s="4"/>
    </row>
    <row r="43" spans="2:13" x14ac:dyDescent="0.2">
      <c r="B43" s="13" t="s">
        <v>9</v>
      </c>
      <c r="C43" s="12"/>
      <c r="D43" s="12"/>
      <c r="E43" s="12"/>
      <c r="F43" s="12"/>
      <c r="G43" s="12"/>
      <c r="H43" s="12"/>
      <c r="I43" s="11"/>
    </row>
    <row r="44" spans="2:13" x14ac:dyDescent="0.2">
      <c r="B44" s="2" t="s">
        <v>86</v>
      </c>
      <c r="C44" s="1"/>
      <c r="D44" s="1"/>
      <c r="E44" s="1"/>
      <c r="F44" s="1"/>
      <c r="G44" s="1"/>
      <c r="H44" s="1"/>
      <c r="I44" s="3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6" t="s">
        <v>8</v>
      </c>
      <c r="C46" s="5"/>
      <c r="D46" s="5"/>
      <c r="E46" s="5"/>
      <c r="F46" s="5"/>
      <c r="G46" s="5"/>
      <c r="H46" s="5"/>
      <c r="I46" s="4"/>
    </row>
    <row r="47" spans="2:13" x14ac:dyDescent="0.2">
      <c r="B47" s="6"/>
      <c r="C47" s="5"/>
      <c r="D47" s="5"/>
      <c r="E47" s="5"/>
      <c r="F47" s="5"/>
      <c r="G47" s="5"/>
      <c r="H47" s="5"/>
      <c r="I47" s="4"/>
    </row>
    <row r="48" spans="2:13" x14ac:dyDescent="0.2">
      <c r="B48" s="80" t="s">
        <v>7</v>
      </c>
      <c r="C48" s="80"/>
      <c r="D48" s="80"/>
      <c r="E48" s="10" t="s">
        <v>6</v>
      </c>
      <c r="F48" s="10"/>
      <c r="G48" s="10"/>
      <c r="H48" s="10"/>
      <c r="I48" s="10"/>
    </row>
    <row r="49" spans="2:11" x14ac:dyDescent="0.2">
      <c r="B49" s="2"/>
      <c r="C49" s="1"/>
      <c r="D49" s="3"/>
      <c r="E49" s="9" t="s">
        <v>5</v>
      </c>
      <c r="F49" s="9"/>
      <c r="G49" s="9"/>
      <c r="H49" s="2"/>
      <c r="I49" s="3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4</v>
      </c>
      <c r="C51" s="5"/>
      <c r="D51" s="5"/>
      <c r="E51" s="5"/>
      <c r="F51" s="5"/>
      <c r="G51" s="5"/>
      <c r="H51" s="5"/>
      <c r="I51" s="4"/>
    </row>
    <row r="52" spans="2:11" x14ac:dyDescent="0.2">
      <c r="B52" s="6" t="s">
        <v>3</v>
      </c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5"/>
      <c r="D54" s="5"/>
      <c r="E54" s="5"/>
      <c r="F54" s="5"/>
      <c r="G54" s="5" t="s">
        <v>2</v>
      </c>
      <c r="H54" s="5" t="str">
        <f>VLOOKUP($K54,reff!B2:C29,2,0)</f>
        <v>265K0076</v>
      </c>
      <c r="I54" s="8"/>
      <c r="K54">
        <v>2</v>
      </c>
    </row>
    <row r="55" spans="2:11" x14ac:dyDescent="0.2">
      <c r="B55" s="6"/>
      <c r="C55" s="5"/>
      <c r="D55" s="5"/>
      <c r="E55" s="5"/>
      <c r="F55" s="5"/>
      <c r="G55" s="5"/>
      <c r="H55" s="7"/>
      <c r="I55" s="4"/>
    </row>
    <row r="56" spans="2:11" x14ac:dyDescent="0.2">
      <c r="B56" s="6"/>
      <c r="C56" s="5"/>
      <c r="D56" s="5"/>
      <c r="E56" s="5"/>
      <c r="F56" s="5"/>
      <c r="G56" s="5"/>
      <c r="H56" s="5"/>
      <c r="I56" s="4"/>
    </row>
    <row r="57" spans="2:11" x14ac:dyDescent="0.2">
      <c r="B57" s="6"/>
      <c r="C57" s="81" t="s">
        <v>1</v>
      </c>
      <c r="D57" s="81"/>
      <c r="E57" s="5"/>
      <c r="F57" s="5"/>
      <c r="G57" s="5"/>
      <c r="H57" s="5"/>
      <c r="I57" s="4"/>
    </row>
    <row r="58" spans="2:11" x14ac:dyDescent="0.2">
      <c r="B58" s="6"/>
      <c r="C58" s="82" t="s">
        <v>0</v>
      </c>
      <c r="D58" s="82"/>
      <c r="E58" s="5"/>
      <c r="F58" s="5"/>
      <c r="G58" s="5"/>
      <c r="H58" s="5"/>
      <c r="I58" s="4"/>
      <c r="K58">
        <v>2</v>
      </c>
    </row>
    <row r="59" spans="2:11" x14ac:dyDescent="0.2">
      <c r="B59" s="2"/>
      <c r="C59" s="79"/>
      <c r="D59" s="79"/>
      <c r="E59" s="1"/>
      <c r="F59" s="1"/>
      <c r="G59" s="1"/>
      <c r="H59" s="1"/>
      <c r="I59" s="1"/>
    </row>
    <row r="60" spans="2:11" x14ac:dyDescent="0.2">
      <c r="B60" s="5"/>
      <c r="C60" s="5"/>
      <c r="D60" s="5"/>
      <c r="E60" s="5"/>
      <c r="F60" s="5"/>
      <c r="G60" s="5"/>
      <c r="H60" s="5"/>
      <c r="I60" s="5"/>
    </row>
  </sheetData>
  <mergeCells count="24">
    <mergeCell ref="D34:E34"/>
    <mergeCell ref="F34:G34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C59:D59"/>
    <mergeCell ref="D38:E38"/>
    <mergeCell ref="F38:G38"/>
    <mergeCell ref="C39:H39"/>
    <mergeCell ref="B48:D48"/>
    <mergeCell ref="C57:D57"/>
    <mergeCell ref="C58:D58"/>
    <mergeCell ref="D35:E35"/>
    <mergeCell ref="F35:G35"/>
    <mergeCell ref="D36:E36"/>
    <mergeCell ref="F36:G36"/>
    <mergeCell ref="D37:E37"/>
    <mergeCell ref="F37:G3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8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62042086</v>
      </c>
      <c r="K2" s="63">
        <v>6471</v>
      </c>
      <c r="L2" s="64">
        <v>69</v>
      </c>
      <c r="M2" s="64">
        <v>792.18299999999999</v>
      </c>
      <c r="N2" s="64">
        <v>805.125</v>
      </c>
      <c r="O2" s="64">
        <v>869.47500000000002</v>
      </c>
      <c r="P2" s="64" t="s">
        <v>54</v>
      </c>
      <c r="Q2" s="64">
        <v>4.1429999999999998</v>
      </c>
      <c r="R2" s="64" t="s">
        <v>62</v>
      </c>
    </row>
    <row r="3" spans="2:22" x14ac:dyDescent="0.2">
      <c r="B3" s="6" t="s">
        <v>53</v>
      </c>
      <c r="C3" s="68">
        <f>+'48'!C3+1</f>
        <v>49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62042086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869.47500000000002</v>
      </c>
      <c r="G23" s="23">
        <f>+N2</f>
        <v>805.125</v>
      </c>
      <c r="H23" s="23">
        <f>+M2</f>
        <v>792.18299999999999</v>
      </c>
      <c r="I23" s="48">
        <f>+L2</f>
        <v>69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7.5" customHeight="1" x14ac:dyDescent="0.2">
      <c r="B32" s="41" t="s">
        <v>190</v>
      </c>
      <c r="C32" s="19" t="s">
        <v>191</v>
      </c>
      <c r="D32" s="85"/>
      <c r="E32" s="86"/>
      <c r="F32" s="85">
        <f>+K2-F33</f>
        <v>4903</v>
      </c>
      <c r="G32" s="86"/>
      <c r="H32" s="17">
        <v>0.9</v>
      </c>
      <c r="I32" s="18">
        <f>+H32*F32</f>
        <v>4412.7</v>
      </c>
      <c r="K32" s="46"/>
      <c r="M32" s="39"/>
    </row>
    <row r="33" spans="2:13" ht="28.5" customHeight="1" x14ac:dyDescent="0.2">
      <c r="B33" s="41" t="s">
        <v>188</v>
      </c>
      <c r="C33" s="19" t="s">
        <v>187</v>
      </c>
      <c r="D33" s="85"/>
      <c r="E33" s="86"/>
      <c r="F33" s="85">
        <v>1568</v>
      </c>
      <c r="G33" s="86"/>
      <c r="H33" s="17">
        <v>0.9</v>
      </c>
      <c r="I33" s="18">
        <f>+H33*F33</f>
        <v>1411.2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48"/>
    </row>
    <row r="35" spans="2:13" ht="21.75" customHeight="1" x14ac:dyDescent="0.2">
      <c r="B35" s="15" t="s">
        <v>14</v>
      </c>
      <c r="C35" s="15"/>
      <c r="D35" s="83"/>
      <c r="E35" s="84"/>
      <c r="F35" s="85">
        <f>SUM(F31:G34)</f>
        <v>6471</v>
      </c>
      <c r="G35" s="86"/>
      <c r="H35" s="15"/>
      <c r="I35" s="14">
        <f>SUM(I32:I34)</f>
        <v>5823.9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5823.9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5823.9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265K0076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B2:I2"/>
    <mergeCell ref="B26:I26"/>
    <mergeCell ref="B27:I27"/>
    <mergeCell ref="D31:E31"/>
    <mergeCell ref="F31:G31"/>
    <mergeCell ref="D32:E32"/>
    <mergeCell ref="F32:G32"/>
    <mergeCell ref="D34:E34"/>
    <mergeCell ref="F34:G34"/>
    <mergeCell ref="D35:E35"/>
    <mergeCell ref="F35:G35"/>
    <mergeCell ref="D33:E33"/>
    <mergeCell ref="F33:G33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61996996</v>
      </c>
      <c r="K2" s="63">
        <v>2415</v>
      </c>
      <c r="L2" s="64">
        <v>25</v>
      </c>
      <c r="M2" s="64">
        <v>202.67500000000001</v>
      </c>
      <c r="N2" s="64">
        <v>207.505</v>
      </c>
      <c r="O2" s="64">
        <v>230.10499999999999</v>
      </c>
      <c r="P2" s="64" t="s">
        <v>54</v>
      </c>
      <c r="Q2" s="64">
        <v>1.3080000000000001</v>
      </c>
      <c r="R2" s="64" t="s">
        <v>62</v>
      </c>
    </row>
    <row r="3" spans="2:22" x14ac:dyDescent="0.2">
      <c r="B3" s="6" t="s">
        <v>53</v>
      </c>
      <c r="C3" s="68">
        <f>+'49'!C3+1</f>
        <v>50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61996996</v>
      </c>
      <c r="C21" s="5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230.10499999999999</v>
      </c>
      <c r="G23" s="23">
        <f>+N2</f>
        <v>207.505</v>
      </c>
      <c r="H23" s="23">
        <f>+M2</f>
        <v>202.67500000000001</v>
      </c>
      <c r="I23" s="54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6.25" customHeight="1" x14ac:dyDescent="0.2">
      <c r="B32" s="41" t="s">
        <v>188</v>
      </c>
      <c r="C32" s="19" t="s">
        <v>195</v>
      </c>
      <c r="D32" s="85"/>
      <c r="E32" s="86"/>
      <c r="F32" s="85">
        <f>+K2</f>
        <v>2415</v>
      </c>
      <c r="G32" s="86"/>
      <c r="H32" s="17">
        <v>0.84</v>
      </c>
      <c r="I32" s="18">
        <f>+H32*F32</f>
        <v>2028.6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4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2415</v>
      </c>
      <c r="G34" s="86"/>
      <c r="H34" s="15"/>
      <c r="I34" s="14">
        <f>SUM(I32:I33)</f>
        <v>2028.6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2028.6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2028.6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61996848</v>
      </c>
      <c r="K2" s="63">
        <v>4704</v>
      </c>
      <c r="L2" s="64">
        <v>64</v>
      </c>
      <c r="M2" s="64">
        <v>384.74700000000001</v>
      </c>
      <c r="N2" s="64">
        <v>394.15499999999997</v>
      </c>
      <c r="O2" s="64">
        <v>444.55500000000001</v>
      </c>
      <c r="P2" s="64" t="s">
        <v>54</v>
      </c>
      <c r="Q2" s="64">
        <v>2.6840000000000002</v>
      </c>
      <c r="R2" s="64" t="s">
        <v>62</v>
      </c>
    </row>
    <row r="3" spans="2:22" x14ac:dyDescent="0.2">
      <c r="B3" s="6" t="s">
        <v>53</v>
      </c>
      <c r="C3" s="68">
        <f>+'50'!C3+1</f>
        <v>51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61996848</v>
      </c>
      <c r="C21" s="56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444.55500000000001</v>
      </c>
      <c r="G23" s="23">
        <f>+N2</f>
        <v>394.15499999999997</v>
      </c>
      <c r="H23" s="23">
        <f>+M2</f>
        <v>384.74700000000001</v>
      </c>
      <c r="I23" s="55">
        <f>+L2</f>
        <v>64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42" customHeight="1" x14ac:dyDescent="0.2">
      <c r="B32" s="41" t="s">
        <v>197</v>
      </c>
      <c r="C32" s="19" t="s">
        <v>196</v>
      </c>
      <c r="D32" s="85"/>
      <c r="E32" s="86"/>
      <c r="F32" s="85">
        <f>+K2-F33</f>
        <v>2690</v>
      </c>
      <c r="G32" s="86"/>
      <c r="H32" s="17">
        <v>0.84</v>
      </c>
      <c r="I32" s="18">
        <f>+H32*F32</f>
        <v>2259.6</v>
      </c>
      <c r="K32" s="46"/>
      <c r="M32" s="39"/>
    </row>
    <row r="33" spans="2:13" ht="24.75" customHeight="1" x14ac:dyDescent="0.2">
      <c r="B33" s="41" t="s">
        <v>188</v>
      </c>
      <c r="C33" s="19" t="s">
        <v>195</v>
      </c>
      <c r="D33" s="85"/>
      <c r="E33" s="86"/>
      <c r="F33" s="85">
        <v>2014</v>
      </c>
      <c r="G33" s="86"/>
      <c r="H33" s="17">
        <v>0.84</v>
      </c>
      <c r="I33" s="18">
        <f>+H33*F33</f>
        <v>1691.76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9"/>
    </row>
    <row r="35" spans="2:13" ht="21.75" customHeight="1" x14ac:dyDescent="0.2">
      <c r="B35" s="15" t="s">
        <v>14</v>
      </c>
      <c r="C35" s="15"/>
      <c r="D35" s="83"/>
      <c r="E35" s="84"/>
      <c r="F35" s="85">
        <f>SUM(F32:G34)</f>
        <v>4704</v>
      </c>
      <c r="G35" s="86"/>
      <c r="H35" s="15"/>
      <c r="I35" s="14">
        <f>SUM(I32:I33)</f>
        <v>3951.3599999999997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3951.3599999999997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3951.3599999999997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61996870</v>
      </c>
      <c r="K2" s="64">
        <v>460</v>
      </c>
      <c r="L2" s="64">
        <v>6</v>
      </c>
      <c r="M2" s="64">
        <v>30.83</v>
      </c>
      <c r="N2" s="64">
        <v>31.75</v>
      </c>
      <c r="O2" s="64">
        <v>36.049999999999997</v>
      </c>
      <c r="P2" s="64" t="s">
        <v>54</v>
      </c>
      <c r="Q2" s="64">
        <v>0.20100000000000001</v>
      </c>
      <c r="R2" s="64" t="s">
        <v>62</v>
      </c>
    </row>
    <row r="3" spans="2:22" x14ac:dyDescent="0.2">
      <c r="B3" s="6" t="s">
        <v>53</v>
      </c>
      <c r="C3" s="68">
        <f>+'51'!C3+1</f>
        <v>52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61996870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36.049999999999997</v>
      </c>
      <c r="G23" s="23">
        <f>+N2</f>
        <v>31.75</v>
      </c>
      <c r="H23" s="23">
        <f>+M2</f>
        <v>30.83</v>
      </c>
      <c r="I23" s="55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7" customHeight="1" x14ac:dyDescent="0.2">
      <c r="B32" s="61" t="s">
        <v>194</v>
      </c>
      <c r="C32" s="19" t="s">
        <v>193</v>
      </c>
      <c r="D32" s="85"/>
      <c r="E32" s="86"/>
      <c r="F32" s="85">
        <f>+K2</f>
        <v>460</v>
      </c>
      <c r="G32" s="86"/>
      <c r="H32" s="17">
        <v>0.81</v>
      </c>
      <c r="I32" s="18">
        <f>+H32*F32</f>
        <v>372.6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5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460</v>
      </c>
      <c r="G34" s="86"/>
      <c r="H34" s="15"/>
      <c r="I34" s="14">
        <f>SUM(I32:I33)</f>
        <v>372.6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372.6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372.6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61996872</v>
      </c>
      <c r="K2" s="63">
        <v>1813</v>
      </c>
      <c r="L2" s="64">
        <v>18</v>
      </c>
      <c r="M2" s="64">
        <v>119.82899999999999</v>
      </c>
      <c r="N2" s="64">
        <v>123.455</v>
      </c>
      <c r="O2" s="64">
        <v>137.35499999999999</v>
      </c>
      <c r="P2" s="64" t="s">
        <v>54</v>
      </c>
      <c r="Q2" s="64">
        <v>0.77200000000000002</v>
      </c>
      <c r="R2" s="64" t="s">
        <v>62</v>
      </c>
    </row>
    <row r="3" spans="2:22" x14ac:dyDescent="0.2">
      <c r="B3" s="6" t="s">
        <v>53</v>
      </c>
      <c r="C3" s="68">
        <f>+'52'!C3+1</f>
        <v>53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61996872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137.35499999999999</v>
      </c>
      <c r="G23" s="23">
        <f>+N2</f>
        <v>123.455</v>
      </c>
      <c r="H23" s="23">
        <f>+M2</f>
        <v>119.82899999999999</v>
      </c>
      <c r="I23" s="66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4.95" customHeight="1" x14ac:dyDescent="0.2">
      <c r="B32" s="41" t="s">
        <v>188</v>
      </c>
      <c r="C32" s="19" t="s">
        <v>195</v>
      </c>
      <c r="D32" s="85"/>
      <c r="E32" s="86"/>
      <c r="F32" s="85">
        <f>+K2</f>
        <v>1813</v>
      </c>
      <c r="G32" s="86"/>
      <c r="H32" s="17">
        <v>0.81</v>
      </c>
      <c r="I32" s="18">
        <f>+H32*F32</f>
        <v>1468.5300000000002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1813</v>
      </c>
      <c r="G34" s="86"/>
      <c r="H34" s="15"/>
      <c r="I34" s="14">
        <f>SUM(I32:I33)</f>
        <v>1468.5300000000002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1468.5300000000002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1468.5300000000002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62046371</v>
      </c>
      <c r="K2" s="63">
        <v>2053</v>
      </c>
      <c r="L2" s="64">
        <v>21</v>
      </c>
      <c r="M2" s="64">
        <v>165.929</v>
      </c>
      <c r="N2" s="64">
        <v>170.035</v>
      </c>
      <c r="O2" s="64">
        <v>189.08500000000001</v>
      </c>
      <c r="P2" s="64" t="s">
        <v>54</v>
      </c>
      <c r="Q2" s="64">
        <v>1.1240000000000001</v>
      </c>
      <c r="R2" s="64" t="s">
        <v>62</v>
      </c>
    </row>
    <row r="3" spans="2:22" x14ac:dyDescent="0.2">
      <c r="B3" s="6" t="s">
        <v>53</v>
      </c>
      <c r="C3" s="68">
        <f>+'53'!C3+1</f>
        <v>54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62046371</v>
      </c>
      <c r="C21" s="67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189.08500000000001</v>
      </c>
      <c r="G23" s="23">
        <f>+N2</f>
        <v>170.035</v>
      </c>
      <c r="H23" s="23">
        <f>+M2</f>
        <v>165.929</v>
      </c>
      <c r="I23" s="66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183</v>
      </c>
      <c r="D32" s="85"/>
      <c r="E32" s="86"/>
      <c r="F32" s="85">
        <f>+K2</f>
        <v>2053</v>
      </c>
      <c r="G32" s="86"/>
      <c r="H32" s="17">
        <v>0.84</v>
      </c>
      <c r="I32" s="18">
        <f>+H32*F32</f>
        <v>1724.52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2053</v>
      </c>
      <c r="G34" s="86"/>
      <c r="H34" s="15"/>
      <c r="I34" s="14">
        <f>SUM(I32:I33)</f>
        <v>1724.52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1724.52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1724.52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61997076</v>
      </c>
      <c r="K2" s="63">
        <v>2589</v>
      </c>
      <c r="L2" s="64">
        <v>29</v>
      </c>
      <c r="M2" s="64">
        <v>217.27199999999999</v>
      </c>
      <c r="N2" s="64">
        <v>222.45</v>
      </c>
      <c r="O2" s="64">
        <v>248.05</v>
      </c>
      <c r="P2" s="64" t="s">
        <v>54</v>
      </c>
      <c r="Q2" s="64">
        <v>1.42</v>
      </c>
      <c r="R2" s="64" t="s">
        <v>62</v>
      </c>
    </row>
    <row r="3" spans="2:22" x14ac:dyDescent="0.2">
      <c r="B3" s="6" t="s">
        <v>53</v>
      </c>
      <c r="C3" s="68">
        <f>+'54'!C3+1</f>
        <v>55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61997076</v>
      </c>
      <c r="C21" s="67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248.05</v>
      </c>
      <c r="G23" s="23">
        <f>+N2</f>
        <v>222.45</v>
      </c>
      <c r="H23" s="23">
        <f>+M2</f>
        <v>217.27199999999999</v>
      </c>
      <c r="I23" s="66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34.5" customHeight="1" x14ac:dyDescent="0.2">
      <c r="B32" s="41" t="s">
        <v>197</v>
      </c>
      <c r="C32" s="19" t="s">
        <v>199</v>
      </c>
      <c r="D32" s="85"/>
      <c r="E32" s="86"/>
      <c r="F32" s="85">
        <f>+K2</f>
        <v>2589</v>
      </c>
      <c r="G32" s="86"/>
      <c r="H32" s="17">
        <v>0.84</v>
      </c>
      <c r="I32" s="18">
        <f>+H32*F32</f>
        <v>2174.7599999999998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SUM(F31:G33)</f>
        <v>2589</v>
      </c>
      <c r="G34" s="86"/>
      <c r="H34" s="15"/>
      <c r="I34" s="14">
        <f>SUM(I32:I33)</f>
        <v>2174.7599999999998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2174.7599999999998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2174.7599999999998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62031455</v>
      </c>
      <c r="K2" s="63">
        <v>1352</v>
      </c>
      <c r="L2" s="64">
        <v>21</v>
      </c>
      <c r="M2" s="64">
        <v>113.221</v>
      </c>
      <c r="N2" s="64">
        <v>115.925</v>
      </c>
      <c r="O2" s="64">
        <v>132.72499999999999</v>
      </c>
      <c r="P2" s="64" t="s">
        <v>54</v>
      </c>
      <c r="Q2" s="64">
        <v>0.76</v>
      </c>
      <c r="R2" s="64" t="s">
        <v>62</v>
      </c>
    </row>
    <row r="3" spans="2:22" x14ac:dyDescent="0.2">
      <c r="B3" s="6" t="s">
        <v>53</v>
      </c>
      <c r="C3" s="68">
        <f>+'55'!C3+1</f>
        <v>56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62031455</v>
      </c>
      <c r="C21" s="67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132.72499999999999</v>
      </c>
      <c r="G23" s="23">
        <f>+N2</f>
        <v>115.925</v>
      </c>
      <c r="H23" s="23">
        <f>+M2</f>
        <v>113.221</v>
      </c>
      <c r="I23" s="66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33.75" customHeight="1" x14ac:dyDescent="0.2">
      <c r="B32" s="41" t="s">
        <v>198</v>
      </c>
      <c r="C32" s="19" t="s">
        <v>200</v>
      </c>
      <c r="D32" s="85"/>
      <c r="E32" s="86"/>
      <c r="F32" s="85">
        <f>+K2</f>
        <v>1352</v>
      </c>
      <c r="G32" s="86"/>
      <c r="H32" s="17">
        <v>0.84</v>
      </c>
      <c r="I32" s="18">
        <f>+H32*F32</f>
        <v>1135.68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1352</v>
      </c>
      <c r="G34" s="86"/>
      <c r="H34" s="15"/>
      <c r="I34" s="14">
        <f>SUM(I32:I33)</f>
        <v>1135.68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1135.68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1135.68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61996964</v>
      </c>
      <c r="K2" s="64">
        <v>737</v>
      </c>
      <c r="L2" s="64">
        <v>8</v>
      </c>
      <c r="M2" s="64">
        <v>51.905999999999999</v>
      </c>
      <c r="N2" s="64">
        <v>53.38</v>
      </c>
      <c r="O2" s="64">
        <v>59.88</v>
      </c>
      <c r="P2" s="64" t="s">
        <v>54</v>
      </c>
      <c r="Q2" s="64">
        <v>0.30199999999999999</v>
      </c>
      <c r="R2" s="64" t="s">
        <v>62</v>
      </c>
    </row>
    <row r="3" spans="2:22" x14ac:dyDescent="0.2">
      <c r="B3" s="6" t="s">
        <v>53</v>
      </c>
      <c r="C3" s="68">
        <f>+'56'!C3+1</f>
        <v>57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61996964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59.88</v>
      </c>
      <c r="G23" s="23">
        <f>+N2</f>
        <v>53.38</v>
      </c>
      <c r="H23" s="23">
        <f>+M2</f>
        <v>51.905999999999999</v>
      </c>
      <c r="I23" s="66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193</v>
      </c>
      <c r="D32" s="85"/>
      <c r="E32" s="86"/>
      <c r="F32" s="85">
        <f>+K2</f>
        <v>737</v>
      </c>
      <c r="G32" s="86"/>
      <c r="H32" s="17">
        <v>0.81</v>
      </c>
      <c r="I32" s="18">
        <f>+H32*F32</f>
        <v>596.97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737</v>
      </c>
      <c r="G34" s="86"/>
      <c r="H34" s="15"/>
      <c r="I34" s="14">
        <f>SUM(I32:I33)</f>
        <v>596.97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596.97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596.97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61996950</v>
      </c>
      <c r="K2" s="64">
        <v>884</v>
      </c>
      <c r="L2" s="64">
        <v>9</v>
      </c>
      <c r="M2" s="64">
        <v>62.231999999999999</v>
      </c>
      <c r="N2" s="64">
        <v>64</v>
      </c>
      <c r="O2" s="64">
        <v>71.5</v>
      </c>
      <c r="P2" s="64" t="s">
        <v>54</v>
      </c>
      <c r="Q2" s="64">
        <v>0.36899999999999999</v>
      </c>
      <c r="R2" s="64" t="s">
        <v>62</v>
      </c>
    </row>
    <row r="3" spans="2:22" x14ac:dyDescent="0.2">
      <c r="B3" s="6" t="s">
        <v>53</v>
      </c>
      <c r="C3" s="68">
        <f>+'57'!C3+1</f>
        <v>58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61996950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71.5</v>
      </c>
      <c r="G23" s="23">
        <f>+N2</f>
        <v>64</v>
      </c>
      <c r="H23" s="23">
        <f>+M2</f>
        <v>62.231999999999999</v>
      </c>
      <c r="I23" s="66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6.25" customHeight="1" x14ac:dyDescent="0.2">
      <c r="B32" s="61" t="s">
        <v>188</v>
      </c>
      <c r="C32" s="19" t="s">
        <v>195</v>
      </c>
      <c r="D32" s="85"/>
      <c r="E32" s="86"/>
      <c r="F32" s="85">
        <f>+K2</f>
        <v>884</v>
      </c>
      <c r="G32" s="86"/>
      <c r="H32" s="17">
        <v>0.81</v>
      </c>
      <c r="I32" s="18">
        <f>+H32*F32</f>
        <v>716.04000000000008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884</v>
      </c>
      <c r="G34" s="86"/>
      <c r="H34" s="15"/>
      <c r="I34" s="14">
        <f>SUM(I32:I33)</f>
        <v>716.04000000000008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716.04000000000008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716.04000000000008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203</v>
      </c>
      <c r="C2" s="70"/>
      <c r="D2" s="70"/>
      <c r="E2" s="70"/>
      <c r="F2" s="70"/>
      <c r="G2" s="70"/>
      <c r="H2" s="70"/>
      <c r="I2" s="71"/>
      <c r="J2" s="62">
        <v>62188538</v>
      </c>
      <c r="K2" s="63">
        <v>1618</v>
      </c>
      <c r="L2" s="64">
        <v>22</v>
      </c>
      <c r="M2" s="64">
        <v>171.61500000000001</v>
      </c>
      <c r="N2" s="64">
        <v>187.79499999999999</v>
      </c>
      <c r="O2" s="64">
        <v>206.89500000000001</v>
      </c>
      <c r="P2" s="64" t="s">
        <v>54</v>
      </c>
      <c r="Q2" s="64">
        <v>1.018</v>
      </c>
      <c r="R2" s="64" t="s">
        <v>62</v>
      </c>
    </row>
    <row r="3" spans="2:22" x14ac:dyDescent="0.2">
      <c r="B3" s="6" t="s">
        <v>53</v>
      </c>
      <c r="C3" s="68">
        <f>+'58'!C3+1</f>
        <v>59</v>
      </c>
      <c r="D3" s="5"/>
      <c r="E3" s="5"/>
      <c r="F3" s="5"/>
      <c r="G3" s="5" t="s">
        <v>52</v>
      </c>
      <c r="H3" s="31">
        <v>46279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62188538</v>
      </c>
      <c r="C21" s="67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206.89500000000001</v>
      </c>
      <c r="G23" s="23">
        <f>+N2</f>
        <v>187.79499999999999</v>
      </c>
      <c r="H23" s="23">
        <f>+M2</f>
        <v>171.61500000000001</v>
      </c>
      <c r="I23" s="66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78" t="s">
        <v>19</v>
      </c>
      <c r="E31" s="78"/>
      <c r="F31" s="78" t="s">
        <v>18</v>
      </c>
      <c r="G31" s="78"/>
      <c r="H31" s="66" t="s">
        <v>17</v>
      </c>
      <c r="I31" s="19" t="s">
        <v>16</v>
      </c>
      <c r="M31"/>
    </row>
    <row r="32" spans="2:13" ht="26.25" customHeight="1" x14ac:dyDescent="0.2">
      <c r="B32" s="41">
        <v>21</v>
      </c>
      <c r="C32" s="19" t="s">
        <v>201</v>
      </c>
      <c r="D32" s="85"/>
      <c r="E32" s="86"/>
      <c r="F32" s="85">
        <f>+K2</f>
        <v>1618</v>
      </c>
      <c r="G32" s="86"/>
      <c r="H32" s="17">
        <v>0.76</v>
      </c>
      <c r="I32" s="18">
        <f>+H32*F32</f>
        <v>1229.68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85">
        <f>SUM(F32:G33)</f>
        <v>1618</v>
      </c>
      <c r="G34" s="86"/>
      <c r="H34" s="15"/>
      <c r="I34" s="14">
        <f>SUM(I32:I33)</f>
        <v>1229.68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1229.68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1229.68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 s="20">
        <v>13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Sheet1</vt:lpstr>
      <vt:lpstr>reff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'47'!Print_Area</vt:lpstr>
      <vt:lpstr>'48'!Print_Area</vt:lpstr>
      <vt:lpstr>'49'!Print_Area</vt:lpstr>
      <vt:lpstr>'50'!Print_Area</vt:lpstr>
      <vt:lpstr>'51'!Print_Area</vt:lpstr>
      <vt:lpstr>'52'!Print_Area</vt:lpstr>
      <vt:lpstr>'53'!Print_Area</vt:lpstr>
      <vt:lpstr>'54'!Print_Area</vt:lpstr>
      <vt:lpstr>'55'!Print_Area</vt:lpstr>
      <vt:lpstr>'56'!Print_Area</vt:lpstr>
      <vt:lpstr>'57'!Print_Area</vt:lpstr>
      <vt:lpstr>'58'!Print_Area</vt:lpstr>
      <vt:lpstr>'59'!Print_Area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2026-08-13T02:02:12Z</cp:lastPrinted>
  <dcterms:created xsi:type="dcterms:W3CDTF">2024-04-17T09:56:05Z</dcterms:created>
  <dcterms:modified xsi:type="dcterms:W3CDTF">2026-09-04T01:18:05Z</dcterms:modified>
</cp:coreProperties>
</file>