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04.05.2026\MOBIL 1\"/>
    </mc:Choice>
  </mc:AlternateContent>
  <xr:revisionPtr revIDLastSave="0" documentId="13_ncr:1_{187283B4-95F5-41AD-AEEF-9A9A2EDB4B63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0004" sheetId="129" r:id="rId3"/>
    <sheet name="0005" sheetId="133" r:id="rId4"/>
    <sheet name="0006" sheetId="134" r:id="rId5"/>
    <sheet name="0007" sheetId="135" r:id="rId6"/>
    <sheet name="0008" sheetId="137" r:id="rId7"/>
    <sheet name="0009" sheetId="138" r:id="rId8"/>
    <sheet name="0010" sheetId="141" r:id="rId9"/>
    <sheet name="0011" sheetId="142" r:id="rId10"/>
    <sheet name="0012" sheetId="143" r:id="rId11"/>
    <sheet name="0013" sheetId="163" r:id="rId12"/>
    <sheet name="0014" sheetId="164" r:id="rId13"/>
    <sheet name="0015" sheetId="165" r:id="rId14"/>
    <sheet name="0016" sheetId="166" r:id="rId15"/>
    <sheet name="0017" sheetId="167" r:id="rId16"/>
    <sheet name="0018" sheetId="168" r:id="rId17"/>
    <sheet name="0019" sheetId="169" r:id="rId18"/>
    <sheet name="0020" sheetId="170" r:id="rId19"/>
    <sheet name="0021" sheetId="171" r:id="rId20"/>
    <sheet name="0022" sheetId="172" r:id="rId21"/>
    <sheet name="0023" sheetId="173" r:id="rId22"/>
    <sheet name="0024" sheetId="174" r:id="rId23"/>
    <sheet name="0025" sheetId="175" r:id="rId24"/>
    <sheet name="0026" sheetId="176" r:id="rId25"/>
  </sheets>
  <externalReferences>
    <externalReference r:id="rId26"/>
    <externalReference r:id="rId27"/>
    <externalReference r:id="rId2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 localSheetId="17">[2]xdata!#REF!</definedName>
    <definedName name="a" localSheetId="18">[2]xdata!#REF!</definedName>
    <definedName name="a" localSheetId="19">[2]xdata!#REF!</definedName>
    <definedName name="a" localSheetId="20">[2]xdata!#REF!</definedName>
    <definedName name="a" localSheetId="21">[2]xdata!#REF!</definedName>
    <definedName name="a" localSheetId="22">[2]xdata!#REF!</definedName>
    <definedName name="a" localSheetId="23">[2]xdata!#REF!</definedName>
    <definedName name="a" localSheetId="2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 localSheetId="17">[2]xdata!#REF!</definedName>
    <definedName name="b" localSheetId="18">[2]xdata!#REF!</definedName>
    <definedName name="b" localSheetId="19">[2]xdata!#REF!</definedName>
    <definedName name="b" localSheetId="20">[2]xdata!#REF!</definedName>
    <definedName name="b" localSheetId="21">[2]xdata!#REF!</definedName>
    <definedName name="b" localSheetId="22">[2]xdata!#REF!</definedName>
    <definedName name="b" localSheetId="23">[2]xdata!#REF!</definedName>
    <definedName name="b" localSheetId="2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 localSheetId="17">[2]xdata!#REF!</definedName>
    <definedName name="C_O" localSheetId="18">[2]xdata!#REF!</definedName>
    <definedName name="C_O" localSheetId="19">[2]xdata!#REF!</definedName>
    <definedName name="C_O" localSheetId="20">[2]xdata!#REF!</definedName>
    <definedName name="C_O" localSheetId="21">[2]xdata!#REF!</definedName>
    <definedName name="C_O" localSheetId="22">[2]xdata!#REF!</definedName>
    <definedName name="C_O" localSheetId="23">[2]xdata!#REF!</definedName>
    <definedName name="C_O" localSheetId="2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 localSheetId="17">[2]xdata!#REF!</definedName>
    <definedName name="Dept_no" localSheetId="18">[2]xdata!#REF!</definedName>
    <definedName name="Dept_no" localSheetId="19">[2]xdata!#REF!</definedName>
    <definedName name="Dept_no" localSheetId="20">[2]xdata!#REF!</definedName>
    <definedName name="Dept_no" localSheetId="21">[2]xdata!#REF!</definedName>
    <definedName name="Dept_no" localSheetId="22">[2]xdata!#REF!</definedName>
    <definedName name="Dept_no" localSheetId="23">[2]xdata!#REF!</definedName>
    <definedName name="Dept_no" localSheetId="2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 localSheetId="17">[2]xdata!#REF!</definedName>
    <definedName name="E_L" localSheetId="18">[2]xdata!#REF!</definedName>
    <definedName name="E_L" localSheetId="19">[2]xdata!#REF!</definedName>
    <definedName name="E_L" localSheetId="20">[2]xdata!#REF!</definedName>
    <definedName name="E_L" localSheetId="21">[2]xdata!#REF!</definedName>
    <definedName name="E_L" localSheetId="22">[2]xdata!#REF!</definedName>
    <definedName name="E_L" localSheetId="23">[2]xdata!#REF!</definedName>
    <definedName name="E_L" localSheetId="24">[2]xdata!#REF!</definedName>
    <definedName name="E_L">[2]xdata!#REF!</definedName>
    <definedName name="INVOICE">[2]xdata!$B$2</definedName>
    <definedName name="_xlnm.Print_Area" localSheetId="2">'0004'!$B$1:$I$57</definedName>
    <definedName name="_xlnm.Print_Area" localSheetId="3">'0005'!$B$1:$I$57</definedName>
    <definedName name="_xlnm.Print_Area" localSheetId="4">'0006'!$B$1:$I$57</definedName>
    <definedName name="_xlnm.Print_Area" localSheetId="5">'0007'!$B$1:$I$57</definedName>
    <definedName name="_xlnm.Print_Area" localSheetId="6">'0008'!$B$1:$I$57</definedName>
    <definedName name="_xlnm.Print_Area" localSheetId="7">'0009'!$B$1:$I$56</definedName>
    <definedName name="_xlnm.Print_Area" localSheetId="8">'0010'!$B$1:$I$57</definedName>
    <definedName name="_xlnm.Print_Area" localSheetId="9">'0011'!$B$1:$I$57</definedName>
    <definedName name="_xlnm.Print_Area" localSheetId="10">'0012'!$B$1:$I$57</definedName>
    <definedName name="_xlnm.Print_Area" localSheetId="11">'0013'!$B$1:$I$57</definedName>
    <definedName name="_xlnm.Print_Area" localSheetId="12">'0014'!$B$1:$I$57</definedName>
    <definedName name="_xlnm.Print_Area" localSheetId="13">'0015'!$B$1:$I$57</definedName>
    <definedName name="_xlnm.Print_Area" localSheetId="14">'0016'!$B$1:$I$57</definedName>
    <definedName name="_xlnm.Print_Area" localSheetId="15">'0017'!$B$1:$I$57</definedName>
    <definedName name="_xlnm.Print_Area" localSheetId="16">'0018'!$B$1:$I$57</definedName>
    <definedName name="_xlnm.Print_Area" localSheetId="17">'0019'!$B$1:$I$57</definedName>
    <definedName name="_xlnm.Print_Area" localSheetId="18">'0020'!$B$1:$I$57</definedName>
    <definedName name="_xlnm.Print_Area" localSheetId="19">'0021'!$B$1:$I$58</definedName>
    <definedName name="_xlnm.Print_Area" localSheetId="20">'0022'!$B$1:$I$57</definedName>
    <definedName name="_xlnm.Print_Area" localSheetId="21">'0023'!$B$1:$I$57</definedName>
    <definedName name="_xlnm.Print_Area" localSheetId="22">'0024'!$B$1:$I$57</definedName>
    <definedName name="_xlnm.Print_Area" localSheetId="23">'0025'!$B$1:$I$57</definedName>
    <definedName name="_xlnm.Print_Area" localSheetId="24">'0026'!$B$1:$I$57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 localSheetId="17">[2]xdata!#REF!</definedName>
    <definedName name="v" localSheetId="18">[2]xdata!#REF!</definedName>
    <definedName name="v" localSheetId="19">[2]xdata!#REF!</definedName>
    <definedName name="v" localSheetId="20">[2]xdata!#REF!</definedName>
    <definedName name="v" localSheetId="21">[2]xdata!#REF!</definedName>
    <definedName name="v" localSheetId="22">[2]xdata!#REF!</definedName>
    <definedName name="v" localSheetId="23">[2]xdata!#REF!</definedName>
    <definedName name="v" localSheetId="2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71" l="1"/>
  <c r="F32" i="169"/>
  <c r="F32" i="133"/>
  <c r="F34" i="133" s="1"/>
  <c r="F32" i="167"/>
  <c r="F32" i="134"/>
  <c r="F32" i="129" l="1"/>
  <c r="F34" i="129" s="1"/>
  <c r="F32" i="170"/>
  <c r="F32" i="143"/>
  <c r="F32" i="142"/>
  <c r="F34" i="142" s="1"/>
  <c r="F32" i="138"/>
  <c r="F33" i="138" s="1"/>
  <c r="I32" i="134"/>
  <c r="H52" i="176"/>
  <c r="F32" i="176"/>
  <c r="F34" i="176" s="1"/>
  <c r="B27" i="176"/>
  <c r="I23" i="176"/>
  <c r="H23" i="176"/>
  <c r="G23" i="176"/>
  <c r="F23" i="176"/>
  <c r="E23" i="176"/>
  <c r="E21" i="176"/>
  <c r="D21" i="176"/>
  <c r="C21" i="176"/>
  <c r="B21" i="176"/>
  <c r="B15" i="176"/>
  <c r="B16" i="176" s="1"/>
  <c r="B17" i="176" s="1"/>
  <c r="B18" i="176" s="1"/>
  <c r="G14" i="176"/>
  <c r="G15" i="176" s="1"/>
  <c r="G16" i="176" s="1"/>
  <c r="G17" i="176" s="1"/>
  <c r="H21" i="176" s="1"/>
  <c r="H3" i="176"/>
  <c r="H52" i="175"/>
  <c r="F32" i="175"/>
  <c r="F34" i="175" s="1"/>
  <c r="B27" i="175"/>
  <c r="I23" i="175"/>
  <c r="H23" i="175"/>
  <c r="G23" i="175"/>
  <c r="F23" i="175"/>
  <c r="E23" i="175"/>
  <c r="E21" i="175"/>
  <c r="D21" i="175"/>
  <c r="C21" i="175"/>
  <c r="B21" i="175"/>
  <c r="B15" i="175"/>
  <c r="B16" i="175" s="1"/>
  <c r="B17" i="175" s="1"/>
  <c r="B18" i="175" s="1"/>
  <c r="G14" i="175"/>
  <c r="G15" i="175" s="1"/>
  <c r="G16" i="175" s="1"/>
  <c r="G17" i="175" s="1"/>
  <c r="H21" i="175" s="1"/>
  <c r="H3" i="175"/>
  <c r="H52" i="174"/>
  <c r="F32" i="174"/>
  <c r="I32" i="174" s="1"/>
  <c r="I34" i="174" s="1"/>
  <c r="I36" i="174" s="1"/>
  <c r="I38" i="174" s="1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3" i="174"/>
  <c r="H52" i="173"/>
  <c r="F32" i="173"/>
  <c r="I32" i="173" s="1"/>
  <c r="I34" i="173" s="1"/>
  <c r="I36" i="173" s="1"/>
  <c r="I38" i="173" s="1"/>
  <c r="B27" i="173"/>
  <c r="I23" i="173"/>
  <c r="H23" i="173"/>
  <c r="G23" i="173"/>
  <c r="F23" i="173"/>
  <c r="E23" i="173"/>
  <c r="E21" i="173"/>
  <c r="D21" i="173"/>
  <c r="C21" i="173"/>
  <c r="B21" i="173"/>
  <c r="B15" i="173"/>
  <c r="B16" i="173" s="1"/>
  <c r="B17" i="173" s="1"/>
  <c r="B18" i="173" s="1"/>
  <c r="G14" i="173"/>
  <c r="G15" i="173" s="1"/>
  <c r="G16" i="173" s="1"/>
  <c r="G17" i="173" s="1"/>
  <c r="H21" i="173" s="1"/>
  <c r="H3" i="173"/>
  <c r="H52" i="172"/>
  <c r="F32" i="172"/>
  <c r="I32" i="172" s="1"/>
  <c r="I34" i="172" s="1"/>
  <c r="I36" i="172" s="1"/>
  <c r="I38" i="172" s="1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H3" i="172"/>
  <c r="H53" i="171"/>
  <c r="I32" i="171"/>
  <c r="B27" i="171"/>
  <c r="I23" i="171"/>
  <c r="H23" i="171"/>
  <c r="G23" i="171"/>
  <c r="F23" i="171"/>
  <c r="E23" i="171"/>
  <c r="E21" i="171"/>
  <c r="D21" i="171"/>
  <c r="C21" i="171"/>
  <c r="B21" i="171"/>
  <c r="B15" i="171"/>
  <c r="B16" i="171" s="1"/>
  <c r="B17" i="171" s="1"/>
  <c r="B18" i="171" s="1"/>
  <c r="G14" i="171"/>
  <c r="G15" i="171" s="1"/>
  <c r="G16" i="171" s="1"/>
  <c r="G17" i="171" s="1"/>
  <c r="H21" i="171" s="1"/>
  <c r="H3" i="171"/>
  <c r="H52" i="170"/>
  <c r="F34" i="170"/>
  <c r="B27" i="170"/>
  <c r="I23" i="170"/>
  <c r="H23" i="170"/>
  <c r="G23" i="170"/>
  <c r="F23" i="170"/>
  <c r="E23" i="170"/>
  <c r="E21" i="170"/>
  <c r="D21" i="170"/>
  <c r="C21" i="170"/>
  <c r="B21" i="170"/>
  <c r="B16" i="170"/>
  <c r="B17" i="170" s="1"/>
  <c r="B18" i="170" s="1"/>
  <c r="B15" i="170"/>
  <c r="G14" i="170"/>
  <c r="G15" i="170" s="1"/>
  <c r="G16" i="170" s="1"/>
  <c r="G17" i="170" s="1"/>
  <c r="H21" i="170" s="1"/>
  <c r="H3" i="170"/>
  <c r="H52" i="169"/>
  <c r="I32" i="169"/>
  <c r="I34" i="169" s="1"/>
  <c r="I36" i="169" s="1"/>
  <c r="I38" i="169" s="1"/>
  <c r="B27" i="169"/>
  <c r="I23" i="169"/>
  <c r="H23" i="169"/>
  <c r="G23" i="169"/>
  <c r="F23" i="169"/>
  <c r="E23" i="169"/>
  <c r="E21" i="169"/>
  <c r="D21" i="169"/>
  <c r="C21" i="169"/>
  <c r="B21" i="169"/>
  <c r="B15" i="169"/>
  <c r="B16" i="169" s="1"/>
  <c r="B17" i="169" s="1"/>
  <c r="B18" i="169" s="1"/>
  <c r="G14" i="169"/>
  <c r="G15" i="169" s="1"/>
  <c r="G16" i="169" s="1"/>
  <c r="G17" i="169" s="1"/>
  <c r="H21" i="169" s="1"/>
  <c r="H3" i="169"/>
  <c r="H52" i="168"/>
  <c r="F32" i="168"/>
  <c r="F34" i="168" s="1"/>
  <c r="B27" i="168"/>
  <c r="I23" i="168"/>
  <c r="H23" i="168"/>
  <c r="G23" i="168"/>
  <c r="F23" i="168"/>
  <c r="E23" i="168"/>
  <c r="E21" i="168"/>
  <c r="D21" i="168"/>
  <c r="C21" i="168"/>
  <c r="B21" i="168"/>
  <c r="B16" i="168"/>
  <c r="B17" i="168" s="1"/>
  <c r="B18" i="168" s="1"/>
  <c r="B15" i="168"/>
  <c r="G14" i="168"/>
  <c r="G15" i="168" s="1"/>
  <c r="G16" i="168" s="1"/>
  <c r="G17" i="168" s="1"/>
  <c r="H21" i="168" s="1"/>
  <c r="H3" i="168"/>
  <c r="H52" i="167"/>
  <c r="I32" i="167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3" i="167"/>
  <c r="H52" i="166"/>
  <c r="F34" i="166"/>
  <c r="F32" i="166"/>
  <c r="I32" i="166" s="1"/>
  <c r="I34" i="166" s="1"/>
  <c r="I36" i="166" s="1"/>
  <c r="I38" i="166" s="1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3" i="166"/>
  <c r="H52" i="165"/>
  <c r="F32" i="165"/>
  <c r="I32" i="165" s="1"/>
  <c r="I34" i="165" s="1"/>
  <c r="I36" i="165" s="1"/>
  <c r="I38" i="165" s="1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H3" i="165"/>
  <c r="C3" i="133"/>
  <c r="F32" i="141"/>
  <c r="F34" i="141" s="1"/>
  <c r="F32" i="137"/>
  <c r="H3" i="164"/>
  <c r="H3" i="163"/>
  <c r="H3" i="143"/>
  <c r="H3" i="142"/>
  <c r="H3" i="141"/>
  <c r="H3" i="138"/>
  <c r="H3" i="137"/>
  <c r="H3" i="135"/>
  <c r="H3" i="134"/>
  <c r="H3" i="133"/>
  <c r="F32" i="164"/>
  <c r="F32" i="163"/>
  <c r="F32" i="135"/>
  <c r="F34" i="174" l="1"/>
  <c r="F34" i="172"/>
  <c r="I35" i="171"/>
  <c r="I37" i="171" s="1"/>
  <c r="I39" i="171" s="1"/>
  <c r="F34" i="167"/>
  <c r="I34" i="167"/>
  <c r="I36" i="167" s="1"/>
  <c r="I38" i="167" s="1"/>
  <c r="F34" i="173"/>
  <c r="F35" i="171"/>
  <c r="F34" i="169"/>
  <c r="F34" i="165"/>
  <c r="I32" i="176"/>
  <c r="I34" i="176" s="1"/>
  <c r="I36" i="176" s="1"/>
  <c r="I38" i="176" s="1"/>
  <c r="I32" i="175"/>
  <c r="I34" i="175" s="1"/>
  <c r="I36" i="175" s="1"/>
  <c r="I38" i="175" s="1"/>
  <c r="I32" i="170"/>
  <c r="I34" i="170" s="1"/>
  <c r="I36" i="170" s="1"/>
  <c r="I38" i="170" s="1"/>
  <c r="I32" i="168"/>
  <c r="I34" i="168" s="1"/>
  <c r="I36" i="168" s="1"/>
  <c r="I38" i="168" s="1"/>
  <c r="I32" i="138"/>
  <c r="I33" i="138" s="1"/>
  <c r="I32" i="141"/>
  <c r="I34" i="141" s="1"/>
  <c r="F34" i="137"/>
  <c r="F34" i="135"/>
  <c r="I32" i="129" l="1"/>
  <c r="I32" i="137"/>
  <c r="F34" i="134"/>
  <c r="I32" i="133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2" i="163"/>
  <c r="F34" i="163"/>
  <c r="I32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B27" i="135"/>
  <c r="B27" i="134"/>
  <c r="I34" i="163" l="1"/>
  <c r="I36" i="163" s="1"/>
  <c r="I38" i="163" s="1"/>
  <c r="I32" i="164"/>
  <c r="I34" i="164" s="1"/>
  <c r="I36" i="164" s="1"/>
  <c r="I38" i="164" s="1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2" i="129"/>
  <c r="H52" i="134"/>
  <c r="H52" i="135"/>
  <c r="H52" i="137"/>
  <c r="H51" i="138"/>
  <c r="H52" i="143"/>
  <c r="H52" i="13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34" i="135" s="1"/>
  <c r="I36" i="135" s="1"/>
  <c r="I38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5" i="138" l="1"/>
  <c r="I37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  <c r="C3" i="163" s="1"/>
  <c r="C3" i="164" l="1"/>
  <c r="C3" i="165" s="1"/>
  <c r="C3" i="166" s="1"/>
  <c r="C3" i="167" s="1"/>
  <c r="C3" i="168" s="1"/>
  <c r="C3" i="169" s="1"/>
  <c r="C3" i="170" s="1"/>
  <c r="C3" i="171" s="1"/>
  <c r="C3" i="172" s="1"/>
  <c r="C3" i="173" s="1"/>
  <c r="C3" i="174" s="1"/>
  <c r="C3" i="175" s="1"/>
  <c r="C3" i="176" l="1"/>
</calcChain>
</file>

<file path=xl/sharedStrings.xml><?xml version="1.0" encoding="utf-8"?>
<sst xmlns="http://schemas.openxmlformats.org/spreadsheetml/2006/main" count="2000" uniqueCount="211">
  <si>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</si>
  <si>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</si>
  <si>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</si>
  <si>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</si>
  <si>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</si>
  <si>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</si>
  <si>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</si>
  <si>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</si>
  <si>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</si>
  <si>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</si>
  <si>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</si>
  <si>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</si>
  <si>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</si>
  <si>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</si>
  <si>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</si>
  <si>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</si>
  <si>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</si>
  <si>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</si>
  <si>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</si>
  <si>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</si>
  <si>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</si>
  <si>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</si>
  <si>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</si>
  <si>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</si>
  <si>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</si>
  <si>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</si>
  <si>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</si>
  <si>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</si>
  <si>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</si>
  <si>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</si>
  <si>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</si>
  <si>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</si>
  <si>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</si>
  <si>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</si>
  <si>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</si>
  <si>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</si>
  <si>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</si>
  <si>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</si>
  <si>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</si>
  <si>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</si>
  <si>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</si>
  <si>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</si>
  <si>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</si>
  <si>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</si>
  <si>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</si>
  <si>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</si>
  <si>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</si>
  <si>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</si>
  <si>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</si>
  <si>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</si>
  <si>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</si>
  <si>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</si>
  <si>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</si>
  <si>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</si>
  <si>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</si>
  <si>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</si>
  <si>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</si>
  <si>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</si>
  <si>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</si>
  <si>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</si>
  <si>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</si>
  <si>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</si>
  <si>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</si>
  <si>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</si>
  <si>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</si>
  <si>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</si>
  <si>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</si>
  <si>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</si>
  <si>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</si>
  <si>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</si>
  <si>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</si>
  <si>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</si>
  <si>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</si>
  <si>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</si>
  <si>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</si>
  <si>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</si>
  <si>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</si>
  <si>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</si>
  <si>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</si>
  <si>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</si>
  <si>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</si>
  <si>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</si>
  <si>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</si>
  <si>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</si>
  <si>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</si>
  <si>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</si>
  <si>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</si>
  <si>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</si>
  <si>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</si>
  <si>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</si>
  <si>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</si>
  <si>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</si>
  <si>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</si>
  <si>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</si>
  <si>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</si>
  <si>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</si>
  <si>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</si>
  <si>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</si>
  <si>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</si>
  <si>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</si>
  <si>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</si>
  <si>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</si>
  <si>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</si>
  <si>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</si>
  <si>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</si>
  <si>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</si>
  <si>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</si>
  <si>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</si>
  <si>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</si>
  <si>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</si>
  <si>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</si>
  <si>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</si>
  <si>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</si>
  <si>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</si>
  <si>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</si>
  <si>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</si>
  <si>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</si>
  <si>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</si>
  <si>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</si>
  <si>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</si>
  <si>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</si>
  <si>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</si>
  <si>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</si>
  <si>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</si>
  <si>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</si>
  <si>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</si>
  <si>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</si>
  <si>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</si>
  <si>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</si>
  <si>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</si>
  <si>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</si>
  <si>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</si>
  <si>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</si>
  <si>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</si>
  <si>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</si>
  <si>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</si>
  <si>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</si>
  <si>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</si>
  <si>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</si>
  <si>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</si>
  <si>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</si>
  <si>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</si>
  <si>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</si>
  <si>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</si>
  <si>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</si>
  <si>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</si>
  <si>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</si>
  <si>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</si>
  <si>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</si>
  <si>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</si>
  <si>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</si>
  <si>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</si>
  <si>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</si>
  <si>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</si>
  <si>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</si>
  <si>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</si>
  <si>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</si>
  <si>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</si>
  <si>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</si>
  <si>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</si>
  <si>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</si>
  <si>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</si>
  <si>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</si>
  <si>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</si>
  <si>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</si>
  <si>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</si>
  <si>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</si>
  <si>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</si>
  <si>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</si>
  <si>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</si>
  <si>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</si>
  <si>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</si>
  <si>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</si>
  <si>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</si>
  <si>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</si>
  <si>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</si>
  <si>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</si>
  <si>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</si>
  <si>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GIRLS COTTON FIBERS, KNIT PULLOVER, WITH NO NECK CLOSURE, STITCH COUNT IS GREATER THAN 9/2CM, REACHES WAIST [60% COTTON 40% POLYESTER]</t>
  </si>
  <si>
    <t>02</t>
  </si>
  <si>
    <t>CALLA LILY 451</t>
  </si>
  <si>
    <t>ONLINE</t>
  </si>
  <si>
    <t>RETAIL</t>
  </si>
  <si>
    <t>00, 01</t>
  </si>
  <si>
    <t>265K0030</t>
  </si>
  <si>
    <t>265K0028</t>
  </si>
  <si>
    <t>265K0031</t>
  </si>
  <si>
    <t>POLKA DOT</t>
  </si>
  <si>
    <t>01</t>
  </si>
  <si>
    <t>ICED WATER</t>
  </si>
  <si>
    <t>BLACK COFFEE, BLACK JACK 3, CALLA LILY 2, IN THE NAVY</t>
  </si>
  <si>
    <t>13, 15, 20, 16</t>
  </si>
  <si>
    <t>265K0035</t>
  </si>
  <si>
    <t>265K0059</t>
  </si>
  <si>
    <t xml:space="preserve"> 265K0075 </t>
  </si>
  <si>
    <t>265K0032</t>
  </si>
  <si>
    <t>265K0060</t>
  </si>
  <si>
    <t>FRANCHISE</t>
  </si>
  <si>
    <t>PINK LEOPARD HEART, BLACK LEOPARD</t>
  </si>
  <si>
    <t>BLACK LEOPARD, PINK LEOPARD HEART</t>
  </si>
  <si>
    <t>GIRLS COTTON FIBERS, KNIT PULLOVER, WITH NO NECK CLOSURE, STITCH COUNT IS GREATER THAN 9/2CM, REACHES WAIST [100% COTTON]</t>
  </si>
  <si>
    <t>BLUSH ON YOU</t>
  </si>
  <si>
    <t>22</t>
  </si>
  <si>
    <t>BLUSH ON YOU, SHOOTING STAR</t>
  </si>
  <si>
    <t>22, 21</t>
  </si>
  <si>
    <t>WOMENS COTTON FIBERS, KNIT PULLOVER, WITH NO NECK CLOSURE, STITCH COUNT IS GREATER THAN 9/2CM, REACHES WAIST, SLEEVELESS [95% COTTON 5% ELASTANE]</t>
  </si>
  <si>
    <t>HEART FLAG</t>
  </si>
  <si>
    <t>DUSKY LAVENDER, PRESSED FLOWER</t>
  </si>
  <si>
    <t>LEOPARD</t>
  </si>
  <si>
    <t>COMERCIAL INVOICE CMT</t>
  </si>
  <si>
    <t>Girls Cotton Fibers, Knit T-Shirt, With No Neck Closure, Stitch Count Is Greater Than 9/2cm, Reaches Waist [100% Cotton]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</si>
</sst>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46</xdr:row>
      <xdr:rowOff>9525</xdr:rowOff>
    </xdr:from>
    <xdr:to>
      <xdr:col>4</xdr:col>
      <xdr:colOff>322160</xdr:colOff>
      <xdr:row>54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0C5909B-F016-4DE8-AE85-7AC459771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6688F-BC2D-48D6-9D9D-9DD719765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A08B9F40-FE0A-4508-B974-441FAA12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7BBF2-9A2F-4908-B3E2-29907A84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509D1C96-1BD2-4706-95F0-6B7F272E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3A44F2-D137-4AB0-A499-7E672390F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CD22CA3B-F326-45C5-AAFB-101E7979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568F4-CAEB-469F-8131-1393C74D0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18D38F5-E63E-440B-B72E-2DB8446B7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222A7-5509-40BE-B908-50CEC928B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E5C28DDD-6B21-4CD2-9A05-E4B7FE9EB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5C9DAD-26C1-480A-AA55-50EB1A092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2A47057C-CE83-415F-AE42-1F15E267B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660F0-BA61-4362-85FC-DC716153E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885F903-D206-41B8-8124-8BAF8EAF9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1727AC-E67A-48CF-B372-61A033E20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10348373-71CD-47F2-9555-7F1455E2A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4EB10-B438-4FBD-8BE8-96AB2449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91DA30F8-9ABD-4EBF-BE34-89BB2D1C6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35EB4-605B-4887-B45B-5588A5BF5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B479BA1-6526-4555-A20A-42A83E488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4ED5D1-11AD-476C-895B-958652AFC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92A4F349-F0F0-40C9-B4A1-636A81F04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8F05B0-C3A0-43F9-9E40-E5786E4D8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P11" sqref="P11"/>
    </sheetView>
  </sheetViews>
  <sheetFormatPr defaultRowHeight="12.75" x14ac:dyDescent="0.2"/>
  <sheetData>
    <row r="2" spans="2:9" ht="15" x14ac:dyDescent="0.25">
      <c r="B2" s="60">
        <v>1</v>
      </c>
      <c r="C2" t="s">
        <v>193</v>
      </c>
      <c r="E2" s="60">
        <v>1</v>
      </c>
      <c r="F2">
        <v>906033</v>
      </c>
      <c r="H2" s="60">
        <v>1</v>
      </c>
      <c r="I2" s="61" t="s">
        <v>182</v>
      </c>
    </row>
    <row r="3" spans="2:9" ht="15" x14ac:dyDescent="0.25">
      <c r="B3" s="60">
        <v>2</v>
      </c>
      <c r="C3" t="s">
        <v>193</v>
      </c>
      <c r="E3" s="60">
        <v>2</v>
      </c>
      <c r="F3">
        <v>906033</v>
      </c>
      <c r="H3" s="60">
        <v>2</v>
      </c>
      <c r="I3" s="61" t="s">
        <v>181</v>
      </c>
    </row>
    <row r="4" spans="2:9" ht="15" x14ac:dyDescent="0.25">
      <c r="B4" s="60">
        <v>3</v>
      </c>
      <c r="C4" t="s">
        <v>193</v>
      </c>
      <c r="E4" s="60">
        <v>3</v>
      </c>
      <c r="F4">
        <v>906033</v>
      </c>
      <c r="H4" s="60">
        <v>3</v>
      </c>
      <c r="I4" s="61" t="s">
        <v>197</v>
      </c>
    </row>
    <row r="5" spans="2:9" ht="15" x14ac:dyDescent="0.25">
      <c r="B5" s="60">
        <v>4</v>
      </c>
      <c r="C5" t="s">
        <v>194</v>
      </c>
      <c r="E5" s="60">
        <v>4</v>
      </c>
      <c r="F5">
        <v>692926</v>
      </c>
      <c r="H5" s="60">
        <v>4</v>
      </c>
      <c r="I5" s="61" t="s">
        <v>181</v>
      </c>
    </row>
    <row r="6" spans="2:9" ht="15" x14ac:dyDescent="0.25">
      <c r="B6" s="60">
        <v>5</v>
      </c>
      <c r="C6" t="s">
        <v>194</v>
      </c>
      <c r="E6" s="60">
        <v>5</v>
      </c>
      <c r="F6">
        <v>692926</v>
      </c>
      <c r="H6" s="60">
        <v>5</v>
      </c>
      <c r="I6" s="61" t="s">
        <v>181</v>
      </c>
    </row>
    <row r="7" spans="2:9" ht="15" x14ac:dyDescent="0.25">
      <c r="B7" s="60">
        <v>6</v>
      </c>
      <c r="C7" t="s">
        <v>194</v>
      </c>
      <c r="E7" s="60">
        <v>6</v>
      </c>
      <c r="F7">
        <v>692926</v>
      </c>
      <c r="H7" s="60">
        <v>6</v>
      </c>
      <c r="I7" s="61" t="s">
        <v>182</v>
      </c>
    </row>
    <row r="8" spans="2:9" ht="15" x14ac:dyDescent="0.25">
      <c r="B8" s="60">
        <v>7</v>
      </c>
      <c r="C8" t="s">
        <v>194</v>
      </c>
      <c r="E8" s="60">
        <v>7</v>
      </c>
      <c r="F8">
        <v>692926</v>
      </c>
      <c r="H8" s="60">
        <v>7</v>
      </c>
      <c r="I8" s="61" t="s">
        <v>182</v>
      </c>
    </row>
    <row r="9" spans="2:9" ht="15" x14ac:dyDescent="0.25">
      <c r="B9" s="60">
        <v>8</v>
      </c>
      <c r="C9" t="s">
        <v>195</v>
      </c>
      <c r="E9" s="60">
        <v>8</v>
      </c>
      <c r="F9">
        <v>893947</v>
      </c>
      <c r="H9" s="60">
        <v>8</v>
      </c>
      <c r="I9" s="61" t="s">
        <v>181</v>
      </c>
    </row>
    <row r="10" spans="2:9" ht="15" x14ac:dyDescent="0.25">
      <c r="B10" s="60">
        <v>9</v>
      </c>
      <c r="C10" t="s">
        <v>184</v>
      </c>
      <c r="E10" s="60">
        <v>9</v>
      </c>
      <c r="F10">
        <v>893957</v>
      </c>
      <c r="H10" s="60">
        <v>9</v>
      </c>
      <c r="I10" s="61" t="s">
        <v>181</v>
      </c>
    </row>
    <row r="11" spans="2:9" ht="15" x14ac:dyDescent="0.25">
      <c r="B11" s="60">
        <v>10</v>
      </c>
      <c r="C11" t="s">
        <v>185</v>
      </c>
      <c r="E11" s="60">
        <v>10</v>
      </c>
      <c r="F11">
        <v>896206</v>
      </c>
      <c r="H11" s="60">
        <v>10</v>
      </c>
      <c r="I11" s="61" t="s">
        <v>181</v>
      </c>
    </row>
    <row r="12" spans="2:9" ht="15" x14ac:dyDescent="0.25">
      <c r="B12" s="60">
        <v>11</v>
      </c>
      <c r="C12" t="s">
        <v>186</v>
      </c>
      <c r="E12" s="60">
        <v>11</v>
      </c>
      <c r="F12">
        <v>893958</v>
      </c>
      <c r="H12" s="60">
        <v>11</v>
      </c>
      <c r="I12" s="61" t="s">
        <v>181</v>
      </c>
    </row>
    <row r="13" spans="2:9" ht="15" x14ac:dyDescent="0.25">
      <c r="B13" s="60">
        <v>12</v>
      </c>
      <c r="C13" t="s">
        <v>192</v>
      </c>
      <c r="E13" s="60">
        <v>12</v>
      </c>
      <c r="F13">
        <v>903770</v>
      </c>
      <c r="H13" s="60">
        <v>12</v>
      </c>
      <c r="I13" s="61" t="s">
        <v>181</v>
      </c>
    </row>
    <row r="14" spans="2:9" ht="15" x14ac:dyDescent="0.25">
      <c r="B14" s="60">
        <v>13</v>
      </c>
      <c r="C14" t="s">
        <v>192</v>
      </c>
      <c r="E14" s="60">
        <v>13</v>
      </c>
      <c r="F14">
        <v>903770</v>
      </c>
      <c r="H14" s="60">
        <v>13</v>
      </c>
      <c r="I14" s="61" t="s">
        <v>182</v>
      </c>
    </row>
    <row r="15" spans="2:9" ht="15" x14ac:dyDescent="0.25">
      <c r="B15" s="60">
        <v>14</v>
      </c>
      <c r="C15" t="s">
        <v>195</v>
      </c>
      <c r="E15" s="60">
        <v>14</v>
      </c>
      <c r="F15">
        <v>893947</v>
      </c>
      <c r="H15" s="60">
        <v>14</v>
      </c>
      <c r="I15" s="61" t="s">
        <v>182</v>
      </c>
    </row>
    <row r="16" spans="2:9" ht="15" x14ac:dyDescent="0.25">
      <c r="B16" s="60">
        <v>15</v>
      </c>
      <c r="C16" t="s">
        <v>184</v>
      </c>
      <c r="E16" s="60">
        <v>15</v>
      </c>
      <c r="F16">
        <v>893957</v>
      </c>
      <c r="H16" s="60">
        <v>15</v>
      </c>
      <c r="I16" s="61" t="s">
        <v>182</v>
      </c>
    </row>
    <row r="17" spans="2:11" ht="15" x14ac:dyDescent="0.25">
      <c r="B17" s="60">
        <v>16</v>
      </c>
      <c r="C17" t="s">
        <v>185</v>
      </c>
      <c r="E17" s="60">
        <v>16</v>
      </c>
      <c r="F17">
        <v>896206</v>
      </c>
      <c r="H17" s="60">
        <v>16</v>
      </c>
      <c r="I17" s="61" t="s">
        <v>182</v>
      </c>
    </row>
    <row r="18" spans="2:11" ht="15" x14ac:dyDescent="0.25">
      <c r="B18" s="60">
        <v>17</v>
      </c>
      <c r="C18" t="s">
        <v>186</v>
      </c>
      <c r="E18" s="60">
        <v>17</v>
      </c>
      <c r="F18">
        <v>893958</v>
      </c>
      <c r="H18" s="60">
        <v>17</v>
      </c>
      <c r="I18" s="61" t="s">
        <v>182</v>
      </c>
    </row>
    <row r="19" spans="2:11" ht="15" x14ac:dyDescent="0.25">
      <c r="B19" s="60">
        <v>18</v>
      </c>
      <c r="C19" t="s">
        <v>196</v>
      </c>
      <c r="E19" s="60">
        <v>18</v>
      </c>
      <c r="F19">
        <v>905994</v>
      </c>
      <c r="H19" s="60">
        <v>18</v>
      </c>
      <c r="I19" s="61" t="s">
        <v>182</v>
      </c>
    </row>
    <row r="20" spans="2:11" ht="15" x14ac:dyDescent="0.25">
      <c r="B20" s="60">
        <v>19</v>
      </c>
      <c r="C20" t="s">
        <v>192</v>
      </c>
      <c r="E20" s="60">
        <v>19</v>
      </c>
      <c r="F20">
        <v>903770</v>
      </c>
      <c r="H20" s="60">
        <v>19</v>
      </c>
      <c r="I20" s="61" t="s">
        <v>181</v>
      </c>
    </row>
    <row r="21" spans="2:11" ht="15" x14ac:dyDescent="0.25">
      <c r="B21" s="60">
        <v>20</v>
      </c>
      <c r="C21" t="s">
        <v>185</v>
      </c>
      <c r="E21" s="60">
        <v>20</v>
      </c>
      <c r="F21">
        <v>896206</v>
      </c>
      <c r="H21" s="60">
        <v>20</v>
      </c>
      <c r="I21" s="61" t="s">
        <v>181</v>
      </c>
    </row>
    <row r="22" spans="2:11" ht="15" x14ac:dyDescent="0.25">
      <c r="B22" s="60">
        <v>21</v>
      </c>
      <c r="C22" t="s">
        <v>186</v>
      </c>
      <c r="E22" s="60">
        <v>21</v>
      </c>
      <c r="F22">
        <v>893958</v>
      </c>
      <c r="H22" s="60">
        <v>21</v>
      </c>
      <c r="I22" s="61" t="s">
        <v>181</v>
      </c>
      <c r="K22" t="s">
        <v>63</v>
      </c>
    </row>
    <row r="23" spans="2:11" ht="15" x14ac:dyDescent="0.25">
      <c r="B23" s="60">
        <v>22</v>
      </c>
      <c r="C23" t="s">
        <v>195</v>
      </c>
      <c r="E23" s="60">
        <v>22</v>
      </c>
      <c r="F23">
        <v>893947</v>
      </c>
      <c r="H23" s="60">
        <v>22</v>
      </c>
      <c r="I23" s="61" t="s">
        <v>181</v>
      </c>
    </row>
    <row r="24" spans="2:11" ht="15" x14ac:dyDescent="0.25">
      <c r="B24" s="60">
        <v>23</v>
      </c>
      <c r="C24" t="s">
        <v>184</v>
      </c>
      <c r="E24" s="60">
        <v>23</v>
      </c>
      <c r="F24">
        <v>893957</v>
      </c>
      <c r="H24" s="60">
        <v>23</v>
      </c>
      <c r="I24" s="61" t="s">
        <v>181</v>
      </c>
    </row>
    <row r="25" spans="2:11" ht="15" x14ac:dyDescent="0.25">
      <c r="B25" s="60">
        <v>24</v>
      </c>
      <c r="E25" s="60">
        <v>24</v>
      </c>
      <c r="H25" s="60">
        <v>24</v>
      </c>
      <c r="I25" s="61"/>
    </row>
    <row r="26" spans="2:11" ht="15" x14ac:dyDescent="0.25">
      <c r="B26" s="60">
        <v>25</v>
      </c>
      <c r="E26" s="60">
        <v>25</v>
      </c>
      <c r="H26" s="60">
        <v>25</v>
      </c>
      <c r="I26" s="61"/>
    </row>
    <row r="27" spans="2:11" ht="15" x14ac:dyDescent="0.25">
      <c r="B27" s="60">
        <v>26</v>
      </c>
      <c r="E27" s="60">
        <v>26</v>
      </c>
      <c r="H27" s="60">
        <v>26</v>
      </c>
      <c r="I27" s="61"/>
    </row>
    <row r="28" spans="2:11" x14ac:dyDescent="0.2">
      <c r="B28" s="60">
        <v>27</v>
      </c>
      <c r="E28" s="60">
        <v>27</v>
      </c>
      <c r="H28" s="60">
        <v>27</v>
      </c>
    </row>
    <row r="29" spans="2:11" x14ac:dyDescent="0.2">
      <c r="B29" s="60">
        <v>28</v>
      </c>
      <c r="E29" s="60">
        <v>28</v>
      </c>
      <c r="H29" s="60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zoomScaleNormal="100" zoomScaleSheetLayoutView="100" workbookViewId="0">
      <selection activeCell="K4" sqref="K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61634585</v>
      </c>
      <c r="K2" s="50">
        <v>4124</v>
      </c>
      <c r="L2" s="44">
        <v>43</v>
      </c>
      <c r="M2" s="44">
        <v>331.64699999999999</v>
      </c>
      <c r="N2" s="44">
        <v>339.89499999999998</v>
      </c>
      <c r="O2" s="44">
        <v>377.745</v>
      </c>
      <c r="P2" s="44" t="s">
        <v>54</v>
      </c>
      <c r="Q2" s="44">
        <v>2.2309999999999999</v>
      </c>
      <c r="R2" s="44" t="s">
        <v>62</v>
      </c>
    </row>
    <row r="3" spans="2:22" x14ac:dyDescent="0.2">
      <c r="B3" s="6" t="s">
        <v>53</v>
      </c>
      <c r="C3" s="69">
        <v>4</v>
      </c>
      <c r="D3" s="5"/>
      <c r="E3" s="5"/>
      <c r="F3" s="5"/>
      <c r="G3" s="5" t="s">
        <v>52</v>
      </c>
      <c r="H3" s="31"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61634585</v>
      </c>
      <c r="C21" s="52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CA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377.745</v>
      </c>
      <c r="G23" s="23">
        <f>+N2</f>
        <v>339.89499999999998</v>
      </c>
      <c r="H23" s="23">
        <f>+M2</f>
        <v>331.64699999999999</v>
      </c>
      <c r="I23" s="51">
        <f>+L2</f>
        <v>43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T-Shirt,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81" t="s">
        <v>19</v>
      </c>
      <c r="E31" s="81"/>
      <c r="F31" s="81" t="s">
        <v>18</v>
      </c>
      <c r="G31" s="81"/>
      <c r="H31" s="51" t="s">
        <v>17</v>
      </c>
      <c r="I31" s="19" t="s">
        <v>16</v>
      </c>
      <c r="M31"/>
    </row>
    <row r="32" spans="2:13" ht="38.25" x14ac:dyDescent="0.2">
      <c r="B32" s="41" t="s">
        <v>183</v>
      </c>
      <c r="C32" s="19" t="s">
        <v>198</v>
      </c>
      <c r="D32" s="70"/>
      <c r="E32" s="71"/>
      <c r="F32" s="70">
        <f>K2</f>
        <v>4124</v>
      </c>
      <c r="G32" s="71"/>
      <c r="H32" s="17">
        <v>0.84</v>
      </c>
      <c r="I32" s="18">
        <f>+H32*F32</f>
        <v>3464.16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1"/>
    </row>
    <row r="34" spans="2:11" ht="21.75" customHeight="1" x14ac:dyDescent="0.2">
      <c r="B34" s="15" t="s">
        <v>14</v>
      </c>
      <c r="C34" s="15"/>
      <c r="D34" s="86"/>
      <c r="E34" s="87"/>
      <c r="F34" s="70">
        <f>SUM(F31:G33)</f>
        <v>4124</v>
      </c>
      <c r="G34" s="71"/>
      <c r="H34" s="15"/>
      <c r="I34" s="14">
        <f>SUM(I32:I33)</f>
        <v>3464.16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1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3464.16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3464.16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tabSelected="1" view="pageBreakPreview" zoomScaleNormal="100" zoomScaleSheetLayoutView="100" workbookViewId="0">
      <selection activeCell="K4" sqref="K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61609107</v>
      </c>
      <c r="K2" s="50">
        <v>2732</v>
      </c>
      <c r="L2" s="44">
        <v>28</v>
      </c>
      <c r="M2" s="44">
        <v>221.77099999999999</v>
      </c>
      <c r="N2" s="44">
        <v>227.23500000000001</v>
      </c>
      <c r="O2" s="44">
        <v>252.33500000000001</v>
      </c>
      <c r="P2" s="44" t="s">
        <v>54</v>
      </c>
      <c r="Q2" s="44">
        <v>1.42</v>
      </c>
      <c r="R2" s="44" t="s">
        <v>62</v>
      </c>
    </row>
    <row r="3" spans="2:22" x14ac:dyDescent="0.2">
      <c r="B3" s="6" t="s">
        <v>53</v>
      </c>
      <c r="C3" s="69">
        <f>+'0004'!C3+1</f>
        <v>5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61609107</v>
      </c>
      <c r="C21" s="52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1" t="s">
        <v>35</v>
      </c>
      <c r="G21" s="51"/>
      <c r="H21" s="49" t="str">
        <f>IF(LEFT(G17,2)="CA","CA",IF(LEFT(G17,2)="UN","US",IF(LEFT(G17,2)="PA","PA",IF(LEFT(G17,2)="JA","JP"))))</f>
        <v>CA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252.33500000000001</v>
      </c>
      <c r="G23" s="23">
        <f>+N2</f>
        <v>227.23500000000001</v>
      </c>
      <c r="H23" s="23">
        <f>+M2</f>
        <v>221.77099999999999</v>
      </c>
      <c r="I23" s="51">
        <f>+L2</f>
        <v>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T-Shirt,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81" t="s">
        <v>19</v>
      </c>
      <c r="E31" s="81"/>
      <c r="F31" s="81" t="s">
        <v>18</v>
      </c>
      <c r="G31" s="81"/>
      <c r="H31" s="51" t="s">
        <v>17</v>
      </c>
      <c r="I31" s="19" t="s">
        <v>16</v>
      </c>
      <c r="M31"/>
    </row>
    <row r="32" spans="2:13" ht="27.75" customHeight="1" x14ac:dyDescent="0.2">
      <c r="B32" s="41" t="s">
        <v>183</v>
      </c>
      <c r="C32" s="19" t="s">
        <v>199</v>
      </c>
      <c r="D32" s="70"/>
      <c r="E32" s="71"/>
      <c r="F32" s="70">
        <f>+K2</f>
        <v>2732</v>
      </c>
      <c r="G32" s="71"/>
      <c r="H32" s="17">
        <v>0.84</v>
      </c>
      <c r="I32" s="18">
        <f>+H32*F32</f>
        <v>2294.88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1"/>
    </row>
    <row r="34" spans="2:11" ht="21.75" customHeight="1" x14ac:dyDescent="0.2">
      <c r="B34" s="15" t="s">
        <v>14</v>
      </c>
      <c r="C34" s="15"/>
      <c r="D34" s="86"/>
      <c r="E34" s="87"/>
      <c r="F34" s="70">
        <f>SUM(F31:G33)</f>
        <v>2732</v>
      </c>
      <c r="G34" s="71"/>
      <c r="H34" s="15"/>
      <c r="I34" s="14">
        <f>SUM(I32:I33)</f>
        <v>2294.88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1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2294.88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2294.88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61640296</v>
      </c>
      <c r="K2" s="50">
        <v>1474</v>
      </c>
      <c r="L2" s="44">
        <v>24</v>
      </c>
      <c r="M2" s="44">
        <v>120.182</v>
      </c>
      <c r="N2" s="44">
        <v>123.13</v>
      </c>
      <c r="O2" s="44">
        <v>141.03</v>
      </c>
      <c r="P2" s="44" t="s">
        <v>54</v>
      </c>
      <c r="Q2" s="44">
        <v>0.83899999999999997</v>
      </c>
      <c r="R2" s="44" t="s">
        <v>62</v>
      </c>
    </row>
    <row r="3" spans="2:22" x14ac:dyDescent="0.2">
      <c r="B3" s="6" t="s">
        <v>53</v>
      </c>
      <c r="C3" s="69">
        <f>+'0005'!C3+1</f>
        <v>6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90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9271 MERIDIAN WAY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WEST CHESTER,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45069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61640296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7" t="s">
        <v>35</v>
      </c>
      <c r="G21" s="57"/>
      <c r="H21" s="49" t="str">
        <f>IF(LEFT(G17,2)="CA","CA",IF(LEFT(G17,2)="UN","US",IF(LEFT(G17,2)="PA","PA",IF(LEFT(G17,2)="JA","JP"))))</f>
        <v>US</v>
      </c>
      <c r="I21" s="57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141.03</v>
      </c>
      <c r="G23" s="23">
        <f>+N2</f>
        <v>123.13</v>
      </c>
      <c r="H23" s="23">
        <f>+M2</f>
        <v>120.182</v>
      </c>
      <c r="I23" s="57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81" t="s">
        <v>19</v>
      </c>
      <c r="E31" s="81"/>
      <c r="F31" s="81" t="s">
        <v>18</v>
      </c>
      <c r="G31" s="81"/>
      <c r="H31" s="57" t="s">
        <v>17</v>
      </c>
      <c r="I31" s="19" t="s">
        <v>16</v>
      </c>
      <c r="M31"/>
    </row>
    <row r="32" spans="2:13" ht="27.75" customHeight="1" x14ac:dyDescent="0.2">
      <c r="B32" s="41" t="s">
        <v>183</v>
      </c>
      <c r="C32" s="19" t="s">
        <v>199</v>
      </c>
      <c r="D32" s="70"/>
      <c r="E32" s="71"/>
      <c r="F32" s="70">
        <f>+K2</f>
        <v>1474</v>
      </c>
      <c r="G32" s="71"/>
      <c r="H32" s="17">
        <v>0.84</v>
      </c>
      <c r="I32" s="18">
        <f>+H32*F32</f>
        <v>1238.1599999999999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7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1474</v>
      </c>
      <c r="G34" s="71"/>
      <c r="H34" s="15"/>
      <c r="I34" s="14">
        <f>SUM(I32:I33)</f>
        <v>1238.1599999999999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1238.1599999999999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1238.1599999999999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61734693</v>
      </c>
      <c r="K2" s="50">
        <v>1400</v>
      </c>
      <c r="L2" s="44">
        <v>47</v>
      </c>
      <c r="M2" s="44">
        <v>153.02000000000001</v>
      </c>
      <c r="N2" s="44">
        <v>167.02</v>
      </c>
      <c r="O2" s="44">
        <v>201.32</v>
      </c>
      <c r="P2" s="44" t="s">
        <v>54</v>
      </c>
      <c r="Q2" s="44">
        <v>1.23</v>
      </c>
      <c r="R2" s="44" t="s">
        <v>62</v>
      </c>
    </row>
    <row r="3" spans="2:22" x14ac:dyDescent="0.2">
      <c r="B3" s="6" t="s">
        <v>53</v>
      </c>
      <c r="C3" s="69">
        <f>+'0006'!C3+1</f>
        <v>7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61734693</v>
      </c>
      <c r="C21" s="5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CA</v>
      </c>
      <c r="I21" s="58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201.32</v>
      </c>
      <c r="G23" s="23">
        <f>+N2</f>
        <v>167.02</v>
      </c>
      <c r="H23" s="23">
        <f>+M2</f>
        <v>153.02000000000001</v>
      </c>
      <c r="I23" s="58">
        <f>+L2</f>
        <v>47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[95% COTTON 5% ELASTANE]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81" t="s">
        <v>19</v>
      </c>
      <c r="E31" s="81"/>
      <c r="F31" s="81" t="s">
        <v>18</v>
      </c>
      <c r="G31" s="81"/>
      <c r="H31" s="58" t="s">
        <v>17</v>
      </c>
      <c r="I31" s="19" t="s">
        <v>16</v>
      </c>
      <c r="M31"/>
    </row>
    <row r="32" spans="2:13" ht="38.25" x14ac:dyDescent="0.2">
      <c r="B32" s="41" t="s">
        <v>191</v>
      </c>
      <c r="C32" s="19" t="s">
        <v>190</v>
      </c>
      <c r="D32" s="70"/>
      <c r="E32" s="71"/>
      <c r="F32" s="70">
        <f>+K2</f>
        <v>1400</v>
      </c>
      <c r="G32" s="71"/>
      <c r="H32" s="17">
        <v>0.76</v>
      </c>
      <c r="I32" s="18">
        <f>+H32*F32</f>
        <v>1064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4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1400</v>
      </c>
      <c r="G34" s="71"/>
      <c r="H34" s="15"/>
      <c r="I34" s="14">
        <f>SUM(I32:I32)</f>
        <v>1064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1064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1064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17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61734650</v>
      </c>
      <c r="K2" s="44">
        <v>300</v>
      </c>
      <c r="L2" s="44">
        <v>8</v>
      </c>
      <c r="M2" s="44">
        <v>32.86</v>
      </c>
      <c r="N2" s="44">
        <v>35.86</v>
      </c>
      <c r="O2" s="44">
        <v>41.76</v>
      </c>
      <c r="P2" s="44" t="s">
        <v>54</v>
      </c>
      <c r="Q2" s="44">
        <v>0.224</v>
      </c>
      <c r="R2" s="44" t="s">
        <v>62</v>
      </c>
    </row>
    <row r="3" spans="2:22" x14ac:dyDescent="0.2">
      <c r="B3" s="6" t="s">
        <v>53</v>
      </c>
      <c r="C3" s="69">
        <f>+'0007'!C3+1</f>
        <v>8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61734650</v>
      </c>
      <c r="C21" s="5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CA</v>
      </c>
      <c r="I21" s="58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41.76</v>
      </c>
      <c r="G23" s="23">
        <f>+N2</f>
        <v>35.86</v>
      </c>
      <c r="H23" s="23">
        <f>+M2</f>
        <v>32.86</v>
      </c>
      <c r="I23" s="58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[95% COTTON 5% ELASTANE]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81" t="s">
        <v>19</v>
      </c>
      <c r="E31" s="81"/>
      <c r="F31" s="81" t="s">
        <v>18</v>
      </c>
      <c r="G31" s="81"/>
      <c r="H31" s="58" t="s">
        <v>17</v>
      </c>
      <c r="I31" s="19" t="s">
        <v>16</v>
      </c>
      <c r="M31"/>
    </row>
    <row r="32" spans="2:13" ht="27.75" customHeight="1" x14ac:dyDescent="0.2">
      <c r="B32" s="41" t="s">
        <v>202</v>
      </c>
      <c r="C32" s="19" t="s">
        <v>201</v>
      </c>
      <c r="D32" s="70"/>
      <c r="E32" s="71"/>
      <c r="F32" s="70">
        <f>+K2</f>
        <v>300</v>
      </c>
      <c r="G32" s="71"/>
      <c r="H32" s="17">
        <v>0.76</v>
      </c>
      <c r="I32" s="18">
        <f>+H32*F32</f>
        <v>228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8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300</v>
      </c>
      <c r="G34" s="71"/>
      <c r="H34" s="15"/>
      <c r="I34" s="14">
        <f>SUM(I32:I33)</f>
        <v>228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228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228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7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61737875</v>
      </c>
      <c r="K2" s="44">
        <v>895</v>
      </c>
      <c r="L2" s="44">
        <v>27</v>
      </c>
      <c r="M2" s="44">
        <v>95.8</v>
      </c>
      <c r="N2" s="44">
        <v>127.125</v>
      </c>
      <c r="O2" s="44">
        <v>150.52500000000001</v>
      </c>
      <c r="P2" s="44" t="s">
        <v>54</v>
      </c>
      <c r="Q2" s="44">
        <v>1.208</v>
      </c>
      <c r="R2" s="44" t="s">
        <v>62</v>
      </c>
    </row>
    <row r="3" spans="2:22" x14ac:dyDescent="0.2">
      <c r="B3" s="6" t="s">
        <v>53</v>
      </c>
      <c r="C3" s="69">
        <f>+'0008'!C3+1</f>
        <v>9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61737875</v>
      </c>
      <c r="C21" s="59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8" t="s">
        <v>35</v>
      </c>
      <c r="G21" s="58"/>
      <c r="H21" s="49" t="str">
        <f>IF(LEFT(G17,2)="CA","CA",IF(LEFT(G17,2)="UN","US",IF(LEFT(G17,2)="PA","PA",IF(LEFT(G17,2)="JA","JP"))))</f>
        <v>CA</v>
      </c>
      <c r="I21" s="58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150.52500000000001</v>
      </c>
      <c r="G23" s="23">
        <f>+N2</f>
        <v>127.125</v>
      </c>
      <c r="H23" s="23">
        <f>+M2</f>
        <v>95.8</v>
      </c>
      <c r="I23" s="58">
        <f>+L2</f>
        <v>27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[95% COTTON 5% ELASTANE]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81" t="s">
        <v>19</v>
      </c>
      <c r="E31" s="81"/>
      <c r="F31" s="81" t="s">
        <v>18</v>
      </c>
      <c r="G31" s="81"/>
      <c r="H31" s="58" t="s">
        <v>17</v>
      </c>
      <c r="I31" s="19" t="s">
        <v>16</v>
      </c>
      <c r="M31"/>
    </row>
    <row r="32" spans="2:13" ht="27.75" customHeight="1" x14ac:dyDescent="0.2">
      <c r="B32" s="41" t="s">
        <v>204</v>
      </c>
      <c r="C32" s="19" t="s">
        <v>203</v>
      </c>
      <c r="D32" s="70"/>
      <c r="E32" s="71"/>
      <c r="F32" s="70">
        <f>+K2</f>
        <v>895</v>
      </c>
      <c r="G32" s="71"/>
      <c r="H32" s="17">
        <v>0.76</v>
      </c>
      <c r="I32" s="18">
        <f>+H32*F32</f>
        <v>680.2</v>
      </c>
      <c r="K32" s="48"/>
      <c r="M32" s="39"/>
    </row>
    <row r="33" spans="2:11" ht="21.75" customHeight="1" x14ac:dyDescent="0.2">
      <c r="B33" s="15" t="s">
        <v>14</v>
      </c>
      <c r="C33" s="15"/>
      <c r="D33" s="86"/>
      <c r="E33" s="87"/>
      <c r="F33" s="70">
        <f>SUM(F32:G32)</f>
        <v>895</v>
      </c>
      <c r="G33" s="71"/>
      <c r="H33" s="15"/>
      <c r="I33" s="14">
        <f>SUM(I32:I32)</f>
        <v>680.2</v>
      </c>
      <c r="J33" s="40"/>
      <c r="K33" s="40"/>
    </row>
    <row r="34" spans="2:11" ht="21.75" customHeight="1" x14ac:dyDescent="0.2">
      <c r="B34" s="16" t="s">
        <v>13</v>
      </c>
      <c r="C34" s="15"/>
      <c r="D34" s="75"/>
      <c r="E34" s="77"/>
      <c r="F34" s="75"/>
      <c r="G34" s="77"/>
      <c r="H34" s="15"/>
      <c r="I34" s="58"/>
      <c r="J34" s="40"/>
    </row>
    <row r="35" spans="2:11" ht="21.75" customHeight="1" x14ac:dyDescent="0.2">
      <c r="B35" s="16" t="s">
        <v>12</v>
      </c>
      <c r="C35" s="15"/>
      <c r="D35" s="75"/>
      <c r="E35" s="77"/>
      <c r="F35" s="75"/>
      <c r="G35" s="77"/>
      <c r="H35" s="15"/>
      <c r="I35" s="14">
        <f>+I33</f>
        <v>680.2</v>
      </c>
    </row>
    <row r="36" spans="2:11" ht="20.25" customHeight="1" x14ac:dyDescent="0.2">
      <c r="B36" s="15" t="s">
        <v>80</v>
      </c>
      <c r="C36" s="75" t="s">
        <v>11</v>
      </c>
      <c r="D36" s="76"/>
      <c r="E36" s="76"/>
      <c r="F36" s="76"/>
      <c r="G36" s="76"/>
      <c r="H36" s="77"/>
      <c r="I36" s="47"/>
    </row>
    <row r="37" spans="2:11" ht="21" customHeight="1" x14ac:dyDescent="0.2">
      <c r="B37" s="16" t="s">
        <v>10</v>
      </c>
      <c r="C37" s="15"/>
      <c r="D37" s="15"/>
      <c r="E37" s="15"/>
      <c r="F37" s="15"/>
      <c r="G37" s="15"/>
      <c r="H37" s="15"/>
      <c r="I37" s="14">
        <f>+I35+I36</f>
        <v>680.2</v>
      </c>
    </row>
    <row r="38" spans="2:11" ht="18.75" customHeight="1" x14ac:dyDescent="0.2">
      <c r="B38" s="6"/>
      <c r="C38" s="5"/>
      <c r="D38" s="5"/>
      <c r="E38" s="5"/>
      <c r="F38" s="5"/>
      <c r="G38" s="5"/>
      <c r="H38" s="5"/>
      <c r="I38" s="4"/>
    </row>
    <row r="39" spans="2:1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13" t="s">
        <v>9</v>
      </c>
      <c r="C40" s="12"/>
      <c r="D40" s="12"/>
      <c r="E40" s="12"/>
      <c r="F40" s="12"/>
      <c r="G40" s="12"/>
      <c r="H40" s="12"/>
      <c r="I40" s="11"/>
    </row>
    <row r="41" spans="2:11" x14ac:dyDescent="0.2">
      <c r="B41" s="2" t="s">
        <v>86</v>
      </c>
      <c r="C41" s="1"/>
      <c r="D41" s="1"/>
      <c r="E41" s="1"/>
      <c r="F41" s="1"/>
      <c r="G41" s="1"/>
      <c r="H41" s="1"/>
      <c r="I41" s="3"/>
    </row>
    <row r="42" spans="2:11" x14ac:dyDescent="0.2">
      <c r="B42" s="6"/>
      <c r="C42" s="5"/>
      <c r="D42" s="5"/>
      <c r="E42" s="5"/>
      <c r="F42" s="5"/>
      <c r="G42" s="5"/>
      <c r="H42" s="5"/>
      <c r="I42" s="4"/>
    </row>
    <row r="43" spans="2:11" x14ac:dyDescent="0.2">
      <c r="B43" s="6" t="s">
        <v>8</v>
      </c>
      <c r="C43" s="5"/>
      <c r="D43" s="5"/>
      <c r="E43" s="5"/>
      <c r="F43" s="5"/>
      <c r="G43" s="5"/>
      <c r="H43" s="5"/>
      <c r="I43" s="4"/>
    </row>
    <row r="44" spans="2:11" x14ac:dyDescent="0.2">
      <c r="B44" s="6"/>
      <c r="C44" s="5"/>
      <c r="D44" s="5"/>
      <c r="E44" s="5"/>
      <c r="F44" s="5"/>
      <c r="G44" s="5"/>
      <c r="H44" s="5"/>
      <c r="I44" s="4"/>
    </row>
    <row r="45" spans="2:11" x14ac:dyDescent="0.2">
      <c r="B45" s="83" t="s">
        <v>7</v>
      </c>
      <c r="C45" s="83"/>
      <c r="D45" s="83"/>
      <c r="E45" s="10" t="s">
        <v>6</v>
      </c>
      <c r="F45" s="10"/>
      <c r="G45" s="10"/>
      <c r="H45" s="10"/>
      <c r="I45" s="10"/>
    </row>
    <row r="46" spans="2:11" x14ac:dyDescent="0.2">
      <c r="B46" s="2"/>
      <c r="C46" s="1"/>
      <c r="D46" s="3"/>
      <c r="E46" s="9" t="s">
        <v>5</v>
      </c>
      <c r="F46" s="9"/>
      <c r="G46" s="9"/>
      <c r="H46" s="2"/>
      <c r="I46" s="3"/>
    </row>
    <row r="47" spans="2:11" x14ac:dyDescent="0.2">
      <c r="B47" s="6"/>
      <c r="C47" s="5"/>
      <c r="D47" s="5"/>
      <c r="E47" s="5"/>
      <c r="F47" s="5"/>
      <c r="G47" s="5"/>
      <c r="H47" s="5"/>
      <c r="I47" s="4"/>
    </row>
    <row r="48" spans="2:11" x14ac:dyDescent="0.2">
      <c r="B48" s="6" t="s">
        <v>4</v>
      </c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3</v>
      </c>
      <c r="C49" s="5"/>
      <c r="D49" s="5"/>
      <c r="E49" s="5"/>
      <c r="F49" s="5"/>
      <c r="G49" s="5"/>
      <c r="H49" s="5"/>
      <c r="I49" s="4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 t="s">
        <v>2</v>
      </c>
      <c r="H51" s="5" t="str">
        <f>VLOOKUP($K51,reff!B2:C29,2,0)</f>
        <v xml:space="preserve"> 265K0075 </v>
      </c>
      <c r="I51" s="8"/>
      <c r="K51">
        <v>6</v>
      </c>
    </row>
    <row r="52" spans="2:11" x14ac:dyDescent="0.2">
      <c r="B52" s="6"/>
      <c r="C52" s="5"/>
      <c r="D52" s="5"/>
      <c r="E52" s="5"/>
      <c r="F52" s="5"/>
      <c r="G52" s="5"/>
      <c r="H52" s="7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84" t="s">
        <v>1</v>
      </c>
      <c r="D54" s="84"/>
      <c r="E54" s="5"/>
      <c r="F54" s="5"/>
      <c r="G54" s="5"/>
      <c r="H54" s="5"/>
      <c r="I54" s="4"/>
    </row>
    <row r="55" spans="2:11" x14ac:dyDescent="0.2">
      <c r="B55" s="6"/>
      <c r="C55" s="85" t="s">
        <v>0</v>
      </c>
      <c r="D55" s="85"/>
      <c r="E55" s="5"/>
      <c r="F55" s="5"/>
      <c r="G55" s="5"/>
      <c r="H55" s="5"/>
      <c r="I55" s="4"/>
      <c r="K55">
        <v>6</v>
      </c>
    </row>
    <row r="56" spans="2:11" x14ac:dyDescent="0.2">
      <c r="B56" s="2"/>
      <c r="C56" s="82"/>
      <c r="D56" s="82"/>
      <c r="E56" s="1"/>
      <c r="F56" s="1"/>
      <c r="G56" s="1"/>
      <c r="H56" s="1"/>
      <c r="I56" s="1"/>
    </row>
    <row r="57" spans="2:11" x14ac:dyDescent="0.2">
      <c r="B57" s="5"/>
      <c r="C57" s="5"/>
      <c r="D57" s="5"/>
      <c r="E57" s="5"/>
      <c r="F57" s="5"/>
      <c r="G57" s="5"/>
      <c r="H57" s="5"/>
      <c r="I57" s="5"/>
    </row>
  </sheetData>
  <mergeCells count="18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C56:D56"/>
    <mergeCell ref="D35:E35"/>
    <mergeCell ref="F35:G35"/>
    <mergeCell ref="C36:H36"/>
    <mergeCell ref="B45:D45"/>
    <mergeCell ref="C54:D54"/>
    <mergeCell ref="C55:D5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61738887</v>
      </c>
      <c r="K2" s="50">
        <v>2947</v>
      </c>
      <c r="L2" s="44">
        <v>67</v>
      </c>
      <c r="M2" s="44">
        <v>311.26</v>
      </c>
      <c r="N2" s="44">
        <v>414.40499999999997</v>
      </c>
      <c r="O2" s="44">
        <v>477.20499999999998</v>
      </c>
      <c r="P2" s="44" t="s">
        <v>54</v>
      </c>
      <c r="Q2" s="44">
        <v>3.7909999999999999</v>
      </c>
      <c r="R2" s="44" t="s">
        <v>62</v>
      </c>
    </row>
    <row r="3" spans="2:22" x14ac:dyDescent="0.2">
      <c r="B3" s="6" t="s">
        <v>53</v>
      </c>
      <c r="C3" s="69">
        <f>+'0009'!C3+1</f>
        <v>10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61738887</v>
      </c>
      <c r="C21" s="59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477.20499999999998</v>
      </c>
      <c r="G23" s="23">
        <f>+N2</f>
        <v>414.40499999999997</v>
      </c>
      <c r="H23" s="23">
        <f>+M2</f>
        <v>311.26</v>
      </c>
      <c r="I23" s="58">
        <f>+L2</f>
        <v>67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[95% COTTON 5% ELASTANE]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81" t="s">
        <v>19</v>
      </c>
      <c r="E31" s="81"/>
      <c r="F31" s="81" t="s">
        <v>18</v>
      </c>
      <c r="G31" s="81"/>
      <c r="H31" s="58" t="s">
        <v>17</v>
      </c>
      <c r="I31" s="19" t="s">
        <v>16</v>
      </c>
      <c r="M31"/>
    </row>
    <row r="32" spans="2:13" ht="27.75" customHeight="1" x14ac:dyDescent="0.2">
      <c r="B32" s="41" t="s">
        <v>204</v>
      </c>
      <c r="C32" s="19" t="s">
        <v>203</v>
      </c>
      <c r="D32" s="70"/>
      <c r="E32" s="71"/>
      <c r="F32" s="70">
        <f>+K2</f>
        <v>2947</v>
      </c>
      <c r="G32" s="71"/>
      <c r="H32" s="17">
        <v>0.76</v>
      </c>
      <c r="I32" s="18">
        <f>+H32*F32</f>
        <v>2239.7199999999998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5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2947</v>
      </c>
      <c r="G34" s="71"/>
      <c r="H34" s="15"/>
      <c r="I34" s="14">
        <f>SUM(I32:I33)</f>
        <v>2239.7199999999998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2239.7199999999998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2239.7199999999998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topLeftCell="A20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61309086</v>
      </c>
      <c r="K2" s="44">
        <v>561</v>
      </c>
      <c r="L2" s="44">
        <v>8</v>
      </c>
      <c r="M2" s="44">
        <v>45.582999999999998</v>
      </c>
      <c r="N2" s="44">
        <v>47.024999999999999</v>
      </c>
      <c r="O2" s="44">
        <v>53.225000000000001</v>
      </c>
      <c r="P2" s="44" t="s">
        <v>54</v>
      </c>
      <c r="Q2" s="44">
        <v>0.25700000000000001</v>
      </c>
      <c r="R2" s="44" t="s">
        <v>62</v>
      </c>
    </row>
    <row r="3" spans="2:22" x14ac:dyDescent="0.2">
      <c r="B3" s="6" t="s">
        <v>53</v>
      </c>
      <c r="C3" s="69">
        <f>+'0010'!C3+1</f>
        <v>11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61309086</v>
      </c>
      <c r="C21" s="59">
        <f>VLOOKUP($K55,reff!E2:F29,2,0)</f>
        <v>893947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53.225000000000001</v>
      </c>
      <c r="G23" s="23">
        <f>+N2</f>
        <v>47.024999999999999</v>
      </c>
      <c r="H23" s="23">
        <f>+M2</f>
        <v>45.582999999999998</v>
      </c>
      <c r="I23" s="58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81" t="s">
        <v>19</v>
      </c>
      <c r="E31" s="81"/>
      <c r="F31" s="81" t="s">
        <v>18</v>
      </c>
      <c r="G31" s="81"/>
      <c r="H31" s="58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206</v>
      </c>
      <c r="D32" s="70"/>
      <c r="E32" s="71"/>
      <c r="F32" s="70">
        <f>+K2</f>
        <v>561</v>
      </c>
      <c r="G32" s="71"/>
      <c r="H32" s="17">
        <v>1.1000000000000001</v>
      </c>
      <c r="I32" s="18">
        <f>+H32*F32</f>
        <v>617.1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8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561</v>
      </c>
      <c r="G34" s="71"/>
      <c r="H34" s="15"/>
      <c r="I34" s="14">
        <f>SUM(I32:I33)</f>
        <v>617.1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617.1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617.1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265K0032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61309104</v>
      </c>
      <c r="K2" s="44">
        <v>246</v>
      </c>
      <c r="L2" s="44">
        <v>3</v>
      </c>
      <c r="M2" s="44">
        <v>19.998000000000001</v>
      </c>
      <c r="N2" s="44">
        <v>20.63</v>
      </c>
      <c r="O2" s="44">
        <v>23.03</v>
      </c>
      <c r="P2" s="44" t="s">
        <v>54</v>
      </c>
      <c r="Q2" s="44">
        <v>0.112</v>
      </c>
      <c r="R2" s="44" t="s">
        <v>62</v>
      </c>
    </row>
    <row r="3" spans="2:22" x14ac:dyDescent="0.2">
      <c r="B3" s="6" t="s">
        <v>53</v>
      </c>
      <c r="C3" s="69">
        <f>+'0011'!C3+1</f>
        <v>12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61309104</v>
      </c>
      <c r="C21" s="59">
        <f>VLOOKUP($K56,reff!E2:F29,2,0)</f>
        <v>893957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23.03</v>
      </c>
      <c r="G23" s="23">
        <f>+N2</f>
        <v>20.63</v>
      </c>
      <c r="H23" s="23">
        <f>+M2</f>
        <v>19.998000000000001</v>
      </c>
      <c r="I23" s="58">
        <f>+L2</f>
        <v>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81" t="s">
        <v>19</v>
      </c>
      <c r="E31" s="81"/>
      <c r="F31" s="81" t="s">
        <v>18</v>
      </c>
      <c r="G31" s="81"/>
      <c r="H31" s="58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180</v>
      </c>
      <c r="D32" s="70"/>
      <c r="E32" s="71"/>
      <c r="F32" s="70">
        <f>+K2</f>
        <v>246</v>
      </c>
      <c r="G32" s="71"/>
      <c r="H32" s="17">
        <v>0.78</v>
      </c>
      <c r="I32" s="18">
        <f>+H32*F32</f>
        <v>191.88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8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246</v>
      </c>
      <c r="G34" s="71"/>
      <c r="H34" s="15"/>
      <c r="I34" s="14">
        <f>SUM(I32:I33)</f>
        <v>191.88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191.88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191.88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265K0030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61365564</v>
      </c>
      <c r="K2" s="44">
        <v>233</v>
      </c>
      <c r="L2" s="44">
        <v>4</v>
      </c>
      <c r="M2" s="44">
        <v>18.914000000000001</v>
      </c>
      <c r="N2" s="44">
        <v>19.516999999999999</v>
      </c>
      <c r="O2" s="44">
        <v>22.716999999999999</v>
      </c>
      <c r="P2" s="44" t="s">
        <v>54</v>
      </c>
      <c r="Q2" s="44">
        <v>0.13400000000000001</v>
      </c>
      <c r="R2" s="44" t="s">
        <v>62</v>
      </c>
    </row>
    <row r="3" spans="2:22" x14ac:dyDescent="0.2">
      <c r="B3" s="6" t="s">
        <v>53</v>
      </c>
      <c r="C3" s="69">
        <f>'0012'!C3+1</f>
        <v>13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61365564</v>
      </c>
      <c r="C21" s="62">
        <f>VLOOKUP($K56,reff!E2:F29,2,0)</f>
        <v>896206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22.716999999999999</v>
      </c>
      <c r="G23" s="23">
        <f>+N2</f>
        <v>19.516999999999999</v>
      </c>
      <c r="H23" s="23">
        <f>+M2</f>
        <v>18.914000000000001</v>
      </c>
      <c r="I23" s="63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1" t="s">
        <v>19</v>
      </c>
      <c r="E31" s="81"/>
      <c r="F31" s="81" t="s">
        <v>18</v>
      </c>
      <c r="G31" s="81"/>
      <c r="H31" s="63" t="s">
        <v>17</v>
      </c>
      <c r="I31" s="19" t="s">
        <v>16</v>
      </c>
      <c r="M31"/>
    </row>
    <row r="32" spans="2:13" ht="39" customHeight="1" x14ac:dyDescent="0.2">
      <c r="B32" s="41" t="s">
        <v>188</v>
      </c>
      <c r="C32" s="19" t="s">
        <v>187</v>
      </c>
      <c r="D32" s="70"/>
      <c r="E32" s="71"/>
      <c r="F32" s="70">
        <f>+K2</f>
        <v>233</v>
      </c>
      <c r="G32" s="71"/>
      <c r="H32" s="17">
        <v>0.81</v>
      </c>
      <c r="I32" s="18">
        <f>+H32*F32</f>
        <v>188.73000000000002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3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233</v>
      </c>
      <c r="G34" s="71"/>
      <c r="H34" s="15"/>
      <c r="I34" s="14">
        <f>SUM(I32:I33)</f>
        <v>188.73000000000002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3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188.73000000000002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188.73000000000002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265K0028</v>
      </c>
      <c r="I52" s="8"/>
      <c r="K52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10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B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B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61365572</v>
      </c>
      <c r="K2" s="44">
        <v>203</v>
      </c>
      <c r="L2" s="44">
        <v>2</v>
      </c>
      <c r="M2" s="44">
        <v>16.474</v>
      </c>
      <c r="N2" s="44">
        <v>16.989999999999998</v>
      </c>
      <c r="O2" s="44">
        <v>18.690000000000001</v>
      </c>
      <c r="P2" s="44" t="s">
        <v>54</v>
      </c>
      <c r="Q2" s="44">
        <v>8.8999999999999996E-2</v>
      </c>
      <c r="R2" s="44" t="s">
        <v>62</v>
      </c>
    </row>
    <row r="3" spans="2:22" x14ac:dyDescent="0.2">
      <c r="B3" s="6" t="s">
        <v>53</v>
      </c>
      <c r="C3" s="69">
        <f>'0013'!C3+1</f>
        <v>14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61365572</v>
      </c>
      <c r="C21" s="62">
        <f>VLOOKUP($K56,reff!E2:F29,2,0)</f>
        <v>893958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18.690000000000001</v>
      </c>
      <c r="G23" s="23">
        <f>+N2</f>
        <v>16.989999999999998</v>
      </c>
      <c r="H23" s="23">
        <f>+M2</f>
        <v>16.474</v>
      </c>
      <c r="I23" s="63">
        <f>+L2</f>
        <v>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1" t="s">
        <v>19</v>
      </c>
      <c r="E31" s="81"/>
      <c r="F31" s="81" t="s">
        <v>18</v>
      </c>
      <c r="G31" s="81"/>
      <c r="H31" s="63" t="s">
        <v>17</v>
      </c>
      <c r="I31" s="19" t="s">
        <v>16</v>
      </c>
      <c r="M31"/>
    </row>
    <row r="32" spans="2:13" ht="39" customHeight="1" x14ac:dyDescent="0.2">
      <c r="B32" s="41" t="s">
        <v>179</v>
      </c>
      <c r="C32" s="19" t="s">
        <v>189</v>
      </c>
      <c r="D32" s="70"/>
      <c r="E32" s="71"/>
      <c r="F32" s="70">
        <f>+K2</f>
        <v>203</v>
      </c>
      <c r="G32" s="71"/>
      <c r="H32" s="17">
        <v>0.78</v>
      </c>
      <c r="I32" s="18">
        <f>+H32*F32</f>
        <v>158.34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3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203</v>
      </c>
      <c r="G34" s="71"/>
      <c r="H34" s="15"/>
      <c r="I34" s="14">
        <f>SUM(I32:I33)</f>
        <v>158.34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3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158.34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158.34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265K0031</v>
      </c>
      <c r="I52" s="8"/>
      <c r="K52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11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C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C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622-0C14-4DE1-B095-6F38E9934A5C}">
  <sheetPr>
    <pageSetUpPr fitToPage="1"/>
  </sheetPr>
  <dimension ref="B1:V58"/>
  <sheetViews>
    <sheetView view="pageBreakPreview" topLeftCell="A23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61414239</v>
      </c>
      <c r="K2" s="50">
        <v>1100</v>
      </c>
      <c r="L2" s="44">
        <v>11</v>
      </c>
      <c r="M2" s="44">
        <v>70.98</v>
      </c>
      <c r="N2" s="44">
        <v>92.98</v>
      </c>
      <c r="O2" s="44">
        <v>102.28</v>
      </c>
      <c r="P2" s="44" t="s">
        <v>54</v>
      </c>
      <c r="Q2" s="44">
        <v>0.45900000000000002</v>
      </c>
      <c r="R2" s="44" t="s">
        <v>62</v>
      </c>
    </row>
    <row r="3" spans="2:22" x14ac:dyDescent="0.2">
      <c r="B3" s="6" t="s">
        <v>53</v>
      </c>
      <c r="C3" s="69">
        <f>+'0014'!C3+1</f>
        <v>15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61414239</v>
      </c>
      <c r="C21" s="66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102.28</v>
      </c>
      <c r="G23" s="23">
        <f>+N2</f>
        <v>92.98</v>
      </c>
      <c r="H23" s="23">
        <f>+M2</f>
        <v>70.98</v>
      </c>
      <c r="I23" s="67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9" customHeight="1" x14ac:dyDescent="0.2">
      <c r="B32" s="41" t="s">
        <v>183</v>
      </c>
      <c r="C32" s="19" t="s">
        <v>207</v>
      </c>
      <c r="D32" s="70"/>
      <c r="E32" s="71"/>
      <c r="F32" s="70">
        <f>+K2</f>
        <v>1100</v>
      </c>
      <c r="G32" s="71"/>
      <c r="H32" s="17">
        <v>0.81</v>
      </c>
      <c r="I32" s="18">
        <f>+H32*F32</f>
        <v>891.00000000000011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1100</v>
      </c>
      <c r="G34" s="71"/>
      <c r="H34" s="15"/>
      <c r="I34" s="14">
        <f>SUM(I32:I33)</f>
        <v>891.00000000000011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891.00000000000011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891.00000000000011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265K0035</v>
      </c>
      <c r="I52" s="8"/>
      <c r="K52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12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AFC6512-9B06-421B-AFF0-7835EC1108E8}">
          <x14:formula1>
            <xm:f>Sheet1!$K$5:$K$12</xm:f>
          </x14:formula1>
          <xm:sqref>B14</xm:sqref>
        </x14:dataValidation>
        <x14:dataValidation type="list" allowBlank="1" showInputMessage="1" showErrorMessage="1" xr:uid="{845F5CD3-75AC-4BC8-B90C-B97FA977A87C}">
          <x14:formula1>
            <xm:f>Sheet1!$B$17:$B$18</xm:f>
          </x14:formula1>
          <xm:sqref>G5</xm:sqref>
        </x14:dataValidation>
        <x14:dataValidation type="list" allowBlank="1" showInputMessage="1" showErrorMessage="1" xr:uid="{63B3F182-BA30-4E9F-9DFC-60A60C700FEF}">
          <x14:formula1>
            <xm:f>Sheet1!$L$5:$L$25</xm:f>
          </x14:formula1>
          <xm:sqref>G13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0DA6-9D0E-4919-8EA7-82A26E7A99A8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61420126</v>
      </c>
      <c r="K2" s="50">
        <v>11643</v>
      </c>
      <c r="L2" s="44">
        <v>82</v>
      </c>
      <c r="M2" s="44">
        <v>723.63</v>
      </c>
      <c r="N2" s="44">
        <v>956.49</v>
      </c>
      <c r="O2" s="68">
        <v>1031.74</v>
      </c>
      <c r="P2" s="44" t="s">
        <v>54</v>
      </c>
      <c r="Q2" s="44">
        <v>4.7469999999999999</v>
      </c>
      <c r="R2" s="44" t="s">
        <v>62</v>
      </c>
    </row>
    <row r="3" spans="2:22" x14ac:dyDescent="0.2">
      <c r="B3" s="6" t="s">
        <v>53</v>
      </c>
      <c r="C3" s="69">
        <f>+'0015'!C3+1</f>
        <v>16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61420126</v>
      </c>
      <c r="C21" s="66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1031.74</v>
      </c>
      <c r="G23" s="23">
        <f>+N2</f>
        <v>956.49</v>
      </c>
      <c r="H23" s="23">
        <f>+M2</f>
        <v>723.63</v>
      </c>
      <c r="I23" s="67">
        <f>+L2</f>
        <v>82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9" customHeight="1" x14ac:dyDescent="0.2">
      <c r="B32" s="41" t="s">
        <v>183</v>
      </c>
      <c r="C32" s="19" t="s">
        <v>207</v>
      </c>
      <c r="D32" s="70"/>
      <c r="E32" s="71"/>
      <c r="F32" s="70">
        <f>+K2</f>
        <v>11643</v>
      </c>
      <c r="G32" s="71"/>
      <c r="H32" s="17">
        <v>0.81</v>
      </c>
      <c r="I32" s="18">
        <f>+H32*F32</f>
        <v>9430.83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11643</v>
      </c>
      <c r="G34" s="71"/>
      <c r="H34" s="15"/>
      <c r="I34" s="14">
        <f>SUM(I32:I33)</f>
        <v>9430.83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9430.83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9430.83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265K0035</v>
      </c>
      <c r="I52" s="8"/>
      <c r="K52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13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3B75E7-ACBA-46AA-8C70-8C98EBADC7EA}">
          <x14:formula1>
            <xm:f>Sheet1!$L$5:$L$25</xm:f>
          </x14:formula1>
          <xm:sqref>G13</xm:sqref>
        </x14:dataValidation>
        <x14:dataValidation type="list" allowBlank="1" showInputMessage="1" showErrorMessage="1" xr:uid="{AC79E212-3EA6-4BDB-8C91-8ADAB50900C8}">
          <x14:formula1>
            <xm:f>Sheet1!$B$17:$B$18</xm:f>
          </x14:formula1>
          <xm:sqref>G5</xm:sqref>
        </x14:dataValidation>
        <x14:dataValidation type="list" allowBlank="1" showInputMessage="1" showErrorMessage="1" xr:uid="{5A53E507-43A5-41F1-8FD3-C00E11684353}">
          <x14:formula1>
            <xm:f>Sheet1!$K$5:$K$12</xm:f>
          </x14:formula1>
          <xm:sqref>B14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EDF-D78C-4BD5-A59A-4CB6E8E43A86}">
  <sheetPr>
    <pageSetUpPr fitToPage="1"/>
  </sheetPr>
  <dimension ref="B1:V58"/>
  <sheetViews>
    <sheetView view="pageBreakPreview" topLeftCell="A28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61296246</v>
      </c>
      <c r="K2" s="50">
        <v>5583</v>
      </c>
      <c r="L2" s="44">
        <v>39</v>
      </c>
      <c r="M2" s="44">
        <v>447.70400000000001</v>
      </c>
      <c r="N2" s="44">
        <v>458.87</v>
      </c>
      <c r="O2" s="44">
        <v>494.87</v>
      </c>
      <c r="P2" s="44" t="s">
        <v>54</v>
      </c>
      <c r="Q2" s="44">
        <v>2.2810000000000001</v>
      </c>
      <c r="R2" s="44" t="s">
        <v>62</v>
      </c>
    </row>
    <row r="3" spans="2:22" x14ac:dyDescent="0.2">
      <c r="B3" s="6" t="s">
        <v>53</v>
      </c>
      <c r="C3" s="69">
        <f>+'0016'!C3+1</f>
        <v>17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61296246</v>
      </c>
      <c r="C21" s="66">
        <f>VLOOKUP($K56,reff!E2:F29,2,0)</f>
        <v>893947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494.87</v>
      </c>
      <c r="G23" s="23">
        <f>+N2</f>
        <v>458.87</v>
      </c>
      <c r="H23" s="23">
        <f>+M2</f>
        <v>447.70400000000001</v>
      </c>
      <c r="I23" s="67">
        <f>+L2</f>
        <v>39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206</v>
      </c>
      <c r="D32" s="70"/>
      <c r="E32" s="71"/>
      <c r="F32" s="70">
        <f>+K2</f>
        <v>5583</v>
      </c>
      <c r="G32" s="71"/>
      <c r="H32" s="17">
        <v>1.1000000000000001</v>
      </c>
      <c r="I32" s="18">
        <f>+H32*F32</f>
        <v>6141.3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5583</v>
      </c>
      <c r="G34" s="71"/>
      <c r="H34" s="15"/>
      <c r="I34" s="14">
        <f>SUM(I32:I33)</f>
        <v>6141.3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6141.3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6141.3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265K0032</v>
      </c>
      <c r="I52" s="8"/>
      <c r="K52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14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385FA0-00A2-4BF3-B1F4-76598AD3B19E}">
          <x14:formula1>
            <xm:f>Sheet1!$K$5:$K$12</xm:f>
          </x14:formula1>
          <xm:sqref>B14</xm:sqref>
        </x14:dataValidation>
        <x14:dataValidation type="list" allowBlank="1" showInputMessage="1" showErrorMessage="1" xr:uid="{B9DEF07A-1FF0-49EB-8209-A913FE833878}">
          <x14:formula1>
            <xm:f>Sheet1!$B$17:$B$18</xm:f>
          </x14:formula1>
          <xm:sqref>G5</xm:sqref>
        </x14:dataValidation>
        <x14:dataValidation type="list" allowBlank="1" showInputMessage="1" showErrorMessage="1" xr:uid="{DBE23F1E-C6D8-4134-8DE8-B0E944B506E4}">
          <x14:formula1>
            <xm:f>Sheet1!$L$5:$L$25</xm:f>
          </x14:formula1>
          <xm:sqref>G13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D0C0-839C-43AA-A48C-27453BFD2E53}">
  <sheetPr>
    <pageSetUpPr fitToPage="1"/>
  </sheetPr>
  <dimension ref="B1:V58"/>
  <sheetViews>
    <sheetView view="pageBreakPreview" topLeftCell="A23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61296250</v>
      </c>
      <c r="K2" s="50">
        <v>4493</v>
      </c>
      <c r="L2" s="44">
        <v>31</v>
      </c>
      <c r="M2" s="44">
        <v>360.97899999999998</v>
      </c>
      <c r="N2" s="44">
        <v>369.96499999999997</v>
      </c>
      <c r="O2" s="44">
        <v>399.065</v>
      </c>
      <c r="P2" s="44" t="s">
        <v>54</v>
      </c>
      <c r="Q2" s="44">
        <v>1.845</v>
      </c>
      <c r="R2" s="44" t="s">
        <v>62</v>
      </c>
    </row>
    <row r="3" spans="2:22" x14ac:dyDescent="0.2">
      <c r="B3" s="6" t="s">
        <v>53</v>
      </c>
      <c r="C3" s="69">
        <f>'0017'!C3+1</f>
        <v>18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61296250</v>
      </c>
      <c r="C21" s="66">
        <f>VLOOKUP($K56,reff!E2:F29,2,0)</f>
        <v>893957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399.065</v>
      </c>
      <c r="G23" s="23">
        <f>+N2</f>
        <v>369.96499999999997</v>
      </c>
      <c r="H23" s="23">
        <f>+M2</f>
        <v>360.97899999999998</v>
      </c>
      <c r="I23" s="67">
        <f>+L2</f>
        <v>31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180</v>
      </c>
      <c r="D32" s="70"/>
      <c r="E32" s="71"/>
      <c r="F32" s="70">
        <f>+K2</f>
        <v>4493</v>
      </c>
      <c r="G32" s="71"/>
      <c r="H32" s="17">
        <v>0.78</v>
      </c>
      <c r="I32" s="18">
        <f>+H32*F32</f>
        <v>3504.54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4493</v>
      </c>
      <c r="G34" s="71"/>
      <c r="H34" s="15"/>
      <c r="I34" s="14">
        <f>SUM(I32:I33)</f>
        <v>3504.54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3504.54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3504.54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265K0030</v>
      </c>
      <c r="I52" s="8"/>
      <c r="K52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15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C14458-43FE-4821-871D-20F1CA0ADC79}">
          <x14:formula1>
            <xm:f>Sheet1!$L$5:$L$25</xm:f>
          </x14:formula1>
          <xm:sqref>G13</xm:sqref>
        </x14:dataValidation>
        <x14:dataValidation type="list" allowBlank="1" showInputMessage="1" showErrorMessage="1" xr:uid="{1C0341E8-5D8F-4E00-B1A2-D65DA0616BAB}">
          <x14:formula1>
            <xm:f>Sheet1!$B$17:$B$18</xm:f>
          </x14:formula1>
          <xm:sqref>G5</xm:sqref>
        </x14:dataValidation>
        <x14:dataValidation type="list" allowBlank="1" showInputMessage="1" showErrorMessage="1" xr:uid="{C14BC80E-9E41-47E5-AB23-76C4DA9ABC11}">
          <x14:formula1>
            <xm:f>Sheet1!$K$5:$K$12</xm:f>
          </x14:formula1>
          <xm:sqref>B14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6B2E-8706-42C0-8489-AEEFB43EAF90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61364825</v>
      </c>
      <c r="K2" s="50">
        <v>4513</v>
      </c>
      <c r="L2" s="44">
        <v>33</v>
      </c>
      <c r="M2" s="44">
        <v>363.69900000000001</v>
      </c>
      <c r="N2" s="44">
        <v>372.72500000000002</v>
      </c>
      <c r="O2" s="44">
        <v>402.875</v>
      </c>
      <c r="P2" s="44" t="s">
        <v>54</v>
      </c>
      <c r="Q2" s="44">
        <v>1.8620000000000001</v>
      </c>
      <c r="R2" s="44" t="s">
        <v>62</v>
      </c>
    </row>
    <row r="3" spans="2:22" x14ac:dyDescent="0.2">
      <c r="B3" s="6" t="s">
        <v>53</v>
      </c>
      <c r="C3" s="69">
        <f>'0018'!C3+1</f>
        <v>19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61364825</v>
      </c>
      <c r="C21" s="66">
        <f>VLOOKUP($K56,reff!E2:F29,2,0)</f>
        <v>896206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402.875</v>
      </c>
      <c r="G23" s="23">
        <f>+N2</f>
        <v>372.72500000000002</v>
      </c>
      <c r="H23" s="23">
        <f>+M2</f>
        <v>363.69900000000001</v>
      </c>
      <c r="I23" s="67">
        <f>+L2</f>
        <v>33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9" customHeight="1" x14ac:dyDescent="0.2">
      <c r="B32" s="41" t="s">
        <v>188</v>
      </c>
      <c r="C32" s="19" t="s">
        <v>187</v>
      </c>
      <c r="D32" s="70"/>
      <c r="E32" s="71"/>
      <c r="F32" s="70">
        <f>+K2</f>
        <v>4513</v>
      </c>
      <c r="G32" s="71"/>
      <c r="H32" s="17">
        <v>0.81</v>
      </c>
      <c r="I32" s="18">
        <f>+H32*F32</f>
        <v>3655.53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4513</v>
      </c>
      <c r="G34" s="71"/>
      <c r="H34" s="15"/>
      <c r="I34" s="14">
        <f>SUM(I32:I33)</f>
        <v>3655.53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3655.53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3655.53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265K0028</v>
      </c>
      <c r="I52" s="8"/>
      <c r="K52">
        <v>16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16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BFF53B-25F1-4A47-B074-04D7C1F6B135}">
          <x14:formula1>
            <xm:f>Sheet1!$K$5:$K$12</xm:f>
          </x14:formula1>
          <xm:sqref>B14</xm:sqref>
        </x14:dataValidation>
        <x14:dataValidation type="list" allowBlank="1" showInputMessage="1" showErrorMessage="1" xr:uid="{C0457828-C7EA-43AF-A56E-15EDA2A7A2E8}">
          <x14:formula1>
            <xm:f>Sheet1!$B$17:$B$18</xm:f>
          </x14:formula1>
          <xm:sqref>G5</xm:sqref>
        </x14:dataValidation>
        <x14:dataValidation type="list" allowBlank="1" showInputMessage="1" showErrorMessage="1" xr:uid="{60F58A6D-9B01-4421-A21B-3CE2D342C83A}">
          <x14:formula1>
            <xm:f>Sheet1!$L$5:$L$25</xm:f>
          </x14:formula1>
          <xm:sqref>G13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C045-2D25-40E7-A1EE-72AAADF43FF8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61364832</v>
      </c>
      <c r="K2" s="50">
        <v>4243</v>
      </c>
      <c r="L2" s="44">
        <v>29</v>
      </c>
      <c r="M2" s="44">
        <v>341.839</v>
      </c>
      <c r="N2" s="44">
        <v>352.91399999999999</v>
      </c>
      <c r="O2" s="44">
        <v>380.214</v>
      </c>
      <c r="P2" s="44" t="s">
        <v>54</v>
      </c>
      <c r="Q2" s="44">
        <v>1.7450000000000001</v>
      </c>
      <c r="R2" s="44" t="s">
        <v>62</v>
      </c>
    </row>
    <row r="3" spans="2:22" x14ac:dyDescent="0.2">
      <c r="B3" s="6" t="s">
        <v>53</v>
      </c>
      <c r="C3" s="69">
        <f>'0019'!C3+1</f>
        <v>20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61364832</v>
      </c>
      <c r="C21" s="66">
        <f>VLOOKUP($K56,reff!E2:F29,2,0)</f>
        <v>893958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380.214</v>
      </c>
      <c r="G23" s="23">
        <f>+N2</f>
        <v>352.91399999999999</v>
      </c>
      <c r="H23" s="23">
        <f>+M2</f>
        <v>341.839</v>
      </c>
      <c r="I23" s="67">
        <f>+L2</f>
        <v>29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9" customHeight="1" x14ac:dyDescent="0.2">
      <c r="B32" s="41" t="s">
        <v>179</v>
      </c>
      <c r="C32" s="19" t="s">
        <v>189</v>
      </c>
      <c r="D32" s="70"/>
      <c r="E32" s="71"/>
      <c r="F32" s="70">
        <f>+K2</f>
        <v>4243</v>
      </c>
      <c r="G32" s="71"/>
      <c r="H32" s="17">
        <v>0.78</v>
      </c>
      <c r="I32" s="18">
        <f>+H32*F32</f>
        <v>3309.54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4243</v>
      </c>
      <c r="G34" s="71"/>
      <c r="H34" s="15"/>
      <c r="I34" s="14">
        <f>SUM(I32:I33)</f>
        <v>3309.54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3309.54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3309.54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265K0031</v>
      </c>
      <c r="I52" s="8"/>
      <c r="K52">
        <v>17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17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19B34E-BDA4-4D35-A1EF-5877DEDD1966}">
          <x14:formula1>
            <xm:f>Sheet1!$L$5:$L$25</xm:f>
          </x14:formula1>
          <xm:sqref>G13</xm:sqref>
        </x14:dataValidation>
        <x14:dataValidation type="list" allowBlank="1" showInputMessage="1" showErrorMessage="1" xr:uid="{A1836E8F-FB22-4361-888E-49262A10B299}">
          <x14:formula1>
            <xm:f>Sheet1!$B$17:$B$18</xm:f>
          </x14:formula1>
          <xm:sqref>G5</xm:sqref>
        </x14:dataValidation>
        <x14:dataValidation type="list" allowBlank="1" showInputMessage="1" showErrorMessage="1" xr:uid="{4A3E3AE3-8B36-4463-93F7-CC9915F86495}">
          <x14:formula1>
            <xm:f>Sheet1!$K$5:$K$12</xm:f>
          </x14:formula1>
          <xm:sqref>B14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303E-BE8D-422B-9956-018A4C4845EF}">
  <sheetPr>
    <pageSetUpPr fitToPage="1"/>
  </sheetPr>
  <dimension ref="B1:V59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61635633</v>
      </c>
      <c r="K2" s="50">
        <v>8066</v>
      </c>
      <c r="L2" s="44">
        <v>58</v>
      </c>
      <c r="M2" s="44">
        <v>552.553</v>
      </c>
      <c r="N2" s="44">
        <v>568.68499999999995</v>
      </c>
      <c r="O2" s="44">
        <v>622.43499999999995</v>
      </c>
      <c r="P2" s="44" t="s">
        <v>54</v>
      </c>
      <c r="Q2" s="44">
        <v>3.3050000000000002</v>
      </c>
      <c r="R2" s="44" t="s">
        <v>62</v>
      </c>
    </row>
    <row r="3" spans="2:22" x14ac:dyDescent="0.2">
      <c r="B3" s="6" t="s">
        <v>53</v>
      </c>
      <c r="C3" s="69">
        <f>'0020'!C3+1</f>
        <v>21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61635633</v>
      </c>
      <c r="C21" s="66">
        <f>VLOOKUP($K57,reff!E2:F29,2,0)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622.43499999999995</v>
      </c>
      <c r="G23" s="23">
        <f>+N2</f>
        <v>568.68499999999995</v>
      </c>
      <c r="H23" s="23">
        <f>+M2</f>
        <v>552.553</v>
      </c>
      <c r="I23" s="67">
        <f>+L2</f>
        <v>58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9" customHeight="1" x14ac:dyDescent="0.2">
      <c r="B32" s="41" t="s">
        <v>183</v>
      </c>
      <c r="C32" s="19" t="s">
        <v>199</v>
      </c>
      <c r="D32" s="70"/>
      <c r="E32" s="71"/>
      <c r="F32" s="70">
        <v>4315</v>
      </c>
      <c r="G32" s="71"/>
      <c r="H32" s="17">
        <v>0.81</v>
      </c>
      <c r="I32" s="18">
        <f>+H32*F32</f>
        <v>3495.15</v>
      </c>
      <c r="K32" s="48"/>
      <c r="M32" s="39"/>
    </row>
    <row r="33" spans="2:13" ht="39" customHeight="1" x14ac:dyDescent="0.2">
      <c r="B33" s="41" t="s">
        <v>179</v>
      </c>
      <c r="C33" s="19" t="s">
        <v>208</v>
      </c>
      <c r="D33" s="70"/>
      <c r="E33" s="71"/>
      <c r="F33" s="70">
        <v>3751</v>
      </c>
      <c r="G33" s="71"/>
      <c r="H33" s="17">
        <v>0.81</v>
      </c>
      <c r="I33" s="18">
        <f>+H33*F33</f>
        <v>3038.3100000000004</v>
      </c>
      <c r="K33" s="48"/>
      <c r="M33" s="39"/>
    </row>
    <row r="34" spans="2:13" ht="21" customHeight="1" x14ac:dyDescent="0.2">
      <c r="B34" s="15" t="s">
        <v>15</v>
      </c>
      <c r="C34" s="15"/>
      <c r="D34" s="75"/>
      <c r="E34" s="77"/>
      <c r="F34" s="75"/>
      <c r="G34" s="77"/>
      <c r="H34" s="17"/>
      <c r="I34" s="67"/>
    </row>
    <row r="35" spans="2:13" ht="21.75" customHeight="1" x14ac:dyDescent="0.2">
      <c r="B35" s="15" t="s">
        <v>14</v>
      </c>
      <c r="C35" s="15"/>
      <c r="D35" s="86"/>
      <c r="E35" s="87"/>
      <c r="F35" s="70">
        <f>SUM(F32:G34)</f>
        <v>8066</v>
      </c>
      <c r="G35" s="71"/>
      <c r="H35" s="15"/>
      <c r="I35" s="14">
        <f>SUM(I32:I34)</f>
        <v>6533.4600000000009</v>
      </c>
      <c r="J35" s="40"/>
      <c r="K35" s="40"/>
    </row>
    <row r="36" spans="2:13" ht="21.75" customHeight="1" x14ac:dyDescent="0.2">
      <c r="B36" s="16" t="s">
        <v>13</v>
      </c>
      <c r="C36" s="15"/>
      <c r="D36" s="75"/>
      <c r="E36" s="77"/>
      <c r="F36" s="75"/>
      <c r="G36" s="77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5"/>
      <c r="E37" s="77"/>
      <c r="F37" s="75"/>
      <c r="G37" s="77"/>
      <c r="H37" s="15"/>
      <c r="I37" s="14">
        <f>+I35</f>
        <v>6533.4600000000009</v>
      </c>
    </row>
    <row r="38" spans="2:13" ht="20.25" customHeight="1" x14ac:dyDescent="0.2">
      <c r="B38" s="15" t="s">
        <v>80</v>
      </c>
      <c r="C38" s="75" t="s">
        <v>11</v>
      </c>
      <c r="D38" s="76"/>
      <c r="E38" s="76"/>
      <c r="F38" s="76"/>
      <c r="G38" s="76"/>
      <c r="H38" s="77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6533.4600000000009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3" t="s">
        <v>7</v>
      </c>
      <c r="C47" s="83"/>
      <c r="D47" s="8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265K0060</v>
      </c>
      <c r="I53" s="8"/>
      <c r="K53">
        <v>18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4" t="s">
        <v>1</v>
      </c>
      <c r="D56" s="84"/>
      <c r="E56" s="5"/>
      <c r="F56" s="5"/>
      <c r="G56" s="5"/>
      <c r="H56" s="5"/>
      <c r="I56" s="4"/>
    </row>
    <row r="57" spans="2:11" x14ac:dyDescent="0.2">
      <c r="B57" s="6"/>
      <c r="C57" s="85" t="s">
        <v>0</v>
      </c>
      <c r="D57" s="85"/>
      <c r="E57" s="5"/>
      <c r="F57" s="5"/>
      <c r="G57" s="5"/>
      <c r="H57" s="5"/>
      <c r="I57" s="4"/>
      <c r="K57">
        <v>18</v>
      </c>
    </row>
    <row r="58" spans="2:11" x14ac:dyDescent="0.2">
      <c r="B58" s="2"/>
      <c r="C58" s="82"/>
      <c r="D58" s="8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5B8E7A2-2E99-457E-B8BE-12349531D318}">
          <x14:formula1>
            <xm:f>Sheet1!$K$5:$K$12</xm:f>
          </x14:formula1>
          <xm:sqref>B14</xm:sqref>
        </x14:dataValidation>
        <x14:dataValidation type="list" allowBlank="1" showInputMessage="1" showErrorMessage="1" xr:uid="{4EE8CB6E-83A6-4F23-B199-5C44F19C430D}">
          <x14:formula1>
            <xm:f>Sheet1!$B$17:$B$18</xm:f>
          </x14:formula1>
          <xm:sqref>G5</xm:sqref>
        </x14:dataValidation>
        <x14:dataValidation type="list" allowBlank="1" showInputMessage="1" showErrorMessage="1" xr:uid="{5CC2DC08-FCA9-44E4-9862-161AA06578D4}">
          <x14:formula1>
            <xm:f>Sheet1!$L$5:$L$25</xm:f>
          </x14:formula1>
          <xm:sqref>G13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86F8-8A07-4445-8EA1-F643438DB709}">
  <sheetPr>
    <pageSetUpPr fitToPage="1"/>
  </sheetPr>
  <dimension ref="B1:V58"/>
  <sheetViews>
    <sheetView view="pageBreakPreview" topLeftCell="A25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61414237</v>
      </c>
      <c r="K2" s="50">
        <v>3640</v>
      </c>
      <c r="L2" s="44">
        <v>31</v>
      </c>
      <c r="M2" s="44">
        <v>235.02</v>
      </c>
      <c r="N2" s="44">
        <v>307.82</v>
      </c>
      <c r="O2" s="44">
        <v>335.82</v>
      </c>
      <c r="P2" s="44" t="s">
        <v>54</v>
      </c>
      <c r="Q2" s="44">
        <v>1.61</v>
      </c>
      <c r="R2" s="44" t="s">
        <v>62</v>
      </c>
    </row>
    <row r="3" spans="2:22" x14ac:dyDescent="0.2">
      <c r="B3" s="6" t="s">
        <v>53</v>
      </c>
      <c r="C3" s="69">
        <f>'0021'!C3+1</f>
        <v>22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61414237</v>
      </c>
      <c r="C21" s="66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335.82</v>
      </c>
      <c r="G23" s="23">
        <f>+N2</f>
        <v>307.82</v>
      </c>
      <c r="H23" s="23">
        <f>+M2</f>
        <v>235.02</v>
      </c>
      <c r="I23" s="67">
        <f>+L2</f>
        <v>31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9" customHeight="1" x14ac:dyDescent="0.2">
      <c r="B32" s="41" t="s">
        <v>183</v>
      </c>
      <c r="C32" s="19" t="s">
        <v>207</v>
      </c>
      <c r="D32" s="70"/>
      <c r="E32" s="71"/>
      <c r="F32" s="70">
        <f>+K2</f>
        <v>3640</v>
      </c>
      <c r="G32" s="71"/>
      <c r="H32" s="17">
        <v>0.81</v>
      </c>
      <c r="I32" s="18">
        <f>+H32*F32</f>
        <v>2948.4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3640</v>
      </c>
      <c r="G34" s="71"/>
      <c r="H34" s="15"/>
      <c r="I34" s="14">
        <f>SUM(I32:I33)</f>
        <v>2948.4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2948.4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2948.4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265K0035</v>
      </c>
      <c r="I52" s="8"/>
      <c r="K52">
        <v>19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19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5544CA-A8B7-48C2-B720-999183C890D9}">
          <x14:formula1>
            <xm:f>Sheet1!$L$5:$L$25</xm:f>
          </x14:formula1>
          <xm:sqref>G13</xm:sqref>
        </x14:dataValidation>
        <x14:dataValidation type="list" allowBlank="1" showInputMessage="1" showErrorMessage="1" xr:uid="{CA743E78-B6F8-4A42-9D85-838C21FB34CF}">
          <x14:formula1>
            <xm:f>Sheet1!$B$17:$B$18</xm:f>
          </x14:formula1>
          <xm:sqref>G5</xm:sqref>
        </x14:dataValidation>
        <x14:dataValidation type="list" allowBlank="1" showInputMessage="1" showErrorMessage="1" xr:uid="{96D8FF2E-A875-497A-BE2E-2FB41FD7F7FD}">
          <x14:formula1>
            <xm:f>Sheet1!$K$5:$K$12</xm:f>
          </x14:formula1>
          <xm:sqref>B14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E5F8-8345-446C-A1C1-99CC24FE6C6D}">
  <sheetPr>
    <pageSetUpPr fitToPage="1"/>
  </sheetPr>
  <dimension ref="B1:V58"/>
  <sheetViews>
    <sheetView view="pageBreakPreview" topLeftCell="A27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61365561</v>
      </c>
      <c r="K2" s="44">
        <v>780</v>
      </c>
      <c r="L2" s="44">
        <v>8</v>
      </c>
      <c r="M2" s="44">
        <v>63.384999999999998</v>
      </c>
      <c r="N2" s="44">
        <v>65.418999999999997</v>
      </c>
      <c r="O2" s="44">
        <v>72.218999999999994</v>
      </c>
      <c r="P2" s="44" t="s">
        <v>54</v>
      </c>
      <c r="Q2" s="44">
        <v>0.34699999999999998</v>
      </c>
      <c r="R2" s="44" t="s">
        <v>62</v>
      </c>
    </row>
    <row r="3" spans="2:22" x14ac:dyDescent="0.2">
      <c r="B3" s="6" t="s">
        <v>53</v>
      </c>
      <c r="C3" s="69">
        <f>'0022'!C3+1</f>
        <v>23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61365561</v>
      </c>
      <c r="C21" s="66">
        <f>VLOOKUP($K56,reff!E2:F29,2,0)</f>
        <v>896206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20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72.218999999999994</v>
      </c>
      <c r="G23" s="23">
        <f>+N2</f>
        <v>65.418999999999997</v>
      </c>
      <c r="H23" s="23">
        <f>+M2</f>
        <v>63.384999999999998</v>
      </c>
      <c r="I23" s="67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9" customHeight="1" x14ac:dyDescent="0.2">
      <c r="B32" s="41" t="s">
        <v>188</v>
      </c>
      <c r="C32" s="19" t="s">
        <v>187</v>
      </c>
      <c r="D32" s="70"/>
      <c r="E32" s="71"/>
      <c r="F32" s="70">
        <f>+K2</f>
        <v>780</v>
      </c>
      <c r="G32" s="71"/>
      <c r="H32" s="17">
        <v>0.81</v>
      </c>
      <c r="I32" s="18">
        <f>+H32*F32</f>
        <v>631.80000000000007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780</v>
      </c>
      <c r="G34" s="71"/>
      <c r="H34" s="15"/>
      <c r="I34" s="14">
        <f>SUM(I32:I33)</f>
        <v>631.80000000000007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631.80000000000007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631.80000000000007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265K0028</v>
      </c>
      <c r="I52" s="8"/>
      <c r="K52">
        <v>20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20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C31CC9-0454-4FFC-9D88-B184C314C33A}">
          <x14:formula1>
            <xm:f>Sheet1!$K$5:$K$12</xm:f>
          </x14:formula1>
          <xm:sqref>B14</xm:sqref>
        </x14:dataValidation>
        <x14:dataValidation type="list" allowBlank="1" showInputMessage="1" showErrorMessage="1" xr:uid="{C4F85756-A0CD-4B82-BF90-1BFB7C7DCF00}">
          <x14:formula1>
            <xm:f>Sheet1!$B$17:$B$18</xm:f>
          </x14:formula1>
          <xm:sqref>G5</xm:sqref>
        </x14:dataValidation>
        <x14:dataValidation type="list" allowBlank="1" showInputMessage="1" showErrorMessage="1" xr:uid="{5A1D0F38-528D-4980-973F-7F8CDE36EE0F}">
          <x14:formula1>
            <xm:f>Sheet1!$L$5:$L$25</xm:f>
          </x14:formula1>
          <xm:sqref>G13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B587-50EE-4FA7-A60D-F9103065417B}">
  <sheetPr>
    <pageSetUpPr fitToPage="1"/>
  </sheetPr>
  <dimension ref="B1:V58"/>
  <sheetViews>
    <sheetView view="pageBreakPreview" topLeftCell="A20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61365570</v>
      </c>
      <c r="K2" s="44">
        <v>678</v>
      </c>
      <c r="L2" s="44">
        <v>7</v>
      </c>
      <c r="M2" s="44">
        <v>55.094000000000001</v>
      </c>
      <c r="N2" s="44">
        <v>56.84</v>
      </c>
      <c r="O2" s="44">
        <v>62.74</v>
      </c>
      <c r="P2" s="44" t="s">
        <v>54</v>
      </c>
      <c r="Q2" s="44">
        <v>0.29099999999999998</v>
      </c>
      <c r="R2" s="44" t="s">
        <v>62</v>
      </c>
    </row>
    <row r="3" spans="2:22" x14ac:dyDescent="0.2">
      <c r="B3" s="6" t="s">
        <v>53</v>
      </c>
      <c r="C3" s="69">
        <f>'0023'!C3+1</f>
        <v>24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61365570</v>
      </c>
      <c r="C21" s="66">
        <f>VLOOKUP($K56,reff!E2:F29,2,0)</f>
        <v>893958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21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62.74</v>
      </c>
      <c r="G23" s="23">
        <f>+N2</f>
        <v>56.84</v>
      </c>
      <c r="H23" s="23">
        <f>+M2</f>
        <v>55.094000000000001</v>
      </c>
      <c r="I23" s="67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9" customHeight="1" x14ac:dyDescent="0.2">
      <c r="B32" s="41" t="s">
        <v>179</v>
      </c>
      <c r="C32" s="19" t="s">
        <v>189</v>
      </c>
      <c r="D32" s="70"/>
      <c r="E32" s="71"/>
      <c r="F32" s="70">
        <f>+K2</f>
        <v>678</v>
      </c>
      <c r="G32" s="71"/>
      <c r="H32" s="17">
        <v>0.78</v>
      </c>
      <c r="I32" s="18">
        <f>+H32*F32</f>
        <v>528.84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678</v>
      </c>
      <c r="G34" s="71"/>
      <c r="H34" s="15"/>
      <c r="I34" s="14">
        <f>SUM(I32:I33)</f>
        <v>528.84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528.84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528.84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265K0031</v>
      </c>
      <c r="I52" s="8"/>
      <c r="K52">
        <v>21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21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3C5D77-14CF-458A-BF67-60EE630FE679}">
          <x14:formula1>
            <xm:f>Sheet1!$L$5:$L$25</xm:f>
          </x14:formula1>
          <xm:sqref>G13</xm:sqref>
        </x14:dataValidation>
        <x14:dataValidation type="list" allowBlank="1" showInputMessage="1" showErrorMessage="1" xr:uid="{7456C35F-B27E-429F-A2D2-C7864EE099AF}">
          <x14:formula1>
            <xm:f>Sheet1!$B$17:$B$18</xm:f>
          </x14:formula1>
          <xm:sqref>G5</xm:sqref>
        </x14:dataValidation>
        <x14:dataValidation type="list" allowBlank="1" showInputMessage="1" showErrorMessage="1" xr:uid="{FEB047CC-32AD-4C59-B3C5-EF67CC1B8DA6}">
          <x14:formula1>
            <xm:f>Sheet1!$K$5:$K$12</xm:f>
          </x14:formula1>
          <xm:sqref>B14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6598-8101-46D9-8888-8EDF331B9C5D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61309084</v>
      </c>
      <c r="K2" s="50">
        <v>1857</v>
      </c>
      <c r="L2" s="44">
        <v>17</v>
      </c>
      <c r="M2" s="44">
        <v>150.876</v>
      </c>
      <c r="N2" s="44">
        <v>155.65</v>
      </c>
      <c r="O2" s="44">
        <v>170.55</v>
      </c>
      <c r="P2" s="44" t="s">
        <v>54</v>
      </c>
      <c r="Q2" s="44">
        <v>0.80500000000000005</v>
      </c>
      <c r="R2" s="44" t="s">
        <v>62</v>
      </c>
    </row>
    <row r="3" spans="2:22" x14ac:dyDescent="0.2">
      <c r="B3" s="6" t="s">
        <v>53</v>
      </c>
      <c r="C3" s="69">
        <f>'0024'!C3+1</f>
        <v>25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61309084</v>
      </c>
      <c r="C21" s="66">
        <f>VLOOKUP($K56,reff!E2:F29,2,0)</f>
        <v>893947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22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170.55</v>
      </c>
      <c r="G23" s="23">
        <f>+N2</f>
        <v>155.65</v>
      </c>
      <c r="H23" s="23">
        <f>+M2</f>
        <v>150.876</v>
      </c>
      <c r="I23" s="67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206</v>
      </c>
      <c r="D32" s="70"/>
      <c r="E32" s="71"/>
      <c r="F32" s="70">
        <f>+K2</f>
        <v>1857</v>
      </c>
      <c r="G32" s="71"/>
      <c r="H32" s="17">
        <v>1.1000000000000001</v>
      </c>
      <c r="I32" s="18">
        <f>+H32*F32</f>
        <v>2042.7000000000003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1857</v>
      </c>
      <c r="G34" s="71"/>
      <c r="H34" s="15"/>
      <c r="I34" s="14">
        <f>SUM(I32:I33)</f>
        <v>2042.7000000000003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2042.7000000000003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2042.7000000000003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265K0032</v>
      </c>
      <c r="I52" s="8"/>
      <c r="K52">
        <v>22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22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73EA3C8-BA15-4AD8-908E-4FE418CC9332}">
          <x14:formula1>
            <xm:f>Sheet1!$K$5:$K$12</xm:f>
          </x14:formula1>
          <xm:sqref>B14</xm:sqref>
        </x14:dataValidation>
        <x14:dataValidation type="list" allowBlank="1" showInputMessage="1" showErrorMessage="1" xr:uid="{0F970B23-E996-4948-BEAC-E16F4A422A2E}">
          <x14:formula1>
            <xm:f>Sheet1!$B$17:$B$18</xm:f>
          </x14:formula1>
          <xm:sqref>G5</xm:sqref>
        </x14:dataValidation>
        <x14:dataValidation type="list" allowBlank="1" showInputMessage="1" showErrorMessage="1" xr:uid="{3F290E02-7581-47B8-9037-AB7AD8A0EB3B}">
          <x14:formula1>
            <xm:f>Sheet1!$L$5:$L$25</xm:f>
          </x14:formula1>
          <xm:sqref>G13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62F4-538B-4140-B0CB-E2D97FD2DABA}">
  <sheetPr>
    <pageSetUpPr fitToPage="1"/>
  </sheetPr>
  <dimension ref="B1:V58"/>
  <sheetViews>
    <sheetView view="pageBreakPreview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209</v>
      </c>
      <c r="C2" s="73"/>
      <c r="D2" s="73"/>
      <c r="E2" s="73"/>
      <c r="F2" s="73"/>
      <c r="G2" s="73"/>
      <c r="H2" s="73"/>
      <c r="I2" s="74"/>
      <c r="J2" s="43">
        <v>61309102</v>
      </c>
      <c r="K2" s="44">
        <v>819</v>
      </c>
      <c r="L2" s="44">
        <v>9</v>
      </c>
      <c r="M2" s="44">
        <v>66.561999999999998</v>
      </c>
      <c r="N2" s="44">
        <v>68.67</v>
      </c>
      <c r="O2" s="44">
        <v>76.17</v>
      </c>
      <c r="P2" s="44" t="s">
        <v>54</v>
      </c>
      <c r="Q2" s="44">
        <v>0.36899999999999999</v>
      </c>
      <c r="R2" s="44" t="s">
        <v>62</v>
      </c>
    </row>
    <row r="3" spans="2:22" x14ac:dyDescent="0.2">
      <c r="B3" s="6" t="s">
        <v>53</v>
      </c>
      <c r="C3" s="69">
        <f>'0025'!C3+1</f>
        <v>26</v>
      </c>
      <c r="D3" s="5"/>
      <c r="E3" s="5"/>
      <c r="F3" s="5"/>
      <c r="G3" s="5" t="s">
        <v>52</v>
      </c>
      <c r="H3" s="31">
        <f>+'0004'!H3+0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61309102</v>
      </c>
      <c r="C21" s="66">
        <f>VLOOKUP($K56,reff!E2:F29,2,0)</f>
        <v>893957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23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76.17</v>
      </c>
      <c r="G23" s="23">
        <f>+N2</f>
        <v>68.67</v>
      </c>
      <c r="H23" s="23">
        <f>+M2</f>
        <v>66.561999999999998</v>
      </c>
      <c r="I23" s="67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180</v>
      </c>
      <c r="D32" s="70"/>
      <c r="E32" s="71"/>
      <c r="F32" s="70">
        <f>+K2</f>
        <v>819</v>
      </c>
      <c r="G32" s="71"/>
      <c r="H32" s="17">
        <v>0.78</v>
      </c>
      <c r="I32" s="18">
        <f>+H32*F32</f>
        <v>638.82000000000005</v>
      </c>
      <c r="K32" s="48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819</v>
      </c>
      <c r="G34" s="71"/>
      <c r="H34" s="15"/>
      <c r="I34" s="14">
        <f>SUM(I32:I33)</f>
        <v>638.82000000000005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638.82000000000005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638.82000000000005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265K0030</v>
      </c>
      <c r="I52" s="8"/>
      <c r="K52">
        <v>23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23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EA884CE-F82F-4B26-85B4-8C7F08CF441F}">
          <x14:formula1>
            <xm:f>Sheet1!$L$5:$L$25</xm:f>
          </x14:formula1>
          <xm:sqref>G13</xm:sqref>
        </x14:dataValidation>
        <x14:dataValidation type="list" allowBlank="1" showInputMessage="1" showErrorMessage="1" xr:uid="{AD21D044-8359-4B9C-A814-0BA10A98BD15}">
          <x14:formula1>
            <xm:f>Sheet1!$B$17:$B$18</xm:f>
          </x14:formula1>
          <xm:sqref>G5</xm:sqref>
        </x14:dataValidation>
        <x14:dataValidation type="list" allowBlank="1" showInputMessage="1" showErrorMessage="1" xr:uid="{FDCEA130-957F-4A63-A030-521BDC9A9395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23</vt:i4>
      </vt:variant>
    </vt:vector>
  </HeadingPairs>
  <TitlesOfParts>
    <vt:vector size="48" baseType="lpstr">
      <vt:lpstr>Sheet1</vt:lpstr>
      <vt:lpstr>reff</vt:lpstr>
      <vt:lpstr>0004</vt:lpstr>
      <vt:lpstr>0005</vt:lpstr>
      <vt:lpstr>0006</vt:lpstr>
      <vt:lpstr>0007</vt:lpstr>
      <vt:lpstr>0008</vt:lpstr>
      <vt:lpstr>0009</vt:lpstr>
      <vt:lpstr>0010</vt:lpstr>
      <vt:lpstr>0011</vt:lpstr>
      <vt:lpstr>0012</vt:lpstr>
      <vt:lpstr>0013</vt:lpstr>
      <vt:lpstr>0014</vt:lpstr>
      <vt:lpstr>0015</vt:lpstr>
      <vt:lpstr>0016</vt:lpstr>
      <vt:lpstr>0017</vt:lpstr>
      <vt:lpstr>0018</vt:lpstr>
      <vt:lpstr>0019</vt:lpstr>
      <vt:lpstr>0020</vt:lpstr>
      <vt:lpstr>0021</vt:lpstr>
      <vt:lpstr>0022</vt:lpstr>
      <vt:lpstr>0023</vt:lpstr>
      <vt:lpstr>0024</vt:lpstr>
      <vt:lpstr>0025</vt:lpstr>
      <vt:lpstr>0026</vt:lpstr>
      <vt:lpstr>'0004'!Print_Area</vt:lpstr>
      <vt:lpstr>'0005'!Print_Area</vt:lpstr>
      <vt:lpstr>'0006'!Print_Area</vt:lpstr>
      <vt:lpstr>'0007'!Print_Area</vt:lpstr>
      <vt:lpstr>'0008'!Print_Area</vt:lpstr>
      <vt:lpstr>'0009'!Print_Area</vt:lpstr>
      <vt:lpstr>'0010'!Print_Area</vt:lpstr>
      <vt:lpstr>'0011'!Print_Area</vt:lpstr>
      <vt:lpstr>'0012'!Print_Area</vt:lpstr>
      <vt:lpstr>'0013'!Print_Area</vt:lpstr>
      <vt:lpstr>'0014'!Print_Area</vt:lpstr>
      <vt:lpstr>'0015'!Print_Area</vt:lpstr>
      <vt:lpstr>'0016'!Print_Area</vt:lpstr>
      <vt:lpstr>'0017'!Print_Area</vt:lpstr>
      <vt:lpstr>'0018'!Print_Area</vt:lpstr>
      <vt:lpstr>'0019'!Print_Area</vt:lpstr>
      <vt:lpstr>'0020'!Print_Area</vt:lpstr>
      <vt:lpstr>'0021'!Print_Area</vt:lpstr>
      <vt:lpstr>'0022'!Print_Area</vt:lpstr>
      <vt:lpstr>'0023'!Print_Area</vt:lpstr>
      <vt:lpstr>'0024'!Print_Area</vt:lpstr>
      <vt:lpstr>'0025'!Print_Area</vt:lpstr>
      <vt:lpstr>'0026'!Print_Area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2026-05-04T02:01:13Z</cp:lastPrinted>
  <dcterms:created xsi:type="dcterms:W3CDTF">2024-04-17T09:56:05Z</dcterms:created>
  <dcterms:modified xsi:type="dcterms:W3CDTF">2026-05-04T03:03:44Z</dcterms:modified>
</cp:coreProperties>
</file>