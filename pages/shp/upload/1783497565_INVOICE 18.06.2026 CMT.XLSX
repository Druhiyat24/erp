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18.06.2026\"/>
    </mc:Choice>
  </mc:AlternateContent>
  <xr:revisionPtr revIDLastSave="0" documentId="13_ncr:1_{A65C580C-C508-43AD-8E0F-14346720F392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Sheet1" sheetId="128" r:id="rId1"/>
    <sheet name="reff" sheetId="162" r:id="rId2"/>
    <sheet name="270" sheetId="129" r:id="rId3"/>
    <sheet name="271" sheetId="133" r:id="rId4"/>
    <sheet name="272" sheetId="134" r:id="rId5"/>
    <sheet name="273" sheetId="135" r:id="rId6"/>
  </sheets>
  <externalReferences>
    <externalReference r:id="rId7"/>
    <externalReference r:id="rId8"/>
    <externalReference r:id="rId9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>[2]xdata!#REF!</definedName>
    <definedName name="INVOICE">[2]xdata!$B$2</definedName>
    <definedName name="_xlnm.Print_Area" localSheetId="2">'270'!$B$1:$I$58</definedName>
    <definedName name="_xlnm.Print_Area" localSheetId="3">'271'!$B$1:$I$58</definedName>
    <definedName name="_xlnm.Print_Area" localSheetId="4">'272'!$B$1:$I$58</definedName>
    <definedName name="_xlnm.Print_Area" localSheetId="5">'273'!$B$1:$I$58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134" l="1"/>
  <c r="F35" i="135"/>
  <c r="I33" i="135"/>
  <c r="I32" i="134"/>
  <c r="I33" i="134"/>
  <c r="I33" i="133"/>
  <c r="I33" i="129"/>
  <c r="I35" i="134" l="1"/>
  <c r="F35" i="133"/>
  <c r="F35" i="129" l="1"/>
  <c r="C3" i="133"/>
  <c r="H3" i="135"/>
  <c r="H3" i="134"/>
  <c r="H3" i="133"/>
  <c r="I32" i="129" l="1"/>
  <c r="I35" i="129" s="1"/>
  <c r="I32" i="133"/>
  <c r="I35" i="133" s="1"/>
  <c r="B27" i="135" l="1"/>
  <c r="B27" i="134"/>
  <c r="E21" i="129" l="1"/>
  <c r="E21" i="133" l="1"/>
  <c r="E21" i="135"/>
  <c r="E21" i="134"/>
  <c r="C21" i="129"/>
  <c r="C21" i="134"/>
  <c r="C21" i="135"/>
  <c r="C21" i="133"/>
  <c r="H53" i="129"/>
  <c r="H53" i="134"/>
  <c r="H53" i="135"/>
  <c r="H53" i="133"/>
  <c r="I32" i="135" l="1"/>
  <c r="I35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7" i="135" l="1"/>
  <c r="I39" i="135" s="1"/>
  <c r="I37" i="134"/>
  <c r="I39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7" i="129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7" i="133" l="1"/>
  <c r="I39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<sst xmlns="http://schemas.openxmlformats.org/spreadsheetml/2006/main" count="487" uniqueCount="194">
  <si>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</si>
  <si>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</si>
  <si>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</si>
  <si>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</si>
  <si>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</si>
  <si>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</si>
  <si>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</si>
  <si>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</si>
  <si>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</si>
  <si>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</si>
  <si>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</si>
  <si>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</si>
  <si>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</si>
  <si>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</si>
  <si>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</si>
  <si>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</si>
  <si>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</si>
  <si>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</si>
  <si>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</si>
  <si>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</si>
  <si>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</si>
  <si>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</si>
  <si>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</si>
  <si>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</si>
  <si>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</si>
  <si>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</si>
  <si>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</si>
  <si>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</si>
  <si>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</si>
  <si>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</si>
  <si>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</si>
  <si>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</si>
  <si>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</si>
  <si>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</si>
  <si>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</si>
  <si>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</si>
  <si>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</si>
  <si>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</si>
  <si>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</si>
  <si>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</si>
  <si>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</si>
  <si>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</si>
  <si>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</si>
  <si>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</si>
  <si>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</si>
  <si>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</si>
  <si>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</si>
  <si>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</si>
  <si>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</si>
  <si>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</si>
  <si>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</si>
  <si>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</si>
  <si>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</si>
  <si>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</si>
  <si>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</si>
  <si>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</si>
  <si>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</si>
  <si>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</si>
  <si>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</si>
  <si>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</si>
  <si>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</si>
  <si>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</si>
  <si>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</si>
  <si>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</si>
  <si>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</si>
  <si>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</si>
  <si>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</si>
  <si>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</si>
  <si>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</si>
  <si>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</si>
  <si>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</si>
  <si>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</si>
  <si>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</si>
  <si>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</si>
  <si>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</si>
  <si>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</si>
  <si>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</si>
  <si>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</si>
  <si>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</si>
  <si>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</si>
  <si>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</si>
  <si>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</si>
  <si>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</si>
  <si>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</si>
  <si>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</si>
  <si>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</si>
  <si>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</si>
  <si>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</si>
  <si>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</si>
  <si>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</si>
  <si>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</si>
  <si>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</si>
  <si>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</si>
  <si>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</si>
  <si>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</si>
  <si>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</si>
  <si>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</si>
  <si>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</si>
  <si>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</si>
  <si>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</si>
  <si>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</si>
  <si>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</si>
  <si>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</si>
  <si>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</si>
  <si>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</si>
  <si>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</si>
  <si>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</si>
  <si>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</si>
  <si>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</si>
  <si>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</si>
  <si>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</si>
  <si>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</si>
  <si>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</si>
  <si>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</si>
  <si>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</si>
  <si>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</si>
  <si>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</si>
  <si>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</si>
  <si>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</si>
  <si>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</si>
  <si>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</si>
  <si>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</si>
  <si>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</si>
  <si>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</si>
  <si>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</si>
  <si>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</si>
  <si>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</si>
  <si>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</si>
  <si>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</si>
  <si>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</si>
  <si>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</si>
  <si>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</si>
  <si>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</si>
  <si>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</si>
  <si>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</si>
  <si>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</si>
  <si>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</si>
  <si>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</si>
  <si>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</si>
  <si>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</si>
  <si>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</si>
  <si>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</si>
  <si>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</si>
  <si>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</si>
  <si>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</si>
  <si>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</si>
  <si>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</si>
  <si>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</si>
  <si>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</si>
  <si>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</si>
  <si>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</si>
  <si>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</si>
  <si>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</si>
  <si>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</si>
  <si>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</si>
  <si>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</si>
  <si>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</si>
  <si>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</si>
  <si>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</si>
  <si>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</si>
  <si>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</si>
  <si>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</si>
  <si>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</si>
  <si>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</si>
  <si>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</si>
  <si>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</si>
  <si>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</si>
  <si>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</si>
  <si>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</si>
  <si>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</si>
  <si>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</si>
  <si>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</si>
  <si>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</si>
  <si>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</si>
  <si>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</si>
  <si>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</si>
  <si>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</si>
  <si>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</si>
  <si>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</si>
  <si>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265K0051</t>
  </si>
  <si>
    <t>265K0057</t>
  </si>
  <si>
    <t>265K0005</t>
  </si>
  <si>
    <t>BRIGHT WHITE</t>
  </si>
  <si>
    <t>04</t>
  </si>
  <si>
    <t>RED TAPE</t>
  </si>
  <si>
    <t>01</t>
  </si>
  <si>
    <t>BLACKJACK JAS, BLUSH HUE</t>
  </si>
  <si>
    <t>01, 02</t>
  </si>
  <si>
    <t>CALLA LILY 451</t>
  </si>
  <si>
    <t>00</t>
  </si>
  <si>
    <t>GIRLS COTTON FIBERS, KNIT PULLOVER, WITH NO NECK CLOSURE, STITCH COUNT IS GREATER THAN 9/2CM, REACHES WAIST [60% COTTON 40% RECYCLED POLYESTER]</t>
  </si>
  <si>
    <t>BOYS COTTON FIBERS, KNIT SHIRT, WITH NECK CLOSURE, STITCH COUNT EQUAL OR IS GREATER THAN 10/1CM, HEM BOTTOM [60% COTTON 40% POLYESTER]</t>
  </si>
  <si>
    <t>GIRLS COTTON FIBERS, KNIT PULLOVER, WITH NO NECK CLOSURE, STITCH COUNT IS GREATER THAN 9/2CM, REACHES WAIST [60% COTTON 40% RECYCLED POLYESTER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</si>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</sst>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5" sqref="I5"/>
    </sheetView>
  </sheetViews>
  <sheetFormatPr defaultRowHeight="12.75" x14ac:dyDescent="0.2"/>
  <sheetData>
    <row r="2" spans="2:9" ht="15" x14ac:dyDescent="0.25">
      <c r="B2" s="57">
        <v>1</v>
      </c>
      <c r="C2" t="s">
        <v>179</v>
      </c>
      <c r="E2" s="57">
        <v>1</v>
      </c>
      <c r="F2">
        <v>416363</v>
      </c>
      <c r="H2" s="57">
        <v>1</v>
      </c>
      <c r="I2" s="58" t="s">
        <v>178</v>
      </c>
    </row>
    <row r="3" spans="2:9" ht="15" x14ac:dyDescent="0.25">
      <c r="B3" s="57">
        <v>2</v>
      </c>
      <c r="C3" t="s">
        <v>180</v>
      </c>
      <c r="E3" s="57">
        <v>2</v>
      </c>
      <c r="F3">
        <v>867788</v>
      </c>
      <c r="H3" s="57">
        <v>2</v>
      </c>
      <c r="I3" s="58" t="s">
        <v>177</v>
      </c>
    </row>
    <row r="4" spans="2:9" ht="15" x14ac:dyDescent="0.25">
      <c r="B4" s="57">
        <v>3</v>
      </c>
      <c r="C4" t="s">
        <v>181</v>
      </c>
      <c r="E4" s="57">
        <v>3</v>
      </c>
      <c r="F4">
        <v>867788</v>
      </c>
      <c r="H4" s="57">
        <v>3</v>
      </c>
      <c r="I4" s="58" t="s">
        <v>178</v>
      </c>
    </row>
    <row r="5" spans="2:9" ht="15" x14ac:dyDescent="0.25">
      <c r="B5" s="57">
        <v>4</v>
      </c>
      <c r="C5" t="s">
        <v>181</v>
      </c>
      <c r="E5" s="57">
        <v>4</v>
      </c>
      <c r="F5">
        <v>867788</v>
      </c>
      <c r="H5" s="57">
        <v>4</v>
      </c>
      <c r="I5" s="58" t="s">
        <v>178</v>
      </c>
    </row>
    <row r="6" spans="2:9" ht="15" x14ac:dyDescent="0.25">
      <c r="B6" s="57">
        <v>5</v>
      </c>
      <c r="E6" s="57">
        <v>5</v>
      </c>
      <c r="H6" s="57">
        <v>5</v>
      </c>
      <c r="I6" s="58"/>
    </row>
    <row r="7" spans="2:9" ht="15" x14ac:dyDescent="0.25">
      <c r="B7" s="57">
        <v>6</v>
      </c>
      <c r="E7" s="57">
        <v>6</v>
      </c>
      <c r="H7" s="57">
        <v>6</v>
      </c>
      <c r="I7" s="58"/>
    </row>
    <row r="8" spans="2:9" ht="15" x14ac:dyDescent="0.25">
      <c r="B8" s="57">
        <v>7</v>
      </c>
      <c r="E8" s="57">
        <v>7</v>
      </c>
      <c r="H8" s="57">
        <v>7</v>
      </c>
      <c r="I8" s="58"/>
    </row>
    <row r="9" spans="2:9" ht="15" x14ac:dyDescent="0.25">
      <c r="B9" s="57">
        <v>8</v>
      </c>
      <c r="E9" s="57">
        <v>8</v>
      </c>
      <c r="H9" s="57">
        <v>8</v>
      </c>
      <c r="I9" s="58"/>
    </row>
    <row r="10" spans="2:9" ht="15" x14ac:dyDescent="0.25">
      <c r="B10" s="57">
        <v>9</v>
      </c>
      <c r="E10" s="57">
        <v>9</v>
      </c>
      <c r="H10" s="57">
        <v>9</v>
      </c>
      <c r="I10" s="58"/>
    </row>
    <row r="11" spans="2:9" ht="15" x14ac:dyDescent="0.25">
      <c r="B11" s="57">
        <v>10</v>
      </c>
      <c r="E11" s="57">
        <v>10</v>
      </c>
      <c r="H11" s="57">
        <v>10</v>
      </c>
      <c r="I11" s="58"/>
    </row>
    <row r="12" spans="2:9" ht="15" x14ac:dyDescent="0.25">
      <c r="B12" s="57">
        <v>11</v>
      </c>
      <c r="E12" s="57">
        <v>11</v>
      </c>
      <c r="H12" s="57">
        <v>11</v>
      </c>
      <c r="I12" s="58"/>
    </row>
    <row r="13" spans="2:9" ht="15" x14ac:dyDescent="0.25">
      <c r="B13" s="57">
        <v>12</v>
      </c>
      <c r="E13" s="57">
        <v>12</v>
      </c>
      <c r="H13" s="57">
        <v>12</v>
      </c>
      <c r="I13" s="58"/>
    </row>
    <row r="14" spans="2:9" ht="15" x14ac:dyDescent="0.25">
      <c r="B14" s="57">
        <v>13</v>
      </c>
      <c r="E14" s="57">
        <v>13</v>
      </c>
      <c r="H14" s="57">
        <v>13</v>
      </c>
      <c r="I14" s="58"/>
    </row>
    <row r="15" spans="2:9" ht="15" x14ac:dyDescent="0.25">
      <c r="B15" s="57">
        <v>14</v>
      </c>
      <c r="E15" s="57">
        <v>14</v>
      </c>
      <c r="H15" s="57">
        <v>14</v>
      </c>
      <c r="I15" s="58"/>
    </row>
    <row r="16" spans="2:9" ht="15" x14ac:dyDescent="0.25">
      <c r="B16" s="57">
        <v>15</v>
      </c>
      <c r="E16" s="57">
        <v>15</v>
      </c>
      <c r="H16" s="57">
        <v>15</v>
      </c>
      <c r="I16" s="58"/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9"/>
  <sheetViews>
    <sheetView view="pageBreakPreview" zoomScaleNormal="100" zoomScaleSheetLayoutView="100" workbookViewId="0">
      <selection activeCell="D10" sqref="D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5" t="s">
        <v>193</v>
      </c>
      <c r="C2" s="76"/>
      <c r="D2" s="76"/>
      <c r="E2" s="76"/>
      <c r="F2" s="76"/>
      <c r="G2" s="76"/>
      <c r="H2" s="76"/>
      <c r="I2" s="77"/>
      <c r="J2" s="60">
        <v>61730711</v>
      </c>
      <c r="K2" s="61">
        <v>4806</v>
      </c>
      <c r="L2" s="62">
        <v>54</v>
      </c>
      <c r="M2" s="62">
        <v>534.803</v>
      </c>
      <c r="N2" s="62">
        <v>544.41499999999996</v>
      </c>
      <c r="O2" s="62">
        <v>592.36500000000001</v>
      </c>
      <c r="P2" s="62" t="s">
        <v>54</v>
      </c>
      <c r="Q2" s="62">
        <v>2.9020000000000001</v>
      </c>
      <c r="R2" s="62" t="s">
        <v>62</v>
      </c>
    </row>
    <row r="3" spans="2:22" x14ac:dyDescent="0.2">
      <c r="B3" s="6" t="s">
        <v>53</v>
      </c>
      <c r="C3" s="63">
        <v>270</v>
      </c>
      <c r="D3" s="5"/>
      <c r="E3" s="5"/>
      <c r="F3" s="5"/>
      <c r="G3" s="5" t="s">
        <v>52</v>
      </c>
      <c r="H3" s="31">
        <v>46191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61730711</v>
      </c>
      <c r="C21" s="4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592.36500000000001</v>
      </c>
      <c r="G23" s="23">
        <f>+N2</f>
        <v>544.41499999999996</v>
      </c>
      <c r="H23" s="23">
        <f>+M2</f>
        <v>534.803</v>
      </c>
      <c r="I23" s="48">
        <f>+L2</f>
        <v>54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71"/>
      <c r="D26" s="71"/>
      <c r="E26" s="71"/>
      <c r="F26" s="71"/>
      <c r="G26" s="71"/>
      <c r="H26" s="71"/>
      <c r="I26" s="65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1" t="s">
        <v>19</v>
      </c>
      <c r="E31" s="81"/>
      <c r="F31" s="81" t="s">
        <v>18</v>
      </c>
      <c r="G31" s="81"/>
      <c r="H31" s="48" t="s">
        <v>17</v>
      </c>
      <c r="I31" s="19" t="s">
        <v>16</v>
      </c>
      <c r="M31"/>
    </row>
    <row r="32" spans="2:13" ht="30.75" customHeight="1" x14ac:dyDescent="0.2">
      <c r="B32" s="41" t="s">
        <v>183</v>
      </c>
      <c r="C32" s="19" t="s">
        <v>182</v>
      </c>
      <c r="D32" s="68"/>
      <c r="E32" s="69"/>
      <c r="F32" s="68">
        <v>2815</v>
      </c>
      <c r="G32" s="69"/>
      <c r="H32" s="17">
        <v>0.9</v>
      </c>
      <c r="I32" s="18">
        <f>+H32*F32</f>
        <v>2533.5</v>
      </c>
      <c r="K32" s="46"/>
      <c r="M32" s="39"/>
    </row>
    <row r="33" spans="2:13" ht="30.75" customHeight="1" x14ac:dyDescent="0.2">
      <c r="B33" s="41" t="s">
        <v>185</v>
      </c>
      <c r="C33" s="19" t="s">
        <v>184</v>
      </c>
      <c r="D33" s="68"/>
      <c r="E33" s="69"/>
      <c r="F33" s="68">
        <v>1991</v>
      </c>
      <c r="G33" s="69"/>
      <c r="H33" s="17">
        <v>0.9</v>
      </c>
      <c r="I33" s="18">
        <f>+H33*F33</f>
        <v>1791.9</v>
      </c>
      <c r="K33" s="46"/>
      <c r="M33" s="39"/>
    </row>
    <row r="34" spans="2:13" ht="21" customHeight="1" x14ac:dyDescent="0.2">
      <c r="B34" s="15" t="s">
        <v>15</v>
      </c>
      <c r="C34" s="15"/>
      <c r="D34" s="64"/>
      <c r="E34" s="65"/>
      <c r="F34" s="64"/>
      <c r="G34" s="65"/>
      <c r="H34" s="17"/>
      <c r="I34" s="48"/>
    </row>
    <row r="35" spans="2:13" ht="21.75" customHeight="1" x14ac:dyDescent="0.2">
      <c r="B35" s="15" t="s">
        <v>14</v>
      </c>
      <c r="C35" s="15"/>
      <c r="D35" s="66"/>
      <c r="E35" s="67"/>
      <c r="F35" s="68">
        <f>SUM(F31:G34)</f>
        <v>4806</v>
      </c>
      <c r="G35" s="69"/>
      <c r="H35" s="15"/>
      <c r="I35" s="14">
        <f>SUM(I32:I34)</f>
        <v>4325.3999999999996</v>
      </c>
      <c r="J35" s="40"/>
      <c r="K35" s="40"/>
    </row>
    <row r="36" spans="2:13" ht="21.75" customHeight="1" x14ac:dyDescent="0.2">
      <c r="B36" s="16" t="s">
        <v>13</v>
      </c>
      <c r="C36" s="15"/>
      <c r="D36" s="64"/>
      <c r="E36" s="65"/>
      <c r="F36" s="64"/>
      <c r="G36" s="65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4"/>
      <c r="E37" s="65"/>
      <c r="F37" s="64"/>
      <c r="G37" s="65"/>
      <c r="H37" s="15"/>
      <c r="I37" s="14">
        <f>+I35</f>
        <v>4325.3999999999996</v>
      </c>
    </row>
    <row r="38" spans="2:13" ht="20.25" customHeight="1" x14ac:dyDescent="0.2">
      <c r="B38" s="15" t="s">
        <v>80</v>
      </c>
      <c r="C38" s="64" t="s">
        <v>11</v>
      </c>
      <c r="D38" s="71"/>
      <c r="E38" s="71"/>
      <c r="F38" s="71"/>
      <c r="G38" s="71"/>
      <c r="H38" s="65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4325.3999999999996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2" t="s">
        <v>7</v>
      </c>
      <c r="C47" s="72"/>
      <c r="D47" s="72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3" t="s">
        <v>1</v>
      </c>
      <c r="D56" s="73"/>
      <c r="E56" s="5"/>
      <c r="F56" s="5"/>
      <c r="G56" s="5"/>
      <c r="H56" s="5"/>
      <c r="I56" s="4"/>
    </row>
    <row r="57" spans="2:11" x14ac:dyDescent="0.2">
      <c r="B57" s="6"/>
      <c r="C57" s="74" t="s">
        <v>0</v>
      </c>
      <c r="D57" s="74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0"/>
      <c r="D58" s="70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B2:I2"/>
    <mergeCell ref="B26:I26"/>
    <mergeCell ref="B27:I27"/>
    <mergeCell ref="D31:E31"/>
    <mergeCell ref="F31:G31"/>
    <mergeCell ref="F32:G32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9"/>
  <sheetViews>
    <sheetView view="pageBreakPreview" topLeftCell="A25" zoomScaleNormal="100" zoomScaleSheetLayoutView="100" workbookViewId="0">
      <selection activeCell="D10" sqref="D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5" t="s">
        <v>193</v>
      </c>
      <c r="C2" s="76"/>
      <c r="D2" s="76"/>
      <c r="E2" s="76"/>
      <c r="F2" s="76"/>
      <c r="G2" s="76"/>
      <c r="H2" s="76"/>
      <c r="I2" s="77"/>
      <c r="J2" s="60">
        <v>61733995</v>
      </c>
      <c r="K2" s="61">
        <v>3157</v>
      </c>
      <c r="L2" s="62">
        <v>35</v>
      </c>
      <c r="M2" s="62">
        <v>224.446</v>
      </c>
      <c r="N2" s="62">
        <v>230.76</v>
      </c>
      <c r="O2" s="62">
        <v>259.36</v>
      </c>
      <c r="P2" s="62" t="s">
        <v>54</v>
      </c>
      <c r="Q2" s="62">
        <v>1.353</v>
      </c>
      <c r="R2" s="62" t="s">
        <v>62</v>
      </c>
    </row>
    <row r="3" spans="2:22" x14ac:dyDescent="0.2">
      <c r="B3" s="6" t="s">
        <v>53</v>
      </c>
      <c r="C3" s="63">
        <f>+'270'!C3+1</f>
        <v>271</v>
      </c>
      <c r="D3" s="5"/>
      <c r="E3" s="5"/>
      <c r="F3" s="5"/>
      <c r="G3" s="5" t="s">
        <v>52</v>
      </c>
      <c r="H3" s="31">
        <f>+'270'!H3+0</f>
        <v>46191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61733995</v>
      </c>
      <c r="C21" s="4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259.36</v>
      </c>
      <c r="G23" s="23">
        <f>+N2</f>
        <v>230.76</v>
      </c>
      <c r="H23" s="23">
        <f>+M2</f>
        <v>224.446</v>
      </c>
      <c r="I23" s="48">
        <f>+L2</f>
        <v>35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71"/>
      <c r="D26" s="71"/>
      <c r="E26" s="71"/>
      <c r="F26" s="71"/>
      <c r="G26" s="71"/>
      <c r="H26" s="71"/>
      <c r="I26" s="65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RECYCLED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1" t="s">
        <v>19</v>
      </c>
      <c r="E31" s="81"/>
      <c r="F31" s="81" t="s">
        <v>18</v>
      </c>
      <c r="G31" s="81"/>
      <c r="H31" s="48" t="s">
        <v>17</v>
      </c>
      <c r="I31" s="19" t="s">
        <v>16</v>
      </c>
      <c r="M31"/>
    </row>
    <row r="32" spans="2:13" ht="27.75" customHeight="1" x14ac:dyDescent="0.2">
      <c r="B32" s="41" t="s">
        <v>187</v>
      </c>
      <c r="C32" s="19" t="s">
        <v>186</v>
      </c>
      <c r="D32" s="68"/>
      <c r="E32" s="69"/>
      <c r="F32" s="68">
        <v>2255</v>
      </c>
      <c r="G32" s="69"/>
      <c r="H32" s="17">
        <v>0.71</v>
      </c>
      <c r="I32" s="18">
        <f>+H32*F32</f>
        <v>1601.05</v>
      </c>
      <c r="K32" s="46"/>
      <c r="M32" s="39"/>
    </row>
    <row r="33" spans="2:13" ht="27.75" customHeight="1" x14ac:dyDescent="0.2">
      <c r="B33" s="41" t="s">
        <v>189</v>
      </c>
      <c r="C33" s="19" t="s">
        <v>188</v>
      </c>
      <c r="D33" s="68"/>
      <c r="E33" s="69"/>
      <c r="F33" s="68">
        <v>902</v>
      </c>
      <c r="G33" s="69"/>
      <c r="H33" s="17">
        <v>0.71</v>
      </c>
      <c r="I33" s="18">
        <f>+H33*F33</f>
        <v>640.41999999999996</v>
      </c>
      <c r="K33" s="46"/>
      <c r="M33" s="39"/>
    </row>
    <row r="34" spans="2:13" ht="21" customHeight="1" x14ac:dyDescent="0.2">
      <c r="B34" s="15" t="s">
        <v>15</v>
      </c>
      <c r="C34" s="15"/>
      <c r="D34" s="64"/>
      <c r="E34" s="65"/>
      <c r="F34" s="64"/>
      <c r="G34" s="65"/>
      <c r="H34" s="17"/>
      <c r="I34" s="48"/>
    </row>
    <row r="35" spans="2:13" ht="21.75" customHeight="1" x14ac:dyDescent="0.2">
      <c r="B35" s="15" t="s">
        <v>14</v>
      </c>
      <c r="C35" s="15"/>
      <c r="D35" s="66"/>
      <c r="E35" s="67"/>
      <c r="F35" s="68">
        <f>SUM(F31:G34)</f>
        <v>3157</v>
      </c>
      <c r="G35" s="69"/>
      <c r="H35" s="15"/>
      <c r="I35" s="14">
        <f>SUM(I32:I34)</f>
        <v>2241.4699999999998</v>
      </c>
      <c r="J35" s="40"/>
      <c r="K35" s="40"/>
    </row>
    <row r="36" spans="2:13" ht="21.75" customHeight="1" x14ac:dyDescent="0.2">
      <c r="B36" s="16" t="s">
        <v>13</v>
      </c>
      <c r="C36" s="15"/>
      <c r="D36" s="64"/>
      <c r="E36" s="65"/>
      <c r="F36" s="64"/>
      <c r="G36" s="65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4"/>
      <c r="E37" s="65"/>
      <c r="F37" s="64"/>
      <c r="G37" s="65"/>
      <c r="H37" s="15"/>
      <c r="I37" s="14">
        <f>+I35</f>
        <v>2241.4699999999998</v>
      </c>
    </row>
    <row r="38" spans="2:13" ht="20.25" customHeight="1" x14ac:dyDescent="0.2">
      <c r="B38" s="15" t="s">
        <v>80</v>
      </c>
      <c r="C38" s="64" t="s">
        <v>11</v>
      </c>
      <c r="D38" s="71"/>
      <c r="E38" s="71"/>
      <c r="F38" s="71"/>
      <c r="G38" s="71"/>
      <c r="H38" s="65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2241.4699999999998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2" t="s">
        <v>7</v>
      </c>
      <c r="C47" s="72"/>
      <c r="D47" s="72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3" t="s">
        <v>1</v>
      </c>
      <c r="D56" s="73"/>
      <c r="E56" s="5"/>
      <c r="F56" s="5"/>
      <c r="G56" s="5"/>
      <c r="H56" s="5"/>
      <c r="I56" s="4"/>
    </row>
    <row r="57" spans="2:11" x14ac:dyDescent="0.2">
      <c r="B57" s="6"/>
      <c r="C57" s="74" t="s">
        <v>0</v>
      </c>
      <c r="D57" s="74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70"/>
      <c r="D58" s="70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9"/>
  <sheetViews>
    <sheetView view="pageBreakPreview" topLeftCell="A27" zoomScaleNormal="100" zoomScaleSheetLayoutView="100" workbookViewId="0">
      <selection activeCell="C33" sqref="C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5" t="s">
        <v>193</v>
      </c>
      <c r="C2" s="76"/>
      <c r="D2" s="76"/>
      <c r="E2" s="76"/>
      <c r="F2" s="76"/>
      <c r="G2" s="76"/>
      <c r="H2" s="76"/>
      <c r="I2" s="77"/>
      <c r="J2" s="60">
        <v>62039947</v>
      </c>
      <c r="K2" s="61">
        <v>2000</v>
      </c>
      <c r="L2" s="62">
        <v>12</v>
      </c>
      <c r="M2" s="62">
        <v>149.86000000000001</v>
      </c>
      <c r="N2" s="62">
        <v>153.86000000000001</v>
      </c>
      <c r="O2" s="62">
        <v>165.86</v>
      </c>
      <c r="P2" s="62" t="s">
        <v>54</v>
      </c>
      <c r="Q2" s="62">
        <v>0.80500000000000005</v>
      </c>
      <c r="R2" s="62" t="s">
        <v>62</v>
      </c>
    </row>
    <row r="3" spans="2:22" x14ac:dyDescent="0.2">
      <c r="B3" s="6" t="s">
        <v>53</v>
      </c>
      <c r="C3" s="63">
        <f>+'271'!C3+1</f>
        <v>272</v>
      </c>
      <c r="D3" s="5"/>
      <c r="E3" s="5"/>
      <c r="F3" s="5"/>
      <c r="G3" s="5" t="s">
        <v>52</v>
      </c>
      <c r="H3" s="31">
        <f>+'270'!H3+0</f>
        <v>46191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62039947</v>
      </c>
      <c r="C21" s="53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165.86</v>
      </c>
      <c r="G23" s="23">
        <f>+N2</f>
        <v>153.86000000000001</v>
      </c>
      <c r="H23" s="23">
        <f>+M2</f>
        <v>149.86000000000001</v>
      </c>
      <c r="I23" s="54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71"/>
      <c r="D26" s="71"/>
      <c r="E26" s="71"/>
      <c r="F26" s="71"/>
      <c r="G26" s="71"/>
      <c r="H26" s="71"/>
      <c r="I26" s="65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RECYCLED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1" t="s">
        <v>19</v>
      </c>
      <c r="E31" s="81"/>
      <c r="F31" s="81" t="s">
        <v>18</v>
      </c>
      <c r="G31" s="81"/>
      <c r="H31" s="54" t="s">
        <v>17</v>
      </c>
      <c r="I31" s="19" t="s">
        <v>16</v>
      </c>
      <c r="M31"/>
    </row>
    <row r="32" spans="2:13" ht="27.75" customHeight="1" x14ac:dyDescent="0.2">
      <c r="B32" s="41" t="s">
        <v>189</v>
      </c>
      <c r="C32" s="19" t="s">
        <v>188</v>
      </c>
      <c r="D32" s="68"/>
      <c r="E32" s="69"/>
      <c r="F32" s="68">
        <v>510</v>
      </c>
      <c r="G32" s="69"/>
      <c r="H32" s="17">
        <v>0.71</v>
      </c>
      <c r="I32" s="18">
        <f>+H32*F32</f>
        <v>362.09999999999997</v>
      </c>
      <c r="K32" s="46"/>
      <c r="M32" s="39"/>
    </row>
    <row r="33" spans="2:13" ht="27.75" customHeight="1" x14ac:dyDescent="0.2">
      <c r="B33" s="41" t="s">
        <v>187</v>
      </c>
      <c r="C33" s="19" t="s">
        <v>186</v>
      </c>
      <c r="D33" s="68"/>
      <c r="E33" s="69"/>
      <c r="F33" s="68">
        <v>1490</v>
      </c>
      <c r="G33" s="69"/>
      <c r="H33" s="17">
        <v>0.71</v>
      </c>
      <c r="I33" s="18">
        <f>+H33*F33</f>
        <v>1057.8999999999999</v>
      </c>
      <c r="K33" s="46"/>
      <c r="M33" s="39"/>
    </row>
    <row r="34" spans="2:13" ht="21" customHeight="1" x14ac:dyDescent="0.2">
      <c r="B34" s="15" t="s">
        <v>15</v>
      </c>
      <c r="C34" s="15"/>
      <c r="D34" s="64"/>
      <c r="E34" s="65"/>
      <c r="F34" s="64"/>
      <c r="G34" s="65"/>
      <c r="H34" s="17"/>
      <c r="I34" s="54"/>
    </row>
    <row r="35" spans="2:13" ht="21.75" customHeight="1" x14ac:dyDescent="0.2">
      <c r="B35" s="15" t="s">
        <v>14</v>
      </c>
      <c r="C35" s="15"/>
      <c r="D35" s="66"/>
      <c r="E35" s="67"/>
      <c r="F35" s="68">
        <f>SUM(F32:G34)</f>
        <v>2000</v>
      </c>
      <c r="G35" s="69"/>
      <c r="H35" s="15"/>
      <c r="I35" s="14">
        <f>SUM(I32:I34)</f>
        <v>1419.9999999999998</v>
      </c>
      <c r="J35" s="40"/>
      <c r="K35" s="40"/>
    </row>
    <row r="36" spans="2:13" ht="21.75" customHeight="1" x14ac:dyDescent="0.2">
      <c r="B36" s="16" t="s">
        <v>13</v>
      </c>
      <c r="C36" s="15"/>
      <c r="D36" s="64"/>
      <c r="E36" s="65"/>
      <c r="F36" s="64"/>
      <c r="G36" s="65"/>
      <c r="H36" s="15"/>
      <c r="I36" s="54"/>
      <c r="J36" s="40"/>
    </row>
    <row r="37" spans="2:13" ht="21.75" customHeight="1" x14ac:dyDescent="0.2">
      <c r="B37" s="16" t="s">
        <v>12</v>
      </c>
      <c r="C37" s="15"/>
      <c r="D37" s="64"/>
      <c r="E37" s="65"/>
      <c r="F37" s="64"/>
      <c r="G37" s="65"/>
      <c r="H37" s="15"/>
      <c r="I37" s="14">
        <f>+I35</f>
        <v>1419.9999999999998</v>
      </c>
    </row>
    <row r="38" spans="2:13" ht="20.25" customHeight="1" x14ac:dyDescent="0.2">
      <c r="B38" s="15" t="s">
        <v>80</v>
      </c>
      <c r="C38" s="64" t="s">
        <v>11</v>
      </c>
      <c r="D38" s="71"/>
      <c r="E38" s="71"/>
      <c r="F38" s="71"/>
      <c r="G38" s="71"/>
      <c r="H38" s="65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1419.9999999999998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2" t="s">
        <v>7</v>
      </c>
      <c r="C47" s="72"/>
      <c r="D47" s="72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3" t="s">
        <v>1</v>
      </c>
      <c r="D56" s="73"/>
      <c r="E56" s="5"/>
      <c r="F56" s="5"/>
      <c r="G56" s="5"/>
      <c r="H56" s="5"/>
      <c r="I56" s="4"/>
    </row>
    <row r="57" spans="2:11" x14ac:dyDescent="0.2">
      <c r="B57" s="6"/>
      <c r="C57" s="74" t="s">
        <v>0</v>
      </c>
      <c r="D57" s="74"/>
      <c r="E57" s="5"/>
      <c r="F57" s="5"/>
      <c r="G57" s="5"/>
      <c r="H57" s="5"/>
      <c r="I57" s="4"/>
      <c r="K57">
        <v>3</v>
      </c>
    </row>
    <row r="58" spans="2:11" x14ac:dyDescent="0.2">
      <c r="B58" s="2"/>
      <c r="C58" s="70"/>
      <c r="D58" s="70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9"/>
  <sheetViews>
    <sheetView tabSelected="1" view="pageBreakPreview" topLeftCell="A20" zoomScaleNormal="100" zoomScaleSheetLayoutView="100" workbookViewId="0">
      <selection activeCell="C33" sqref="C3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5" t="s">
        <v>193</v>
      </c>
      <c r="C2" s="76"/>
      <c r="D2" s="76"/>
      <c r="E2" s="76"/>
      <c r="F2" s="76"/>
      <c r="G2" s="76"/>
      <c r="H2" s="76"/>
      <c r="I2" s="77"/>
      <c r="J2" s="60">
        <v>62039953</v>
      </c>
      <c r="K2" s="61">
        <v>2000</v>
      </c>
      <c r="L2" s="62">
        <v>12</v>
      </c>
      <c r="M2" s="62">
        <v>149.86000000000001</v>
      </c>
      <c r="N2" s="62">
        <v>153.86000000000001</v>
      </c>
      <c r="O2" s="62">
        <v>165.86</v>
      </c>
      <c r="P2" s="62" t="s">
        <v>54</v>
      </c>
      <c r="Q2" s="62">
        <v>0.80500000000000005</v>
      </c>
      <c r="R2" s="62" t="s">
        <v>62</v>
      </c>
    </row>
    <row r="3" spans="2:22" x14ac:dyDescent="0.2">
      <c r="B3" s="6" t="s">
        <v>53</v>
      </c>
      <c r="C3" s="63">
        <f>+'272'!C3+1</f>
        <v>273</v>
      </c>
      <c r="D3" s="5"/>
      <c r="E3" s="5"/>
      <c r="F3" s="5"/>
      <c r="G3" s="5" t="s">
        <v>52</v>
      </c>
      <c r="H3" s="31">
        <f>+'270'!H3+0</f>
        <v>46191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62039953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165.86</v>
      </c>
      <c r="G23" s="23">
        <f>+N2</f>
        <v>153.86000000000001</v>
      </c>
      <c r="H23" s="23">
        <f>+M2</f>
        <v>149.86000000000001</v>
      </c>
      <c r="I23" s="55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71"/>
      <c r="D26" s="71"/>
      <c r="E26" s="71"/>
      <c r="F26" s="71"/>
      <c r="G26" s="71"/>
      <c r="H26" s="71"/>
      <c r="I26" s="65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RECYCLED POLYESTER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33" customHeight="1" x14ac:dyDescent="0.2">
      <c r="B32" s="41" t="s">
        <v>189</v>
      </c>
      <c r="C32" s="19" t="s">
        <v>188</v>
      </c>
      <c r="D32" s="68"/>
      <c r="E32" s="69"/>
      <c r="F32" s="68">
        <v>170</v>
      </c>
      <c r="G32" s="69"/>
      <c r="H32" s="17">
        <v>0.71</v>
      </c>
      <c r="I32" s="18">
        <f>+H32*F32</f>
        <v>120.69999999999999</v>
      </c>
      <c r="K32" s="46"/>
      <c r="M32" s="39"/>
    </row>
    <row r="33" spans="2:13" ht="33" customHeight="1" x14ac:dyDescent="0.2">
      <c r="B33" s="41" t="s">
        <v>187</v>
      </c>
      <c r="C33" s="19" t="s">
        <v>186</v>
      </c>
      <c r="D33" s="68"/>
      <c r="E33" s="69"/>
      <c r="F33" s="68">
        <v>1830</v>
      </c>
      <c r="G33" s="69"/>
      <c r="H33" s="17">
        <v>0.71</v>
      </c>
      <c r="I33" s="18">
        <f>+H33*F33</f>
        <v>1299.3</v>
      </c>
      <c r="K33" s="46"/>
      <c r="M33" s="39"/>
    </row>
    <row r="34" spans="2:13" ht="21" customHeight="1" x14ac:dyDescent="0.2">
      <c r="B34" s="15" t="s">
        <v>15</v>
      </c>
      <c r="C34" s="15"/>
      <c r="D34" s="64"/>
      <c r="E34" s="65"/>
      <c r="F34" s="64"/>
      <c r="G34" s="65"/>
      <c r="H34" s="17"/>
      <c r="I34" s="59"/>
    </row>
    <row r="35" spans="2:13" ht="21.75" customHeight="1" x14ac:dyDescent="0.2">
      <c r="B35" s="15" t="s">
        <v>14</v>
      </c>
      <c r="C35" s="15"/>
      <c r="D35" s="66"/>
      <c r="E35" s="67"/>
      <c r="F35" s="68">
        <f>SUM(F32:G34)</f>
        <v>2000</v>
      </c>
      <c r="G35" s="69"/>
      <c r="H35" s="15"/>
      <c r="I35" s="14">
        <f>SUM(I32:I33)</f>
        <v>1420</v>
      </c>
      <c r="J35" s="40"/>
      <c r="K35" s="40"/>
    </row>
    <row r="36" spans="2:13" ht="21.75" customHeight="1" x14ac:dyDescent="0.2">
      <c r="B36" s="16" t="s">
        <v>13</v>
      </c>
      <c r="C36" s="15"/>
      <c r="D36" s="64"/>
      <c r="E36" s="65"/>
      <c r="F36" s="64"/>
      <c r="G36" s="65"/>
      <c r="H36" s="15"/>
      <c r="I36" s="55"/>
      <c r="J36" s="40"/>
    </row>
    <row r="37" spans="2:13" ht="21.75" customHeight="1" x14ac:dyDescent="0.2">
      <c r="B37" s="16" t="s">
        <v>12</v>
      </c>
      <c r="C37" s="15"/>
      <c r="D37" s="64"/>
      <c r="E37" s="65"/>
      <c r="F37" s="64"/>
      <c r="G37" s="65"/>
      <c r="H37" s="15"/>
      <c r="I37" s="14">
        <f>+I35</f>
        <v>1420</v>
      </c>
    </row>
    <row r="38" spans="2:13" ht="20.25" customHeight="1" x14ac:dyDescent="0.2">
      <c r="B38" s="15" t="s">
        <v>80</v>
      </c>
      <c r="C38" s="64" t="s">
        <v>11</v>
      </c>
      <c r="D38" s="71"/>
      <c r="E38" s="71"/>
      <c r="F38" s="71"/>
      <c r="G38" s="71"/>
      <c r="H38" s="65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1420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2" t="s">
        <v>7</v>
      </c>
      <c r="C47" s="72"/>
      <c r="D47" s="72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3" t="s">
        <v>1</v>
      </c>
      <c r="D56" s="73"/>
      <c r="E56" s="5"/>
      <c r="F56" s="5"/>
      <c r="G56" s="5"/>
      <c r="H56" s="5"/>
      <c r="I56" s="4"/>
    </row>
    <row r="57" spans="2:11" x14ac:dyDescent="0.2">
      <c r="B57" s="6"/>
      <c r="C57" s="74" t="s">
        <v>0</v>
      </c>
      <c r="D57" s="74"/>
      <c r="E57" s="5"/>
      <c r="F57" s="5"/>
      <c r="G57" s="5"/>
      <c r="H57" s="5"/>
      <c r="I57" s="4"/>
      <c r="K57">
        <v>4</v>
      </c>
    </row>
    <row r="58" spans="2:11" x14ac:dyDescent="0.2">
      <c r="B58" s="2"/>
      <c r="C58" s="70"/>
      <c r="D58" s="70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F36:G36"/>
    <mergeCell ref="D32:E32"/>
    <mergeCell ref="F32:G32"/>
    <mergeCell ref="B2:I2"/>
    <mergeCell ref="B26:I26"/>
    <mergeCell ref="B27:I27"/>
    <mergeCell ref="D31:E31"/>
    <mergeCell ref="F31:G31"/>
    <mergeCell ref="D35:E35"/>
    <mergeCell ref="F35:G35"/>
    <mergeCell ref="D36:E36"/>
    <mergeCell ref="D34:E34"/>
    <mergeCell ref="F34:G34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Sheet1</vt:lpstr>
      <vt:lpstr>reff</vt:lpstr>
      <vt:lpstr>270</vt:lpstr>
      <vt:lpstr>271</vt:lpstr>
      <vt:lpstr>272</vt:lpstr>
      <vt:lpstr>273</vt:lpstr>
      <vt:lpstr>'270'!Print_Area</vt:lpstr>
      <vt:lpstr>'271'!Print_Area</vt:lpstr>
      <vt:lpstr>'272'!Print_Area</vt:lpstr>
      <vt:lpstr>'273'!Print_Area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2026-06-18T01:04:39Z</cp:lastPrinted>
  <dcterms:created xsi:type="dcterms:W3CDTF">2024-04-17T09:56:05Z</dcterms:created>
  <dcterms:modified xsi:type="dcterms:W3CDTF">2026-06-18T02:10:51Z</dcterms:modified>
</cp:coreProperties>
</file>