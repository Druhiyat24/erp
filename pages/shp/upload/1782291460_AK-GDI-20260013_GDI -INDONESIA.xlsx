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400" activeTab="1"/>
  </bookViews>
  <sheets>
    <sheet name="PKL" sheetId="1" r:id="rId1"/>
    <sheet name="PL " sheetId="9" r:id="rId2"/>
    <sheet name="INV" sheetId="8" r:id="rId3"/>
    <sheet name="TEM" sheetId="5" state="hidden" r:id="rId4"/>
    <sheet name="DELIVERY INSTRUCTION" sheetId="6" state="hidden" r:id="rId5"/>
    <sheet name="SC" sheetId="7" state="hidden" r:id="rId6"/>
    <sheet name="IN PHIẾU XUẤT " sheetId="3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PKL!$A$31:$N$61</definedName>
    <definedName name="_xlnm._FilterDatabase" localSheetId="1" hidden="1">'PL '!$A$31:$N$54</definedName>
    <definedName name="_xlnm._FilterDatabase" localSheetId="2" hidden="1">INV!$A$29:$J$53</definedName>
    <definedName name="_xlnm._FilterDatabase" localSheetId="3" hidden="1">TEM!$A$2:$N$14</definedName>
    <definedName name="_xlnm._FilterDatabase" localSheetId="4" hidden="1">'DELIVERY INSTRUCTION'!$A$25:$L$35</definedName>
    <definedName name="\z">'[1]COAT&amp;WRAP-QIOT-#3'!#REF!</definedName>
    <definedName name="________________________________________________________cao1" localSheetId="5">#REF!</definedName>
    <definedName name="________________________________________________________cao1">#REF!</definedName>
    <definedName name="________________________________________________________cao2" localSheetId="5">#REF!</definedName>
    <definedName name="________________________________________________________cao2">#REF!</definedName>
    <definedName name="________________________________________________________cao3" localSheetId="5">#REF!</definedName>
    <definedName name="________________________________________________________cao3">#REF!</definedName>
    <definedName name="________________________________________________________cao4" localSheetId="5">#REF!</definedName>
    <definedName name="________________________________________________________cao4">#REF!</definedName>
    <definedName name="________________________________________________________cao5" localSheetId="5">#REF!</definedName>
    <definedName name="________________________________________________________cao5">#REF!</definedName>
    <definedName name="________________________________________________________cao6" localSheetId="5">#REF!</definedName>
    <definedName name="________________________________________________________cao6">#REF!</definedName>
    <definedName name="________________________________________________________dai1" localSheetId="5">#REF!</definedName>
    <definedName name="________________________________________________________dai1">#REF!</definedName>
    <definedName name="________________________________________________________dai2" localSheetId="5">#REF!</definedName>
    <definedName name="________________________________________________________dai2">#REF!</definedName>
    <definedName name="________________________________________________________dai3" localSheetId="5">#REF!</definedName>
    <definedName name="________________________________________________________dai3">#REF!</definedName>
    <definedName name="________________________________________________________dai4" localSheetId="5">#REF!</definedName>
    <definedName name="________________________________________________________dai4">#REF!</definedName>
    <definedName name="________________________________________________________dai5" localSheetId="5">#REF!</definedName>
    <definedName name="________________________________________________________dai5">#REF!</definedName>
    <definedName name="________________________________________________________dai6" localSheetId="5">#REF!</definedName>
    <definedName name="________________________________________________________dai6">#REF!</definedName>
    <definedName name="________________________________________________________dan1" localSheetId="5">#REF!</definedName>
    <definedName name="________________________________________________________dan1">#REF!</definedName>
    <definedName name="________________________________________________________dan2" localSheetId="5">#REF!</definedName>
    <definedName name="________________________________________________________dan2">#REF!</definedName>
    <definedName name="________________________________________________________phi10" localSheetId="5">#REF!</definedName>
    <definedName name="________________________________________________________phi10">#REF!</definedName>
    <definedName name="________________________________________________________phi12" localSheetId="5">#REF!</definedName>
    <definedName name="________________________________________________________phi12">#REF!</definedName>
    <definedName name="________________________________________________________phi14" localSheetId="5">#REF!</definedName>
    <definedName name="________________________________________________________phi14">#REF!</definedName>
    <definedName name="________________________________________________________phi16" localSheetId="5">#REF!</definedName>
    <definedName name="________________________________________________________phi16">#REF!</definedName>
    <definedName name="________________________________________________________phi18" localSheetId="5">#REF!</definedName>
    <definedName name="________________________________________________________phi18">#REF!</definedName>
    <definedName name="________________________________________________________phi20" localSheetId="5">#REF!</definedName>
    <definedName name="________________________________________________________phi20">#REF!</definedName>
    <definedName name="________________________________________________________phi22" localSheetId="5">#REF!</definedName>
    <definedName name="________________________________________________________phi22">#REF!</definedName>
    <definedName name="________________________________________________________phi25" localSheetId="5">#REF!</definedName>
    <definedName name="________________________________________________________phi25">#REF!</definedName>
    <definedName name="________________________________________________________phi28" localSheetId="5">#REF!</definedName>
    <definedName name="________________________________________________________phi28">#REF!</definedName>
    <definedName name="________________________________________________________phi6" localSheetId="5">#REF!</definedName>
    <definedName name="________________________________________________________phi6">#REF!</definedName>
    <definedName name="________________________________________________________phi8" localSheetId="5">#REF!</definedName>
    <definedName name="________________________________________________________phi8">#REF!</definedName>
    <definedName name="________________________________________________________slg1" localSheetId="5">#REF!</definedName>
    <definedName name="________________________________________________________slg1">#REF!</definedName>
    <definedName name="________________________________________________________slg2" localSheetId="5">#REF!</definedName>
    <definedName name="________________________________________________________slg2">#REF!</definedName>
    <definedName name="________________________________________________________slg3" localSheetId="5">#REF!</definedName>
    <definedName name="________________________________________________________slg3">#REF!</definedName>
    <definedName name="________________________________________________________slg4" localSheetId="5">#REF!</definedName>
    <definedName name="________________________________________________________slg4">#REF!</definedName>
    <definedName name="________________________________________________________slg5" localSheetId="5">#REF!</definedName>
    <definedName name="________________________________________________________slg5">#REF!</definedName>
    <definedName name="________________________________________________________slg6" localSheetId="5">#REF!</definedName>
    <definedName name="________________________________________________________slg6">#REF!</definedName>
    <definedName name="_______________________________________________________cao1" localSheetId="5">#REF!</definedName>
    <definedName name="_______________________________________________________cao1">#REF!</definedName>
    <definedName name="_______________________________________________________cao2" localSheetId="5">#REF!</definedName>
    <definedName name="_______________________________________________________cao2">#REF!</definedName>
    <definedName name="_______________________________________________________cao3" localSheetId="5">#REF!</definedName>
    <definedName name="_______________________________________________________cao3">#REF!</definedName>
    <definedName name="_______________________________________________________cao4" localSheetId="5">#REF!</definedName>
    <definedName name="_______________________________________________________cao4">#REF!</definedName>
    <definedName name="_______________________________________________________cao5" localSheetId="5">#REF!</definedName>
    <definedName name="_______________________________________________________cao5">#REF!</definedName>
    <definedName name="_______________________________________________________cao6" localSheetId="5">#REF!</definedName>
    <definedName name="_______________________________________________________cao6">#REF!</definedName>
    <definedName name="_______________________________________________________dai1" localSheetId="5">#REF!</definedName>
    <definedName name="_______________________________________________________dai1">#REF!</definedName>
    <definedName name="_______________________________________________________dai2" localSheetId="5">#REF!</definedName>
    <definedName name="_______________________________________________________dai2">#REF!</definedName>
    <definedName name="_______________________________________________________dai3" localSheetId="5">#REF!</definedName>
    <definedName name="_______________________________________________________dai3">#REF!</definedName>
    <definedName name="_______________________________________________________dai4" localSheetId="5">#REF!</definedName>
    <definedName name="_______________________________________________________dai4">#REF!</definedName>
    <definedName name="_______________________________________________________dai5" localSheetId="5">#REF!</definedName>
    <definedName name="_______________________________________________________dai5">#REF!</definedName>
    <definedName name="_______________________________________________________dai6" localSheetId="5">#REF!</definedName>
    <definedName name="_______________________________________________________dai6">#REF!</definedName>
    <definedName name="_______________________________________________________dan1" localSheetId="5">#REF!</definedName>
    <definedName name="_______________________________________________________dan1">#REF!</definedName>
    <definedName name="_______________________________________________________dan2" localSheetId="5">#REF!</definedName>
    <definedName name="_______________________________________________________dan2">#REF!</definedName>
    <definedName name="_______________________________________________________phi10" localSheetId="5">#REF!</definedName>
    <definedName name="_______________________________________________________phi10">#REF!</definedName>
    <definedName name="_______________________________________________________phi12" localSheetId="5">#REF!</definedName>
    <definedName name="_______________________________________________________phi12">#REF!</definedName>
    <definedName name="_______________________________________________________phi14" localSheetId="5">#REF!</definedName>
    <definedName name="_______________________________________________________phi14">#REF!</definedName>
    <definedName name="_______________________________________________________phi16" localSheetId="5">#REF!</definedName>
    <definedName name="_______________________________________________________phi16">#REF!</definedName>
    <definedName name="_______________________________________________________phi18" localSheetId="5">#REF!</definedName>
    <definedName name="_______________________________________________________phi18">#REF!</definedName>
    <definedName name="_______________________________________________________phi20" localSheetId="5">#REF!</definedName>
    <definedName name="_______________________________________________________phi20">#REF!</definedName>
    <definedName name="_______________________________________________________phi22" localSheetId="5">#REF!</definedName>
    <definedName name="_______________________________________________________phi22">#REF!</definedName>
    <definedName name="_______________________________________________________phi25" localSheetId="5">#REF!</definedName>
    <definedName name="_______________________________________________________phi25">#REF!</definedName>
    <definedName name="_______________________________________________________phi28" localSheetId="5">#REF!</definedName>
    <definedName name="_______________________________________________________phi28">#REF!</definedName>
    <definedName name="_______________________________________________________phi6" localSheetId="5">#REF!</definedName>
    <definedName name="_______________________________________________________phi6">#REF!</definedName>
    <definedName name="_______________________________________________________phi8" localSheetId="5">#REF!</definedName>
    <definedName name="_______________________________________________________phi8">#REF!</definedName>
    <definedName name="_______________________________________________________slg1" localSheetId="5">#REF!</definedName>
    <definedName name="_______________________________________________________slg1">#REF!</definedName>
    <definedName name="_______________________________________________________slg2" localSheetId="5">#REF!</definedName>
    <definedName name="_______________________________________________________slg2">#REF!</definedName>
    <definedName name="_______________________________________________________slg3" localSheetId="5">#REF!</definedName>
    <definedName name="_______________________________________________________slg3">#REF!</definedName>
    <definedName name="_______________________________________________________slg4" localSheetId="5">#REF!</definedName>
    <definedName name="_______________________________________________________slg4">#REF!</definedName>
    <definedName name="_______________________________________________________slg5" localSheetId="5">#REF!</definedName>
    <definedName name="_______________________________________________________slg5">#REF!</definedName>
    <definedName name="_______________________________________________________slg6" localSheetId="5">#REF!</definedName>
    <definedName name="_______________________________________________________slg6">#REF!</definedName>
    <definedName name="______________________________________________________cao1" localSheetId="5">#REF!</definedName>
    <definedName name="______________________________________________________cao1">#REF!</definedName>
    <definedName name="______________________________________________________cao2" localSheetId="5">#REF!</definedName>
    <definedName name="______________________________________________________cao2">#REF!</definedName>
    <definedName name="______________________________________________________cao3" localSheetId="5">#REF!</definedName>
    <definedName name="______________________________________________________cao3">#REF!</definedName>
    <definedName name="______________________________________________________cao4" localSheetId="5">#REF!</definedName>
    <definedName name="______________________________________________________cao4">#REF!</definedName>
    <definedName name="______________________________________________________cao5" localSheetId="5">#REF!</definedName>
    <definedName name="______________________________________________________cao5">#REF!</definedName>
    <definedName name="______________________________________________________cao6" localSheetId="5">#REF!</definedName>
    <definedName name="______________________________________________________cao6">#REF!</definedName>
    <definedName name="______________________________________________________dai1" localSheetId="5">#REF!</definedName>
    <definedName name="______________________________________________________dai1">#REF!</definedName>
    <definedName name="______________________________________________________dai2" localSheetId="5">#REF!</definedName>
    <definedName name="______________________________________________________dai2">#REF!</definedName>
    <definedName name="______________________________________________________dai3" localSheetId="5">#REF!</definedName>
    <definedName name="______________________________________________________dai3">#REF!</definedName>
    <definedName name="______________________________________________________dai4" localSheetId="5">#REF!</definedName>
    <definedName name="______________________________________________________dai4">#REF!</definedName>
    <definedName name="______________________________________________________dai5" localSheetId="5">#REF!</definedName>
    <definedName name="______________________________________________________dai5">#REF!</definedName>
    <definedName name="______________________________________________________dai6" localSheetId="5">#REF!</definedName>
    <definedName name="______________________________________________________dai6">#REF!</definedName>
    <definedName name="______________________________________________________dan1" localSheetId="5">#REF!</definedName>
    <definedName name="______________________________________________________dan1">#REF!</definedName>
    <definedName name="______________________________________________________dan2" localSheetId="5">#REF!</definedName>
    <definedName name="______________________________________________________dan2">#REF!</definedName>
    <definedName name="______________________________________________________phi10" localSheetId="5">#REF!</definedName>
    <definedName name="______________________________________________________phi10">#REF!</definedName>
    <definedName name="______________________________________________________phi12" localSheetId="5">#REF!</definedName>
    <definedName name="______________________________________________________phi12">#REF!</definedName>
    <definedName name="______________________________________________________phi14" localSheetId="5">#REF!</definedName>
    <definedName name="______________________________________________________phi14">#REF!</definedName>
    <definedName name="______________________________________________________phi16" localSheetId="5">#REF!</definedName>
    <definedName name="______________________________________________________phi16">#REF!</definedName>
    <definedName name="______________________________________________________phi18" localSheetId="5">#REF!</definedName>
    <definedName name="______________________________________________________phi18">#REF!</definedName>
    <definedName name="______________________________________________________phi20" localSheetId="5">#REF!</definedName>
    <definedName name="______________________________________________________phi20">#REF!</definedName>
    <definedName name="______________________________________________________phi22" localSheetId="5">#REF!</definedName>
    <definedName name="______________________________________________________phi22">#REF!</definedName>
    <definedName name="______________________________________________________phi25" localSheetId="5">#REF!</definedName>
    <definedName name="______________________________________________________phi25">#REF!</definedName>
    <definedName name="______________________________________________________phi28" localSheetId="5">#REF!</definedName>
    <definedName name="______________________________________________________phi28">#REF!</definedName>
    <definedName name="______________________________________________________phi6" localSheetId="5">#REF!</definedName>
    <definedName name="______________________________________________________phi6">#REF!</definedName>
    <definedName name="______________________________________________________phi8" localSheetId="5">#REF!</definedName>
    <definedName name="______________________________________________________phi8">#REF!</definedName>
    <definedName name="______________________________________________________slg1" localSheetId="5">#REF!</definedName>
    <definedName name="______________________________________________________slg1">#REF!</definedName>
    <definedName name="______________________________________________________slg2" localSheetId="5">#REF!</definedName>
    <definedName name="______________________________________________________slg2">#REF!</definedName>
    <definedName name="______________________________________________________slg3" localSheetId="5">#REF!</definedName>
    <definedName name="______________________________________________________slg3">#REF!</definedName>
    <definedName name="______________________________________________________slg4" localSheetId="5">#REF!</definedName>
    <definedName name="______________________________________________________slg4">#REF!</definedName>
    <definedName name="______________________________________________________slg5" localSheetId="5">#REF!</definedName>
    <definedName name="______________________________________________________slg5">#REF!</definedName>
    <definedName name="______________________________________________________slg6" localSheetId="5">#REF!</definedName>
    <definedName name="______________________________________________________slg6">#REF!</definedName>
    <definedName name="_____________________________________________________cao1" localSheetId="5">#REF!</definedName>
    <definedName name="_____________________________________________________cao1">#REF!</definedName>
    <definedName name="_____________________________________________________cao2" localSheetId="5">#REF!</definedName>
    <definedName name="_____________________________________________________cao2">#REF!</definedName>
    <definedName name="_____________________________________________________cao3" localSheetId="5">#REF!</definedName>
    <definedName name="_____________________________________________________cao3">#REF!</definedName>
    <definedName name="_____________________________________________________cao4" localSheetId="5">#REF!</definedName>
    <definedName name="_____________________________________________________cao4">#REF!</definedName>
    <definedName name="_____________________________________________________cao5" localSheetId="5">#REF!</definedName>
    <definedName name="_____________________________________________________cao5">#REF!</definedName>
    <definedName name="_____________________________________________________cao6" localSheetId="5">#REF!</definedName>
    <definedName name="_____________________________________________________cao6">#REF!</definedName>
    <definedName name="_____________________________________________________dai1" localSheetId="5">#REF!</definedName>
    <definedName name="_____________________________________________________dai1">#REF!</definedName>
    <definedName name="_____________________________________________________dai2" localSheetId="5">#REF!</definedName>
    <definedName name="_____________________________________________________dai2">#REF!</definedName>
    <definedName name="_____________________________________________________dai3" localSheetId="5">#REF!</definedName>
    <definedName name="_____________________________________________________dai3">#REF!</definedName>
    <definedName name="_____________________________________________________dai4" localSheetId="5">#REF!</definedName>
    <definedName name="_____________________________________________________dai4">#REF!</definedName>
    <definedName name="_____________________________________________________dai5" localSheetId="5">#REF!</definedName>
    <definedName name="_____________________________________________________dai5">#REF!</definedName>
    <definedName name="_____________________________________________________dai6" localSheetId="5">#REF!</definedName>
    <definedName name="_____________________________________________________dai6">#REF!</definedName>
    <definedName name="_____________________________________________________dan1" localSheetId="5">#REF!</definedName>
    <definedName name="_____________________________________________________dan1">#REF!</definedName>
    <definedName name="_____________________________________________________dan2" localSheetId="5">#REF!</definedName>
    <definedName name="_____________________________________________________dan2">#REF!</definedName>
    <definedName name="_____________________________________________________phi10" localSheetId="5">#REF!</definedName>
    <definedName name="_____________________________________________________phi10">#REF!</definedName>
    <definedName name="_____________________________________________________phi12" localSheetId="5">#REF!</definedName>
    <definedName name="_____________________________________________________phi12">#REF!</definedName>
    <definedName name="_____________________________________________________phi14" localSheetId="5">#REF!</definedName>
    <definedName name="_____________________________________________________phi14">#REF!</definedName>
    <definedName name="_____________________________________________________phi16" localSheetId="5">#REF!</definedName>
    <definedName name="_____________________________________________________phi16">#REF!</definedName>
    <definedName name="_____________________________________________________phi18" localSheetId="5">#REF!</definedName>
    <definedName name="_____________________________________________________phi18">#REF!</definedName>
    <definedName name="_____________________________________________________phi20" localSheetId="5">#REF!</definedName>
    <definedName name="_____________________________________________________phi20">#REF!</definedName>
    <definedName name="_____________________________________________________phi22" localSheetId="5">#REF!</definedName>
    <definedName name="_____________________________________________________phi22">#REF!</definedName>
    <definedName name="_____________________________________________________phi25" localSheetId="5">#REF!</definedName>
    <definedName name="_____________________________________________________phi25">#REF!</definedName>
    <definedName name="_____________________________________________________phi28" localSheetId="5">#REF!</definedName>
    <definedName name="_____________________________________________________phi28">#REF!</definedName>
    <definedName name="_____________________________________________________phi6" localSheetId="5">#REF!</definedName>
    <definedName name="_____________________________________________________phi6">#REF!</definedName>
    <definedName name="_____________________________________________________phi8" localSheetId="5">#REF!</definedName>
    <definedName name="_____________________________________________________phi8">#REF!</definedName>
    <definedName name="_____________________________________________________slg1" localSheetId="5">#REF!</definedName>
    <definedName name="_____________________________________________________slg1">#REF!</definedName>
    <definedName name="_____________________________________________________slg2" localSheetId="5">#REF!</definedName>
    <definedName name="_____________________________________________________slg2">#REF!</definedName>
    <definedName name="_____________________________________________________slg3" localSheetId="5">#REF!</definedName>
    <definedName name="_____________________________________________________slg3">#REF!</definedName>
    <definedName name="_____________________________________________________slg4" localSheetId="5">#REF!</definedName>
    <definedName name="_____________________________________________________slg4">#REF!</definedName>
    <definedName name="_____________________________________________________slg5" localSheetId="5">#REF!</definedName>
    <definedName name="_____________________________________________________slg5">#REF!</definedName>
    <definedName name="_____________________________________________________slg6" localSheetId="5">#REF!</definedName>
    <definedName name="_____________________________________________________slg6">#REF!</definedName>
    <definedName name="____________________________________________________cao1" localSheetId="5">#REF!</definedName>
    <definedName name="____________________________________________________cao1">#REF!</definedName>
    <definedName name="____________________________________________________cao2" localSheetId="5">#REF!</definedName>
    <definedName name="____________________________________________________cao2">#REF!</definedName>
    <definedName name="____________________________________________________cao3" localSheetId="5">#REF!</definedName>
    <definedName name="____________________________________________________cao3">#REF!</definedName>
    <definedName name="____________________________________________________cao4" localSheetId="5">#REF!</definedName>
    <definedName name="____________________________________________________cao4">#REF!</definedName>
    <definedName name="____________________________________________________cao5" localSheetId="5">#REF!</definedName>
    <definedName name="____________________________________________________cao5">#REF!</definedName>
    <definedName name="____________________________________________________cao6" localSheetId="5">#REF!</definedName>
    <definedName name="____________________________________________________cao6">#REF!</definedName>
    <definedName name="____________________________________________________dai1" localSheetId="5">#REF!</definedName>
    <definedName name="____________________________________________________dai1">#REF!</definedName>
    <definedName name="____________________________________________________dai2" localSheetId="5">#REF!</definedName>
    <definedName name="____________________________________________________dai2">#REF!</definedName>
    <definedName name="____________________________________________________dai3" localSheetId="5">#REF!</definedName>
    <definedName name="____________________________________________________dai3">#REF!</definedName>
    <definedName name="____________________________________________________dai4" localSheetId="5">#REF!</definedName>
    <definedName name="____________________________________________________dai4">#REF!</definedName>
    <definedName name="____________________________________________________dai5" localSheetId="5">#REF!</definedName>
    <definedName name="____________________________________________________dai5">#REF!</definedName>
    <definedName name="____________________________________________________dai6" localSheetId="5">#REF!</definedName>
    <definedName name="____________________________________________________dai6">#REF!</definedName>
    <definedName name="____________________________________________________dan1" localSheetId="5">#REF!</definedName>
    <definedName name="____________________________________________________dan1">#REF!</definedName>
    <definedName name="____________________________________________________dan2" localSheetId="5">#REF!</definedName>
    <definedName name="____________________________________________________dan2">#REF!</definedName>
    <definedName name="____________________________________________________phi10" localSheetId="5">#REF!</definedName>
    <definedName name="____________________________________________________phi10">#REF!</definedName>
    <definedName name="____________________________________________________phi12" localSheetId="5">#REF!</definedName>
    <definedName name="____________________________________________________phi12">#REF!</definedName>
    <definedName name="____________________________________________________phi14" localSheetId="5">#REF!</definedName>
    <definedName name="____________________________________________________phi14">#REF!</definedName>
    <definedName name="____________________________________________________phi16" localSheetId="5">#REF!</definedName>
    <definedName name="____________________________________________________phi16">#REF!</definedName>
    <definedName name="____________________________________________________phi18" localSheetId="5">#REF!</definedName>
    <definedName name="____________________________________________________phi18">#REF!</definedName>
    <definedName name="____________________________________________________phi20" localSheetId="5">#REF!</definedName>
    <definedName name="____________________________________________________phi20">#REF!</definedName>
    <definedName name="____________________________________________________phi22" localSheetId="5">#REF!</definedName>
    <definedName name="____________________________________________________phi22">#REF!</definedName>
    <definedName name="____________________________________________________phi25" localSheetId="5">#REF!</definedName>
    <definedName name="____________________________________________________phi25">#REF!</definedName>
    <definedName name="____________________________________________________phi28" localSheetId="5">#REF!</definedName>
    <definedName name="____________________________________________________phi28">#REF!</definedName>
    <definedName name="____________________________________________________phi6" localSheetId="5">#REF!</definedName>
    <definedName name="____________________________________________________phi6">#REF!</definedName>
    <definedName name="____________________________________________________phi8" localSheetId="5">#REF!</definedName>
    <definedName name="____________________________________________________phi8">#REF!</definedName>
    <definedName name="____________________________________________________slg1" localSheetId="5">#REF!</definedName>
    <definedName name="____________________________________________________slg1">#REF!</definedName>
    <definedName name="____________________________________________________slg2" localSheetId="5">#REF!</definedName>
    <definedName name="____________________________________________________slg2">#REF!</definedName>
    <definedName name="____________________________________________________slg3" localSheetId="5">#REF!</definedName>
    <definedName name="____________________________________________________slg3">#REF!</definedName>
    <definedName name="____________________________________________________slg4" localSheetId="5">#REF!</definedName>
    <definedName name="____________________________________________________slg4">#REF!</definedName>
    <definedName name="____________________________________________________slg5" localSheetId="5">#REF!</definedName>
    <definedName name="____________________________________________________slg5">#REF!</definedName>
    <definedName name="____________________________________________________slg6" localSheetId="5">#REF!</definedName>
    <definedName name="____________________________________________________slg6">#REF!</definedName>
    <definedName name="___________________________________________________cao1" localSheetId="5">#REF!</definedName>
    <definedName name="___________________________________________________cao1">#REF!</definedName>
    <definedName name="___________________________________________________cao2" localSheetId="5">#REF!</definedName>
    <definedName name="___________________________________________________cao2">#REF!</definedName>
    <definedName name="___________________________________________________cao3" localSheetId="5">#REF!</definedName>
    <definedName name="___________________________________________________cao3">#REF!</definedName>
    <definedName name="___________________________________________________cao4" localSheetId="5">#REF!</definedName>
    <definedName name="___________________________________________________cao4">#REF!</definedName>
    <definedName name="___________________________________________________cao5" localSheetId="5">#REF!</definedName>
    <definedName name="___________________________________________________cao5">#REF!</definedName>
    <definedName name="___________________________________________________cao6" localSheetId="5">#REF!</definedName>
    <definedName name="___________________________________________________cao6">#REF!</definedName>
    <definedName name="___________________________________________________dai1" localSheetId="5">#REF!</definedName>
    <definedName name="___________________________________________________dai1">#REF!</definedName>
    <definedName name="___________________________________________________dai2" localSheetId="5">#REF!</definedName>
    <definedName name="___________________________________________________dai2">#REF!</definedName>
    <definedName name="___________________________________________________dai3" localSheetId="5">#REF!</definedName>
    <definedName name="___________________________________________________dai3">#REF!</definedName>
    <definedName name="___________________________________________________dai4" localSheetId="5">#REF!</definedName>
    <definedName name="___________________________________________________dai4">#REF!</definedName>
    <definedName name="___________________________________________________dai5" localSheetId="5">#REF!</definedName>
    <definedName name="___________________________________________________dai5">#REF!</definedName>
    <definedName name="___________________________________________________dai6" localSheetId="5">#REF!</definedName>
    <definedName name="___________________________________________________dai6">#REF!</definedName>
    <definedName name="___________________________________________________dan1" localSheetId="5">#REF!</definedName>
    <definedName name="___________________________________________________dan1">#REF!</definedName>
    <definedName name="___________________________________________________dan2" localSheetId="5">#REF!</definedName>
    <definedName name="___________________________________________________dan2">#REF!</definedName>
    <definedName name="___________________________________________________phi10" localSheetId="5">#REF!</definedName>
    <definedName name="___________________________________________________phi10">#REF!</definedName>
    <definedName name="___________________________________________________phi12" localSheetId="5">#REF!</definedName>
    <definedName name="___________________________________________________phi12">#REF!</definedName>
    <definedName name="___________________________________________________phi14" localSheetId="5">#REF!</definedName>
    <definedName name="___________________________________________________phi14">#REF!</definedName>
    <definedName name="___________________________________________________phi16" localSheetId="5">#REF!</definedName>
    <definedName name="___________________________________________________phi16">#REF!</definedName>
    <definedName name="___________________________________________________phi18" localSheetId="5">#REF!</definedName>
    <definedName name="___________________________________________________phi18">#REF!</definedName>
    <definedName name="___________________________________________________phi20" localSheetId="5">#REF!</definedName>
    <definedName name="___________________________________________________phi20">#REF!</definedName>
    <definedName name="___________________________________________________phi22" localSheetId="5">#REF!</definedName>
    <definedName name="___________________________________________________phi22">#REF!</definedName>
    <definedName name="___________________________________________________phi25" localSheetId="5">#REF!</definedName>
    <definedName name="___________________________________________________phi25">#REF!</definedName>
    <definedName name="___________________________________________________phi28" localSheetId="5">#REF!</definedName>
    <definedName name="___________________________________________________phi28">#REF!</definedName>
    <definedName name="___________________________________________________phi6" localSheetId="5">#REF!</definedName>
    <definedName name="___________________________________________________phi6">#REF!</definedName>
    <definedName name="___________________________________________________phi8" localSheetId="5">#REF!</definedName>
    <definedName name="___________________________________________________phi8">#REF!</definedName>
    <definedName name="___________________________________________________slg1" localSheetId="5">#REF!</definedName>
    <definedName name="___________________________________________________slg1">#REF!</definedName>
    <definedName name="___________________________________________________slg2" localSheetId="5">#REF!</definedName>
    <definedName name="___________________________________________________slg2">#REF!</definedName>
    <definedName name="___________________________________________________slg3" localSheetId="5">#REF!</definedName>
    <definedName name="___________________________________________________slg3">#REF!</definedName>
    <definedName name="___________________________________________________slg4" localSheetId="5">#REF!</definedName>
    <definedName name="___________________________________________________slg4">#REF!</definedName>
    <definedName name="___________________________________________________slg5" localSheetId="5">#REF!</definedName>
    <definedName name="___________________________________________________slg5">#REF!</definedName>
    <definedName name="___________________________________________________slg6" localSheetId="5">#REF!</definedName>
    <definedName name="___________________________________________________slg6">#REF!</definedName>
    <definedName name="__________________________________________________cao1" localSheetId="5">#REF!</definedName>
    <definedName name="__________________________________________________cao1">#REF!</definedName>
    <definedName name="__________________________________________________cao2" localSheetId="5">#REF!</definedName>
    <definedName name="__________________________________________________cao2">#REF!</definedName>
    <definedName name="__________________________________________________cao3" localSheetId="5">#REF!</definedName>
    <definedName name="__________________________________________________cao3">#REF!</definedName>
    <definedName name="__________________________________________________cao4" localSheetId="5">#REF!</definedName>
    <definedName name="__________________________________________________cao4">#REF!</definedName>
    <definedName name="__________________________________________________cao5" localSheetId="5">#REF!</definedName>
    <definedName name="__________________________________________________cao5">#REF!</definedName>
    <definedName name="__________________________________________________cao6" localSheetId="5">#REF!</definedName>
    <definedName name="__________________________________________________cao6">#REF!</definedName>
    <definedName name="__________________________________________________dai1" localSheetId="5">#REF!</definedName>
    <definedName name="__________________________________________________dai1">#REF!</definedName>
    <definedName name="__________________________________________________dai2" localSheetId="5">#REF!</definedName>
    <definedName name="__________________________________________________dai2">#REF!</definedName>
    <definedName name="__________________________________________________dai3" localSheetId="5">#REF!</definedName>
    <definedName name="__________________________________________________dai3">#REF!</definedName>
    <definedName name="__________________________________________________dai4" localSheetId="5">#REF!</definedName>
    <definedName name="__________________________________________________dai4">#REF!</definedName>
    <definedName name="__________________________________________________dai5" localSheetId="5">#REF!</definedName>
    <definedName name="__________________________________________________dai5">#REF!</definedName>
    <definedName name="__________________________________________________dai6" localSheetId="5">#REF!</definedName>
    <definedName name="__________________________________________________dai6">#REF!</definedName>
    <definedName name="__________________________________________________dan1" localSheetId="5">#REF!</definedName>
    <definedName name="__________________________________________________dan1">#REF!</definedName>
    <definedName name="__________________________________________________dan2" localSheetId="5">#REF!</definedName>
    <definedName name="__________________________________________________dan2">#REF!</definedName>
    <definedName name="__________________________________________________phi10" localSheetId="5">#REF!</definedName>
    <definedName name="__________________________________________________phi10">#REF!</definedName>
    <definedName name="__________________________________________________phi12" localSheetId="5">#REF!</definedName>
    <definedName name="__________________________________________________phi12">#REF!</definedName>
    <definedName name="__________________________________________________phi14" localSheetId="5">#REF!</definedName>
    <definedName name="__________________________________________________phi14">#REF!</definedName>
    <definedName name="__________________________________________________phi16" localSheetId="5">#REF!</definedName>
    <definedName name="__________________________________________________phi16">#REF!</definedName>
    <definedName name="__________________________________________________phi18" localSheetId="5">#REF!</definedName>
    <definedName name="__________________________________________________phi18">#REF!</definedName>
    <definedName name="__________________________________________________phi20" localSheetId="5">#REF!</definedName>
    <definedName name="__________________________________________________phi20">#REF!</definedName>
    <definedName name="__________________________________________________phi22" localSheetId="5">#REF!</definedName>
    <definedName name="__________________________________________________phi22">#REF!</definedName>
    <definedName name="__________________________________________________phi25" localSheetId="5">#REF!</definedName>
    <definedName name="__________________________________________________phi25">#REF!</definedName>
    <definedName name="__________________________________________________phi28" localSheetId="5">#REF!</definedName>
    <definedName name="__________________________________________________phi28">#REF!</definedName>
    <definedName name="__________________________________________________phi6" localSheetId="5">#REF!</definedName>
    <definedName name="__________________________________________________phi6">#REF!</definedName>
    <definedName name="__________________________________________________phi8" localSheetId="5">#REF!</definedName>
    <definedName name="__________________________________________________phi8">#REF!</definedName>
    <definedName name="__________________________________________________slg1" localSheetId="5">#REF!</definedName>
    <definedName name="__________________________________________________slg1">#REF!</definedName>
    <definedName name="__________________________________________________slg2" localSheetId="5">#REF!</definedName>
    <definedName name="__________________________________________________slg2">#REF!</definedName>
    <definedName name="__________________________________________________slg3" localSheetId="5">#REF!</definedName>
    <definedName name="__________________________________________________slg3">#REF!</definedName>
    <definedName name="__________________________________________________slg4" localSheetId="5">#REF!</definedName>
    <definedName name="__________________________________________________slg4">#REF!</definedName>
    <definedName name="__________________________________________________slg5" localSheetId="5">#REF!</definedName>
    <definedName name="__________________________________________________slg5">#REF!</definedName>
    <definedName name="__________________________________________________slg6" localSheetId="5">#REF!</definedName>
    <definedName name="__________________________________________________slg6">#REF!</definedName>
    <definedName name="_________________________________________________cao1" localSheetId="5">#REF!</definedName>
    <definedName name="_________________________________________________cao1">#REF!</definedName>
    <definedName name="_________________________________________________cao2" localSheetId="5">#REF!</definedName>
    <definedName name="_________________________________________________cao2">#REF!</definedName>
    <definedName name="_________________________________________________cao3" localSheetId="5">#REF!</definedName>
    <definedName name="_________________________________________________cao3">#REF!</definedName>
    <definedName name="_________________________________________________cao4" localSheetId="5">#REF!</definedName>
    <definedName name="_________________________________________________cao4">#REF!</definedName>
    <definedName name="_________________________________________________cao5" localSheetId="5">#REF!</definedName>
    <definedName name="_________________________________________________cao5">#REF!</definedName>
    <definedName name="_________________________________________________cao6" localSheetId="5">#REF!</definedName>
    <definedName name="_________________________________________________cao6">#REF!</definedName>
    <definedName name="_________________________________________________dai1" localSheetId="5">#REF!</definedName>
    <definedName name="_________________________________________________dai1">#REF!</definedName>
    <definedName name="_________________________________________________dai2" localSheetId="5">#REF!</definedName>
    <definedName name="_________________________________________________dai2">#REF!</definedName>
    <definedName name="_________________________________________________dai3" localSheetId="5">#REF!</definedName>
    <definedName name="_________________________________________________dai3">#REF!</definedName>
    <definedName name="_________________________________________________dai4" localSheetId="5">#REF!</definedName>
    <definedName name="_________________________________________________dai4">#REF!</definedName>
    <definedName name="_________________________________________________dai5" localSheetId="5">#REF!</definedName>
    <definedName name="_________________________________________________dai5">#REF!</definedName>
    <definedName name="_________________________________________________dai6" localSheetId="5">#REF!</definedName>
    <definedName name="_________________________________________________dai6">#REF!</definedName>
    <definedName name="_________________________________________________dan1" localSheetId="5">#REF!</definedName>
    <definedName name="_________________________________________________dan1">#REF!</definedName>
    <definedName name="_________________________________________________dan2" localSheetId="5">#REF!</definedName>
    <definedName name="_________________________________________________dan2">#REF!</definedName>
    <definedName name="_________________________________________________phi10" localSheetId="5">#REF!</definedName>
    <definedName name="_________________________________________________phi10">#REF!</definedName>
    <definedName name="_________________________________________________phi12" localSheetId="5">#REF!</definedName>
    <definedName name="_________________________________________________phi12">#REF!</definedName>
    <definedName name="_________________________________________________phi14" localSheetId="5">#REF!</definedName>
    <definedName name="_________________________________________________phi14">#REF!</definedName>
    <definedName name="_________________________________________________phi16" localSheetId="5">#REF!</definedName>
    <definedName name="_________________________________________________phi16">#REF!</definedName>
    <definedName name="_________________________________________________phi18" localSheetId="5">#REF!</definedName>
    <definedName name="_________________________________________________phi18">#REF!</definedName>
    <definedName name="_________________________________________________phi20" localSheetId="5">#REF!</definedName>
    <definedName name="_________________________________________________phi20">#REF!</definedName>
    <definedName name="_________________________________________________phi22" localSheetId="5">#REF!</definedName>
    <definedName name="_________________________________________________phi22">#REF!</definedName>
    <definedName name="_________________________________________________phi25" localSheetId="5">#REF!</definedName>
    <definedName name="_________________________________________________phi25">#REF!</definedName>
    <definedName name="_________________________________________________phi28" localSheetId="5">#REF!</definedName>
    <definedName name="_________________________________________________phi28">#REF!</definedName>
    <definedName name="_________________________________________________phi6" localSheetId="5">#REF!</definedName>
    <definedName name="_________________________________________________phi6">#REF!</definedName>
    <definedName name="_________________________________________________phi8" localSheetId="5">#REF!</definedName>
    <definedName name="_________________________________________________phi8">#REF!</definedName>
    <definedName name="_________________________________________________slg1" localSheetId="5">#REF!</definedName>
    <definedName name="_________________________________________________slg1">#REF!</definedName>
    <definedName name="_________________________________________________slg2" localSheetId="5">#REF!</definedName>
    <definedName name="_________________________________________________slg2">#REF!</definedName>
    <definedName name="_________________________________________________slg3" localSheetId="5">#REF!</definedName>
    <definedName name="_________________________________________________slg3">#REF!</definedName>
    <definedName name="_________________________________________________slg4" localSheetId="5">#REF!</definedName>
    <definedName name="_________________________________________________slg4">#REF!</definedName>
    <definedName name="_________________________________________________slg5" localSheetId="5">#REF!</definedName>
    <definedName name="_________________________________________________slg5">#REF!</definedName>
    <definedName name="_________________________________________________slg6" localSheetId="5">#REF!</definedName>
    <definedName name="_________________________________________________slg6">#REF!</definedName>
    <definedName name="________________________________________________cao1" localSheetId="5">#REF!</definedName>
    <definedName name="________________________________________________cao1">#REF!</definedName>
    <definedName name="________________________________________________cao2" localSheetId="5">#REF!</definedName>
    <definedName name="________________________________________________cao2">#REF!</definedName>
    <definedName name="________________________________________________cao3" localSheetId="5">#REF!</definedName>
    <definedName name="________________________________________________cao3">#REF!</definedName>
    <definedName name="________________________________________________cao4" localSheetId="5">#REF!</definedName>
    <definedName name="________________________________________________cao4">#REF!</definedName>
    <definedName name="________________________________________________cao5" localSheetId="5">#REF!</definedName>
    <definedName name="________________________________________________cao5">#REF!</definedName>
    <definedName name="________________________________________________cao6" localSheetId="5">#REF!</definedName>
    <definedName name="________________________________________________cao6">#REF!</definedName>
    <definedName name="________________________________________________dai1" localSheetId="5">#REF!</definedName>
    <definedName name="________________________________________________dai1">#REF!</definedName>
    <definedName name="________________________________________________dai2" localSheetId="5">#REF!</definedName>
    <definedName name="________________________________________________dai2">#REF!</definedName>
    <definedName name="________________________________________________dai3" localSheetId="5">#REF!</definedName>
    <definedName name="________________________________________________dai3">#REF!</definedName>
    <definedName name="________________________________________________dai4" localSheetId="5">#REF!</definedName>
    <definedName name="________________________________________________dai4">#REF!</definedName>
    <definedName name="________________________________________________dai5" localSheetId="5">#REF!</definedName>
    <definedName name="________________________________________________dai5">#REF!</definedName>
    <definedName name="________________________________________________dai6" localSheetId="5">#REF!</definedName>
    <definedName name="________________________________________________dai6">#REF!</definedName>
    <definedName name="________________________________________________dan1" localSheetId="5">#REF!</definedName>
    <definedName name="________________________________________________dan1">#REF!</definedName>
    <definedName name="________________________________________________dan2" localSheetId="5">#REF!</definedName>
    <definedName name="________________________________________________dan2">#REF!</definedName>
    <definedName name="________________________________________________phi10" localSheetId="5">#REF!</definedName>
    <definedName name="________________________________________________phi10">#REF!</definedName>
    <definedName name="________________________________________________phi12" localSheetId="5">#REF!</definedName>
    <definedName name="________________________________________________phi12">#REF!</definedName>
    <definedName name="________________________________________________phi14" localSheetId="5">#REF!</definedName>
    <definedName name="________________________________________________phi14">#REF!</definedName>
    <definedName name="________________________________________________phi16" localSheetId="5">#REF!</definedName>
    <definedName name="________________________________________________phi16">#REF!</definedName>
    <definedName name="________________________________________________phi18" localSheetId="5">#REF!</definedName>
    <definedName name="________________________________________________phi18">#REF!</definedName>
    <definedName name="________________________________________________phi20" localSheetId="5">#REF!</definedName>
    <definedName name="________________________________________________phi20">#REF!</definedName>
    <definedName name="________________________________________________phi22" localSheetId="5">#REF!</definedName>
    <definedName name="________________________________________________phi22">#REF!</definedName>
    <definedName name="________________________________________________phi25" localSheetId="5">#REF!</definedName>
    <definedName name="________________________________________________phi25">#REF!</definedName>
    <definedName name="________________________________________________phi28" localSheetId="5">#REF!</definedName>
    <definedName name="________________________________________________phi28">#REF!</definedName>
    <definedName name="________________________________________________phi6" localSheetId="5">#REF!</definedName>
    <definedName name="________________________________________________phi6">#REF!</definedName>
    <definedName name="________________________________________________phi8" localSheetId="5">#REF!</definedName>
    <definedName name="________________________________________________phi8">#REF!</definedName>
    <definedName name="________________________________________________slg1" localSheetId="5">#REF!</definedName>
    <definedName name="________________________________________________slg1">#REF!</definedName>
    <definedName name="________________________________________________slg2" localSheetId="5">#REF!</definedName>
    <definedName name="________________________________________________slg2">#REF!</definedName>
    <definedName name="________________________________________________slg3" localSheetId="5">#REF!</definedName>
    <definedName name="________________________________________________slg3">#REF!</definedName>
    <definedName name="________________________________________________slg4" localSheetId="5">#REF!</definedName>
    <definedName name="________________________________________________slg4">#REF!</definedName>
    <definedName name="________________________________________________slg5" localSheetId="5">#REF!</definedName>
    <definedName name="________________________________________________slg5">#REF!</definedName>
    <definedName name="________________________________________________slg6" localSheetId="5">#REF!</definedName>
    <definedName name="________________________________________________slg6">#REF!</definedName>
    <definedName name="_______________________________________________cao1" localSheetId="5">#REF!</definedName>
    <definedName name="_______________________________________________cao1">#REF!</definedName>
    <definedName name="_______________________________________________cao2" localSheetId="5">#REF!</definedName>
    <definedName name="_______________________________________________cao2">#REF!</definedName>
    <definedName name="_______________________________________________cao3" localSheetId="5">#REF!</definedName>
    <definedName name="_______________________________________________cao3">#REF!</definedName>
    <definedName name="_______________________________________________cao4" localSheetId="5">#REF!</definedName>
    <definedName name="_______________________________________________cao4">#REF!</definedName>
    <definedName name="_______________________________________________cao5" localSheetId="5">#REF!</definedName>
    <definedName name="_______________________________________________cao5">#REF!</definedName>
    <definedName name="_______________________________________________cao6" localSheetId="5">#REF!</definedName>
    <definedName name="_______________________________________________cao6">#REF!</definedName>
    <definedName name="_______________________________________________dai1" localSheetId="5">#REF!</definedName>
    <definedName name="_______________________________________________dai1">#REF!</definedName>
    <definedName name="_______________________________________________dai2" localSheetId="5">#REF!</definedName>
    <definedName name="_______________________________________________dai2">#REF!</definedName>
    <definedName name="_______________________________________________dai3" localSheetId="5">#REF!</definedName>
    <definedName name="_______________________________________________dai3">#REF!</definedName>
    <definedName name="_______________________________________________dai4" localSheetId="5">#REF!</definedName>
    <definedName name="_______________________________________________dai4">#REF!</definedName>
    <definedName name="_______________________________________________dai5" localSheetId="5">#REF!</definedName>
    <definedName name="_______________________________________________dai5">#REF!</definedName>
    <definedName name="_______________________________________________dai6" localSheetId="5">#REF!</definedName>
    <definedName name="_______________________________________________dai6">#REF!</definedName>
    <definedName name="_______________________________________________dan1" localSheetId="5">#REF!</definedName>
    <definedName name="_______________________________________________dan1">#REF!</definedName>
    <definedName name="_______________________________________________dan2" localSheetId="5">#REF!</definedName>
    <definedName name="_______________________________________________dan2">#REF!</definedName>
    <definedName name="_______________________________________________phi10" localSheetId="5">#REF!</definedName>
    <definedName name="_______________________________________________phi10">#REF!</definedName>
    <definedName name="_______________________________________________phi12" localSheetId="5">#REF!</definedName>
    <definedName name="_______________________________________________phi12">#REF!</definedName>
    <definedName name="_______________________________________________phi14" localSheetId="5">#REF!</definedName>
    <definedName name="_______________________________________________phi14">#REF!</definedName>
    <definedName name="_______________________________________________phi16" localSheetId="5">#REF!</definedName>
    <definedName name="_______________________________________________phi16">#REF!</definedName>
    <definedName name="_______________________________________________phi18" localSheetId="5">#REF!</definedName>
    <definedName name="_______________________________________________phi18">#REF!</definedName>
    <definedName name="_______________________________________________phi20" localSheetId="5">#REF!</definedName>
    <definedName name="_______________________________________________phi20">#REF!</definedName>
    <definedName name="_______________________________________________phi22" localSheetId="5">#REF!</definedName>
    <definedName name="_______________________________________________phi22">#REF!</definedName>
    <definedName name="_______________________________________________phi25" localSheetId="5">#REF!</definedName>
    <definedName name="_______________________________________________phi25">#REF!</definedName>
    <definedName name="_______________________________________________phi28" localSheetId="5">#REF!</definedName>
    <definedName name="_______________________________________________phi28">#REF!</definedName>
    <definedName name="_______________________________________________phi6" localSheetId="5">#REF!</definedName>
    <definedName name="_______________________________________________phi6">#REF!</definedName>
    <definedName name="_______________________________________________phi8" localSheetId="5">#REF!</definedName>
    <definedName name="_______________________________________________phi8">#REF!</definedName>
    <definedName name="_______________________________________________slg1" localSheetId="5">#REF!</definedName>
    <definedName name="_______________________________________________slg1">#REF!</definedName>
    <definedName name="_______________________________________________slg2" localSheetId="5">#REF!</definedName>
    <definedName name="_______________________________________________slg2">#REF!</definedName>
    <definedName name="_______________________________________________slg3" localSheetId="5">#REF!</definedName>
    <definedName name="_______________________________________________slg3">#REF!</definedName>
    <definedName name="_______________________________________________slg4" localSheetId="5">#REF!</definedName>
    <definedName name="_______________________________________________slg4">#REF!</definedName>
    <definedName name="_______________________________________________slg5" localSheetId="5">#REF!</definedName>
    <definedName name="_______________________________________________slg5">#REF!</definedName>
    <definedName name="_______________________________________________slg6" localSheetId="5">#REF!</definedName>
    <definedName name="_______________________________________________slg6">#REF!</definedName>
    <definedName name="______________________________________________cao1" localSheetId="5">#REF!</definedName>
    <definedName name="______________________________________________cao1">#REF!</definedName>
    <definedName name="______________________________________________cao2" localSheetId="5">#REF!</definedName>
    <definedName name="______________________________________________cao2">#REF!</definedName>
    <definedName name="______________________________________________cao3" localSheetId="5">#REF!</definedName>
    <definedName name="______________________________________________cao3">#REF!</definedName>
    <definedName name="______________________________________________cao4" localSheetId="5">#REF!</definedName>
    <definedName name="______________________________________________cao4">#REF!</definedName>
    <definedName name="______________________________________________cao5" localSheetId="5">#REF!</definedName>
    <definedName name="______________________________________________cao5">#REF!</definedName>
    <definedName name="______________________________________________cao6" localSheetId="5">#REF!</definedName>
    <definedName name="______________________________________________cao6">#REF!</definedName>
    <definedName name="______________________________________________dai1" localSheetId="5">#REF!</definedName>
    <definedName name="______________________________________________dai1">#REF!</definedName>
    <definedName name="______________________________________________dai2" localSheetId="5">#REF!</definedName>
    <definedName name="______________________________________________dai2">#REF!</definedName>
    <definedName name="______________________________________________dai3" localSheetId="5">#REF!</definedName>
    <definedName name="______________________________________________dai3">#REF!</definedName>
    <definedName name="______________________________________________dai4" localSheetId="5">#REF!</definedName>
    <definedName name="______________________________________________dai4">#REF!</definedName>
    <definedName name="______________________________________________dai5" localSheetId="5">#REF!</definedName>
    <definedName name="______________________________________________dai5">#REF!</definedName>
    <definedName name="______________________________________________dai6" localSheetId="5">#REF!</definedName>
    <definedName name="______________________________________________dai6">#REF!</definedName>
    <definedName name="______________________________________________dan1" localSheetId="5">#REF!</definedName>
    <definedName name="______________________________________________dan1">#REF!</definedName>
    <definedName name="______________________________________________dan2" localSheetId="5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5">#REF!</definedName>
    <definedName name="______________________________________________phi10">#REF!</definedName>
    <definedName name="______________________________________________phi12" localSheetId="5">#REF!</definedName>
    <definedName name="______________________________________________phi12">#REF!</definedName>
    <definedName name="______________________________________________phi14" localSheetId="5">#REF!</definedName>
    <definedName name="______________________________________________phi14">#REF!</definedName>
    <definedName name="______________________________________________phi16" localSheetId="5">#REF!</definedName>
    <definedName name="______________________________________________phi16">#REF!</definedName>
    <definedName name="______________________________________________phi18" localSheetId="5">#REF!</definedName>
    <definedName name="______________________________________________phi18">#REF!</definedName>
    <definedName name="______________________________________________phi20" localSheetId="5">#REF!</definedName>
    <definedName name="______________________________________________phi20">#REF!</definedName>
    <definedName name="______________________________________________phi22" localSheetId="5">#REF!</definedName>
    <definedName name="______________________________________________phi22">#REF!</definedName>
    <definedName name="______________________________________________phi25" localSheetId="5">#REF!</definedName>
    <definedName name="______________________________________________phi25">#REF!</definedName>
    <definedName name="______________________________________________phi28" localSheetId="5">#REF!</definedName>
    <definedName name="______________________________________________phi28">#REF!</definedName>
    <definedName name="______________________________________________phi6" localSheetId="5">#REF!</definedName>
    <definedName name="______________________________________________phi6">#REF!</definedName>
    <definedName name="______________________________________________phi8" localSheetId="5">#REF!</definedName>
    <definedName name="______________________________________________phi8">#REF!</definedName>
    <definedName name="______________________________________________slg1" localSheetId="5">#REF!</definedName>
    <definedName name="______________________________________________slg1">#REF!</definedName>
    <definedName name="______________________________________________slg2" localSheetId="5">#REF!</definedName>
    <definedName name="______________________________________________slg2">#REF!</definedName>
    <definedName name="______________________________________________slg3" localSheetId="5">#REF!</definedName>
    <definedName name="______________________________________________slg3">#REF!</definedName>
    <definedName name="______________________________________________slg4" localSheetId="5">#REF!</definedName>
    <definedName name="______________________________________________slg4">#REF!</definedName>
    <definedName name="______________________________________________slg5" localSheetId="5">#REF!</definedName>
    <definedName name="______________________________________________slg5">#REF!</definedName>
    <definedName name="______________________________________________slg6" localSheetId="5">#REF!</definedName>
    <definedName name="______________________________________________slg6">#REF!</definedName>
    <definedName name="_____________________________________________cao1" localSheetId="5">#REF!</definedName>
    <definedName name="_____________________________________________cao1">#REF!</definedName>
    <definedName name="_____________________________________________cao2" localSheetId="5">#REF!</definedName>
    <definedName name="_____________________________________________cao2">#REF!</definedName>
    <definedName name="_____________________________________________cao3" localSheetId="5">#REF!</definedName>
    <definedName name="_____________________________________________cao3">#REF!</definedName>
    <definedName name="_____________________________________________cao4" localSheetId="5">#REF!</definedName>
    <definedName name="_____________________________________________cao4">#REF!</definedName>
    <definedName name="_____________________________________________cao5" localSheetId="5">#REF!</definedName>
    <definedName name="_____________________________________________cao5">#REF!</definedName>
    <definedName name="_____________________________________________cao6" localSheetId="5">#REF!</definedName>
    <definedName name="_____________________________________________cao6">#REF!</definedName>
    <definedName name="_____________________________________________dai1" localSheetId="5">#REF!</definedName>
    <definedName name="_____________________________________________dai1">#REF!</definedName>
    <definedName name="_____________________________________________dai2" localSheetId="5">#REF!</definedName>
    <definedName name="_____________________________________________dai2">#REF!</definedName>
    <definedName name="_____________________________________________dai3" localSheetId="5">#REF!</definedName>
    <definedName name="_____________________________________________dai3">#REF!</definedName>
    <definedName name="_____________________________________________dai4" localSheetId="5">#REF!</definedName>
    <definedName name="_____________________________________________dai4">#REF!</definedName>
    <definedName name="_____________________________________________dai5" localSheetId="5">#REF!</definedName>
    <definedName name="_____________________________________________dai5">#REF!</definedName>
    <definedName name="_____________________________________________dai6" localSheetId="5">#REF!</definedName>
    <definedName name="_____________________________________________dai6">#REF!</definedName>
    <definedName name="_____________________________________________dan1" localSheetId="5">#REF!</definedName>
    <definedName name="_____________________________________________dan1">#REF!</definedName>
    <definedName name="_____________________________________________dan2" localSheetId="5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5">#REF!</definedName>
    <definedName name="_____________________________________________phi10">#REF!</definedName>
    <definedName name="_____________________________________________phi12" localSheetId="5">#REF!</definedName>
    <definedName name="_____________________________________________phi12">#REF!</definedName>
    <definedName name="_____________________________________________phi14" localSheetId="5">#REF!</definedName>
    <definedName name="_____________________________________________phi14">#REF!</definedName>
    <definedName name="_____________________________________________phi16" localSheetId="5">#REF!</definedName>
    <definedName name="_____________________________________________phi16">#REF!</definedName>
    <definedName name="_____________________________________________phi18" localSheetId="5">#REF!</definedName>
    <definedName name="_____________________________________________phi18">#REF!</definedName>
    <definedName name="_____________________________________________phi20" localSheetId="5">#REF!</definedName>
    <definedName name="_____________________________________________phi20">#REF!</definedName>
    <definedName name="_____________________________________________phi22" localSheetId="5">#REF!</definedName>
    <definedName name="_____________________________________________phi22">#REF!</definedName>
    <definedName name="_____________________________________________phi25" localSheetId="5">#REF!</definedName>
    <definedName name="_____________________________________________phi25">#REF!</definedName>
    <definedName name="_____________________________________________phi28" localSheetId="5">#REF!</definedName>
    <definedName name="_____________________________________________phi28">#REF!</definedName>
    <definedName name="_____________________________________________phi6" localSheetId="5">#REF!</definedName>
    <definedName name="_____________________________________________phi6">#REF!</definedName>
    <definedName name="_____________________________________________phi8" localSheetId="5">#REF!</definedName>
    <definedName name="_____________________________________________phi8">#REF!</definedName>
    <definedName name="_____________________________________________slg1" localSheetId="5">#REF!</definedName>
    <definedName name="_____________________________________________slg1">#REF!</definedName>
    <definedName name="_____________________________________________slg2" localSheetId="5">#REF!</definedName>
    <definedName name="_____________________________________________slg2">#REF!</definedName>
    <definedName name="_____________________________________________slg3" localSheetId="5">#REF!</definedName>
    <definedName name="_____________________________________________slg3">#REF!</definedName>
    <definedName name="_____________________________________________slg4" localSheetId="5">#REF!</definedName>
    <definedName name="_____________________________________________slg4">#REF!</definedName>
    <definedName name="_____________________________________________slg5" localSheetId="5">#REF!</definedName>
    <definedName name="_____________________________________________slg5">#REF!</definedName>
    <definedName name="_____________________________________________slg6" localSheetId="5">#REF!</definedName>
    <definedName name="_____________________________________________slg6">#REF!</definedName>
    <definedName name="____________________________________________cao1" localSheetId="5">#REF!</definedName>
    <definedName name="____________________________________________cao1">#REF!</definedName>
    <definedName name="____________________________________________cao2" localSheetId="5">#REF!</definedName>
    <definedName name="____________________________________________cao2">#REF!</definedName>
    <definedName name="____________________________________________cao3" localSheetId="5">#REF!</definedName>
    <definedName name="____________________________________________cao3">#REF!</definedName>
    <definedName name="____________________________________________cao4" localSheetId="5">#REF!</definedName>
    <definedName name="____________________________________________cao4">#REF!</definedName>
    <definedName name="____________________________________________cao5" localSheetId="5">#REF!</definedName>
    <definedName name="____________________________________________cao5">#REF!</definedName>
    <definedName name="____________________________________________cao6" localSheetId="5">#REF!</definedName>
    <definedName name="____________________________________________cao6">#REF!</definedName>
    <definedName name="____________________________________________dai1" localSheetId="5">#REF!</definedName>
    <definedName name="____________________________________________dai1">#REF!</definedName>
    <definedName name="____________________________________________dai2" localSheetId="5">#REF!</definedName>
    <definedName name="____________________________________________dai2">#REF!</definedName>
    <definedName name="____________________________________________dai3" localSheetId="5">#REF!</definedName>
    <definedName name="____________________________________________dai3">#REF!</definedName>
    <definedName name="____________________________________________dai4" localSheetId="5">#REF!</definedName>
    <definedName name="____________________________________________dai4">#REF!</definedName>
    <definedName name="____________________________________________dai5" localSheetId="5">#REF!</definedName>
    <definedName name="____________________________________________dai5">#REF!</definedName>
    <definedName name="____________________________________________dai6" localSheetId="5">#REF!</definedName>
    <definedName name="____________________________________________dai6">#REF!</definedName>
    <definedName name="____________________________________________dan1" localSheetId="5">#REF!</definedName>
    <definedName name="____________________________________________dan1">#REF!</definedName>
    <definedName name="____________________________________________dan2" localSheetId="5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5">#REF!</definedName>
    <definedName name="____________________________________________phi10">#REF!</definedName>
    <definedName name="____________________________________________phi12" localSheetId="5">#REF!</definedName>
    <definedName name="____________________________________________phi12">#REF!</definedName>
    <definedName name="____________________________________________phi14" localSheetId="5">#REF!</definedName>
    <definedName name="____________________________________________phi14">#REF!</definedName>
    <definedName name="____________________________________________phi16" localSheetId="5">#REF!</definedName>
    <definedName name="____________________________________________phi16">#REF!</definedName>
    <definedName name="____________________________________________phi18" localSheetId="5">#REF!</definedName>
    <definedName name="____________________________________________phi18">#REF!</definedName>
    <definedName name="____________________________________________phi20" localSheetId="5">#REF!</definedName>
    <definedName name="____________________________________________phi20">#REF!</definedName>
    <definedName name="____________________________________________phi22" localSheetId="5">#REF!</definedName>
    <definedName name="____________________________________________phi22">#REF!</definedName>
    <definedName name="____________________________________________phi25" localSheetId="5">#REF!</definedName>
    <definedName name="____________________________________________phi25">#REF!</definedName>
    <definedName name="____________________________________________phi28" localSheetId="5">#REF!</definedName>
    <definedName name="____________________________________________phi28">#REF!</definedName>
    <definedName name="____________________________________________phi6" localSheetId="5">#REF!</definedName>
    <definedName name="____________________________________________phi6">#REF!</definedName>
    <definedName name="____________________________________________phi8" localSheetId="5">#REF!</definedName>
    <definedName name="____________________________________________phi8">#REF!</definedName>
    <definedName name="____________________________________________slg1" localSheetId="5">#REF!</definedName>
    <definedName name="____________________________________________slg1">#REF!</definedName>
    <definedName name="____________________________________________slg2" localSheetId="5">#REF!</definedName>
    <definedName name="____________________________________________slg2">#REF!</definedName>
    <definedName name="____________________________________________slg3" localSheetId="5">#REF!</definedName>
    <definedName name="____________________________________________slg3">#REF!</definedName>
    <definedName name="____________________________________________slg4" localSheetId="5">#REF!</definedName>
    <definedName name="____________________________________________slg4">#REF!</definedName>
    <definedName name="____________________________________________slg5" localSheetId="5">#REF!</definedName>
    <definedName name="____________________________________________slg5">#REF!</definedName>
    <definedName name="____________________________________________slg6" localSheetId="5">#REF!</definedName>
    <definedName name="____________________________________________slg6">#REF!</definedName>
    <definedName name="___________________________________________cao1" localSheetId="5">#REF!</definedName>
    <definedName name="___________________________________________cao1">#REF!</definedName>
    <definedName name="___________________________________________cao2" localSheetId="5">#REF!</definedName>
    <definedName name="___________________________________________cao2">#REF!</definedName>
    <definedName name="___________________________________________cao3" localSheetId="5">#REF!</definedName>
    <definedName name="___________________________________________cao3">#REF!</definedName>
    <definedName name="___________________________________________cao4" localSheetId="5">#REF!</definedName>
    <definedName name="___________________________________________cao4">#REF!</definedName>
    <definedName name="___________________________________________cao5" localSheetId="5">#REF!</definedName>
    <definedName name="___________________________________________cao5">#REF!</definedName>
    <definedName name="___________________________________________cao6" localSheetId="5">#REF!</definedName>
    <definedName name="___________________________________________cao6">#REF!</definedName>
    <definedName name="___________________________________________dai1" localSheetId="5">#REF!</definedName>
    <definedName name="___________________________________________dai1">#REF!</definedName>
    <definedName name="___________________________________________dai2" localSheetId="5">#REF!</definedName>
    <definedName name="___________________________________________dai2">#REF!</definedName>
    <definedName name="___________________________________________dai3" localSheetId="5">#REF!</definedName>
    <definedName name="___________________________________________dai3">#REF!</definedName>
    <definedName name="___________________________________________dai4" localSheetId="5">#REF!</definedName>
    <definedName name="___________________________________________dai4">#REF!</definedName>
    <definedName name="___________________________________________dai5" localSheetId="5">#REF!</definedName>
    <definedName name="___________________________________________dai5">#REF!</definedName>
    <definedName name="___________________________________________dai6" localSheetId="5">#REF!</definedName>
    <definedName name="___________________________________________dai6">#REF!</definedName>
    <definedName name="___________________________________________dan1" localSheetId="5">#REF!</definedName>
    <definedName name="___________________________________________dan1">#REF!</definedName>
    <definedName name="___________________________________________dan2" localSheetId="5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5">#REF!</definedName>
    <definedName name="___________________________________________phi10">#REF!</definedName>
    <definedName name="___________________________________________phi12" localSheetId="5">#REF!</definedName>
    <definedName name="___________________________________________phi12">#REF!</definedName>
    <definedName name="___________________________________________phi14" localSheetId="5">#REF!</definedName>
    <definedName name="___________________________________________phi14">#REF!</definedName>
    <definedName name="___________________________________________phi16" localSheetId="5">#REF!</definedName>
    <definedName name="___________________________________________phi16">#REF!</definedName>
    <definedName name="___________________________________________phi18" localSheetId="5">#REF!</definedName>
    <definedName name="___________________________________________phi18">#REF!</definedName>
    <definedName name="___________________________________________phi20" localSheetId="5">#REF!</definedName>
    <definedName name="___________________________________________phi20">#REF!</definedName>
    <definedName name="___________________________________________phi22" localSheetId="5">#REF!</definedName>
    <definedName name="___________________________________________phi22">#REF!</definedName>
    <definedName name="___________________________________________phi25" localSheetId="5">#REF!</definedName>
    <definedName name="___________________________________________phi25">#REF!</definedName>
    <definedName name="___________________________________________phi28" localSheetId="5">#REF!</definedName>
    <definedName name="___________________________________________phi28">#REF!</definedName>
    <definedName name="___________________________________________phi6" localSheetId="5">#REF!</definedName>
    <definedName name="___________________________________________phi6">#REF!</definedName>
    <definedName name="___________________________________________phi8" localSheetId="5">#REF!</definedName>
    <definedName name="___________________________________________phi8">#REF!</definedName>
    <definedName name="___________________________________________slg1" localSheetId="5">#REF!</definedName>
    <definedName name="___________________________________________slg1">#REF!</definedName>
    <definedName name="___________________________________________slg2" localSheetId="5">#REF!</definedName>
    <definedName name="___________________________________________slg2">#REF!</definedName>
    <definedName name="___________________________________________slg3" localSheetId="5">#REF!</definedName>
    <definedName name="___________________________________________slg3">#REF!</definedName>
    <definedName name="___________________________________________slg4" localSheetId="5">#REF!</definedName>
    <definedName name="___________________________________________slg4">#REF!</definedName>
    <definedName name="___________________________________________slg5" localSheetId="5">#REF!</definedName>
    <definedName name="___________________________________________slg5">#REF!</definedName>
    <definedName name="___________________________________________slg6" localSheetId="5">#REF!</definedName>
    <definedName name="___________________________________________slg6">#REF!</definedName>
    <definedName name="__________________________________________cao1" localSheetId="5">#REF!</definedName>
    <definedName name="__________________________________________cao1">#REF!</definedName>
    <definedName name="__________________________________________cao2" localSheetId="5">#REF!</definedName>
    <definedName name="__________________________________________cao2">#REF!</definedName>
    <definedName name="__________________________________________cao3" localSheetId="5">#REF!</definedName>
    <definedName name="__________________________________________cao3">#REF!</definedName>
    <definedName name="__________________________________________cao4" localSheetId="5">#REF!</definedName>
    <definedName name="__________________________________________cao4">#REF!</definedName>
    <definedName name="__________________________________________cao5" localSheetId="5">#REF!</definedName>
    <definedName name="__________________________________________cao5">#REF!</definedName>
    <definedName name="__________________________________________cao6" localSheetId="5">#REF!</definedName>
    <definedName name="__________________________________________cao6">#REF!</definedName>
    <definedName name="__________________________________________dai1" localSheetId="5">#REF!</definedName>
    <definedName name="__________________________________________dai1">#REF!</definedName>
    <definedName name="__________________________________________dai2" localSheetId="5">#REF!</definedName>
    <definedName name="__________________________________________dai2">#REF!</definedName>
    <definedName name="__________________________________________dai3" localSheetId="5">#REF!</definedName>
    <definedName name="__________________________________________dai3">#REF!</definedName>
    <definedName name="__________________________________________dai4" localSheetId="5">#REF!</definedName>
    <definedName name="__________________________________________dai4">#REF!</definedName>
    <definedName name="__________________________________________dai5" localSheetId="5">#REF!</definedName>
    <definedName name="__________________________________________dai5">#REF!</definedName>
    <definedName name="__________________________________________dai6" localSheetId="5">#REF!</definedName>
    <definedName name="__________________________________________dai6">#REF!</definedName>
    <definedName name="__________________________________________dan1" localSheetId="5">#REF!</definedName>
    <definedName name="__________________________________________dan1">#REF!</definedName>
    <definedName name="__________________________________________dan2" localSheetId="5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5">#REF!</definedName>
    <definedName name="__________________________________________phi10">#REF!</definedName>
    <definedName name="__________________________________________phi12" localSheetId="5">#REF!</definedName>
    <definedName name="__________________________________________phi12">#REF!</definedName>
    <definedName name="__________________________________________phi14" localSheetId="5">#REF!</definedName>
    <definedName name="__________________________________________phi14">#REF!</definedName>
    <definedName name="__________________________________________phi16" localSheetId="5">#REF!</definedName>
    <definedName name="__________________________________________phi16">#REF!</definedName>
    <definedName name="__________________________________________phi18" localSheetId="5">#REF!</definedName>
    <definedName name="__________________________________________phi18">#REF!</definedName>
    <definedName name="__________________________________________phi20" localSheetId="5">#REF!</definedName>
    <definedName name="__________________________________________phi20">#REF!</definedName>
    <definedName name="__________________________________________phi22" localSheetId="5">#REF!</definedName>
    <definedName name="__________________________________________phi22">#REF!</definedName>
    <definedName name="__________________________________________phi25" localSheetId="5">#REF!</definedName>
    <definedName name="__________________________________________phi25">#REF!</definedName>
    <definedName name="__________________________________________phi28" localSheetId="5">#REF!</definedName>
    <definedName name="__________________________________________phi28">#REF!</definedName>
    <definedName name="__________________________________________phi6" localSheetId="5">#REF!</definedName>
    <definedName name="__________________________________________phi6">#REF!</definedName>
    <definedName name="__________________________________________phi8" localSheetId="5">#REF!</definedName>
    <definedName name="__________________________________________phi8">#REF!</definedName>
    <definedName name="__________________________________________slg1" localSheetId="5">#REF!</definedName>
    <definedName name="__________________________________________slg1">#REF!</definedName>
    <definedName name="__________________________________________slg2" localSheetId="5">#REF!</definedName>
    <definedName name="__________________________________________slg2">#REF!</definedName>
    <definedName name="__________________________________________slg3" localSheetId="5">#REF!</definedName>
    <definedName name="__________________________________________slg3">#REF!</definedName>
    <definedName name="__________________________________________slg4" localSheetId="5">#REF!</definedName>
    <definedName name="__________________________________________slg4">#REF!</definedName>
    <definedName name="__________________________________________slg5" localSheetId="5">#REF!</definedName>
    <definedName name="__________________________________________slg5">#REF!</definedName>
    <definedName name="__________________________________________slg6" localSheetId="5">#REF!</definedName>
    <definedName name="__________________________________________slg6">#REF!</definedName>
    <definedName name="_________________________________________cao1" localSheetId="5">#REF!</definedName>
    <definedName name="_________________________________________cao1">#REF!</definedName>
    <definedName name="_________________________________________cao2" localSheetId="5">#REF!</definedName>
    <definedName name="_________________________________________cao2">#REF!</definedName>
    <definedName name="_________________________________________cao3" localSheetId="5">#REF!</definedName>
    <definedName name="_________________________________________cao3">#REF!</definedName>
    <definedName name="_________________________________________cao4" localSheetId="5">#REF!</definedName>
    <definedName name="_________________________________________cao4">#REF!</definedName>
    <definedName name="_________________________________________cao5" localSheetId="5">#REF!</definedName>
    <definedName name="_________________________________________cao5">#REF!</definedName>
    <definedName name="_________________________________________cao6" localSheetId="5">#REF!</definedName>
    <definedName name="_________________________________________cao6">#REF!</definedName>
    <definedName name="_________________________________________dai1" localSheetId="5">#REF!</definedName>
    <definedName name="_________________________________________dai1">#REF!</definedName>
    <definedName name="_________________________________________dai2" localSheetId="5">#REF!</definedName>
    <definedName name="_________________________________________dai2">#REF!</definedName>
    <definedName name="_________________________________________dai3" localSheetId="5">#REF!</definedName>
    <definedName name="_________________________________________dai3">#REF!</definedName>
    <definedName name="_________________________________________dai4" localSheetId="5">#REF!</definedName>
    <definedName name="_________________________________________dai4">#REF!</definedName>
    <definedName name="_________________________________________dai5" localSheetId="5">#REF!</definedName>
    <definedName name="_________________________________________dai5">#REF!</definedName>
    <definedName name="_________________________________________dai6" localSheetId="5">#REF!</definedName>
    <definedName name="_________________________________________dai6">#REF!</definedName>
    <definedName name="_________________________________________dan1" localSheetId="5">#REF!</definedName>
    <definedName name="_________________________________________dan1">#REF!</definedName>
    <definedName name="_________________________________________dan2" localSheetId="5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5">#REF!</definedName>
    <definedName name="_________________________________________phi10">#REF!</definedName>
    <definedName name="_________________________________________phi12" localSheetId="5">#REF!</definedName>
    <definedName name="_________________________________________phi12">#REF!</definedName>
    <definedName name="_________________________________________phi14" localSheetId="5">#REF!</definedName>
    <definedName name="_________________________________________phi14">#REF!</definedName>
    <definedName name="_________________________________________phi16" localSheetId="5">#REF!</definedName>
    <definedName name="_________________________________________phi16">#REF!</definedName>
    <definedName name="_________________________________________phi18" localSheetId="5">#REF!</definedName>
    <definedName name="_________________________________________phi18">#REF!</definedName>
    <definedName name="_________________________________________phi20" localSheetId="5">#REF!</definedName>
    <definedName name="_________________________________________phi20">#REF!</definedName>
    <definedName name="_________________________________________phi22" localSheetId="5">#REF!</definedName>
    <definedName name="_________________________________________phi22">#REF!</definedName>
    <definedName name="_________________________________________phi25" localSheetId="5">#REF!</definedName>
    <definedName name="_________________________________________phi25">#REF!</definedName>
    <definedName name="_________________________________________phi28" localSheetId="5">#REF!</definedName>
    <definedName name="_________________________________________phi28">#REF!</definedName>
    <definedName name="_________________________________________phi6" localSheetId="5">#REF!</definedName>
    <definedName name="_________________________________________phi6">#REF!</definedName>
    <definedName name="_________________________________________phi8" localSheetId="5">#REF!</definedName>
    <definedName name="_________________________________________phi8">#REF!</definedName>
    <definedName name="_________________________________________slg1" localSheetId="5">#REF!</definedName>
    <definedName name="_________________________________________slg1">#REF!</definedName>
    <definedName name="_________________________________________slg2" localSheetId="5">#REF!</definedName>
    <definedName name="_________________________________________slg2">#REF!</definedName>
    <definedName name="_________________________________________slg3" localSheetId="5">#REF!</definedName>
    <definedName name="_________________________________________slg3">#REF!</definedName>
    <definedName name="_________________________________________slg4" localSheetId="5">#REF!</definedName>
    <definedName name="_________________________________________slg4">#REF!</definedName>
    <definedName name="_________________________________________slg5" localSheetId="5">#REF!</definedName>
    <definedName name="_________________________________________slg5">#REF!</definedName>
    <definedName name="_________________________________________slg6" localSheetId="5">#REF!</definedName>
    <definedName name="_________________________________________slg6">#REF!</definedName>
    <definedName name="________________________________________cao1" localSheetId="5">#REF!</definedName>
    <definedName name="________________________________________cao1">#REF!</definedName>
    <definedName name="________________________________________cao2" localSheetId="5">#REF!</definedName>
    <definedName name="________________________________________cao2">#REF!</definedName>
    <definedName name="________________________________________cao3" localSheetId="5">#REF!</definedName>
    <definedName name="________________________________________cao3">#REF!</definedName>
    <definedName name="________________________________________cao4" localSheetId="5">#REF!</definedName>
    <definedName name="________________________________________cao4">#REF!</definedName>
    <definedName name="________________________________________cao5" localSheetId="5">#REF!</definedName>
    <definedName name="________________________________________cao5">#REF!</definedName>
    <definedName name="________________________________________cao6" localSheetId="5">#REF!</definedName>
    <definedName name="________________________________________cao6">#REF!</definedName>
    <definedName name="________________________________________dai1" localSheetId="5">#REF!</definedName>
    <definedName name="________________________________________dai1">#REF!</definedName>
    <definedName name="________________________________________dai2" localSheetId="5">#REF!</definedName>
    <definedName name="________________________________________dai2">#REF!</definedName>
    <definedName name="________________________________________dai3" localSheetId="5">#REF!</definedName>
    <definedName name="________________________________________dai3">#REF!</definedName>
    <definedName name="________________________________________dai4" localSheetId="5">#REF!</definedName>
    <definedName name="________________________________________dai4">#REF!</definedName>
    <definedName name="________________________________________dai5" localSheetId="5">#REF!</definedName>
    <definedName name="________________________________________dai5">#REF!</definedName>
    <definedName name="________________________________________dai6" localSheetId="5">#REF!</definedName>
    <definedName name="________________________________________dai6">#REF!</definedName>
    <definedName name="________________________________________dan1" localSheetId="5">#REF!</definedName>
    <definedName name="________________________________________dan1">#REF!</definedName>
    <definedName name="________________________________________dan2" localSheetId="5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5">#REF!</definedName>
    <definedName name="________________________________________phi10">#REF!</definedName>
    <definedName name="________________________________________phi12" localSheetId="5">#REF!</definedName>
    <definedName name="________________________________________phi12">#REF!</definedName>
    <definedName name="________________________________________phi14" localSheetId="5">#REF!</definedName>
    <definedName name="________________________________________phi14">#REF!</definedName>
    <definedName name="________________________________________phi16" localSheetId="5">#REF!</definedName>
    <definedName name="________________________________________phi16">#REF!</definedName>
    <definedName name="________________________________________phi18" localSheetId="5">#REF!</definedName>
    <definedName name="________________________________________phi18">#REF!</definedName>
    <definedName name="________________________________________phi20" localSheetId="5">#REF!</definedName>
    <definedName name="________________________________________phi20">#REF!</definedName>
    <definedName name="________________________________________phi22" localSheetId="5">#REF!</definedName>
    <definedName name="________________________________________phi22">#REF!</definedName>
    <definedName name="________________________________________phi25" localSheetId="5">#REF!</definedName>
    <definedName name="________________________________________phi25">#REF!</definedName>
    <definedName name="________________________________________phi28" localSheetId="5">#REF!</definedName>
    <definedName name="________________________________________phi28">#REF!</definedName>
    <definedName name="________________________________________phi6" localSheetId="5">#REF!</definedName>
    <definedName name="________________________________________phi6">#REF!</definedName>
    <definedName name="________________________________________phi8" localSheetId="5">#REF!</definedName>
    <definedName name="________________________________________phi8">#REF!</definedName>
    <definedName name="________________________________________slg1" localSheetId="5">#REF!</definedName>
    <definedName name="________________________________________slg1">#REF!</definedName>
    <definedName name="________________________________________slg2" localSheetId="5">#REF!</definedName>
    <definedName name="________________________________________slg2">#REF!</definedName>
    <definedName name="________________________________________slg3" localSheetId="5">#REF!</definedName>
    <definedName name="________________________________________slg3">#REF!</definedName>
    <definedName name="________________________________________slg4" localSheetId="5">#REF!</definedName>
    <definedName name="________________________________________slg4">#REF!</definedName>
    <definedName name="________________________________________slg5" localSheetId="5">#REF!</definedName>
    <definedName name="________________________________________slg5">#REF!</definedName>
    <definedName name="________________________________________slg6" localSheetId="5">#REF!</definedName>
    <definedName name="________________________________________slg6">#REF!</definedName>
    <definedName name="_______________________________________cao1" localSheetId="5">#REF!</definedName>
    <definedName name="_______________________________________cao1">#REF!</definedName>
    <definedName name="_______________________________________cao2" localSheetId="5">#REF!</definedName>
    <definedName name="_______________________________________cao2">#REF!</definedName>
    <definedName name="_______________________________________cao3" localSheetId="5">#REF!</definedName>
    <definedName name="_______________________________________cao3">#REF!</definedName>
    <definedName name="_______________________________________cao4" localSheetId="5">#REF!</definedName>
    <definedName name="_______________________________________cao4">#REF!</definedName>
    <definedName name="_______________________________________cao5" localSheetId="5">#REF!</definedName>
    <definedName name="_______________________________________cao5">#REF!</definedName>
    <definedName name="_______________________________________cao6" localSheetId="5">#REF!</definedName>
    <definedName name="_______________________________________cao6">#REF!</definedName>
    <definedName name="_______________________________________dai1" localSheetId="5">#REF!</definedName>
    <definedName name="_______________________________________dai1">#REF!</definedName>
    <definedName name="_______________________________________dai2" localSheetId="5">#REF!</definedName>
    <definedName name="_______________________________________dai2">#REF!</definedName>
    <definedName name="_______________________________________dai3" localSheetId="5">#REF!</definedName>
    <definedName name="_______________________________________dai3">#REF!</definedName>
    <definedName name="_______________________________________dai4" localSheetId="5">#REF!</definedName>
    <definedName name="_______________________________________dai4">#REF!</definedName>
    <definedName name="_______________________________________dai5" localSheetId="5">#REF!</definedName>
    <definedName name="_______________________________________dai5">#REF!</definedName>
    <definedName name="_______________________________________dai6" localSheetId="5">#REF!</definedName>
    <definedName name="_______________________________________dai6">#REF!</definedName>
    <definedName name="_______________________________________dan1" localSheetId="5">#REF!</definedName>
    <definedName name="_______________________________________dan1">#REF!</definedName>
    <definedName name="_______________________________________dan2" localSheetId="5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5">#REF!</definedName>
    <definedName name="_______________________________________phi10">#REF!</definedName>
    <definedName name="_______________________________________phi12" localSheetId="5">#REF!</definedName>
    <definedName name="_______________________________________phi12">#REF!</definedName>
    <definedName name="_______________________________________phi14" localSheetId="5">#REF!</definedName>
    <definedName name="_______________________________________phi14">#REF!</definedName>
    <definedName name="_______________________________________phi16" localSheetId="5">#REF!</definedName>
    <definedName name="_______________________________________phi16">#REF!</definedName>
    <definedName name="_______________________________________phi18" localSheetId="5">#REF!</definedName>
    <definedName name="_______________________________________phi18">#REF!</definedName>
    <definedName name="_______________________________________phi20" localSheetId="5">#REF!</definedName>
    <definedName name="_______________________________________phi20">#REF!</definedName>
    <definedName name="_______________________________________phi22" localSheetId="5">#REF!</definedName>
    <definedName name="_______________________________________phi22">#REF!</definedName>
    <definedName name="_______________________________________phi25" localSheetId="5">#REF!</definedName>
    <definedName name="_______________________________________phi25">#REF!</definedName>
    <definedName name="_______________________________________phi28" localSheetId="5">#REF!</definedName>
    <definedName name="_______________________________________phi28">#REF!</definedName>
    <definedName name="_______________________________________phi6" localSheetId="5">#REF!</definedName>
    <definedName name="_______________________________________phi6">#REF!</definedName>
    <definedName name="_______________________________________phi8" localSheetId="5">#REF!</definedName>
    <definedName name="_______________________________________phi8">#REF!</definedName>
    <definedName name="_______________________________________slg1" localSheetId="5">#REF!</definedName>
    <definedName name="_______________________________________slg1">#REF!</definedName>
    <definedName name="_______________________________________slg2" localSheetId="5">#REF!</definedName>
    <definedName name="_______________________________________slg2">#REF!</definedName>
    <definedName name="_______________________________________slg3" localSheetId="5">#REF!</definedName>
    <definedName name="_______________________________________slg3">#REF!</definedName>
    <definedName name="_______________________________________slg4" localSheetId="5">#REF!</definedName>
    <definedName name="_______________________________________slg4">#REF!</definedName>
    <definedName name="_______________________________________slg5" localSheetId="5">#REF!</definedName>
    <definedName name="_______________________________________slg5">#REF!</definedName>
    <definedName name="_______________________________________slg6" localSheetId="5">#REF!</definedName>
    <definedName name="_______________________________________slg6">#REF!</definedName>
    <definedName name="______________________________________cao1" localSheetId="5">#REF!</definedName>
    <definedName name="______________________________________cao1">#REF!</definedName>
    <definedName name="______________________________________cao2" localSheetId="5">#REF!</definedName>
    <definedName name="______________________________________cao2">#REF!</definedName>
    <definedName name="______________________________________cao3" localSheetId="5">#REF!</definedName>
    <definedName name="______________________________________cao3">#REF!</definedName>
    <definedName name="______________________________________cao4" localSheetId="5">#REF!</definedName>
    <definedName name="______________________________________cao4">#REF!</definedName>
    <definedName name="______________________________________cao5" localSheetId="5">#REF!</definedName>
    <definedName name="______________________________________cao5">#REF!</definedName>
    <definedName name="______________________________________cao6" localSheetId="5">#REF!</definedName>
    <definedName name="______________________________________cao6">#REF!</definedName>
    <definedName name="______________________________________dai1" localSheetId="5">#REF!</definedName>
    <definedName name="______________________________________dai1">#REF!</definedName>
    <definedName name="______________________________________dai2" localSheetId="5">#REF!</definedName>
    <definedName name="______________________________________dai2">#REF!</definedName>
    <definedName name="______________________________________dai3" localSheetId="5">#REF!</definedName>
    <definedName name="______________________________________dai3">#REF!</definedName>
    <definedName name="______________________________________dai4" localSheetId="5">#REF!</definedName>
    <definedName name="______________________________________dai4">#REF!</definedName>
    <definedName name="______________________________________dai5" localSheetId="5">#REF!</definedName>
    <definedName name="______________________________________dai5">#REF!</definedName>
    <definedName name="______________________________________dai6" localSheetId="5">#REF!</definedName>
    <definedName name="______________________________________dai6">#REF!</definedName>
    <definedName name="______________________________________dan1" localSheetId="5">#REF!</definedName>
    <definedName name="______________________________________dan1">#REF!</definedName>
    <definedName name="______________________________________dan2" localSheetId="5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5">#REF!</definedName>
    <definedName name="______________________________________phi10">#REF!</definedName>
    <definedName name="______________________________________phi12" localSheetId="5">#REF!</definedName>
    <definedName name="______________________________________phi12">#REF!</definedName>
    <definedName name="______________________________________phi14" localSheetId="5">#REF!</definedName>
    <definedName name="______________________________________phi14">#REF!</definedName>
    <definedName name="______________________________________phi16" localSheetId="5">#REF!</definedName>
    <definedName name="______________________________________phi16">#REF!</definedName>
    <definedName name="______________________________________phi18" localSheetId="5">#REF!</definedName>
    <definedName name="______________________________________phi18">#REF!</definedName>
    <definedName name="______________________________________phi20" localSheetId="5">#REF!</definedName>
    <definedName name="______________________________________phi20">#REF!</definedName>
    <definedName name="______________________________________phi22" localSheetId="5">#REF!</definedName>
    <definedName name="______________________________________phi22">#REF!</definedName>
    <definedName name="______________________________________phi25" localSheetId="5">#REF!</definedName>
    <definedName name="______________________________________phi25">#REF!</definedName>
    <definedName name="______________________________________phi28" localSheetId="5">#REF!</definedName>
    <definedName name="______________________________________phi28">#REF!</definedName>
    <definedName name="______________________________________phi6" localSheetId="5">#REF!</definedName>
    <definedName name="______________________________________phi6">#REF!</definedName>
    <definedName name="______________________________________phi8" localSheetId="5">#REF!</definedName>
    <definedName name="______________________________________phi8">#REF!</definedName>
    <definedName name="______________________________________slg1" localSheetId="5">#REF!</definedName>
    <definedName name="______________________________________slg1">#REF!</definedName>
    <definedName name="______________________________________slg2" localSheetId="5">#REF!</definedName>
    <definedName name="______________________________________slg2">#REF!</definedName>
    <definedName name="______________________________________slg3" localSheetId="5">#REF!</definedName>
    <definedName name="______________________________________slg3">#REF!</definedName>
    <definedName name="______________________________________slg4" localSheetId="5">#REF!</definedName>
    <definedName name="______________________________________slg4">#REF!</definedName>
    <definedName name="______________________________________slg5" localSheetId="5">#REF!</definedName>
    <definedName name="______________________________________slg5">#REF!</definedName>
    <definedName name="______________________________________slg6" localSheetId="5">#REF!</definedName>
    <definedName name="______________________________________slg6">#REF!</definedName>
    <definedName name="_____________________________________cao1" localSheetId="5">#REF!</definedName>
    <definedName name="_____________________________________cao1">#REF!</definedName>
    <definedName name="_____________________________________cao2" localSheetId="5">#REF!</definedName>
    <definedName name="_____________________________________cao2">#REF!</definedName>
    <definedName name="_____________________________________cao3" localSheetId="5">#REF!</definedName>
    <definedName name="_____________________________________cao3">#REF!</definedName>
    <definedName name="_____________________________________cao4" localSheetId="5">#REF!</definedName>
    <definedName name="_____________________________________cao4">#REF!</definedName>
    <definedName name="_____________________________________cao5" localSheetId="5">#REF!</definedName>
    <definedName name="_____________________________________cao5">#REF!</definedName>
    <definedName name="_____________________________________cao6" localSheetId="5">#REF!</definedName>
    <definedName name="_____________________________________cao6">#REF!</definedName>
    <definedName name="_____________________________________dai1" localSheetId="5">#REF!</definedName>
    <definedName name="_____________________________________dai1">#REF!</definedName>
    <definedName name="_____________________________________dai2" localSheetId="5">#REF!</definedName>
    <definedName name="_____________________________________dai2">#REF!</definedName>
    <definedName name="_____________________________________dai3" localSheetId="5">#REF!</definedName>
    <definedName name="_____________________________________dai3">#REF!</definedName>
    <definedName name="_____________________________________dai4" localSheetId="5">#REF!</definedName>
    <definedName name="_____________________________________dai4">#REF!</definedName>
    <definedName name="_____________________________________dai5" localSheetId="5">#REF!</definedName>
    <definedName name="_____________________________________dai5">#REF!</definedName>
    <definedName name="_____________________________________dai6" localSheetId="5">#REF!</definedName>
    <definedName name="_____________________________________dai6">#REF!</definedName>
    <definedName name="_____________________________________dan1" localSheetId="5">#REF!</definedName>
    <definedName name="_____________________________________dan1">#REF!</definedName>
    <definedName name="_____________________________________dan2" localSheetId="5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5">#REF!</definedName>
    <definedName name="_____________________________________phi10">#REF!</definedName>
    <definedName name="_____________________________________phi12" localSheetId="5">#REF!</definedName>
    <definedName name="_____________________________________phi12">#REF!</definedName>
    <definedName name="_____________________________________phi14" localSheetId="5">#REF!</definedName>
    <definedName name="_____________________________________phi14">#REF!</definedName>
    <definedName name="_____________________________________phi16" localSheetId="5">#REF!</definedName>
    <definedName name="_____________________________________phi16">#REF!</definedName>
    <definedName name="_____________________________________phi18" localSheetId="5">#REF!</definedName>
    <definedName name="_____________________________________phi18">#REF!</definedName>
    <definedName name="_____________________________________phi20" localSheetId="5">#REF!</definedName>
    <definedName name="_____________________________________phi20">#REF!</definedName>
    <definedName name="_____________________________________phi22" localSheetId="5">#REF!</definedName>
    <definedName name="_____________________________________phi22">#REF!</definedName>
    <definedName name="_____________________________________phi25" localSheetId="5">#REF!</definedName>
    <definedName name="_____________________________________phi25">#REF!</definedName>
    <definedName name="_____________________________________phi28" localSheetId="5">#REF!</definedName>
    <definedName name="_____________________________________phi28">#REF!</definedName>
    <definedName name="_____________________________________phi6" localSheetId="5">#REF!</definedName>
    <definedName name="_____________________________________phi6">#REF!</definedName>
    <definedName name="_____________________________________phi8" localSheetId="5">#REF!</definedName>
    <definedName name="_____________________________________phi8">#REF!</definedName>
    <definedName name="_____________________________________slg1" localSheetId="5">#REF!</definedName>
    <definedName name="_____________________________________slg1">#REF!</definedName>
    <definedName name="_____________________________________slg2" localSheetId="5">#REF!</definedName>
    <definedName name="_____________________________________slg2">#REF!</definedName>
    <definedName name="_____________________________________slg3" localSheetId="5">#REF!</definedName>
    <definedName name="_____________________________________slg3">#REF!</definedName>
    <definedName name="_____________________________________slg4" localSheetId="5">#REF!</definedName>
    <definedName name="_____________________________________slg4">#REF!</definedName>
    <definedName name="_____________________________________slg5" localSheetId="5">#REF!</definedName>
    <definedName name="_____________________________________slg5">#REF!</definedName>
    <definedName name="_____________________________________slg6" localSheetId="5">#REF!</definedName>
    <definedName name="_____________________________________slg6">#REF!</definedName>
    <definedName name="____________________________________cao1" localSheetId="5">#REF!</definedName>
    <definedName name="____________________________________cao1">#REF!</definedName>
    <definedName name="____________________________________cao2" localSheetId="5">#REF!</definedName>
    <definedName name="____________________________________cao2">#REF!</definedName>
    <definedName name="____________________________________cao3" localSheetId="5">#REF!</definedName>
    <definedName name="____________________________________cao3">#REF!</definedName>
    <definedName name="____________________________________cao4" localSheetId="5">#REF!</definedName>
    <definedName name="____________________________________cao4">#REF!</definedName>
    <definedName name="____________________________________cao5" localSheetId="5">#REF!</definedName>
    <definedName name="____________________________________cao5">#REF!</definedName>
    <definedName name="____________________________________cao6" localSheetId="5">#REF!</definedName>
    <definedName name="____________________________________cao6">#REF!</definedName>
    <definedName name="____________________________________dai1" localSheetId="5">#REF!</definedName>
    <definedName name="____________________________________dai1">#REF!</definedName>
    <definedName name="____________________________________dai2" localSheetId="5">#REF!</definedName>
    <definedName name="____________________________________dai2">#REF!</definedName>
    <definedName name="____________________________________dai3" localSheetId="5">#REF!</definedName>
    <definedName name="____________________________________dai3">#REF!</definedName>
    <definedName name="____________________________________dai4" localSheetId="5">#REF!</definedName>
    <definedName name="____________________________________dai4">#REF!</definedName>
    <definedName name="____________________________________dai5" localSheetId="5">#REF!</definedName>
    <definedName name="____________________________________dai5">#REF!</definedName>
    <definedName name="____________________________________dai6" localSheetId="5">#REF!</definedName>
    <definedName name="____________________________________dai6">#REF!</definedName>
    <definedName name="____________________________________dan1" localSheetId="5">#REF!</definedName>
    <definedName name="____________________________________dan1">#REF!</definedName>
    <definedName name="____________________________________dan2" localSheetId="5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5">#REF!</definedName>
    <definedName name="____________________________________phi10">#REF!</definedName>
    <definedName name="____________________________________phi12" localSheetId="5">#REF!</definedName>
    <definedName name="____________________________________phi12">#REF!</definedName>
    <definedName name="____________________________________phi14" localSheetId="5">#REF!</definedName>
    <definedName name="____________________________________phi14">#REF!</definedName>
    <definedName name="____________________________________phi16" localSheetId="5">#REF!</definedName>
    <definedName name="____________________________________phi16">#REF!</definedName>
    <definedName name="____________________________________phi18" localSheetId="5">#REF!</definedName>
    <definedName name="____________________________________phi18">#REF!</definedName>
    <definedName name="____________________________________phi20" localSheetId="5">#REF!</definedName>
    <definedName name="____________________________________phi20">#REF!</definedName>
    <definedName name="____________________________________phi22" localSheetId="5">#REF!</definedName>
    <definedName name="____________________________________phi22">#REF!</definedName>
    <definedName name="____________________________________phi25" localSheetId="5">#REF!</definedName>
    <definedName name="____________________________________phi25">#REF!</definedName>
    <definedName name="____________________________________phi28" localSheetId="5">#REF!</definedName>
    <definedName name="____________________________________phi28">#REF!</definedName>
    <definedName name="____________________________________phi6" localSheetId="5">#REF!</definedName>
    <definedName name="____________________________________phi6">#REF!</definedName>
    <definedName name="____________________________________phi8" localSheetId="5">#REF!</definedName>
    <definedName name="____________________________________phi8">#REF!</definedName>
    <definedName name="____________________________________slg1" localSheetId="5">#REF!</definedName>
    <definedName name="____________________________________slg1">#REF!</definedName>
    <definedName name="____________________________________slg2" localSheetId="5">#REF!</definedName>
    <definedName name="____________________________________slg2">#REF!</definedName>
    <definedName name="____________________________________slg3" localSheetId="5">#REF!</definedName>
    <definedName name="____________________________________slg3">#REF!</definedName>
    <definedName name="____________________________________slg4" localSheetId="5">#REF!</definedName>
    <definedName name="____________________________________slg4">#REF!</definedName>
    <definedName name="____________________________________slg5" localSheetId="5">#REF!</definedName>
    <definedName name="____________________________________slg5">#REF!</definedName>
    <definedName name="____________________________________slg6" localSheetId="5">#REF!</definedName>
    <definedName name="____________________________________slg6">#REF!</definedName>
    <definedName name="___________________________________cao1" localSheetId="5">#REF!</definedName>
    <definedName name="___________________________________cao1">#REF!</definedName>
    <definedName name="___________________________________cao2" localSheetId="5">#REF!</definedName>
    <definedName name="___________________________________cao2">#REF!</definedName>
    <definedName name="___________________________________cao3" localSheetId="5">#REF!</definedName>
    <definedName name="___________________________________cao3">#REF!</definedName>
    <definedName name="___________________________________cao4" localSheetId="5">#REF!</definedName>
    <definedName name="___________________________________cao4">#REF!</definedName>
    <definedName name="___________________________________cao5" localSheetId="5">#REF!</definedName>
    <definedName name="___________________________________cao5">#REF!</definedName>
    <definedName name="___________________________________cao6" localSheetId="5">#REF!</definedName>
    <definedName name="___________________________________cao6">#REF!</definedName>
    <definedName name="___________________________________dai1" localSheetId="5">#REF!</definedName>
    <definedName name="___________________________________dai1">#REF!</definedName>
    <definedName name="___________________________________dai2" localSheetId="5">#REF!</definedName>
    <definedName name="___________________________________dai2">#REF!</definedName>
    <definedName name="___________________________________dai3" localSheetId="5">#REF!</definedName>
    <definedName name="___________________________________dai3">#REF!</definedName>
    <definedName name="___________________________________dai4" localSheetId="5">#REF!</definedName>
    <definedName name="___________________________________dai4">#REF!</definedName>
    <definedName name="___________________________________dai5" localSheetId="5">#REF!</definedName>
    <definedName name="___________________________________dai5">#REF!</definedName>
    <definedName name="___________________________________dai6" localSheetId="5">#REF!</definedName>
    <definedName name="___________________________________dai6">#REF!</definedName>
    <definedName name="___________________________________dan1" localSheetId="5">#REF!</definedName>
    <definedName name="___________________________________dan1">#REF!</definedName>
    <definedName name="___________________________________dan2" localSheetId="5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5">#REF!</definedName>
    <definedName name="___________________________________phi10">#REF!</definedName>
    <definedName name="___________________________________phi12" localSheetId="5">#REF!</definedName>
    <definedName name="___________________________________phi12">#REF!</definedName>
    <definedName name="___________________________________phi14" localSheetId="5">#REF!</definedName>
    <definedName name="___________________________________phi14">#REF!</definedName>
    <definedName name="___________________________________phi16" localSheetId="5">#REF!</definedName>
    <definedName name="___________________________________phi16">#REF!</definedName>
    <definedName name="___________________________________phi18" localSheetId="5">#REF!</definedName>
    <definedName name="___________________________________phi18">#REF!</definedName>
    <definedName name="___________________________________phi20" localSheetId="5">#REF!</definedName>
    <definedName name="___________________________________phi20">#REF!</definedName>
    <definedName name="___________________________________phi22" localSheetId="5">#REF!</definedName>
    <definedName name="___________________________________phi22">#REF!</definedName>
    <definedName name="___________________________________phi25" localSheetId="5">#REF!</definedName>
    <definedName name="___________________________________phi25">#REF!</definedName>
    <definedName name="___________________________________phi28" localSheetId="5">#REF!</definedName>
    <definedName name="___________________________________phi28">#REF!</definedName>
    <definedName name="___________________________________phi6" localSheetId="5">#REF!</definedName>
    <definedName name="___________________________________phi6">#REF!</definedName>
    <definedName name="___________________________________phi8" localSheetId="5">#REF!</definedName>
    <definedName name="___________________________________phi8">#REF!</definedName>
    <definedName name="___________________________________slg1" localSheetId="5">#REF!</definedName>
    <definedName name="___________________________________slg1">#REF!</definedName>
    <definedName name="___________________________________slg2" localSheetId="5">#REF!</definedName>
    <definedName name="___________________________________slg2">#REF!</definedName>
    <definedName name="___________________________________slg3" localSheetId="5">#REF!</definedName>
    <definedName name="___________________________________slg3">#REF!</definedName>
    <definedName name="___________________________________slg4" localSheetId="5">#REF!</definedName>
    <definedName name="___________________________________slg4">#REF!</definedName>
    <definedName name="___________________________________slg5" localSheetId="5">#REF!</definedName>
    <definedName name="___________________________________slg5">#REF!</definedName>
    <definedName name="___________________________________slg6" localSheetId="5">#REF!</definedName>
    <definedName name="___________________________________slg6">#REF!</definedName>
    <definedName name="__________________________________cao1" localSheetId="5">#REF!</definedName>
    <definedName name="__________________________________cao1">#REF!</definedName>
    <definedName name="__________________________________cao2" localSheetId="5">#REF!</definedName>
    <definedName name="__________________________________cao2">#REF!</definedName>
    <definedName name="__________________________________cao3" localSheetId="5">#REF!</definedName>
    <definedName name="__________________________________cao3">#REF!</definedName>
    <definedName name="__________________________________cao4" localSheetId="5">#REF!</definedName>
    <definedName name="__________________________________cao4">#REF!</definedName>
    <definedName name="__________________________________cao5" localSheetId="5">#REF!</definedName>
    <definedName name="__________________________________cao5">#REF!</definedName>
    <definedName name="__________________________________cao6" localSheetId="5">#REF!</definedName>
    <definedName name="__________________________________cao6">#REF!</definedName>
    <definedName name="__________________________________dai1" localSheetId="5">#REF!</definedName>
    <definedName name="__________________________________dai1">#REF!</definedName>
    <definedName name="__________________________________dai2" localSheetId="5">#REF!</definedName>
    <definedName name="__________________________________dai2">#REF!</definedName>
    <definedName name="__________________________________dai3" localSheetId="5">#REF!</definedName>
    <definedName name="__________________________________dai3">#REF!</definedName>
    <definedName name="__________________________________dai4" localSheetId="5">#REF!</definedName>
    <definedName name="__________________________________dai4">#REF!</definedName>
    <definedName name="__________________________________dai5" localSheetId="5">#REF!</definedName>
    <definedName name="__________________________________dai5">#REF!</definedName>
    <definedName name="__________________________________dai6" localSheetId="5">#REF!</definedName>
    <definedName name="__________________________________dai6">#REF!</definedName>
    <definedName name="__________________________________dan1" localSheetId="5">#REF!</definedName>
    <definedName name="__________________________________dan1">#REF!</definedName>
    <definedName name="__________________________________dan2" localSheetId="5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5">#REF!</definedName>
    <definedName name="__________________________________phi10">#REF!</definedName>
    <definedName name="__________________________________phi12" localSheetId="5">#REF!</definedName>
    <definedName name="__________________________________phi12">#REF!</definedName>
    <definedName name="__________________________________phi14" localSheetId="5">#REF!</definedName>
    <definedName name="__________________________________phi14">#REF!</definedName>
    <definedName name="__________________________________phi16" localSheetId="5">#REF!</definedName>
    <definedName name="__________________________________phi16">#REF!</definedName>
    <definedName name="__________________________________phi18" localSheetId="5">#REF!</definedName>
    <definedName name="__________________________________phi18">#REF!</definedName>
    <definedName name="__________________________________phi20" localSheetId="5">#REF!</definedName>
    <definedName name="__________________________________phi20">#REF!</definedName>
    <definedName name="__________________________________phi22" localSheetId="5">#REF!</definedName>
    <definedName name="__________________________________phi22">#REF!</definedName>
    <definedName name="__________________________________phi25" localSheetId="5">#REF!</definedName>
    <definedName name="__________________________________phi25">#REF!</definedName>
    <definedName name="__________________________________phi28" localSheetId="5">#REF!</definedName>
    <definedName name="__________________________________phi28">#REF!</definedName>
    <definedName name="__________________________________phi6" localSheetId="5">#REF!</definedName>
    <definedName name="__________________________________phi6">#REF!</definedName>
    <definedName name="__________________________________phi8" localSheetId="5">#REF!</definedName>
    <definedName name="__________________________________phi8">#REF!</definedName>
    <definedName name="__________________________________slg1" localSheetId="5">#REF!</definedName>
    <definedName name="__________________________________slg1">#REF!</definedName>
    <definedName name="__________________________________slg2" localSheetId="5">#REF!</definedName>
    <definedName name="__________________________________slg2">#REF!</definedName>
    <definedName name="__________________________________slg3" localSheetId="5">#REF!</definedName>
    <definedName name="__________________________________slg3">#REF!</definedName>
    <definedName name="__________________________________slg4" localSheetId="5">#REF!</definedName>
    <definedName name="__________________________________slg4">#REF!</definedName>
    <definedName name="__________________________________slg5" localSheetId="5">#REF!</definedName>
    <definedName name="__________________________________slg5">#REF!</definedName>
    <definedName name="__________________________________slg6" localSheetId="5">#REF!</definedName>
    <definedName name="__________________________________slg6">#REF!</definedName>
    <definedName name="_________________________________cao1" localSheetId="5">#REF!</definedName>
    <definedName name="_________________________________cao1">#REF!</definedName>
    <definedName name="_________________________________cao2" localSheetId="5">#REF!</definedName>
    <definedName name="_________________________________cao2">#REF!</definedName>
    <definedName name="_________________________________cao3" localSheetId="5">#REF!</definedName>
    <definedName name="_________________________________cao3">#REF!</definedName>
    <definedName name="_________________________________cao4" localSheetId="5">#REF!</definedName>
    <definedName name="_________________________________cao4">#REF!</definedName>
    <definedName name="_________________________________cao5" localSheetId="5">#REF!</definedName>
    <definedName name="_________________________________cao5">#REF!</definedName>
    <definedName name="_________________________________cao6" localSheetId="5">#REF!</definedName>
    <definedName name="_________________________________cao6">#REF!</definedName>
    <definedName name="_________________________________dai1" localSheetId="5">#REF!</definedName>
    <definedName name="_________________________________dai1">#REF!</definedName>
    <definedName name="_________________________________dai2" localSheetId="5">#REF!</definedName>
    <definedName name="_________________________________dai2">#REF!</definedName>
    <definedName name="_________________________________dai3" localSheetId="5">#REF!</definedName>
    <definedName name="_________________________________dai3">#REF!</definedName>
    <definedName name="_________________________________dai4" localSheetId="5">#REF!</definedName>
    <definedName name="_________________________________dai4">#REF!</definedName>
    <definedName name="_________________________________dai5" localSheetId="5">#REF!</definedName>
    <definedName name="_________________________________dai5">#REF!</definedName>
    <definedName name="_________________________________dai6" localSheetId="5">#REF!</definedName>
    <definedName name="_________________________________dai6">#REF!</definedName>
    <definedName name="_________________________________dan1" localSheetId="5">#REF!</definedName>
    <definedName name="_________________________________dan1">#REF!</definedName>
    <definedName name="_________________________________dan2" localSheetId="5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5">#REF!</definedName>
    <definedName name="_________________________________phi10">#REF!</definedName>
    <definedName name="_________________________________phi12" localSheetId="5">#REF!</definedName>
    <definedName name="_________________________________phi12">#REF!</definedName>
    <definedName name="_________________________________phi14" localSheetId="5">#REF!</definedName>
    <definedName name="_________________________________phi14">#REF!</definedName>
    <definedName name="_________________________________phi16" localSheetId="5">#REF!</definedName>
    <definedName name="_________________________________phi16">#REF!</definedName>
    <definedName name="_________________________________phi18" localSheetId="5">#REF!</definedName>
    <definedName name="_________________________________phi18">#REF!</definedName>
    <definedName name="_________________________________phi20" localSheetId="5">#REF!</definedName>
    <definedName name="_________________________________phi20">#REF!</definedName>
    <definedName name="_________________________________phi22" localSheetId="5">#REF!</definedName>
    <definedName name="_________________________________phi22">#REF!</definedName>
    <definedName name="_________________________________phi25" localSheetId="5">#REF!</definedName>
    <definedName name="_________________________________phi25">#REF!</definedName>
    <definedName name="_________________________________phi28" localSheetId="5">#REF!</definedName>
    <definedName name="_________________________________phi28">#REF!</definedName>
    <definedName name="_________________________________phi6" localSheetId="5">#REF!</definedName>
    <definedName name="_________________________________phi6">#REF!</definedName>
    <definedName name="_________________________________phi8" localSheetId="5">#REF!</definedName>
    <definedName name="_________________________________phi8">#REF!</definedName>
    <definedName name="_________________________________slg1" localSheetId="5">#REF!</definedName>
    <definedName name="_________________________________slg1">#REF!</definedName>
    <definedName name="_________________________________slg2" localSheetId="5">#REF!</definedName>
    <definedName name="_________________________________slg2">#REF!</definedName>
    <definedName name="_________________________________slg3" localSheetId="5">#REF!</definedName>
    <definedName name="_________________________________slg3">#REF!</definedName>
    <definedName name="_________________________________slg4" localSheetId="5">#REF!</definedName>
    <definedName name="_________________________________slg4">#REF!</definedName>
    <definedName name="_________________________________slg5" localSheetId="5">#REF!</definedName>
    <definedName name="_________________________________slg5">#REF!</definedName>
    <definedName name="_________________________________slg6" localSheetId="5">#REF!</definedName>
    <definedName name="_________________________________slg6">#REF!</definedName>
    <definedName name="________________________________cao1" localSheetId="5">#REF!</definedName>
    <definedName name="________________________________cao1">#REF!</definedName>
    <definedName name="________________________________cao2" localSheetId="5">#REF!</definedName>
    <definedName name="________________________________cao2">#REF!</definedName>
    <definedName name="________________________________cao3" localSheetId="5">#REF!</definedName>
    <definedName name="________________________________cao3">#REF!</definedName>
    <definedName name="________________________________cao4" localSheetId="5">#REF!</definedName>
    <definedName name="________________________________cao4">#REF!</definedName>
    <definedName name="________________________________cao5" localSheetId="5">#REF!</definedName>
    <definedName name="________________________________cao5">#REF!</definedName>
    <definedName name="________________________________cao6" localSheetId="5">#REF!</definedName>
    <definedName name="________________________________cao6">#REF!</definedName>
    <definedName name="________________________________dai1" localSheetId="5">#REF!</definedName>
    <definedName name="________________________________dai1">#REF!</definedName>
    <definedName name="________________________________dai2" localSheetId="5">#REF!</definedName>
    <definedName name="________________________________dai2">#REF!</definedName>
    <definedName name="________________________________dai3" localSheetId="5">#REF!</definedName>
    <definedName name="________________________________dai3">#REF!</definedName>
    <definedName name="________________________________dai4" localSheetId="5">#REF!</definedName>
    <definedName name="________________________________dai4">#REF!</definedName>
    <definedName name="________________________________dai5" localSheetId="5">#REF!</definedName>
    <definedName name="________________________________dai5">#REF!</definedName>
    <definedName name="________________________________dai6" localSheetId="5">#REF!</definedName>
    <definedName name="________________________________dai6">#REF!</definedName>
    <definedName name="________________________________dan1" localSheetId="5">#REF!</definedName>
    <definedName name="________________________________dan1">#REF!</definedName>
    <definedName name="________________________________dan2" localSheetId="5">#REF!</definedName>
    <definedName name="________________________________dan2">#REF!</definedName>
    <definedName name="________________________________IN20">[2]XL4Poppy!$B$1:$B$16</definedName>
    <definedName name="________________________________phi10" localSheetId="5">#REF!</definedName>
    <definedName name="________________________________phi10">#REF!</definedName>
    <definedName name="________________________________phi12" localSheetId="5">#REF!</definedName>
    <definedName name="________________________________phi12">#REF!</definedName>
    <definedName name="________________________________phi14" localSheetId="5">#REF!</definedName>
    <definedName name="________________________________phi14">#REF!</definedName>
    <definedName name="________________________________phi16" localSheetId="5">#REF!</definedName>
    <definedName name="________________________________phi16">#REF!</definedName>
    <definedName name="________________________________phi18" localSheetId="5">#REF!</definedName>
    <definedName name="________________________________phi18">#REF!</definedName>
    <definedName name="________________________________phi20" localSheetId="5">#REF!</definedName>
    <definedName name="________________________________phi20">#REF!</definedName>
    <definedName name="________________________________phi22" localSheetId="5">#REF!</definedName>
    <definedName name="________________________________phi22">#REF!</definedName>
    <definedName name="________________________________phi25" localSheetId="5">#REF!</definedName>
    <definedName name="________________________________phi25">#REF!</definedName>
    <definedName name="________________________________phi28" localSheetId="5">#REF!</definedName>
    <definedName name="________________________________phi28">#REF!</definedName>
    <definedName name="________________________________phi6" localSheetId="5">#REF!</definedName>
    <definedName name="________________________________phi6">#REF!</definedName>
    <definedName name="________________________________phi8" localSheetId="5">#REF!</definedName>
    <definedName name="________________________________phi8">#REF!</definedName>
    <definedName name="________________________________slg1" localSheetId="5">#REF!</definedName>
    <definedName name="________________________________slg1">#REF!</definedName>
    <definedName name="________________________________slg2" localSheetId="5">#REF!</definedName>
    <definedName name="________________________________slg2">#REF!</definedName>
    <definedName name="________________________________slg3" localSheetId="5">#REF!</definedName>
    <definedName name="________________________________slg3">#REF!</definedName>
    <definedName name="________________________________slg4" localSheetId="5">#REF!</definedName>
    <definedName name="________________________________slg4">#REF!</definedName>
    <definedName name="________________________________slg5" localSheetId="5">#REF!</definedName>
    <definedName name="________________________________slg5">#REF!</definedName>
    <definedName name="________________________________slg6" localSheetId="5">#REF!</definedName>
    <definedName name="________________________________slg6">#REF!</definedName>
    <definedName name="_______________________________cao1" localSheetId="5">#REF!</definedName>
    <definedName name="_______________________________cao1">#REF!</definedName>
    <definedName name="_______________________________cao2" localSheetId="5">#REF!</definedName>
    <definedName name="_______________________________cao2">#REF!</definedName>
    <definedName name="_______________________________cao3" localSheetId="5">#REF!</definedName>
    <definedName name="_______________________________cao3">#REF!</definedName>
    <definedName name="_______________________________cao4" localSheetId="5">#REF!</definedName>
    <definedName name="_______________________________cao4">#REF!</definedName>
    <definedName name="_______________________________cao5" localSheetId="5">#REF!</definedName>
    <definedName name="_______________________________cao5">#REF!</definedName>
    <definedName name="_______________________________cao6" localSheetId="5">#REF!</definedName>
    <definedName name="_______________________________cao6">#REF!</definedName>
    <definedName name="_______________________________dai1" localSheetId="5">#REF!</definedName>
    <definedName name="_______________________________dai1">#REF!</definedName>
    <definedName name="_______________________________dai2" localSheetId="5">#REF!</definedName>
    <definedName name="_______________________________dai2">#REF!</definedName>
    <definedName name="_______________________________dai3" localSheetId="5">#REF!</definedName>
    <definedName name="_______________________________dai3">#REF!</definedName>
    <definedName name="_______________________________dai4" localSheetId="5">#REF!</definedName>
    <definedName name="_______________________________dai4">#REF!</definedName>
    <definedName name="_______________________________dai5" localSheetId="5">#REF!</definedName>
    <definedName name="_______________________________dai5">#REF!</definedName>
    <definedName name="_______________________________dai6" localSheetId="5">#REF!</definedName>
    <definedName name="_______________________________dai6">#REF!</definedName>
    <definedName name="_______________________________dan1" localSheetId="5">#REF!</definedName>
    <definedName name="_______________________________dan1">#REF!</definedName>
    <definedName name="_______________________________dan2" localSheetId="5">#REF!</definedName>
    <definedName name="_______________________________dan2">#REF!</definedName>
    <definedName name="_______________________________IN20">[2]XL4Poppy!$B$1:$B$16</definedName>
    <definedName name="_______________________________phi10" localSheetId="5">#REF!</definedName>
    <definedName name="_______________________________phi10">#REF!</definedName>
    <definedName name="_______________________________phi12" localSheetId="5">#REF!</definedName>
    <definedName name="_______________________________phi12">#REF!</definedName>
    <definedName name="_______________________________phi14" localSheetId="5">#REF!</definedName>
    <definedName name="_______________________________phi14">#REF!</definedName>
    <definedName name="_______________________________phi16" localSheetId="5">#REF!</definedName>
    <definedName name="_______________________________phi16">#REF!</definedName>
    <definedName name="_______________________________phi18" localSheetId="5">#REF!</definedName>
    <definedName name="_______________________________phi18">#REF!</definedName>
    <definedName name="_______________________________phi20" localSheetId="5">#REF!</definedName>
    <definedName name="_______________________________phi20">#REF!</definedName>
    <definedName name="_______________________________phi22" localSheetId="5">#REF!</definedName>
    <definedName name="_______________________________phi22">#REF!</definedName>
    <definedName name="_______________________________phi25" localSheetId="5">#REF!</definedName>
    <definedName name="_______________________________phi25">#REF!</definedName>
    <definedName name="_______________________________phi28" localSheetId="5">#REF!</definedName>
    <definedName name="_______________________________phi28">#REF!</definedName>
    <definedName name="_______________________________phi6" localSheetId="5">#REF!</definedName>
    <definedName name="_______________________________phi6">#REF!</definedName>
    <definedName name="_______________________________phi8" localSheetId="5">#REF!</definedName>
    <definedName name="_______________________________phi8">#REF!</definedName>
    <definedName name="_______________________________slg1" localSheetId="5">#REF!</definedName>
    <definedName name="_______________________________slg1">#REF!</definedName>
    <definedName name="_______________________________slg2" localSheetId="5">#REF!</definedName>
    <definedName name="_______________________________slg2">#REF!</definedName>
    <definedName name="_______________________________slg3" localSheetId="5">#REF!</definedName>
    <definedName name="_______________________________slg3">#REF!</definedName>
    <definedName name="_______________________________slg4" localSheetId="5">#REF!</definedName>
    <definedName name="_______________________________slg4">#REF!</definedName>
    <definedName name="_______________________________slg5" localSheetId="5">#REF!</definedName>
    <definedName name="_______________________________slg5">#REF!</definedName>
    <definedName name="_______________________________slg6" localSheetId="5">#REF!</definedName>
    <definedName name="_______________________________slg6">#REF!</definedName>
    <definedName name="______________________________cao1" localSheetId="5">#REF!</definedName>
    <definedName name="______________________________cao1">#REF!</definedName>
    <definedName name="______________________________cao2" localSheetId="5">#REF!</definedName>
    <definedName name="______________________________cao2">#REF!</definedName>
    <definedName name="______________________________cao3" localSheetId="5">#REF!</definedName>
    <definedName name="______________________________cao3">#REF!</definedName>
    <definedName name="______________________________cao4" localSheetId="5">#REF!</definedName>
    <definedName name="______________________________cao4">#REF!</definedName>
    <definedName name="______________________________cao5" localSheetId="5">#REF!</definedName>
    <definedName name="______________________________cao5">#REF!</definedName>
    <definedName name="______________________________cao6" localSheetId="5">#REF!</definedName>
    <definedName name="______________________________cao6">#REF!</definedName>
    <definedName name="______________________________dai1" localSheetId="5">#REF!</definedName>
    <definedName name="______________________________dai1">#REF!</definedName>
    <definedName name="______________________________dai2" localSheetId="5">#REF!</definedName>
    <definedName name="______________________________dai2">#REF!</definedName>
    <definedName name="______________________________dai3" localSheetId="5">#REF!</definedName>
    <definedName name="______________________________dai3">#REF!</definedName>
    <definedName name="______________________________dai4" localSheetId="5">#REF!</definedName>
    <definedName name="______________________________dai4">#REF!</definedName>
    <definedName name="______________________________dai5" localSheetId="5">#REF!</definedName>
    <definedName name="______________________________dai5">#REF!</definedName>
    <definedName name="______________________________dai6" localSheetId="5">#REF!</definedName>
    <definedName name="______________________________dai6">#REF!</definedName>
    <definedName name="______________________________dan1" localSheetId="5">#REF!</definedName>
    <definedName name="______________________________dan1">#REF!</definedName>
    <definedName name="______________________________dan2" localSheetId="5">#REF!</definedName>
    <definedName name="______________________________dan2">#REF!</definedName>
    <definedName name="______________________________IN20">[2]XL4Poppy!$B$1:$B$16</definedName>
    <definedName name="______________________________phi10" localSheetId="5">#REF!</definedName>
    <definedName name="______________________________phi10">#REF!</definedName>
    <definedName name="______________________________phi12" localSheetId="5">#REF!</definedName>
    <definedName name="______________________________phi12">#REF!</definedName>
    <definedName name="______________________________phi14" localSheetId="5">#REF!</definedName>
    <definedName name="______________________________phi14">#REF!</definedName>
    <definedName name="______________________________phi16" localSheetId="5">#REF!</definedName>
    <definedName name="______________________________phi16">#REF!</definedName>
    <definedName name="______________________________phi18" localSheetId="5">#REF!</definedName>
    <definedName name="______________________________phi18">#REF!</definedName>
    <definedName name="______________________________phi20" localSheetId="5">#REF!</definedName>
    <definedName name="______________________________phi20">#REF!</definedName>
    <definedName name="______________________________phi22" localSheetId="5">#REF!</definedName>
    <definedName name="______________________________phi22">#REF!</definedName>
    <definedName name="______________________________phi25" localSheetId="5">#REF!</definedName>
    <definedName name="______________________________phi25">#REF!</definedName>
    <definedName name="______________________________phi28" localSheetId="5">#REF!</definedName>
    <definedName name="______________________________phi28">#REF!</definedName>
    <definedName name="______________________________phi6" localSheetId="5">#REF!</definedName>
    <definedName name="______________________________phi6">#REF!</definedName>
    <definedName name="______________________________phi8" localSheetId="5">#REF!</definedName>
    <definedName name="______________________________phi8">#REF!</definedName>
    <definedName name="______________________________slg1" localSheetId="5">#REF!</definedName>
    <definedName name="______________________________slg1">#REF!</definedName>
    <definedName name="______________________________slg2" localSheetId="5">#REF!</definedName>
    <definedName name="______________________________slg2">#REF!</definedName>
    <definedName name="______________________________slg3" localSheetId="5">#REF!</definedName>
    <definedName name="______________________________slg3">#REF!</definedName>
    <definedName name="______________________________slg4" localSheetId="5">#REF!</definedName>
    <definedName name="______________________________slg4">#REF!</definedName>
    <definedName name="______________________________slg5" localSheetId="5">#REF!</definedName>
    <definedName name="______________________________slg5">#REF!</definedName>
    <definedName name="______________________________slg6" localSheetId="5">#REF!</definedName>
    <definedName name="______________________________slg6">#REF!</definedName>
    <definedName name="_____________________________cao1" localSheetId="5">#REF!</definedName>
    <definedName name="_____________________________cao1">#REF!</definedName>
    <definedName name="_____________________________cao2" localSheetId="5">#REF!</definedName>
    <definedName name="_____________________________cao2">#REF!</definedName>
    <definedName name="_____________________________cao3" localSheetId="5">#REF!</definedName>
    <definedName name="_____________________________cao3">#REF!</definedName>
    <definedName name="_____________________________cao4" localSheetId="5">#REF!</definedName>
    <definedName name="_____________________________cao4">#REF!</definedName>
    <definedName name="_____________________________cao5" localSheetId="5">#REF!</definedName>
    <definedName name="_____________________________cao5">#REF!</definedName>
    <definedName name="_____________________________cao6" localSheetId="5">#REF!</definedName>
    <definedName name="_____________________________cao6">#REF!</definedName>
    <definedName name="_____________________________dai1" localSheetId="5">#REF!</definedName>
    <definedName name="_____________________________dai1">#REF!</definedName>
    <definedName name="_____________________________dai2" localSheetId="5">#REF!</definedName>
    <definedName name="_____________________________dai2">#REF!</definedName>
    <definedName name="_____________________________dai3" localSheetId="5">#REF!</definedName>
    <definedName name="_____________________________dai3">#REF!</definedName>
    <definedName name="_____________________________dai4" localSheetId="5">#REF!</definedName>
    <definedName name="_____________________________dai4">#REF!</definedName>
    <definedName name="_____________________________dai5" localSheetId="5">#REF!</definedName>
    <definedName name="_____________________________dai5">#REF!</definedName>
    <definedName name="_____________________________dai6" localSheetId="5">#REF!</definedName>
    <definedName name="_____________________________dai6">#REF!</definedName>
    <definedName name="_____________________________dan1" localSheetId="5">#REF!</definedName>
    <definedName name="_____________________________dan1">#REF!</definedName>
    <definedName name="_____________________________dan2" localSheetId="5">#REF!</definedName>
    <definedName name="_____________________________dan2">#REF!</definedName>
    <definedName name="_____________________________IN20">[2]XL4Poppy!$B$1:$B$16</definedName>
    <definedName name="_____________________________phi10" localSheetId="5">#REF!</definedName>
    <definedName name="_____________________________phi10">#REF!</definedName>
    <definedName name="_____________________________phi12" localSheetId="5">#REF!</definedName>
    <definedName name="_____________________________phi12">#REF!</definedName>
    <definedName name="_____________________________phi14" localSheetId="5">#REF!</definedName>
    <definedName name="_____________________________phi14">#REF!</definedName>
    <definedName name="_____________________________phi16" localSheetId="5">#REF!</definedName>
    <definedName name="_____________________________phi16">#REF!</definedName>
    <definedName name="_____________________________phi18" localSheetId="5">#REF!</definedName>
    <definedName name="_____________________________phi18">#REF!</definedName>
    <definedName name="_____________________________phi20" localSheetId="5">#REF!</definedName>
    <definedName name="_____________________________phi20">#REF!</definedName>
    <definedName name="_____________________________phi22" localSheetId="5">#REF!</definedName>
    <definedName name="_____________________________phi22">#REF!</definedName>
    <definedName name="_____________________________phi25" localSheetId="5">#REF!</definedName>
    <definedName name="_____________________________phi25">#REF!</definedName>
    <definedName name="_____________________________phi28" localSheetId="5">#REF!</definedName>
    <definedName name="_____________________________phi28">#REF!</definedName>
    <definedName name="_____________________________phi6" localSheetId="5">#REF!</definedName>
    <definedName name="_____________________________phi6">#REF!</definedName>
    <definedName name="_____________________________phi8" localSheetId="5">#REF!</definedName>
    <definedName name="_____________________________phi8">#REF!</definedName>
    <definedName name="_____________________________slg1" localSheetId="5">#REF!</definedName>
    <definedName name="_____________________________slg1">#REF!</definedName>
    <definedName name="_____________________________slg2" localSheetId="5">#REF!</definedName>
    <definedName name="_____________________________slg2">#REF!</definedName>
    <definedName name="_____________________________slg3" localSheetId="5">#REF!</definedName>
    <definedName name="_____________________________slg3">#REF!</definedName>
    <definedName name="_____________________________slg4" localSheetId="5">#REF!</definedName>
    <definedName name="_____________________________slg4">#REF!</definedName>
    <definedName name="_____________________________slg5" localSheetId="5">#REF!</definedName>
    <definedName name="_____________________________slg5">#REF!</definedName>
    <definedName name="_____________________________slg6" localSheetId="5">#REF!</definedName>
    <definedName name="_____________________________slg6">#REF!</definedName>
    <definedName name="____________________________cao1" localSheetId="5">#REF!</definedName>
    <definedName name="____________________________cao1">#REF!</definedName>
    <definedName name="____________________________cao2" localSheetId="5">#REF!</definedName>
    <definedName name="____________________________cao2">#REF!</definedName>
    <definedName name="____________________________cao3" localSheetId="5">#REF!</definedName>
    <definedName name="____________________________cao3">#REF!</definedName>
    <definedName name="____________________________cao4" localSheetId="5">#REF!</definedName>
    <definedName name="____________________________cao4">#REF!</definedName>
    <definedName name="____________________________cao5" localSheetId="5">#REF!</definedName>
    <definedName name="____________________________cao5">#REF!</definedName>
    <definedName name="____________________________cao6" localSheetId="5">#REF!</definedName>
    <definedName name="____________________________cao6">#REF!</definedName>
    <definedName name="____________________________dai1" localSheetId="5">#REF!</definedName>
    <definedName name="____________________________dai1">#REF!</definedName>
    <definedName name="____________________________dai2" localSheetId="5">#REF!</definedName>
    <definedName name="____________________________dai2">#REF!</definedName>
    <definedName name="____________________________dai3" localSheetId="5">#REF!</definedName>
    <definedName name="____________________________dai3">#REF!</definedName>
    <definedName name="____________________________dai4" localSheetId="5">#REF!</definedName>
    <definedName name="____________________________dai4">#REF!</definedName>
    <definedName name="____________________________dai5" localSheetId="5">#REF!</definedName>
    <definedName name="____________________________dai5">#REF!</definedName>
    <definedName name="____________________________dai6" localSheetId="5">#REF!</definedName>
    <definedName name="____________________________dai6">#REF!</definedName>
    <definedName name="____________________________dan1" localSheetId="5">#REF!</definedName>
    <definedName name="____________________________dan1">#REF!</definedName>
    <definedName name="____________________________dan2" localSheetId="5">#REF!</definedName>
    <definedName name="____________________________dan2">#REF!</definedName>
    <definedName name="____________________________IN20">[2]XL4Poppy!$B$1:$B$16</definedName>
    <definedName name="____________________________phi10" localSheetId="5">#REF!</definedName>
    <definedName name="____________________________phi10">#REF!</definedName>
    <definedName name="____________________________phi12" localSheetId="5">#REF!</definedName>
    <definedName name="____________________________phi12">#REF!</definedName>
    <definedName name="____________________________phi14" localSheetId="5">#REF!</definedName>
    <definedName name="____________________________phi14">#REF!</definedName>
    <definedName name="____________________________phi16" localSheetId="5">#REF!</definedName>
    <definedName name="____________________________phi16">#REF!</definedName>
    <definedName name="____________________________phi18" localSheetId="5">#REF!</definedName>
    <definedName name="____________________________phi18">#REF!</definedName>
    <definedName name="____________________________phi20" localSheetId="5">#REF!</definedName>
    <definedName name="____________________________phi20">#REF!</definedName>
    <definedName name="____________________________phi22" localSheetId="5">#REF!</definedName>
    <definedName name="____________________________phi22">#REF!</definedName>
    <definedName name="____________________________phi25" localSheetId="5">#REF!</definedName>
    <definedName name="____________________________phi25">#REF!</definedName>
    <definedName name="____________________________phi28" localSheetId="5">#REF!</definedName>
    <definedName name="____________________________phi28">#REF!</definedName>
    <definedName name="____________________________phi6" localSheetId="5">#REF!</definedName>
    <definedName name="____________________________phi6">#REF!</definedName>
    <definedName name="____________________________phi8" localSheetId="5">#REF!</definedName>
    <definedName name="____________________________phi8">#REF!</definedName>
    <definedName name="____________________________slg1" localSheetId="5">#REF!</definedName>
    <definedName name="____________________________slg1">#REF!</definedName>
    <definedName name="____________________________slg2" localSheetId="5">#REF!</definedName>
    <definedName name="____________________________slg2">#REF!</definedName>
    <definedName name="____________________________slg3" localSheetId="5">#REF!</definedName>
    <definedName name="____________________________slg3">#REF!</definedName>
    <definedName name="____________________________slg4" localSheetId="5">#REF!</definedName>
    <definedName name="____________________________slg4">#REF!</definedName>
    <definedName name="____________________________slg5" localSheetId="5">#REF!</definedName>
    <definedName name="____________________________slg5">#REF!</definedName>
    <definedName name="____________________________slg6" localSheetId="5">#REF!</definedName>
    <definedName name="____________________________slg6">#REF!</definedName>
    <definedName name="___________________________cao1" localSheetId="5">#REF!</definedName>
    <definedName name="___________________________cao1">#REF!</definedName>
    <definedName name="___________________________cao2" localSheetId="5">#REF!</definedName>
    <definedName name="___________________________cao2">#REF!</definedName>
    <definedName name="___________________________cao3" localSheetId="5">#REF!</definedName>
    <definedName name="___________________________cao3">#REF!</definedName>
    <definedName name="___________________________cao4" localSheetId="5">#REF!</definedName>
    <definedName name="___________________________cao4">#REF!</definedName>
    <definedName name="___________________________cao5" localSheetId="5">#REF!</definedName>
    <definedName name="___________________________cao5">#REF!</definedName>
    <definedName name="___________________________cao6" localSheetId="5">#REF!</definedName>
    <definedName name="___________________________cao6">#REF!</definedName>
    <definedName name="___________________________dai1" localSheetId="5">#REF!</definedName>
    <definedName name="___________________________dai1">#REF!</definedName>
    <definedName name="___________________________dai2" localSheetId="5">#REF!</definedName>
    <definedName name="___________________________dai2">#REF!</definedName>
    <definedName name="___________________________dai3" localSheetId="5">#REF!</definedName>
    <definedName name="___________________________dai3">#REF!</definedName>
    <definedName name="___________________________dai4" localSheetId="5">#REF!</definedName>
    <definedName name="___________________________dai4">#REF!</definedName>
    <definedName name="___________________________dai5" localSheetId="5">#REF!</definedName>
    <definedName name="___________________________dai5">#REF!</definedName>
    <definedName name="___________________________dai6" localSheetId="5">#REF!</definedName>
    <definedName name="___________________________dai6">#REF!</definedName>
    <definedName name="___________________________dan1" localSheetId="5">#REF!</definedName>
    <definedName name="___________________________dan1">#REF!</definedName>
    <definedName name="___________________________dan2" localSheetId="5">#REF!</definedName>
    <definedName name="___________________________dan2">#REF!</definedName>
    <definedName name="___________________________IN20">[2]XL4Poppy!$B$1:$B$16</definedName>
    <definedName name="___________________________phi10" localSheetId="5">#REF!</definedName>
    <definedName name="___________________________phi10">#REF!</definedName>
    <definedName name="___________________________phi12" localSheetId="5">#REF!</definedName>
    <definedName name="___________________________phi12">#REF!</definedName>
    <definedName name="___________________________phi14" localSheetId="5">#REF!</definedName>
    <definedName name="___________________________phi14">#REF!</definedName>
    <definedName name="___________________________phi16" localSheetId="5">#REF!</definedName>
    <definedName name="___________________________phi16">#REF!</definedName>
    <definedName name="___________________________phi18" localSheetId="5">#REF!</definedName>
    <definedName name="___________________________phi18">#REF!</definedName>
    <definedName name="___________________________phi20" localSheetId="5">#REF!</definedName>
    <definedName name="___________________________phi20">#REF!</definedName>
    <definedName name="___________________________phi22" localSheetId="5">#REF!</definedName>
    <definedName name="___________________________phi22">#REF!</definedName>
    <definedName name="___________________________phi25" localSheetId="5">#REF!</definedName>
    <definedName name="___________________________phi25">#REF!</definedName>
    <definedName name="___________________________phi28" localSheetId="5">#REF!</definedName>
    <definedName name="___________________________phi28">#REF!</definedName>
    <definedName name="___________________________phi6" localSheetId="5">#REF!</definedName>
    <definedName name="___________________________phi6">#REF!</definedName>
    <definedName name="___________________________phi8" localSheetId="5">#REF!</definedName>
    <definedName name="___________________________phi8">#REF!</definedName>
    <definedName name="___________________________slg1" localSheetId="5">#REF!</definedName>
    <definedName name="___________________________slg1">#REF!</definedName>
    <definedName name="___________________________slg2" localSheetId="5">#REF!</definedName>
    <definedName name="___________________________slg2">#REF!</definedName>
    <definedName name="___________________________slg3" localSheetId="5">#REF!</definedName>
    <definedName name="___________________________slg3">#REF!</definedName>
    <definedName name="___________________________slg4" localSheetId="5">#REF!</definedName>
    <definedName name="___________________________slg4">#REF!</definedName>
    <definedName name="___________________________slg5" localSheetId="5">#REF!</definedName>
    <definedName name="___________________________slg5">#REF!</definedName>
    <definedName name="___________________________slg6" localSheetId="5">#REF!</definedName>
    <definedName name="___________________________slg6">#REF!</definedName>
    <definedName name="__________________________cao1" localSheetId="5">#REF!</definedName>
    <definedName name="__________________________cao1">#REF!</definedName>
    <definedName name="__________________________cao2" localSheetId="5">#REF!</definedName>
    <definedName name="__________________________cao2">#REF!</definedName>
    <definedName name="__________________________cao3" localSheetId="5">#REF!</definedName>
    <definedName name="__________________________cao3">#REF!</definedName>
    <definedName name="__________________________cao4" localSheetId="5">#REF!</definedName>
    <definedName name="__________________________cao4">#REF!</definedName>
    <definedName name="__________________________cao5" localSheetId="5">#REF!</definedName>
    <definedName name="__________________________cao5">#REF!</definedName>
    <definedName name="__________________________cao6" localSheetId="5">#REF!</definedName>
    <definedName name="__________________________cao6">#REF!</definedName>
    <definedName name="__________________________dai1" localSheetId="5">#REF!</definedName>
    <definedName name="__________________________dai1">#REF!</definedName>
    <definedName name="__________________________dai2" localSheetId="5">#REF!</definedName>
    <definedName name="__________________________dai2">#REF!</definedName>
    <definedName name="__________________________dai3" localSheetId="5">#REF!</definedName>
    <definedName name="__________________________dai3">#REF!</definedName>
    <definedName name="__________________________dai4" localSheetId="5">#REF!</definedName>
    <definedName name="__________________________dai4">#REF!</definedName>
    <definedName name="__________________________dai5" localSheetId="5">#REF!</definedName>
    <definedName name="__________________________dai5">#REF!</definedName>
    <definedName name="__________________________dai6" localSheetId="5">#REF!</definedName>
    <definedName name="__________________________dai6">#REF!</definedName>
    <definedName name="__________________________dan1" localSheetId="5">#REF!</definedName>
    <definedName name="__________________________dan1">#REF!</definedName>
    <definedName name="__________________________dan2" localSheetId="5">#REF!</definedName>
    <definedName name="__________________________dan2">#REF!</definedName>
    <definedName name="__________________________IN20">[2]XL4Poppy!$B$1:$B$16</definedName>
    <definedName name="__________________________phi10" localSheetId="5">#REF!</definedName>
    <definedName name="__________________________phi10">#REF!</definedName>
    <definedName name="__________________________phi12" localSheetId="5">#REF!</definedName>
    <definedName name="__________________________phi12">#REF!</definedName>
    <definedName name="__________________________phi14" localSheetId="5">#REF!</definedName>
    <definedName name="__________________________phi14">#REF!</definedName>
    <definedName name="__________________________phi16" localSheetId="5">#REF!</definedName>
    <definedName name="__________________________phi16">#REF!</definedName>
    <definedName name="__________________________phi18" localSheetId="5">#REF!</definedName>
    <definedName name="__________________________phi18">#REF!</definedName>
    <definedName name="__________________________phi20" localSheetId="5">#REF!</definedName>
    <definedName name="__________________________phi20">#REF!</definedName>
    <definedName name="__________________________phi22" localSheetId="5">#REF!</definedName>
    <definedName name="__________________________phi22">#REF!</definedName>
    <definedName name="__________________________phi25" localSheetId="5">#REF!</definedName>
    <definedName name="__________________________phi25">#REF!</definedName>
    <definedName name="__________________________phi28" localSheetId="5">#REF!</definedName>
    <definedName name="__________________________phi28">#REF!</definedName>
    <definedName name="__________________________phi6" localSheetId="5">#REF!</definedName>
    <definedName name="__________________________phi6">#REF!</definedName>
    <definedName name="__________________________phi8" localSheetId="5">#REF!</definedName>
    <definedName name="__________________________phi8">#REF!</definedName>
    <definedName name="__________________________slg1" localSheetId="5">#REF!</definedName>
    <definedName name="__________________________slg1">#REF!</definedName>
    <definedName name="__________________________slg2" localSheetId="5">#REF!</definedName>
    <definedName name="__________________________slg2">#REF!</definedName>
    <definedName name="__________________________slg3" localSheetId="5">#REF!</definedName>
    <definedName name="__________________________slg3">#REF!</definedName>
    <definedName name="__________________________slg4" localSheetId="5">#REF!</definedName>
    <definedName name="__________________________slg4">#REF!</definedName>
    <definedName name="__________________________slg5" localSheetId="5">#REF!</definedName>
    <definedName name="__________________________slg5">#REF!</definedName>
    <definedName name="__________________________slg6" localSheetId="5">#REF!</definedName>
    <definedName name="__________________________slg6">#REF!</definedName>
    <definedName name="_________________________cao1" localSheetId="5">#REF!</definedName>
    <definedName name="_________________________cao1">#REF!</definedName>
    <definedName name="_________________________cao2" localSheetId="5">#REF!</definedName>
    <definedName name="_________________________cao2">#REF!</definedName>
    <definedName name="_________________________cao3" localSheetId="5">#REF!</definedName>
    <definedName name="_________________________cao3">#REF!</definedName>
    <definedName name="_________________________cao4" localSheetId="5">#REF!</definedName>
    <definedName name="_________________________cao4">#REF!</definedName>
    <definedName name="_________________________cao5" localSheetId="5">#REF!</definedName>
    <definedName name="_________________________cao5">#REF!</definedName>
    <definedName name="_________________________cao6" localSheetId="5">#REF!</definedName>
    <definedName name="_________________________cao6">#REF!</definedName>
    <definedName name="_________________________dai1" localSheetId="5">#REF!</definedName>
    <definedName name="_________________________dai1">#REF!</definedName>
    <definedName name="_________________________dai2" localSheetId="5">#REF!</definedName>
    <definedName name="_________________________dai2">#REF!</definedName>
    <definedName name="_________________________dai3" localSheetId="5">#REF!</definedName>
    <definedName name="_________________________dai3">#REF!</definedName>
    <definedName name="_________________________dai4" localSheetId="5">#REF!</definedName>
    <definedName name="_________________________dai4">#REF!</definedName>
    <definedName name="_________________________dai5" localSheetId="5">#REF!</definedName>
    <definedName name="_________________________dai5">#REF!</definedName>
    <definedName name="_________________________dai6" localSheetId="5">#REF!</definedName>
    <definedName name="_________________________dai6">#REF!</definedName>
    <definedName name="_________________________dan1" localSheetId="5">#REF!</definedName>
    <definedName name="_________________________dan1">#REF!</definedName>
    <definedName name="_________________________dan2" localSheetId="5">#REF!</definedName>
    <definedName name="_________________________dan2">#REF!</definedName>
    <definedName name="_________________________IN20">[2]XL4Poppy!$B$1:$B$16</definedName>
    <definedName name="_________________________phi10" localSheetId="5">#REF!</definedName>
    <definedName name="_________________________phi10">#REF!</definedName>
    <definedName name="_________________________phi12" localSheetId="5">#REF!</definedName>
    <definedName name="_________________________phi12">#REF!</definedName>
    <definedName name="_________________________phi14" localSheetId="5">#REF!</definedName>
    <definedName name="_________________________phi14">#REF!</definedName>
    <definedName name="_________________________phi16" localSheetId="5">#REF!</definedName>
    <definedName name="_________________________phi16">#REF!</definedName>
    <definedName name="_________________________phi18" localSheetId="5">#REF!</definedName>
    <definedName name="_________________________phi18">#REF!</definedName>
    <definedName name="_________________________phi20" localSheetId="5">#REF!</definedName>
    <definedName name="_________________________phi20">#REF!</definedName>
    <definedName name="_________________________phi22" localSheetId="5">#REF!</definedName>
    <definedName name="_________________________phi22">#REF!</definedName>
    <definedName name="_________________________phi25" localSheetId="5">#REF!</definedName>
    <definedName name="_________________________phi25">#REF!</definedName>
    <definedName name="_________________________phi28" localSheetId="5">#REF!</definedName>
    <definedName name="_________________________phi28">#REF!</definedName>
    <definedName name="_________________________phi6" localSheetId="5">#REF!</definedName>
    <definedName name="_________________________phi6">#REF!</definedName>
    <definedName name="_________________________phi8" localSheetId="5">#REF!</definedName>
    <definedName name="_________________________phi8">#REF!</definedName>
    <definedName name="_________________________slg1" localSheetId="5">#REF!</definedName>
    <definedName name="_________________________slg1">#REF!</definedName>
    <definedName name="_________________________slg2" localSheetId="5">#REF!</definedName>
    <definedName name="_________________________slg2">#REF!</definedName>
    <definedName name="_________________________slg3" localSheetId="5">#REF!</definedName>
    <definedName name="_________________________slg3">#REF!</definedName>
    <definedName name="_________________________slg4" localSheetId="5">#REF!</definedName>
    <definedName name="_________________________slg4">#REF!</definedName>
    <definedName name="_________________________slg5" localSheetId="5">#REF!</definedName>
    <definedName name="_________________________slg5">#REF!</definedName>
    <definedName name="_________________________slg6" localSheetId="5">#REF!</definedName>
    <definedName name="_________________________slg6">#REF!</definedName>
    <definedName name="________________________cao1" localSheetId="5">#REF!</definedName>
    <definedName name="________________________cao1">#REF!</definedName>
    <definedName name="________________________cao2" localSheetId="5">#REF!</definedName>
    <definedName name="________________________cao2">#REF!</definedName>
    <definedName name="________________________cao3" localSheetId="5">#REF!</definedName>
    <definedName name="________________________cao3">#REF!</definedName>
    <definedName name="________________________cao4" localSheetId="5">#REF!</definedName>
    <definedName name="________________________cao4">#REF!</definedName>
    <definedName name="________________________cao5" localSheetId="5">#REF!</definedName>
    <definedName name="________________________cao5">#REF!</definedName>
    <definedName name="________________________cao6" localSheetId="5">#REF!</definedName>
    <definedName name="________________________cao6">#REF!</definedName>
    <definedName name="________________________dai1" localSheetId="5">#REF!</definedName>
    <definedName name="________________________dai1">#REF!</definedName>
    <definedName name="________________________dai2" localSheetId="5">#REF!</definedName>
    <definedName name="________________________dai2">#REF!</definedName>
    <definedName name="________________________dai3" localSheetId="5">#REF!</definedName>
    <definedName name="________________________dai3">#REF!</definedName>
    <definedName name="________________________dai4" localSheetId="5">#REF!</definedName>
    <definedName name="________________________dai4">#REF!</definedName>
    <definedName name="________________________dai5" localSheetId="5">#REF!</definedName>
    <definedName name="________________________dai5">#REF!</definedName>
    <definedName name="________________________dai6" localSheetId="5">#REF!</definedName>
    <definedName name="________________________dai6">#REF!</definedName>
    <definedName name="________________________dan1" localSheetId="5">#REF!</definedName>
    <definedName name="________________________dan1">#REF!</definedName>
    <definedName name="________________________dan2" localSheetId="5">#REF!</definedName>
    <definedName name="________________________dan2">#REF!</definedName>
    <definedName name="________________________IN20">[2]XL4Poppy!$B$1:$B$16</definedName>
    <definedName name="________________________phi10" localSheetId="5">#REF!</definedName>
    <definedName name="________________________phi10">#REF!</definedName>
    <definedName name="________________________phi12" localSheetId="5">#REF!</definedName>
    <definedName name="________________________phi12">#REF!</definedName>
    <definedName name="________________________phi14" localSheetId="5">#REF!</definedName>
    <definedName name="________________________phi14">#REF!</definedName>
    <definedName name="________________________phi16" localSheetId="5">#REF!</definedName>
    <definedName name="________________________phi16">#REF!</definedName>
    <definedName name="________________________phi18" localSheetId="5">#REF!</definedName>
    <definedName name="________________________phi18">#REF!</definedName>
    <definedName name="________________________phi20" localSheetId="5">#REF!</definedName>
    <definedName name="________________________phi20">#REF!</definedName>
    <definedName name="________________________phi22" localSheetId="5">#REF!</definedName>
    <definedName name="________________________phi22">#REF!</definedName>
    <definedName name="________________________phi25" localSheetId="5">#REF!</definedName>
    <definedName name="________________________phi25">#REF!</definedName>
    <definedName name="________________________phi28" localSheetId="5">#REF!</definedName>
    <definedName name="________________________phi28">#REF!</definedName>
    <definedName name="________________________phi6" localSheetId="5">#REF!</definedName>
    <definedName name="________________________phi6">#REF!</definedName>
    <definedName name="________________________phi8" localSheetId="5">#REF!</definedName>
    <definedName name="________________________phi8">#REF!</definedName>
    <definedName name="________________________slg1" localSheetId="5">#REF!</definedName>
    <definedName name="________________________slg1">#REF!</definedName>
    <definedName name="________________________slg2" localSheetId="5">#REF!</definedName>
    <definedName name="________________________slg2">#REF!</definedName>
    <definedName name="________________________slg3" localSheetId="5">#REF!</definedName>
    <definedName name="________________________slg3">#REF!</definedName>
    <definedName name="________________________slg4" localSheetId="5">#REF!</definedName>
    <definedName name="________________________slg4">#REF!</definedName>
    <definedName name="________________________slg5" localSheetId="5">#REF!</definedName>
    <definedName name="________________________slg5">#REF!</definedName>
    <definedName name="________________________slg6" localSheetId="5">#REF!</definedName>
    <definedName name="________________________slg6">#REF!</definedName>
    <definedName name="_______________________cao1" localSheetId="5">#REF!</definedName>
    <definedName name="_______________________cao1">#REF!</definedName>
    <definedName name="_______________________cao2" localSheetId="5">#REF!</definedName>
    <definedName name="_______________________cao2">#REF!</definedName>
    <definedName name="_______________________cao3" localSheetId="5">#REF!</definedName>
    <definedName name="_______________________cao3">#REF!</definedName>
    <definedName name="_______________________cao4" localSheetId="5">#REF!</definedName>
    <definedName name="_______________________cao4">#REF!</definedName>
    <definedName name="_______________________cao5" localSheetId="5">#REF!</definedName>
    <definedName name="_______________________cao5">#REF!</definedName>
    <definedName name="_______________________cao6" localSheetId="5">#REF!</definedName>
    <definedName name="_______________________cao6">#REF!</definedName>
    <definedName name="_______________________dai1" localSheetId="5">#REF!</definedName>
    <definedName name="_______________________dai1">#REF!</definedName>
    <definedName name="_______________________dai2" localSheetId="5">#REF!</definedName>
    <definedName name="_______________________dai2">#REF!</definedName>
    <definedName name="_______________________dai3" localSheetId="5">#REF!</definedName>
    <definedName name="_______________________dai3">#REF!</definedName>
    <definedName name="_______________________dai4" localSheetId="5">#REF!</definedName>
    <definedName name="_______________________dai4">#REF!</definedName>
    <definedName name="_______________________dai5" localSheetId="5">#REF!</definedName>
    <definedName name="_______________________dai5">#REF!</definedName>
    <definedName name="_______________________dai6" localSheetId="5">#REF!</definedName>
    <definedName name="_______________________dai6">#REF!</definedName>
    <definedName name="_______________________dan1" localSheetId="5">#REF!</definedName>
    <definedName name="_______________________dan1">#REF!</definedName>
    <definedName name="_______________________dan2" localSheetId="5">#REF!</definedName>
    <definedName name="_______________________dan2">#REF!</definedName>
    <definedName name="_______________________IN20">[2]XL4Poppy!$B$1:$B$16</definedName>
    <definedName name="_______________________phi10" localSheetId="5">#REF!</definedName>
    <definedName name="_______________________phi10">#REF!</definedName>
    <definedName name="_______________________phi12" localSheetId="5">#REF!</definedName>
    <definedName name="_______________________phi12">#REF!</definedName>
    <definedName name="_______________________phi14" localSheetId="5">#REF!</definedName>
    <definedName name="_______________________phi14">#REF!</definedName>
    <definedName name="_______________________phi16" localSheetId="5">#REF!</definedName>
    <definedName name="_______________________phi16">#REF!</definedName>
    <definedName name="_______________________phi18" localSheetId="5">#REF!</definedName>
    <definedName name="_______________________phi18">#REF!</definedName>
    <definedName name="_______________________phi20" localSheetId="5">#REF!</definedName>
    <definedName name="_______________________phi20">#REF!</definedName>
    <definedName name="_______________________phi22" localSheetId="5">#REF!</definedName>
    <definedName name="_______________________phi22">#REF!</definedName>
    <definedName name="_______________________phi25" localSheetId="5">#REF!</definedName>
    <definedName name="_______________________phi25">#REF!</definedName>
    <definedName name="_______________________phi28" localSheetId="5">#REF!</definedName>
    <definedName name="_______________________phi28">#REF!</definedName>
    <definedName name="_______________________phi6" localSheetId="5">#REF!</definedName>
    <definedName name="_______________________phi6">#REF!</definedName>
    <definedName name="_______________________phi8" localSheetId="5">#REF!</definedName>
    <definedName name="_______________________phi8">#REF!</definedName>
    <definedName name="_______________________slg1" localSheetId="5">#REF!</definedName>
    <definedName name="_______________________slg1">#REF!</definedName>
    <definedName name="_______________________slg2" localSheetId="5">#REF!</definedName>
    <definedName name="_______________________slg2">#REF!</definedName>
    <definedName name="_______________________slg3" localSheetId="5">#REF!</definedName>
    <definedName name="_______________________slg3">#REF!</definedName>
    <definedName name="_______________________slg4" localSheetId="5">#REF!</definedName>
    <definedName name="_______________________slg4">#REF!</definedName>
    <definedName name="_______________________slg5" localSheetId="5">#REF!</definedName>
    <definedName name="_______________________slg5">#REF!</definedName>
    <definedName name="_______________________slg6" localSheetId="5">#REF!</definedName>
    <definedName name="_______________________slg6">#REF!</definedName>
    <definedName name="______________________cao1" localSheetId="5">#REF!</definedName>
    <definedName name="______________________cao1">#REF!</definedName>
    <definedName name="______________________cao2" localSheetId="5">#REF!</definedName>
    <definedName name="______________________cao2">#REF!</definedName>
    <definedName name="______________________cao3" localSheetId="5">#REF!</definedName>
    <definedName name="______________________cao3">#REF!</definedName>
    <definedName name="______________________cao4" localSheetId="5">#REF!</definedName>
    <definedName name="______________________cao4">#REF!</definedName>
    <definedName name="______________________cao5" localSheetId="5">#REF!</definedName>
    <definedName name="______________________cao5">#REF!</definedName>
    <definedName name="______________________cao6" localSheetId="5">#REF!</definedName>
    <definedName name="______________________cao6">#REF!</definedName>
    <definedName name="______________________dai1" localSheetId="5">#REF!</definedName>
    <definedName name="______________________dai1">#REF!</definedName>
    <definedName name="______________________dai2" localSheetId="5">#REF!</definedName>
    <definedName name="______________________dai2">#REF!</definedName>
    <definedName name="______________________dai3" localSheetId="5">#REF!</definedName>
    <definedName name="______________________dai3">#REF!</definedName>
    <definedName name="______________________dai4" localSheetId="5">#REF!</definedName>
    <definedName name="______________________dai4">#REF!</definedName>
    <definedName name="______________________dai5" localSheetId="5">#REF!</definedName>
    <definedName name="______________________dai5">#REF!</definedName>
    <definedName name="______________________dai6" localSheetId="5">#REF!</definedName>
    <definedName name="______________________dai6">#REF!</definedName>
    <definedName name="______________________dan1" localSheetId="5">#REF!</definedName>
    <definedName name="______________________dan1">#REF!</definedName>
    <definedName name="______________________dan2" localSheetId="5">#REF!</definedName>
    <definedName name="______________________dan2">#REF!</definedName>
    <definedName name="______________________IN20">[2]XL4Poppy!$B$1:$B$16</definedName>
    <definedName name="______________________phi10" localSheetId="5">#REF!</definedName>
    <definedName name="______________________phi10">#REF!</definedName>
    <definedName name="______________________phi12" localSheetId="5">#REF!</definedName>
    <definedName name="______________________phi12">#REF!</definedName>
    <definedName name="______________________phi14" localSheetId="5">#REF!</definedName>
    <definedName name="______________________phi14">#REF!</definedName>
    <definedName name="______________________phi16" localSheetId="5">#REF!</definedName>
    <definedName name="______________________phi16">#REF!</definedName>
    <definedName name="______________________phi18" localSheetId="5">#REF!</definedName>
    <definedName name="______________________phi18">#REF!</definedName>
    <definedName name="______________________phi20" localSheetId="5">#REF!</definedName>
    <definedName name="______________________phi20">#REF!</definedName>
    <definedName name="______________________phi22" localSheetId="5">#REF!</definedName>
    <definedName name="______________________phi22">#REF!</definedName>
    <definedName name="______________________phi25" localSheetId="5">#REF!</definedName>
    <definedName name="______________________phi25">#REF!</definedName>
    <definedName name="______________________phi28" localSheetId="5">#REF!</definedName>
    <definedName name="______________________phi28">#REF!</definedName>
    <definedName name="______________________phi6" localSheetId="5">#REF!</definedName>
    <definedName name="______________________phi6">#REF!</definedName>
    <definedName name="______________________phi8" localSheetId="5">#REF!</definedName>
    <definedName name="______________________phi8">#REF!</definedName>
    <definedName name="______________________slg1" localSheetId="5">#REF!</definedName>
    <definedName name="______________________slg1">#REF!</definedName>
    <definedName name="______________________slg2" localSheetId="5">#REF!</definedName>
    <definedName name="______________________slg2">#REF!</definedName>
    <definedName name="______________________slg3" localSheetId="5">#REF!</definedName>
    <definedName name="______________________slg3">#REF!</definedName>
    <definedName name="______________________slg4" localSheetId="5">#REF!</definedName>
    <definedName name="______________________slg4">#REF!</definedName>
    <definedName name="______________________slg5" localSheetId="5">#REF!</definedName>
    <definedName name="______________________slg5">#REF!</definedName>
    <definedName name="______________________slg6" localSheetId="5">#REF!</definedName>
    <definedName name="______________________slg6">#REF!</definedName>
    <definedName name="_____________________cao1" localSheetId="5">#REF!</definedName>
    <definedName name="_____________________cao1">#REF!</definedName>
    <definedName name="_____________________cao2" localSheetId="5">#REF!</definedName>
    <definedName name="_____________________cao2">#REF!</definedName>
    <definedName name="_____________________cao3" localSheetId="5">#REF!</definedName>
    <definedName name="_____________________cao3">#REF!</definedName>
    <definedName name="_____________________cao4" localSheetId="5">#REF!</definedName>
    <definedName name="_____________________cao4">#REF!</definedName>
    <definedName name="_____________________cao5" localSheetId="5">#REF!</definedName>
    <definedName name="_____________________cao5">#REF!</definedName>
    <definedName name="_____________________cao6" localSheetId="5">#REF!</definedName>
    <definedName name="_____________________cao6">#REF!</definedName>
    <definedName name="_____________________dai1" localSheetId="5">#REF!</definedName>
    <definedName name="_____________________dai1">#REF!</definedName>
    <definedName name="_____________________dai2" localSheetId="5">#REF!</definedName>
    <definedName name="_____________________dai2">#REF!</definedName>
    <definedName name="_____________________dai3" localSheetId="5">#REF!</definedName>
    <definedName name="_____________________dai3">#REF!</definedName>
    <definedName name="_____________________dai4" localSheetId="5">#REF!</definedName>
    <definedName name="_____________________dai4">#REF!</definedName>
    <definedName name="_____________________dai5" localSheetId="5">#REF!</definedName>
    <definedName name="_____________________dai5">#REF!</definedName>
    <definedName name="_____________________dai6" localSheetId="5">#REF!</definedName>
    <definedName name="_____________________dai6">#REF!</definedName>
    <definedName name="_____________________dan1" localSheetId="5">#REF!</definedName>
    <definedName name="_____________________dan1">#REF!</definedName>
    <definedName name="_____________________dan2" localSheetId="5">#REF!</definedName>
    <definedName name="_____________________dan2">#REF!</definedName>
    <definedName name="_____________________IN20">[2]XL4Poppy!$B$1:$B$16</definedName>
    <definedName name="_____________________phi10" localSheetId="5">#REF!</definedName>
    <definedName name="_____________________phi10">#REF!</definedName>
    <definedName name="_____________________phi12" localSheetId="5">#REF!</definedName>
    <definedName name="_____________________phi12">#REF!</definedName>
    <definedName name="_____________________phi14" localSheetId="5">#REF!</definedName>
    <definedName name="_____________________phi14">#REF!</definedName>
    <definedName name="_____________________phi16" localSheetId="5">#REF!</definedName>
    <definedName name="_____________________phi16">#REF!</definedName>
    <definedName name="_____________________phi18" localSheetId="5">#REF!</definedName>
    <definedName name="_____________________phi18">#REF!</definedName>
    <definedName name="_____________________phi20" localSheetId="5">#REF!</definedName>
    <definedName name="_____________________phi20">#REF!</definedName>
    <definedName name="_____________________phi22" localSheetId="5">#REF!</definedName>
    <definedName name="_____________________phi22">#REF!</definedName>
    <definedName name="_____________________phi25" localSheetId="5">#REF!</definedName>
    <definedName name="_____________________phi25">#REF!</definedName>
    <definedName name="_____________________phi28" localSheetId="5">#REF!</definedName>
    <definedName name="_____________________phi28">#REF!</definedName>
    <definedName name="_____________________phi6" localSheetId="5">#REF!</definedName>
    <definedName name="_____________________phi6">#REF!</definedName>
    <definedName name="_____________________phi8" localSheetId="5">#REF!</definedName>
    <definedName name="_____________________phi8">#REF!</definedName>
    <definedName name="_____________________slg1" localSheetId="5">#REF!</definedName>
    <definedName name="_____________________slg1">#REF!</definedName>
    <definedName name="_____________________slg2" localSheetId="5">#REF!</definedName>
    <definedName name="_____________________slg2">#REF!</definedName>
    <definedName name="_____________________slg3" localSheetId="5">#REF!</definedName>
    <definedName name="_____________________slg3">#REF!</definedName>
    <definedName name="_____________________slg4" localSheetId="5">#REF!</definedName>
    <definedName name="_____________________slg4">#REF!</definedName>
    <definedName name="_____________________slg5" localSheetId="5">#REF!</definedName>
    <definedName name="_____________________slg5">#REF!</definedName>
    <definedName name="_____________________slg6" localSheetId="5">#REF!</definedName>
    <definedName name="_____________________slg6">#REF!</definedName>
    <definedName name="____________________cao1" localSheetId="5">#REF!</definedName>
    <definedName name="____________________cao1">#REF!</definedName>
    <definedName name="____________________cao2" localSheetId="5">#REF!</definedName>
    <definedName name="____________________cao2">#REF!</definedName>
    <definedName name="____________________cao3" localSheetId="5">#REF!</definedName>
    <definedName name="____________________cao3">#REF!</definedName>
    <definedName name="____________________cao4" localSheetId="5">#REF!</definedName>
    <definedName name="____________________cao4">#REF!</definedName>
    <definedName name="____________________cao5" localSheetId="5">#REF!</definedName>
    <definedName name="____________________cao5">#REF!</definedName>
    <definedName name="____________________cao6" localSheetId="5">#REF!</definedName>
    <definedName name="____________________cao6">#REF!</definedName>
    <definedName name="____________________dai1" localSheetId="5">#REF!</definedName>
    <definedName name="____________________dai1">#REF!</definedName>
    <definedName name="____________________dai2" localSheetId="5">#REF!</definedName>
    <definedName name="____________________dai2">#REF!</definedName>
    <definedName name="____________________dai3" localSheetId="5">#REF!</definedName>
    <definedName name="____________________dai3">#REF!</definedName>
    <definedName name="____________________dai4" localSheetId="5">#REF!</definedName>
    <definedName name="____________________dai4">#REF!</definedName>
    <definedName name="____________________dai5" localSheetId="5">#REF!</definedName>
    <definedName name="____________________dai5">#REF!</definedName>
    <definedName name="____________________dai6" localSheetId="5">#REF!</definedName>
    <definedName name="____________________dai6">#REF!</definedName>
    <definedName name="____________________dan1" localSheetId="5">#REF!</definedName>
    <definedName name="____________________dan1">#REF!</definedName>
    <definedName name="____________________dan2" localSheetId="5">#REF!</definedName>
    <definedName name="____________________dan2">#REF!</definedName>
    <definedName name="____________________IN20">[2]XL4Poppy!$B$1:$B$16</definedName>
    <definedName name="____________________phi10" localSheetId="5">#REF!</definedName>
    <definedName name="____________________phi10">#REF!</definedName>
    <definedName name="____________________phi12" localSheetId="5">#REF!</definedName>
    <definedName name="____________________phi12">#REF!</definedName>
    <definedName name="____________________phi14" localSheetId="5">#REF!</definedName>
    <definedName name="____________________phi14">#REF!</definedName>
    <definedName name="____________________phi16" localSheetId="5">#REF!</definedName>
    <definedName name="____________________phi16">#REF!</definedName>
    <definedName name="____________________phi18" localSheetId="5">#REF!</definedName>
    <definedName name="____________________phi18">#REF!</definedName>
    <definedName name="____________________phi20" localSheetId="5">#REF!</definedName>
    <definedName name="____________________phi20">#REF!</definedName>
    <definedName name="____________________phi22" localSheetId="5">#REF!</definedName>
    <definedName name="____________________phi22">#REF!</definedName>
    <definedName name="____________________phi25" localSheetId="5">#REF!</definedName>
    <definedName name="____________________phi25">#REF!</definedName>
    <definedName name="____________________phi28" localSheetId="5">#REF!</definedName>
    <definedName name="____________________phi28">#REF!</definedName>
    <definedName name="____________________phi6" localSheetId="5">#REF!</definedName>
    <definedName name="____________________phi6">#REF!</definedName>
    <definedName name="____________________phi8" localSheetId="5">#REF!</definedName>
    <definedName name="____________________phi8">#REF!</definedName>
    <definedName name="____________________slg1" localSheetId="5">#REF!</definedName>
    <definedName name="____________________slg1">#REF!</definedName>
    <definedName name="____________________slg2" localSheetId="5">#REF!</definedName>
    <definedName name="____________________slg2">#REF!</definedName>
    <definedName name="____________________slg3" localSheetId="5">#REF!</definedName>
    <definedName name="____________________slg3">#REF!</definedName>
    <definedName name="____________________slg4" localSheetId="5">#REF!</definedName>
    <definedName name="____________________slg4">#REF!</definedName>
    <definedName name="____________________slg5" localSheetId="5">#REF!</definedName>
    <definedName name="____________________slg5">#REF!</definedName>
    <definedName name="____________________slg6" localSheetId="5">#REF!</definedName>
    <definedName name="____________________slg6">#REF!</definedName>
    <definedName name="___________________cao1" localSheetId="5">#REF!</definedName>
    <definedName name="___________________cao1">#REF!</definedName>
    <definedName name="___________________cao2" localSheetId="5">#REF!</definedName>
    <definedName name="___________________cao2">#REF!</definedName>
    <definedName name="___________________cao3" localSheetId="5">#REF!</definedName>
    <definedName name="___________________cao3">#REF!</definedName>
    <definedName name="___________________cao4" localSheetId="5">#REF!</definedName>
    <definedName name="___________________cao4">#REF!</definedName>
    <definedName name="___________________cao5" localSheetId="5">#REF!</definedName>
    <definedName name="___________________cao5">#REF!</definedName>
    <definedName name="___________________cao6" localSheetId="5">#REF!</definedName>
    <definedName name="___________________cao6">#REF!</definedName>
    <definedName name="___________________dai1" localSheetId="5">#REF!</definedName>
    <definedName name="___________________dai1">#REF!</definedName>
    <definedName name="___________________dai2" localSheetId="5">#REF!</definedName>
    <definedName name="___________________dai2">#REF!</definedName>
    <definedName name="___________________dai3" localSheetId="5">#REF!</definedName>
    <definedName name="___________________dai3">#REF!</definedName>
    <definedName name="___________________dai4" localSheetId="5">#REF!</definedName>
    <definedName name="___________________dai4">#REF!</definedName>
    <definedName name="___________________dai5" localSheetId="5">#REF!</definedName>
    <definedName name="___________________dai5">#REF!</definedName>
    <definedName name="___________________dai6" localSheetId="5">#REF!</definedName>
    <definedName name="___________________dai6">#REF!</definedName>
    <definedName name="___________________dan1" localSheetId="5">#REF!</definedName>
    <definedName name="___________________dan1">#REF!</definedName>
    <definedName name="___________________dan2" localSheetId="5">#REF!</definedName>
    <definedName name="___________________dan2">#REF!</definedName>
    <definedName name="___________________IN20">[2]XL4Poppy!$B$1:$B$16</definedName>
    <definedName name="___________________phi10" localSheetId="5">#REF!</definedName>
    <definedName name="___________________phi10">#REF!</definedName>
    <definedName name="___________________phi12" localSheetId="5">#REF!</definedName>
    <definedName name="___________________phi12">#REF!</definedName>
    <definedName name="___________________phi14" localSheetId="5">#REF!</definedName>
    <definedName name="___________________phi14">#REF!</definedName>
    <definedName name="___________________phi16" localSheetId="5">#REF!</definedName>
    <definedName name="___________________phi16">#REF!</definedName>
    <definedName name="___________________phi18" localSheetId="5">#REF!</definedName>
    <definedName name="___________________phi18">#REF!</definedName>
    <definedName name="___________________phi20" localSheetId="5">#REF!</definedName>
    <definedName name="___________________phi20">#REF!</definedName>
    <definedName name="___________________phi22" localSheetId="5">#REF!</definedName>
    <definedName name="___________________phi22">#REF!</definedName>
    <definedName name="___________________phi25" localSheetId="5">#REF!</definedName>
    <definedName name="___________________phi25">#REF!</definedName>
    <definedName name="___________________phi28" localSheetId="5">#REF!</definedName>
    <definedName name="___________________phi28">#REF!</definedName>
    <definedName name="___________________phi6" localSheetId="5">#REF!</definedName>
    <definedName name="___________________phi6">#REF!</definedName>
    <definedName name="___________________phi8" localSheetId="5">#REF!</definedName>
    <definedName name="___________________phi8">#REF!</definedName>
    <definedName name="___________________slg1" localSheetId="5">#REF!</definedName>
    <definedName name="___________________slg1">#REF!</definedName>
    <definedName name="___________________slg2" localSheetId="5">#REF!</definedName>
    <definedName name="___________________slg2">#REF!</definedName>
    <definedName name="___________________slg3" localSheetId="5">#REF!</definedName>
    <definedName name="___________________slg3">#REF!</definedName>
    <definedName name="___________________slg4" localSheetId="5">#REF!</definedName>
    <definedName name="___________________slg4">#REF!</definedName>
    <definedName name="___________________slg5" localSheetId="5">#REF!</definedName>
    <definedName name="___________________slg5">#REF!</definedName>
    <definedName name="___________________slg6" localSheetId="5">#REF!</definedName>
    <definedName name="___________________slg6">#REF!</definedName>
    <definedName name="__________________cao1" localSheetId="5">#REF!</definedName>
    <definedName name="__________________cao1">#REF!</definedName>
    <definedName name="__________________cao2" localSheetId="5">#REF!</definedName>
    <definedName name="__________________cao2">#REF!</definedName>
    <definedName name="__________________cao3" localSheetId="5">#REF!</definedName>
    <definedName name="__________________cao3">#REF!</definedName>
    <definedName name="__________________cao4" localSheetId="5">#REF!</definedName>
    <definedName name="__________________cao4">#REF!</definedName>
    <definedName name="__________________cao5" localSheetId="5">#REF!</definedName>
    <definedName name="__________________cao5">#REF!</definedName>
    <definedName name="__________________cao6" localSheetId="5">#REF!</definedName>
    <definedName name="__________________cao6">#REF!</definedName>
    <definedName name="__________________dai1" localSheetId="5">#REF!</definedName>
    <definedName name="__________________dai1">#REF!</definedName>
    <definedName name="__________________dai2" localSheetId="5">#REF!</definedName>
    <definedName name="__________________dai2">#REF!</definedName>
    <definedName name="__________________dai3" localSheetId="5">#REF!</definedName>
    <definedName name="__________________dai3">#REF!</definedName>
    <definedName name="__________________dai4" localSheetId="5">#REF!</definedName>
    <definedName name="__________________dai4">#REF!</definedName>
    <definedName name="__________________dai5" localSheetId="5">#REF!</definedName>
    <definedName name="__________________dai5">#REF!</definedName>
    <definedName name="__________________dai6" localSheetId="5">#REF!</definedName>
    <definedName name="__________________dai6">#REF!</definedName>
    <definedName name="__________________dan1" localSheetId="5">#REF!</definedName>
    <definedName name="__________________dan1">#REF!</definedName>
    <definedName name="__________________dan2" localSheetId="5">#REF!</definedName>
    <definedName name="__________________dan2">#REF!</definedName>
    <definedName name="__________________IN20">[2]XL4Poppy!$B$1:$B$16</definedName>
    <definedName name="__________________phi10" localSheetId="5">#REF!</definedName>
    <definedName name="__________________phi10">#REF!</definedName>
    <definedName name="__________________phi12" localSheetId="5">#REF!</definedName>
    <definedName name="__________________phi12">#REF!</definedName>
    <definedName name="__________________phi14" localSheetId="5">#REF!</definedName>
    <definedName name="__________________phi14">#REF!</definedName>
    <definedName name="__________________phi16" localSheetId="5">#REF!</definedName>
    <definedName name="__________________phi16">#REF!</definedName>
    <definedName name="__________________phi18" localSheetId="5">#REF!</definedName>
    <definedName name="__________________phi18">#REF!</definedName>
    <definedName name="__________________phi20" localSheetId="5">#REF!</definedName>
    <definedName name="__________________phi20">#REF!</definedName>
    <definedName name="__________________phi22" localSheetId="5">#REF!</definedName>
    <definedName name="__________________phi22">#REF!</definedName>
    <definedName name="__________________phi25" localSheetId="5">#REF!</definedName>
    <definedName name="__________________phi25">#REF!</definedName>
    <definedName name="__________________phi28" localSheetId="5">#REF!</definedName>
    <definedName name="__________________phi28">#REF!</definedName>
    <definedName name="__________________phi6" localSheetId="5">#REF!</definedName>
    <definedName name="__________________phi6">#REF!</definedName>
    <definedName name="__________________phi8" localSheetId="5">#REF!</definedName>
    <definedName name="__________________phi8">#REF!</definedName>
    <definedName name="__________________slg1" localSheetId="5">#REF!</definedName>
    <definedName name="__________________slg1">#REF!</definedName>
    <definedName name="__________________slg2" localSheetId="5">#REF!</definedName>
    <definedName name="__________________slg2">#REF!</definedName>
    <definedName name="__________________slg3" localSheetId="5">#REF!</definedName>
    <definedName name="__________________slg3">#REF!</definedName>
    <definedName name="__________________slg4" localSheetId="5">#REF!</definedName>
    <definedName name="__________________slg4">#REF!</definedName>
    <definedName name="__________________slg5" localSheetId="5">#REF!</definedName>
    <definedName name="__________________slg5">#REF!</definedName>
    <definedName name="__________________slg6" localSheetId="5">#REF!</definedName>
    <definedName name="__________________slg6">#REF!</definedName>
    <definedName name="_________________cao1" localSheetId="5">#REF!</definedName>
    <definedName name="_________________cao1">#REF!</definedName>
    <definedName name="_________________cao2" localSheetId="5">#REF!</definedName>
    <definedName name="_________________cao2">#REF!</definedName>
    <definedName name="_________________cao3" localSheetId="5">#REF!</definedName>
    <definedName name="_________________cao3">#REF!</definedName>
    <definedName name="_________________cao4" localSheetId="5">#REF!</definedName>
    <definedName name="_________________cao4">#REF!</definedName>
    <definedName name="_________________cao5" localSheetId="5">#REF!</definedName>
    <definedName name="_________________cao5">#REF!</definedName>
    <definedName name="_________________cao6" localSheetId="5">#REF!</definedName>
    <definedName name="_________________cao6">#REF!</definedName>
    <definedName name="_________________dai1" localSheetId="5">#REF!</definedName>
    <definedName name="_________________dai1">#REF!</definedName>
    <definedName name="_________________dai2" localSheetId="5">#REF!</definedName>
    <definedName name="_________________dai2">#REF!</definedName>
    <definedName name="_________________dai3" localSheetId="5">#REF!</definedName>
    <definedName name="_________________dai3">#REF!</definedName>
    <definedName name="_________________dai4" localSheetId="5">#REF!</definedName>
    <definedName name="_________________dai4">#REF!</definedName>
    <definedName name="_________________dai5" localSheetId="5">#REF!</definedName>
    <definedName name="_________________dai5">#REF!</definedName>
    <definedName name="_________________dai6" localSheetId="5">#REF!</definedName>
    <definedName name="_________________dai6">#REF!</definedName>
    <definedName name="_________________dan1" localSheetId="5">#REF!</definedName>
    <definedName name="_________________dan1">#REF!</definedName>
    <definedName name="_________________dan2" localSheetId="5">#REF!</definedName>
    <definedName name="_________________dan2">#REF!</definedName>
    <definedName name="_________________IN20">[2]XL4Poppy!$B$1:$B$16</definedName>
    <definedName name="_________________ma1368" localSheetId="5">#REF!</definedName>
    <definedName name="_________________ma1368">#REF!</definedName>
    <definedName name="_________________phi10" localSheetId="5">#REF!</definedName>
    <definedName name="_________________phi10">#REF!</definedName>
    <definedName name="_________________phi12" localSheetId="5">#REF!</definedName>
    <definedName name="_________________phi12">#REF!</definedName>
    <definedName name="_________________phi14" localSheetId="5">#REF!</definedName>
    <definedName name="_________________phi14">#REF!</definedName>
    <definedName name="_________________phi16" localSheetId="5">#REF!</definedName>
    <definedName name="_________________phi16">#REF!</definedName>
    <definedName name="_________________phi18" localSheetId="5">#REF!</definedName>
    <definedName name="_________________phi18">#REF!</definedName>
    <definedName name="_________________phi20" localSheetId="5">#REF!</definedName>
    <definedName name="_________________phi20">#REF!</definedName>
    <definedName name="_________________phi22" localSheetId="5">#REF!</definedName>
    <definedName name="_________________phi22">#REF!</definedName>
    <definedName name="_________________phi25" localSheetId="5">#REF!</definedName>
    <definedName name="_________________phi25">#REF!</definedName>
    <definedName name="_________________phi28" localSheetId="5">#REF!</definedName>
    <definedName name="_________________phi28">#REF!</definedName>
    <definedName name="_________________phi6" localSheetId="5">#REF!</definedName>
    <definedName name="_________________phi6">#REF!</definedName>
    <definedName name="_________________phi8" localSheetId="5">#REF!</definedName>
    <definedName name="_________________phi8">#REF!</definedName>
    <definedName name="_________________slg1" localSheetId="5">#REF!</definedName>
    <definedName name="_________________slg1">#REF!</definedName>
    <definedName name="_________________slg2" localSheetId="5">#REF!</definedName>
    <definedName name="_________________slg2">#REF!</definedName>
    <definedName name="_________________slg3" localSheetId="5">#REF!</definedName>
    <definedName name="_________________slg3">#REF!</definedName>
    <definedName name="_________________slg4" localSheetId="5">#REF!</definedName>
    <definedName name="_________________slg4">#REF!</definedName>
    <definedName name="_________________slg5" localSheetId="5">#REF!</definedName>
    <definedName name="_________________slg5">#REF!</definedName>
    <definedName name="_________________slg6" localSheetId="5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5">#REF!</definedName>
    <definedName name="________________cao1">#REF!</definedName>
    <definedName name="________________cao2" localSheetId="5">#REF!</definedName>
    <definedName name="________________cao2">#REF!</definedName>
    <definedName name="________________cao3" localSheetId="5">#REF!</definedName>
    <definedName name="________________cao3">#REF!</definedName>
    <definedName name="________________cao4" localSheetId="5">#REF!</definedName>
    <definedName name="________________cao4">#REF!</definedName>
    <definedName name="________________cao5" localSheetId="5">#REF!</definedName>
    <definedName name="________________cao5">#REF!</definedName>
    <definedName name="________________cao6" localSheetId="5">#REF!</definedName>
    <definedName name="________________cao6">#REF!</definedName>
    <definedName name="________________dai1" localSheetId="5">#REF!</definedName>
    <definedName name="________________dai1">#REF!</definedName>
    <definedName name="________________dai2" localSheetId="5">#REF!</definedName>
    <definedName name="________________dai2">#REF!</definedName>
    <definedName name="________________dai3" localSheetId="5">#REF!</definedName>
    <definedName name="________________dai3">#REF!</definedName>
    <definedName name="________________dai4" localSheetId="5">#REF!</definedName>
    <definedName name="________________dai4">#REF!</definedName>
    <definedName name="________________dai5" localSheetId="5">#REF!</definedName>
    <definedName name="________________dai5">#REF!</definedName>
    <definedName name="________________dai6" localSheetId="5">#REF!</definedName>
    <definedName name="________________dai6">#REF!</definedName>
    <definedName name="________________dan1" localSheetId="5">#REF!</definedName>
    <definedName name="________________dan1">#REF!</definedName>
    <definedName name="________________dan2" localSheetId="5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5">#REF!</definedName>
    <definedName name="________________phi10">#REF!</definedName>
    <definedName name="________________phi12" localSheetId="5">#REF!</definedName>
    <definedName name="________________phi12">#REF!</definedName>
    <definedName name="________________phi14" localSheetId="5">#REF!</definedName>
    <definedName name="________________phi14">#REF!</definedName>
    <definedName name="________________phi16" localSheetId="5">#REF!</definedName>
    <definedName name="________________phi16">#REF!</definedName>
    <definedName name="________________phi18" localSheetId="5">#REF!</definedName>
    <definedName name="________________phi18">#REF!</definedName>
    <definedName name="________________phi20" localSheetId="5">#REF!</definedName>
    <definedName name="________________phi20">#REF!</definedName>
    <definedName name="________________phi2000" localSheetId="5">#REF!</definedName>
    <definedName name="________________phi2000">#REF!</definedName>
    <definedName name="________________phi22" localSheetId="5">#REF!</definedName>
    <definedName name="________________phi22">#REF!</definedName>
    <definedName name="________________phi25" localSheetId="5">#REF!</definedName>
    <definedName name="________________phi25">#REF!</definedName>
    <definedName name="________________phi28" localSheetId="5">#REF!</definedName>
    <definedName name="________________phi28">#REF!</definedName>
    <definedName name="________________phi6" localSheetId="5">#REF!</definedName>
    <definedName name="________________phi6">#REF!</definedName>
    <definedName name="________________phi8" localSheetId="5">#REF!</definedName>
    <definedName name="________________phi8">#REF!</definedName>
    <definedName name="________________slg1" localSheetId="5">#REF!</definedName>
    <definedName name="________________slg1">#REF!</definedName>
    <definedName name="________________slg2" localSheetId="5">#REF!</definedName>
    <definedName name="________________slg2">#REF!</definedName>
    <definedName name="________________slg3" localSheetId="5">#REF!</definedName>
    <definedName name="________________slg3">#REF!</definedName>
    <definedName name="________________slg4" localSheetId="5">#REF!</definedName>
    <definedName name="________________slg4">#REF!</definedName>
    <definedName name="________________slg5" localSheetId="5">#REF!</definedName>
    <definedName name="________________slg5">#REF!</definedName>
    <definedName name="________________slg6" localSheetId="5">#REF!</definedName>
    <definedName name="________________slg6">#REF!</definedName>
    <definedName name="_______________cao1" localSheetId="5">#REF!</definedName>
    <definedName name="_______________cao1">#REF!</definedName>
    <definedName name="_______________cao2" localSheetId="5">#REF!</definedName>
    <definedName name="_______________cao2">#REF!</definedName>
    <definedName name="_______________cao3" localSheetId="5">#REF!</definedName>
    <definedName name="_______________cao3">#REF!</definedName>
    <definedName name="_______________cao4" localSheetId="5">#REF!</definedName>
    <definedName name="_______________cao4">#REF!</definedName>
    <definedName name="_______________cao5" localSheetId="5">#REF!</definedName>
    <definedName name="_______________cao5">#REF!</definedName>
    <definedName name="_______________cao6" localSheetId="5">#REF!</definedName>
    <definedName name="_______________cao6">#REF!</definedName>
    <definedName name="_______________dai1" localSheetId="5">#REF!</definedName>
    <definedName name="_______________dai1">#REF!</definedName>
    <definedName name="_______________dai2" localSheetId="5">#REF!</definedName>
    <definedName name="_______________dai2">#REF!</definedName>
    <definedName name="_______________dai3" localSheetId="5">#REF!</definedName>
    <definedName name="_______________dai3">#REF!</definedName>
    <definedName name="_______________dai4" localSheetId="5">#REF!</definedName>
    <definedName name="_______________dai4">#REF!</definedName>
    <definedName name="_______________dai5" localSheetId="5">#REF!</definedName>
    <definedName name="_______________dai5">#REF!</definedName>
    <definedName name="_______________dai6" localSheetId="5">#REF!</definedName>
    <definedName name="_______________dai6">#REF!</definedName>
    <definedName name="_______________dan1" localSheetId="5">#REF!</definedName>
    <definedName name="_______________dan1">#REF!</definedName>
    <definedName name="_______________dan2" localSheetId="5">#REF!</definedName>
    <definedName name="_______________dan2">#REF!</definedName>
    <definedName name="_______________IN20">[2]XL4Poppy!$B$1:$B$16</definedName>
    <definedName name="_______________ma1368" localSheetId="5">#REF!</definedName>
    <definedName name="_______________ma1368">#REF!</definedName>
    <definedName name="_______________phi10" localSheetId="5">#REF!</definedName>
    <definedName name="_______________phi10">#REF!</definedName>
    <definedName name="_______________phi12" localSheetId="5">#REF!</definedName>
    <definedName name="_______________phi12">#REF!</definedName>
    <definedName name="_______________phi14" localSheetId="5">#REF!</definedName>
    <definedName name="_______________phi14">#REF!</definedName>
    <definedName name="_______________phi16" localSheetId="5">#REF!</definedName>
    <definedName name="_______________phi16">#REF!</definedName>
    <definedName name="_______________phi18" localSheetId="5">#REF!</definedName>
    <definedName name="_______________phi18">#REF!</definedName>
    <definedName name="_______________phi20" localSheetId="5">#REF!</definedName>
    <definedName name="_______________phi20">#REF!</definedName>
    <definedName name="_______________phi22" localSheetId="5">#REF!</definedName>
    <definedName name="_______________phi22">#REF!</definedName>
    <definedName name="_______________phi25" localSheetId="5">#REF!</definedName>
    <definedName name="_______________phi25">#REF!</definedName>
    <definedName name="_______________phi28" localSheetId="5">#REF!</definedName>
    <definedName name="_______________phi28">#REF!</definedName>
    <definedName name="_______________phi6" localSheetId="5">#REF!</definedName>
    <definedName name="_______________phi6">#REF!</definedName>
    <definedName name="_______________phi8" localSheetId="5">#REF!</definedName>
    <definedName name="_______________phi8">#REF!</definedName>
    <definedName name="_______________slg1" localSheetId="5">#REF!</definedName>
    <definedName name="_______________slg1">#REF!</definedName>
    <definedName name="_______________slg2" localSheetId="5">#REF!</definedName>
    <definedName name="_______________slg2">#REF!</definedName>
    <definedName name="_______________slg3" localSheetId="5">#REF!</definedName>
    <definedName name="_______________slg3">#REF!</definedName>
    <definedName name="_______________slg4" localSheetId="5">#REF!</definedName>
    <definedName name="_______________slg4">#REF!</definedName>
    <definedName name="_______________slg5" localSheetId="5">#REF!</definedName>
    <definedName name="_______________slg5">#REF!</definedName>
    <definedName name="_______________slg6" localSheetId="5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5">#REF!</definedName>
    <definedName name="______________cao1">#REF!</definedName>
    <definedName name="______________cao2" localSheetId="5">#REF!</definedName>
    <definedName name="______________cao2">#REF!</definedName>
    <definedName name="______________cao3" localSheetId="5">#REF!</definedName>
    <definedName name="______________cao3">#REF!</definedName>
    <definedName name="______________cao4" localSheetId="5">#REF!</definedName>
    <definedName name="______________cao4">#REF!</definedName>
    <definedName name="______________cao5" localSheetId="5">#REF!</definedName>
    <definedName name="______________cao5">#REF!</definedName>
    <definedName name="______________cao6" localSheetId="5">#REF!</definedName>
    <definedName name="______________cao6">#REF!</definedName>
    <definedName name="______________dai1" localSheetId="5">#REF!</definedName>
    <definedName name="______________dai1">#REF!</definedName>
    <definedName name="______________dai2" localSheetId="5">#REF!</definedName>
    <definedName name="______________dai2">#REF!</definedName>
    <definedName name="______________dai3" localSheetId="5">#REF!</definedName>
    <definedName name="______________dai3">#REF!</definedName>
    <definedName name="______________dai4" localSheetId="5">#REF!</definedName>
    <definedName name="______________dai4">#REF!</definedName>
    <definedName name="______________dai5" localSheetId="5">#REF!</definedName>
    <definedName name="______________dai5">#REF!</definedName>
    <definedName name="______________dai6" localSheetId="5">#REF!</definedName>
    <definedName name="______________dai6">#REF!</definedName>
    <definedName name="______________dan1" localSheetId="5">#REF!</definedName>
    <definedName name="______________dan1">#REF!</definedName>
    <definedName name="______________dan2" localSheetId="5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5">#REF!</definedName>
    <definedName name="______________phi10">#REF!</definedName>
    <definedName name="______________phi12" localSheetId="5">#REF!</definedName>
    <definedName name="______________phi12">#REF!</definedName>
    <definedName name="______________phi14" localSheetId="5">#REF!</definedName>
    <definedName name="______________phi14">#REF!</definedName>
    <definedName name="______________phi16" localSheetId="5">#REF!</definedName>
    <definedName name="______________phi16">#REF!</definedName>
    <definedName name="______________phi18" localSheetId="5">#REF!</definedName>
    <definedName name="______________phi18">#REF!</definedName>
    <definedName name="______________phi20" localSheetId="5">#REF!</definedName>
    <definedName name="______________phi20">#REF!</definedName>
    <definedName name="______________phi2000" localSheetId="5">#REF!</definedName>
    <definedName name="______________phi2000">#REF!</definedName>
    <definedName name="______________phi22" localSheetId="5">#REF!</definedName>
    <definedName name="______________phi22">#REF!</definedName>
    <definedName name="______________phi25" localSheetId="5">#REF!</definedName>
    <definedName name="______________phi25">#REF!</definedName>
    <definedName name="______________phi28" localSheetId="5">#REF!</definedName>
    <definedName name="______________phi28">#REF!</definedName>
    <definedName name="______________phi6" localSheetId="5">#REF!</definedName>
    <definedName name="______________phi6">#REF!</definedName>
    <definedName name="______________phi8" localSheetId="5">#REF!</definedName>
    <definedName name="______________phi8">#REF!</definedName>
    <definedName name="______________slg1" localSheetId="5">#REF!</definedName>
    <definedName name="______________slg1">#REF!</definedName>
    <definedName name="______________slg2" localSheetId="5">#REF!</definedName>
    <definedName name="______________slg2">#REF!</definedName>
    <definedName name="______________slg3" localSheetId="5">#REF!</definedName>
    <definedName name="______________slg3">#REF!</definedName>
    <definedName name="______________slg4" localSheetId="5">#REF!</definedName>
    <definedName name="______________slg4">#REF!</definedName>
    <definedName name="______________slg5" localSheetId="5">#REF!</definedName>
    <definedName name="______________slg5">#REF!</definedName>
    <definedName name="______________slg6" localSheetId="5">#REF!</definedName>
    <definedName name="______________slg6">#REF!</definedName>
    <definedName name="_____________cao1" localSheetId="5">#REF!</definedName>
    <definedName name="_____________cao1">#REF!</definedName>
    <definedName name="_____________cao2" localSheetId="5">#REF!</definedName>
    <definedName name="_____________cao2">#REF!</definedName>
    <definedName name="_____________cao3" localSheetId="5">#REF!</definedName>
    <definedName name="_____________cao3">#REF!</definedName>
    <definedName name="_____________cao4" localSheetId="5">#REF!</definedName>
    <definedName name="_____________cao4">#REF!</definedName>
    <definedName name="_____________cao5" localSheetId="5">#REF!</definedName>
    <definedName name="_____________cao5">#REF!</definedName>
    <definedName name="_____________cao6" localSheetId="5">#REF!</definedName>
    <definedName name="_____________cao6">#REF!</definedName>
    <definedName name="_____________CON1" localSheetId="5">#REF!</definedName>
    <definedName name="_____________CON1">#REF!</definedName>
    <definedName name="_____________CON2" localSheetId="5">#REF!</definedName>
    <definedName name="_____________CON2">#REF!</definedName>
    <definedName name="_____________dai1" localSheetId="5">#REF!</definedName>
    <definedName name="_____________dai1">#REF!</definedName>
    <definedName name="_____________dai2" localSheetId="5">#REF!</definedName>
    <definedName name="_____________dai2">#REF!</definedName>
    <definedName name="_____________dai3" localSheetId="5">#REF!</definedName>
    <definedName name="_____________dai3">#REF!</definedName>
    <definedName name="_____________dai4" localSheetId="5">#REF!</definedName>
    <definedName name="_____________dai4">#REF!</definedName>
    <definedName name="_____________dai5" localSheetId="5">#REF!</definedName>
    <definedName name="_____________dai5">#REF!</definedName>
    <definedName name="_____________dai6" localSheetId="5">#REF!</definedName>
    <definedName name="_____________dai6">#REF!</definedName>
    <definedName name="_____________dan1" localSheetId="5">#REF!</definedName>
    <definedName name="_____________dan1">#REF!</definedName>
    <definedName name="_____________dan2" localSheetId="5">#REF!</definedName>
    <definedName name="_____________dan2">#REF!</definedName>
    <definedName name="_____________IN20">[2]XL4Poppy!$B$1:$B$16</definedName>
    <definedName name="_____________lap1" localSheetId="5">#REF!</definedName>
    <definedName name="_____________lap1">#REF!</definedName>
    <definedName name="_____________lap2" localSheetId="5">#REF!</definedName>
    <definedName name="_____________lap2">#REF!</definedName>
    <definedName name="_____________ma1368" localSheetId="5">#REF!</definedName>
    <definedName name="_____________ma1368">#REF!</definedName>
    <definedName name="_____________NET2" localSheetId="5">#REF!</definedName>
    <definedName name="_____________NET2">#REF!</definedName>
    <definedName name="_____________phi10" localSheetId="5">#REF!</definedName>
    <definedName name="_____________phi10">#REF!</definedName>
    <definedName name="_____________phi12" localSheetId="5">#REF!</definedName>
    <definedName name="_____________phi12">#REF!</definedName>
    <definedName name="_____________phi14" localSheetId="5">#REF!</definedName>
    <definedName name="_____________phi14">#REF!</definedName>
    <definedName name="_____________phi16" localSheetId="5">#REF!</definedName>
    <definedName name="_____________phi16">#REF!</definedName>
    <definedName name="_____________phi18" localSheetId="5">#REF!</definedName>
    <definedName name="_____________phi18">#REF!</definedName>
    <definedName name="_____________phi20" localSheetId="5">#REF!</definedName>
    <definedName name="_____________phi20">#REF!</definedName>
    <definedName name="_____________phi22" localSheetId="5">#REF!</definedName>
    <definedName name="_____________phi22">#REF!</definedName>
    <definedName name="_____________phi25" localSheetId="5">#REF!</definedName>
    <definedName name="_____________phi25">#REF!</definedName>
    <definedName name="_____________phi28" localSheetId="5">#REF!</definedName>
    <definedName name="_____________phi28">#REF!</definedName>
    <definedName name="_____________phi6" localSheetId="5">#REF!</definedName>
    <definedName name="_____________phi6">#REF!</definedName>
    <definedName name="_____________phi8" localSheetId="5">#REF!</definedName>
    <definedName name="_____________phi8">#REF!</definedName>
    <definedName name="_____________slg1" localSheetId="5">#REF!</definedName>
    <definedName name="_____________slg1">#REF!</definedName>
    <definedName name="_____________slg2" localSheetId="5">#REF!</definedName>
    <definedName name="_____________slg2">#REF!</definedName>
    <definedName name="_____________slg3" localSheetId="5">#REF!</definedName>
    <definedName name="_____________slg3">#REF!</definedName>
    <definedName name="_____________slg4" localSheetId="5">#REF!</definedName>
    <definedName name="_____________slg4">#REF!</definedName>
    <definedName name="_____________slg5" localSheetId="5">#REF!</definedName>
    <definedName name="_____________slg5">#REF!</definedName>
    <definedName name="_____________slg6" localSheetId="5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5">#REF!</definedName>
    <definedName name="____________cao1">#REF!</definedName>
    <definedName name="____________cao2" localSheetId="5">#REF!</definedName>
    <definedName name="____________cao2">#REF!</definedName>
    <definedName name="____________cao3" localSheetId="5">#REF!</definedName>
    <definedName name="____________cao3">#REF!</definedName>
    <definedName name="____________cao4" localSheetId="5">#REF!</definedName>
    <definedName name="____________cao4">#REF!</definedName>
    <definedName name="____________cao5" localSheetId="5">#REF!</definedName>
    <definedName name="____________cao5">#REF!</definedName>
    <definedName name="____________cao6" localSheetId="5">#REF!</definedName>
    <definedName name="____________cao6">#REF!</definedName>
    <definedName name="____________CON1" localSheetId="5">#REF!</definedName>
    <definedName name="____________CON1">#REF!</definedName>
    <definedName name="____________CON2" localSheetId="5">#REF!</definedName>
    <definedName name="____________CON2">#REF!</definedName>
    <definedName name="____________dai1" localSheetId="5">#REF!</definedName>
    <definedName name="____________dai1">#REF!</definedName>
    <definedName name="____________dai2" localSheetId="5">#REF!</definedName>
    <definedName name="____________dai2">#REF!</definedName>
    <definedName name="____________dai3" localSheetId="5">#REF!</definedName>
    <definedName name="____________dai3">#REF!</definedName>
    <definedName name="____________dai4" localSheetId="5">#REF!</definedName>
    <definedName name="____________dai4">#REF!</definedName>
    <definedName name="____________dai5" localSheetId="5">#REF!</definedName>
    <definedName name="____________dai5">#REF!</definedName>
    <definedName name="____________dai6" localSheetId="5">#REF!</definedName>
    <definedName name="____________dai6">#REF!</definedName>
    <definedName name="____________dan1" localSheetId="5">#REF!</definedName>
    <definedName name="____________dan1">#REF!</definedName>
    <definedName name="____________dan2" localSheetId="5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5">#REF!</definedName>
    <definedName name="____________lap1">#REF!</definedName>
    <definedName name="____________lap2" localSheetId="5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5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5">#REF!</definedName>
    <definedName name="____________NET2">#REF!</definedName>
    <definedName name="____________phi10" localSheetId="5">#REF!</definedName>
    <definedName name="____________phi10">#REF!</definedName>
    <definedName name="____________phi12" localSheetId="5">#REF!</definedName>
    <definedName name="____________phi12">#REF!</definedName>
    <definedName name="____________phi14" localSheetId="5">#REF!</definedName>
    <definedName name="____________phi14">#REF!</definedName>
    <definedName name="____________phi16" localSheetId="5">#REF!</definedName>
    <definedName name="____________phi16">#REF!</definedName>
    <definedName name="____________phi18" localSheetId="5">#REF!</definedName>
    <definedName name="____________phi18">#REF!</definedName>
    <definedName name="____________phi20" localSheetId="5">#REF!</definedName>
    <definedName name="____________phi20">#REF!</definedName>
    <definedName name="____________phi2000" localSheetId="5">#REF!</definedName>
    <definedName name="____________phi2000">#REF!</definedName>
    <definedName name="____________phi22" localSheetId="5">#REF!</definedName>
    <definedName name="____________phi22">#REF!</definedName>
    <definedName name="____________phi25" localSheetId="5">#REF!</definedName>
    <definedName name="____________phi25">#REF!</definedName>
    <definedName name="____________phi28" localSheetId="5">#REF!</definedName>
    <definedName name="____________phi28">#REF!</definedName>
    <definedName name="____________phi6" localSheetId="5">#REF!</definedName>
    <definedName name="____________phi6">#REF!</definedName>
    <definedName name="____________phi8" localSheetId="5">#REF!</definedName>
    <definedName name="____________phi8">#REF!</definedName>
    <definedName name="____________slg1" localSheetId="5">#REF!</definedName>
    <definedName name="____________slg1">#REF!</definedName>
    <definedName name="____________slg2" localSheetId="5">#REF!</definedName>
    <definedName name="____________slg2">#REF!</definedName>
    <definedName name="____________slg3" localSheetId="5">#REF!</definedName>
    <definedName name="____________slg3">#REF!</definedName>
    <definedName name="____________slg4" localSheetId="5">#REF!</definedName>
    <definedName name="____________slg4">#REF!</definedName>
    <definedName name="____________slg5" localSheetId="5">#REF!</definedName>
    <definedName name="____________slg5">#REF!</definedName>
    <definedName name="____________slg6" localSheetId="5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5">#REF!</definedName>
    <definedName name="___________cao1">#REF!</definedName>
    <definedName name="___________cao2" localSheetId="5">#REF!</definedName>
    <definedName name="___________cao2">#REF!</definedName>
    <definedName name="___________cao3" localSheetId="5">#REF!</definedName>
    <definedName name="___________cao3">#REF!</definedName>
    <definedName name="___________cao4" localSheetId="5">#REF!</definedName>
    <definedName name="___________cao4">#REF!</definedName>
    <definedName name="___________cao5" localSheetId="5">#REF!</definedName>
    <definedName name="___________cao5">#REF!</definedName>
    <definedName name="___________cao6" localSheetId="5">#REF!</definedName>
    <definedName name="___________cao6">#REF!</definedName>
    <definedName name="___________CON1" localSheetId="5">#REF!</definedName>
    <definedName name="___________CON1">#REF!</definedName>
    <definedName name="___________CON2" localSheetId="5">#REF!</definedName>
    <definedName name="___________CON2">#REF!</definedName>
    <definedName name="___________dai1" localSheetId="5">#REF!</definedName>
    <definedName name="___________dai1">#REF!</definedName>
    <definedName name="___________dai2" localSheetId="5">#REF!</definedName>
    <definedName name="___________dai2">#REF!</definedName>
    <definedName name="___________dai3" localSheetId="5">#REF!</definedName>
    <definedName name="___________dai3">#REF!</definedName>
    <definedName name="___________dai4" localSheetId="5">#REF!</definedName>
    <definedName name="___________dai4">#REF!</definedName>
    <definedName name="___________dai5" localSheetId="5">#REF!</definedName>
    <definedName name="___________dai5">#REF!</definedName>
    <definedName name="___________dai6" localSheetId="5">#REF!</definedName>
    <definedName name="___________dai6">#REF!</definedName>
    <definedName name="___________dan1" localSheetId="5">#REF!</definedName>
    <definedName name="___________dan1">#REF!</definedName>
    <definedName name="___________dan2" localSheetId="5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5">#REF!</definedName>
    <definedName name="___________lap1">#REF!</definedName>
    <definedName name="___________lap2" localSheetId="5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5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5">#REF!</definedName>
    <definedName name="___________NET2">#REF!</definedName>
    <definedName name="___________phi10" localSheetId="5">#REF!</definedName>
    <definedName name="___________phi10">#REF!</definedName>
    <definedName name="___________phi12" localSheetId="5">#REF!</definedName>
    <definedName name="___________phi12">#REF!</definedName>
    <definedName name="___________phi14" localSheetId="5">#REF!</definedName>
    <definedName name="___________phi14">#REF!</definedName>
    <definedName name="___________phi16" localSheetId="5">#REF!</definedName>
    <definedName name="___________phi16">#REF!</definedName>
    <definedName name="___________phi18" localSheetId="5">#REF!</definedName>
    <definedName name="___________phi18">#REF!</definedName>
    <definedName name="___________phi20" localSheetId="5">#REF!</definedName>
    <definedName name="___________phi20">#REF!</definedName>
    <definedName name="___________phi2000" localSheetId="5">#REF!</definedName>
    <definedName name="___________phi2000">#REF!</definedName>
    <definedName name="___________phi22" localSheetId="5">#REF!</definedName>
    <definedName name="___________phi22">#REF!</definedName>
    <definedName name="___________phi25" localSheetId="5">#REF!</definedName>
    <definedName name="___________phi25">#REF!</definedName>
    <definedName name="___________phi28" localSheetId="5">#REF!</definedName>
    <definedName name="___________phi28">#REF!</definedName>
    <definedName name="___________phi6" localSheetId="5">#REF!</definedName>
    <definedName name="___________phi6">#REF!</definedName>
    <definedName name="___________phi8" localSheetId="5">#REF!</definedName>
    <definedName name="___________phi8">#REF!</definedName>
    <definedName name="___________slg1" localSheetId="5">#REF!</definedName>
    <definedName name="___________slg1">#REF!</definedName>
    <definedName name="___________slg2" localSheetId="5">#REF!</definedName>
    <definedName name="___________slg2">#REF!</definedName>
    <definedName name="___________slg3" localSheetId="5">#REF!</definedName>
    <definedName name="___________slg3">#REF!</definedName>
    <definedName name="___________slg4" localSheetId="5">#REF!</definedName>
    <definedName name="___________slg4">#REF!</definedName>
    <definedName name="___________slg5" localSheetId="5">#REF!</definedName>
    <definedName name="___________slg5">#REF!</definedName>
    <definedName name="___________slg6" localSheetId="5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5">#REF!</definedName>
    <definedName name="__________cao1">#REF!</definedName>
    <definedName name="__________cao2" localSheetId="5">#REF!</definedName>
    <definedName name="__________cao2">#REF!</definedName>
    <definedName name="__________cao3" localSheetId="5">#REF!</definedName>
    <definedName name="__________cao3">#REF!</definedName>
    <definedName name="__________cao4" localSheetId="5">#REF!</definedName>
    <definedName name="__________cao4">#REF!</definedName>
    <definedName name="__________cao5" localSheetId="5">#REF!</definedName>
    <definedName name="__________cao5">#REF!</definedName>
    <definedName name="__________cao6" localSheetId="5">#REF!</definedName>
    <definedName name="__________cao6">#REF!</definedName>
    <definedName name="__________CON1" localSheetId="5">#REF!</definedName>
    <definedName name="__________CON1">#REF!</definedName>
    <definedName name="__________CON2" localSheetId="5">#REF!</definedName>
    <definedName name="__________CON2">#REF!</definedName>
    <definedName name="__________dai1" localSheetId="5">#REF!</definedName>
    <definedName name="__________dai1">#REF!</definedName>
    <definedName name="__________dai2" localSheetId="5">#REF!</definedName>
    <definedName name="__________dai2">#REF!</definedName>
    <definedName name="__________dai3" localSheetId="5">#REF!</definedName>
    <definedName name="__________dai3">#REF!</definedName>
    <definedName name="__________dai4" localSheetId="5">#REF!</definedName>
    <definedName name="__________dai4">#REF!</definedName>
    <definedName name="__________dai5" localSheetId="5">#REF!</definedName>
    <definedName name="__________dai5">#REF!</definedName>
    <definedName name="__________dai6" localSheetId="5">#REF!</definedName>
    <definedName name="__________dai6">#REF!</definedName>
    <definedName name="__________dan1" localSheetId="5">#REF!</definedName>
    <definedName name="__________dan1">#REF!</definedName>
    <definedName name="__________dan2" localSheetId="5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5">#REF!</definedName>
    <definedName name="__________lap1">#REF!</definedName>
    <definedName name="__________lap2" localSheetId="5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5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5">#REF!</definedName>
    <definedName name="__________NET2">#REF!</definedName>
    <definedName name="__________phi10" localSheetId="5">#REF!</definedName>
    <definedName name="__________phi10">#REF!</definedName>
    <definedName name="__________phi12" localSheetId="5">#REF!</definedName>
    <definedName name="__________phi12">#REF!</definedName>
    <definedName name="__________phi14" localSheetId="5">#REF!</definedName>
    <definedName name="__________phi14">#REF!</definedName>
    <definedName name="__________phi16" localSheetId="5">#REF!</definedName>
    <definedName name="__________phi16">#REF!</definedName>
    <definedName name="__________phi18" localSheetId="5">#REF!</definedName>
    <definedName name="__________phi18">#REF!</definedName>
    <definedName name="__________phi20" localSheetId="5">#REF!</definedName>
    <definedName name="__________phi20">#REF!</definedName>
    <definedName name="__________phi2000" localSheetId="5">#REF!</definedName>
    <definedName name="__________phi2000">#REF!</definedName>
    <definedName name="__________phi22" localSheetId="5">#REF!</definedName>
    <definedName name="__________phi22">#REF!</definedName>
    <definedName name="__________phi25" localSheetId="5">#REF!</definedName>
    <definedName name="__________phi25">#REF!</definedName>
    <definedName name="__________phi28" localSheetId="5">#REF!</definedName>
    <definedName name="__________phi28">#REF!</definedName>
    <definedName name="__________phi6" localSheetId="5">#REF!</definedName>
    <definedName name="__________phi6">#REF!</definedName>
    <definedName name="__________phi8" localSheetId="5">#REF!</definedName>
    <definedName name="__________phi8">#REF!</definedName>
    <definedName name="__________slg1" localSheetId="5">#REF!</definedName>
    <definedName name="__________slg1">#REF!</definedName>
    <definedName name="__________slg2" localSheetId="5">#REF!</definedName>
    <definedName name="__________slg2">#REF!</definedName>
    <definedName name="__________slg3" localSheetId="5">#REF!</definedName>
    <definedName name="__________slg3">#REF!</definedName>
    <definedName name="__________slg4" localSheetId="5">#REF!</definedName>
    <definedName name="__________slg4">#REF!</definedName>
    <definedName name="__________slg5" localSheetId="5">#REF!</definedName>
    <definedName name="__________slg5">#REF!</definedName>
    <definedName name="__________slg6" localSheetId="5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5">#REF!</definedName>
    <definedName name="_________cao1">#REF!</definedName>
    <definedName name="_________cao2" localSheetId="5">#REF!</definedName>
    <definedName name="_________cao2">#REF!</definedName>
    <definedName name="_________cao3" localSheetId="5">#REF!</definedName>
    <definedName name="_________cao3">#REF!</definedName>
    <definedName name="_________cao4" localSheetId="5">#REF!</definedName>
    <definedName name="_________cao4">#REF!</definedName>
    <definedName name="_________cao5" localSheetId="5">#REF!</definedName>
    <definedName name="_________cao5">#REF!</definedName>
    <definedName name="_________cao6" localSheetId="5">#REF!</definedName>
    <definedName name="_________cao6">#REF!</definedName>
    <definedName name="_________CON1" localSheetId="5">#REF!</definedName>
    <definedName name="_________CON1">#REF!</definedName>
    <definedName name="_________CON2" localSheetId="5">#REF!</definedName>
    <definedName name="_________CON2">#REF!</definedName>
    <definedName name="_________dai1" localSheetId="5">#REF!</definedName>
    <definedName name="_________dai1">#REF!</definedName>
    <definedName name="_________dai2" localSheetId="5">#REF!</definedName>
    <definedName name="_________dai2">#REF!</definedName>
    <definedName name="_________dai3" localSheetId="5">#REF!</definedName>
    <definedName name="_________dai3">#REF!</definedName>
    <definedName name="_________dai4" localSheetId="5">#REF!</definedName>
    <definedName name="_________dai4">#REF!</definedName>
    <definedName name="_________dai5" localSheetId="5">#REF!</definedName>
    <definedName name="_________dai5">#REF!</definedName>
    <definedName name="_________dai6" localSheetId="5">#REF!</definedName>
    <definedName name="_________dai6">#REF!</definedName>
    <definedName name="_________dan1" localSheetId="5">#REF!</definedName>
    <definedName name="_________dan1">#REF!</definedName>
    <definedName name="_________dan2" localSheetId="5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5">#REF!</definedName>
    <definedName name="_________lap1">#REF!</definedName>
    <definedName name="_________lap2" localSheetId="5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5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5">#REF!</definedName>
    <definedName name="_________NET2">#REF!</definedName>
    <definedName name="_________phi10" localSheetId="5">#REF!</definedName>
    <definedName name="_________phi10">#REF!</definedName>
    <definedName name="_________phi12" localSheetId="5">#REF!</definedName>
    <definedName name="_________phi12">#REF!</definedName>
    <definedName name="_________phi14" localSheetId="5">#REF!</definedName>
    <definedName name="_________phi14">#REF!</definedName>
    <definedName name="_________phi16" localSheetId="5">#REF!</definedName>
    <definedName name="_________phi16">#REF!</definedName>
    <definedName name="_________phi18" localSheetId="5">#REF!</definedName>
    <definedName name="_________phi18">#REF!</definedName>
    <definedName name="_________phi20" localSheetId="5">#REF!</definedName>
    <definedName name="_________phi20">#REF!</definedName>
    <definedName name="_________phi2000" localSheetId="5">#REF!</definedName>
    <definedName name="_________phi2000">#REF!</definedName>
    <definedName name="_________phi22" localSheetId="5">#REF!</definedName>
    <definedName name="_________phi22">#REF!</definedName>
    <definedName name="_________phi25" localSheetId="5">#REF!</definedName>
    <definedName name="_________phi25">#REF!</definedName>
    <definedName name="_________phi28" localSheetId="5">#REF!</definedName>
    <definedName name="_________phi28">#REF!</definedName>
    <definedName name="_________phi6" localSheetId="5">#REF!</definedName>
    <definedName name="_________phi6">#REF!</definedName>
    <definedName name="_________phi8" localSheetId="5">#REF!</definedName>
    <definedName name="_________phi8">#REF!</definedName>
    <definedName name="_________slg1" localSheetId="5">#REF!</definedName>
    <definedName name="_________slg1">#REF!</definedName>
    <definedName name="_________slg2" localSheetId="5">#REF!</definedName>
    <definedName name="_________slg2">#REF!</definedName>
    <definedName name="_________slg3" localSheetId="5">#REF!</definedName>
    <definedName name="_________slg3">#REF!</definedName>
    <definedName name="_________slg4" localSheetId="5">#REF!</definedName>
    <definedName name="_________slg4">#REF!</definedName>
    <definedName name="_________slg5" localSheetId="5">#REF!</definedName>
    <definedName name="_________slg5">#REF!</definedName>
    <definedName name="_________slg6" localSheetId="5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5">#REF!</definedName>
    <definedName name="________cao1">#REF!</definedName>
    <definedName name="________cao2" localSheetId="5">#REF!</definedName>
    <definedName name="________cao2">#REF!</definedName>
    <definedName name="________cao3" localSheetId="5">#REF!</definedName>
    <definedName name="________cao3">#REF!</definedName>
    <definedName name="________cao4" localSheetId="5">#REF!</definedName>
    <definedName name="________cao4">#REF!</definedName>
    <definedName name="________cao5" localSheetId="5">#REF!</definedName>
    <definedName name="________cao5">#REF!</definedName>
    <definedName name="________cao6" localSheetId="5">#REF!</definedName>
    <definedName name="________cao6">#REF!</definedName>
    <definedName name="________CON1" localSheetId="5">#REF!</definedName>
    <definedName name="________CON1">#REF!</definedName>
    <definedName name="________CON2" localSheetId="5">#REF!</definedName>
    <definedName name="________CON2">#REF!</definedName>
    <definedName name="________dai1" localSheetId="5">#REF!</definedName>
    <definedName name="________dai1">#REF!</definedName>
    <definedName name="________dai2" localSheetId="5">#REF!</definedName>
    <definedName name="________dai2">#REF!</definedName>
    <definedName name="________dai3" localSheetId="5">#REF!</definedName>
    <definedName name="________dai3">#REF!</definedName>
    <definedName name="________dai4" localSheetId="5">#REF!</definedName>
    <definedName name="________dai4">#REF!</definedName>
    <definedName name="________dai5" localSheetId="5">#REF!</definedName>
    <definedName name="________dai5">#REF!</definedName>
    <definedName name="________dai6" localSheetId="5">#REF!</definedName>
    <definedName name="________dai6">#REF!</definedName>
    <definedName name="________dan1" localSheetId="5">#REF!</definedName>
    <definedName name="________dan1">#REF!</definedName>
    <definedName name="________dan2" localSheetId="5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5">#REF!</definedName>
    <definedName name="________lap1">#REF!</definedName>
    <definedName name="________lap2" localSheetId="5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5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5">#REF!</definedName>
    <definedName name="________NET2">#REF!</definedName>
    <definedName name="________phi10" localSheetId="5">#REF!</definedName>
    <definedName name="________phi10">#REF!</definedName>
    <definedName name="________phi12" localSheetId="5">#REF!</definedName>
    <definedName name="________phi12">#REF!</definedName>
    <definedName name="________phi14" localSheetId="5">#REF!</definedName>
    <definedName name="________phi14">#REF!</definedName>
    <definedName name="________phi16" localSheetId="5">#REF!</definedName>
    <definedName name="________phi16">#REF!</definedName>
    <definedName name="________phi18" localSheetId="5">#REF!</definedName>
    <definedName name="________phi18">#REF!</definedName>
    <definedName name="________phi20" localSheetId="5">#REF!</definedName>
    <definedName name="________phi20">#REF!</definedName>
    <definedName name="________phi2000" localSheetId="5">#REF!</definedName>
    <definedName name="________phi2000">#REF!</definedName>
    <definedName name="________phi22" localSheetId="5">#REF!</definedName>
    <definedName name="________phi22">#REF!</definedName>
    <definedName name="________phi25" localSheetId="5">#REF!</definedName>
    <definedName name="________phi25">#REF!</definedName>
    <definedName name="________phi28" localSheetId="5">#REF!</definedName>
    <definedName name="________phi28">#REF!</definedName>
    <definedName name="________phi6" localSheetId="5">#REF!</definedName>
    <definedName name="________phi6">#REF!</definedName>
    <definedName name="________phi8" localSheetId="5">#REF!</definedName>
    <definedName name="________phi8">#REF!</definedName>
    <definedName name="________slg1" localSheetId="5">#REF!</definedName>
    <definedName name="________slg1">#REF!</definedName>
    <definedName name="________slg2" localSheetId="5">#REF!</definedName>
    <definedName name="________slg2">#REF!</definedName>
    <definedName name="________slg3" localSheetId="5">#REF!</definedName>
    <definedName name="________slg3">#REF!</definedName>
    <definedName name="________slg4" localSheetId="5">#REF!</definedName>
    <definedName name="________slg4">#REF!</definedName>
    <definedName name="________slg5" localSheetId="5">#REF!</definedName>
    <definedName name="________slg5">#REF!</definedName>
    <definedName name="________slg6" localSheetId="5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5">#REF!</definedName>
    <definedName name="_______cao1">#REF!</definedName>
    <definedName name="_______cao2" localSheetId="5">#REF!</definedName>
    <definedName name="_______cao2">#REF!</definedName>
    <definedName name="_______cao3" localSheetId="5">#REF!</definedName>
    <definedName name="_______cao3">#REF!</definedName>
    <definedName name="_______cao4" localSheetId="5">#REF!</definedName>
    <definedName name="_______cao4">#REF!</definedName>
    <definedName name="_______cao5" localSheetId="5">#REF!</definedName>
    <definedName name="_______cao5">#REF!</definedName>
    <definedName name="_______cao6" localSheetId="5">#REF!</definedName>
    <definedName name="_______cao6">#REF!</definedName>
    <definedName name="_______CON1" localSheetId="5">#REF!</definedName>
    <definedName name="_______CON1">#REF!</definedName>
    <definedName name="_______CON2" localSheetId="5">#REF!</definedName>
    <definedName name="_______CON2">#REF!</definedName>
    <definedName name="_______dai1" localSheetId="5">#REF!</definedName>
    <definedName name="_______dai1">#REF!</definedName>
    <definedName name="_______dai2" localSheetId="5">#REF!</definedName>
    <definedName name="_______dai2">#REF!</definedName>
    <definedName name="_______dai3" localSheetId="5">#REF!</definedName>
    <definedName name="_______dai3">#REF!</definedName>
    <definedName name="_______dai4" localSheetId="5">#REF!</definedName>
    <definedName name="_______dai4">#REF!</definedName>
    <definedName name="_______dai5" localSheetId="5">#REF!</definedName>
    <definedName name="_______dai5">#REF!</definedName>
    <definedName name="_______dai6" localSheetId="5">#REF!</definedName>
    <definedName name="_______dai6">#REF!</definedName>
    <definedName name="_______dan1" localSheetId="5">#REF!</definedName>
    <definedName name="_______dan1">#REF!</definedName>
    <definedName name="_______dan2" localSheetId="5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5">#REF!</definedName>
    <definedName name="_______lap1">#REF!</definedName>
    <definedName name="_______lap2" localSheetId="5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5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5">#REF!</definedName>
    <definedName name="_______NET2">#REF!</definedName>
    <definedName name="_______phi10" localSheetId="5">#REF!</definedName>
    <definedName name="_______phi10">#REF!</definedName>
    <definedName name="_______phi12" localSheetId="5">#REF!</definedName>
    <definedName name="_______phi12">#REF!</definedName>
    <definedName name="_______phi14" localSheetId="5">#REF!</definedName>
    <definedName name="_______phi14">#REF!</definedName>
    <definedName name="_______phi16" localSheetId="5">#REF!</definedName>
    <definedName name="_______phi16">#REF!</definedName>
    <definedName name="_______phi18" localSheetId="5">#REF!</definedName>
    <definedName name="_______phi18">#REF!</definedName>
    <definedName name="_______phi20" localSheetId="5">#REF!</definedName>
    <definedName name="_______phi20">#REF!</definedName>
    <definedName name="_______phi2000" localSheetId="5">#REF!</definedName>
    <definedName name="_______phi2000">#REF!</definedName>
    <definedName name="_______phi22" localSheetId="5">#REF!</definedName>
    <definedName name="_______phi22">#REF!</definedName>
    <definedName name="_______phi25" localSheetId="5">#REF!</definedName>
    <definedName name="_______phi25">#REF!</definedName>
    <definedName name="_______phi28" localSheetId="5">#REF!</definedName>
    <definedName name="_______phi28">#REF!</definedName>
    <definedName name="_______phi6" localSheetId="5">#REF!</definedName>
    <definedName name="_______phi6">#REF!</definedName>
    <definedName name="_______phi8" localSheetId="5">#REF!</definedName>
    <definedName name="_______phi8">#REF!</definedName>
    <definedName name="_______slg1" localSheetId="5">#REF!</definedName>
    <definedName name="_______slg1">#REF!</definedName>
    <definedName name="_______slg2" localSheetId="5">#REF!</definedName>
    <definedName name="_______slg2">#REF!</definedName>
    <definedName name="_______slg3" localSheetId="5">#REF!</definedName>
    <definedName name="_______slg3">#REF!</definedName>
    <definedName name="_______slg4" localSheetId="5">#REF!</definedName>
    <definedName name="_______slg4">#REF!</definedName>
    <definedName name="_______slg5" localSheetId="5">#REF!</definedName>
    <definedName name="_______slg5">#REF!</definedName>
    <definedName name="_______slg6" localSheetId="5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5">#REF!</definedName>
    <definedName name="______cao1">#REF!</definedName>
    <definedName name="______cao2" localSheetId="5">#REF!</definedName>
    <definedName name="______cao2">#REF!</definedName>
    <definedName name="______cao3" localSheetId="5">#REF!</definedName>
    <definedName name="______cao3">#REF!</definedName>
    <definedName name="______cao4" localSheetId="5">#REF!</definedName>
    <definedName name="______cao4">#REF!</definedName>
    <definedName name="______cao5" localSheetId="5">#REF!</definedName>
    <definedName name="______cao5">#REF!</definedName>
    <definedName name="______cao6" localSheetId="5">#REF!</definedName>
    <definedName name="______cao6">#REF!</definedName>
    <definedName name="______CON1" localSheetId="5">#REF!</definedName>
    <definedName name="______CON1">#REF!</definedName>
    <definedName name="______CON2" localSheetId="5">#REF!</definedName>
    <definedName name="______CON2">#REF!</definedName>
    <definedName name="______dai1" localSheetId="5">#REF!</definedName>
    <definedName name="______dai1">#REF!</definedName>
    <definedName name="______dai2" localSheetId="5">#REF!</definedName>
    <definedName name="______dai2">#REF!</definedName>
    <definedName name="______dai3" localSheetId="5">#REF!</definedName>
    <definedName name="______dai3">#REF!</definedName>
    <definedName name="______dai4" localSheetId="5">#REF!</definedName>
    <definedName name="______dai4">#REF!</definedName>
    <definedName name="______dai5" localSheetId="5">#REF!</definedName>
    <definedName name="______dai5">#REF!</definedName>
    <definedName name="______dai6" localSheetId="5">#REF!</definedName>
    <definedName name="______dai6">#REF!</definedName>
    <definedName name="______dan1" localSheetId="5">#REF!</definedName>
    <definedName name="______dan1">#REF!</definedName>
    <definedName name="______dan2" localSheetId="5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5">#REF!</definedName>
    <definedName name="______lap1">#REF!</definedName>
    <definedName name="______lap2" localSheetId="5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5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5">#REF!</definedName>
    <definedName name="______NET2">#REF!</definedName>
    <definedName name="______phi10" localSheetId="5">#REF!</definedName>
    <definedName name="______phi10">#REF!</definedName>
    <definedName name="______phi12" localSheetId="5">#REF!</definedName>
    <definedName name="______phi12">#REF!</definedName>
    <definedName name="______phi14" localSheetId="5">#REF!</definedName>
    <definedName name="______phi14">#REF!</definedName>
    <definedName name="______phi16" localSheetId="5">#REF!</definedName>
    <definedName name="______phi16">#REF!</definedName>
    <definedName name="______phi18" localSheetId="5">#REF!</definedName>
    <definedName name="______phi18">#REF!</definedName>
    <definedName name="______phi20" localSheetId="5">#REF!</definedName>
    <definedName name="______phi20">#REF!</definedName>
    <definedName name="______phi2000" localSheetId="5">#REF!</definedName>
    <definedName name="______phi2000">#REF!</definedName>
    <definedName name="______phi22" localSheetId="5">#REF!</definedName>
    <definedName name="______phi22">#REF!</definedName>
    <definedName name="______phi25" localSheetId="5">#REF!</definedName>
    <definedName name="______phi25">#REF!</definedName>
    <definedName name="______phi28" localSheetId="5">#REF!</definedName>
    <definedName name="______phi28">#REF!</definedName>
    <definedName name="______phi6" localSheetId="5">#REF!</definedName>
    <definedName name="______phi6">#REF!</definedName>
    <definedName name="______phi8" localSheetId="5">#REF!</definedName>
    <definedName name="______phi8">#REF!</definedName>
    <definedName name="______slg1" localSheetId="5">#REF!</definedName>
    <definedName name="______slg1">#REF!</definedName>
    <definedName name="______slg2" localSheetId="5">#REF!</definedName>
    <definedName name="______slg2">#REF!</definedName>
    <definedName name="______slg3" localSheetId="5">#REF!</definedName>
    <definedName name="______slg3">#REF!</definedName>
    <definedName name="______slg4" localSheetId="5">#REF!</definedName>
    <definedName name="______slg4">#REF!</definedName>
    <definedName name="______slg5" localSheetId="5">#REF!</definedName>
    <definedName name="______slg5">#REF!</definedName>
    <definedName name="______slg6" localSheetId="5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5">#REF!</definedName>
    <definedName name="_____cao1">#REF!</definedName>
    <definedName name="_____cao2" localSheetId="5">#REF!</definedName>
    <definedName name="_____cao2">#REF!</definedName>
    <definedName name="_____cao3" localSheetId="5">#REF!</definedName>
    <definedName name="_____cao3">#REF!</definedName>
    <definedName name="_____cao4" localSheetId="5">#REF!</definedName>
    <definedName name="_____cao4">#REF!</definedName>
    <definedName name="_____cao5" localSheetId="5">#REF!</definedName>
    <definedName name="_____cao5">#REF!</definedName>
    <definedName name="_____cao6" localSheetId="5">#REF!</definedName>
    <definedName name="_____cao6">#REF!</definedName>
    <definedName name="_____CON1" localSheetId="5">#REF!</definedName>
    <definedName name="_____CON1">#REF!</definedName>
    <definedName name="_____CON2" localSheetId="5">#REF!</definedName>
    <definedName name="_____CON2">#REF!</definedName>
    <definedName name="_____dai1" localSheetId="5">#REF!</definedName>
    <definedName name="_____dai1">#REF!</definedName>
    <definedName name="_____dai2" localSheetId="5">#REF!</definedName>
    <definedName name="_____dai2">#REF!</definedName>
    <definedName name="_____dai3" localSheetId="5">#REF!</definedName>
    <definedName name="_____dai3">#REF!</definedName>
    <definedName name="_____dai4" localSheetId="5">#REF!</definedName>
    <definedName name="_____dai4">#REF!</definedName>
    <definedName name="_____dai5" localSheetId="5">#REF!</definedName>
    <definedName name="_____dai5">#REF!</definedName>
    <definedName name="_____dai6" localSheetId="5">#REF!</definedName>
    <definedName name="_____dai6">#REF!</definedName>
    <definedName name="_____dan1" localSheetId="5">#REF!</definedName>
    <definedName name="_____dan1">#REF!</definedName>
    <definedName name="_____dan2" localSheetId="5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5">#REF!</definedName>
    <definedName name="_____lap1">#REF!</definedName>
    <definedName name="_____lap2" localSheetId="5">#REF!</definedName>
    <definedName name="_____lap2">#REF!</definedName>
    <definedName name="_____NET2" localSheetId="5">#REF!</definedName>
    <definedName name="_____NET2">#REF!</definedName>
    <definedName name="_____phi10" localSheetId="5">#REF!</definedName>
    <definedName name="_____phi10">#REF!</definedName>
    <definedName name="_____phi12" localSheetId="5">#REF!</definedName>
    <definedName name="_____phi12">#REF!</definedName>
    <definedName name="_____phi14" localSheetId="5">#REF!</definedName>
    <definedName name="_____phi14">#REF!</definedName>
    <definedName name="_____phi16" localSheetId="5">#REF!</definedName>
    <definedName name="_____phi16">#REF!</definedName>
    <definedName name="_____phi18" localSheetId="5">#REF!</definedName>
    <definedName name="_____phi18">#REF!</definedName>
    <definedName name="_____phi20" localSheetId="5">#REF!</definedName>
    <definedName name="_____phi20">#REF!</definedName>
    <definedName name="_____phi2000" localSheetId="5">#REF!</definedName>
    <definedName name="_____phi2000">#REF!</definedName>
    <definedName name="_____phi22" localSheetId="5">#REF!</definedName>
    <definedName name="_____phi22">#REF!</definedName>
    <definedName name="_____phi25" localSheetId="5">#REF!</definedName>
    <definedName name="_____phi25">#REF!</definedName>
    <definedName name="_____phi28" localSheetId="5">#REF!</definedName>
    <definedName name="_____phi28">#REF!</definedName>
    <definedName name="_____phi6" localSheetId="5">#REF!</definedName>
    <definedName name="_____phi6">#REF!</definedName>
    <definedName name="_____phi8" localSheetId="5">#REF!</definedName>
    <definedName name="_____phi8">#REF!</definedName>
    <definedName name="_____slg1" localSheetId="5">#REF!</definedName>
    <definedName name="_____slg1">#REF!</definedName>
    <definedName name="_____slg2" localSheetId="5">#REF!</definedName>
    <definedName name="_____slg2">#REF!</definedName>
    <definedName name="_____slg3" localSheetId="5">#REF!</definedName>
    <definedName name="_____slg3">#REF!</definedName>
    <definedName name="_____slg4" localSheetId="5">#REF!</definedName>
    <definedName name="_____slg4">#REF!</definedName>
    <definedName name="_____slg5" localSheetId="5">#REF!</definedName>
    <definedName name="_____slg5">#REF!</definedName>
    <definedName name="_____slg6" localSheetId="5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5">#REF!</definedName>
    <definedName name="____cao1">#REF!</definedName>
    <definedName name="____cao2" localSheetId="5">#REF!</definedName>
    <definedName name="____cao2">#REF!</definedName>
    <definedName name="____cao3" localSheetId="5">#REF!</definedName>
    <definedName name="____cao3">#REF!</definedName>
    <definedName name="____cao4" localSheetId="5">#REF!</definedName>
    <definedName name="____cao4">#REF!</definedName>
    <definedName name="____cao5" localSheetId="5">#REF!</definedName>
    <definedName name="____cao5">#REF!</definedName>
    <definedName name="____cao6" localSheetId="5">#REF!</definedName>
    <definedName name="____cao6">#REF!</definedName>
    <definedName name="____CON1" localSheetId="5">#REF!</definedName>
    <definedName name="____CON1">#REF!</definedName>
    <definedName name="____CON2" localSheetId="5">#REF!</definedName>
    <definedName name="____CON2">#REF!</definedName>
    <definedName name="____dai1" localSheetId="5">#REF!</definedName>
    <definedName name="____dai1">#REF!</definedName>
    <definedName name="____dai2" localSheetId="5">#REF!</definedName>
    <definedName name="____dai2">#REF!</definedName>
    <definedName name="____dai3" localSheetId="5">#REF!</definedName>
    <definedName name="____dai3">#REF!</definedName>
    <definedName name="____dai4" localSheetId="5">#REF!</definedName>
    <definedName name="____dai4">#REF!</definedName>
    <definedName name="____dai5" localSheetId="5">#REF!</definedName>
    <definedName name="____dai5">#REF!</definedName>
    <definedName name="____dai6" localSheetId="5">#REF!</definedName>
    <definedName name="____dai6">#REF!</definedName>
    <definedName name="____dan1" localSheetId="5">#REF!</definedName>
    <definedName name="____dan1">#REF!</definedName>
    <definedName name="____dan2" localSheetId="5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5">#REF!</definedName>
    <definedName name="____lap1">#REF!</definedName>
    <definedName name="____lap2" localSheetId="5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5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5">#REF!</definedName>
    <definedName name="____NET2">#REF!</definedName>
    <definedName name="____phi10" localSheetId="5">#REF!</definedName>
    <definedName name="____phi10">#REF!</definedName>
    <definedName name="____phi12" localSheetId="5">#REF!</definedName>
    <definedName name="____phi12">#REF!</definedName>
    <definedName name="____phi14" localSheetId="5">#REF!</definedName>
    <definedName name="____phi14">#REF!</definedName>
    <definedName name="____phi16" localSheetId="5">#REF!</definedName>
    <definedName name="____phi16">#REF!</definedName>
    <definedName name="____phi18" localSheetId="5">#REF!</definedName>
    <definedName name="____phi18">#REF!</definedName>
    <definedName name="____phi20" localSheetId="5">#REF!</definedName>
    <definedName name="____phi20">#REF!</definedName>
    <definedName name="____phi22" localSheetId="5">#REF!</definedName>
    <definedName name="____phi22">#REF!</definedName>
    <definedName name="____phi25" localSheetId="5">#REF!</definedName>
    <definedName name="____phi25">#REF!</definedName>
    <definedName name="____phi28" localSheetId="5">#REF!</definedName>
    <definedName name="____phi28">#REF!</definedName>
    <definedName name="____phi6" localSheetId="5">#REF!</definedName>
    <definedName name="____phi6">#REF!</definedName>
    <definedName name="____phi8" localSheetId="5">#REF!</definedName>
    <definedName name="____phi8">#REF!</definedName>
    <definedName name="____slg1" localSheetId="5">#REF!</definedName>
    <definedName name="____slg1">#REF!</definedName>
    <definedName name="____slg2" localSheetId="5">#REF!</definedName>
    <definedName name="____slg2">#REF!</definedName>
    <definedName name="____slg3" localSheetId="5">#REF!</definedName>
    <definedName name="____slg3">#REF!</definedName>
    <definedName name="____slg4" localSheetId="5">#REF!</definedName>
    <definedName name="____slg4">#REF!</definedName>
    <definedName name="____slg5" localSheetId="5">#REF!</definedName>
    <definedName name="____slg5">#REF!</definedName>
    <definedName name="____slg6" localSheetId="5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5">#REF!</definedName>
    <definedName name="___cao1">#REF!</definedName>
    <definedName name="___cao2" localSheetId="5">#REF!</definedName>
    <definedName name="___cao2">#REF!</definedName>
    <definedName name="___cao3" localSheetId="5">#REF!</definedName>
    <definedName name="___cao3">#REF!</definedName>
    <definedName name="___cao4" localSheetId="5">#REF!</definedName>
    <definedName name="___cao4">#REF!</definedName>
    <definedName name="___cao5" localSheetId="5">#REF!</definedName>
    <definedName name="___cao5">#REF!</definedName>
    <definedName name="___cao6" localSheetId="5">#REF!</definedName>
    <definedName name="___cao6">#REF!</definedName>
    <definedName name="___CON1" localSheetId="5">#REF!</definedName>
    <definedName name="___CON1">#REF!</definedName>
    <definedName name="___CON2" localSheetId="5">#REF!</definedName>
    <definedName name="___CON2">#REF!</definedName>
    <definedName name="___dai1" localSheetId="5">#REF!</definedName>
    <definedName name="___dai1">#REF!</definedName>
    <definedName name="___dai2" localSheetId="5">#REF!</definedName>
    <definedName name="___dai2">#REF!</definedName>
    <definedName name="___dai3" localSheetId="5">#REF!</definedName>
    <definedName name="___dai3">#REF!</definedName>
    <definedName name="___dai4" localSheetId="5">#REF!</definedName>
    <definedName name="___dai4">#REF!</definedName>
    <definedName name="___dai5" localSheetId="5">#REF!</definedName>
    <definedName name="___dai5">#REF!</definedName>
    <definedName name="___dai6" localSheetId="5">#REF!</definedName>
    <definedName name="___dai6">#REF!</definedName>
    <definedName name="___dan1" localSheetId="5">#REF!</definedName>
    <definedName name="___dan1">#REF!</definedName>
    <definedName name="___dan2" localSheetId="5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5">#REF!</definedName>
    <definedName name="___lap1">#REF!</definedName>
    <definedName name="___lap2" localSheetId="5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5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5">#REF!</definedName>
    <definedName name="___NET2">#REF!</definedName>
    <definedName name="___phi10" localSheetId="5">#REF!</definedName>
    <definedName name="___phi10">#REF!</definedName>
    <definedName name="___phi12" localSheetId="5">#REF!</definedName>
    <definedName name="___phi12">#REF!</definedName>
    <definedName name="___phi14" localSheetId="5">#REF!</definedName>
    <definedName name="___phi14">#REF!</definedName>
    <definedName name="___phi16" localSheetId="5">#REF!</definedName>
    <definedName name="___phi16">#REF!</definedName>
    <definedName name="___phi18" localSheetId="5">#REF!</definedName>
    <definedName name="___phi18">#REF!</definedName>
    <definedName name="___phi20" localSheetId="5">#REF!</definedName>
    <definedName name="___phi20">#REF!</definedName>
    <definedName name="___phi2000" localSheetId="5">#REF!</definedName>
    <definedName name="___phi2000">#REF!</definedName>
    <definedName name="___phi22" localSheetId="5">#REF!</definedName>
    <definedName name="___phi22">#REF!</definedName>
    <definedName name="___phi25" localSheetId="5">#REF!</definedName>
    <definedName name="___phi25">#REF!</definedName>
    <definedName name="___phi28" localSheetId="5">#REF!</definedName>
    <definedName name="___phi28">#REF!</definedName>
    <definedName name="___phi6" localSheetId="5">#REF!</definedName>
    <definedName name="___phi6">#REF!</definedName>
    <definedName name="___phi8" localSheetId="5">#REF!</definedName>
    <definedName name="___phi8">#REF!</definedName>
    <definedName name="___slg1" localSheetId="5">#REF!</definedName>
    <definedName name="___slg1">#REF!</definedName>
    <definedName name="___slg2" localSheetId="5">#REF!</definedName>
    <definedName name="___slg2">#REF!</definedName>
    <definedName name="___slg3" localSheetId="5">#REF!</definedName>
    <definedName name="___slg3">#REF!</definedName>
    <definedName name="___slg4" localSheetId="5">#REF!</definedName>
    <definedName name="___slg4">#REF!</definedName>
    <definedName name="___slg5" localSheetId="5">#REF!</definedName>
    <definedName name="___slg5">#REF!</definedName>
    <definedName name="___slg6" localSheetId="5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5">#REF!</definedName>
    <definedName name="__cao1">#REF!</definedName>
    <definedName name="__cao2" localSheetId="5">#REF!</definedName>
    <definedName name="__cao2">#REF!</definedName>
    <definedName name="__cao3" localSheetId="5">#REF!</definedName>
    <definedName name="__cao3">#REF!</definedName>
    <definedName name="__cao4" localSheetId="5">#REF!</definedName>
    <definedName name="__cao4">#REF!</definedName>
    <definedName name="__cao5" localSheetId="5">#REF!</definedName>
    <definedName name="__cao5">#REF!</definedName>
    <definedName name="__cao6" localSheetId="5">#REF!</definedName>
    <definedName name="__cao6">#REF!</definedName>
    <definedName name="__CON1" localSheetId="5">#REF!</definedName>
    <definedName name="__CON1">#REF!</definedName>
    <definedName name="__CON2" localSheetId="5">#REF!</definedName>
    <definedName name="__CON2">#REF!</definedName>
    <definedName name="__dai1" localSheetId="5">#REF!</definedName>
    <definedName name="__dai1">#REF!</definedName>
    <definedName name="__dai2" localSheetId="5">#REF!</definedName>
    <definedName name="__dai2">#REF!</definedName>
    <definedName name="__dai3" localSheetId="5">#REF!</definedName>
    <definedName name="__dai3">#REF!</definedName>
    <definedName name="__dai4" localSheetId="5">#REF!</definedName>
    <definedName name="__dai4">#REF!</definedName>
    <definedName name="__dai5" localSheetId="5">#REF!</definedName>
    <definedName name="__dai5">#REF!</definedName>
    <definedName name="__dai6" localSheetId="5">#REF!</definedName>
    <definedName name="__dai6">#REF!</definedName>
    <definedName name="__dan1" localSheetId="5">#REF!</definedName>
    <definedName name="__dan1">#REF!</definedName>
    <definedName name="__dan2" localSheetId="5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5">#REF!</definedName>
    <definedName name="__lap1">#REF!</definedName>
    <definedName name="__lap2" localSheetId="5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5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5">#REF!</definedName>
    <definedName name="__NET2">#REF!</definedName>
    <definedName name="__phi10" localSheetId="5">#REF!</definedName>
    <definedName name="__phi10">#REF!</definedName>
    <definedName name="__phi12" localSheetId="5">#REF!</definedName>
    <definedName name="__phi12">#REF!</definedName>
    <definedName name="__phi14" localSheetId="5">#REF!</definedName>
    <definedName name="__phi14">#REF!</definedName>
    <definedName name="__phi16" localSheetId="5">#REF!</definedName>
    <definedName name="__phi16">#REF!</definedName>
    <definedName name="__phi18" localSheetId="5">#REF!</definedName>
    <definedName name="__phi18">#REF!</definedName>
    <definedName name="__phi20" localSheetId="5">#REF!</definedName>
    <definedName name="__phi20">#REF!</definedName>
    <definedName name="__phi2000" localSheetId="5">#REF!</definedName>
    <definedName name="__phi2000">#REF!</definedName>
    <definedName name="__phi22" localSheetId="5">#REF!</definedName>
    <definedName name="__phi22">#REF!</definedName>
    <definedName name="__phi25" localSheetId="5">#REF!</definedName>
    <definedName name="__phi25">#REF!</definedName>
    <definedName name="__phi28" localSheetId="5">#REF!</definedName>
    <definedName name="__phi28">#REF!</definedName>
    <definedName name="__phi6" localSheetId="5">#REF!</definedName>
    <definedName name="__phi6">#REF!</definedName>
    <definedName name="__phi8" localSheetId="5">#REF!</definedName>
    <definedName name="__phi8">#REF!</definedName>
    <definedName name="__slg1" localSheetId="5">#REF!</definedName>
    <definedName name="__slg1">#REF!</definedName>
    <definedName name="__slg2" localSheetId="5">#REF!</definedName>
    <definedName name="__slg2">#REF!</definedName>
    <definedName name="__slg3" localSheetId="5">#REF!</definedName>
    <definedName name="__slg3">#REF!</definedName>
    <definedName name="__slg4" localSheetId="5">#REF!</definedName>
    <definedName name="__slg4">#REF!</definedName>
    <definedName name="__slg5" localSheetId="5">#REF!</definedName>
    <definedName name="__slg5">#REF!</definedName>
    <definedName name="__slg6" localSheetId="5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5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5">#REF!</definedName>
    <definedName name="_cao1">#REF!</definedName>
    <definedName name="_cao2" localSheetId="5">#REF!</definedName>
    <definedName name="_cao2">#REF!</definedName>
    <definedName name="_cao3" localSheetId="5">#REF!</definedName>
    <definedName name="_cao3">#REF!</definedName>
    <definedName name="_cao4" localSheetId="5">#REF!</definedName>
    <definedName name="_cao4">#REF!</definedName>
    <definedName name="_cao5" localSheetId="5">#REF!</definedName>
    <definedName name="_cao5">#REF!</definedName>
    <definedName name="_cao6" localSheetId="5">#REF!</definedName>
    <definedName name="_cao6">#REF!</definedName>
    <definedName name="_CON1" localSheetId="5">#REF!</definedName>
    <definedName name="_CON1">#REF!</definedName>
    <definedName name="_CON2" localSheetId="5">#REF!</definedName>
    <definedName name="_CON2">#REF!</definedName>
    <definedName name="_dai1" localSheetId="5">#REF!</definedName>
    <definedName name="_dai1">#REF!</definedName>
    <definedName name="_dai2" localSheetId="5">#REF!</definedName>
    <definedName name="_dai2">#REF!</definedName>
    <definedName name="_dai3" localSheetId="5">#REF!</definedName>
    <definedName name="_dai3">#REF!</definedName>
    <definedName name="_dai4" localSheetId="5">#REF!</definedName>
    <definedName name="_dai4">#REF!</definedName>
    <definedName name="_dai5" localSheetId="5">#REF!</definedName>
    <definedName name="_dai5">#REF!</definedName>
    <definedName name="_dai6" localSheetId="5">#REF!</definedName>
    <definedName name="_dai6">#REF!</definedName>
    <definedName name="_dan1" localSheetId="5">#REF!</definedName>
    <definedName name="_dan1">#REF!</definedName>
    <definedName name="_dan2" localSheetId="5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5" hidden="1">#REF!</definedName>
    <definedName name="_Fill" hidden="1">#REF!</definedName>
    <definedName name="_IN20">[2]XL4Poppy!$B$1:$B$16</definedName>
    <definedName name="_Key1" localSheetId="5" hidden="1">#REF!</definedName>
    <definedName name="_Key1" hidden="1">#REF!</definedName>
    <definedName name="_Key2" localSheetId="5" hidden="1">#REF!</definedName>
    <definedName name="_Key2" hidden="1">#REF!</definedName>
    <definedName name="_lap1" localSheetId="5">#REF!</definedName>
    <definedName name="_lap1">#REF!</definedName>
    <definedName name="_lap2" localSheetId="5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5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5">#REF!</definedName>
    <definedName name="_NET2">#REF!</definedName>
    <definedName name="_Order1" hidden="1">255</definedName>
    <definedName name="_Order2" hidden="1">255</definedName>
    <definedName name="_phi10" localSheetId="5">#REF!</definedName>
    <definedName name="_phi10">#REF!</definedName>
    <definedName name="_phi12" localSheetId="5">#REF!</definedName>
    <definedName name="_phi12">#REF!</definedName>
    <definedName name="_phi14" localSheetId="5">#REF!</definedName>
    <definedName name="_phi14">#REF!</definedName>
    <definedName name="_phi16" localSheetId="5">#REF!</definedName>
    <definedName name="_phi16">#REF!</definedName>
    <definedName name="_phi18" localSheetId="5">#REF!</definedName>
    <definedName name="_phi18">#REF!</definedName>
    <definedName name="_phi20" localSheetId="5">#REF!</definedName>
    <definedName name="_phi20">#REF!</definedName>
    <definedName name="_phi2000" localSheetId="5">#REF!</definedName>
    <definedName name="_phi2000">#REF!</definedName>
    <definedName name="_phi22" localSheetId="5">#REF!</definedName>
    <definedName name="_phi22">#REF!</definedName>
    <definedName name="_phi25" localSheetId="5">#REF!</definedName>
    <definedName name="_phi25">#REF!</definedName>
    <definedName name="_phi28" localSheetId="5">#REF!</definedName>
    <definedName name="_phi28">#REF!</definedName>
    <definedName name="_phi6" localSheetId="5">#REF!</definedName>
    <definedName name="_phi6">#REF!</definedName>
    <definedName name="_phi8" localSheetId="5">#REF!</definedName>
    <definedName name="_phi8">#REF!</definedName>
    <definedName name="_slg1" localSheetId="5">#REF!</definedName>
    <definedName name="_slg1">#REF!</definedName>
    <definedName name="_slg2" localSheetId="5">#REF!</definedName>
    <definedName name="_slg2">#REF!</definedName>
    <definedName name="_slg3" localSheetId="5">#REF!</definedName>
    <definedName name="_slg3">#REF!</definedName>
    <definedName name="_slg4" localSheetId="5">#REF!</definedName>
    <definedName name="_slg4">#REF!</definedName>
    <definedName name="_slg5" localSheetId="5">#REF!</definedName>
    <definedName name="_slg5">#REF!</definedName>
    <definedName name="_slg6" localSheetId="5">#REF!</definedName>
    <definedName name="_slg6">#REF!</definedName>
    <definedName name="_Sort" localSheetId="5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5">#REF!</definedName>
    <definedName name="AA">#REF!</definedName>
    <definedName name="AAA">'[11]MTL$-INTER'!#REF!</definedName>
    <definedName name="All_Item" localSheetId="5">#REF!</definedName>
    <definedName name="All_Item">#REF!</definedName>
    <definedName name="ALPIN">#N/A</definedName>
    <definedName name="ALPJYOU">#N/A</definedName>
    <definedName name="ALPTOI">#N/A</definedName>
    <definedName name="ASDSDFD" localSheetId="5">#REF!</definedName>
    <definedName name="ASDSDFD">#REF!</definedName>
    <definedName name="B">'[1]PNT-QUOT-#3'!#REF!</definedName>
    <definedName name="bangchu" localSheetId="5">#REF!</definedName>
    <definedName name="bangchu">#REF!</definedName>
    <definedName name="BB" localSheetId="5">#REF!</definedName>
    <definedName name="BB">#REF!</definedName>
    <definedName name="bengam" localSheetId="5">#REF!</definedName>
    <definedName name="bengam">#REF!</definedName>
    <definedName name="benuoc" localSheetId="5">#REF!</definedName>
    <definedName name="benuoc">#REF!</definedName>
    <definedName name="black" localSheetId="5">#REF!</definedName>
    <definedName name="black">#REF!</definedName>
    <definedName name="BOQ" localSheetId="5">#REF!</definedName>
    <definedName name="BOQ">#REF!</definedName>
    <definedName name="BUSAN_KOREA" localSheetId="5">#REF!</definedName>
    <definedName name="BUSAN_KOREA">#REF!</definedName>
    <definedName name="BVCISUMMARY" localSheetId="5">#REF!</definedName>
    <definedName name="BVCISUMMARY">#REF!</definedName>
    <definedName name="CABLE2">'[12]MTO REV.0'!$A$1:$Q$570</definedName>
    <definedName name="cao" localSheetId="5">#REF!</definedName>
    <definedName name="cao">#REF!</definedName>
    <definedName name="cap" localSheetId="5">#REF!</definedName>
    <definedName name="cap">#REF!</definedName>
    <definedName name="cap0.7" localSheetId="5">#REF!</definedName>
    <definedName name="cap0.7">#REF!</definedName>
    <definedName name="Category_All" localSheetId="5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5">#REF!</definedName>
    <definedName name="CL">#REF!</definedName>
    <definedName name="COAT">'[1]PNT-QUOT-#3'!#REF!</definedName>
    <definedName name="coc" localSheetId="5">#REF!</definedName>
    <definedName name="coc">#REF!</definedName>
    <definedName name="cocbtct" localSheetId="5">#REF!</definedName>
    <definedName name="cocbtct">#REF!</definedName>
    <definedName name="cocot" localSheetId="5">#REF!</definedName>
    <definedName name="cocot">#REF!</definedName>
    <definedName name="cocott" localSheetId="5">#REF!</definedName>
    <definedName name="cocott">#REF!</definedName>
    <definedName name="COMMON" localSheetId="5">#REF!</definedName>
    <definedName name="COMMON">#REF!</definedName>
    <definedName name="comong" localSheetId="5">#REF!</definedName>
    <definedName name="comong">#REF!</definedName>
    <definedName name="CON_EQP_COS" localSheetId="5">#REF!</definedName>
    <definedName name="CON_EQP_COS">#REF!</definedName>
    <definedName name="CON_EQP_COST" localSheetId="5">#REF!</definedName>
    <definedName name="CON_EQP_COST">#REF!</definedName>
    <definedName name="congbengam" localSheetId="5">#REF!</definedName>
    <definedName name="congbengam">#REF!</definedName>
    <definedName name="congbenuoc" localSheetId="5">#REF!</definedName>
    <definedName name="congbenuoc">#REF!</definedName>
    <definedName name="congcoc" localSheetId="5">#REF!</definedName>
    <definedName name="congcoc">#REF!</definedName>
    <definedName name="congcocot" localSheetId="5">#REF!</definedName>
    <definedName name="congcocot">#REF!</definedName>
    <definedName name="congcocott" localSheetId="5">#REF!</definedName>
    <definedName name="congcocott">#REF!</definedName>
    <definedName name="congcomong" localSheetId="5">#REF!</definedName>
    <definedName name="congcomong">#REF!</definedName>
    <definedName name="congcottron" localSheetId="5">#REF!</definedName>
    <definedName name="congcottron">#REF!</definedName>
    <definedName name="congcotvuong" localSheetId="5">#REF!</definedName>
    <definedName name="congcotvuong">#REF!</definedName>
    <definedName name="congdam" localSheetId="5">#REF!</definedName>
    <definedName name="congdam">#REF!</definedName>
    <definedName name="congdam1" localSheetId="5">#REF!</definedName>
    <definedName name="congdam1">#REF!</definedName>
    <definedName name="congdan1" localSheetId="5">#REF!</definedName>
    <definedName name="congdan1">#REF!</definedName>
    <definedName name="congdan2" localSheetId="5">#REF!</definedName>
    <definedName name="congdan2">#REF!</definedName>
    <definedName name="congdandusan" localSheetId="5">#REF!</definedName>
    <definedName name="congdandusan">#REF!</definedName>
    <definedName name="conglanhto" localSheetId="5">#REF!</definedName>
    <definedName name="conglanhto">#REF!</definedName>
    <definedName name="congmong" localSheetId="5">#REF!</definedName>
    <definedName name="congmong">#REF!</definedName>
    <definedName name="congmongbang" localSheetId="5">#REF!</definedName>
    <definedName name="congmongbang">#REF!</definedName>
    <definedName name="congmongdon" localSheetId="5">#REF!</definedName>
    <definedName name="congmongdon">#REF!</definedName>
    <definedName name="congpanen" localSheetId="5">#REF!</definedName>
    <definedName name="congpanen">#REF!</definedName>
    <definedName name="congsan" localSheetId="5">#REF!</definedName>
    <definedName name="congsan">#REF!</definedName>
    <definedName name="congthang" localSheetId="5">#REF!</definedName>
    <definedName name="congthang">#REF!</definedName>
    <definedName name="CONST_EQ" localSheetId="5">#REF!</definedName>
    <definedName name="CONST_EQ">#REF!</definedName>
    <definedName name="cot" localSheetId="5">#REF!</definedName>
    <definedName name="cot">#REF!</definedName>
    <definedName name="Cotbandoc" localSheetId="5">#REF!</definedName>
    <definedName name="Cotbandoc">#REF!</definedName>
    <definedName name="Cotthe" localSheetId="5">#REF!</definedName>
    <definedName name="Cotthe">#REF!</definedName>
    <definedName name="cottron" localSheetId="5">#REF!</definedName>
    <definedName name="cottron">#REF!</definedName>
    <definedName name="cotvuong" localSheetId="5">#REF!</definedName>
    <definedName name="cotvuong">#REF!</definedName>
    <definedName name="COVER" localSheetId="5">#REF!</definedName>
    <definedName name="COVER">#REF!</definedName>
    <definedName name="_xlnm.Criteria" localSheetId="5">#REF!</definedName>
    <definedName name="_xlnm.Criteria">#REF!</definedName>
    <definedName name="CRITINST" localSheetId="5">#REF!</definedName>
    <definedName name="CRITINST">#REF!</definedName>
    <definedName name="CRITPURC" localSheetId="5">#REF!</definedName>
    <definedName name="CRITPURC">#REF!</definedName>
    <definedName name="CS_10" localSheetId="5">#REF!</definedName>
    <definedName name="CS_10">#REF!</definedName>
    <definedName name="CS_100" localSheetId="5">#REF!</definedName>
    <definedName name="CS_100">#REF!</definedName>
    <definedName name="CS_10S" localSheetId="5">#REF!</definedName>
    <definedName name="CS_10S">#REF!</definedName>
    <definedName name="CS_120" localSheetId="5">#REF!</definedName>
    <definedName name="CS_120">#REF!</definedName>
    <definedName name="CS_140" localSheetId="5">#REF!</definedName>
    <definedName name="CS_140">#REF!</definedName>
    <definedName name="CS_160" localSheetId="5">#REF!</definedName>
    <definedName name="CS_160">#REF!</definedName>
    <definedName name="CS_20" localSheetId="5">#REF!</definedName>
    <definedName name="CS_20">#REF!</definedName>
    <definedName name="CS_30" localSheetId="5">#REF!</definedName>
    <definedName name="CS_30">#REF!</definedName>
    <definedName name="CS_40" localSheetId="5">#REF!</definedName>
    <definedName name="CS_40">#REF!</definedName>
    <definedName name="CS_40S" localSheetId="5">#REF!</definedName>
    <definedName name="CS_40S">#REF!</definedName>
    <definedName name="CS_5S" localSheetId="5">#REF!</definedName>
    <definedName name="CS_5S">#REF!</definedName>
    <definedName name="CS_60" localSheetId="5">#REF!</definedName>
    <definedName name="CS_60">#REF!</definedName>
    <definedName name="CS_80" localSheetId="5">#REF!</definedName>
    <definedName name="CS_80">#REF!</definedName>
    <definedName name="CS_80S" localSheetId="5">#REF!</definedName>
    <definedName name="CS_80S">#REF!</definedName>
    <definedName name="CS_STD" localSheetId="5">#REF!</definedName>
    <definedName name="CS_STD">#REF!</definedName>
    <definedName name="CS_XS" localSheetId="5">#REF!</definedName>
    <definedName name="CS_XS">#REF!</definedName>
    <definedName name="CS_XXS" localSheetId="5">#REF!</definedName>
    <definedName name="CS_XXS">#REF!</definedName>
    <definedName name="ctdn9697" localSheetId="5">#REF!</definedName>
    <definedName name="ctdn9697">#REF!</definedName>
    <definedName name="CURRENCY" localSheetId="5">#REF!</definedName>
    <definedName name="CURRENCY">#REF!</definedName>
    <definedName name="D_7101A_B" localSheetId="5">#REF!</definedName>
    <definedName name="D_7101A_B">#REF!</definedName>
    <definedName name="dam" localSheetId="5">#REF!</definedName>
    <definedName name="dam">#REF!</definedName>
    <definedName name="danducsan" localSheetId="5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5">#REF!</definedName>
    <definedName name="Database">#REF!</definedName>
    <definedName name="Database1" localSheetId="5">#REF!</definedName>
    <definedName name="Database1">#REF!</definedName>
    <definedName name="DataFilter">[13]!DataFilter</definedName>
    <definedName name="DataSort">[13]!DataSort</definedName>
    <definedName name="DENNGAY" localSheetId="6">#REF!</definedName>
    <definedName name="DENNGAY" localSheetId="2">#REF!</definedName>
    <definedName name="DENNGAY" localSheetId="3">#REF!</definedName>
    <definedName name="DENNGAY">#REF!</definedName>
    <definedName name="Diachi" localSheetId="5">#REF!</definedName>
    <definedName name="Diachi">#REF!</definedName>
    <definedName name="dientichck" localSheetId="5">#REF!</definedName>
    <definedName name="dientichck">#REF!</definedName>
    <definedName name="Dieukien" localSheetId="5">#REF!</definedName>
    <definedName name="Dieukien">#REF!</definedName>
    <definedName name="Dieukien1" localSheetId="5">#REF!</definedName>
    <definedName name="Dieukien1">#REF!</definedName>
    <definedName name="doan1" localSheetId="5">#REF!</definedName>
    <definedName name="doan1">#REF!</definedName>
    <definedName name="doan2" localSheetId="5">#REF!</definedName>
    <definedName name="doan2">#REF!</definedName>
    <definedName name="doan3" localSheetId="5">#REF!</definedName>
    <definedName name="doan3">#REF!</definedName>
    <definedName name="doan4" localSheetId="5">#REF!</definedName>
    <definedName name="doan4">#REF!</definedName>
    <definedName name="doan5" localSheetId="5">#REF!</definedName>
    <definedName name="doan5">#REF!</definedName>
    <definedName name="doan6" localSheetId="5">#REF!</definedName>
    <definedName name="doan6">#REF!</definedName>
    <definedName name="dobt" localSheetId="5">#REF!</definedName>
    <definedName name="dobt">#REF!</definedName>
    <definedName name="Document_array" localSheetId="2">{"ÿÿÿÿÿ"}</definedName>
    <definedName name="Document_array">{"ÿÿÿÿÿ"}</definedName>
    <definedName name="Documents_array" localSheetId="5">#REF!</definedName>
    <definedName name="Documents_array">#REF!</definedName>
    <definedName name="Donvi" localSheetId="5">#REF!</definedName>
    <definedName name="Donvi">#REF!</definedName>
    <definedName name="Drawn_JPY" localSheetId="5">#REF!</definedName>
    <definedName name="Drawn_JPY">#REF!</definedName>
    <definedName name="Drawn_USD" localSheetId="5">#REF!</definedName>
    <definedName name="Drawn_USD">#REF!</definedName>
    <definedName name="DSFGSDGRDG" localSheetId="5">#REF!</definedName>
    <definedName name="DSFGSDGRDG">#REF!</definedName>
    <definedName name="DSUMDATA" localSheetId="5">#REF!</definedName>
    <definedName name="DSUMDATA">#REF!</definedName>
    <definedName name="dtich1" localSheetId="5">#REF!</definedName>
    <definedName name="dtich1">#REF!</definedName>
    <definedName name="dtich2" localSheetId="5">#REF!</definedName>
    <definedName name="dtich2">#REF!</definedName>
    <definedName name="dtich3" localSheetId="5">#REF!</definedName>
    <definedName name="dtich3">#REF!</definedName>
    <definedName name="dtich4" localSheetId="5">#REF!</definedName>
    <definedName name="dtich4">#REF!</definedName>
    <definedName name="dtich5" localSheetId="5">#REF!</definedName>
    <definedName name="dtich5">#REF!</definedName>
    <definedName name="dtich6" localSheetId="5">#REF!</definedName>
    <definedName name="dtich6">#REF!</definedName>
    <definedName name="End_1" localSheetId="5">#REF!</definedName>
    <definedName name="End_1">#REF!</definedName>
    <definedName name="End_10" localSheetId="5">#REF!</definedName>
    <definedName name="End_10">#REF!</definedName>
    <definedName name="End_11" localSheetId="5">#REF!</definedName>
    <definedName name="End_11">#REF!</definedName>
    <definedName name="End_12" localSheetId="5">#REF!</definedName>
    <definedName name="End_12">#REF!</definedName>
    <definedName name="End_13" localSheetId="5">#REF!</definedName>
    <definedName name="End_13">#REF!</definedName>
    <definedName name="End_2" localSheetId="5">#REF!</definedName>
    <definedName name="End_2">#REF!</definedName>
    <definedName name="End_3" localSheetId="5">#REF!</definedName>
    <definedName name="End_3">#REF!</definedName>
    <definedName name="End_4" localSheetId="5">#REF!</definedName>
    <definedName name="End_4">#REF!</definedName>
    <definedName name="End_5" localSheetId="5">#REF!</definedName>
    <definedName name="End_5">#REF!</definedName>
    <definedName name="End_6" localSheetId="5">#REF!</definedName>
    <definedName name="End_6">#REF!</definedName>
    <definedName name="End_7" localSheetId="5">#REF!</definedName>
    <definedName name="End_7">#REF!</definedName>
    <definedName name="End_8" localSheetId="5">#REF!</definedName>
    <definedName name="End_8">#REF!</definedName>
    <definedName name="End_9" localSheetId="5">#REF!</definedName>
    <definedName name="End_9">#REF!</definedName>
    <definedName name="_xlnm.Extract">[14]SILICATE!#REF!</definedName>
    <definedName name="FACTOR" localSheetId="5">#REF!</definedName>
    <definedName name="FACTOR">#REF!</definedName>
    <definedName name="FFF" localSheetId="5">#REF!</definedName>
    <definedName name="FFF">#REF!</definedName>
    <definedName name="FOB" localSheetId="5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5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5">#REF!</definedName>
    <definedName name="HOME_MANP">#REF!</definedName>
    <definedName name="HOMEOFFICE_COST" localSheetId="5">#REF!</definedName>
    <definedName name="HOMEOFFICE_COST">#REF!</definedName>
    <definedName name="HTML_CodePage" hidden="1">950</definedName>
    <definedName name="HTML_Control" localSheetId="2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5">#REF!</definedName>
    <definedName name="IDLAB_COST">#REF!</definedName>
    <definedName name="IND_LAB" localSheetId="5">#REF!</definedName>
    <definedName name="IND_LAB">#REF!</definedName>
    <definedName name="INDMANP" localSheetId="5">#REF!</definedName>
    <definedName name="INDMANP">#REF!</definedName>
    <definedName name="INSBURGH.KCO.LTD" localSheetId="5">#REF!</definedName>
    <definedName name="INSBURGH.KCO.LTD">#REF!</definedName>
    <definedName name="IO">'[1]COAT&amp;WRAP-QIOT-#3'!#REF!</definedName>
    <definedName name="j" localSheetId="5">#REF!</definedName>
    <definedName name="j">#REF!</definedName>
    <definedName name="jhkh">[17]XL4Poppy!$B$1:$B$16</definedName>
    <definedName name="JK" localSheetId="5">#REF!</definedName>
    <definedName name="JK">#REF!</definedName>
    <definedName name="K" localSheetId="5">#REF!</definedName>
    <definedName name="K">#REF!</definedName>
    <definedName name="KABUL" localSheetId="5">#REF!</definedName>
    <definedName name="KABUL">#REF!</definedName>
    <definedName name="KVC" localSheetId="5">#REF!</definedName>
    <definedName name="KVC">#REF!</definedName>
    <definedName name="L" localSheetId="5">#REF!</definedName>
    <definedName name="L">#REF!</definedName>
    <definedName name="lanhto" localSheetId="5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5">#REF!</definedName>
    <definedName name="Loaisach">#REF!</definedName>
    <definedName name="lVC" localSheetId="5">#REF!</definedName>
    <definedName name="lVC">#REF!</definedName>
    <definedName name="MailTo_JPY" localSheetId="5">#REF!</definedName>
    <definedName name="MailTo_JPY">#REF!</definedName>
    <definedName name="MailTo_USD" localSheetId="5">#REF!</definedName>
    <definedName name="MailTo_USD">#REF!</definedName>
    <definedName name="MAJ_CON_EQP" localSheetId="5">#REF!</definedName>
    <definedName name="MAJ_CON_EQP">#REF!</definedName>
    <definedName name="MARK" localSheetId="5">#REF!</definedName>
    <definedName name="MARK">#REF!</definedName>
    <definedName name="Masosach" localSheetId="5">#REF!</definedName>
    <definedName name="Masosach">#REF!</definedName>
    <definedName name="Masothe" localSheetId="5">#REF!</definedName>
    <definedName name="Masothe">#REF!</definedName>
    <definedName name="MAT">'[1]COAT&amp;WRAP-QIOT-#3'!#REF!</definedName>
    <definedName name="MF">'[1]COAT&amp;WRAP-QIOT-#3'!#REF!</definedName>
    <definedName name="MG_A" localSheetId="5">#REF!</definedName>
    <definedName name="MG_A">#REF!</definedName>
    <definedName name="mongbang" localSheetId="5">#REF!</definedName>
    <definedName name="mongbang">#REF!</definedName>
    <definedName name="mongdon" localSheetId="5">#REF!</definedName>
    <definedName name="mongdon">#REF!</definedName>
    <definedName name="Monloaichinh" localSheetId="5">#REF!</definedName>
    <definedName name="Monloaichinh">#REF!</definedName>
    <definedName name="NCcap0.7" localSheetId="5">#REF!</definedName>
    <definedName name="NCcap0.7">#REF!</definedName>
    <definedName name="NCcap1" localSheetId="5">#REF!</definedName>
    <definedName name="NCcap1">#REF!</definedName>
    <definedName name="NET" localSheetId="5">#REF!</definedName>
    <definedName name="NET">#REF!</definedName>
    <definedName name="NET_1" localSheetId="5">#REF!</definedName>
    <definedName name="NET_1">#REF!</definedName>
    <definedName name="NET_ANA" localSheetId="5">#REF!</definedName>
    <definedName name="NET_ANA">#REF!</definedName>
    <definedName name="NET_ANA_1" localSheetId="5">#REF!</definedName>
    <definedName name="NET_ANA_1">#REF!</definedName>
    <definedName name="NET_ANA_2" localSheetId="5">#REF!</definedName>
    <definedName name="NET_ANA_2">#REF!</definedName>
    <definedName name="NGAY_NK" localSheetId="6">'[18]NHẬP KHO'!$B:$B</definedName>
    <definedName name="NGAY_NK" localSheetId="2">'[18]NHẬP KHO'!$B:$B</definedName>
    <definedName name="NGAY_NK">'[18]NHẬP KHO'!$B:$B</definedName>
    <definedName name="NGAY_XK" localSheetId="6">'[18]XUẤT KHO'!$B:$B</definedName>
    <definedName name="NGAY_XK" localSheetId="2">'[18]XUẤT KHO'!$B:$B</definedName>
    <definedName name="NGAY_XK">'[18]XUẤT KHO'!$B:$B</definedName>
    <definedName name="NGHIA" localSheetId="5">#REF!</definedName>
    <definedName name="NGHIA">#REF!</definedName>
    <definedName name="Nhaxuatban" localSheetId="5">#REF!</definedName>
    <definedName name="Nhaxuatban">#REF!</definedName>
    <definedName name="Noixuatban" localSheetId="5">#REF!</definedName>
    <definedName name="Noixuatban">#REF!</definedName>
    <definedName name="NVLHOAKY" localSheetId="6">#REF!</definedName>
    <definedName name="NVLHOAKY" localSheetId="2">#REF!</definedName>
    <definedName name="NVLHOAKY" localSheetId="3">#REF!</definedName>
    <definedName name="NVLHOAKY">#REF!</definedName>
    <definedName name="OTHER_PANEL">'[15]NEW-PANEL'!#REF!</definedName>
    <definedName name="P">'[1]PNT-QUOT-#3'!#REF!</definedName>
    <definedName name="panen" localSheetId="5">#REF!</definedName>
    <definedName name="panen">#REF!</definedName>
    <definedName name="PCVISA" localSheetId="5">#REF!</definedName>
    <definedName name="PCVISA">#REF!</definedName>
    <definedName name="PEJM">'[1]COAT&amp;WRAP-QIOT-#3'!#REF!</definedName>
    <definedName name="PF">'[1]PNT-QUOT-#3'!#REF!</definedName>
    <definedName name="PHONG" localSheetId="5">#REF!</definedName>
    <definedName name="PHONG">#REF!</definedName>
    <definedName name="PL_指示燈___P.B.___REST_P.B._壓扣開關">'[15]NEW-PANEL'!#REF!</definedName>
    <definedName name="PM">[19]IBASE!$AH$16:$AV$110</definedName>
    <definedName name="POD">[20]XL4Poppy!$C$27</definedName>
    <definedName name="PRICE" localSheetId="5">#REF!</definedName>
    <definedName name="PRICE">#REF!</definedName>
    <definedName name="PRICE1" localSheetId="5">#REF!</definedName>
    <definedName name="PRICE1">#REF!</definedName>
    <definedName name="_xlnm.Print_Area" localSheetId="6">'IN PHIẾU XUẤT '!$A$1:$J$74</definedName>
    <definedName name="_xlnm.Print_Area" localSheetId="2">INV!$A$1:$J$53</definedName>
    <definedName name="_xlnm.Print_Area" localSheetId="0">PKL!$A$1:$M$61</definedName>
    <definedName name="_xlnm.Print_Area" localSheetId="5">SC!$A$1:$J$53</definedName>
    <definedName name="_xlnm.Print_Area" localSheetId="3">TEM!$A$1:$N$21</definedName>
    <definedName name="Print_Area_MI">[21]ESTI.!$A$1:$U$52</definedName>
    <definedName name="_xlnm.Print_Titles">#N/A</definedName>
    <definedName name="Print_Titles_MI" localSheetId="5">#REF!</definedName>
    <definedName name="Print_Titles_MI">#REF!</definedName>
    <definedName name="PRINTA" localSheetId="5">#REF!</definedName>
    <definedName name="PRINTA">#REF!</definedName>
    <definedName name="PRINTB" localSheetId="5">#REF!</definedName>
    <definedName name="PRINTB">#REF!</definedName>
    <definedName name="PRINTC" localSheetId="5">#REF!</definedName>
    <definedName name="PRINTC">#REF!</definedName>
    <definedName name="PROPOSAL" localSheetId="5">#REF!</definedName>
    <definedName name="PROPOSAL">#REF!</definedName>
    <definedName name="QLY" localSheetId="5">#REF!</definedName>
    <definedName name="QLY">#REF!</definedName>
    <definedName name="Quequan" localSheetId="5">#REF!</definedName>
    <definedName name="Quequan">#REF!</definedName>
    <definedName name="Query2" localSheetId="5">#REF!</definedName>
    <definedName name="Query2">#REF!</definedName>
    <definedName name="re">[17]XL4Poppy!$C$27</definedName>
    <definedName name="Recorder" localSheetId="5">#REF!</definedName>
    <definedName name="Recorder">#REF!</definedName>
    <definedName name="RECOUT">#N/A</definedName>
    <definedName name="ReimBK_JPY" localSheetId="5">#REF!</definedName>
    <definedName name="ReimBK_JPY">#REF!</definedName>
    <definedName name="ReimBK_USD" localSheetId="5">#REF!</definedName>
    <definedName name="ReimBK_USD">#REF!</definedName>
    <definedName name="renego_jpy" localSheetId="5">#REF!</definedName>
    <definedName name="renego_jpy">#REF!</definedName>
    <definedName name="renego_usd" localSheetId="5">#REF!</definedName>
    <definedName name="renego_usd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 localSheetId="5">#REF!</definedName>
    <definedName name="RFP003D">#REF!</definedName>
    <definedName name="RFP003E" localSheetId="5">#REF!</definedName>
    <definedName name="RFP003E">#REF!</definedName>
    <definedName name="RFP003F" localSheetId="5">#REF!</definedName>
    <definedName name="RFP003F">#REF!</definedName>
    <definedName name="rong1" localSheetId="5">#REF!</definedName>
    <definedName name="rong1">#REF!</definedName>
    <definedName name="rong2" localSheetId="5">#REF!</definedName>
    <definedName name="rong2">#REF!</definedName>
    <definedName name="rong3" localSheetId="5">#REF!</definedName>
    <definedName name="rong3">#REF!</definedName>
    <definedName name="rong4" localSheetId="5">#REF!</definedName>
    <definedName name="rong4">#REF!</definedName>
    <definedName name="rong5" localSheetId="5">#REF!</definedName>
    <definedName name="rong5">#REF!</definedName>
    <definedName name="rong6" localSheetId="5">#REF!</definedName>
    <definedName name="rong6">#REF!</definedName>
    <definedName name="RT">'[1]COAT&amp;WRAP-QIOT-#3'!#REF!</definedName>
    <definedName name="safghsf">[22]XL4Poppy!$C$27</definedName>
    <definedName name="san" localSheetId="5">#REF!</definedName>
    <definedName name="san">#REF!</definedName>
    <definedName name="sau">'[8]Chiet tinh dz35'!$H$4</definedName>
    <definedName name="SB">[19]IBASE!$AH$7:$AL$14</definedName>
    <definedName name="SCCR" localSheetId="5">#REF!</definedName>
    <definedName name="SCCR">#REF!</definedName>
    <definedName name="SCDT" localSheetId="5">#REF!</definedName>
    <definedName name="SCDT">#REF!</definedName>
    <definedName name="SCH" localSheetId="5">#REF!</definedName>
    <definedName name="SCH">#REF!</definedName>
    <definedName name="ShipMark">[23]Header!#REF!</definedName>
    <definedName name="ShipMarkAll">[23]Header!#REF!</definedName>
    <definedName name="SIZE" localSheetId="5">#REF!</definedName>
    <definedName name="SIZE">#REF!</definedName>
    <definedName name="SL_NK" localSheetId="6">'[18]NHẬP KHO'!$F:$F</definedName>
    <definedName name="SL_NK" localSheetId="2">'[18]NHẬP KHO'!$F:$F</definedName>
    <definedName name="SL_NK">'[18]NHẬP KHO'!$F:$F</definedName>
    <definedName name="SL_XK" localSheetId="6">'[18]XUẤT KHO'!$G:$G</definedName>
    <definedName name="SL_XK" localSheetId="2">'[18]XUẤT KHO'!$G:$G</definedName>
    <definedName name="SL_XK">'[18]XUẤT KHO'!$G:$G</definedName>
    <definedName name="slg" localSheetId="5">#REF!</definedName>
    <definedName name="slg">#REF!</definedName>
    <definedName name="Sodong" localSheetId="5">#REF!</definedName>
    <definedName name="Sodong">#REF!</definedName>
    <definedName name="sodong1" localSheetId="5">#REF!</definedName>
    <definedName name="sodong1">#REF!</definedName>
    <definedName name="sodong2" localSheetId="5">#REF!</definedName>
    <definedName name="sodong2">#REF!</definedName>
    <definedName name="Soluong" localSheetId="5">#REF!</definedName>
    <definedName name="Soluong">#REF!</definedName>
    <definedName name="SORT" localSheetId="5">#REF!</definedName>
    <definedName name="SORT">#REF!</definedName>
    <definedName name="SORT_AREA">'[21]DI-ESTI'!$A$8:$R$489</definedName>
    <definedName name="Sothe" localSheetId="5">#REF!</definedName>
    <definedName name="Sothe">#REF!</definedName>
    <definedName name="SP">'[1]PNT-QUOT-#3'!#REF!</definedName>
    <definedName name="SPEC" localSheetId="5">#REF!</definedName>
    <definedName name="SPEC">#REF!</definedName>
    <definedName name="SPECSUMMARY" localSheetId="5">#REF!</definedName>
    <definedName name="SPECSUMMARY">#REF!</definedName>
    <definedName name="Start_1" localSheetId="5">#REF!</definedName>
    <definedName name="Start_1">#REF!</definedName>
    <definedName name="Start_10" localSheetId="5">#REF!</definedName>
    <definedName name="Start_10">#REF!</definedName>
    <definedName name="Start_11" localSheetId="5">#REF!</definedName>
    <definedName name="Start_11">#REF!</definedName>
    <definedName name="Start_12" localSheetId="5">#REF!</definedName>
    <definedName name="Start_12">#REF!</definedName>
    <definedName name="Start_13" localSheetId="5">#REF!</definedName>
    <definedName name="Start_13">#REF!</definedName>
    <definedName name="Start_2" localSheetId="5">#REF!</definedName>
    <definedName name="Start_2">#REF!</definedName>
    <definedName name="Start_3" localSheetId="5">#REF!</definedName>
    <definedName name="Start_3">#REF!</definedName>
    <definedName name="Start_4" localSheetId="5">#REF!</definedName>
    <definedName name="Start_4">#REF!</definedName>
    <definedName name="Start_5" localSheetId="5">#REF!</definedName>
    <definedName name="Start_5">#REF!</definedName>
    <definedName name="Start_6" localSheetId="5">#REF!</definedName>
    <definedName name="Start_6">#REF!</definedName>
    <definedName name="Start_7" localSheetId="5">#REF!</definedName>
    <definedName name="Start_7">#REF!</definedName>
    <definedName name="Start_8" localSheetId="5">#REF!</definedName>
    <definedName name="Start_8">#REF!</definedName>
    <definedName name="Start_9" localSheetId="5">#REF!</definedName>
    <definedName name="Start_9">#REF!</definedName>
    <definedName name="stt">[24]DATA!$A:$CQ</definedName>
    <definedName name="SUMMARY" localSheetId="5">#REF!</definedName>
    <definedName name="SUMMARY">#REF!</definedName>
    <definedName name="TaxTV">10%</definedName>
    <definedName name="TaxXL">5%</definedName>
    <definedName name="tenck" localSheetId="5">#REF!</definedName>
    <definedName name="tenck">#REF!</definedName>
    <definedName name="TENHANG_NK" localSheetId="6">'[18]NHẬP KHO'!$D:$D</definedName>
    <definedName name="TENHANG_NK" localSheetId="2">'[18]NHẬP KHO'!$D:$D</definedName>
    <definedName name="TENHANG_NK">'[18]NHẬP KHO'!$D:$D</definedName>
    <definedName name="TENHANG_XK" localSheetId="6">'[18]XUẤT KHO'!$E:$E</definedName>
    <definedName name="TENHANG_XK" localSheetId="2">'[18]XUẤT KHO'!$E:$E</definedName>
    <definedName name="TENHANG_XK">'[18]XUẤT KHO'!$E:$E</definedName>
    <definedName name="TENNGUYENLIEU" localSheetId="6">#REF!</definedName>
    <definedName name="TENNGUYENLIEU" localSheetId="2">#REF!</definedName>
    <definedName name="TENNGUYENLIEU" localSheetId="3">#REF!</definedName>
    <definedName name="TENNGUYENLIEU">#REF!</definedName>
    <definedName name="tenor_JPY" localSheetId="5">#REF!</definedName>
    <definedName name="tenor_JPY">#REF!</definedName>
    <definedName name="tenor_USD" localSheetId="5">#REF!</definedName>
    <definedName name="tenor_USD">#REF!</definedName>
    <definedName name="Tensach" localSheetId="5">#REF!</definedName>
    <definedName name="Tensach">#REF!</definedName>
    <definedName name="thang" localSheetId="5">#REF!</definedName>
    <definedName name="thang">#REF!</definedName>
    <definedName name="thanhtien" localSheetId="5">#REF!</definedName>
    <definedName name="thanhtien">#REF!</definedName>
    <definedName name="thepban" localSheetId="5">#REF!</definedName>
    <definedName name="thepban">#REF!</definedName>
    <definedName name="thetichck" localSheetId="5">#REF!</definedName>
    <definedName name="thetichck">#REF!</definedName>
    <definedName name="THI" localSheetId="5">#REF!</definedName>
    <definedName name="THI">#REF!</definedName>
    <definedName name="THK">'[1]COAT&amp;WRAP-QIOT-#3'!#REF!</definedName>
    <definedName name="Thongdza" localSheetId="5">#REF!</definedName>
    <definedName name="Thongdza">#REF!</definedName>
    <definedName name="thtich1" localSheetId="5">#REF!</definedName>
    <definedName name="thtich1">#REF!</definedName>
    <definedName name="thtich2" localSheetId="5">#REF!</definedName>
    <definedName name="thtich2">#REF!</definedName>
    <definedName name="thtich3" localSheetId="5">#REF!</definedName>
    <definedName name="thtich3">#REF!</definedName>
    <definedName name="thtich4" localSheetId="5">#REF!</definedName>
    <definedName name="thtich4">#REF!</definedName>
    <definedName name="thtich5" localSheetId="5">#REF!</definedName>
    <definedName name="thtich5">#REF!</definedName>
    <definedName name="thtich6" localSheetId="5">#REF!</definedName>
    <definedName name="thtich6">#REF!</definedName>
    <definedName name="THUCHI">#REF!</definedName>
    <definedName name="TITAN" localSheetId="5">#REF!</definedName>
    <definedName name="TITAN">#REF!</definedName>
    <definedName name="tongbt" localSheetId="5">#REF!</definedName>
    <definedName name="tongbt">#REF!</definedName>
    <definedName name="tongcong" localSheetId="5">#REF!</definedName>
    <definedName name="tongcong">#REF!</definedName>
    <definedName name="tongdientich" localSheetId="5">#REF!</definedName>
    <definedName name="tongdientich">#REF!</definedName>
    <definedName name="tongthep" localSheetId="5">#REF!</definedName>
    <definedName name="tongthep">#REF!</definedName>
    <definedName name="tongthetich" localSheetId="5">#REF!</definedName>
    <definedName name="tongthetich">#REF!</definedName>
    <definedName name="TotalAmt">#REF!</definedName>
    <definedName name="TPLRP" localSheetId="5">#REF!</definedName>
    <definedName name="TPLRP">#REF!</definedName>
    <definedName name="TRADE2" localSheetId="5">#REF!</definedName>
    <definedName name="TRADE2">#REF!</definedName>
    <definedName name="TRANSFORMER">'[15]NEW-PANEL'!#REF!</definedName>
    <definedName name="TRUONG" localSheetId="5">#REF!</definedName>
    <definedName name="TRUONG">#REF!</definedName>
    <definedName name="ttbt" localSheetId="5">#REF!</definedName>
    <definedName name="ttbt">#REF!</definedName>
    <definedName name="ttt">'[6]CT Thang Mo'!$B$309:$M$309</definedName>
    <definedName name="tttb">'[6]CT Thang Mo'!$B$431:$I$431</definedName>
    <definedName name="TUNGAY" localSheetId="6">#REF!</definedName>
    <definedName name="TUNGAY" localSheetId="2">#REF!</definedName>
    <definedName name="TUNGAY" localSheetId="3">#REF!</definedName>
    <definedName name="TUNGAY">#REF!</definedName>
    <definedName name="VARIINST" localSheetId="5">#REF!</definedName>
    <definedName name="VARIINST">#REF!</definedName>
    <definedName name="VARIPURC" localSheetId="5">#REF!</definedName>
    <definedName name="VARIPURC">#REF!</definedName>
    <definedName name="vc3.">'[6]CT  PL'!$B$125:$H$125</definedName>
    <definedName name="vca">'[6]CT  PL'!$B$25:$H$25</definedName>
    <definedName name="vccot" localSheetId="5">#REF!</definedName>
    <definedName name="vccot">#REF!</definedName>
    <definedName name="vccot.">'[6]CT  PL'!$B$8:$H$8</definedName>
    <definedName name="vcdbt">'[6]CT Thang Mo'!$B$220:$I$220</definedName>
    <definedName name="vcdc.">'[25]Chi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5">#REF!</definedName>
    <definedName name="vctb">#REF!</definedName>
    <definedName name="vctt">'[6]CT  PL'!$B$288:$H$288</definedName>
    <definedName name="Vlcap0.7" localSheetId="5">#REF!</definedName>
    <definedName name="Vlcap0.7">#REF!</definedName>
    <definedName name="VLcap1" localSheetId="5">#REF!</definedName>
    <definedName name="VLcap1">#REF!</definedName>
    <definedName name="vung1">#REF!</definedName>
    <definedName name="VUNGDH">#REF!</definedName>
    <definedName name="vungT1">#REF!</definedName>
    <definedName name="W" localSheetId="5">#REF!</definedName>
    <definedName name="W">#REF!</definedName>
    <definedName name="White">#REF!</definedName>
    <definedName name="X" localSheetId="5">#REF!</definedName>
    <definedName name="X">#REF!</definedName>
    <definedName name="XDVCS" localSheetId="5">#REF!</definedName>
    <definedName name="XDVCS">#REF!</definedName>
    <definedName name="YDS" localSheetId="5">#REF!</definedName>
    <definedName name="YDS">#REF!</definedName>
    <definedName name="YYYYYYYYYYYYYYYYYYYYYYYYY">'[1]PNT-QUOT-#3'!#REF!</definedName>
    <definedName name="YYYYYYYYYYYYYYYYYYYYYYYYYY" localSheetId="2">{"ÿÿÿÿÿ"}</definedName>
    <definedName name="YYYYYYYYYYYYYYYYYYYYYYYYYY">{"ÿÿÿÿÿ"}</definedName>
    <definedName name="yyyyyyyyyyyyyyyyyyyyyyyyyyyyyyy" localSheetId="5">#REF!</definedName>
    <definedName name="yyyyyyyyyyyyyyyyyyyyyyyyyyyyyyy">#REF!</definedName>
    <definedName name="ZF" localSheetId="5">#REF!</definedName>
    <definedName name="ZF">#REF!</definedName>
    <definedName name="ZYX" localSheetId="5">#REF!</definedName>
    <definedName name="ZYX">#REF!</definedName>
    <definedName name="zz" localSheetId="5">#REF!</definedName>
    <definedName name="zz">#REF!</definedName>
    <definedName name="ZZZ" localSheetId="5">#REF!</definedName>
    <definedName name="ZZZ">#REF!</definedName>
    <definedName name="효진">[26]ITL!#REF!</definedName>
    <definedName name="_xlnm.Print_Area" localSheetId="1">'PL '!$A$1:$M$54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<sst xmlns="http://schemas.openxmlformats.org/spreadsheetml/2006/main" count="1152" uniqueCount="273">
  <si>
    <t xml:space="preserve"> ADVANCE KNITTING VIETNAM CO., LTD</t>
  </si>
  <si>
    <t>LOT F5-4, THUAN DAO INDUSTRIAL PARK'S EXPANSION PHASE, LONG CANG COMMUNE, TAY NINH PROVINCE, VIETNAM</t>
  </si>
  <si>
    <t>TEL:(+84)-723-643-733;       (+84)-723-643-734                                         FAX: (+84)-723-643-735</t>
  </si>
  <si>
    <t>PACKING LIST</t>
  </si>
  <si>
    <t>Shipper / Exporter:</t>
  </si>
  <si>
    <t>No. / Date of Packing List :</t>
  </si>
  <si>
    <t>ADVANCE KNITTING VIETNAM CO.,LTD</t>
  </si>
  <si>
    <t>AK/GDI-20260013</t>
  </si>
  <si>
    <t>No. / Date of Invoice :</t>
  </si>
  <si>
    <r>
      <rPr>
        <b/>
        <u/>
        <sz val="12"/>
        <color theme="1"/>
        <rFont val="Arial Narrow"/>
        <charset val="134"/>
      </rPr>
      <t>Buyer:</t>
    </r>
    <r>
      <rPr>
        <b/>
        <sz val="12"/>
        <color indexed="8"/>
        <rFont val="Arial Narrow"/>
        <charset val="134"/>
      </rPr>
      <t xml:space="preserve"> </t>
    </r>
  </si>
  <si>
    <t>GDI HK LIMITED</t>
  </si>
  <si>
    <t>No. / Date of Contract :</t>
  </si>
  <si>
    <t>FLAT H, 2/F MANSION INDUSTRIAL BUILDING,</t>
  </si>
  <si>
    <t>AK/GDI/CT-202603</t>
  </si>
  <si>
    <t>8 A KUNG NGAM VILLAGE LANE, SHAU KEI WAN, HONG KONG</t>
  </si>
  <si>
    <t xml:space="preserve">Consignee: </t>
  </si>
  <si>
    <t>PT NIRWANA ALABARE GARMENT</t>
  </si>
  <si>
    <t xml:space="preserve">JL. RAYA RANCAEKEK - MAJALAYA , NO.289, DESA SOLOKAN JERUK, </t>
  </si>
  <si>
    <t>KECAMATAN SOLOKAN JERUK, KABUPATEN BANDUNG JAWA BARAT</t>
  </si>
  <si>
    <t>40382, INDONESIA</t>
  </si>
  <si>
    <t>TAX ID :0745 4069 2644 4000</t>
  </si>
  <si>
    <t>EMAIL : LUSI@PTNAG.COM
                  YUS.YULIUS@PTNAG.COM</t>
  </si>
  <si>
    <t>Loading:</t>
  </si>
  <si>
    <t>Discharge:</t>
  </si>
  <si>
    <r>
      <rPr>
        <b/>
        <u/>
        <sz val="12"/>
        <color theme="1"/>
        <rFont val="Arial Narrow"/>
        <charset val="134"/>
      </rPr>
      <t>Term of Delivery:</t>
    </r>
    <r>
      <rPr>
        <sz val="12"/>
        <color theme="1"/>
        <rFont val="Arial Narrow"/>
        <charset val="134"/>
      </rPr>
      <t xml:space="preserve"> </t>
    </r>
  </si>
  <si>
    <t>CFR JAKARTA INDONESIA</t>
  </si>
  <si>
    <t>HO CHI MINH</t>
  </si>
  <si>
    <t>JAKARTA</t>
  </si>
  <si>
    <t xml:space="preserve">Origin of Goods: </t>
  </si>
  <si>
    <t>Vietnam</t>
  </si>
  <si>
    <t>PO No:</t>
  </si>
  <si>
    <t>VESSEL:</t>
  </si>
  <si>
    <t>Delivery date</t>
  </si>
  <si>
    <t xml:space="preserve"> ETA:</t>
  </si>
  <si>
    <t>HF LUCKY 2609S</t>
  </si>
  <si>
    <t>Term of Payment:</t>
  </si>
  <si>
    <t>By T/T</t>
  </si>
  <si>
    <t>POLYESTER KNITTED RIB</t>
  </si>
  <si>
    <t>CARTON NO</t>
  </si>
  <si>
    <t xml:space="preserve">
PO
</t>
  </si>
  <si>
    <t>DESCRIPTION 
OF GOODS</t>
  </si>
  <si>
    <t>ITEM NO</t>
  </si>
  <si>
    <t>COLOR</t>
  </si>
  <si>
    <t>SIZE</t>
  </si>
  <si>
    <t xml:space="preserve">REF# </t>
  </si>
  <si>
    <t xml:space="preserve">
Q'TY
</t>
  </si>
  <si>
    <t>UNIT</t>
  </si>
  <si>
    <t>Net Weight
     (Kgs)</t>
  </si>
  <si>
    <t>Gross Weight
      (Kgs)</t>
  </si>
  <si>
    <t>Measurements
     (CBM)</t>
  </si>
  <si>
    <t>SIOB260424002</t>
  </si>
  <si>
    <t>60% BETTER COTTON (BCI) 40% POLYESTER
 32S/1x4 PLY FLAT KNIT  COLLAR</t>
  </si>
  <si>
    <t>CALLA LILY 451漂白</t>
  </si>
  <si>
    <t>XS</t>
  </si>
  <si>
    <t>13-1/4"x3.375”</t>
  </si>
  <si>
    <t>KD00410 265K0087-A4/  S/769950</t>
  </si>
  <si>
    <t>PCS</t>
  </si>
  <si>
    <t>S</t>
  </si>
  <si>
    <t>13-3/4"x3.375”</t>
  </si>
  <si>
    <t>M</t>
  </si>
  <si>
    <t>14-1/4"x3.625”</t>
  </si>
  <si>
    <t>L</t>
  </si>
  <si>
    <t>15"x3.625”</t>
  </si>
  <si>
    <t>XL HUSKY</t>
  </si>
  <si>
    <t>16-1/2"x3.625”</t>
  </si>
  <si>
    <t>XL</t>
  </si>
  <si>
    <t>16"x3.625”</t>
  </si>
  <si>
    <t>XXL HUSKY</t>
  </si>
  <si>
    <t>17-1/2"x3.625”</t>
  </si>
  <si>
    <t>XXL</t>
  </si>
  <si>
    <t>17"x3.625”</t>
  </si>
  <si>
    <t>L HUSKY</t>
  </si>
  <si>
    <t>15-1/2"x3.625”</t>
  </si>
  <si>
    <t>IN THE NAVY  172宝蓝色</t>
  </si>
  <si>
    <t>TOTAL</t>
  </si>
  <si>
    <t>MADE IN VIETNAM</t>
  </si>
  <si>
    <t>ADVANCE KNITTING VIETNAM CO., LTD</t>
  </si>
  <si>
    <t>Signature, full name, seal</t>
  </si>
  <si>
    <t>COMMERCIAL INVOICE</t>
  </si>
  <si>
    <t xml:space="preserve">LOT F5-4, THUAN DAO INDUSTRIAL PARK'S EXPANSION PHASE, LONG CANG </t>
  </si>
  <si>
    <t>Contract No. / Date:</t>
  </si>
  <si>
    <t>COMMUNE, TAY NINH PROVINCE, VIETNAM</t>
  </si>
  <si>
    <t>TEL:(+84)-723-643-733;       (+84)-723-643-734                                 FAX: (+84)-723-643-735</t>
  </si>
  <si>
    <r>
      <rPr>
        <b/>
        <u/>
        <sz val="11"/>
        <color theme="1"/>
        <rFont val="Arial Narrow"/>
        <charset val="134"/>
      </rPr>
      <t>Term of Delivery:</t>
    </r>
    <r>
      <rPr>
        <sz val="11"/>
        <color theme="1"/>
        <rFont val="Arial Narrow"/>
        <charset val="134"/>
      </rPr>
      <t xml:space="preserve"> CFR JAKARTA INDONESIA</t>
    </r>
  </si>
  <si>
    <r>
      <rPr>
        <b/>
        <u/>
        <sz val="11"/>
        <color theme="1"/>
        <rFont val="Arial Narrow"/>
        <charset val="134"/>
      </rPr>
      <t>Origin of Goods:</t>
    </r>
    <r>
      <rPr>
        <sz val="11"/>
        <color theme="1"/>
        <rFont val="Arial Narrow"/>
        <charset val="134"/>
      </rPr>
      <t xml:space="preserve"> Vietnam</t>
    </r>
  </si>
  <si>
    <r>
      <rPr>
        <b/>
        <u/>
        <sz val="11"/>
        <color theme="1"/>
        <rFont val="Arial Narrow"/>
        <charset val="134"/>
      </rPr>
      <t>Term of Payment:</t>
    </r>
    <r>
      <rPr>
        <sz val="11"/>
        <color theme="1"/>
        <rFont val="Arial Narrow"/>
        <charset val="134"/>
      </rPr>
      <t xml:space="preserve"> By T/T</t>
    </r>
  </si>
  <si>
    <t>PO</t>
  </si>
  <si>
    <t>REF#</t>
  </si>
  <si>
    <t>DESCRIPTION OF GOODS</t>
  </si>
  <si>
    <t>QUANTITY</t>
  </si>
  <si>
    <t>Unit</t>
  </si>
  <si>
    <t>UNIT PRICE
(USD)</t>
  </si>
  <si>
    <t>AMOUNT
(USD)</t>
  </si>
  <si>
    <t>60% BETTER COTTON (BCI) 40% POLYESTER 32S/1x4 PLY FLAT KNIT  COLLAR</t>
  </si>
  <si>
    <t>USD</t>
  </si>
  <si>
    <t>SAY:</t>
  </si>
  <si>
    <t>US DOLLAR THREE THOUSAND SEVEN HUNDRED ONE AND EIGHTY NINE CENTS ONLY.</t>
  </si>
  <si>
    <t>PLEASE MAKE  PAYMENT TO OUR BANK :  JOINT STOCK COMMERCIAL BANK FOR FOREIGN TRADE OF VIET NAM (VIETCOMBANK)</t>
  </si>
  <si>
    <t>ACCOUNT NO : 0631370457237</t>
  </si>
  <si>
    <t xml:space="preserve">  Signature, full name, seal</t>
  </si>
  <si>
    <t>SHIMADA 4</t>
  </si>
  <si>
    <t>Carton No</t>
  </si>
  <si>
    <t xml:space="preserve">
PO NUMBER
</t>
  </si>
  <si>
    <t>PRODUCT CODE</t>
  </si>
  <si>
    <t>LOT</t>
  </si>
  <si>
    <t>PO-DMBK-I-2435/25</t>
  </si>
  <si>
    <t>ĐƠN 4</t>
  </si>
  <si>
    <t>(H25234206(TL-1)) POLYESTER KNITTED RIB SIZE S 100% POLYESTER</t>
  </si>
  <si>
    <t>H25234206(TL-1)</t>
  </si>
  <si>
    <t>7.5*37.5 CM</t>
  </si>
  <si>
    <t>GT250128</t>
  </si>
  <si>
    <t xml:space="preserve">PCS </t>
  </si>
  <si>
    <t>7.5*38.5 CM</t>
  </si>
  <si>
    <t>7.5*39.5 CM</t>
  </si>
  <si>
    <t>LL</t>
  </si>
  <si>
    <t>7.5*40.5 CM</t>
  </si>
  <si>
    <t>PO-DMBK-I-2432/25</t>
  </si>
  <si>
    <t>(H25234110(TM-1)) POLYESTER KNITTED RIB SIZE 3L 100% POLYESTER</t>
  </si>
  <si>
    <t>H25234110(TM-1)</t>
  </si>
  <si>
    <t>8*41 CM</t>
  </si>
  <si>
    <t>8*42.5 CM</t>
  </si>
  <si>
    <t>8*44 CM</t>
  </si>
  <si>
    <t>3L</t>
  </si>
  <si>
    <t>8*45.5 CM</t>
  </si>
  <si>
    <t xml:space="preserve">                                      ADVANCE KNITTING VIETNAM CO., LTD</t>
  </si>
  <si>
    <t>DELIVERY INSTRUCTION</t>
  </si>
  <si>
    <t>No.</t>
  </si>
  <si>
    <t>:</t>
  </si>
  <si>
    <t>Date</t>
  </si>
  <si>
    <t>Pursuant to Contract No.</t>
  </si>
  <si>
    <t>AK/GDI/CT-202512 on Dec. 17, 2025</t>
  </si>
  <si>
    <t>We (Buyer) hereby</t>
  </si>
  <si>
    <t>ADD: FLAT H, 2/F MANSION INDUSTRIAL BUILDING, 8 A KUNG NGAM VILLAGE LANE, SHAU KEI WAN, HONG KONG</t>
  </si>
  <si>
    <t>To appoint to Seller</t>
  </si>
  <si>
    <t>TEL:(+84)-723-643-733;       (+84)-723-643-734     FAX: (+84)-723-643-735</t>
  </si>
  <si>
    <t>To release cargo to Consignee</t>
  </si>
  <si>
    <t>NO.18 THONG NHAT ROAD, SONG THAN INDUSTRIAL ZONE II,DI AN WARD,</t>
  </si>
  <si>
    <t>HO CHI MINH CITY, VIETNAM.</t>
  </si>
  <si>
    <t>TAX CODE :3700346873</t>
  </si>
  <si>
    <t>TEL :0084-274.3790.780|Ext.:260</t>
  </si>
  <si>
    <t>Notify party:</t>
  </si>
  <si>
    <t>KANMAX ENTERPRISES LIMITED</t>
  </si>
  <si>
    <t>ADD: 60 PAYA LEBAR ROAD, #04-21 PAYA LEBAR SQUARE, SINGAPORE 409051, SINGAPORE.</t>
  </si>
  <si>
    <t>TEL: 65 6702 1179                                         FAX : FAX: 65 6702 1182</t>
  </si>
  <si>
    <t>As the followings</t>
  </si>
  <si>
    <t>SIOB251105016</t>
  </si>
  <si>
    <t>KV06800 263K0033-B~E4(3RD MB)/ S/416363</t>
  </si>
  <si>
    <t>BLACK JACK 400黑色</t>
  </si>
  <si>
    <t>AMOUNT IN WORDS</t>
  </si>
  <si>
    <t>ARTICLE 2: ORIGIN OF VIETNAM</t>
  </si>
  <si>
    <t>ARTICLE 3: PACKING</t>
  </si>
  <si>
    <t>Export Standard Packing</t>
  </si>
  <si>
    <t>ARTICLE 4: DELIVERY AND PAYMENT</t>
  </si>
  <si>
    <t>*Delivery</t>
  </si>
  <si>
    <t>By Truck/ Lalamove</t>
  </si>
  <si>
    <t>*Delivery Time</t>
  </si>
  <si>
    <t>*Delivery Term</t>
  </si>
  <si>
    <t>DAP HO CHI MINH</t>
  </si>
  <si>
    <t>*Bill To</t>
  </si>
  <si>
    <t>We kindly request the relevant parties to perform the delivery and receipt of goods in accordance with the above instruction and comply with the customs</t>
  </si>
  <si>
    <t>For and on behalf of Buyer</t>
  </si>
  <si>
    <t>SALE CONTRACT</t>
  </si>
  <si>
    <t>BUYER: GDI HK LIMITED</t>
  </si>
  <si>
    <t>No:</t>
  </si>
  <si>
    <t>SIOB251103005-1</t>
  </si>
  <si>
    <t>FLAT H, 2/F MANSION INDUSTRIAL BUILDING, 8 A KUNG NGAM VILLAGE LANE, SHAU KEI WAN, HONG KONG</t>
  </si>
  <si>
    <t>Date:</t>
  </si>
  <si>
    <t xml:space="preserve">BASE ON PO NO SIOB251103005 SIGNED ON NOVEMBER 03, 2025 ;
ADVANCE KNITTING VIETNAM CO.,LTD AS SELLER , HEREBY CONFIRMS HAVING SOLD THE REMAIN QUANTITY OF THIS PO TO YOUR FIRM </t>
  </si>
  <si>
    <t xml:space="preserve">THE FOLLOWING GOODS BY CONTRACT OF SALE MADE ON THE ABOVE DATE AND ON THE TERNMS AND </t>
  </si>
  <si>
    <t>CONDITIONS  HEREAFTER SET FORTH:</t>
  </si>
  <si>
    <t>COMMODITY</t>
  </si>
  <si>
    <t>CLOTHING ACCESSORIES</t>
  </si>
  <si>
    <t>SIOB251103005</t>
  </si>
  <si>
    <t>KV06798 263K0033-A2+~A4(1ST LOT)/S/416363</t>
  </si>
  <si>
    <t>MONET BLUE 744油画蓝</t>
  </si>
  <si>
    <t>QUALITY</t>
  </si>
  <si>
    <t>AS PER ADVANCE KNITTING VIETNAM'S STANDARD GRADE</t>
  </si>
  <si>
    <t>PACKING MARKING</t>
  </si>
  <si>
    <t>EXPORT STANDARD PACKING IN TRUCK</t>
  </si>
  <si>
    <t>TOTAL AMOUNT OF CONTRACT</t>
  </si>
  <si>
    <t>US DOLLAR FORTY FOUR AND THREE CENTS ONLY.</t>
  </si>
  <si>
    <t>TERMS OF PAYMENT</t>
  </si>
  <si>
    <t>T/T 100% PAYMENT WITHIN 30 DAYS DELIVERY</t>
  </si>
  <si>
    <t>DELIVERY PLACE:</t>
  </si>
  <si>
    <t>BUYER NOMINATE SELLER DELIVER GOODS TO CONSIGNEE BELOW:</t>
  </si>
  <si>
    <t>CHUTEX INTERNATIONAL CO.,LTD</t>
  </si>
  <si>
    <t>DELIVERY TERM:</t>
  </si>
  <si>
    <t>NOTIFY PARTY (IF NEEDED)</t>
  </si>
  <si>
    <t>OUR BANK</t>
  </si>
  <si>
    <t>JOINT STOCK COMMERCIAL BANK FOR FOREIGN TRADE OF VIET NAM (VIETCOMBANK)</t>
  </si>
  <si>
    <t>BRANCH</t>
  </si>
  <si>
    <t xml:space="preserve"> 2A PHAM VAN NGU STREET, BEN LUC DISTRICT, LONG AN PROVINCE, VIET NAM</t>
  </si>
  <si>
    <t xml:space="preserve">ACCOUNT NO. </t>
  </si>
  <si>
    <t>0631370457237</t>
  </si>
  <si>
    <t>SWIFT CODE</t>
  </si>
  <si>
    <t>BFTVVNVX</t>
  </si>
  <si>
    <t xml:space="preserve">TIME OF SHIPMENT </t>
  </si>
  <si>
    <t>FROM</t>
  </si>
  <si>
    <t>TAY NINH</t>
  </si>
  <si>
    <t>DESTINATION                                  :</t>
  </si>
  <si>
    <t>INSPECTION</t>
  </si>
  <si>
    <t xml:space="preserve">ADVANCE KNITTING  VIETNAM FACTORY 'S INSPECTION TO BE TAKEN AS FINAL </t>
  </si>
  <si>
    <t>OTHER CONDITIONS</t>
  </si>
  <si>
    <t>PRICE ADJUSTMENT FOR INFERIOR  PRODUCTS IF ANY SHALL BE SETTLED BY THE</t>
  </si>
  <si>
    <t>SELLER BASED ON MUTUAL BENEFIT AND AMICABLE NEGOTIATION DURING TRANSACTION</t>
  </si>
  <si>
    <t>TERMS OF PAYMENT ALSO CAN BE MADE BY BALANCE SETTLE.</t>
  </si>
  <si>
    <t>Accepted and confirmed by</t>
  </si>
  <si>
    <t>( BUYER)</t>
  </si>
  <si>
    <t>( SELLER)</t>
  </si>
  <si>
    <t>Mẫu số: 02-VT</t>
  </si>
  <si>
    <t>出货明细
PHIẾU XUẤT KHO</t>
  </si>
  <si>
    <t>(Ban hành theo TT số: 200/2014/TT-BTC)</t>
  </si>
  <si>
    <t>Lô F5-4, KCN Thuận Đạo, huyện Cần Đước, tỉnh Long An</t>
  </si>
  <si>
    <t>Ngày 22/12/2014 của bộ trưởng BTC</t>
  </si>
  <si>
    <t>Nợ……………...........</t>
  </si>
  <si>
    <t>PXK:SH28032025</t>
  </si>
  <si>
    <t>Có……………............</t>
  </si>
  <si>
    <t xml:space="preserve">Họ tên người nhận hàng 领料员: </t>
  </si>
  <si>
    <t>PO:</t>
  </si>
  <si>
    <t>Khách hàng/ Bộ phận 部门SHIMADA SHOJI (VIETNAM) CO., LTD</t>
  </si>
  <si>
    <t>Biển kiểm soát :</t>
  </si>
  <si>
    <t>Địa chỉ 地址Lô số 21-1, 21-2 và 21-3, Đường số 8B, Khu Công Nghiệp Quốc Tế Protrade,Xã An Tây, Thị xã Bến Cát, T.BD.VN</t>
  </si>
  <si>
    <t>Lý do xuất kho:</t>
  </si>
  <si>
    <t>XUẤT THÀNH PHẨM 出口成品</t>
  </si>
  <si>
    <t xml:space="preserve">Xuất tại kho: </t>
  </si>
  <si>
    <t xml:space="preserve">CÔNG TY TNHH ADVANCE KNITTING VIỆT NAM </t>
  </si>
  <si>
    <t xml:space="preserve"> </t>
  </si>
  <si>
    <t>Ghi chú备注: 15 THÙNG</t>
  </si>
  <si>
    <t>STT</t>
  </si>
  <si>
    <t>色號
Mã màu</t>
  </si>
  <si>
    <t>缸号
Mã Lot</t>
  </si>
  <si>
    <t>尺寸
Quy cách</t>
  </si>
  <si>
    <t xml:space="preserve">单位
Đơn vị </t>
  </si>
  <si>
    <t xml:space="preserve">数量
Số lượng </t>
  </si>
  <si>
    <t>Ghi chú
备注</t>
  </si>
  <si>
    <t>良品数量
Thực xuất</t>
  </si>
  <si>
    <t>PO-DMBK-I-1669(HN)/25</t>
  </si>
  <si>
    <t>NVY</t>
  </si>
  <si>
    <t>GT240114</t>
  </si>
  <si>
    <t xml:space="preserve"> 140MMX500MM</t>
  </si>
  <si>
    <t>WHT</t>
  </si>
  <si>
    <t>GT240815</t>
  </si>
  <si>
    <t>ABN</t>
  </si>
  <si>
    <t>GT250221</t>
  </si>
  <si>
    <t>PO-DMBK-I-2418/25</t>
  </si>
  <si>
    <t>1120(NAVY)</t>
  </si>
  <si>
    <t>GT250204</t>
  </si>
  <si>
    <t xml:space="preserve">6.5X50CM </t>
  </si>
  <si>
    <t>1030(WHITE)</t>
  </si>
  <si>
    <t>1140(GREEN)</t>
  </si>
  <si>
    <t>1110(RED)</t>
  </si>
  <si>
    <t>PO-DMBK-I-1668/25</t>
  </si>
  <si>
    <t>GT250218
GT240815</t>
  </si>
  <si>
    <t>100MM*600MM</t>
  </si>
  <si>
    <t>THIẾU 800</t>
  </si>
  <si>
    <t>DBL</t>
  </si>
  <si>
    <t>GT250114
GT240815</t>
  </si>
  <si>
    <t>THIẾU 200</t>
  </si>
  <si>
    <t>BLK</t>
  </si>
  <si>
    <t>GT250218</t>
  </si>
  <si>
    <t>110MM*800MM</t>
  </si>
  <si>
    <t>THIẾU 300</t>
  </si>
  <si>
    <t xml:space="preserve">金额 Tổng </t>
  </si>
  <si>
    <t xml:space="preserve">Tổng Tiền: </t>
  </si>
  <si>
    <t>đồng./.</t>
  </si>
  <si>
    <t>收货人
người nhận hàng</t>
  </si>
  <si>
    <t>负担人
người lập phiếu</t>
  </si>
  <si>
    <t>仓管
Quản kho</t>
  </si>
  <si>
    <t>批准
Phê Chuẩn</t>
  </si>
  <si>
    <t>CHÂU QUANG TRÊN</t>
  </si>
  <si>
    <t>TRƯƠNG TẤN ĐẠT</t>
  </si>
  <si>
    <t>FAN SENG FATT</t>
  </si>
  <si>
    <t xml:space="preserve">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</si>
</sst>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(* #,##0_);_(* \(#,##0\);_(* &quot;-&quot;_);_(@_)"/>
    <numFmt numFmtId="178" formatCode="mmm\.\ dd\,\ yyyy"/>
    <numFmt numFmtId="179" formatCode="_-* #,##0.00\ _₫_-;\-* #,##0.00\ _₫_-;_-* &quot;-&quot;??\ _₫_-;_-@_-"/>
    <numFmt numFmtId="180" formatCode="_(&quot;$&quot;* #,##0.00_);_(&quot;$&quot;* \(#,##0.00\);_(&quot;$&quot;* &quot;-&quot;??_);_(@_)"/>
    <numFmt numFmtId="181" formatCode="&quot;$&quot;#,##0.00_);[Red]\(&quot;$&quot;#,##0.00\)"/>
    <numFmt numFmtId="182" formatCode="&quot;$&quot;#,##0.00"/>
    <numFmt numFmtId="183" formatCode="[$-409]d\-mmm\-yy;@"/>
    <numFmt numFmtId="184" formatCode="[$$-409]#,##0.00"/>
    <numFmt numFmtId="185" formatCode="_-* #,##0\ _₫_-;\-* #,##0\ _₫_-;_-* &quot;-&quot;??\ _₫_-;_-@_-"/>
    <numFmt numFmtId="186" formatCode="_(* #,##0_);_(* \(#,##0\);_(* &quot;-&quot;??_);_(@_)"/>
    <numFmt numFmtId="187" formatCode="&quot;Ngày&quot;\ dd\ &quot;Tháng&quot;\ mm\ &quot;Năm&quot;\ yyyy\."/>
    <numFmt numFmtId="188" formatCode="[$-409]mmmm\ d\,\ yyyy;@"/>
    <numFmt numFmtId="189" formatCode="#,##0.0\ &quot;KGS ( GW ) &quot;"/>
    <numFmt numFmtId="190" formatCode="0\ &quot;SETS HEM)&quot;"/>
    <numFmt numFmtId="191" formatCode="#,##0.00\ &quot;USD &quot;"/>
    <numFmt numFmtId="192" formatCode="0.000_);[Red]\(0.000\)"/>
    <numFmt numFmtId="193" formatCode="0_);\(0\)"/>
    <numFmt numFmtId="194" formatCode="_(* #,##0.000_);_(* \(#,##0.000\);_(* &quot;-&quot;??_);_(@_)"/>
    <numFmt numFmtId="195" formatCode="#,##0\ &quot;CARTONS&quot;"/>
    <numFmt numFmtId="196" formatCode="#,##0.00\ &quot;KGS&quot;"/>
    <numFmt numFmtId="197" formatCode="#,##0.00\ &quot;CBM&quot;"/>
    <numFmt numFmtId="198" formatCode="#,##0.00000"/>
    <numFmt numFmtId="199" formatCode="#,##0\ &quot;Cartons&quot;"/>
    <numFmt numFmtId="200" formatCode="#,##0.00\ &quot;MET&quot;"/>
  </numFmts>
  <fonts count="119">
    <font>
      <sz val="11"/>
      <color theme="1"/>
      <name val="宋体"/>
      <charset val="134"/>
      <scheme val="minor"/>
    </font>
    <font>
      <sz val="14"/>
      <name val="Times New Roman"/>
      <charset val="134"/>
    </font>
    <font>
      <b/>
      <sz val="14"/>
      <color theme="1"/>
      <name val="Times New Roman"/>
      <charset val="134"/>
    </font>
    <font>
      <b/>
      <i/>
      <sz val="14"/>
      <color theme="1"/>
      <name val="Times New Roman"/>
      <charset val="134"/>
    </font>
    <font>
      <i/>
      <sz val="14"/>
      <color theme="1"/>
      <name val="Times New Roman"/>
      <charset val="134"/>
    </font>
    <font>
      <sz val="14"/>
      <color theme="1"/>
      <name val="Times New Roman"/>
      <charset val="134"/>
    </font>
    <font>
      <sz val="13"/>
      <color theme="1"/>
      <name val="Times New Roman"/>
      <charset val="134"/>
    </font>
    <font>
      <sz val="15"/>
      <name val="Times New Roman"/>
      <charset val="134"/>
    </font>
    <font>
      <b/>
      <sz val="12"/>
      <name val="Times New Roman"/>
      <charset val="134"/>
    </font>
    <font>
      <b/>
      <sz val="22"/>
      <name val="Times New Roman"/>
      <charset val="134"/>
    </font>
    <font>
      <i/>
      <sz val="7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  <font>
      <sz val="8"/>
      <color theme="1"/>
      <name val="Times New Roman"/>
      <charset val="134"/>
    </font>
    <font>
      <sz val="13"/>
      <name val="Times New Roman"/>
      <charset val="134"/>
    </font>
    <font>
      <b/>
      <sz val="14"/>
      <color indexed="8"/>
      <name val="Times New Roman"/>
      <charset val="134"/>
    </font>
    <font>
      <b/>
      <sz val="11"/>
      <color theme="1"/>
      <name val="Times New Roman"/>
      <charset val="134"/>
    </font>
    <font>
      <b/>
      <sz val="9"/>
      <color theme="1"/>
      <name val="Times New Roman"/>
      <charset val="134"/>
    </font>
    <font>
      <sz val="12"/>
      <color theme="1"/>
      <name val="Arial Narrow"/>
      <charset val="134"/>
    </font>
    <font>
      <sz val="14"/>
      <color rgb="FF000000"/>
      <name val="Arial Narrow"/>
      <charset val="134"/>
    </font>
    <font>
      <sz val="14"/>
      <name val="Arial Narrow"/>
      <charset val="134"/>
    </font>
    <font>
      <sz val="12"/>
      <color theme="1"/>
      <name val="Times New Roman"/>
      <charset val="134"/>
    </font>
    <font>
      <sz val="14"/>
      <color theme="1"/>
      <name val="Arial Narrow"/>
      <charset val="134"/>
    </font>
    <font>
      <sz val="16"/>
      <color rgb="FF000000"/>
      <name val="Arial Narrow"/>
      <charset val="134"/>
    </font>
    <font>
      <b/>
      <sz val="14"/>
      <name val="Times New Roman"/>
      <charset val="134"/>
    </font>
    <font>
      <sz val="14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 Narrow"/>
      <charset val="134"/>
    </font>
    <font>
      <sz val="10"/>
      <name val="Times New Roman"/>
      <charset val="134"/>
    </font>
    <font>
      <b/>
      <sz val="13"/>
      <color theme="1"/>
      <name val="Arial Narrow"/>
      <charset val="134"/>
    </font>
    <font>
      <b/>
      <sz val="30"/>
      <color indexed="23"/>
      <name val="Times New Roman"/>
      <charset val="134"/>
    </font>
    <font>
      <u/>
      <sz val="13"/>
      <name val="Arial Narrow"/>
      <charset val="134"/>
    </font>
    <font>
      <b/>
      <sz val="13"/>
      <name val="Arial Narrow"/>
      <charset val="134"/>
    </font>
    <font>
      <sz val="13"/>
      <name val="Arial Narrow"/>
      <charset val="134"/>
    </font>
    <font>
      <sz val="13"/>
      <color theme="1"/>
      <name val="Arial Narrow"/>
      <charset val="134"/>
    </font>
    <font>
      <b/>
      <sz val="16"/>
      <name val="Times New Roman"/>
      <charset val="134"/>
    </font>
    <font>
      <b/>
      <u/>
      <sz val="13"/>
      <name val="Arial Narrow"/>
      <charset val="134"/>
    </font>
    <font>
      <b/>
      <sz val="12"/>
      <color theme="1"/>
      <name val="Arial Narrow"/>
      <charset val="134"/>
    </font>
    <font>
      <b/>
      <sz val="15"/>
      <color theme="1"/>
      <name val="Arial Narrow"/>
      <charset val="134"/>
    </font>
    <font>
      <b/>
      <sz val="12"/>
      <name val="Arial Narrow"/>
      <charset val="134"/>
    </font>
    <font>
      <b/>
      <sz val="15"/>
      <name val="Arial Narrow"/>
      <charset val="134"/>
    </font>
    <font>
      <i/>
      <sz val="13"/>
      <name val="Arial Narrow"/>
      <charset val="134"/>
    </font>
    <font>
      <b/>
      <sz val="10"/>
      <color indexed="8"/>
      <name val="Times New Roman"/>
      <charset val="134"/>
    </font>
    <font>
      <sz val="12"/>
      <color theme="3"/>
      <name val="Times New Roman"/>
      <charset val="134"/>
    </font>
    <font>
      <sz val="12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12"/>
      <color theme="3"/>
      <name val="Times New Roman"/>
      <charset val="134"/>
    </font>
    <font>
      <sz val="10"/>
      <color indexed="8"/>
      <name val="Times New Roman"/>
      <charset val="134"/>
    </font>
    <font>
      <b/>
      <sz val="20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6"/>
      <color indexed="8"/>
      <name val="Arial Narrow"/>
      <charset val="134"/>
    </font>
    <font>
      <b/>
      <u/>
      <sz val="12"/>
      <color theme="1"/>
      <name val="Arial Narrow"/>
      <charset val="134"/>
    </font>
    <font>
      <b/>
      <sz val="12"/>
      <color rgb="FFFF0000"/>
      <name val="Arial Narrow"/>
      <charset val="134"/>
    </font>
    <font>
      <b/>
      <sz val="13"/>
      <color rgb="FFFF0000"/>
      <name val="Arial Narrow"/>
      <charset val="134"/>
    </font>
    <font>
      <b/>
      <u/>
      <sz val="13"/>
      <color theme="1"/>
      <name val="Arial Narrow"/>
      <charset val="134"/>
    </font>
    <font>
      <i/>
      <sz val="13"/>
      <color theme="1"/>
      <name val="Arial Narrow"/>
      <charset val="134"/>
    </font>
    <font>
      <b/>
      <sz val="11"/>
      <color theme="1"/>
      <name val="Arial Narrow"/>
      <charset val="134"/>
    </font>
    <font>
      <b/>
      <sz val="25"/>
      <color theme="1"/>
      <name val="Arial Narrow"/>
      <charset val="134"/>
    </font>
    <font>
      <b/>
      <sz val="18"/>
      <color theme="1"/>
      <name val="Arial Narrow"/>
      <charset val="134"/>
    </font>
    <font>
      <b/>
      <sz val="22"/>
      <color theme="1"/>
      <name val="Arial"/>
      <charset val="134"/>
    </font>
    <font>
      <sz val="12"/>
      <color rgb="FFFF0000"/>
      <name val="Arial Narrow"/>
      <charset val="134"/>
    </font>
    <font>
      <b/>
      <sz val="12"/>
      <color indexed="8"/>
      <name val="Arial Narrow"/>
      <charset val="134"/>
    </font>
    <font>
      <sz val="12"/>
      <name val="Arial Narrow"/>
      <charset val="134"/>
    </font>
    <font>
      <sz val="12"/>
      <color indexed="8"/>
      <name val="Arial Narrow"/>
      <charset val="134"/>
    </font>
    <font>
      <b/>
      <u/>
      <sz val="12"/>
      <color indexed="8"/>
      <name val="Arial Narrow"/>
      <charset val="134"/>
    </font>
    <font>
      <b/>
      <u/>
      <sz val="11"/>
      <color theme="1"/>
      <name val="Arial Narrow"/>
      <charset val="134"/>
    </font>
    <font>
      <sz val="11"/>
      <name val="Arial Narrow"/>
      <charset val="134"/>
    </font>
    <font>
      <sz val="10"/>
      <color theme="1"/>
      <name val="Arial Narrow"/>
      <charset val="134"/>
    </font>
    <font>
      <u/>
      <sz val="8"/>
      <color theme="1"/>
      <name val="Arial Narrow"/>
      <charset val="134"/>
    </font>
    <font>
      <i/>
      <sz val="10"/>
      <color theme="1"/>
      <name val="Arial Narrow"/>
      <charset val="134"/>
    </font>
    <font>
      <sz val="8"/>
      <color theme="1"/>
      <name val="Arial Narrow"/>
      <charset val="134"/>
    </font>
    <font>
      <sz val="12"/>
      <name val=".VnTime"/>
      <charset val="134"/>
    </font>
    <font>
      <sz val="11"/>
      <color rgb="FF000000"/>
      <name val="Calibri"/>
      <charset val="134"/>
    </font>
    <font>
      <sz val="15"/>
      <color theme="1"/>
      <name val="Arial Narrow"/>
      <charset val="134"/>
    </font>
    <font>
      <b/>
      <sz val="20"/>
      <color theme="1"/>
      <name val="Arial Narrow"/>
      <charset val="134"/>
    </font>
    <font>
      <sz val="12"/>
      <color rgb="FF0070C0"/>
      <name val="Arial Narrow"/>
      <charset val="134"/>
    </font>
    <font>
      <b/>
      <sz val="14"/>
      <color theme="1"/>
      <name val="Arial Narrow"/>
      <charset val="134"/>
    </font>
    <font>
      <b/>
      <sz val="16"/>
      <color theme="1"/>
      <name val="Arial Narrow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u/>
      <sz val="12"/>
      <color indexed="12"/>
      <name val=".VnTime"/>
      <charset val="134"/>
    </font>
    <font>
      <sz val="10"/>
      <color theme="3"/>
      <name val="宋体"/>
      <charset val="134"/>
      <scheme val="minor"/>
    </font>
    <font>
      <b/>
      <sz val="10"/>
      <color theme="3"/>
      <name val="宋体"/>
      <charset val="134"/>
      <scheme val="minor"/>
    </font>
    <font>
      <sz val="11"/>
      <name val="Calibri"/>
      <charset val="134"/>
    </font>
    <font>
      <sz val="10"/>
      <name val="VNI-Times"/>
      <charset val="134"/>
    </font>
    <font>
      <sz val="12"/>
      <name val="바탕체"/>
      <charset val="129"/>
    </font>
    <font>
      <sz val="11"/>
      <name val="돋움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sz val="10"/>
      <color theme="8" tint="0.899929807428205"/>
      <name val="宋体"/>
      <charset val="134"/>
      <scheme val="minor"/>
    </font>
    <font>
      <sz val="9"/>
      <color rgb="FF000000"/>
      <name val="Arial"/>
      <charset val="134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1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0" fillId="6" borderId="62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63" applyNumberFormat="0" applyFill="0" applyAlignment="0" applyProtection="0">
      <alignment vertical="center"/>
    </xf>
    <xf numFmtId="0" fontId="92" fillId="0" borderId="63" applyNumberFormat="0" applyFill="0" applyAlignment="0" applyProtection="0">
      <alignment vertical="center"/>
    </xf>
    <xf numFmtId="0" fontId="93" fillId="0" borderId="64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7" borderId="65" applyNumberFormat="0" applyAlignment="0" applyProtection="0">
      <alignment vertical="center"/>
    </xf>
    <xf numFmtId="0" fontId="95" fillId="8" borderId="66" applyNumberFormat="0" applyAlignment="0" applyProtection="0">
      <alignment vertical="center"/>
    </xf>
    <xf numFmtId="0" fontId="96" fillId="8" borderId="65" applyNumberFormat="0" applyAlignment="0" applyProtection="0">
      <alignment vertical="center"/>
    </xf>
    <xf numFmtId="0" fontId="97" fillId="9" borderId="67" applyNumberFormat="0" applyAlignment="0" applyProtection="0">
      <alignment vertical="center"/>
    </xf>
    <xf numFmtId="0" fontId="98" fillId="0" borderId="68" applyNumberFormat="0" applyFill="0" applyAlignment="0" applyProtection="0">
      <alignment vertical="center"/>
    </xf>
    <xf numFmtId="0" fontId="99" fillId="0" borderId="69" applyNumberFormat="0" applyFill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3" fillId="13" borderId="0" applyNumberFormat="0" applyBorder="0" applyAlignment="0" applyProtection="0">
      <alignment vertical="center"/>
    </xf>
    <xf numFmtId="0" fontId="104" fillId="14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7" borderId="0" applyNumberFormat="0" applyBorder="0" applyAlignment="0" applyProtection="0">
      <alignment vertical="center"/>
    </xf>
    <xf numFmtId="0" fontId="104" fillId="18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1" borderId="0" applyNumberFormat="0" applyBorder="0" applyAlignment="0" applyProtection="0">
      <alignment vertical="center"/>
    </xf>
    <xf numFmtId="0" fontId="104" fillId="22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5" borderId="0" applyNumberFormat="0" applyBorder="0" applyAlignment="0" applyProtection="0">
      <alignment vertical="center"/>
    </xf>
    <xf numFmtId="0" fontId="104" fillId="26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30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3" fillId="33" borderId="0" applyNumberFormat="0" applyBorder="0" applyAlignment="0" applyProtection="0">
      <alignment vertical="center"/>
    </xf>
    <xf numFmtId="0" fontId="104" fillId="34" borderId="0" applyNumberFormat="0" applyBorder="0" applyAlignment="0" applyProtection="0">
      <alignment vertical="center"/>
    </xf>
    <xf numFmtId="0" fontId="104" fillId="35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177" fontId="77" fillId="0" borderId="0" applyFont="0" applyFill="0" applyBorder="0" applyAlignment="0" applyProtection="0"/>
    <xf numFmtId="40" fontId="105" fillId="0" borderId="0" applyFont="0" applyFill="0" applyBorder="0" applyAlignment="0" applyProtection="0"/>
    <xf numFmtId="176" fontId="77" fillId="0" borderId="0" applyFont="0" applyFill="0" applyBorder="0" applyAlignment="0" applyProtection="0"/>
    <xf numFmtId="178" fontId="106" fillId="0" borderId="0" applyFont="0" applyFill="0" applyBorder="0" applyAlignment="0" applyProtection="0"/>
    <xf numFmtId="40" fontId="105" fillId="0" borderId="0" applyFont="0" applyFill="0" applyBorder="0" applyAlignment="0" applyProtection="0"/>
    <xf numFmtId="176" fontId="77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6" fontId="77" fillId="0" borderId="0" applyFont="0" applyFill="0" applyBorder="0" applyAlignment="0" applyProtection="0"/>
    <xf numFmtId="176" fontId="77" fillId="0" borderId="0" applyFont="0" applyFill="0" applyBorder="0" applyAlignment="0" applyProtection="0"/>
    <xf numFmtId="176" fontId="77" fillId="0" borderId="0" applyFont="0" applyFill="0" applyBorder="0" applyAlignment="0" applyProtection="0"/>
    <xf numFmtId="176" fontId="77" fillId="0" borderId="0" applyFont="0" applyFill="0" applyBorder="0" applyAlignment="0" applyProtection="0"/>
    <xf numFmtId="176" fontId="77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1" fontId="105" fillId="0" borderId="0" applyFont="0" applyFill="0" applyBorder="0" applyAlignment="0" applyProtection="0"/>
    <xf numFmtId="182" fontId="0" fillId="0" borderId="0" applyFont="0" applyFill="0" applyBorder="0" applyProtection="0">
      <alignment horizontal="right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 applyNumberFormat="0" applyFont="0" applyFill="0" applyBorder="0" applyProtection="0">
      <alignment horizontal="left" indent="1"/>
    </xf>
    <xf numFmtId="0" fontId="109" fillId="0" borderId="0" applyNumberFormat="0" applyFill="0" applyBorder="0" applyProtection="0">
      <alignment horizontal="left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0" fillId="0" borderId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11" fillId="0" borderId="0">
      <alignment vertical="top"/>
    </xf>
    <xf numFmtId="0" fontId="11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7" fillId="0" borderId="0"/>
    <xf numFmtId="0" fontId="77" fillId="0" borderId="0"/>
    <xf numFmtId="0" fontId="0" fillId="0" borderId="0"/>
    <xf numFmtId="0" fontId="77" fillId="0" borderId="0"/>
    <xf numFmtId="0" fontId="77" fillId="0" borderId="0"/>
    <xf numFmtId="0" fontId="105" fillId="0" borderId="0" applyNumberFormat="0" applyFont="0"/>
    <xf numFmtId="0" fontId="78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3" fontId="0" fillId="0" borderId="0"/>
    <xf numFmtId="0" fontId="0" fillId="0" borderId="0"/>
    <xf numFmtId="0" fontId="113" fillId="0" borderId="0"/>
    <xf numFmtId="0" fontId="114" fillId="0" borderId="0"/>
    <xf numFmtId="184" fontId="115" fillId="0" borderId="0"/>
    <xf numFmtId="0" fontId="116" fillId="29" borderId="0" applyNumberFormat="0" applyBorder="0" applyAlignment="0" applyProtection="0"/>
    <xf numFmtId="0" fontId="117" fillId="0" borderId="0">
      <alignment horizontal="center" vertical="center"/>
    </xf>
    <xf numFmtId="0" fontId="108" fillId="2" borderId="0" applyNumberFormat="0" applyFont="0" applyBorder="0" applyAlignment="0" applyProtection="0"/>
    <xf numFmtId="0" fontId="11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18" fillId="0" borderId="0"/>
    <xf numFmtId="0" fontId="78" fillId="0" borderId="0"/>
    <xf numFmtId="0" fontId="77" fillId="0" borderId="0"/>
  </cellStyleXfs>
  <cellXfs count="581">
    <xf numFmtId="0" fontId="0" fillId="0" borderId="0" xfId="0"/>
    <xf numFmtId="0" fontId="1" fillId="0" borderId="0" xfId="107" applyFont="1" applyBorder="1" applyAlignment="1">
      <alignment vertical="center"/>
    </xf>
    <xf numFmtId="0" fontId="2" fillId="0" borderId="0" xfId="107" applyFont="1" applyBorder="1" applyAlignment="1">
      <alignment vertical="center"/>
    </xf>
    <xf numFmtId="0" fontId="3" fillId="0" borderId="0" xfId="107" applyFont="1" applyBorder="1" applyAlignment="1">
      <alignment vertical="center"/>
    </xf>
    <xf numFmtId="0" fontId="0" fillId="0" borderId="0" xfId="107"/>
    <xf numFmtId="0" fontId="4" fillId="0" borderId="0" xfId="107" applyFont="1" applyBorder="1" applyAlignment="1">
      <alignment vertical="center"/>
    </xf>
    <xf numFmtId="0" fontId="5" fillId="0" borderId="0" xfId="107" applyFont="1" applyAlignment="1">
      <alignment vertical="center"/>
    </xf>
    <xf numFmtId="2" fontId="5" fillId="0" borderId="0" xfId="55" applyNumberFormat="1" applyFont="1" applyAlignment="1">
      <alignment vertical="center"/>
    </xf>
    <xf numFmtId="185" fontId="5" fillId="0" borderId="0" xfId="55" applyNumberFormat="1" applyFont="1" applyAlignment="1">
      <alignment vertical="center"/>
    </xf>
    <xf numFmtId="186" fontId="5" fillId="0" borderId="0" xfId="55" applyNumberFormat="1" applyFont="1" applyAlignment="1">
      <alignment vertical="center"/>
    </xf>
    <xf numFmtId="0" fontId="5" fillId="0" borderId="0" xfId="107" applyFont="1" applyBorder="1" applyAlignment="1">
      <alignment vertical="center"/>
    </xf>
    <xf numFmtId="0" fontId="6" fillId="0" borderId="0" xfId="107" applyFont="1" applyBorder="1" applyAlignment="1">
      <alignment vertical="center"/>
    </xf>
    <xf numFmtId="0" fontId="7" fillId="0" borderId="0" xfId="107" applyFont="1" applyBorder="1" applyAlignment="1">
      <alignment vertical="center"/>
    </xf>
    <xf numFmtId="2" fontId="7" fillId="0" borderId="0" xfId="55" applyNumberFormat="1" applyFont="1" applyBorder="1" applyAlignment="1">
      <alignment vertical="center"/>
    </xf>
    <xf numFmtId="185" fontId="7" fillId="0" borderId="0" xfId="55" applyNumberFormat="1" applyFont="1" applyBorder="1" applyAlignment="1">
      <alignment vertical="center"/>
    </xf>
    <xf numFmtId="186" fontId="8" fillId="0" borderId="0" xfId="55" applyNumberFormat="1" applyFont="1" applyBorder="1" applyAlignment="1">
      <alignment horizontal="center" vertical="center"/>
    </xf>
    <xf numFmtId="0" fontId="9" fillId="0" borderId="0" xfId="107" applyFont="1" applyBorder="1" applyAlignment="1">
      <alignment vertical="center" wrapText="1"/>
    </xf>
    <xf numFmtId="0" fontId="9" fillId="0" borderId="0" xfId="107" applyFont="1" applyBorder="1" applyAlignment="1">
      <alignment horizontal="center" vertical="center" wrapText="1"/>
    </xf>
    <xf numFmtId="0" fontId="9" fillId="0" borderId="0" xfId="107" applyFont="1" applyBorder="1" applyAlignment="1">
      <alignment vertical="center"/>
    </xf>
    <xf numFmtId="186" fontId="10" fillId="0" borderId="0" xfId="55" applyNumberFormat="1" applyFont="1" applyBorder="1" applyAlignment="1">
      <alignment vertical="center"/>
    </xf>
    <xf numFmtId="186" fontId="11" fillId="0" borderId="0" xfId="55" applyNumberFormat="1" applyFont="1" applyBorder="1" applyAlignment="1">
      <alignment vertical="center"/>
    </xf>
    <xf numFmtId="0" fontId="12" fillId="0" borderId="0" xfId="107" applyFont="1" applyBorder="1" applyAlignment="1">
      <alignment horizontal="left" vertical="center" wrapText="1"/>
    </xf>
    <xf numFmtId="0" fontId="13" fillId="0" borderId="0" xfId="107" applyFont="1" applyBorder="1" applyAlignment="1">
      <alignment wrapText="1"/>
    </xf>
    <xf numFmtId="187" fontId="1" fillId="0" borderId="0" xfId="107" applyNumberFormat="1" applyFont="1" applyBorder="1" applyAlignment="1">
      <alignment horizontal="center" vertical="center"/>
    </xf>
    <xf numFmtId="186" fontId="14" fillId="0" borderId="0" xfId="55" applyNumberFormat="1" applyFont="1" applyBorder="1" applyAlignment="1">
      <alignment vertical="center"/>
    </xf>
    <xf numFmtId="186" fontId="5" fillId="0" borderId="0" xfId="55" applyNumberFormat="1" applyFont="1" applyAlignment="1">
      <alignment horizontal="right" vertical="center"/>
    </xf>
    <xf numFmtId="2" fontId="5" fillId="0" borderId="0" xfId="55" applyNumberFormat="1" applyFont="1" applyAlignment="1">
      <alignment horizontal="right" vertical="center"/>
    </xf>
    <xf numFmtId="186" fontId="5" fillId="0" borderId="0" xfId="55" applyNumberFormat="1" applyFont="1" applyAlignment="1">
      <alignment horizontal="left" vertical="center"/>
    </xf>
    <xf numFmtId="0" fontId="1" fillId="2" borderId="0" xfId="55" applyNumberFormat="1" applyFont="1" applyFill="1" applyBorder="1" applyAlignment="1">
      <alignment horizontal="right" vertical="center"/>
    </xf>
    <xf numFmtId="0" fontId="5" fillId="0" borderId="0" xfId="107" applyFont="1" applyAlignment="1">
      <alignment horizontal="right" vertical="center" wrapText="1"/>
    </xf>
    <xf numFmtId="0" fontId="1" fillId="0" borderId="0" xfId="55" applyNumberFormat="1" applyFont="1" applyFill="1" applyBorder="1" applyAlignment="1">
      <alignment horizontal="right" vertical="center"/>
    </xf>
    <xf numFmtId="185" fontId="5" fillId="0" borderId="0" xfId="55" applyNumberFormat="1" applyFont="1" applyBorder="1" applyAlignment="1">
      <alignment vertical="center"/>
    </xf>
    <xf numFmtId="0" fontId="5" fillId="0" borderId="0" xfId="0" applyFont="1" applyAlignment="1">
      <alignment horizontal="left" vertical="center" wrapText="1"/>
    </xf>
    <xf numFmtId="186" fontId="1" fillId="0" borderId="0" xfId="55" applyNumberFormat="1" applyFont="1" applyBorder="1" applyAlignment="1">
      <alignment vertical="center" wrapText="1"/>
    </xf>
    <xf numFmtId="0" fontId="2" fillId="0" borderId="1" xfId="107" applyFont="1" applyBorder="1" applyAlignment="1">
      <alignment horizontal="center" vertical="center"/>
    </xf>
    <xf numFmtId="0" fontId="2" fillId="0" borderId="2" xfId="107" applyFont="1" applyBorder="1" applyAlignment="1">
      <alignment horizontal="center" vertical="center" wrapText="1"/>
    </xf>
    <xf numFmtId="0" fontId="15" fillId="3" borderId="2" xfId="110" applyNumberFormat="1" applyFont="1" applyFill="1" applyBorder="1" applyAlignment="1">
      <alignment horizontal="center" vertical="center" wrapText="1" shrinkToFit="1"/>
    </xf>
    <xf numFmtId="186" fontId="16" fillId="0" borderId="2" xfId="55" applyNumberFormat="1" applyFont="1" applyBorder="1" applyAlignment="1">
      <alignment horizontal="center" vertical="center" wrapText="1"/>
    </xf>
    <xf numFmtId="186" fontId="2" fillId="0" borderId="2" xfId="55" applyNumberFormat="1" applyFont="1" applyBorder="1" applyAlignment="1">
      <alignment horizontal="center" vertical="center" wrapText="1"/>
    </xf>
    <xf numFmtId="186" fontId="2" fillId="0" borderId="3" xfId="55" applyNumberFormat="1" applyFont="1" applyBorder="1" applyAlignment="1">
      <alignment horizontal="center" vertical="center" wrapText="1"/>
    </xf>
    <xf numFmtId="0" fontId="2" fillId="0" borderId="4" xfId="107" applyFont="1" applyBorder="1" applyAlignment="1">
      <alignment horizontal="center" vertical="center"/>
    </xf>
    <xf numFmtId="0" fontId="2" fillId="0" borderId="5" xfId="107" applyFont="1" applyBorder="1" applyAlignment="1">
      <alignment horizontal="center" vertical="center" wrapText="1"/>
    </xf>
    <xf numFmtId="0" fontId="15" fillId="3" borderId="5" xfId="110" applyNumberFormat="1" applyFont="1" applyFill="1" applyBorder="1" applyAlignment="1">
      <alignment horizontal="center" vertical="center" wrapText="1" shrinkToFit="1"/>
    </xf>
    <xf numFmtId="0" fontId="2" fillId="0" borderId="5" xfId="107" applyFont="1" applyBorder="1" applyAlignment="1">
      <alignment horizontal="center" vertical="center"/>
    </xf>
    <xf numFmtId="185" fontId="17" fillId="0" borderId="5" xfId="55" applyNumberFormat="1" applyFont="1" applyBorder="1" applyAlignment="1">
      <alignment horizontal="center" vertical="center" wrapText="1"/>
    </xf>
    <xf numFmtId="186" fontId="2" fillId="0" borderId="5" xfId="55" applyNumberFormat="1" applyFont="1" applyBorder="1" applyAlignment="1">
      <alignment horizontal="center" vertical="center" wrapText="1"/>
    </xf>
    <xf numFmtId="186" fontId="2" fillId="0" borderId="6" xfId="55" applyNumberFormat="1" applyFont="1" applyBorder="1" applyAlignment="1">
      <alignment horizontal="center" vertical="center" wrapText="1"/>
    </xf>
    <xf numFmtId="0" fontId="1" fillId="0" borderId="4" xfId="79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49" fontId="19" fillId="4" borderId="5" xfId="107" applyNumberFormat="1" applyFont="1" applyFill="1" applyBorder="1" applyAlignment="1">
      <alignment horizontal="center" vertical="center"/>
    </xf>
    <xf numFmtId="0" fontId="6" fillId="2" borderId="5" xfId="107" applyFont="1" applyFill="1" applyBorder="1" applyAlignment="1">
      <alignment horizontal="center" vertical="center" wrapText="1"/>
    </xf>
    <xf numFmtId="0" fontId="5" fillId="2" borderId="7" xfId="107" applyFont="1" applyFill="1" applyBorder="1" applyAlignment="1">
      <alignment horizontal="center" vertical="center" wrapText="1"/>
    </xf>
    <xf numFmtId="0" fontId="5" fillId="2" borderId="8" xfId="107" applyFont="1" applyFill="1" applyBorder="1" applyAlignment="1">
      <alignment horizontal="center" vertical="center" wrapText="1"/>
    </xf>
    <xf numFmtId="0" fontId="20" fillId="2" borderId="5" xfId="93" applyFont="1" applyFill="1" applyBorder="1" applyAlignment="1">
      <alignment horizontal="center" vertical="center" wrapText="1"/>
    </xf>
    <xf numFmtId="186" fontId="5" fillId="0" borderId="5" xfId="1" applyNumberFormat="1" applyFont="1" applyBorder="1" applyAlignment="1">
      <alignment horizontal="center" vertical="center" wrapText="1"/>
    </xf>
    <xf numFmtId="186" fontId="21" fillId="0" borderId="5" xfId="55" applyNumberFormat="1" applyFont="1" applyBorder="1" applyAlignment="1">
      <alignment horizontal="center" vertical="center"/>
    </xf>
    <xf numFmtId="186" fontId="21" fillId="0" borderId="6" xfId="55" applyNumberFormat="1" applyFont="1" applyBorder="1" applyAlignment="1">
      <alignment horizontal="center" vertical="center"/>
    </xf>
    <xf numFmtId="186" fontId="21" fillId="0" borderId="7" xfId="55" applyNumberFormat="1" applyFont="1" applyBorder="1" applyAlignment="1">
      <alignment horizontal="center" vertical="center"/>
    </xf>
    <xf numFmtId="186" fontId="21" fillId="0" borderId="9" xfId="55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5" fillId="2" borderId="5" xfId="107" applyFont="1" applyFill="1" applyBorder="1" applyAlignment="1">
      <alignment horizontal="center" vertical="center" wrapText="1"/>
    </xf>
    <xf numFmtId="49" fontId="23" fillId="4" borderId="5" xfId="107" applyNumberFormat="1" applyFont="1" applyFill="1" applyBorder="1" applyAlignment="1">
      <alignment horizontal="center" vertical="center"/>
    </xf>
    <xf numFmtId="0" fontId="22" fillId="2" borderId="5" xfId="94" applyFont="1" applyFill="1" applyBorder="1" applyAlignment="1">
      <alignment horizontal="center" vertical="center" wrapText="1"/>
    </xf>
    <xf numFmtId="0" fontId="22" fillId="0" borderId="7" xfId="94" applyFont="1" applyFill="1" applyBorder="1" applyAlignment="1">
      <alignment horizontal="center" vertical="center" wrapText="1"/>
    </xf>
    <xf numFmtId="0" fontId="22" fillId="0" borderId="8" xfId="94" applyFont="1" applyFill="1" applyBorder="1" applyAlignment="1">
      <alignment horizontal="center" vertical="center" wrapText="1"/>
    </xf>
    <xf numFmtId="0" fontId="24" fillId="0" borderId="10" xfId="107" applyFont="1" applyBorder="1" applyAlignment="1">
      <alignment horizontal="center" vertical="center"/>
    </xf>
    <xf numFmtId="0" fontId="24" fillId="0" borderId="11" xfId="107" applyFont="1" applyBorder="1" applyAlignment="1">
      <alignment horizontal="center" vertical="center"/>
    </xf>
    <xf numFmtId="186" fontId="1" fillId="0" borderId="11" xfId="1" applyNumberFormat="1" applyFont="1" applyBorder="1" applyAlignment="1">
      <alignment vertical="center"/>
    </xf>
    <xf numFmtId="186" fontId="24" fillId="0" borderId="11" xfId="55" applyNumberFormat="1" applyFont="1" applyBorder="1" applyAlignment="1">
      <alignment horizontal="center" vertical="center"/>
    </xf>
    <xf numFmtId="186" fontId="24" fillId="0" borderId="12" xfId="55" applyNumberFormat="1" applyFont="1" applyBorder="1" applyAlignment="1">
      <alignment horizontal="center" vertical="center"/>
    </xf>
    <xf numFmtId="0" fontId="3" fillId="0" borderId="0" xfId="107" applyFont="1" applyBorder="1" applyAlignment="1">
      <alignment vertical="center" wrapText="1"/>
    </xf>
    <xf numFmtId="0" fontId="3" fillId="0" borderId="0" xfId="107" applyFont="1" applyBorder="1" applyAlignment="1">
      <alignment horizontal="left" vertical="center" wrapText="1"/>
    </xf>
    <xf numFmtId="186" fontId="25" fillId="0" borderId="0" xfId="107" applyNumberFormat="1" applyFont="1" applyAlignment="1">
      <alignment horizontal="center"/>
    </xf>
    <xf numFmtId="0" fontId="25" fillId="0" borderId="0" xfId="107" applyFont="1" applyAlignment="1">
      <alignment horizontal="center"/>
    </xf>
    <xf numFmtId="0" fontId="25" fillId="0" borderId="0" xfId="107" applyFont="1"/>
    <xf numFmtId="2" fontId="25" fillId="0" borderId="0" xfId="107" applyNumberFormat="1" applyFont="1"/>
    <xf numFmtId="185" fontId="25" fillId="0" borderId="0" xfId="55" applyNumberFormat="1" applyFont="1"/>
    <xf numFmtId="0" fontId="26" fillId="0" borderId="0" xfId="107" applyFont="1" applyBorder="1" applyAlignment="1">
      <alignment horizontal="center" vertical="center" wrapText="1"/>
    </xf>
    <xf numFmtId="0" fontId="26" fillId="0" borderId="0" xfId="107" applyFont="1" applyAlignment="1">
      <alignment horizontal="center" vertical="center" wrapText="1"/>
    </xf>
    <xf numFmtId="0" fontId="26" fillId="0" borderId="0" xfId="107" applyFont="1" applyBorder="1" applyAlignment="1"/>
    <xf numFmtId="0" fontId="26" fillId="0" borderId="0" xfId="107" applyFont="1" applyAlignment="1">
      <alignment vertical="center" wrapText="1"/>
    </xf>
    <xf numFmtId="0" fontId="2" fillId="0" borderId="0" xfId="107" applyFont="1" applyBorder="1" applyAlignment="1"/>
    <xf numFmtId="185" fontId="26" fillId="0" borderId="0" xfId="55" applyNumberFormat="1" applyFont="1" applyBorder="1" applyAlignment="1"/>
    <xf numFmtId="0" fontId="21" fillId="0" borderId="0" xfId="107" applyFont="1" applyBorder="1" applyAlignment="1">
      <alignment vertical="center"/>
    </xf>
    <xf numFmtId="0" fontId="2" fillId="0" borderId="0" xfId="107" applyFont="1" applyAlignment="1">
      <alignment horizontal="center" vertical="center"/>
    </xf>
    <xf numFmtId="0" fontId="2" fillId="0" borderId="0" xfId="107" applyFont="1" applyAlignment="1">
      <alignment vertical="center"/>
    </xf>
    <xf numFmtId="0" fontId="26" fillId="0" borderId="0" xfId="107" applyFont="1" applyAlignment="1">
      <alignment horizontal="center" vertical="center"/>
    </xf>
    <xf numFmtId="22" fontId="21" fillId="0" borderId="0" xfId="107" applyNumberFormat="1" applyFont="1" applyAlignment="1">
      <alignment horizontal="center" vertical="center"/>
    </xf>
    <xf numFmtId="0" fontId="5" fillId="0" borderId="0" xfId="107" applyFont="1" applyAlignment="1">
      <alignment horizontal="left" vertical="center"/>
    </xf>
    <xf numFmtId="0" fontId="1" fillId="0" borderId="0" xfId="107" applyFont="1"/>
    <xf numFmtId="0" fontId="5" fillId="2" borderId="0" xfId="107" applyFont="1" applyFill="1" applyBorder="1" applyAlignment="1">
      <alignment horizontal="left"/>
    </xf>
    <xf numFmtId="0" fontId="2" fillId="0" borderId="0" xfId="107" applyFont="1" applyAlignment="1">
      <alignment horizontal="left" vertical="center" indent="1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1" fillId="0" borderId="0" xfId="98" applyFont="1"/>
    <xf numFmtId="0" fontId="28" fillId="0" borderId="0" xfId="98" applyFont="1"/>
    <xf numFmtId="0" fontId="29" fillId="0" borderId="13" xfId="94" applyFont="1" applyBorder="1" applyAlignment="1">
      <alignment horizontal="center" vertical="center"/>
    </xf>
    <xf numFmtId="0" fontId="29" fillId="0" borderId="14" xfId="94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9" fillId="0" borderId="15" xfId="94" applyFont="1" applyBorder="1" applyAlignment="1">
      <alignment horizontal="center" vertical="center"/>
    </xf>
    <xf numFmtId="0" fontId="29" fillId="0" borderId="16" xfId="94" applyFont="1" applyBorder="1" applyAlignment="1">
      <alignment horizontal="center" vertical="center"/>
    </xf>
    <xf numFmtId="0" fontId="29" fillId="0" borderId="16" xfId="94" applyFont="1" applyBorder="1" applyAlignment="1">
      <alignment vertical="center"/>
    </xf>
    <xf numFmtId="0" fontId="29" fillId="0" borderId="17" xfId="94" applyFont="1" applyBorder="1" applyAlignment="1">
      <alignment horizontal="center" vertical="center"/>
    </xf>
    <xf numFmtId="0" fontId="29" fillId="0" borderId="18" xfId="94" applyFont="1" applyBorder="1" applyAlignment="1">
      <alignment horizontal="center" vertical="center"/>
    </xf>
    <xf numFmtId="0" fontId="29" fillId="0" borderId="18" xfId="94" applyFont="1" applyBorder="1" applyAlignment="1">
      <alignment vertical="center"/>
    </xf>
    <xf numFmtId="0" fontId="30" fillId="0" borderId="16" xfId="98" applyNumberFormat="1" applyFont="1" applyFill="1" applyBorder="1" applyAlignment="1" applyProtection="1">
      <alignment horizontal="center"/>
    </xf>
    <xf numFmtId="0" fontId="30" fillId="0" borderId="0" xfId="98" applyNumberFormat="1" applyFont="1" applyFill="1" applyBorder="1" applyAlignment="1" applyProtection="1">
      <alignment horizontal="center"/>
    </xf>
    <xf numFmtId="0" fontId="31" fillId="0" borderId="19" xfId="94" applyFont="1" applyBorder="1" applyAlignment="1">
      <alignment vertical="center"/>
    </xf>
    <xf numFmtId="0" fontId="31" fillId="0" borderId="0" xfId="94" applyFont="1" applyBorder="1" applyAlignment="1">
      <alignment vertical="center"/>
    </xf>
    <xf numFmtId="0" fontId="32" fillId="0" borderId="0" xfId="94" applyFont="1" applyBorder="1" applyAlignment="1">
      <alignment vertical="center"/>
    </xf>
    <xf numFmtId="0" fontId="1" fillId="0" borderId="0" xfId="98" applyFont="1" applyAlignment="1">
      <alignment horizontal="right" vertical="center"/>
    </xf>
    <xf numFmtId="0" fontId="1" fillId="0" borderId="0" xfId="98" applyFont="1" applyFill="1" applyBorder="1" applyAlignment="1">
      <alignment vertical="center"/>
    </xf>
    <xf numFmtId="0" fontId="33" fillId="0" borderId="19" xfId="94" applyFont="1" applyBorder="1" applyAlignment="1">
      <alignment horizontal="left" vertical="justify" wrapText="1"/>
    </xf>
    <xf numFmtId="0" fontId="33" fillId="0" borderId="0" xfId="94" applyFont="1" applyBorder="1" applyAlignment="1">
      <alignment horizontal="left" vertical="justify" wrapText="1"/>
    </xf>
    <xf numFmtId="0" fontId="1" fillId="0" borderId="0" xfId="98" applyFont="1" applyBorder="1" applyAlignment="1">
      <alignment horizontal="right" vertical="center"/>
    </xf>
    <xf numFmtId="188" fontId="1" fillId="0" borderId="0" xfId="98" applyNumberFormat="1" applyFont="1" applyBorder="1" applyAlignment="1">
      <alignment horizontal="left" vertical="center"/>
    </xf>
    <xf numFmtId="0" fontId="34" fillId="0" borderId="19" xfId="68" applyFont="1" applyBorder="1" applyAlignment="1" applyProtection="1">
      <alignment vertical="center"/>
    </xf>
    <xf numFmtId="0" fontId="34" fillId="0" borderId="0" xfId="68" applyFont="1" applyBorder="1" applyAlignment="1" applyProtection="1">
      <alignment vertical="center"/>
    </xf>
    <xf numFmtId="0" fontId="33" fillId="0" borderId="0" xfId="94" applyFont="1" applyAlignment="1">
      <alignment vertical="center"/>
    </xf>
    <xf numFmtId="0" fontId="32" fillId="0" borderId="0" xfId="94" applyFont="1" applyAlignment="1">
      <alignment vertical="center"/>
    </xf>
    <xf numFmtId="0" fontId="33" fillId="0" borderId="19" xfId="94" applyFont="1" applyBorder="1" applyAlignment="1">
      <alignment horizontal="left" vertical="center" wrapText="1"/>
    </xf>
    <xf numFmtId="0" fontId="33" fillId="0" borderId="0" xfId="94" applyFont="1" applyBorder="1" applyAlignment="1">
      <alignment horizontal="left" vertical="center" wrapText="1"/>
    </xf>
    <xf numFmtId="0" fontId="35" fillId="0" borderId="0" xfId="98" applyNumberFormat="1" applyFont="1" applyFill="1" applyBorder="1" applyAlignment="1" applyProtection="1">
      <alignment horizontal="left" vertical="top"/>
    </xf>
    <xf numFmtId="0" fontId="28" fillId="0" borderId="0" xfId="98" applyFont="1" applyAlignment="1">
      <alignment horizontal="left"/>
    </xf>
    <xf numFmtId="0" fontId="33" fillId="0" borderId="19" xfId="94" applyFont="1" applyBorder="1" applyAlignment="1">
      <alignment vertical="center"/>
    </xf>
    <xf numFmtId="0" fontId="33" fillId="0" borderId="0" xfId="94" applyFont="1" applyBorder="1" applyAlignment="1">
      <alignment vertical="center"/>
    </xf>
    <xf numFmtId="0" fontId="36" fillId="0" borderId="0" xfId="94" applyFont="1" applyAlignment="1">
      <alignment vertical="center"/>
    </xf>
    <xf numFmtId="0" fontId="33" fillId="0" borderId="0" xfId="94" applyFont="1" applyAlignment="1">
      <alignment horizontal="right" vertical="center"/>
    </xf>
    <xf numFmtId="0" fontId="37" fillId="0" borderId="1" xfId="94" applyFont="1" applyBorder="1" applyAlignment="1">
      <alignment horizontal="center" vertical="center" wrapText="1"/>
    </xf>
    <xf numFmtId="0" fontId="37" fillId="0" borderId="20" xfId="94" applyFont="1" applyBorder="1" applyAlignment="1">
      <alignment horizontal="center" vertical="center" wrapText="1"/>
    </xf>
    <xf numFmtId="0" fontId="37" fillId="0" borderId="2" xfId="94" applyFont="1" applyBorder="1" applyAlignment="1">
      <alignment horizontal="center" vertical="center" wrapText="1"/>
    </xf>
    <xf numFmtId="186" fontId="37" fillId="0" borderId="2" xfId="61" applyNumberFormat="1" applyFont="1" applyBorder="1" applyAlignment="1">
      <alignment horizontal="center" vertical="center" wrapText="1"/>
    </xf>
    <xf numFmtId="0" fontId="37" fillId="0" borderId="3" xfId="94" applyFont="1" applyBorder="1" applyAlignment="1">
      <alignment horizontal="center" vertical="center" wrapText="1"/>
    </xf>
    <xf numFmtId="0" fontId="18" fillId="2" borderId="5" xfId="87" applyNumberFormat="1" applyFont="1" applyFill="1" applyBorder="1" applyAlignment="1">
      <alignment horizontal="center" vertical="center" wrapText="1"/>
    </xf>
    <xf numFmtId="0" fontId="18" fillId="2" borderId="5" xfId="87" applyNumberFormat="1" applyFont="1" applyFill="1" applyBorder="1" applyAlignment="1">
      <alignment horizontal="center" vertical="center"/>
    </xf>
    <xf numFmtId="0" fontId="18" fillId="0" borderId="21" xfId="94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2" fontId="18" fillId="0" borderId="22" xfId="0" applyNumberFormat="1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vertical="center"/>
    </xf>
    <xf numFmtId="0" fontId="18" fillId="2" borderId="23" xfId="0" applyFont="1" applyFill="1" applyBorder="1" applyAlignment="1">
      <alignment vertical="center"/>
    </xf>
    <xf numFmtId="189" fontId="38" fillId="2" borderId="24" xfId="94" applyNumberFormat="1" applyFont="1" applyFill="1" applyBorder="1" applyAlignment="1">
      <alignment vertical="center"/>
    </xf>
    <xf numFmtId="189" fontId="38" fillId="2" borderId="25" xfId="94" applyNumberFormat="1" applyFont="1" applyFill="1" applyBorder="1" applyAlignment="1">
      <alignment vertical="center"/>
    </xf>
    <xf numFmtId="189" fontId="38" fillId="2" borderId="11" xfId="94" applyNumberFormat="1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 wrapText="1"/>
    </xf>
    <xf numFmtId="186" fontId="40" fillId="2" borderId="11" xfId="94" applyNumberFormat="1" applyFont="1" applyFill="1" applyBorder="1" applyAlignment="1">
      <alignment horizontal="center" vertical="center"/>
    </xf>
    <xf numFmtId="176" fontId="40" fillId="2" borderId="12" xfId="1" applyNumberFormat="1" applyFont="1" applyFill="1" applyBorder="1" applyAlignment="1">
      <alignment horizontal="center" vertical="center"/>
    </xf>
    <xf numFmtId="0" fontId="24" fillId="0" borderId="0" xfId="98" applyFont="1" applyAlignment="1">
      <alignment horizontal="left"/>
    </xf>
    <xf numFmtId="0" fontId="24" fillId="0" borderId="0" xfId="98" applyFont="1" applyBorder="1" applyAlignment="1">
      <alignment horizontal="left"/>
    </xf>
    <xf numFmtId="0" fontId="24" fillId="0" borderId="0" xfId="98" applyFont="1" applyBorder="1" applyAlignment="1">
      <alignment horizontal="center"/>
    </xf>
    <xf numFmtId="3" fontId="15" fillId="0" borderId="0" xfId="98" applyNumberFormat="1" applyFont="1" applyBorder="1" applyAlignment="1">
      <alignment horizontal="right"/>
    </xf>
    <xf numFmtId="4" fontId="24" fillId="0" borderId="0" xfId="98" applyNumberFormat="1" applyFont="1" applyBorder="1" applyAlignment="1">
      <alignment horizontal="right"/>
    </xf>
    <xf numFmtId="0" fontId="15" fillId="0" borderId="0" xfId="98" applyNumberFormat="1" applyFont="1" applyFill="1" applyBorder="1" applyAlignment="1" applyProtection="1">
      <alignment horizontal="center"/>
    </xf>
    <xf numFmtId="186" fontId="32" fillId="0" borderId="0" xfId="51" applyNumberFormat="1" applyFont="1" applyBorder="1" applyAlignment="1">
      <alignment vertical="center" wrapText="1"/>
    </xf>
    <xf numFmtId="190" fontId="41" fillId="0" borderId="0" xfId="51" applyNumberFormat="1" applyFont="1" applyBorder="1" applyAlignment="1">
      <alignment horizontal="center" vertical="center" wrapText="1"/>
    </xf>
    <xf numFmtId="0" fontId="33" fillId="0" borderId="0" xfId="94" applyFont="1" applyAlignment="1">
      <alignment vertical="center" wrapText="1"/>
    </xf>
    <xf numFmtId="191" fontId="32" fillId="0" borderId="0" xfId="94" applyNumberFormat="1" applyFont="1" applyAlignment="1">
      <alignment horizontal="left" vertical="center"/>
    </xf>
    <xf numFmtId="4" fontId="33" fillId="0" borderId="0" xfId="94" applyNumberFormat="1" applyFont="1" applyAlignment="1">
      <alignment vertical="center"/>
    </xf>
    <xf numFmtId="0" fontId="33" fillId="0" borderId="19" xfId="94" applyFont="1" applyBorder="1" applyAlignment="1">
      <alignment vertical="center" wrapText="1"/>
    </xf>
    <xf numFmtId="0" fontId="33" fillId="0" borderId="0" xfId="94" applyFont="1" applyBorder="1" applyAlignment="1">
      <alignment vertical="center" wrapText="1"/>
    </xf>
    <xf numFmtId="0" fontId="33" fillId="0" borderId="0" xfId="94" applyFont="1" applyAlignment="1">
      <alignment horizontal="right" vertical="center" wrapText="1"/>
    </xf>
    <xf numFmtId="0" fontId="33" fillId="0" borderId="0" xfId="94" applyFont="1" applyAlignment="1">
      <alignment horizontal="left" vertical="center"/>
    </xf>
    <xf numFmtId="4" fontId="33" fillId="0" borderId="0" xfId="94" applyNumberFormat="1" applyFont="1" applyAlignment="1">
      <alignment horizontal="right" vertical="center"/>
    </xf>
    <xf numFmtId="4" fontId="33" fillId="0" borderId="0" xfId="94" applyNumberFormat="1" applyFont="1" applyBorder="1" applyAlignment="1">
      <alignment horizontal="right" vertical="center"/>
    </xf>
    <xf numFmtId="4" fontId="33" fillId="0" borderId="0" xfId="94" applyNumberFormat="1" applyFont="1" applyAlignment="1">
      <alignment horizontal="center" vertical="center"/>
    </xf>
    <xf numFmtId="4" fontId="33" fillId="0" borderId="0" xfId="94" applyNumberFormat="1" applyFont="1" applyBorder="1" applyAlignment="1">
      <alignment horizontal="center" vertical="center"/>
    </xf>
    <xf numFmtId="1" fontId="33" fillId="0" borderId="0" xfId="94" applyNumberFormat="1" applyFont="1" applyAlignment="1">
      <alignment horizontal="left" vertical="center"/>
    </xf>
    <xf numFmtId="0" fontId="33" fillId="0" borderId="19" xfId="94" applyFont="1" applyBorder="1" applyAlignment="1">
      <alignment horizontal="left" vertical="center"/>
    </xf>
    <xf numFmtId="0" fontId="33" fillId="0" borderId="0" xfId="94" applyFont="1" applyBorder="1" applyAlignment="1">
      <alignment horizontal="left" vertical="center"/>
    </xf>
    <xf numFmtId="188" fontId="33" fillId="0" borderId="0" xfId="94" applyNumberFormat="1" applyFont="1" applyAlignment="1">
      <alignment horizontal="left" vertical="center"/>
    </xf>
    <xf numFmtId="15" fontId="33" fillId="0" borderId="0" xfId="94" applyNumberFormat="1" applyFont="1" applyAlignment="1">
      <alignment vertical="center"/>
    </xf>
    <xf numFmtId="0" fontId="33" fillId="0" borderId="0" xfId="94" applyFont="1" applyAlignment="1">
      <alignment horizontal="left" vertical="center" wrapText="1"/>
    </xf>
    <xf numFmtId="0" fontId="32" fillId="0" borderId="0" xfId="94" applyFont="1" applyAlignment="1">
      <alignment vertical="center" wrapText="1"/>
    </xf>
    <xf numFmtId="0" fontId="32" fillId="0" borderId="0" xfId="94" applyFont="1" applyAlignment="1">
      <alignment horizontal="center" vertical="center" wrapText="1"/>
    </xf>
    <xf numFmtId="0" fontId="32" fillId="0" borderId="0" xfId="94" applyFont="1" applyBorder="1" applyAlignment="1">
      <alignment horizontal="center" vertical="center" wrapText="1"/>
    </xf>
    <xf numFmtId="0" fontId="36" fillId="0" borderId="0" xfId="94" applyFont="1" applyAlignment="1">
      <alignment horizontal="left" vertical="center"/>
    </xf>
    <xf numFmtId="0" fontId="32" fillId="0" borderId="19" xfId="94" applyFont="1" applyBorder="1" applyAlignment="1">
      <alignment horizontal="center" vertical="center"/>
    </xf>
    <xf numFmtId="0" fontId="32" fillId="0" borderId="0" xfId="94" applyFont="1" applyBorder="1" applyAlignment="1">
      <alignment horizontal="center" vertical="center"/>
    </xf>
    <xf numFmtId="0" fontId="33" fillId="0" borderId="19" xfId="94" applyFont="1" applyBorder="1" applyAlignment="1">
      <alignment horizontal="center" vertical="center"/>
    </xf>
    <xf numFmtId="0" fontId="33" fillId="0" borderId="0" xfId="94" applyFont="1" applyBorder="1" applyAlignment="1">
      <alignment horizontal="center" vertical="center"/>
    </xf>
    <xf numFmtId="0" fontId="33" fillId="0" borderId="0" xfId="94" applyFont="1" applyAlignment="1">
      <alignment horizontal="center" vertical="center"/>
    </xf>
    <xf numFmtId="4" fontId="33" fillId="0" borderId="19" xfId="94" applyNumberFormat="1" applyFont="1" applyBorder="1" applyAlignment="1">
      <alignment horizontal="center" vertical="center"/>
    </xf>
    <xf numFmtId="192" fontId="33" fillId="0" borderId="0" xfId="94" applyNumberFormat="1" applyFont="1" applyAlignment="1">
      <alignment horizontal="left" vertical="center"/>
    </xf>
    <xf numFmtId="0" fontId="42" fillId="0" borderId="0" xfId="98" applyNumberFormat="1" applyFont="1" applyFill="1" applyBorder="1" applyAlignment="1" applyProtection="1"/>
    <xf numFmtId="0" fontId="28" fillId="0" borderId="0" xfId="98" applyFont="1" applyAlignment="1">
      <alignment vertical="center"/>
    </xf>
    <xf numFmtId="0" fontId="43" fillId="0" borderId="0" xfId="83" applyFont="1"/>
    <xf numFmtId="0" fontId="43" fillId="0" borderId="0" xfId="98" applyFont="1"/>
    <xf numFmtId="0" fontId="43" fillId="0" borderId="0" xfId="98" applyFont="1" applyBorder="1"/>
    <xf numFmtId="0" fontId="44" fillId="0" borderId="0" xfId="83" applyFont="1" applyBorder="1"/>
    <xf numFmtId="0" fontId="45" fillId="0" borderId="0" xfId="83" applyFont="1" applyBorder="1" applyAlignment="1"/>
    <xf numFmtId="0" fontId="46" fillId="0" borderId="0" xfId="83" applyFont="1" applyBorder="1"/>
    <xf numFmtId="0" fontId="47" fillId="0" borderId="0" xfId="83" applyFont="1" applyBorder="1" applyAlignment="1">
      <alignment horizontal="center"/>
    </xf>
    <xf numFmtId="0" fontId="48" fillId="0" borderId="0" xfId="83" applyFont="1" applyAlignment="1">
      <alignment horizontal="left"/>
    </xf>
    <xf numFmtId="0" fontId="49" fillId="0" borderId="0" xfId="83" applyFont="1" applyAlignment="1">
      <alignment horizontal="left"/>
    </xf>
    <xf numFmtId="0" fontId="50" fillId="0" borderId="0" xfId="98" applyNumberFormat="1" applyFont="1" applyFill="1" applyBorder="1" applyAlignment="1" applyProtection="1"/>
    <xf numFmtId="0" fontId="0" fillId="0" borderId="0" xfId="79"/>
    <xf numFmtId="0" fontId="51" fillId="0" borderId="0" xfId="79" applyFont="1" applyAlignment="1">
      <alignment horizontal="center" vertical="center"/>
    </xf>
    <xf numFmtId="0" fontId="51" fillId="0" borderId="0" xfId="79" applyFont="1" applyAlignment="1">
      <alignment vertical="center"/>
    </xf>
    <xf numFmtId="0" fontId="52" fillId="0" borderId="0" xfId="79" applyFont="1" applyAlignment="1">
      <alignment horizontal="left"/>
    </xf>
    <xf numFmtId="0" fontId="53" fillId="0" borderId="0" xfId="79" applyFont="1"/>
    <xf numFmtId="188" fontId="52" fillId="0" borderId="0" xfId="79" applyNumberFormat="1" applyFont="1" applyAlignment="1">
      <alignment horizontal="left"/>
    </xf>
    <xf numFmtId="0" fontId="53" fillId="0" borderId="0" xfId="79" applyFont="1" applyAlignment="1"/>
    <xf numFmtId="0" fontId="52" fillId="0" borderId="0" xfId="79" applyFont="1"/>
    <xf numFmtId="0" fontId="53" fillId="0" borderId="0" xfId="79" applyFont="1" applyAlignment="1">
      <alignment vertical="justify" wrapText="1"/>
    </xf>
    <xf numFmtId="0" fontId="53" fillId="0" borderId="0" xfId="79" applyFont="1" applyAlignment="1">
      <alignment horizontal="left" vertical="top" wrapText="1"/>
    </xf>
    <xf numFmtId="0" fontId="53" fillId="0" borderId="0" xfId="79" applyFont="1" applyAlignment="1">
      <alignment vertical="top" wrapText="1"/>
    </xf>
    <xf numFmtId="0" fontId="53" fillId="0" borderId="0" xfId="79" applyFont="1" applyAlignment="1">
      <alignment horizontal="left" vertical="justify" wrapText="1"/>
    </xf>
    <xf numFmtId="0" fontId="0" fillId="0" borderId="0" xfId="79" applyFont="1"/>
    <xf numFmtId="0" fontId="52" fillId="0" borderId="0" xfId="79" applyFont="1" applyAlignment="1">
      <alignment horizontal="left" vertical="center" wrapText="1"/>
    </xf>
    <xf numFmtId="0" fontId="53" fillId="0" borderId="0" xfId="79" applyFont="1" applyAlignment="1">
      <alignment horizontal="left" vertical="center" wrapText="1"/>
    </xf>
    <xf numFmtId="0" fontId="0" fillId="0" borderId="0" xfId="79" applyBorder="1"/>
    <xf numFmtId="0" fontId="0" fillId="0" borderId="26" xfId="79" applyBorder="1"/>
    <xf numFmtId="0" fontId="37" fillId="0" borderId="27" xfId="94" applyFont="1" applyBorder="1" applyAlignment="1">
      <alignment horizontal="center" vertical="center" wrapText="1"/>
    </xf>
    <xf numFmtId="0" fontId="37" fillId="0" borderId="28" xfId="94" applyFont="1" applyBorder="1" applyAlignment="1">
      <alignment horizontal="center" vertical="center" wrapText="1"/>
    </xf>
    <xf numFmtId="186" fontId="37" fillId="0" borderId="29" xfId="61" applyNumberFormat="1" applyFont="1" applyBorder="1" applyAlignment="1">
      <alignment horizontal="center" vertical="center" wrapText="1"/>
    </xf>
    <xf numFmtId="0" fontId="37" fillId="0" borderId="29" xfId="94" applyFont="1" applyBorder="1" applyAlignment="1">
      <alignment horizontal="center" vertical="center" wrapText="1"/>
    </xf>
    <xf numFmtId="0" fontId="18" fillId="2" borderId="7" xfId="87" applyNumberFormat="1" applyFont="1" applyFill="1" applyBorder="1" applyAlignment="1">
      <alignment horizontal="center" vertical="center" wrapText="1"/>
    </xf>
    <xf numFmtId="0" fontId="18" fillId="2" borderId="8" xfId="87" applyNumberFormat="1" applyFont="1" applyFill="1" applyBorder="1" applyAlignment="1">
      <alignment horizontal="center" vertical="center" wrapText="1"/>
    </xf>
    <xf numFmtId="0" fontId="18" fillId="0" borderId="21" xfId="96" applyFont="1" applyFill="1" applyBorder="1" applyAlignment="1">
      <alignment horizontal="center" vertical="center" wrapText="1"/>
    </xf>
    <xf numFmtId="0" fontId="34" fillId="0" borderId="21" xfId="96" applyFont="1" applyFill="1" applyBorder="1" applyAlignment="1">
      <alignment horizontal="center" vertical="center" wrapText="1"/>
    </xf>
    <xf numFmtId="0" fontId="18" fillId="2" borderId="25" xfId="0" applyFont="1" applyFill="1" applyBorder="1" applyAlignment="1">
      <alignment vertical="center"/>
    </xf>
    <xf numFmtId="189" fontId="38" fillId="2" borderId="24" xfId="96" applyNumberFormat="1" applyFont="1" applyFill="1" applyBorder="1" applyAlignment="1">
      <alignment horizontal="center" vertical="center"/>
    </xf>
    <xf numFmtId="189" fontId="38" fillId="2" borderId="25" xfId="96" applyNumberFormat="1" applyFont="1" applyFill="1" applyBorder="1" applyAlignment="1">
      <alignment horizontal="center" vertical="center"/>
    </xf>
    <xf numFmtId="189" fontId="38" fillId="2" borderId="11" xfId="96" applyNumberFormat="1" applyFont="1" applyFill="1" applyBorder="1" applyAlignment="1">
      <alignment horizontal="center" vertical="center"/>
    </xf>
    <xf numFmtId="0" fontId="39" fillId="2" borderId="11" xfId="0" applyNumberFormat="1" applyFont="1" applyFill="1" applyBorder="1" applyAlignment="1">
      <alignment horizontal="center" vertical="center" wrapText="1"/>
    </xf>
    <xf numFmtId="193" fontId="40" fillId="2" borderId="11" xfId="96" applyNumberFormat="1" applyFont="1" applyFill="1" applyBorder="1" applyAlignment="1">
      <alignment horizontal="center" vertical="center"/>
    </xf>
    <xf numFmtId="186" fontId="39" fillId="2" borderId="11" xfId="94" applyNumberFormat="1" applyFont="1" applyFill="1" applyBorder="1" applyAlignment="1">
      <alignment horizontal="center" vertical="center"/>
    </xf>
    <xf numFmtId="176" fontId="39" fillId="2" borderId="12" xfId="1" applyNumberFormat="1" applyFont="1" applyFill="1" applyBorder="1" applyAlignment="1">
      <alignment horizontal="center" vertical="center"/>
    </xf>
    <xf numFmtId="0" fontId="54" fillId="0" borderId="0" xfId="79" applyFont="1"/>
    <xf numFmtId="188" fontId="53" fillId="0" borderId="0" xfId="79" applyNumberFormat="1" applyFont="1" applyAlignment="1">
      <alignment horizontal="left"/>
    </xf>
    <xf numFmtId="0" fontId="0" fillId="0" borderId="0" xfId="79" applyAlignment="1">
      <alignment wrapText="1"/>
    </xf>
    <xf numFmtId="0" fontId="55" fillId="0" borderId="0" xfId="100" applyFont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56" fillId="0" borderId="19" xfId="94" applyFont="1" applyFill="1" applyBorder="1" applyAlignment="1">
      <alignment vertical="center" wrapText="1"/>
    </xf>
    <xf numFmtId="0" fontId="56" fillId="0" borderId="0" xfId="94" applyFont="1" applyFill="1" applyBorder="1" applyAlignment="1">
      <alignment vertical="center" wrapText="1"/>
    </xf>
    <xf numFmtId="0" fontId="18" fillId="0" borderId="0" xfId="94" applyFont="1" applyBorder="1" applyAlignment="1">
      <alignment vertical="center"/>
    </xf>
    <xf numFmtId="0" fontId="18" fillId="0" borderId="0" xfId="94" applyFont="1" applyBorder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57" fillId="2" borderId="3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8" fillId="2" borderId="31" xfId="0" applyFont="1" applyFill="1" applyBorder="1" applyAlignment="1">
      <alignment vertical="center"/>
    </xf>
    <xf numFmtId="0" fontId="29" fillId="2" borderId="1" xfId="94" applyFont="1" applyFill="1" applyBorder="1" applyAlignment="1">
      <alignment horizontal="center" vertical="center" wrapText="1"/>
    </xf>
    <xf numFmtId="0" fontId="29" fillId="0" borderId="2" xfId="94" applyFont="1" applyFill="1" applyBorder="1" applyAlignment="1">
      <alignment horizontal="center" vertical="center" wrapText="1"/>
    </xf>
    <xf numFmtId="0" fontId="29" fillId="0" borderId="2" xfId="94" applyFont="1" applyFill="1" applyBorder="1" applyAlignment="1">
      <alignment horizontal="center" vertical="center"/>
    </xf>
    <xf numFmtId="0" fontId="29" fillId="2" borderId="2" xfId="94" applyFont="1" applyFill="1" applyBorder="1" applyAlignment="1">
      <alignment horizontal="center" vertical="center" wrapText="1"/>
    </xf>
    <xf numFmtId="2" fontId="29" fillId="2" borderId="2" xfId="51" applyNumberFormat="1" applyFont="1" applyFill="1" applyBorder="1" applyAlignment="1">
      <alignment horizontal="center" vertical="center" wrapText="1"/>
    </xf>
    <xf numFmtId="194" fontId="29" fillId="2" borderId="3" xfId="51" applyNumberFormat="1" applyFont="1" applyFill="1" applyBorder="1" applyAlignment="1">
      <alignment horizontal="center" vertical="center" wrapText="1"/>
    </xf>
    <xf numFmtId="0" fontId="34" fillId="2" borderId="4" xfId="94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/>
    </xf>
    <xf numFmtId="0" fontId="34" fillId="0" borderId="5" xfId="94" applyFont="1" applyFill="1" applyBorder="1" applyAlignment="1">
      <alignment horizontal="center" vertical="center" wrapText="1"/>
    </xf>
    <xf numFmtId="0" fontId="34" fillId="2" borderId="5" xfId="94" applyFont="1" applyFill="1" applyBorder="1" applyAlignment="1">
      <alignment horizontal="center" vertical="center" wrapText="1"/>
    </xf>
    <xf numFmtId="2" fontId="34" fillId="2" borderId="5" xfId="94" applyNumberFormat="1" applyFont="1" applyFill="1" applyBorder="1" applyAlignment="1">
      <alignment horizontal="center" vertical="center" wrapText="1"/>
    </xf>
    <xf numFmtId="2" fontId="34" fillId="2" borderId="6" xfId="94" applyNumberFormat="1" applyFont="1" applyFill="1" applyBorder="1" applyAlignment="1">
      <alignment horizontal="center" vertical="center" wrapText="1"/>
    </xf>
    <xf numFmtId="195" fontId="29" fillId="0" borderId="10" xfId="77" applyNumberFormat="1" applyFont="1" applyFill="1" applyBorder="1" applyAlignment="1">
      <alignment horizontal="center" vertical="center"/>
    </xf>
    <xf numFmtId="195" fontId="29" fillId="0" borderId="11" xfId="77" applyNumberFormat="1" applyFont="1" applyFill="1" applyBorder="1" applyAlignment="1">
      <alignment horizontal="center" vertical="center"/>
    </xf>
    <xf numFmtId="0" fontId="58" fillId="0" borderId="11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/>
    </xf>
    <xf numFmtId="0" fontId="59" fillId="0" borderId="11" xfId="94" applyFont="1" applyFill="1" applyBorder="1" applyAlignment="1">
      <alignment horizontal="center" vertical="center" wrapText="1"/>
    </xf>
    <xf numFmtId="2" fontId="29" fillId="0" borderId="11" xfId="0" applyNumberFormat="1" applyFont="1" applyBorder="1" applyAlignment="1">
      <alignment horizontal="center" vertical="center"/>
    </xf>
    <xf numFmtId="196" fontId="29" fillId="0" borderId="11" xfId="51" applyNumberFormat="1" applyFont="1" applyFill="1" applyBorder="1" applyAlignment="1">
      <alignment horizontal="center" vertical="center" wrapText="1"/>
    </xf>
    <xf numFmtId="197" fontId="29" fillId="0" borderId="12" xfId="51" applyNumberFormat="1" applyFont="1" applyFill="1" applyBorder="1" applyAlignment="1">
      <alignment horizontal="center" vertical="center" wrapText="1"/>
    </xf>
    <xf numFmtId="0" fontId="29" fillId="0" borderId="0" xfId="109" applyFont="1" applyBorder="1" applyAlignment="1">
      <alignment horizontal="center" vertical="center" wrapText="1"/>
    </xf>
    <xf numFmtId="0" fontId="34" fillId="0" borderId="0" xfId="94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/>
    </xf>
    <xf numFmtId="0" fontId="60" fillId="2" borderId="19" xfId="94" applyFont="1" applyFill="1" applyBorder="1" applyAlignment="1">
      <alignment horizontal="center" vertical="center"/>
    </xf>
    <xf numFmtId="0" fontId="29" fillId="0" borderId="0" xfId="94" applyFont="1" applyBorder="1" applyAlignment="1">
      <alignment horizontal="center" vertical="center" wrapText="1"/>
    </xf>
    <xf numFmtId="0" fontId="29" fillId="0" borderId="0" xfId="94" applyFont="1" applyBorder="1" applyAlignment="1">
      <alignment horizontal="center" vertical="center"/>
    </xf>
    <xf numFmtId="4" fontId="34" fillId="2" borderId="19" xfId="94" applyNumberFormat="1" applyFont="1" applyFill="1" applyBorder="1" applyAlignment="1">
      <alignment horizontal="center" vertical="center"/>
    </xf>
    <xf numFmtId="4" fontId="34" fillId="0" borderId="0" xfId="94" applyNumberFormat="1" applyFont="1" applyBorder="1" applyAlignment="1">
      <alignment horizontal="center" vertical="center"/>
    </xf>
    <xf numFmtId="0" fontId="61" fillId="0" borderId="0" xfId="94" applyFont="1" applyBorder="1" applyAlignment="1">
      <alignment horizontal="center" vertical="center"/>
    </xf>
    <xf numFmtId="0" fontId="61" fillId="2" borderId="0" xfId="94" applyFont="1" applyFill="1" applyBorder="1" applyAlignment="1">
      <alignment horizontal="center" vertical="center"/>
    </xf>
    <xf numFmtId="0" fontId="62" fillId="0" borderId="0" xfId="94" applyFont="1" applyBorder="1" applyAlignment="1">
      <alignment horizontal="center" vertical="center"/>
    </xf>
    <xf numFmtId="0" fontId="63" fillId="0" borderId="0" xfId="94" applyFont="1" applyBorder="1" applyAlignment="1">
      <alignment horizontal="center" vertical="center"/>
    </xf>
    <xf numFmtId="0" fontId="18" fillId="0" borderId="0" xfId="0" applyFont="1"/>
    <xf numFmtId="0" fontId="18" fillId="5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0" xfId="0" applyFill="1"/>
    <xf numFmtId="0" fontId="64" fillId="0" borderId="32" xfId="96" applyFont="1" applyBorder="1" applyAlignment="1">
      <alignment horizontal="center" vertical="center"/>
    </xf>
    <xf numFmtId="0" fontId="64" fillId="0" borderId="33" xfId="96" applyFont="1" applyBorder="1" applyAlignment="1">
      <alignment horizontal="center" vertical="center"/>
    </xf>
    <xf numFmtId="0" fontId="64" fillId="0" borderId="34" xfId="96" applyFont="1" applyBorder="1" applyAlignment="1">
      <alignment horizontal="center" vertical="center"/>
    </xf>
    <xf numFmtId="0" fontId="37" fillId="0" borderId="35" xfId="96" applyFont="1" applyBorder="1" applyAlignment="1">
      <alignment horizontal="center"/>
    </xf>
    <xf numFmtId="0" fontId="37" fillId="0" borderId="36" xfId="96" applyFont="1" applyBorder="1" applyAlignment="1">
      <alignment horizontal="center"/>
    </xf>
    <xf numFmtId="0" fontId="37" fillId="0" borderId="37" xfId="96" applyFont="1" applyBorder="1" applyAlignment="1">
      <alignment horizontal="center"/>
    </xf>
    <xf numFmtId="0" fontId="37" fillId="0" borderId="32" xfId="96" applyFont="1" applyBorder="1" applyAlignment="1">
      <alignment horizontal="center"/>
    </xf>
    <xf numFmtId="0" fontId="37" fillId="0" borderId="33" xfId="96" applyFont="1" applyBorder="1" applyAlignment="1">
      <alignment horizontal="center"/>
    </xf>
    <xf numFmtId="0" fontId="37" fillId="0" borderId="34" xfId="96" applyFont="1" applyBorder="1" applyAlignment="1">
      <alignment horizontal="center"/>
    </xf>
    <xf numFmtId="0" fontId="65" fillId="0" borderId="32" xfId="96" applyFont="1" applyBorder="1" applyAlignment="1">
      <alignment horizontal="center" vertical="center"/>
    </xf>
    <xf numFmtId="0" fontId="65" fillId="0" borderId="33" xfId="96" applyFont="1" applyBorder="1" applyAlignment="1">
      <alignment horizontal="center" vertical="center"/>
    </xf>
    <xf numFmtId="0" fontId="65" fillId="0" borderId="37" xfId="96" applyFont="1" applyBorder="1" applyAlignment="1">
      <alignment horizontal="center" vertical="center"/>
    </xf>
    <xf numFmtId="0" fontId="57" fillId="0" borderId="19" xfId="96" applyFont="1" applyBorder="1" applyAlignment="1">
      <alignment vertical="center"/>
    </xf>
    <xf numFmtId="0" fontId="57" fillId="0" borderId="0" xfId="96" applyFont="1" applyBorder="1" applyAlignment="1">
      <alignment vertical="center"/>
    </xf>
    <xf numFmtId="0" fontId="37" fillId="0" borderId="0" xfId="96" applyFont="1" applyBorder="1" applyAlignment="1">
      <alignment vertical="center"/>
    </xf>
    <xf numFmtId="0" fontId="57" fillId="0" borderId="30" xfId="96" applyFont="1" applyBorder="1" applyAlignment="1">
      <alignment vertical="center"/>
    </xf>
    <xf numFmtId="0" fontId="62" fillId="0" borderId="0" xfId="96" applyFont="1" applyBorder="1" applyAlignment="1">
      <alignment vertical="center"/>
    </xf>
    <xf numFmtId="0" fontId="27" fillId="0" borderId="0" xfId="0" applyFont="1" applyBorder="1"/>
    <xf numFmtId="0" fontId="0" fillId="0" borderId="37" xfId="0" applyBorder="1"/>
    <xf numFmtId="0" fontId="37" fillId="0" borderId="19" xfId="96" applyFont="1" applyBorder="1" applyAlignment="1">
      <alignment vertical="center"/>
    </xf>
    <xf numFmtId="0" fontId="66" fillId="2" borderId="38" xfId="96" applyFont="1" applyFill="1" applyBorder="1" applyAlignment="1">
      <alignment vertical="center"/>
    </xf>
    <xf numFmtId="188" fontId="66" fillId="2" borderId="0" xfId="96" applyNumberFormat="1" applyFont="1" applyFill="1" applyBorder="1" applyAlignment="1">
      <alignment horizontal="center" vertical="center"/>
    </xf>
    <xf numFmtId="0" fontId="27" fillId="0" borderId="39" xfId="0" applyFont="1" applyBorder="1"/>
    <xf numFmtId="0" fontId="0" fillId="0" borderId="31" xfId="0" applyBorder="1"/>
    <xf numFmtId="0" fontId="18" fillId="0" borderId="19" xfId="96" applyFont="1" applyBorder="1" applyAlignment="1">
      <alignment horizontal="left" vertical="center"/>
    </xf>
    <xf numFmtId="0" fontId="18" fillId="0" borderId="0" xfId="96" applyFont="1" applyBorder="1" applyAlignment="1">
      <alignment horizontal="left" vertical="center"/>
    </xf>
    <xf numFmtId="0" fontId="57" fillId="2" borderId="40" xfId="96" applyFont="1" applyFill="1" applyBorder="1" applyAlignment="1">
      <alignment vertical="center"/>
    </xf>
    <xf numFmtId="0" fontId="18" fillId="2" borderId="41" xfId="96" applyFont="1" applyFill="1" applyBorder="1" applyAlignment="1">
      <alignment vertical="center"/>
    </xf>
    <xf numFmtId="0" fontId="27" fillId="2" borderId="41" xfId="0" applyFont="1" applyFill="1" applyBorder="1"/>
    <xf numFmtId="0" fontId="0" fillId="0" borderId="42" xfId="0" applyBorder="1"/>
    <xf numFmtId="0" fontId="18" fillId="0" borderId="19" xfId="96" applyFont="1" applyBorder="1" applyAlignment="1">
      <alignment vertical="center"/>
    </xf>
    <xf numFmtId="0" fontId="18" fillId="0" borderId="0" xfId="96" applyFont="1" applyBorder="1" applyAlignment="1">
      <alignment vertical="center"/>
    </xf>
    <xf numFmtId="0" fontId="18" fillId="0" borderId="43" xfId="96" applyFont="1" applyBorder="1" applyAlignment="1">
      <alignment vertical="center"/>
    </xf>
    <xf numFmtId="0" fontId="18" fillId="2" borderId="0" xfId="0" applyFont="1" applyFill="1" applyBorder="1" applyAlignment="1">
      <alignment horizontal="left" vertical="center"/>
    </xf>
    <xf numFmtId="188" fontId="18" fillId="2" borderId="0" xfId="96" applyNumberFormat="1" applyFont="1" applyFill="1" applyBorder="1" applyAlignment="1">
      <alignment horizontal="center" vertical="center"/>
    </xf>
    <xf numFmtId="0" fontId="18" fillId="0" borderId="19" xfId="6" applyFont="1" applyBorder="1" applyAlignment="1">
      <alignment vertical="center"/>
    </xf>
    <xf numFmtId="0" fontId="18" fillId="0" borderId="0" xfId="6" applyFont="1" applyBorder="1" applyAlignment="1">
      <alignment vertical="center"/>
    </xf>
    <xf numFmtId="0" fontId="18" fillId="2" borderId="0" xfId="96" applyFont="1" applyFill="1" applyBorder="1" applyAlignment="1">
      <alignment vertical="center"/>
    </xf>
    <xf numFmtId="0" fontId="27" fillId="2" borderId="0" xfId="0" applyFont="1" applyFill="1" applyBorder="1"/>
    <xf numFmtId="0" fontId="57" fillId="0" borderId="44" xfId="96" applyFont="1" applyBorder="1" applyAlignment="1">
      <alignment horizontal="left" vertical="center"/>
    </xf>
    <xf numFmtId="0" fontId="57" fillId="0" borderId="41" xfId="96" applyFont="1" applyBorder="1" applyAlignment="1">
      <alignment horizontal="left" vertical="center"/>
    </xf>
    <xf numFmtId="0" fontId="18" fillId="0" borderId="41" xfId="96" applyFont="1" applyBorder="1" applyAlignment="1">
      <alignment horizontal="center" vertical="center"/>
    </xf>
    <xf numFmtId="0" fontId="18" fillId="0" borderId="45" xfId="96" applyFont="1" applyBorder="1" applyAlignment="1">
      <alignment horizontal="center" vertical="center"/>
    </xf>
    <xf numFmtId="0" fontId="18" fillId="2" borderId="40" xfId="96" applyFont="1" applyFill="1" applyBorder="1" applyAlignment="1">
      <alignment vertical="center"/>
    </xf>
    <xf numFmtId="188" fontId="18" fillId="2" borderId="41" xfId="96" applyNumberFormat="1" applyFont="1" applyFill="1" applyBorder="1" applyAlignment="1">
      <alignment horizontal="center" vertical="center"/>
    </xf>
    <xf numFmtId="0" fontId="18" fillId="2" borderId="41" xfId="0" applyFont="1" applyFill="1" applyBorder="1"/>
    <xf numFmtId="0" fontId="27" fillId="0" borderId="41" xfId="0" applyFont="1" applyBorder="1"/>
    <xf numFmtId="0" fontId="67" fillId="0" borderId="19" xfId="96" applyFont="1" applyFill="1" applyBorder="1" applyAlignment="1">
      <alignment horizontal="left" vertical="center" wrapText="1"/>
    </xf>
    <xf numFmtId="0" fontId="67" fillId="0" borderId="0" xfId="96" applyFont="1" applyFill="1" applyBorder="1" applyAlignment="1">
      <alignment horizontal="left" vertical="center" wrapText="1"/>
    </xf>
    <xf numFmtId="0" fontId="67" fillId="0" borderId="43" xfId="96" applyFont="1" applyFill="1" applyBorder="1" applyAlignment="1">
      <alignment horizontal="left" vertical="center" wrapText="1"/>
    </xf>
    <xf numFmtId="0" fontId="53" fillId="0" borderId="0" xfId="0" applyFont="1"/>
    <xf numFmtId="188" fontId="68" fillId="2" borderId="0" xfId="0" applyNumberFormat="1" applyFont="1" applyFill="1" applyBorder="1" applyAlignment="1">
      <alignment horizontal="center" vertical="center"/>
    </xf>
    <xf numFmtId="0" fontId="69" fillId="0" borderId="19" xfId="96" applyFont="1" applyFill="1" applyBorder="1" applyAlignment="1">
      <alignment horizontal="left" vertical="center" wrapText="1"/>
    </xf>
    <xf numFmtId="0" fontId="69" fillId="0" borderId="0" xfId="96" applyFont="1" applyFill="1" applyBorder="1" applyAlignment="1">
      <alignment horizontal="left" vertical="center" wrapText="1"/>
    </xf>
    <xf numFmtId="0" fontId="69" fillId="0" borderId="43" xfId="96" applyFont="1" applyFill="1" applyBorder="1" applyAlignment="1">
      <alignment horizontal="left" vertical="center" wrapText="1"/>
    </xf>
    <xf numFmtId="0" fontId="53" fillId="0" borderId="38" xfId="0" applyFont="1" applyBorder="1"/>
    <xf numFmtId="188" fontId="68" fillId="2" borderId="39" xfId="0" applyNumberFormat="1" applyFont="1" applyFill="1" applyBorder="1" applyAlignment="1">
      <alignment horizontal="center" vertical="center"/>
    </xf>
    <xf numFmtId="0" fontId="70" fillId="2" borderId="44" xfId="96" applyFont="1" applyFill="1" applyBorder="1" applyAlignment="1">
      <alignment vertical="center"/>
    </xf>
    <xf numFmtId="0" fontId="70" fillId="2" borderId="41" xfId="96" applyFont="1" applyFill="1" applyBorder="1" applyAlignment="1">
      <alignment vertical="center"/>
    </xf>
    <xf numFmtId="0" fontId="69" fillId="0" borderId="41" xfId="96" applyFont="1" applyFill="1" applyBorder="1" applyAlignment="1">
      <alignment vertical="center"/>
    </xf>
    <xf numFmtId="0" fontId="69" fillId="0" borderId="45" xfId="96" applyFont="1" applyFill="1" applyBorder="1" applyAlignment="1">
      <alignment vertical="center"/>
    </xf>
    <xf numFmtId="0" fontId="71" fillId="2" borderId="0" xfId="96" applyFont="1" applyFill="1" applyBorder="1" applyAlignment="1">
      <alignment vertical="center"/>
    </xf>
    <xf numFmtId="188" fontId="18" fillId="2" borderId="0" xfId="0" applyNumberFormat="1" applyFont="1" applyFill="1" applyBorder="1" applyAlignment="1">
      <alignment horizontal="center" vertical="center"/>
    </xf>
    <xf numFmtId="0" fontId="67" fillId="0" borderId="19" xfId="96" applyFont="1" applyFill="1" applyBorder="1" applyAlignment="1">
      <alignment vertical="center"/>
    </xf>
    <xf numFmtId="0" fontId="67" fillId="0" borderId="0" xfId="96" applyFont="1" applyFill="1" applyBorder="1" applyAlignment="1">
      <alignment vertical="center"/>
    </xf>
    <xf numFmtId="0" fontId="71" fillId="2" borderId="30" xfId="96" applyFont="1" applyFill="1" applyBorder="1" applyAlignment="1">
      <alignment vertical="center"/>
    </xf>
    <xf numFmtId="0" fontId="68" fillId="2" borderId="19" xfId="96" applyFont="1" applyFill="1" applyBorder="1" applyAlignment="1">
      <alignment vertical="center"/>
    </xf>
    <xf numFmtId="0" fontId="68" fillId="2" borderId="0" xfId="96" applyFont="1" applyFill="1" applyBorder="1" applyAlignment="1">
      <alignment vertical="center"/>
    </xf>
    <xf numFmtId="0" fontId="68" fillId="0" borderId="0" xfId="96" applyFont="1" applyFill="1" applyBorder="1" applyAlignment="1">
      <alignment vertical="center"/>
    </xf>
    <xf numFmtId="0" fontId="69" fillId="0" borderId="43" xfId="96" applyFont="1" applyFill="1" applyBorder="1" applyAlignment="1">
      <alignment vertical="center"/>
    </xf>
    <xf numFmtId="0" fontId="0" fillId="0" borderId="46" xfId="0" applyBorder="1"/>
    <xf numFmtId="0" fontId="68" fillId="0" borderId="19" xfId="96" applyFont="1" applyFill="1" applyBorder="1" applyAlignment="1">
      <alignment vertical="center" wrapText="1"/>
    </xf>
    <xf numFmtId="0" fontId="68" fillId="0" borderId="0" xfId="96" applyFont="1" applyFill="1" applyBorder="1" applyAlignment="1">
      <alignment vertical="center" wrapText="1"/>
    </xf>
    <xf numFmtId="0" fontId="69" fillId="0" borderId="43" xfId="96" applyFont="1" applyFill="1" applyBorder="1" applyAlignment="1">
      <alignment vertical="center" wrapText="1"/>
    </xf>
    <xf numFmtId="0" fontId="57" fillId="2" borderId="41" xfId="96" applyFont="1" applyFill="1" applyBorder="1" applyAlignment="1">
      <alignment vertical="center" wrapText="1"/>
    </xf>
    <xf numFmtId="188" fontId="18" fillId="2" borderId="41" xfId="0" applyNumberFormat="1" applyFont="1" applyFill="1" applyBorder="1" applyAlignment="1">
      <alignment horizontal="center" vertical="center"/>
    </xf>
    <xf numFmtId="0" fontId="18" fillId="0" borderId="0" xfId="96" applyFont="1" applyBorder="1" applyAlignment="1">
      <alignment vertical="center" wrapText="1"/>
    </xf>
    <xf numFmtId="0" fontId="68" fillId="0" borderId="19" xfId="96" applyFont="1" applyFill="1" applyBorder="1" applyAlignment="1">
      <alignment horizontal="left" vertical="center" wrapText="1"/>
    </xf>
    <xf numFmtId="0" fontId="68" fillId="0" borderId="0" xfId="96" applyFont="1" applyFill="1" applyBorder="1" applyAlignment="1">
      <alignment horizontal="left" vertical="center" wrapText="1"/>
    </xf>
    <xf numFmtId="0" fontId="68" fillId="0" borderId="43" xfId="96" applyFont="1" applyFill="1" applyBorder="1" applyAlignment="1">
      <alignment horizontal="left" vertical="center" wrapText="1"/>
    </xf>
    <xf numFmtId="0" fontId="69" fillId="0" borderId="0" xfId="96" applyFont="1" applyFill="1" applyBorder="1" applyAlignment="1">
      <alignment vertical="center" wrapText="1"/>
    </xf>
    <xf numFmtId="0" fontId="18" fillId="0" borderId="30" xfId="96" applyFont="1" applyBorder="1" applyAlignment="1">
      <alignment vertical="center" wrapText="1"/>
    </xf>
    <xf numFmtId="0" fontId="18" fillId="0" borderId="38" xfId="96" applyFont="1" applyBorder="1" applyAlignment="1">
      <alignment horizontal="left" vertical="center"/>
    </xf>
    <xf numFmtId="0" fontId="18" fillId="0" borderId="39" xfId="96" applyFont="1" applyBorder="1" applyAlignment="1">
      <alignment vertical="center"/>
    </xf>
    <xf numFmtId="0" fontId="18" fillId="0" borderId="44" xfId="96" applyFont="1" applyBorder="1" applyAlignment="1">
      <alignment horizontal="left" vertical="center"/>
    </xf>
    <xf numFmtId="0" fontId="18" fillId="0" borderId="41" xfId="96" applyFont="1" applyBorder="1" applyAlignment="1">
      <alignment horizontal="left" vertical="center"/>
    </xf>
    <xf numFmtId="0" fontId="69" fillId="0" borderId="45" xfId="96" applyFont="1" applyFill="1" applyBorder="1" applyAlignment="1">
      <alignment vertical="center" wrapText="1"/>
    </xf>
    <xf numFmtId="0" fontId="57" fillId="0" borderId="47" xfId="96" applyFont="1" applyBorder="1" applyAlignment="1">
      <alignment horizontal="left" vertical="center"/>
    </xf>
    <xf numFmtId="0" fontId="57" fillId="0" borderId="48" xfId="96" applyFont="1" applyBorder="1" applyAlignment="1">
      <alignment vertical="center"/>
    </xf>
    <xf numFmtId="0" fontId="57" fillId="0" borderId="41" xfId="96" applyFont="1" applyBorder="1" applyAlignment="1">
      <alignment vertical="center"/>
    </xf>
    <xf numFmtId="0" fontId="57" fillId="0" borderId="40" xfId="96" applyFont="1" applyBorder="1" applyAlignment="1">
      <alignment vertical="center" wrapText="1"/>
    </xf>
    <xf numFmtId="0" fontId="57" fillId="0" borderId="41" xfId="96" applyFont="1" applyBorder="1" applyAlignment="1">
      <alignment vertical="center" wrapText="1"/>
    </xf>
    <xf numFmtId="0" fontId="18" fillId="0" borderId="41" xfId="0" applyFont="1" applyBorder="1"/>
    <xf numFmtId="0" fontId="18" fillId="2" borderId="49" xfId="96" applyFont="1" applyFill="1" applyBorder="1" applyAlignment="1">
      <alignment horizontal="left" vertical="center"/>
    </xf>
    <xf numFmtId="0" fontId="18" fillId="2" borderId="0" xfId="96" applyFont="1" applyFill="1" applyBorder="1" applyAlignment="1">
      <alignment horizontal="left" vertical="center"/>
    </xf>
    <xf numFmtId="188" fontId="27" fillId="2" borderId="30" xfId="96" applyNumberFormat="1" applyFont="1" applyFill="1" applyBorder="1" applyAlignment="1">
      <alignment horizontal="left" vertical="center"/>
    </xf>
    <xf numFmtId="188" fontId="27" fillId="2" borderId="50" xfId="96" applyNumberFormat="1" applyFont="1" applyFill="1" applyBorder="1" applyAlignment="1">
      <alignment horizontal="left" vertical="center"/>
    </xf>
    <xf numFmtId="188" fontId="27" fillId="2" borderId="51" xfId="96" applyNumberFormat="1" applyFont="1" applyFill="1" applyBorder="1" applyAlignment="1">
      <alignment horizontal="left" vertical="center"/>
    </xf>
    <xf numFmtId="188" fontId="27" fillId="2" borderId="26" xfId="96" applyNumberFormat="1" applyFont="1" applyFill="1" applyBorder="1" applyAlignment="1">
      <alignment horizontal="left" vertical="center" wrapText="1"/>
    </xf>
    <xf numFmtId="0" fontId="0" fillId="0" borderId="52" xfId="0" applyBorder="1"/>
    <xf numFmtId="0" fontId="37" fillId="0" borderId="53" xfId="96" applyFont="1" applyBorder="1" applyAlignment="1">
      <alignment horizontal="center" vertical="center" wrapText="1"/>
    </xf>
    <xf numFmtId="0" fontId="37" fillId="0" borderId="2" xfId="96" applyFont="1" applyBorder="1" applyAlignment="1">
      <alignment horizontal="center" vertical="center" wrapText="1"/>
    </xf>
    <xf numFmtId="186" fontId="37" fillId="0" borderId="29" xfId="62" applyNumberFormat="1" applyFont="1" applyBorder="1" applyAlignment="1">
      <alignment horizontal="center" vertical="center" wrapText="1"/>
    </xf>
    <xf numFmtId="0" fontId="37" fillId="0" borderId="29" xfId="96" applyFont="1" applyBorder="1" applyAlignment="1">
      <alignment horizontal="center" vertical="center" wrapText="1"/>
    </xf>
    <xf numFmtId="0" fontId="37" fillId="0" borderId="54" xfId="96" applyFont="1" applyBorder="1" applyAlignment="1">
      <alignment horizontal="center" vertical="center" wrapText="1"/>
    </xf>
    <xf numFmtId="0" fontId="18" fillId="0" borderId="55" xfId="92" applyNumberFormat="1" applyFont="1" applyFill="1" applyBorder="1" applyAlignment="1">
      <alignment horizontal="center" vertical="center" wrapText="1"/>
    </xf>
    <xf numFmtId="0" fontId="22" fillId="0" borderId="55" xfId="92" applyNumberFormat="1" applyFont="1" applyFill="1" applyBorder="1" applyAlignment="1">
      <alignment horizontal="center" vertical="center" wrapText="1"/>
    </xf>
    <xf numFmtId="0" fontId="18" fillId="2" borderId="55" xfId="92" applyNumberFormat="1" applyFont="1" applyFill="1" applyBorder="1" applyAlignment="1">
      <alignment horizontal="center" vertical="center" wrapText="1"/>
    </xf>
    <xf numFmtId="0" fontId="22" fillId="2" borderId="55" xfId="92" applyNumberFormat="1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vertical="center"/>
    </xf>
    <xf numFmtId="186" fontId="40" fillId="2" borderId="11" xfId="96" applyNumberFormat="1" applyFont="1" applyFill="1" applyBorder="1" applyAlignment="1">
      <alignment horizontal="center" vertical="center"/>
    </xf>
    <xf numFmtId="2" fontId="37" fillId="0" borderId="12" xfId="0" applyNumberFormat="1" applyFont="1" applyFill="1" applyBorder="1" applyAlignment="1">
      <alignment horizontal="center" vertical="center" wrapText="1"/>
    </xf>
    <xf numFmtId="4" fontId="71" fillId="0" borderId="19" xfId="96" applyNumberFormat="1" applyFont="1" applyBorder="1" applyAlignment="1">
      <alignment horizontal="right"/>
    </xf>
    <xf numFmtId="198" fontId="72" fillId="0" borderId="36" xfId="96" applyNumberFormat="1" applyFont="1" applyBorder="1" applyAlignment="1">
      <alignment horizontal="left"/>
    </xf>
    <xf numFmtId="4" fontId="27" fillId="0" borderId="19" xfId="96" applyNumberFormat="1" applyFont="1" applyBorder="1" applyAlignment="1">
      <alignment horizontal="center"/>
    </xf>
    <xf numFmtId="4" fontId="27" fillId="0" borderId="0" xfId="96" applyNumberFormat="1" applyFont="1" applyBorder="1" applyAlignment="1">
      <alignment horizontal="center"/>
    </xf>
    <xf numFmtId="4" fontId="73" fillId="0" borderId="0" xfId="96" applyNumberFormat="1" applyFont="1" applyBorder="1"/>
    <xf numFmtId="4" fontId="18" fillId="0" borderId="19" xfId="96" applyNumberFormat="1" applyFont="1" applyBorder="1" applyAlignment="1">
      <alignment horizontal="center"/>
    </xf>
    <xf numFmtId="4" fontId="18" fillId="0" borderId="0" xfId="96" applyNumberFormat="1" applyFont="1" applyBorder="1" applyAlignment="1">
      <alignment horizontal="center"/>
    </xf>
    <xf numFmtId="0" fontId="27" fillId="0" borderId="19" xfId="96" applyFont="1" applyBorder="1"/>
    <xf numFmtId="0" fontId="27" fillId="0" borderId="0" xfId="96" applyFont="1" applyBorder="1"/>
    <xf numFmtId="0" fontId="62" fillId="0" borderId="0" xfId="96" applyFont="1" applyBorder="1" applyAlignment="1">
      <alignment horizontal="center"/>
    </xf>
    <xf numFmtId="0" fontId="74" fillId="0" borderId="19" xfId="96" applyFont="1" applyBorder="1"/>
    <xf numFmtId="0" fontId="74" fillId="0" borderId="0" xfId="96" applyFont="1" applyBorder="1"/>
    <xf numFmtId="0" fontId="75" fillId="0" borderId="0" xfId="96" applyFont="1" applyBorder="1" applyAlignment="1">
      <alignment horizontal="center"/>
    </xf>
    <xf numFmtId="0" fontId="76" fillId="0" borderId="19" xfId="96" applyFont="1" applyBorder="1"/>
    <xf numFmtId="0" fontId="76" fillId="0" borderId="0" xfId="96" applyFont="1" applyBorder="1"/>
    <xf numFmtId="0" fontId="77" fillId="0" borderId="0" xfId="96"/>
    <xf numFmtId="0" fontId="63" fillId="0" borderId="0" xfId="96" applyFont="1" applyBorder="1" applyAlignment="1">
      <alignment horizontal="center"/>
    </xf>
    <xf numFmtId="0" fontId="27" fillId="0" borderId="0" xfId="96" applyFont="1"/>
    <xf numFmtId="0" fontId="78" fillId="0" borderId="0" xfId="99" applyBorder="1" applyAlignment="1">
      <alignment vertical="center"/>
    </xf>
    <xf numFmtId="0" fontId="79" fillId="2" borderId="0" xfId="92" applyNumberFormat="1" applyFont="1" applyFill="1" applyBorder="1" applyAlignment="1">
      <alignment vertical="center"/>
    </xf>
    <xf numFmtId="0" fontId="18" fillId="2" borderId="0" xfId="99" applyFont="1" applyFill="1" applyBorder="1" applyAlignment="1">
      <alignment vertical="center"/>
    </xf>
    <xf numFmtId="0" fontId="0" fillId="0" borderId="0" xfId="7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vertical="center"/>
    </xf>
    <xf numFmtId="0" fontId="29" fillId="0" borderId="56" xfId="94" applyFont="1" applyBorder="1" applyAlignment="1">
      <alignment horizontal="center" vertical="center"/>
    </xf>
    <xf numFmtId="0" fontId="29" fillId="0" borderId="35" xfId="94" applyFont="1" applyBorder="1" applyAlignment="1">
      <alignment vertical="center"/>
    </xf>
    <xf numFmtId="0" fontId="29" fillId="0" borderId="57" xfId="94" applyFont="1" applyBorder="1" applyAlignment="1">
      <alignment horizontal="center" vertical="center"/>
    </xf>
    <xf numFmtId="0" fontId="29" fillId="0" borderId="0" xfId="94" applyFont="1" applyBorder="1" applyAlignment="1">
      <alignment vertical="center"/>
    </xf>
    <xf numFmtId="0" fontId="29" fillId="0" borderId="58" xfId="94" applyFont="1" applyBorder="1" applyAlignment="1">
      <alignment horizontal="center" vertical="center"/>
    </xf>
    <xf numFmtId="0" fontId="80" fillId="0" borderId="15" xfId="94" applyFont="1" applyBorder="1" applyAlignment="1">
      <alignment horizontal="center" vertical="center"/>
    </xf>
    <xf numFmtId="0" fontId="80" fillId="0" borderId="16" xfId="94" applyFont="1" applyBorder="1" applyAlignment="1">
      <alignment horizontal="center" vertical="center"/>
    </xf>
    <xf numFmtId="0" fontId="80" fillId="0" borderId="57" xfId="94" applyFont="1" applyBorder="1" applyAlignment="1">
      <alignment horizontal="center" vertical="center"/>
    </xf>
    <xf numFmtId="0" fontId="80" fillId="0" borderId="19" xfId="94" applyFont="1" applyBorder="1" applyAlignment="1">
      <alignment vertical="center"/>
    </xf>
    <xf numFmtId="0" fontId="80" fillId="0" borderId="19" xfId="94" applyFont="1" applyBorder="1" applyAlignment="1">
      <alignment horizontal="center" vertical="center"/>
    </xf>
    <xf numFmtId="0" fontId="80" fillId="0" borderId="0" xfId="94" applyFont="1" applyBorder="1" applyAlignment="1">
      <alignment horizontal="center" vertical="center"/>
    </xf>
    <xf numFmtId="0" fontId="80" fillId="0" borderId="31" xfId="94" applyFont="1" applyBorder="1" applyAlignment="1">
      <alignment horizontal="center" vertical="center"/>
    </xf>
    <xf numFmtId="0" fontId="57" fillId="2" borderId="19" xfId="94" applyFont="1" applyFill="1" applyBorder="1" applyAlignment="1">
      <alignment horizontal="center" vertical="center"/>
    </xf>
    <xf numFmtId="0" fontId="57" fillId="2" borderId="0" xfId="94" applyFont="1" applyFill="1" applyBorder="1" applyAlignment="1">
      <alignment vertical="center"/>
    </xf>
    <xf numFmtId="0" fontId="37" fillId="0" borderId="0" xfId="94" applyFont="1" applyBorder="1" applyAlignment="1">
      <alignment vertical="center"/>
    </xf>
    <xf numFmtId="0" fontId="18" fillId="0" borderId="0" xfId="0" applyFont="1" applyBorder="1" applyAlignment="1">
      <alignment horizontal="center" vertical="center"/>
    </xf>
    <xf numFmtId="0" fontId="57" fillId="2" borderId="40" xfId="94" applyFont="1" applyFill="1" applyBorder="1" applyAlignment="1">
      <alignment vertical="center"/>
    </xf>
    <xf numFmtId="0" fontId="57" fillId="0" borderId="41" xfId="94" applyFont="1" applyBorder="1" applyAlignment="1">
      <alignment vertical="center"/>
    </xf>
    <xf numFmtId="0" fontId="37" fillId="0" borderId="41" xfId="94" applyFont="1" applyBorder="1" applyAlignment="1">
      <alignment vertical="center"/>
    </xf>
    <xf numFmtId="0" fontId="37" fillId="0" borderId="31" xfId="94" applyFont="1" applyBorder="1" applyAlignment="1">
      <alignment vertical="center"/>
    </xf>
    <xf numFmtId="0" fontId="37" fillId="2" borderId="19" xfId="94" applyFont="1" applyFill="1" applyBorder="1" applyAlignment="1">
      <alignment horizontal="center" vertical="center"/>
    </xf>
    <xf numFmtId="0" fontId="37" fillId="2" borderId="0" xfId="94" applyFont="1" applyFill="1" applyBorder="1" applyAlignment="1">
      <alignment vertical="center"/>
    </xf>
    <xf numFmtId="0" fontId="66" fillId="2" borderId="30" xfId="94" applyFont="1" applyFill="1" applyBorder="1" applyAlignment="1">
      <alignment vertical="center"/>
    </xf>
    <xf numFmtId="0" fontId="66" fillId="0" borderId="0" xfId="0" applyFont="1" applyBorder="1" applyAlignment="1">
      <alignment vertical="center"/>
    </xf>
    <xf numFmtId="188" fontId="66" fillId="0" borderId="0" xfId="94" applyNumberFormat="1" applyFont="1" applyFill="1" applyBorder="1" applyAlignment="1">
      <alignment horizontal="center" vertical="center"/>
    </xf>
    <xf numFmtId="188" fontId="66" fillId="0" borderId="31" xfId="94" applyNumberFormat="1" applyFont="1" applyFill="1" applyBorder="1" applyAlignment="1">
      <alignment horizontal="center" vertical="center"/>
    </xf>
    <xf numFmtId="0" fontId="18" fillId="0" borderId="19" xfId="94" applyFont="1" applyBorder="1" applyAlignment="1">
      <alignment horizontal="center" vertical="center" wrapText="1"/>
    </xf>
    <xf numFmtId="0" fontId="18" fillId="0" borderId="0" xfId="94" applyFont="1" applyBorder="1" applyAlignment="1">
      <alignment horizontal="left" vertical="center" wrapText="1"/>
    </xf>
    <xf numFmtId="0" fontId="18" fillId="0" borderId="0" xfId="94" applyFont="1" applyBorder="1" applyAlignment="1">
      <alignment horizontal="center" vertical="center" wrapText="1"/>
    </xf>
    <xf numFmtId="0" fontId="18" fillId="0" borderId="0" xfId="94" applyFont="1" applyBorder="1" applyAlignment="1">
      <alignment vertical="center" wrapText="1"/>
    </xf>
    <xf numFmtId="0" fontId="57" fillId="2" borderId="30" xfId="94" applyFont="1" applyFill="1" applyBorder="1" applyAlignment="1">
      <alignment vertical="center"/>
    </xf>
    <xf numFmtId="0" fontId="18" fillId="0" borderId="31" xfId="94" applyFont="1" applyBorder="1" applyAlignment="1">
      <alignment vertical="center"/>
    </xf>
    <xf numFmtId="0" fontId="18" fillId="2" borderId="19" xfId="94" applyFont="1" applyFill="1" applyBorder="1" applyAlignment="1">
      <alignment horizontal="center" vertical="center"/>
    </xf>
    <xf numFmtId="0" fontId="18" fillId="2" borderId="0" xfId="94" applyFont="1" applyFill="1" applyBorder="1" applyAlignment="1">
      <alignment vertical="center"/>
    </xf>
    <xf numFmtId="0" fontId="18" fillId="2" borderId="30" xfId="94" applyFont="1" applyFill="1" applyBorder="1" applyAlignment="1">
      <alignment vertical="center"/>
    </xf>
    <xf numFmtId="0" fontId="18" fillId="0" borderId="0" xfId="94" applyFont="1" applyFill="1" applyBorder="1" applyAlignment="1">
      <alignment vertical="center"/>
    </xf>
    <xf numFmtId="188" fontId="18" fillId="0" borderId="0" xfId="94" applyNumberFormat="1" applyFont="1" applyFill="1" applyBorder="1" applyAlignment="1">
      <alignment horizontal="center" vertical="center"/>
    </xf>
    <xf numFmtId="188" fontId="18" fillId="0" borderId="31" xfId="94" applyNumberFormat="1" applyFont="1" applyFill="1" applyBorder="1" applyAlignment="1">
      <alignment horizontal="center" vertical="center"/>
    </xf>
    <xf numFmtId="0" fontId="57" fillId="2" borderId="44" xfId="94" applyFont="1" applyFill="1" applyBorder="1" applyAlignment="1">
      <alignment horizontal="center" vertical="center"/>
    </xf>
    <xf numFmtId="0" fontId="57" fillId="2" borderId="41" xfId="94" applyFont="1" applyFill="1" applyBorder="1" applyAlignment="1">
      <alignment vertical="center"/>
    </xf>
    <xf numFmtId="0" fontId="18" fillId="0" borderId="41" xfId="94" applyFont="1" applyBorder="1" applyAlignment="1">
      <alignment vertical="center"/>
    </xf>
    <xf numFmtId="0" fontId="18" fillId="0" borderId="41" xfId="94" applyFont="1" applyBorder="1" applyAlignment="1">
      <alignment horizontal="center" vertical="center"/>
    </xf>
    <xf numFmtId="0" fontId="18" fillId="0" borderId="41" xfId="0" applyFont="1" applyBorder="1" applyAlignment="1">
      <alignment vertical="center"/>
    </xf>
    <xf numFmtId="0" fontId="67" fillId="0" borderId="19" xfId="94" applyFont="1" applyFill="1" applyBorder="1" applyAlignment="1">
      <alignment horizontal="center" vertical="center" wrapText="1"/>
    </xf>
    <xf numFmtId="0" fontId="67" fillId="0" borderId="0" xfId="94" applyFont="1" applyFill="1" applyBorder="1" applyAlignment="1">
      <alignment vertical="center" wrapText="1"/>
    </xf>
    <xf numFmtId="0" fontId="69" fillId="0" borderId="19" xfId="94" applyFont="1" applyFill="1" applyBorder="1" applyAlignment="1">
      <alignment horizontal="center" vertical="center" wrapText="1"/>
    </xf>
    <xf numFmtId="0" fontId="69" fillId="0" borderId="0" xfId="94" applyFont="1" applyFill="1" applyBorder="1" applyAlignment="1">
      <alignment horizontal="left" vertical="center" wrapText="1"/>
    </xf>
    <xf numFmtId="0" fontId="69" fillId="0" borderId="43" xfId="94" applyFont="1" applyFill="1" applyBorder="1" applyAlignment="1">
      <alignment vertical="center" wrapText="1"/>
    </xf>
    <xf numFmtId="0" fontId="68" fillId="0" borderId="0" xfId="0" applyFont="1" applyFill="1" applyBorder="1" applyAlignment="1">
      <alignment vertical="center"/>
    </xf>
    <xf numFmtId="0" fontId="68" fillId="0" borderId="0" xfId="0" applyFont="1" applyBorder="1" applyAlignment="1">
      <alignment vertical="center"/>
    </xf>
    <xf numFmtId="188" fontId="68" fillId="0" borderId="0" xfId="94" applyNumberFormat="1" applyFont="1" applyFill="1" applyBorder="1" applyAlignment="1">
      <alignment horizontal="center" vertical="center"/>
    </xf>
    <xf numFmtId="188" fontId="68" fillId="0" borderId="31" xfId="94" applyNumberFormat="1" applyFont="1" applyFill="1" applyBorder="1" applyAlignment="1">
      <alignment horizontal="center" vertical="center"/>
    </xf>
    <xf numFmtId="0" fontId="69" fillId="0" borderId="0" xfId="94" applyFont="1" applyFill="1" applyBorder="1" applyAlignment="1">
      <alignment vertical="center" wrapText="1"/>
    </xf>
    <xf numFmtId="0" fontId="69" fillId="0" borderId="0" xfId="94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vertical="center"/>
    </xf>
    <xf numFmtId="0" fontId="81" fillId="0" borderId="0" xfId="0" applyFont="1" applyFill="1" applyBorder="1" applyAlignment="1">
      <alignment vertical="center"/>
    </xf>
    <xf numFmtId="0" fontId="81" fillId="0" borderId="0" xfId="0" applyFont="1" applyBorder="1" applyAlignment="1">
      <alignment vertical="center"/>
    </xf>
    <xf numFmtId="188" fontId="81" fillId="0" borderId="0" xfId="94" applyNumberFormat="1" applyFont="1" applyFill="1" applyBorder="1" applyAlignment="1">
      <alignment horizontal="center" vertical="center"/>
    </xf>
    <xf numFmtId="188" fontId="81" fillId="0" borderId="31" xfId="94" applyNumberFormat="1" applyFont="1" applyFill="1" applyBorder="1" applyAlignment="1">
      <alignment horizontal="center" vertical="center"/>
    </xf>
    <xf numFmtId="0" fontId="69" fillId="0" borderId="39" xfId="94" applyFont="1" applyFill="1" applyBorder="1" applyAlignment="1">
      <alignment vertical="center" wrapText="1"/>
    </xf>
    <xf numFmtId="0" fontId="68" fillId="2" borderId="0" xfId="0" applyFont="1" applyFill="1" applyBorder="1" applyAlignment="1">
      <alignment vertical="center"/>
    </xf>
    <xf numFmtId="0" fontId="18" fillId="0" borderId="31" xfId="0" applyFont="1" applyBorder="1" applyAlignment="1">
      <alignment vertical="center"/>
    </xf>
    <xf numFmtId="0" fontId="70" fillId="2" borderId="44" xfId="94" applyFont="1" applyFill="1" applyBorder="1" applyAlignment="1">
      <alignment horizontal="center" vertical="center"/>
    </xf>
    <xf numFmtId="0" fontId="70" fillId="2" borderId="41" xfId="94" applyFont="1" applyFill="1" applyBorder="1" applyAlignment="1">
      <alignment vertical="center"/>
    </xf>
    <xf numFmtId="0" fontId="69" fillId="0" borderId="41" xfId="94" applyFont="1" applyFill="1" applyBorder="1" applyAlignment="1">
      <alignment vertical="center"/>
    </xf>
    <xf numFmtId="0" fontId="69" fillId="0" borderId="41" xfId="94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/>
    </xf>
    <xf numFmtId="0" fontId="57" fillId="2" borderId="0" xfId="0" applyFont="1" applyFill="1" applyBorder="1" applyAlignment="1">
      <alignment vertical="center"/>
    </xf>
    <xf numFmtId="0" fontId="67" fillId="0" borderId="19" xfId="94" applyFont="1" applyFill="1" applyBorder="1" applyAlignment="1">
      <alignment horizontal="center" vertical="center"/>
    </xf>
    <xf numFmtId="0" fontId="67" fillId="0" borderId="0" xfId="94" applyFont="1" applyFill="1" applyBorder="1" applyAlignment="1">
      <alignment vertical="center"/>
    </xf>
    <xf numFmtId="188" fontId="18" fillId="2" borderId="31" xfId="0" applyNumberFormat="1" applyFont="1" applyFill="1" applyBorder="1" applyAlignment="1">
      <alignment horizontal="center" vertical="center"/>
    </xf>
    <xf numFmtId="188" fontId="18" fillId="2" borderId="0" xfId="0" applyNumberFormat="1" applyFont="1" applyFill="1" applyBorder="1" applyAlignment="1">
      <alignment vertical="center"/>
    </xf>
    <xf numFmtId="0" fontId="68" fillId="2" borderId="19" xfId="94" applyFont="1" applyFill="1" applyBorder="1" applyAlignment="1">
      <alignment horizontal="center" vertical="center"/>
    </xf>
    <xf numFmtId="0" fontId="68" fillId="2" borderId="0" xfId="94" applyFont="1" applyFill="1" applyBorder="1" applyAlignment="1">
      <alignment vertical="center"/>
    </xf>
    <xf numFmtId="0" fontId="68" fillId="0" borderId="0" xfId="94" applyFont="1" applyFill="1" applyBorder="1" applyAlignment="1">
      <alignment vertical="center"/>
    </xf>
    <xf numFmtId="0" fontId="69" fillId="0" borderId="0" xfId="94" applyFont="1" applyFill="1" applyBorder="1" applyAlignment="1">
      <alignment vertical="center"/>
    </xf>
    <xf numFmtId="0" fontId="69" fillId="0" borderId="0" xfId="94" applyFont="1" applyFill="1" applyBorder="1" applyAlignment="1">
      <alignment horizontal="center" vertical="center"/>
    </xf>
    <xf numFmtId="0" fontId="69" fillId="0" borderId="43" xfId="94" applyFont="1" applyFill="1" applyBorder="1" applyAlignment="1">
      <alignment vertical="center"/>
    </xf>
    <xf numFmtId="14" fontId="18" fillId="0" borderId="0" xfId="0" applyNumberFormat="1" applyFont="1" applyBorder="1" applyAlignment="1">
      <alignment vertical="center"/>
    </xf>
    <xf numFmtId="0" fontId="0" fillId="0" borderId="31" xfId="0" applyBorder="1" applyAlignment="1">
      <alignment vertical="center"/>
    </xf>
    <xf numFmtId="188" fontId="18" fillId="0" borderId="0" xfId="0" applyNumberFormat="1" applyFont="1" applyBorder="1" applyAlignment="1">
      <alignment vertical="center"/>
    </xf>
    <xf numFmtId="0" fontId="68" fillId="0" borderId="19" xfId="94" applyFont="1" applyFill="1" applyBorder="1" applyAlignment="1">
      <alignment horizontal="center" vertical="center" wrapText="1"/>
    </xf>
    <xf numFmtId="0" fontId="68" fillId="0" borderId="0" xfId="94" applyFont="1" applyFill="1" applyBorder="1" applyAlignment="1">
      <alignment vertical="center" wrapText="1"/>
    </xf>
    <xf numFmtId="0" fontId="68" fillId="0" borderId="0" xfId="94" applyFont="1" applyFill="1" applyBorder="1" applyAlignment="1">
      <alignment horizontal="left" vertical="center" wrapText="1"/>
    </xf>
    <xf numFmtId="0" fontId="57" fillId="0" borderId="30" xfId="94" applyFont="1" applyBorder="1" applyAlignment="1">
      <alignment vertical="center"/>
    </xf>
    <xf numFmtId="0" fontId="18" fillId="0" borderId="30" xfId="94" applyFont="1" applyBorder="1" applyAlignment="1">
      <alignment vertical="center"/>
    </xf>
    <xf numFmtId="199" fontId="18" fillId="0" borderId="0" xfId="94" applyNumberFormat="1" applyFont="1" applyBorder="1" applyAlignment="1">
      <alignment vertical="center"/>
    </xf>
    <xf numFmtId="199" fontId="18" fillId="0" borderId="31" xfId="94" applyNumberFormat="1" applyFont="1" applyBorder="1" applyAlignment="1">
      <alignment vertical="center"/>
    </xf>
    <xf numFmtId="0" fontId="18" fillId="0" borderId="59" xfId="0" applyFont="1" applyBorder="1" applyAlignment="1">
      <alignment vertical="center"/>
    </xf>
    <xf numFmtId="0" fontId="57" fillId="2" borderId="0" xfId="94" applyFont="1" applyFill="1" applyBorder="1" applyAlignment="1">
      <alignment vertical="center" wrapText="1"/>
    </xf>
    <xf numFmtId="0" fontId="37" fillId="2" borderId="44" xfId="94" applyFont="1" applyFill="1" applyBorder="1" applyAlignment="1">
      <alignment horizontal="center" vertical="center"/>
    </xf>
    <xf numFmtId="0" fontId="37" fillId="2" borderId="41" xfId="94" applyFont="1" applyFill="1" applyBorder="1" applyAlignment="1">
      <alignment vertical="center"/>
    </xf>
    <xf numFmtId="0" fontId="57" fillId="0" borderId="40" xfId="94" applyFont="1" applyBorder="1" applyAlignment="1">
      <alignment vertical="center"/>
    </xf>
    <xf numFmtId="0" fontId="18" fillId="0" borderId="41" xfId="0" applyFont="1" applyBorder="1" applyAlignment="1">
      <alignment horizontal="center" vertical="center"/>
    </xf>
    <xf numFmtId="0" fontId="57" fillId="2" borderId="30" xfId="94" applyFont="1" applyFill="1" applyBorder="1" applyAlignment="1">
      <alignment vertical="center" wrapText="1"/>
    </xf>
    <xf numFmtId="188" fontId="66" fillId="0" borderId="38" xfId="94" applyNumberFormat="1" applyFont="1" applyFill="1" applyBorder="1" applyAlignment="1">
      <alignment horizontal="left" vertical="center"/>
    </xf>
    <xf numFmtId="188" fontId="66" fillId="0" borderId="60" xfId="94" applyNumberFormat="1" applyFont="1" applyFill="1" applyBorder="1" applyAlignment="1">
      <alignment horizontal="left" vertical="center"/>
    </xf>
    <xf numFmtId="0" fontId="18" fillId="0" borderId="39" xfId="0" applyFont="1" applyBorder="1" applyAlignment="1">
      <alignment vertical="center"/>
    </xf>
    <xf numFmtId="0" fontId="18" fillId="0" borderId="39" xfId="0" applyFont="1" applyBorder="1" applyAlignment="1">
      <alignment horizontal="center" vertical="center"/>
    </xf>
    <xf numFmtId="0" fontId="57" fillId="2" borderId="38" xfId="94" applyFont="1" applyFill="1" applyBorder="1" applyAlignment="1">
      <alignment vertical="center"/>
    </xf>
    <xf numFmtId="0" fontId="18" fillId="0" borderId="39" xfId="94" applyFont="1" applyBorder="1" applyAlignment="1">
      <alignment vertical="center" wrapText="1"/>
    </xf>
    <xf numFmtId="0" fontId="18" fillId="0" borderId="46" xfId="94" applyFont="1" applyBorder="1" applyAlignment="1">
      <alignment vertical="center" wrapText="1"/>
    </xf>
    <xf numFmtId="0" fontId="29" fillId="2" borderId="19" xfId="94" applyFont="1" applyFill="1" applyBorder="1" applyAlignment="1">
      <alignment horizontal="center" vertical="center"/>
    </xf>
    <xf numFmtId="0" fontId="29" fillId="2" borderId="0" xfId="94" applyFont="1" applyFill="1" applyBorder="1" applyAlignment="1">
      <alignment horizontal="center" vertical="center"/>
    </xf>
    <xf numFmtId="188" fontId="29" fillId="0" borderId="61" xfId="94" applyNumberFormat="1" applyFont="1" applyFill="1" applyBorder="1" applyAlignment="1">
      <alignment horizontal="center" vertical="center"/>
    </xf>
    <xf numFmtId="188" fontId="29" fillId="0" borderId="26" xfId="94" applyNumberFormat="1" applyFont="1" applyFill="1" applyBorder="1" applyAlignment="1">
      <alignment horizontal="center" vertical="center"/>
    </xf>
    <xf numFmtId="188" fontId="29" fillId="0" borderId="0" xfId="94" applyNumberFormat="1" applyFont="1" applyFill="1" applyBorder="1" applyAlignment="1">
      <alignment horizontal="left" vertical="center"/>
    </xf>
    <xf numFmtId="0" fontId="60" fillId="0" borderId="30" xfId="94" applyFont="1" applyFill="1" applyBorder="1" applyAlignment="1">
      <alignment horizontal="center" vertical="center"/>
    </xf>
    <xf numFmtId="0" fontId="60" fillId="0" borderId="0" xfId="94" applyFont="1" applyFill="1" applyBorder="1" applyAlignment="1">
      <alignment horizontal="center" vertical="center"/>
    </xf>
    <xf numFmtId="0" fontId="34" fillId="0" borderId="31" xfId="0" applyFont="1" applyBorder="1" applyAlignment="1">
      <alignment horizontal="center" vertical="center"/>
    </xf>
    <xf numFmtId="0" fontId="82" fillId="2" borderId="1" xfId="97" applyFont="1" applyFill="1" applyBorder="1" applyAlignment="1">
      <alignment horizontal="center" vertical="center" wrapText="1"/>
    </xf>
    <xf numFmtId="0" fontId="82" fillId="2" borderId="2" xfId="97" applyFont="1" applyFill="1" applyBorder="1" applyAlignment="1">
      <alignment horizontal="center" vertical="center" wrapText="1"/>
    </xf>
    <xf numFmtId="0" fontId="82" fillId="2" borderId="2" xfId="97" applyFont="1" applyFill="1" applyBorder="1" applyAlignment="1">
      <alignment horizontal="center" vertical="center"/>
    </xf>
    <xf numFmtId="2" fontId="82" fillId="2" borderId="2" xfId="54" applyNumberFormat="1" applyFont="1" applyFill="1" applyBorder="1" applyAlignment="1">
      <alignment horizontal="center" vertical="center" wrapText="1"/>
    </xf>
    <xf numFmtId="194" fontId="82" fillId="2" borderId="3" xfId="54" applyNumberFormat="1" applyFont="1" applyFill="1" applyBorder="1" applyAlignment="1">
      <alignment horizontal="center" vertical="center" wrapText="1"/>
    </xf>
    <xf numFmtId="0" fontId="78" fillId="0" borderId="0" xfId="99" applyBorder="1" applyAlignment="1">
      <alignment vertical="center"/>
    </xf>
    <xf numFmtId="0" fontId="79" fillId="2" borderId="4" xfId="92" applyNumberFormat="1" applyFont="1" applyFill="1" applyBorder="1" applyAlignment="1">
      <alignment horizontal="center" vertical="center"/>
    </xf>
    <xf numFmtId="0" fontId="79" fillId="2" borderId="5" xfId="92" applyNumberFormat="1" applyFont="1" applyFill="1" applyBorder="1" applyAlignment="1">
      <alignment horizontal="center" vertical="center"/>
    </xf>
    <xf numFmtId="0" fontId="79" fillId="2" borderId="5" xfId="92" applyNumberFormat="1" applyFont="1" applyFill="1" applyBorder="1" applyAlignment="1">
      <alignment horizontal="center" vertical="center" wrapText="1"/>
    </xf>
    <xf numFmtId="0" fontId="79" fillId="2" borderId="6" xfId="92" applyNumberFormat="1" applyFont="1" applyFill="1" applyBorder="1" applyAlignment="1">
      <alignment horizontal="center" vertical="center"/>
    </xf>
    <xf numFmtId="0" fontId="79" fillId="0" borderId="5" xfId="92" applyNumberFormat="1" applyFont="1" applyFill="1" applyBorder="1" applyAlignment="1">
      <alignment horizontal="center" vertical="center"/>
    </xf>
    <xf numFmtId="2" fontId="79" fillId="2" borderId="6" xfId="92" applyNumberFormat="1" applyFont="1" applyFill="1" applyBorder="1" applyAlignment="1">
      <alignment horizontal="center" vertical="center"/>
    </xf>
    <xf numFmtId="0" fontId="29" fillId="0" borderId="10" xfId="77" applyFont="1" applyBorder="1" applyAlignment="1">
      <alignment horizontal="center" vertical="center"/>
    </xf>
    <xf numFmtId="0" fontId="29" fillId="0" borderId="11" xfId="77" applyFont="1" applyBorder="1" applyAlignment="1">
      <alignment horizontal="center" vertical="center"/>
    </xf>
    <xf numFmtId="195" fontId="29" fillId="2" borderId="11" xfId="77" applyNumberFormat="1" applyFont="1" applyFill="1" applyBorder="1" applyAlignment="1">
      <alignment horizontal="center" vertical="center"/>
    </xf>
    <xf numFmtId="0" fontId="29" fillId="2" borderId="11" xfId="77" applyFont="1" applyFill="1" applyBorder="1" applyAlignment="1">
      <alignment vertical="center"/>
    </xf>
    <xf numFmtId="199" fontId="83" fillId="2" borderId="11" xfId="77" applyNumberFormat="1" applyFont="1" applyFill="1" applyBorder="1" applyAlignment="1">
      <alignment horizontal="center" vertical="center"/>
    </xf>
    <xf numFmtId="0" fontId="29" fillId="2" borderId="11" xfId="99" applyFont="1" applyFill="1" applyBorder="1" applyAlignment="1">
      <alignment horizontal="center" vertical="center"/>
    </xf>
    <xf numFmtId="200" fontId="29" fillId="2" borderId="11" xfId="54" applyNumberFormat="1" applyFont="1" applyFill="1" applyBorder="1" applyAlignment="1">
      <alignment horizontal="center" vertical="center" wrapText="1"/>
    </xf>
    <xf numFmtId="1" fontId="29" fillId="0" borderId="11" xfId="54" applyNumberFormat="1" applyFont="1" applyFill="1" applyBorder="1" applyAlignment="1">
      <alignment horizontal="center" vertical="center" wrapText="1"/>
    </xf>
    <xf numFmtId="0" fontId="84" fillId="0" borderId="11" xfId="99" applyFont="1" applyBorder="1" applyAlignment="1">
      <alignment horizontal="center" vertical="center"/>
    </xf>
    <xf numFmtId="196" fontId="85" fillId="0" borderId="11" xfId="99" applyNumberFormat="1" applyFont="1" applyBorder="1" applyAlignment="1">
      <alignment horizontal="center" vertical="center"/>
    </xf>
    <xf numFmtId="196" fontId="85" fillId="0" borderId="12" xfId="99" applyNumberFormat="1" applyFont="1" applyBorder="1" applyAlignment="1">
      <alignment horizontal="center" vertical="center"/>
    </xf>
    <xf numFmtId="0" fontId="18" fillId="2" borderId="0" xfId="99" applyFont="1" applyFill="1" applyBorder="1" applyAlignment="1">
      <alignment vertical="center"/>
    </xf>
    <xf numFmtId="0" fontId="29" fillId="0" borderId="0" xfId="109" applyFont="1" applyBorder="1" applyAlignment="1">
      <alignment horizontal="left" vertical="center" wrapText="1"/>
    </xf>
    <xf numFmtId="0" fontId="34" fillId="2" borderId="0" xfId="99" applyFont="1" applyFill="1" applyAlignment="1">
      <alignment horizontal="center" vertical="center"/>
    </xf>
    <xf numFmtId="0" fontId="78" fillId="0" borderId="0" xfId="99" applyAlignment="1">
      <alignment vertical="center"/>
    </xf>
    <xf numFmtId="0" fontId="60" fillId="2" borderId="19" xfId="97" applyFont="1" applyFill="1" applyBorder="1" applyAlignment="1">
      <alignment horizontal="center" vertical="center"/>
    </xf>
    <xf numFmtId="0" fontId="34" fillId="2" borderId="0" xfId="97" applyFont="1" applyFill="1" applyAlignment="1">
      <alignment horizontal="center" vertical="center"/>
    </xf>
    <xf numFmtId="0" fontId="29" fillId="0" borderId="0" xfId="97" applyFont="1" applyAlignment="1">
      <alignment vertical="center"/>
    </xf>
    <xf numFmtId="0" fontId="29" fillId="0" borderId="0" xfId="97" applyFont="1" applyAlignment="1">
      <alignment horizontal="center" vertical="center"/>
    </xf>
    <xf numFmtId="4" fontId="34" fillId="2" borderId="19" xfId="97" applyNumberFormat="1" applyFont="1" applyFill="1" applyBorder="1" applyAlignment="1">
      <alignment horizontal="center" vertical="center"/>
    </xf>
    <xf numFmtId="4" fontId="34" fillId="2" borderId="0" xfId="97" applyNumberFormat="1" applyFont="1" applyFill="1" applyAlignment="1">
      <alignment horizontal="center" vertical="center"/>
    </xf>
    <xf numFmtId="0" fontId="61" fillId="2" borderId="0" xfId="97" applyFont="1" applyFill="1" applyAlignment="1">
      <alignment horizontal="center" vertical="center"/>
    </xf>
    <xf numFmtId="0" fontId="61" fillId="0" borderId="0" xfId="97" applyFont="1" applyAlignment="1">
      <alignment vertical="center"/>
    </xf>
    <xf numFmtId="0" fontId="61" fillId="0" borderId="0" xfId="97" applyFont="1" applyAlignment="1">
      <alignment horizontal="center" vertical="center"/>
    </xf>
    <xf numFmtId="0" fontId="0" fillId="2" borderId="0" xfId="71" applyFill="1" applyAlignment="1">
      <alignment horizontal="center" vertical="center"/>
    </xf>
    <xf numFmtId="0" fontId="0" fillId="2" borderId="0" xfId="71" applyFill="1" applyAlignment="1">
      <alignment vertical="center"/>
    </xf>
    <xf numFmtId="0" fontId="0" fillId="0" borderId="0" xfId="71" applyAlignment="1">
      <alignment vertical="center"/>
    </xf>
    <xf numFmtId="0" fontId="0" fillId="0" borderId="0" xfId="71" applyAlignment="1">
      <alignment horizontal="center" vertical="center"/>
    </xf>
    <xf numFmtId="0" fontId="57" fillId="2" borderId="19" xfId="94" applyFont="1" applyFill="1" applyBorder="1" applyAlignment="1">
      <alignment vertical="center"/>
    </xf>
    <xf numFmtId="0" fontId="37" fillId="2" borderId="19" xfId="94" applyFont="1" applyFill="1" applyBorder="1" applyAlignment="1">
      <alignment vertical="center"/>
    </xf>
    <xf numFmtId="0" fontId="18" fillId="0" borderId="19" xfId="94" applyFont="1" applyBorder="1" applyAlignment="1">
      <alignment horizontal="left" vertical="center" wrapText="1"/>
    </xf>
    <xf numFmtId="0" fontId="18" fillId="2" borderId="19" xfId="94" applyFont="1" applyFill="1" applyBorder="1" applyAlignment="1">
      <alignment vertical="center"/>
    </xf>
    <xf numFmtId="0" fontId="57" fillId="2" borderId="44" xfId="94" applyFont="1" applyFill="1" applyBorder="1" applyAlignment="1">
      <alignment vertical="center"/>
    </xf>
    <xf numFmtId="0" fontId="67" fillId="0" borderId="19" xfId="94" applyFont="1" applyFill="1" applyBorder="1" applyAlignment="1">
      <alignment vertical="center" wrapText="1"/>
    </xf>
    <xf numFmtId="0" fontId="69" fillId="0" borderId="19" xfId="94" applyFont="1" applyFill="1" applyBorder="1" applyAlignment="1">
      <alignment horizontal="left" vertical="center" wrapText="1"/>
    </xf>
    <xf numFmtId="0" fontId="69" fillId="0" borderId="19" xfId="94" applyFont="1" applyFill="1" applyBorder="1" applyAlignment="1">
      <alignment vertical="center" wrapText="1"/>
    </xf>
    <xf numFmtId="0" fontId="70" fillId="2" borderId="44" xfId="94" applyFont="1" applyFill="1" applyBorder="1" applyAlignment="1">
      <alignment vertical="center"/>
    </xf>
    <xf numFmtId="0" fontId="67" fillId="0" borderId="19" xfId="94" applyFont="1" applyFill="1" applyBorder="1" applyAlignment="1">
      <alignment vertical="center"/>
    </xf>
    <xf numFmtId="0" fontId="68" fillId="2" borderId="19" xfId="94" applyFont="1" applyFill="1" applyBorder="1" applyAlignment="1">
      <alignment vertical="center"/>
    </xf>
    <xf numFmtId="0" fontId="68" fillId="0" borderId="19" xfId="94" applyFont="1" applyFill="1" applyBorder="1" applyAlignment="1">
      <alignment vertical="center" wrapText="1"/>
    </xf>
    <xf numFmtId="0" fontId="68" fillId="0" borderId="19" xfId="94" applyFont="1" applyFill="1" applyBorder="1" applyAlignment="1">
      <alignment horizontal="left" vertical="center" wrapText="1"/>
    </xf>
    <xf numFmtId="0" fontId="37" fillId="2" borderId="44" xfId="94" applyFont="1" applyFill="1" applyBorder="1" applyAlignment="1">
      <alignment vertical="center"/>
    </xf>
    <xf numFmtId="0" fontId="18" fillId="0" borderId="21" xfId="96" applyFont="1" applyFill="1" applyBorder="1" applyAlignment="1" quotePrefix="1">
      <alignment horizontal="center" vertical="center" wrapText="1"/>
    </xf>
    <xf numFmtId="0" fontId="18" fillId="0" borderId="21" xfId="94" applyFont="1" applyFill="1" applyBorder="1" applyAlignment="1" quotePrefix="1">
      <alignment horizontal="center" vertical="center" wrapText="1"/>
    </xf>
    <xf numFmtId="1" fontId="33" fillId="0" borderId="0" xfId="94" applyNumberFormat="1" applyFont="1" applyAlignment="1" quotePrefix="1">
      <alignment horizontal="left" vertical="center"/>
    </xf>
  </cellXfs>
  <cellStyles count="12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[0] 2" xfId="49"/>
    <cellStyle name="Comma 10 2" xfId="50"/>
    <cellStyle name="Comma 2" xfId="51"/>
    <cellStyle name="Comma 2 2" xfId="52"/>
    <cellStyle name="Comma 2 3" xfId="53"/>
    <cellStyle name="Comma 2 4" xfId="54"/>
    <cellStyle name="Comma 3" xfId="55"/>
    <cellStyle name="Comma 3 2" xfId="56"/>
    <cellStyle name="Comma 3 3" xfId="57"/>
    <cellStyle name="Comma 4" xfId="58"/>
    <cellStyle name="Comma 5" xfId="59"/>
    <cellStyle name="Comma 6" xfId="60"/>
    <cellStyle name="Comma 7" xfId="61"/>
    <cellStyle name="Comma 7 2" xfId="62"/>
    <cellStyle name="Comma 8" xfId="63"/>
    <cellStyle name="Comma 9" xfId="64"/>
    <cellStyle name="Currency 2" xfId="65"/>
    <cellStyle name="Currency 2 2" xfId="66"/>
    <cellStyle name="Currency Custom" xfId="67"/>
    <cellStyle name="Hyperlink 2" xfId="68"/>
    <cellStyle name="Indent" xfId="69"/>
    <cellStyle name="Item" xfId="70"/>
    <cellStyle name="Normal 11" xfId="71"/>
    <cellStyle name="Normal 2" xfId="72"/>
    <cellStyle name="Normal 2 2" xfId="73"/>
    <cellStyle name="Normal 2 3" xfId="74"/>
    <cellStyle name="Normal 2 4" xfId="75"/>
    <cellStyle name="Normal 2 4 2" xfId="76"/>
    <cellStyle name="Normal 3" xfId="77"/>
    <cellStyle name="Normal 3 2" xfId="78"/>
    <cellStyle name="Normal 3 2 2" xfId="79"/>
    <cellStyle name="Normal 3 2 2 2" xfId="80"/>
    <cellStyle name="Normal 3 3" xfId="81"/>
    <cellStyle name="Normal 3 4" xfId="82"/>
    <cellStyle name="Normal 3 5" xfId="83"/>
    <cellStyle name="Normal 4" xfId="84"/>
    <cellStyle name="Normal 4 2" xfId="85"/>
    <cellStyle name="Normal 4 2 2" xfId="86"/>
    <cellStyle name="Normal 4 3" xfId="87"/>
    <cellStyle name="Normal 4 3 2" xfId="88"/>
    <cellStyle name="Normal 4 3 3" xfId="89"/>
    <cellStyle name="Normal 4 3 3 2" xfId="90"/>
    <cellStyle name="Normal 4 3 4" xfId="91"/>
    <cellStyle name="Normal 4 3 5" xfId="92"/>
    <cellStyle name="Normal 4 4" xfId="93"/>
    <cellStyle name="Normal 5" xfId="94"/>
    <cellStyle name="Normal 5 2" xfId="95"/>
    <cellStyle name="Normal 5 3" xfId="96"/>
    <cellStyle name="Normal 5 3 2" xfId="97"/>
    <cellStyle name="Normal 50 2" xfId="98"/>
    <cellStyle name="Normal 6" xfId="99"/>
    <cellStyle name="Normal 6 2" xfId="100"/>
    <cellStyle name="Normal 7" xfId="101"/>
    <cellStyle name="Normal 7 2" xfId="102"/>
    <cellStyle name="Normal 7 2 2" xfId="103"/>
    <cellStyle name="Normal 7 2 3" xfId="104"/>
    <cellStyle name="Normal 7 3" xfId="105"/>
    <cellStyle name="Normal 70 2" xfId="106"/>
    <cellStyle name="Normal 8" xfId="107"/>
    <cellStyle name="Normal 9" xfId="108"/>
    <cellStyle name="Normal_Inv" xfId="109"/>
    <cellStyle name="Normal_Sheet1" xfId="110"/>
    <cellStyle name="Purple Background" xfId="111"/>
    <cellStyle name="S10" xfId="112"/>
    <cellStyle name="White Background" xfId="113"/>
    <cellStyle name="표준_Book3_0308-10항차" xfId="114"/>
    <cellStyle name="常规 11" xfId="115"/>
    <cellStyle name="常规 29" xfId="116"/>
    <cellStyle name="常规 9 2" xfId="117"/>
    <cellStyle name="常规_Sheet1" xfId="118"/>
    <cellStyle name="Normal 6 3" xfId="119"/>
    <cellStyle name="Normal 5 3 2 2 2" xfId="12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externalLink" Target="externalLinks/externalLink26.xml"/><Relationship Id="rId32" Type="http://schemas.openxmlformats.org/officeDocument/2006/relationships/externalLink" Target="externalLinks/externalLink25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6.xml"/><Relationship Id="rId22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5" Type="http://schemas.openxmlformats.org/officeDocument/2006/relationships/externalLink" Target="externalLinks/externalLink8.xml"/><Relationship Id="rId14" Type="http://schemas.openxmlformats.org/officeDocument/2006/relationships/externalLink" Target="externalLinks/externalLink7.xml"/><Relationship Id="rId13" Type="http://schemas.openxmlformats.org/officeDocument/2006/relationships/externalLink" Target="externalLinks/externalLink6.xml"/><Relationship Id="rId12" Type="http://schemas.openxmlformats.org/officeDocument/2006/relationships/externalLink" Target="externalLinks/externalLink5.xml"/><Relationship Id="rId11" Type="http://schemas.openxmlformats.org/officeDocument/2006/relationships/externalLink" Target="externalLinks/externalLink4.xml"/><Relationship Id="rId10" Type="http://schemas.openxmlformats.org/officeDocument/2006/relationships/externalLink" Target="externalLinks/externalLink3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52917</xdr:rowOff>
    </xdr:from>
    <xdr:to>
      <xdr:col>2</xdr:col>
      <xdr:colOff>836083</xdr:colOff>
      <xdr:row>2</xdr:row>
      <xdr:rowOff>42334</xdr:rowOff>
    </xdr:to>
    <xdr:sp>
      <xdr:nvSpPr>
        <xdr:cNvPr id="2" name="TextBox 1"/>
        <xdr:cNvSpPr txBox="1"/>
      </xdr:nvSpPr>
      <xdr:spPr>
        <a:xfrm>
          <a:off x="0" y="52705"/>
          <a:ext cx="2761615" cy="4464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vi-VN" sz="1100" b="1">
              <a:solidFill>
                <a:sysClr val="windowText" lastClr="000000"/>
              </a:solidFill>
              <a:latin typeface="+mj-lt"/>
            </a:rPr>
            <a:t>CÔNG</a:t>
          </a:r>
          <a:r>
            <a:rPr lang="vi-VN" sz="1100" b="1" baseline="0">
              <a:solidFill>
                <a:sysClr val="windowText" lastClr="000000"/>
              </a:solidFill>
              <a:latin typeface="+mj-lt"/>
            </a:rPr>
            <a:t> TY TNHH ADVANCE KNITTING VIỆT NAM</a:t>
          </a:r>
          <a:endParaRPr lang="en-US" sz="1100" b="1">
            <a:solidFill>
              <a:sysClr val="windowText" lastClr="000000"/>
            </a:solidFill>
            <a:latin typeface="+mj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nhung\Desktop\Xu&#7845;t-Nh&#7853;p-T&#7891;n%20BAO%20B&#204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SERVER\PROJECT\WINDOWS\TEMP\IBASE2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Library\Containers\com.microsoft.Outlook\Data\tmp\Outlook%20Temp\A:\CS3408\Standard\RPT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D8681F26\IM-25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Eastop\PI\TPI-BT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laxtrading\molax&#50689;&#50629;\BK%20RYU%20ORDER%20&#51652;&#54665;&#44148;\CLUB%20MONACO\#%20006000198%20(ZINFANDEL%20TOP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NHẬP KHO"/>
      <sheetName val="XUẤT KHO"/>
      <sheetName val="DANH MỤC SP"/>
      <sheetName val="NHÂT KÝ KHO "/>
      <sheetName val="NHÂT KÝ KHO  (2)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r"/>
      <sheetName val="Header"/>
      <sheetName val="Temp"/>
      <sheetName val="Welcome"/>
      <sheetName val="Data"/>
      <sheetName val="PI-1"/>
      <sheetName val="PI-2"/>
      <sheetName val="PI-3"/>
      <sheetName val="PI-4"/>
      <sheetName val="PI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WORK SHEET"/>
      <sheetName val="MTRL LIST"/>
      <sheetName val="COST"/>
      <sheetName val="이수  "/>
      <sheetName val="제일트림스"/>
      <sheetName val="ITL"/>
      <sheetName val="효진"/>
      <sheetName val="이스트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tel:(+84)-723-643-733;       (+84)-723-643-734                                         FAX: (+84)-723-643-735" TargetMode="External"/><Relationship Id="rId1" Type="http://schemas.openxmlformats.org/officeDocument/2006/relationships/hyperlink" Target="tel:(+84)-723-643-733;       (+84)-723-643-734                                 FAX: (+84)-723-643-735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FAX: (+84)-723-643-73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tel:(+84)-723-643-733;       (+84)-723-643-734                                         FAX: (+84)-723-643-73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N61"/>
  <sheetViews>
    <sheetView zoomScale="63" zoomScaleNormal="63" topLeftCell="A35" workbookViewId="0">
      <selection activeCell="F39" sqref="F39"/>
    </sheetView>
  </sheetViews>
  <sheetFormatPr defaultColWidth="9.13636363636364" defaultRowHeight="14"/>
  <cols>
    <col min="1" max="1" width="8.42727272727273" style="232" customWidth="1"/>
    <col min="2" max="2" width="34.5727272727273" style="232" customWidth="1"/>
    <col min="3" max="3" width="54" style="92" customWidth="1"/>
    <col min="4" max="4" width="17.1363636363636" style="92" customWidth="1"/>
    <col min="5" max="5" width="34" style="92" customWidth="1"/>
    <col min="6" max="6" width="16.8545454545455" style="92" customWidth="1"/>
    <col min="7" max="7" width="19" style="233" customWidth="1"/>
    <col min="8" max="8" width="56.7090909090909" style="233" customWidth="1"/>
    <col min="9" max="9" width="17.5727272727273" style="92" customWidth="1"/>
    <col min="10" max="10" width="24.2909090909091" style="232" customWidth="1"/>
    <col min="11" max="13" width="20.1363636363636" style="92" customWidth="1"/>
    <col min="14" max="14" width="21.1363636363636" style="232" customWidth="1"/>
    <col min="15" max="16384" width="9.13636363636364" style="416"/>
  </cols>
  <sheetData>
    <row r="1" ht="24" customHeight="1" spans="1:14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417"/>
      <c r="N1" s="418"/>
    </row>
    <row r="2" ht="25.5" customHeight="1" spans="1:14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419"/>
      <c r="N2" s="420"/>
    </row>
    <row r="3" ht="24" customHeight="1" spans="1:14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421"/>
      <c r="N3" s="420"/>
    </row>
    <row r="4" ht="15" customHeight="1" spans="1:14">
      <c r="A4" s="422" t="s">
        <v>3</v>
      </c>
      <c r="B4" s="423"/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4"/>
      <c r="N4" s="425"/>
    </row>
    <row r="5" ht="15" customHeight="1" spans="1:14">
      <c r="A5" s="426"/>
      <c r="B5" s="427"/>
      <c r="C5" s="427"/>
      <c r="D5" s="427"/>
      <c r="E5" s="427"/>
      <c r="F5" s="427"/>
      <c r="G5" s="427"/>
      <c r="H5" s="427"/>
      <c r="I5" s="427"/>
      <c r="J5" s="427"/>
      <c r="K5" s="427"/>
      <c r="L5" s="427"/>
      <c r="M5" s="428"/>
      <c r="N5" s="425"/>
    </row>
    <row r="6" ht="15.5" spans="1:14">
      <c r="A6" s="567" t="s">
        <v>4</v>
      </c>
      <c r="B6" s="430"/>
      <c r="C6" s="431"/>
      <c r="D6" s="431"/>
      <c r="E6" s="431"/>
      <c r="F6" s="238"/>
      <c r="G6" s="432"/>
      <c r="H6" s="432"/>
      <c r="I6" s="238"/>
      <c r="J6" s="433" t="s">
        <v>5</v>
      </c>
      <c r="K6" s="434"/>
      <c r="L6" s="435"/>
      <c r="M6" s="436"/>
      <c r="N6" s="240"/>
    </row>
    <row r="7" ht="15.5" spans="1:14">
      <c r="A7" s="568" t="s">
        <v>6</v>
      </c>
      <c r="B7" s="438"/>
      <c r="C7" s="431"/>
      <c r="D7" s="431"/>
      <c r="E7" s="431"/>
      <c r="F7" s="238"/>
      <c r="G7" s="432"/>
      <c r="H7" s="432"/>
      <c r="I7" s="238"/>
      <c r="J7" s="439" t="s">
        <v>7</v>
      </c>
      <c r="K7" s="440"/>
      <c r="L7" s="441">
        <v>46174</v>
      </c>
      <c r="M7" s="442"/>
      <c r="N7" s="240"/>
    </row>
    <row r="8" ht="25.5" customHeight="1" spans="1:14">
      <c r="A8" s="569" t="s">
        <v>1</v>
      </c>
      <c r="B8" s="444"/>
      <c r="C8" s="444"/>
      <c r="D8" s="444"/>
      <c r="E8" s="444"/>
      <c r="F8" s="444"/>
      <c r="G8" s="445"/>
      <c r="H8" s="445"/>
      <c r="I8" s="446"/>
      <c r="J8" s="447" t="s">
        <v>8</v>
      </c>
      <c r="K8" s="236"/>
      <c r="L8" s="236"/>
      <c r="M8" s="448"/>
      <c r="N8" s="240"/>
    </row>
    <row r="9" ht="15.5" spans="1:14">
      <c r="A9" s="570" t="s">
        <v>2</v>
      </c>
      <c r="B9" s="450"/>
      <c r="C9" s="236"/>
      <c r="D9" s="236"/>
      <c r="E9" s="236"/>
      <c r="F9" s="238"/>
      <c r="G9" s="432"/>
      <c r="H9" s="432"/>
      <c r="I9" s="238"/>
      <c r="J9" s="451" t="str">
        <f>J7</f>
        <v>AK/GDI-20260013</v>
      </c>
      <c r="K9" s="452"/>
      <c r="L9" s="453">
        <f>L7</f>
        <v>46174</v>
      </c>
      <c r="M9" s="454"/>
      <c r="N9" s="240"/>
    </row>
    <row r="10" ht="15.5" spans="1:14">
      <c r="A10" s="571" t="s">
        <v>9</v>
      </c>
      <c r="B10" s="456"/>
      <c r="C10" s="457"/>
      <c r="D10" s="457"/>
      <c r="E10" s="457"/>
      <c r="F10" s="457"/>
      <c r="G10" s="458"/>
      <c r="H10" s="458"/>
      <c r="I10" s="459"/>
      <c r="J10" s="451"/>
      <c r="K10" s="236"/>
      <c r="L10" s="236"/>
      <c r="M10" s="448"/>
      <c r="N10" s="240"/>
    </row>
    <row r="11" ht="18.75" customHeight="1" spans="1:14">
      <c r="A11" s="572" t="s">
        <v>10</v>
      </c>
      <c r="B11" s="461"/>
      <c r="C11" s="461"/>
      <c r="D11" s="461"/>
      <c r="E11" s="461"/>
      <c r="F11" s="236"/>
      <c r="G11" s="237"/>
      <c r="H11" s="237"/>
      <c r="I11" s="238"/>
      <c r="J11" s="239" t="s">
        <v>11</v>
      </c>
      <c r="K11" s="236"/>
      <c r="L11" s="236"/>
      <c r="M11" s="448"/>
      <c r="N11" s="240"/>
    </row>
    <row r="12" ht="15.75" customHeight="1" spans="1:14">
      <c r="A12" s="573" t="s">
        <v>12</v>
      </c>
      <c r="B12" s="463"/>
      <c r="C12" s="463"/>
      <c r="D12" s="463"/>
      <c r="E12" s="463"/>
      <c r="F12" s="463"/>
      <c r="G12" s="463"/>
      <c r="H12" s="463"/>
      <c r="I12" s="464"/>
      <c r="J12" s="465" t="s">
        <v>13</v>
      </c>
      <c r="K12" s="466"/>
      <c r="L12" s="467">
        <v>46163</v>
      </c>
      <c r="M12" s="468"/>
      <c r="N12" s="240"/>
    </row>
    <row r="13" ht="15.5" spans="1:14">
      <c r="A13" s="574" t="s">
        <v>14</v>
      </c>
      <c r="B13" s="469"/>
      <c r="C13" s="469"/>
      <c r="D13" s="469"/>
      <c r="E13" s="469"/>
      <c r="F13" s="469"/>
      <c r="G13" s="470"/>
      <c r="H13" s="470"/>
      <c r="I13" s="471"/>
      <c r="J13" s="472"/>
      <c r="K13" s="473"/>
      <c r="L13" s="474"/>
      <c r="M13" s="475"/>
      <c r="N13" s="240"/>
    </row>
    <row r="14" ht="15.5" spans="1:14">
      <c r="A14" s="574"/>
      <c r="B14" s="469"/>
      <c r="C14" s="476"/>
      <c r="D14" s="469"/>
      <c r="E14" s="469"/>
      <c r="F14" s="469"/>
      <c r="G14" s="470"/>
      <c r="H14" s="470"/>
      <c r="I14" s="471"/>
      <c r="J14" s="477"/>
      <c r="K14" s="466"/>
      <c r="L14" s="467"/>
      <c r="M14" s="468"/>
      <c r="N14" s="240"/>
    </row>
    <row r="15" ht="15.5" spans="1:14">
      <c r="A15" s="574"/>
      <c r="B15" s="469"/>
      <c r="C15" s="469"/>
      <c r="D15" s="469"/>
      <c r="E15" s="469"/>
      <c r="F15" s="469"/>
      <c r="G15" s="470"/>
      <c r="H15" s="470"/>
      <c r="I15" s="471"/>
      <c r="J15" s="240"/>
      <c r="K15" s="238"/>
      <c r="L15" s="238"/>
      <c r="M15" s="478"/>
      <c r="N15" s="240"/>
    </row>
    <row r="16" ht="15.5" spans="1:14">
      <c r="A16" s="575" t="s">
        <v>15</v>
      </c>
      <c r="B16" s="480"/>
      <c r="C16" s="481"/>
      <c r="D16" s="481"/>
      <c r="E16" s="481"/>
      <c r="F16" s="481"/>
      <c r="G16" s="482"/>
      <c r="H16" s="482"/>
      <c r="I16" s="483"/>
      <c r="J16" s="484"/>
      <c r="K16" s="238"/>
      <c r="L16" s="238"/>
      <c r="M16" s="478"/>
      <c r="N16" s="240"/>
    </row>
    <row r="17" ht="15.5" spans="1:14">
      <c r="A17" s="576" t="s">
        <v>16</v>
      </c>
      <c r="B17" s="486"/>
      <c r="C17" s="486"/>
      <c r="D17" s="486"/>
      <c r="E17" s="486"/>
      <c r="F17" s="486"/>
      <c r="G17" s="486"/>
      <c r="H17" s="486"/>
      <c r="I17" s="471"/>
      <c r="K17" s="238"/>
      <c r="L17" s="343"/>
      <c r="M17" s="487"/>
      <c r="N17" s="488"/>
    </row>
    <row r="18" ht="15.5" spans="1:14">
      <c r="A18" s="577" t="s">
        <v>17</v>
      </c>
      <c r="B18" s="490"/>
      <c r="C18" s="491"/>
      <c r="D18" s="491"/>
      <c r="E18" s="491"/>
      <c r="F18" s="492"/>
      <c r="G18" s="493"/>
      <c r="H18" s="493"/>
      <c r="I18" s="494"/>
      <c r="L18" s="343"/>
      <c r="M18" s="487"/>
      <c r="N18" s="495"/>
    </row>
    <row r="19" ht="15.5" spans="1:14">
      <c r="A19" s="577" t="s">
        <v>18</v>
      </c>
      <c r="B19" s="490"/>
      <c r="C19" s="491"/>
      <c r="D19" s="491"/>
      <c r="E19" s="491"/>
      <c r="F19" s="492"/>
      <c r="G19" s="493"/>
      <c r="H19" s="493"/>
      <c r="I19" s="494"/>
      <c r="M19" s="496"/>
      <c r="N19" s="497"/>
    </row>
    <row r="20" ht="15.75" customHeight="1" spans="1:14">
      <c r="A20" s="578" t="s">
        <v>19</v>
      </c>
      <c r="B20" s="499"/>
      <c r="C20" s="499"/>
      <c r="D20" s="499"/>
      <c r="E20" s="499"/>
      <c r="F20" s="492"/>
      <c r="G20" s="493"/>
      <c r="H20" s="493"/>
      <c r="I20" s="494"/>
      <c r="J20" s="240"/>
      <c r="K20" s="238"/>
      <c r="L20" s="343"/>
      <c r="M20" s="487"/>
      <c r="N20" s="497"/>
    </row>
    <row r="21" ht="15.75" customHeight="1" spans="1:14">
      <c r="A21" s="578" t="s">
        <v>20</v>
      </c>
      <c r="B21" s="499"/>
      <c r="C21" s="499"/>
      <c r="D21" s="499"/>
      <c r="E21" s="499"/>
      <c r="F21" s="492"/>
      <c r="G21" s="493"/>
      <c r="H21" s="493"/>
      <c r="I21" s="494"/>
      <c r="J21" s="240"/>
      <c r="K21" s="238"/>
      <c r="L21" s="343"/>
      <c r="M21" s="487"/>
      <c r="N21" s="497"/>
    </row>
    <row r="22" ht="39" customHeight="1" spans="1:14">
      <c r="A22" s="579" t="s">
        <v>21</v>
      </c>
      <c r="B22" s="500"/>
      <c r="C22" s="500"/>
      <c r="D22" s="500"/>
      <c r="E22" s="500"/>
      <c r="F22" s="492"/>
      <c r="G22" s="493"/>
      <c r="H22" s="493"/>
      <c r="I22" s="494"/>
      <c r="J22" s="240"/>
      <c r="K22" s="238"/>
      <c r="L22" s="343"/>
      <c r="M22" s="487"/>
      <c r="N22" s="497"/>
    </row>
    <row r="23" ht="15.75" customHeight="1" spans="1:14">
      <c r="A23" s="578"/>
      <c r="B23" s="499"/>
      <c r="C23" s="499"/>
      <c r="D23" s="499"/>
      <c r="E23" s="499"/>
      <c r="F23" s="492"/>
      <c r="G23" s="493"/>
      <c r="H23" s="493"/>
      <c r="I23" s="494"/>
      <c r="J23" s="240"/>
      <c r="K23" s="238"/>
      <c r="L23" s="343"/>
      <c r="M23" s="487"/>
      <c r="N23" s="497"/>
    </row>
    <row r="24" ht="15.75" customHeight="1" spans="1:14">
      <c r="A24" s="578"/>
      <c r="B24" s="499"/>
      <c r="C24" s="499"/>
      <c r="D24" s="499"/>
      <c r="E24" s="499"/>
      <c r="F24" s="492"/>
      <c r="G24" s="493"/>
      <c r="H24" s="493"/>
      <c r="I24" s="494"/>
      <c r="J24" s="240"/>
      <c r="K24" s="238"/>
      <c r="L24" s="343"/>
      <c r="M24" s="487"/>
      <c r="N24" s="497"/>
    </row>
    <row r="25" ht="15.75" customHeight="1" spans="1:14">
      <c r="A25" s="567" t="s">
        <v>22</v>
      </c>
      <c r="B25" s="430"/>
      <c r="C25" s="431"/>
      <c r="D25" s="431"/>
      <c r="E25" s="501" t="s">
        <v>23</v>
      </c>
      <c r="F25" s="236"/>
      <c r="G25" s="237"/>
      <c r="H25" s="237"/>
      <c r="I25" s="471"/>
      <c r="J25" s="430" t="s">
        <v>24</v>
      </c>
      <c r="K25" s="236"/>
      <c r="L25" s="238" t="s">
        <v>25</v>
      </c>
      <c r="M25" s="478"/>
      <c r="N25" s="240"/>
    </row>
    <row r="26" ht="15.5" spans="1:14">
      <c r="A26" s="570" t="s">
        <v>26</v>
      </c>
      <c r="B26" s="450"/>
      <c r="C26" s="236"/>
      <c r="D26" s="236"/>
      <c r="E26" s="502" t="s">
        <v>27</v>
      </c>
      <c r="F26" s="238"/>
      <c r="G26" s="432"/>
      <c r="H26" s="432"/>
      <c r="I26" s="471"/>
      <c r="J26" s="430" t="s">
        <v>28</v>
      </c>
      <c r="K26" s="503"/>
      <c r="L26" s="503" t="s">
        <v>29</v>
      </c>
      <c r="M26" s="504"/>
      <c r="N26" s="240"/>
    </row>
    <row r="27" ht="15.5" spans="1:14">
      <c r="A27" s="570"/>
      <c r="B27" s="450"/>
      <c r="C27" s="236"/>
      <c r="D27" s="236"/>
      <c r="E27" s="502"/>
      <c r="F27" s="238"/>
      <c r="G27" s="432"/>
      <c r="H27" s="432"/>
      <c r="I27" s="505"/>
      <c r="J27" s="506" t="s">
        <v>30</v>
      </c>
      <c r="K27" s="236"/>
      <c r="L27" s="238"/>
      <c r="M27" s="478"/>
      <c r="N27" s="240"/>
    </row>
    <row r="28" ht="15.75" customHeight="1" spans="1:14">
      <c r="A28" s="580" t="s">
        <v>31</v>
      </c>
      <c r="B28" s="508"/>
      <c r="C28" s="509" t="s">
        <v>32</v>
      </c>
      <c r="D28" s="509"/>
      <c r="E28" s="509" t="s">
        <v>33</v>
      </c>
      <c r="F28" s="459"/>
      <c r="G28" s="510"/>
      <c r="H28" s="510"/>
      <c r="I28" s="459"/>
      <c r="J28" s="511"/>
      <c r="K28" s="236"/>
      <c r="L28" s="238"/>
      <c r="M28" s="478"/>
      <c r="N28" s="240"/>
    </row>
    <row r="29" ht="64.5" customHeight="1" spans="1:14">
      <c r="A29" s="570" t="s">
        <v>34</v>
      </c>
      <c r="B29" s="438"/>
      <c r="C29" s="512">
        <v>46180</v>
      </c>
      <c r="D29" s="513"/>
      <c r="E29" s="512">
        <v>46183</v>
      </c>
      <c r="F29" s="514"/>
      <c r="G29" s="515"/>
      <c r="H29" s="515"/>
      <c r="I29" s="514"/>
      <c r="J29" s="516" t="s">
        <v>35</v>
      </c>
      <c r="K29" s="514" t="s">
        <v>36</v>
      </c>
      <c r="L29" s="517"/>
      <c r="M29" s="518"/>
      <c r="N29" s="517"/>
    </row>
    <row r="30" ht="17.25" spans="1:14">
      <c r="A30" s="519"/>
      <c r="B30" s="520"/>
      <c r="C30" s="521" t="s">
        <v>37</v>
      </c>
      <c r="D30" s="522"/>
      <c r="E30" s="523"/>
      <c r="F30" s="524"/>
      <c r="G30" s="525"/>
      <c r="H30" s="525"/>
      <c r="I30" s="265"/>
      <c r="J30" s="266"/>
      <c r="K30" s="265"/>
      <c r="L30" s="265"/>
      <c r="M30" s="526"/>
      <c r="N30" s="266"/>
    </row>
    <row r="31" s="411" customFormat="1" ht="55.5" customHeight="1" spans="1:14">
      <c r="A31" s="527" t="s">
        <v>38</v>
      </c>
      <c r="B31" s="528" t="s">
        <v>39</v>
      </c>
      <c r="C31" s="529" t="s">
        <v>40</v>
      </c>
      <c r="D31" s="528" t="s">
        <v>41</v>
      </c>
      <c r="E31" s="528" t="s">
        <v>42</v>
      </c>
      <c r="F31" s="528" t="s">
        <v>43</v>
      </c>
      <c r="G31" s="528"/>
      <c r="H31" s="528" t="s">
        <v>44</v>
      </c>
      <c r="I31" s="528" t="s">
        <v>45</v>
      </c>
      <c r="J31" s="528" t="s">
        <v>46</v>
      </c>
      <c r="K31" s="528" t="s">
        <v>47</v>
      </c>
      <c r="L31" s="530" t="s">
        <v>48</v>
      </c>
      <c r="M31" s="531" t="s">
        <v>49</v>
      </c>
      <c r="N31" s="532"/>
    </row>
    <row r="32" s="412" customFormat="1" ht="35.25" customHeight="1" spans="1:14">
      <c r="A32" s="533">
        <v>1</v>
      </c>
      <c r="B32" s="534" t="s">
        <v>50</v>
      </c>
      <c r="C32" s="535" t="s">
        <v>51</v>
      </c>
      <c r="D32" s="534">
        <v>1051120</v>
      </c>
      <c r="E32" s="534" t="s">
        <v>52</v>
      </c>
      <c r="F32" s="534" t="s">
        <v>53</v>
      </c>
      <c r="G32" s="534" t="s">
        <v>54</v>
      </c>
      <c r="H32" s="534" t="s">
        <v>55</v>
      </c>
      <c r="I32" s="534">
        <v>1003</v>
      </c>
      <c r="J32" s="534" t="s">
        <v>56</v>
      </c>
      <c r="K32" s="534">
        <f>L32-1.35</f>
        <v>20.55</v>
      </c>
      <c r="L32" s="534">
        <v>21.9</v>
      </c>
      <c r="M32" s="536">
        <v>0.11</v>
      </c>
    </row>
    <row r="33" s="412" customFormat="1" ht="35.25" customHeight="1" spans="1:13">
      <c r="A33" s="533">
        <v>2</v>
      </c>
      <c r="B33" s="534" t="s">
        <v>50</v>
      </c>
      <c r="C33" s="535" t="s">
        <v>51</v>
      </c>
      <c r="D33" s="534">
        <v>1051120</v>
      </c>
      <c r="E33" s="534" t="s">
        <v>52</v>
      </c>
      <c r="F33" s="534" t="s">
        <v>57</v>
      </c>
      <c r="G33" s="534" t="s">
        <v>58</v>
      </c>
      <c r="H33" s="534" t="s">
        <v>55</v>
      </c>
      <c r="I33" s="534">
        <v>1266</v>
      </c>
      <c r="J33" s="534" t="s">
        <v>56</v>
      </c>
      <c r="K33" s="534">
        <f>L33-1.35</f>
        <v>26.85</v>
      </c>
      <c r="L33" s="534">
        <v>28.2</v>
      </c>
      <c r="M33" s="536">
        <v>0.11</v>
      </c>
    </row>
    <row r="34" s="412" customFormat="1" ht="35.25" customHeight="1" spans="1:13">
      <c r="A34" s="533">
        <v>3</v>
      </c>
      <c r="B34" s="534" t="s">
        <v>50</v>
      </c>
      <c r="C34" s="535" t="s">
        <v>51</v>
      </c>
      <c r="D34" s="534">
        <v>1051120</v>
      </c>
      <c r="E34" s="534" t="s">
        <v>52</v>
      </c>
      <c r="F34" s="534" t="s">
        <v>59</v>
      </c>
      <c r="G34" s="534" t="s">
        <v>60</v>
      </c>
      <c r="H34" s="534" t="s">
        <v>55</v>
      </c>
      <c r="I34" s="534">
        <v>1000</v>
      </c>
      <c r="J34" s="534" t="s">
        <v>56</v>
      </c>
      <c r="K34" s="534">
        <f>L34-1.35</f>
        <v>23.8</v>
      </c>
      <c r="L34" s="534">
        <v>25.15</v>
      </c>
      <c r="M34" s="536">
        <v>0.11</v>
      </c>
    </row>
    <row r="35" s="412" customFormat="1" ht="35.25" customHeight="1" spans="1:13">
      <c r="A35" s="533">
        <v>4</v>
      </c>
      <c r="B35" s="534" t="s">
        <v>50</v>
      </c>
      <c r="C35" s="535" t="s">
        <v>51</v>
      </c>
      <c r="D35" s="534">
        <v>1051120</v>
      </c>
      <c r="E35" s="534" t="s">
        <v>52</v>
      </c>
      <c r="F35" s="534" t="s">
        <v>59</v>
      </c>
      <c r="G35" s="534" t="s">
        <v>60</v>
      </c>
      <c r="H35" s="534" t="s">
        <v>55</v>
      </c>
      <c r="I35" s="534">
        <f>525+31</f>
        <v>556</v>
      </c>
      <c r="J35" s="534" t="s">
        <v>56</v>
      </c>
      <c r="K35" s="534">
        <f>L35-1.35</f>
        <v>29.3</v>
      </c>
      <c r="L35" s="534">
        <v>30.65</v>
      </c>
      <c r="M35" s="536">
        <v>0.11</v>
      </c>
    </row>
    <row r="36" s="412" customFormat="1" ht="35.25" customHeight="1" spans="1:13">
      <c r="A36" s="533"/>
      <c r="B36" s="534" t="s">
        <v>50</v>
      </c>
      <c r="C36" s="535" t="s">
        <v>51</v>
      </c>
      <c r="D36" s="534">
        <v>1051120</v>
      </c>
      <c r="E36" s="534" t="s">
        <v>52</v>
      </c>
      <c r="F36" s="534" t="s">
        <v>61</v>
      </c>
      <c r="G36" s="534" t="s">
        <v>62</v>
      </c>
      <c r="H36" s="534" t="s">
        <v>55</v>
      </c>
      <c r="I36" s="534">
        <f>596+52</f>
        <v>648</v>
      </c>
      <c r="J36" s="534" t="s">
        <v>56</v>
      </c>
      <c r="K36" s="534"/>
      <c r="L36" s="534"/>
      <c r="M36" s="536"/>
    </row>
    <row r="37" s="412" customFormat="1" ht="35.25" customHeight="1" spans="1:13">
      <c r="A37" s="533">
        <v>5</v>
      </c>
      <c r="B37" s="534" t="s">
        <v>50</v>
      </c>
      <c r="C37" s="535" t="s">
        <v>51</v>
      </c>
      <c r="D37" s="534">
        <v>1051120</v>
      </c>
      <c r="E37" s="534" t="s">
        <v>52</v>
      </c>
      <c r="F37" s="534" t="s">
        <v>61</v>
      </c>
      <c r="G37" s="534" t="s">
        <v>62</v>
      </c>
      <c r="H37" s="534" t="s">
        <v>55</v>
      </c>
      <c r="I37" s="534">
        <v>1200</v>
      </c>
      <c r="J37" s="534" t="s">
        <v>56</v>
      </c>
      <c r="K37" s="534">
        <f>L37-1.35</f>
        <v>29.85</v>
      </c>
      <c r="L37" s="534">
        <v>31.2</v>
      </c>
      <c r="M37" s="536">
        <v>0.11</v>
      </c>
    </row>
    <row r="38" s="412" customFormat="1" ht="35.25" customHeight="1" spans="1:13">
      <c r="A38" s="533">
        <v>6</v>
      </c>
      <c r="B38" s="534" t="s">
        <v>50</v>
      </c>
      <c r="C38" s="535" t="s">
        <v>51</v>
      </c>
      <c r="D38" s="534">
        <v>1051120</v>
      </c>
      <c r="E38" s="534" t="s">
        <v>52</v>
      </c>
      <c r="F38" s="534" t="s">
        <v>61</v>
      </c>
      <c r="G38" s="534" t="s">
        <v>62</v>
      </c>
      <c r="H38" s="534" t="s">
        <v>55</v>
      </c>
      <c r="I38" s="534">
        <v>800</v>
      </c>
      <c r="J38" s="534" t="s">
        <v>56</v>
      </c>
      <c r="K38" s="534">
        <f>L38-1.35</f>
        <v>31.2</v>
      </c>
      <c r="L38" s="534">
        <v>32.55</v>
      </c>
      <c r="M38" s="536">
        <v>0.11</v>
      </c>
    </row>
    <row r="39" s="412" customFormat="1" ht="35.25" customHeight="1" spans="1:13">
      <c r="A39" s="533"/>
      <c r="B39" s="534" t="s">
        <v>50</v>
      </c>
      <c r="C39" s="535" t="s">
        <v>51</v>
      </c>
      <c r="D39" s="534">
        <v>1051120</v>
      </c>
      <c r="E39" s="534" t="s">
        <v>52</v>
      </c>
      <c r="F39" s="534" t="s">
        <v>63</v>
      </c>
      <c r="G39" s="534" t="s">
        <v>64</v>
      </c>
      <c r="H39" s="534" t="s">
        <v>55</v>
      </c>
      <c r="I39" s="534">
        <f>406+8</f>
        <v>414</v>
      </c>
      <c r="J39" s="534" t="s">
        <v>56</v>
      </c>
      <c r="K39" s="534"/>
      <c r="L39" s="534"/>
      <c r="M39" s="536"/>
    </row>
    <row r="40" s="412" customFormat="1" ht="35.25" customHeight="1" spans="1:13">
      <c r="A40" s="533">
        <v>7</v>
      </c>
      <c r="B40" s="534" t="s">
        <v>50</v>
      </c>
      <c r="C40" s="535" t="s">
        <v>51</v>
      </c>
      <c r="D40" s="534">
        <v>1051120</v>
      </c>
      <c r="E40" s="534" t="s">
        <v>52</v>
      </c>
      <c r="F40" s="534" t="s">
        <v>65</v>
      </c>
      <c r="G40" s="534" t="s">
        <v>66</v>
      </c>
      <c r="H40" s="534" t="s">
        <v>55</v>
      </c>
      <c r="I40" s="534">
        <v>1200</v>
      </c>
      <c r="J40" s="534" t="s">
        <v>56</v>
      </c>
      <c r="K40" s="534">
        <f>L40-1.35</f>
        <v>31.9</v>
      </c>
      <c r="L40" s="534">
        <v>33.25</v>
      </c>
      <c r="M40" s="536">
        <v>0.11</v>
      </c>
    </row>
    <row r="41" s="412" customFormat="1" ht="35.25" customHeight="1" spans="1:13">
      <c r="A41" s="533">
        <v>8</v>
      </c>
      <c r="B41" s="534" t="s">
        <v>50</v>
      </c>
      <c r="C41" s="535" t="s">
        <v>51</v>
      </c>
      <c r="D41" s="534">
        <v>1051120</v>
      </c>
      <c r="E41" s="534" t="s">
        <v>52</v>
      </c>
      <c r="F41" s="534" t="s">
        <v>65</v>
      </c>
      <c r="G41" s="534" t="s">
        <v>66</v>
      </c>
      <c r="H41" s="534" t="s">
        <v>55</v>
      </c>
      <c r="I41" s="534">
        <f>476+34</f>
        <v>510</v>
      </c>
      <c r="J41" s="534" t="s">
        <v>56</v>
      </c>
      <c r="K41" s="534">
        <f>L41-1.35</f>
        <v>30.95</v>
      </c>
      <c r="L41" s="534">
        <v>32.3</v>
      </c>
      <c r="M41" s="536">
        <v>0.11</v>
      </c>
    </row>
    <row r="42" s="412" customFormat="1" ht="35.25" customHeight="1" spans="1:13">
      <c r="A42" s="533"/>
      <c r="B42" s="534" t="s">
        <v>50</v>
      </c>
      <c r="C42" s="535" t="s">
        <v>51</v>
      </c>
      <c r="D42" s="534">
        <v>1051120</v>
      </c>
      <c r="E42" s="534" t="s">
        <v>52</v>
      </c>
      <c r="F42" s="534" t="s">
        <v>67</v>
      </c>
      <c r="G42" s="534" t="s">
        <v>68</v>
      </c>
      <c r="H42" s="534" t="s">
        <v>55</v>
      </c>
      <c r="I42" s="534">
        <f>595+12</f>
        <v>607</v>
      </c>
      <c r="J42" s="534" t="s">
        <v>56</v>
      </c>
      <c r="K42" s="534"/>
      <c r="L42" s="534"/>
      <c r="M42" s="536"/>
    </row>
    <row r="43" s="412" customFormat="1" ht="35.25" customHeight="1" spans="1:13">
      <c r="A43" s="533">
        <v>9</v>
      </c>
      <c r="B43" s="534" t="s">
        <v>50</v>
      </c>
      <c r="C43" s="535" t="s">
        <v>51</v>
      </c>
      <c r="D43" s="534">
        <v>1051120</v>
      </c>
      <c r="E43" s="534" t="s">
        <v>52</v>
      </c>
      <c r="F43" s="534" t="s">
        <v>69</v>
      </c>
      <c r="G43" s="534" t="s">
        <v>70</v>
      </c>
      <c r="H43" s="534" t="s">
        <v>55</v>
      </c>
      <c r="I43" s="534">
        <f>860+17</f>
        <v>877</v>
      </c>
      <c r="J43" s="534" t="s">
        <v>56</v>
      </c>
      <c r="K43" s="534">
        <f>L43-1.35</f>
        <v>30.1</v>
      </c>
      <c r="L43" s="534">
        <v>31.45</v>
      </c>
      <c r="M43" s="536">
        <v>0.11</v>
      </c>
    </row>
    <row r="44" s="412" customFormat="1" ht="35.25" customHeight="1" spans="1:13">
      <c r="A44" s="533"/>
      <c r="B44" s="534" t="s">
        <v>50</v>
      </c>
      <c r="C44" s="535" t="s">
        <v>51</v>
      </c>
      <c r="D44" s="534">
        <v>1051120</v>
      </c>
      <c r="E44" s="534" t="s">
        <v>52</v>
      </c>
      <c r="F44" s="534" t="s">
        <v>71</v>
      </c>
      <c r="G44" s="534" t="s">
        <v>72</v>
      </c>
      <c r="H44" s="534" t="s">
        <v>55</v>
      </c>
      <c r="I44" s="534">
        <f>198+4</f>
        <v>202</v>
      </c>
      <c r="J44" s="534" t="s">
        <v>56</v>
      </c>
      <c r="K44" s="534"/>
      <c r="L44" s="534"/>
      <c r="M44" s="536"/>
    </row>
    <row r="45" s="412" customFormat="1" ht="35.25" customHeight="1" spans="1:13">
      <c r="A45" s="533">
        <v>10</v>
      </c>
      <c r="B45" s="534" t="s">
        <v>50</v>
      </c>
      <c r="C45" s="535" t="s">
        <v>51</v>
      </c>
      <c r="D45" s="534">
        <v>1051120</v>
      </c>
      <c r="E45" s="534" t="s">
        <v>73</v>
      </c>
      <c r="F45" s="534" t="s">
        <v>53</v>
      </c>
      <c r="G45" s="534" t="s">
        <v>54</v>
      </c>
      <c r="H45" s="534" t="s">
        <v>55</v>
      </c>
      <c r="I45" s="534">
        <f>832+17</f>
        <v>849</v>
      </c>
      <c r="J45" s="534" t="s">
        <v>56</v>
      </c>
      <c r="K45" s="534">
        <f>L45-1.35</f>
        <v>23.5</v>
      </c>
      <c r="L45" s="534">
        <v>24.85</v>
      </c>
      <c r="M45" s="536">
        <v>0.11</v>
      </c>
    </row>
    <row r="46" s="412" customFormat="1" ht="35.25" customHeight="1" spans="1:13">
      <c r="A46" s="533"/>
      <c r="B46" s="534" t="s">
        <v>50</v>
      </c>
      <c r="C46" s="535" t="s">
        <v>51</v>
      </c>
      <c r="D46" s="534">
        <v>1051120</v>
      </c>
      <c r="E46" s="534" t="s">
        <v>73</v>
      </c>
      <c r="F46" s="534" t="s">
        <v>71</v>
      </c>
      <c r="G46" s="534" t="s">
        <v>72</v>
      </c>
      <c r="H46" s="534" t="s">
        <v>55</v>
      </c>
      <c r="I46" s="534">
        <f>208+4</f>
        <v>212</v>
      </c>
      <c r="J46" s="534" t="s">
        <v>56</v>
      </c>
      <c r="K46" s="534"/>
      <c r="L46" s="534"/>
      <c r="M46" s="536"/>
    </row>
    <row r="47" s="412" customFormat="1" ht="35.25" customHeight="1" spans="1:13">
      <c r="A47" s="533">
        <v>11</v>
      </c>
      <c r="B47" s="534" t="s">
        <v>50</v>
      </c>
      <c r="C47" s="535" t="s">
        <v>51</v>
      </c>
      <c r="D47" s="534">
        <v>1051120</v>
      </c>
      <c r="E47" s="534" t="s">
        <v>73</v>
      </c>
      <c r="F47" s="534" t="s">
        <v>57</v>
      </c>
      <c r="G47" s="534" t="s">
        <v>58</v>
      </c>
      <c r="H47" s="534" t="s">
        <v>55</v>
      </c>
      <c r="I47" s="534">
        <f>1336+27</f>
        <v>1363</v>
      </c>
      <c r="J47" s="534" t="s">
        <v>56</v>
      </c>
      <c r="K47" s="534">
        <f>L47-1.35</f>
        <v>29.4</v>
      </c>
      <c r="L47" s="534">
        <v>30.75</v>
      </c>
      <c r="M47" s="536">
        <v>0.11</v>
      </c>
    </row>
    <row r="48" s="412" customFormat="1" ht="35.25" customHeight="1" spans="1:13">
      <c r="A48" s="533">
        <v>12</v>
      </c>
      <c r="B48" s="534" t="s">
        <v>50</v>
      </c>
      <c r="C48" s="535" t="s">
        <v>51</v>
      </c>
      <c r="D48" s="534">
        <v>1051120</v>
      </c>
      <c r="E48" s="534" t="s">
        <v>73</v>
      </c>
      <c r="F48" s="534" t="s">
        <v>59</v>
      </c>
      <c r="G48" s="534" t="s">
        <v>60</v>
      </c>
      <c r="H48" s="534" t="s">
        <v>55</v>
      </c>
      <c r="I48" s="534">
        <v>1200</v>
      </c>
      <c r="J48" s="534" t="s">
        <v>56</v>
      </c>
      <c r="K48" s="534">
        <f>L48-1.35</f>
        <v>28.15</v>
      </c>
      <c r="L48" s="534">
        <v>29.5</v>
      </c>
      <c r="M48" s="536">
        <v>0.11</v>
      </c>
    </row>
    <row r="49" s="412" customFormat="1" ht="35.25" customHeight="1" spans="1:14">
      <c r="A49" s="533">
        <v>13</v>
      </c>
      <c r="B49" s="534" t="s">
        <v>50</v>
      </c>
      <c r="C49" s="535" t="s">
        <v>51</v>
      </c>
      <c r="D49" s="534">
        <v>1051120</v>
      </c>
      <c r="E49" s="534" t="s">
        <v>73</v>
      </c>
      <c r="F49" s="534" t="s">
        <v>59</v>
      </c>
      <c r="G49" s="534" t="s">
        <v>60</v>
      </c>
      <c r="H49" s="534" t="s">
        <v>55</v>
      </c>
      <c r="I49" s="534">
        <f>447+33</f>
        <v>480</v>
      </c>
      <c r="J49" s="534" t="s">
        <v>56</v>
      </c>
      <c r="K49" s="534">
        <f>L49-1.35</f>
        <v>30.7</v>
      </c>
      <c r="L49" s="534">
        <v>32.05</v>
      </c>
      <c r="M49" s="536">
        <v>0.11</v>
      </c>
    </row>
    <row r="50" s="412" customFormat="1" ht="35.25" customHeight="1" spans="1:14">
      <c r="A50" s="533"/>
      <c r="B50" s="534" t="s">
        <v>50</v>
      </c>
      <c r="C50" s="535" t="s">
        <v>51</v>
      </c>
      <c r="D50" s="534">
        <v>1051120</v>
      </c>
      <c r="E50" s="534" t="s">
        <v>73</v>
      </c>
      <c r="F50" s="534" t="s">
        <v>69</v>
      </c>
      <c r="G50" s="534" t="s">
        <v>70</v>
      </c>
      <c r="H50" s="534" t="s">
        <v>55</v>
      </c>
      <c r="I50" s="534">
        <f>671+13</f>
        <v>684</v>
      </c>
      <c r="J50" s="534" t="s">
        <v>56</v>
      </c>
      <c r="K50" s="534"/>
      <c r="L50" s="534"/>
      <c r="M50" s="536"/>
    </row>
    <row r="51" s="412" customFormat="1" ht="35.25" customHeight="1" spans="1:14">
      <c r="A51" s="533">
        <v>14</v>
      </c>
      <c r="B51" s="534" t="s">
        <v>50</v>
      </c>
      <c r="C51" s="535" t="s">
        <v>51</v>
      </c>
      <c r="D51" s="534">
        <v>1051120</v>
      </c>
      <c r="E51" s="534" t="s">
        <v>73</v>
      </c>
      <c r="F51" s="534" t="s">
        <v>61</v>
      </c>
      <c r="G51" s="534" t="s">
        <v>62</v>
      </c>
      <c r="H51" s="534" t="s">
        <v>55</v>
      </c>
      <c r="I51" s="534">
        <v>1000</v>
      </c>
      <c r="J51" s="534" t="s">
        <v>56</v>
      </c>
      <c r="K51" s="534">
        <f t="shared" ref="K51:K54" si="0">L51-1.35</f>
        <v>24.45</v>
      </c>
      <c r="L51" s="534">
        <v>25.8</v>
      </c>
      <c r="M51" s="536">
        <v>0.11</v>
      </c>
    </row>
    <row r="52" s="412" customFormat="1" ht="35.25" customHeight="1" spans="1:14">
      <c r="A52" s="533">
        <v>15</v>
      </c>
      <c r="B52" s="534" t="s">
        <v>50</v>
      </c>
      <c r="C52" s="535" t="s">
        <v>51</v>
      </c>
      <c r="D52" s="534">
        <v>1051120</v>
      </c>
      <c r="E52" s="534" t="s">
        <v>73</v>
      </c>
      <c r="F52" s="534" t="s">
        <v>61</v>
      </c>
      <c r="G52" s="534" t="s">
        <v>62</v>
      </c>
      <c r="H52" s="534" t="s">
        <v>55</v>
      </c>
      <c r="I52" s="534">
        <f>1111+42</f>
        <v>1153</v>
      </c>
      <c r="J52" s="534" t="s">
        <v>56</v>
      </c>
      <c r="K52" s="534">
        <f t="shared" si="0"/>
        <v>28.3</v>
      </c>
      <c r="L52" s="534">
        <v>29.65</v>
      </c>
      <c r="M52" s="536">
        <v>0.11</v>
      </c>
    </row>
    <row r="53" s="412" customFormat="1" ht="35.25" customHeight="1" spans="1:14">
      <c r="A53" s="533">
        <v>16</v>
      </c>
      <c r="B53" s="534" t="s">
        <v>50</v>
      </c>
      <c r="C53" s="535" t="s">
        <v>51</v>
      </c>
      <c r="D53" s="534">
        <v>1051120</v>
      </c>
      <c r="E53" s="534" t="s">
        <v>73</v>
      </c>
      <c r="F53" s="534" t="s">
        <v>65</v>
      </c>
      <c r="G53" s="534" t="s">
        <v>66</v>
      </c>
      <c r="H53" s="534" t="s">
        <v>55</v>
      </c>
      <c r="I53" s="534">
        <v>1100</v>
      </c>
      <c r="J53" s="534" t="s">
        <v>56</v>
      </c>
      <c r="K53" s="534">
        <f t="shared" si="0"/>
        <v>29.1</v>
      </c>
      <c r="L53" s="534">
        <v>30.45</v>
      </c>
      <c r="M53" s="536">
        <v>0.11</v>
      </c>
    </row>
    <row r="54" s="412" customFormat="1" ht="35.25" customHeight="1" spans="1:14">
      <c r="A54" s="533">
        <v>17</v>
      </c>
      <c r="B54" s="534" t="s">
        <v>50</v>
      </c>
      <c r="C54" s="535" t="s">
        <v>51</v>
      </c>
      <c r="D54" s="534">
        <v>1051120</v>
      </c>
      <c r="E54" s="534" t="s">
        <v>73</v>
      </c>
      <c r="F54" s="534" t="s">
        <v>65</v>
      </c>
      <c r="G54" s="534" t="s">
        <v>66</v>
      </c>
      <c r="H54" s="534" t="s">
        <v>55</v>
      </c>
      <c r="I54" s="534">
        <f>563+33</f>
        <v>596</v>
      </c>
      <c r="J54" s="534" t="s">
        <v>56</v>
      </c>
      <c r="K54" s="534">
        <f t="shared" si="0"/>
        <v>27.3</v>
      </c>
      <c r="L54" s="534">
        <v>28.65</v>
      </c>
      <c r="M54" s="536">
        <v>0.11</v>
      </c>
    </row>
    <row r="55" s="412" customFormat="1" ht="35.25" customHeight="1" spans="1:14">
      <c r="A55" s="533"/>
      <c r="B55" s="534" t="s">
        <v>50</v>
      </c>
      <c r="C55" s="535" t="s">
        <v>51</v>
      </c>
      <c r="D55" s="534">
        <v>1051120</v>
      </c>
      <c r="E55" s="534" t="s">
        <v>73</v>
      </c>
      <c r="F55" s="534" t="s">
        <v>63</v>
      </c>
      <c r="G55" s="534" t="s">
        <v>64</v>
      </c>
      <c r="H55" s="534" t="s">
        <v>55</v>
      </c>
      <c r="I55" s="534">
        <f>400+8</f>
        <v>408</v>
      </c>
      <c r="J55" s="534" t="s">
        <v>56</v>
      </c>
      <c r="K55" s="534"/>
      <c r="L55" s="534"/>
      <c r="M55" s="536"/>
    </row>
    <row r="56" s="412" customFormat="1" ht="35.25" customHeight="1" spans="1:14">
      <c r="A56" s="533">
        <v>18</v>
      </c>
      <c r="B56" s="534" t="s">
        <v>50</v>
      </c>
      <c r="C56" s="535" t="s">
        <v>51</v>
      </c>
      <c r="D56" s="534">
        <v>1051120</v>
      </c>
      <c r="E56" s="534" t="s">
        <v>73</v>
      </c>
      <c r="F56" s="534" t="s">
        <v>67</v>
      </c>
      <c r="G56" s="534" t="s">
        <v>68</v>
      </c>
      <c r="H56" s="534" t="s">
        <v>55</v>
      </c>
      <c r="I56" s="534">
        <v>560</v>
      </c>
      <c r="J56" s="534" t="s">
        <v>56</v>
      </c>
      <c r="K56" s="534">
        <f t="shared" ref="K56" si="1">L56-1.35</f>
        <v>16.45</v>
      </c>
      <c r="L56" s="534">
        <v>17.8</v>
      </c>
      <c r="M56" s="538">
        <f>65*49*20/1000000</f>
        <v>0.0637</v>
      </c>
    </row>
    <row r="57" s="413" customFormat="1" ht="63" customHeight="1" spans="1:14">
      <c r="A57" s="539" t="s">
        <v>74</v>
      </c>
      <c r="B57" s="540"/>
      <c r="C57" s="541"/>
      <c r="D57" s="542"/>
      <c r="E57" s="543">
        <f>COUNT(A32:A56)</f>
        <v>18</v>
      </c>
      <c r="F57" s="544"/>
      <c r="G57" s="544"/>
      <c r="H57" s="545"/>
      <c r="I57" s="546">
        <f>SUM(I32:I56)</f>
        <v>19888</v>
      </c>
      <c r="J57" s="547" t="s">
        <v>56</v>
      </c>
      <c r="K57" s="548">
        <f>SUM(K32:K56)</f>
        <v>491.85</v>
      </c>
      <c r="L57" s="548">
        <f>SUM(L32:L56)</f>
        <v>516.15</v>
      </c>
      <c r="M57" s="549">
        <f>SUM(M32:M56)</f>
        <v>1.9337</v>
      </c>
      <c r="N57" s="550"/>
    </row>
    <row r="58" s="411" customFormat="1" ht="27.75" customHeight="1" spans="1:14">
      <c r="A58" s="551" t="s">
        <v>75</v>
      </c>
      <c r="B58" s="551"/>
      <c r="C58" s="551"/>
      <c r="D58" s="552"/>
      <c r="E58" s="552"/>
      <c r="F58" s="552"/>
      <c r="G58" s="552"/>
      <c r="H58" s="552"/>
      <c r="I58" s="552"/>
      <c r="J58" s="552"/>
      <c r="K58" s="552"/>
      <c r="L58" s="553"/>
      <c r="M58" s="553"/>
      <c r="N58" s="553"/>
    </row>
    <row r="59" s="411" customFormat="1" ht="24.75" customHeight="1" spans="1:14">
      <c r="A59" s="554"/>
      <c r="B59" s="555"/>
      <c r="C59" s="555"/>
      <c r="D59" s="553"/>
      <c r="E59" s="556"/>
      <c r="F59" s="556"/>
      <c r="G59" s="556"/>
      <c r="H59" s="556"/>
      <c r="I59" s="557" t="s">
        <v>76</v>
      </c>
      <c r="J59" s="557"/>
      <c r="K59" s="557"/>
      <c r="L59" s="557"/>
      <c r="M59" s="557"/>
      <c r="N59" s="557"/>
    </row>
    <row r="60" s="411" customFormat="1" ht="24.75" customHeight="1" spans="1:14">
      <c r="A60" s="558"/>
      <c r="B60" s="559"/>
      <c r="C60" s="559"/>
      <c r="D60" s="559"/>
      <c r="E60" s="560"/>
      <c r="F60" s="560"/>
      <c r="G60" s="553"/>
      <c r="H60" s="561"/>
      <c r="I60" s="562" t="s">
        <v>77</v>
      </c>
      <c r="J60" s="562"/>
      <c r="K60" s="562"/>
      <c r="L60" s="562"/>
      <c r="M60" s="562"/>
      <c r="N60" s="562"/>
    </row>
    <row r="61" s="414" customFormat="1" spans="1:14">
      <c r="A61" s="564"/>
      <c r="B61" s="564"/>
      <c r="C61" s="565"/>
      <c r="D61" s="565"/>
      <c r="E61" s="565"/>
      <c r="F61" s="565"/>
      <c r="G61" s="566"/>
      <c r="H61" s="566"/>
      <c r="I61" s="565"/>
      <c r="J61" s="564"/>
      <c r="K61" s="565"/>
      <c r="L61" s="565"/>
      <c r="M61" s="565"/>
      <c r="N61" s="564"/>
    </row>
  </sheetData>
  <autoFilter xmlns:etc="http://www.wps.cn/officeDocument/2017/etCustomData" ref="A31:N61" etc:filterBottomFollowUsedRange="0">
    <extLst/>
  </autoFilter>
  <mergeCells count="52">
    <mergeCell ref="A1:M1"/>
    <mergeCell ref="A2:M2"/>
    <mergeCell ref="A3:M3"/>
    <mergeCell ref="L7:M7"/>
    <mergeCell ref="A8:F8"/>
    <mergeCell ref="L9:M9"/>
    <mergeCell ref="A11:E11"/>
    <mergeCell ref="A12:G12"/>
    <mergeCell ref="L12:M12"/>
    <mergeCell ref="A13:E13"/>
    <mergeCell ref="L13:M13"/>
    <mergeCell ref="L14:M14"/>
    <mergeCell ref="A17:F17"/>
    <mergeCell ref="L17:M17"/>
    <mergeCell ref="L18:M18"/>
    <mergeCell ref="A20:E20"/>
    <mergeCell ref="L20:M20"/>
    <mergeCell ref="A21:E21"/>
    <mergeCell ref="A22:E22"/>
    <mergeCell ref="A57:B57"/>
    <mergeCell ref="A58:C58"/>
    <mergeCell ref="I59:N59"/>
    <mergeCell ref="I60:N60"/>
    <mergeCell ref="A35:A36"/>
    <mergeCell ref="A38:A39"/>
    <mergeCell ref="A41:A42"/>
    <mergeCell ref="A43:A44"/>
    <mergeCell ref="A45:A46"/>
    <mergeCell ref="A49:A50"/>
    <mergeCell ref="A54:A55"/>
    <mergeCell ref="K35:K36"/>
    <mergeCell ref="K38:K39"/>
    <mergeCell ref="K41:K42"/>
    <mergeCell ref="K43:K44"/>
    <mergeCell ref="K45:K46"/>
    <mergeCell ref="K49:K50"/>
    <mergeCell ref="K54:K55"/>
    <mergeCell ref="L35:L36"/>
    <mergeCell ref="L38:L39"/>
    <mergeCell ref="L41:L42"/>
    <mergeCell ref="L43:L44"/>
    <mergeCell ref="L45:L46"/>
    <mergeCell ref="L49:L50"/>
    <mergeCell ref="L54:L55"/>
    <mergeCell ref="M35:M36"/>
    <mergeCell ref="M38:M39"/>
    <mergeCell ref="M41:M42"/>
    <mergeCell ref="M43:M44"/>
    <mergeCell ref="M45:M46"/>
    <mergeCell ref="M49:M50"/>
    <mergeCell ref="M54:M55"/>
    <mergeCell ref="A4:M5"/>
  </mergeCells>
  <hyperlinks>
    <hyperlink ref="A3" r:id="rId1" display="TEL:(+84)-723-643-733;       (+84)-723-643-734                                         FAX: (+84)-723-643-735"/>
    <hyperlink ref="A9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33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54"/>
  <sheetViews>
    <sheetView tabSelected="1" zoomScale="63" zoomScaleNormal="63" workbookViewId="0">
      <selection activeCell="E51" sqref="E51"/>
    </sheetView>
  </sheetViews>
  <sheetFormatPr defaultColWidth="9.13636363636364" defaultRowHeight="14"/>
  <cols>
    <col min="1" max="1" width="8.42727272727273" style="415" customWidth="1"/>
    <col min="2" max="2" width="34.5727272727273" style="232" customWidth="1"/>
    <col min="3" max="3" width="54" style="92" customWidth="1"/>
    <col min="4" max="4" width="17.1363636363636" style="92" customWidth="1"/>
    <col min="5" max="5" width="34" style="92" customWidth="1"/>
    <col min="6" max="6" width="16.8545454545455" style="92" customWidth="1"/>
    <col min="7" max="7" width="19" style="233" customWidth="1"/>
    <col min="8" max="8" width="56.7090909090909" style="233" customWidth="1"/>
    <col min="9" max="9" width="17.5727272727273" style="92" customWidth="1"/>
    <col min="10" max="10" width="24.2909090909091" style="232" customWidth="1"/>
    <col min="11" max="13" width="20.1363636363636" style="92" customWidth="1"/>
    <col min="14" max="14" width="21.1363636363636" style="232" customWidth="1"/>
    <col min="15" max="16383" width="9.13636363636364" style="416"/>
    <col min="16384" max="16384" width="9.13636363636364" style="92"/>
  </cols>
  <sheetData>
    <row r="1" ht="24" customHeight="1" spans="1:14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417"/>
      <c r="N1" s="418"/>
    </row>
    <row r="2" ht="25.5" customHeight="1" spans="1:14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419"/>
      <c r="N2" s="420"/>
    </row>
    <row r="3" ht="24" customHeight="1" spans="1:14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421"/>
      <c r="N3" s="420"/>
    </row>
    <row r="4" ht="15" customHeight="1" spans="1:14">
      <c r="A4" s="422" t="s">
        <v>3</v>
      </c>
      <c r="B4" s="423"/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4"/>
      <c r="N4" s="425"/>
    </row>
    <row r="5" ht="15" customHeight="1" spans="1:14">
      <c r="A5" s="426"/>
      <c r="B5" s="427"/>
      <c r="C5" s="427"/>
      <c r="D5" s="427"/>
      <c r="E5" s="427"/>
      <c r="F5" s="427"/>
      <c r="G5" s="427"/>
      <c r="H5" s="427"/>
      <c r="I5" s="427"/>
      <c r="J5" s="427"/>
      <c r="K5" s="427"/>
      <c r="L5" s="427"/>
      <c r="M5" s="428"/>
      <c r="N5" s="425"/>
    </row>
    <row r="6" ht="15.5" spans="1:14">
      <c r="A6" s="429" t="s">
        <v>4</v>
      </c>
      <c r="B6" s="430"/>
      <c r="C6" s="431"/>
      <c r="D6" s="431"/>
      <c r="E6" s="431"/>
      <c r="F6" s="238"/>
      <c r="G6" s="432"/>
      <c r="H6" s="432"/>
      <c r="I6" s="238"/>
      <c r="J6" s="433" t="s">
        <v>5</v>
      </c>
      <c r="K6" s="434"/>
      <c r="L6" s="435"/>
      <c r="M6" s="436"/>
      <c r="N6" s="240"/>
    </row>
    <row r="7" ht="15.5" spans="1:14">
      <c r="A7" s="437" t="s">
        <v>6</v>
      </c>
      <c r="B7" s="438"/>
      <c r="C7" s="431"/>
      <c r="D7" s="431"/>
      <c r="E7" s="431"/>
      <c r="F7" s="238"/>
      <c r="G7" s="432"/>
      <c r="H7" s="432"/>
      <c r="I7" s="238"/>
      <c r="J7" s="439" t="s">
        <v>7</v>
      </c>
      <c r="K7" s="440"/>
      <c r="L7" s="441">
        <v>46174</v>
      </c>
      <c r="M7" s="442"/>
      <c r="N7" s="240"/>
    </row>
    <row r="8" ht="25.5" customHeight="1" spans="1:14">
      <c r="A8" s="443" t="s">
        <v>1</v>
      </c>
      <c r="B8" s="444"/>
      <c r="C8" s="444"/>
      <c r="D8" s="444"/>
      <c r="E8" s="444"/>
      <c r="F8" s="444"/>
      <c r="G8" s="445"/>
      <c r="H8" s="445"/>
      <c r="I8" s="446"/>
      <c r="J8" s="447" t="s">
        <v>8</v>
      </c>
      <c r="K8" s="236"/>
      <c r="L8" s="236"/>
      <c r="M8" s="448"/>
      <c r="N8" s="240"/>
    </row>
    <row r="9" ht="15.5" spans="1:14">
      <c r="A9" s="449" t="s">
        <v>2</v>
      </c>
      <c r="B9" s="450"/>
      <c r="C9" s="236"/>
      <c r="D9" s="236"/>
      <c r="E9" s="236"/>
      <c r="F9" s="238"/>
      <c r="G9" s="432"/>
      <c r="H9" s="432"/>
      <c r="I9" s="238"/>
      <c r="J9" s="451" t="str">
        <f>J7</f>
        <v>AK/GDI-20260013</v>
      </c>
      <c r="K9" s="452"/>
      <c r="L9" s="453">
        <f>L7</f>
        <v>46174</v>
      </c>
      <c r="M9" s="454"/>
      <c r="N9" s="240"/>
    </row>
    <row r="10" ht="15.5" spans="1:14">
      <c r="A10" s="455" t="s">
        <v>9</v>
      </c>
      <c r="B10" s="456"/>
      <c r="C10" s="457"/>
      <c r="D10" s="457"/>
      <c r="E10" s="457"/>
      <c r="F10" s="457"/>
      <c r="G10" s="458"/>
      <c r="H10" s="458"/>
      <c r="I10" s="459"/>
      <c r="J10" s="451"/>
      <c r="K10" s="236"/>
      <c r="L10" s="236"/>
      <c r="M10" s="448"/>
      <c r="N10" s="240"/>
    </row>
    <row r="11" ht="18.75" customHeight="1" spans="1:14">
      <c r="A11" s="460" t="s">
        <v>10</v>
      </c>
      <c r="B11" s="461"/>
      <c r="C11" s="461"/>
      <c r="D11" s="461"/>
      <c r="E11" s="461"/>
      <c r="F11" s="236"/>
      <c r="G11" s="237"/>
      <c r="H11" s="237"/>
      <c r="I11" s="238"/>
      <c r="J11" s="239" t="s">
        <v>11</v>
      </c>
      <c r="K11" s="236"/>
      <c r="L11" s="236"/>
      <c r="M11" s="448"/>
      <c r="N11" s="240"/>
    </row>
    <row r="12" ht="15.75" customHeight="1" spans="1:14">
      <c r="A12" s="462" t="s">
        <v>12</v>
      </c>
      <c r="B12" s="463"/>
      <c r="C12" s="463"/>
      <c r="D12" s="463"/>
      <c r="E12" s="463"/>
      <c r="F12" s="463"/>
      <c r="G12" s="463"/>
      <c r="H12" s="463"/>
      <c r="I12" s="464"/>
      <c r="J12" s="465" t="s">
        <v>13</v>
      </c>
      <c r="K12" s="466"/>
      <c r="L12" s="467">
        <v>46163</v>
      </c>
      <c r="M12" s="468"/>
      <c r="N12" s="240"/>
    </row>
    <row r="13" ht="15.5" spans="1:14">
      <c r="A13" s="462" t="s">
        <v>14</v>
      </c>
      <c r="B13" s="469"/>
      <c r="C13" s="469"/>
      <c r="D13" s="469"/>
      <c r="E13" s="469"/>
      <c r="F13" s="469"/>
      <c r="G13" s="470"/>
      <c r="H13" s="470"/>
      <c r="I13" s="471"/>
      <c r="J13" s="472"/>
      <c r="K13" s="473"/>
      <c r="L13" s="474"/>
      <c r="M13" s="475"/>
      <c r="N13" s="240"/>
    </row>
    <row r="14" ht="15.5" spans="1:14">
      <c r="A14" s="462"/>
      <c r="B14" s="469"/>
      <c r="C14" s="476"/>
      <c r="D14" s="469"/>
      <c r="E14" s="469"/>
      <c r="F14" s="469"/>
      <c r="G14" s="470"/>
      <c r="H14" s="470"/>
      <c r="I14" s="471"/>
      <c r="J14" s="477"/>
      <c r="K14" s="466"/>
      <c r="L14" s="467"/>
      <c r="M14" s="468"/>
      <c r="N14" s="240"/>
    </row>
    <row r="15" ht="15.5" spans="1:14">
      <c r="A15" s="462"/>
      <c r="B15" s="469"/>
      <c r="C15" s="469"/>
      <c r="D15" s="469"/>
      <c r="E15" s="469"/>
      <c r="F15" s="469"/>
      <c r="G15" s="470"/>
      <c r="H15" s="470"/>
      <c r="I15" s="471"/>
      <c r="J15" s="240"/>
      <c r="K15" s="238"/>
      <c r="L15" s="238"/>
      <c r="M15" s="478"/>
      <c r="N15" s="240"/>
    </row>
    <row r="16" ht="15.5" spans="1:14">
      <c r="A16" s="479" t="s">
        <v>15</v>
      </c>
      <c r="B16" s="480"/>
      <c r="C16" s="481"/>
      <c r="D16" s="481"/>
      <c r="E16" s="481"/>
      <c r="F16" s="481"/>
      <c r="G16" s="482"/>
      <c r="H16" s="482"/>
      <c r="I16" s="483"/>
      <c r="J16" s="484"/>
      <c r="K16" s="238"/>
      <c r="L16" s="238"/>
      <c r="M16" s="478"/>
      <c r="N16" s="240"/>
    </row>
    <row r="17" ht="15.5" spans="1:14">
      <c r="A17" s="485" t="s">
        <v>16</v>
      </c>
      <c r="B17" s="486"/>
      <c r="C17" s="486"/>
      <c r="D17" s="486"/>
      <c r="E17" s="486"/>
      <c r="F17" s="486"/>
      <c r="G17" s="486"/>
      <c r="H17" s="486"/>
      <c r="I17" s="471"/>
      <c r="K17" s="238"/>
      <c r="L17" s="343"/>
      <c r="M17" s="487"/>
      <c r="N17" s="488"/>
    </row>
    <row r="18" ht="15.5" spans="1:14">
      <c r="A18" s="489" t="s">
        <v>17</v>
      </c>
      <c r="B18" s="490"/>
      <c r="C18" s="491"/>
      <c r="D18" s="491"/>
      <c r="E18" s="491"/>
      <c r="F18" s="492"/>
      <c r="G18" s="493"/>
      <c r="H18" s="493"/>
      <c r="I18" s="494"/>
      <c r="L18" s="343"/>
      <c r="M18" s="487"/>
      <c r="N18" s="495"/>
    </row>
    <row r="19" ht="15.5" spans="1:14">
      <c r="A19" s="489" t="s">
        <v>18</v>
      </c>
      <c r="B19" s="490"/>
      <c r="C19" s="491"/>
      <c r="D19" s="491"/>
      <c r="E19" s="491"/>
      <c r="F19" s="492"/>
      <c r="G19" s="493"/>
      <c r="H19" s="493"/>
      <c r="I19" s="494"/>
      <c r="M19" s="496"/>
      <c r="N19" s="497"/>
    </row>
    <row r="20" ht="15.75" customHeight="1" spans="1:14">
      <c r="A20" s="498" t="s">
        <v>19</v>
      </c>
      <c r="B20" s="499"/>
      <c r="C20" s="499"/>
      <c r="D20" s="499"/>
      <c r="E20" s="499"/>
      <c r="F20" s="492"/>
      <c r="G20" s="493"/>
      <c r="H20" s="493"/>
      <c r="I20" s="494"/>
      <c r="J20" s="240"/>
      <c r="K20" s="238"/>
      <c r="L20" s="343"/>
      <c r="M20" s="487"/>
      <c r="N20" s="497"/>
    </row>
    <row r="21" ht="15.75" customHeight="1" spans="1:14">
      <c r="A21" s="498" t="s">
        <v>20</v>
      </c>
      <c r="B21" s="499"/>
      <c r="C21" s="499"/>
      <c r="D21" s="499"/>
      <c r="E21" s="499"/>
      <c r="F21" s="492"/>
      <c r="G21" s="493"/>
      <c r="H21" s="493"/>
      <c r="I21" s="494"/>
      <c r="J21" s="240"/>
      <c r="K21" s="238"/>
      <c r="L21" s="343"/>
      <c r="M21" s="487"/>
      <c r="N21" s="497"/>
    </row>
    <row r="22" ht="39" customHeight="1" spans="1:14">
      <c r="A22" s="498" t="s">
        <v>21</v>
      </c>
      <c r="B22" s="500"/>
      <c r="C22" s="500"/>
      <c r="D22" s="500"/>
      <c r="E22" s="500"/>
      <c r="F22" s="492"/>
      <c r="G22" s="493"/>
      <c r="H22" s="493"/>
      <c r="I22" s="494"/>
      <c r="J22" s="240"/>
      <c r="K22" s="238"/>
      <c r="L22" s="343"/>
      <c r="M22" s="487"/>
      <c r="N22" s="497"/>
    </row>
    <row r="23" ht="15.75" customHeight="1" spans="1:14">
      <c r="A23" s="498"/>
      <c r="B23" s="499"/>
      <c r="C23" s="499"/>
      <c r="D23" s="499"/>
      <c r="E23" s="499"/>
      <c r="F23" s="492"/>
      <c r="G23" s="493"/>
      <c r="H23" s="493"/>
      <c r="I23" s="494"/>
      <c r="J23" s="240"/>
      <c r="K23" s="238"/>
      <c r="L23" s="343"/>
      <c r="M23" s="487"/>
      <c r="N23" s="497"/>
    </row>
    <row r="24" ht="15.75" customHeight="1" spans="1:14">
      <c r="A24" s="498"/>
      <c r="B24" s="499"/>
      <c r="C24" s="499"/>
      <c r="D24" s="499"/>
      <c r="E24" s="499"/>
      <c r="F24" s="492"/>
      <c r="G24" s="493"/>
      <c r="H24" s="493"/>
      <c r="I24" s="494"/>
      <c r="J24" s="240"/>
      <c r="K24" s="238"/>
      <c r="L24" s="343"/>
      <c r="M24" s="487"/>
      <c r="N24" s="497"/>
    </row>
    <row r="25" ht="15.75" customHeight="1" spans="1:14">
      <c r="A25" s="429" t="s">
        <v>22</v>
      </c>
      <c r="B25" s="430"/>
      <c r="C25" s="431"/>
      <c r="D25" s="431"/>
      <c r="E25" s="501" t="s">
        <v>23</v>
      </c>
      <c r="F25" s="236"/>
      <c r="G25" s="237"/>
      <c r="H25" s="237"/>
      <c r="I25" s="471"/>
      <c r="J25" s="430" t="s">
        <v>24</v>
      </c>
      <c r="K25" s="236"/>
      <c r="L25" s="238" t="s">
        <v>25</v>
      </c>
      <c r="M25" s="478"/>
      <c r="N25" s="240"/>
    </row>
    <row r="26" ht="15.5" spans="1:14">
      <c r="A26" s="449" t="s">
        <v>26</v>
      </c>
      <c r="B26" s="450"/>
      <c r="C26" s="236"/>
      <c r="D26" s="236"/>
      <c r="E26" s="502" t="s">
        <v>27</v>
      </c>
      <c r="F26" s="238"/>
      <c r="G26" s="432"/>
      <c r="H26" s="432"/>
      <c r="I26" s="471"/>
      <c r="J26" s="430" t="s">
        <v>28</v>
      </c>
      <c r="K26" s="503"/>
      <c r="L26" s="503" t="s">
        <v>29</v>
      </c>
      <c r="M26" s="504"/>
      <c r="N26" s="240"/>
    </row>
    <row r="27" ht="15.5" spans="1:14">
      <c r="A27" s="449"/>
      <c r="B27" s="450"/>
      <c r="C27" s="236"/>
      <c r="D27" s="236"/>
      <c r="E27" s="502"/>
      <c r="F27" s="238"/>
      <c r="G27" s="432"/>
      <c r="H27" s="432"/>
      <c r="I27" s="505"/>
      <c r="J27" s="506" t="s">
        <v>30</v>
      </c>
      <c r="K27" s="236"/>
      <c r="L27" s="238"/>
      <c r="M27" s="478"/>
      <c r="N27" s="240"/>
    </row>
    <row r="28" ht="15.75" customHeight="1" spans="1:14">
      <c r="A28" s="507" t="s">
        <v>31</v>
      </c>
      <c r="B28" s="508"/>
      <c r="C28" s="509" t="s">
        <v>32</v>
      </c>
      <c r="D28" s="509"/>
      <c r="E28" s="509" t="s">
        <v>33</v>
      </c>
      <c r="F28" s="459"/>
      <c r="G28" s="510"/>
      <c r="H28" s="510"/>
      <c r="I28" s="459"/>
      <c r="J28" s="511"/>
      <c r="K28" s="236"/>
      <c r="L28" s="238"/>
      <c r="M28" s="478"/>
      <c r="N28" s="240"/>
    </row>
    <row r="29" ht="64.5" customHeight="1" spans="1:14">
      <c r="A29" s="449" t="s">
        <v>34</v>
      </c>
      <c r="B29" s="438"/>
      <c r="C29" s="512">
        <v>46180</v>
      </c>
      <c r="D29" s="513"/>
      <c r="E29" s="512">
        <v>46183</v>
      </c>
      <c r="F29" s="514"/>
      <c r="G29" s="515"/>
      <c r="H29" s="515"/>
      <c r="I29" s="514"/>
      <c r="J29" s="516" t="s">
        <v>35</v>
      </c>
      <c r="K29" s="514" t="s">
        <v>36</v>
      </c>
      <c r="L29" s="517"/>
      <c r="M29" s="518"/>
      <c r="N29" s="517"/>
    </row>
    <row r="30" ht="17.25" spans="1:14">
      <c r="A30" s="519"/>
      <c r="B30" s="520"/>
      <c r="C30" s="521" t="s">
        <v>37</v>
      </c>
      <c r="D30" s="522"/>
      <c r="E30" s="523"/>
      <c r="F30" s="524"/>
      <c r="G30" s="525"/>
      <c r="H30" s="525"/>
      <c r="I30" s="265"/>
      <c r="J30" s="266"/>
      <c r="K30" s="265"/>
      <c r="L30" s="265"/>
      <c r="M30" s="526"/>
      <c r="N30" s="266"/>
    </row>
    <row r="31" s="411" customFormat="1" ht="55.5" customHeight="1" spans="1:14">
      <c r="A31" s="527" t="s">
        <v>38</v>
      </c>
      <c r="B31" s="528" t="s">
        <v>39</v>
      </c>
      <c r="C31" s="529" t="s">
        <v>40</v>
      </c>
      <c r="D31" s="528" t="s">
        <v>41</v>
      </c>
      <c r="E31" s="528" t="s">
        <v>42</v>
      </c>
      <c r="F31" s="528" t="s">
        <v>43</v>
      </c>
      <c r="G31" s="528"/>
      <c r="H31" s="528" t="s">
        <v>44</v>
      </c>
      <c r="I31" s="528" t="s">
        <v>45</v>
      </c>
      <c r="J31" s="528" t="s">
        <v>46</v>
      </c>
      <c r="K31" s="528" t="s">
        <v>47</v>
      </c>
      <c r="L31" s="530" t="s">
        <v>48</v>
      </c>
      <c r="M31" s="531" t="s">
        <v>49</v>
      </c>
      <c r="N31" s="532"/>
    </row>
    <row r="32" s="412" customFormat="1" ht="35.25" customHeight="1" spans="1:14">
      <c r="A32" s="533"/>
      <c r="B32" s="534" t="s">
        <v>50</v>
      </c>
      <c r="C32" s="535" t="s">
        <v>51</v>
      </c>
      <c r="D32" s="534">
        <v>1051120</v>
      </c>
      <c r="E32" s="534" t="s">
        <v>52</v>
      </c>
      <c r="F32" s="534" t="s">
        <v>53</v>
      </c>
      <c r="G32" s="534" t="s">
        <v>54</v>
      </c>
      <c r="H32" s="534" t="s">
        <v>55</v>
      </c>
      <c r="I32" s="534">
        <v>1003</v>
      </c>
      <c r="J32" s="534" t="s">
        <v>56</v>
      </c>
      <c r="K32" s="534">
        <f>L32-1.35</f>
        <v>20.55</v>
      </c>
      <c r="L32" s="534">
        <v>21.9</v>
      </c>
      <c r="M32" s="536">
        <v>0.11</v>
      </c>
    </row>
    <row r="33" s="412" customFormat="1" ht="35.25" customHeight="1" spans="1:13">
      <c r="A33" s="533"/>
      <c r="B33" s="534" t="s">
        <v>50</v>
      </c>
      <c r="C33" s="535" t="s">
        <v>51</v>
      </c>
      <c r="D33" s="534">
        <v>1051120</v>
      </c>
      <c r="E33" s="534" t="s">
        <v>52</v>
      </c>
      <c r="F33" s="534" t="s">
        <v>57</v>
      </c>
      <c r="G33" s="534" t="s">
        <v>58</v>
      </c>
      <c r="H33" s="534" t="s">
        <v>55</v>
      </c>
      <c r="I33" s="534">
        <v>1266</v>
      </c>
      <c r="J33" s="534" t="s">
        <v>56</v>
      </c>
      <c r="K33" s="534">
        <f>L33-1.35</f>
        <v>26.85</v>
      </c>
      <c r="L33" s="534">
        <v>28.2</v>
      </c>
      <c r="M33" s="536">
        <v>0.11</v>
      </c>
    </row>
    <row r="34" s="412" customFormat="1" ht="35.25" customHeight="1" spans="1:13">
      <c r="A34" s="533"/>
      <c r="B34" s="534" t="s">
        <v>50</v>
      </c>
      <c r="C34" s="535" t="s">
        <v>51</v>
      </c>
      <c r="D34" s="534">
        <v>1051120</v>
      </c>
      <c r="E34" s="534" t="s">
        <v>52</v>
      </c>
      <c r="F34" s="534" t="s">
        <v>59</v>
      </c>
      <c r="G34" s="534" t="s">
        <v>60</v>
      </c>
      <c r="H34" s="534" t="s">
        <v>55</v>
      </c>
      <c r="I34" s="534">
        <v>1556</v>
      </c>
      <c r="J34" s="534" t="s">
        <v>56</v>
      </c>
      <c r="K34" s="534">
        <f>L34-1.35</f>
        <v>23.8</v>
      </c>
      <c r="L34" s="534">
        <v>25.15</v>
      </c>
      <c r="M34" s="536">
        <v>0.11</v>
      </c>
    </row>
    <row r="35" s="412" customFormat="1" ht="35.25" customHeight="1" spans="1:13">
      <c r="A35" s="533"/>
      <c r="B35" s="534" t="s">
        <v>50</v>
      </c>
      <c r="C35" s="535" t="s">
        <v>51</v>
      </c>
      <c r="D35" s="534">
        <v>1051120</v>
      </c>
      <c r="E35" s="534" t="s">
        <v>52</v>
      </c>
      <c r="F35" s="534" t="s">
        <v>61</v>
      </c>
      <c r="G35" s="534" t="s">
        <v>62</v>
      </c>
      <c r="H35" s="534" t="s">
        <v>55</v>
      </c>
      <c r="I35" s="534">
        <v>2648</v>
      </c>
      <c r="J35" s="534" t="s">
        <v>56</v>
      </c>
      <c r="K35" s="534">
        <v>59.15</v>
      </c>
      <c r="L35" s="534">
        <v>61.85</v>
      </c>
      <c r="M35" s="536">
        <v>0.22</v>
      </c>
    </row>
    <row r="36" s="412" customFormat="1" ht="35.25" customHeight="1" spans="1:13">
      <c r="A36" s="533"/>
      <c r="B36" s="534" t="s">
        <v>50</v>
      </c>
      <c r="C36" s="535" t="s">
        <v>51</v>
      </c>
      <c r="D36" s="534">
        <v>1051120</v>
      </c>
      <c r="E36" s="534" t="s">
        <v>52</v>
      </c>
      <c r="F36" s="534" t="s">
        <v>63</v>
      </c>
      <c r="G36" s="534" t="s">
        <v>64</v>
      </c>
      <c r="H36" s="534" t="s">
        <v>55</v>
      </c>
      <c r="I36" s="534">
        <f>406+8</f>
        <v>414</v>
      </c>
      <c r="J36" s="534" t="s">
        <v>56</v>
      </c>
      <c r="K36" s="534">
        <f>L36-1.35</f>
        <v>31.2</v>
      </c>
      <c r="L36" s="534">
        <v>32.55</v>
      </c>
      <c r="M36" s="536">
        <v>0.11</v>
      </c>
    </row>
    <row r="37" s="412" customFormat="1" ht="35.25" customHeight="1" spans="1:13">
      <c r="A37" s="533"/>
      <c r="B37" s="534" t="s">
        <v>50</v>
      </c>
      <c r="C37" s="535" t="s">
        <v>51</v>
      </c>
      <c r="D37" s="534">
        <v>1051120</v>
      </c>
      <c r="E37" s="534" t="s">
        <v>52</v>
      </c>
      <c r="F37" s="534" t="s">
        <v>65</v>
      </c>
      <c r="G37" s="534" t="s">
        <v>66</v>
      </c>
      <c r="H37" s="534" t="s">
        <v>55</v>
      </c>
      <c r="I37" s="534">
        <v>1710</v>
      </c>
      <c r="J37" s="534" t="s">
        <v>56</v>
      </c>
      <c r="K37" s="534">
        <f>L37-1.35</f>
        <v>31.9</v>
      </c>
      <c r="L37" s="534">
        <v>33.25</v>
      </c>
      <c r="M37" s="536">
        <v>0.11</v>
      </c>
    </row>
    <row r="38" s="412" customFormat="1" ht="35.25" customHeight="1" spans="1:13">
      <c r="A38" s="533"/>
      <c r="B38" s="534" t="s">
        <v>50</v>
      </c>
      <c r="C38" s="535" t="s">
        <v>51</v>
      </c>
      <c r="D38" s="534">
        <v>1051120</v>
      </c>
      <c r="E38" s="534" t="s">
        <v>52</v>
      </c>
      <c r="F38" s="534" t="s">
        <v>67</v>
      </c>
      <c r="G38" s="534" t="s">
        <v>68</v>
      </c>
      <c r="H38" s="534" t="s">
        <v>55</v>
      </c>
      <c r="I38" s="534">
        <f>595+12</f>
        <v>607</v>
      </c>
      <c r="J38" s="534" t="s">
        <v>56</v>
      </c>
      <c r="K38" s="534">
        <f>L38-1.35</f>
        <v>30.95</v>
      </c>
      <c r="L38" s="534">
        <v>32.3</v>
      </c>
      <c r="M38" s="536">
        <v>0.11</v>
      </c>
    </row>
    <row r="39" s="412" customFormat="1" ht="35.25" customHeight="1" spans="1:13">
      <c r="A39" s="533"/>
      <c r="B39" s="534" t="s">
        <v>50</v>
      </c>
      <c r="C39" s="535" t="s">
        <v>51</v>
      </c>
      <c r="D39" s="534">
        <v>1051120</v>
      </c>
      <c r="E39" s="534" t="s">
        <v>52</v>
      </c>
      <c r="F39" s="534" t="s">
        <v>69</v>
      </c>
      <c r="G39" s="534" t="s">
        <v>70</v>
      </c>
      <c r="H39" s="534" t="s">
        <v>55</v>
      </c>
      <c r="I39" s="534">
        <f>860+17</f>
        <v>877</v>
      </c>
      <c r="J39" s="534" t="s">
        <v>56</v>
      </c>
      <c r="K39" s="534">
        <f>L39-1.35</f>
        <v>30.1</v>
      </c>
      <c r="L39" s="534">
        <v>31.45</v>
      </c>
      <c r="M39" s="536">
        <v>0.11</v>
      </c>
    </row>
    <row r="40" s="412" customFormat="1" ht="35.25" customHeight="1" spans="1:13">
      <c r="A40" s="533"/>
      <c r="B40" s="534" t="s">
        <v>50</v>
      </c>
      <c r="C40" s="535" t="s">
        <v>51</v>
      </c>
      <c r="D40" s="534">
        <v>1051120</v>
      </c>
      <c r="E40" s="537" t="s">
        <v>52</v>
      </c>
      <c r="F40" s="534" t="s">
        <v>71</v>
      </c>
      <c r="G40" s="534" t="s">
        <v>72</v>
      </c>
      <c r="H40" s="534" t="s">
        <v>55</v>
      </c>
      <c r="I40" s="534">
        <f>198+4</f>
        <v>202</v>
      </c>
      <c r="J40" s="534" t="s">
        <v>56</v>
      </c>
      <c r="K40" s="534"/>
      <c r="L40" s="534"/>
      <c r="M40" s="536"/>
    </row>
    <row r="41" s="412" customFormat="1" ht="35.25" customHeight="1" spans="1:13">
      <c r="A41" s="533"/>
      <c r="B41" s="534" t="s">
        <v>50</v>
      </c>
      <c r="C41" s="535" t="s">
        <v>51</v>
      </c>
      <c r="D41" s="534">
        <v>1051120</v>
      </c>
      <c r="E41" s="537" t="s">
        <v>73</v>
      </c>
      <c r="F41" s="534" t="s">
        <v>53</v>
      </c>
      <c r="G41" s="534" t="s">
        <v>54</v>
      </c>
      <c r="H41" s="534" t="s">
        <v>55</v>
      </c>
      <c r="I41" s="534">
        <f>832+17</f>
        <v>849</v>
      </c>
      <c r="J41" s="534" t="s">
        <v>56</v>
      </c>
      <c r="K41" s="534">
        <f>L41-1.35</f>
        <v>23.5</v>
      </c>
      <c r="L41" s="534">
        <v>24.85</v>
      </c>
      <c r="M41" s="536">
        <v>0.11</v>
      </c>
    </row>
    <row r="42" s="412" customFormat="1" ht="35.25" customHeight="1" spans="1:13">
      <c r="A42" s="533"/>
      <c r="B42" s="534" t="s">
        <v>50</v>
      </c>
      <c r="C42" s="535" t="s">
        <v>51</v>
      </c>
      <c r="D42" s="534">
        <v>1051120</v>
      </c>
      <c r="E42" s="537" t="s">
        <v>73</v>
      </c>
      <c r="F42" s="534" t="s">
        <v>71</v>
      </c>
      <c r="G42" s="534" t="s">
        <v>72</v>
      </c>
      <c r="H42" s="534" t="s">
        <v>55</v>
      </c>
      <c r="I42" s="534">
        <f>208+4</f>
        <v>212</v>
      </c>
      <c r="J42" s="534" t="s">
        <v>56</v>
      </c>
      <c r="K42" s="534"/>
      <c r="L42" s="534"/>
      <c r="M42" s="536"/>
    </row>
    <row r="43" s="412" customFormat="1" ht="35.25" customHeight="1" spans="1:13">
      <c r="A43" s="533"/>
      <c r="B43" s="534" t="s">
        <v>50</v>
      </c>
      <c r="C43" s="535" t="s">
        <v>51</v>
      </c>
      <c r="D43" s="534">
        <v>1051120</v>
      </c>
      <c r="E43" s="537" t="s">
        <v>73</v>
      </c>
      <c r="F43" s="534" t="s">
        <v>57</v>
      </c>
      <c r="G43" s="534" t="s">
        <v>58</v>
      </c>
      <c r="H43" s="534" t="s">
        <v>55</v>
      </c>
      <c r="I43" s="534">
        <f>1336+27</f>
        <v>1363</v>
      </c>
      <c r="J43" s="534" t="s">
        <v>56</v>
      </c>
      <c r="K43" s="534">
        <f>L43-1.35</f>
        <v>29.4</v>
      </c>
      <c r="L43" s="534">
        <v>30.75</v>
      </c>
      <c r="M43" s="536">
        <v>0.11</v>
      </c>
    </row>
    <row r="44" s="412" customFormat="1" ht="35.25" customHeight="1" spans="1:13">
      <c r="A44" s="533"/>
      <c r="B44" s="534" t="s">
        <v>50</v>
      </c>
      <c r="C44" s="535" t="s">
        <v>51</v>
      </c>
      <c r="D44" s="534">
        <v>1051120</v>
      </c>
      <c r="E44" s="534" t="s">
        <v>73</v>
      </c>
      <c r="F44" s="534" t="s">
        <v>59</v>
      </c>
      <c r="G44" s="534" t="s">
        <v>60</v>
      </c>
      <c r="H44" s="534" t="s">
        <v>55</v>
      </c>
      <c r="I44" s="534">
        <v>1680</v>
      </c>
      <c r="J44" s="534" t="s">
        <v>56</v>
      </c>
      <c r="K44" s="534">
        <f>L44-1.35</f>
        <v>28.15</v>
      </c>
      <c r="L44" s="534">
        <v>29.5</v>
      </c>
      <c r="M44" s="536">
        <v>0.11</v>
      </c>
    </row>
    <row r="45" s="412" customFormat="1" ht="35.25" customHeight="1" spans="1:13">
      <c r="A45" s="533"/>
      <c r="B45" s="534" t="s">
        <v>50</v>
      </c>
      <c r="C45" s="535" t="s">
        <v>51</v>
      </c>
      <c r="D45" s="534">
        <v>1051120</v>
      </c>
      <c r="E45" s="534" t="s">
        <v>73</v>
      </c>
      <c r="F45" s="534" t="s">
        <v>69</v>
      </c>
      <c r="G45" s="534" t="s">
        <v>70</v>
      </c>
      <c r="H45" s="534" t="s">
        <v>55</v>
      </c>
      <c r="I45" s="534">
        <f>671+13</f>
        <v>684</v>
      </c>
      <c r="J45" s="534" t="s">
        <v>56</v>
      </c>
      <c r="K45" s="534">
        <f>L45-1.35</f>
        <v>30.7</v>
      </c>
      <c r="L45" s="534">
        <v>32.05</v>
      </c>
      <c r="M45" s="536">
        <v>0.11</v>
      </c>
    </row>
    <row r="46" s="412" customFormat="1" ht="35.25" customHeight="1" spans="1:13">
      <c r="A46" s="533"/>
      <c r="B46" s="534" t="s">
        <v>50</v>
      </c>
      <c r="C46" s="535" t="s">
        <v>51</v>
      </c>
      <c r="D46" s="534">
        <v>1051120</v>
      </c>
      <c r="E46" s="534" t="s">
        <v>73</v>
      </c>
      <c r="F46" s="534" t="s">
        <v>61</v>
      </c>
      <c r="G46" s="534" t="s">
        <v>62</v>
      </c>
      <c r="H46" s="534" t="s">
        <v>55</v>
      </c>
      <c r="I46" s="534">
        <v>2153</v>
      </c>
      <c r="J46" s="534" t="s">
        <v>56</v>
      </c>
      <c r="K46" s="534">
        <v>52.75</v>
      </c>
      <c r="L46" s="534">
        <v>55.45</v>
      </c>
      <c r="M46" s="536">
        <v>0.22</v>
      </c>
    </row>
    <row r="47" s="412" customFormat="1" ht="35.25" customHeight="1" spans="1:13">
      <c r="A47" s="533"/>
      <c r="B47" s="534" t="s">
        <v>50</v>
      </c>
      <c r="C47" s="535" t="s">
        <v>51</v>
      </c>
      <c r="D47" s="534">
        <v>1051120</v>
      </c>
      <c r="E47" s="534" t="s">
        <v>73</v>
      </c>
      <c r="F47" s="534" t="s">
        <v>65</v>
      </c>
      <c r="G47" s="534" t="s">
        <v>66</v>
      </c>
      <c r="H47" s="534" t="s">
        <v>55</v>
      </c>
      <c r="I47" s="534">
        <v>1696</v>
      </c>
      <c r="J47" s="534" t="s">
        <v>56</v>
      </c>
      <c r="K47" s="534">
        <f>L47-1.35</f>
        <v>29.1</v>
      </c>
      <c r="L47" s="534">
        <v>30.45</v>
      </c>
      <c r="M47" s="536">
        <v>0.11</v>
      </c>
    </row>
    <row r="48" s="412" customFormat="1" ht="35.25" customHeight="1" spans="1:13">
      <c r="A48" s="533"/>
      <c r="B48" s="534" t="s">
        <v>50</v>
      </c>
      <c r="C48" s="535" t="s">
        <v>51</v>
      </c>
      <c r="D48" s="534">
        <v>1051120</v>
      </c>
      <c r="E48" s="534" t="s">
        <v>73</v>
      </c>
      <c r="F48" s="534" t="s">
        <v>63</v>
      </c>
      <c r="G48" s="534" t="s">
        <v>64</v>
      </c>
      <c r="H48" s="534" t="s">
        <v>55</v>
      </c>
      <c r="I48" s="534">
        <f>400+8</f>
        <v>408</v>
      </c>
      <c r="J48" s="534" t="s">
        <v>56</v>
      </c>
      <c r="K48" s="534">
        <f>L48-1.35</f>
        <v>27.3</v>
      </c>
      <c r="L48" s="534">
        <v>28.65</v>
      </c>
      <c r="M48" s="536">
        <v>0.11</v>
      </c>
    </row>
    <row r="49" s="412" customFormat="1" ht="35.25" customHeight="1" spans="1:14">
      <c r="A49" s="533"/>
      <c r="B49" s="534" t="s">
        <v>50</v>
      </c>
      <c r="C49" s="535" t="s">
        <v>51</v>
      </c>
      <c r="D49" s="534">
        <v>1051120</v>
      </c>
      <c r="E49" s="534" t="s">
        <v>73</v>
      </c>
      <c r="F49" s="534" t="s">
        <v>67</v>
      </c>
      <c r="G49" s="534" t="s">
        <v>68</v>
      </c>
      <c r="H49" s="534" t="s">
        <v>55</v>
      </c>
      <c r="I49" s="534">
        <v>560</v>
      </c>
      <c r="J49" s="534" t="s">
        <v>56</v>
      </c>
      <c r="K49" s="534">
        <f>L49-1.35</f>
        <v>16.45</v>
      </c>
      <c r="L49" s="534">
        <v>17.8</v>
      </c>
      <c r="M49" s="538">
        <f>65*49*20/1000000</f>
        <v>0.0637</v>
      </c>
    </row>
    <row r="50" s="413" customFormat="1" ht="63" customHeight="1" spans="1:14">
      <c r="A50" s="539" t="s">
        <v>74</v>
      </c>
      <c r="B50" s="540"/>
      <c r="C50" s="541"/>
      <c r="D50" s="542"/>
      <c r="E50" s="543">
        <f>PKL!E57</f>
        <v>18</v>
      </c>
      <c r="F50" s="544"/>
      <c r="G50" s="544"/>
      <c r="H50" s="545"/>
      <c r="I50" s="546">
        <f>SUM(I32:I49)</f>
        <v>19888</v>
      </c>
      <c r="J50" s="547" t="s">
        <v>56</v>
      </c>
      <c r="K50" s="548">
        <f>SUM(K32:K49)</f>
        <v>491.85</v>
      </c>
      <c r="L50" s="548">
        <f>SUM(L32:L49)</f>
        <v>516.15</v>
      </c>
      <c r="M50" s="549">
        <f>SUM(M32:M49)</f>
        <v>1.9337</v>
      </c>
      <c r="N50" s="550"/>
    </row>
    <row r="51" s="411" customFormat="1" ht="27.75" customHeight="1" spans="1:14">
      <c r="A51" s="263" t="s">
        <v>75</v>
      </c>
      <c r="B51" s="551"/>
      <c r="C51" s="551"/>
      <c r="D51" s="552"/>
      <c r="E51" s="552"/>
      <c r="F51" s="552"/>
      <c r="G51" s="552"/>
      <c r="H51" s="552"/>
      <c r="I51" s="552"/>
      <c r="J51" s="552"/>
      <c r="K51" s="552"/>
      <c r="L51" s="553"/>
      <c r="M51" s="553"/>
      <c r="N51" s="553"/>
    </row>
    <row r="52" s="411" customFormat="1" ht="24.75" customHeight="1" spans="1:14">
      <c r="A52" s="554"/>
      <c r="B52" s="555"/>
      <c r="C52" s="555"/>
      <c r="D52" s="553"/>
      <c r="E52" s="556"/>
      <c r="F52" s="556"/>
      <c r="G52" s="556"/>
      <c r="H52" s="556"/>
      <c r="I52" s="557" t="s">
        <v>76</v>
      </c>
      <c r="J52" s="557"/>
      <c r="K52" s="557"/>
      <c r="L52" s="557"/>
      <c r="M52" s="557"/>
      <c r="N52" s="557"/>
    </row>
    <row r="53" s="411" customFormat="1" ht="24.75" customHeight="1" spans="1:14">
      <c r="A53" s="558"/>
      <c r="B53" s="559"/>
      <c r="C53" s="559"/>
      <c r="D53" s="559"/>
      <c r="E53" s="560"/>
      <c r="F53" s="560"/>
      <c r="G53" s="553"/>
      <c r="H53" s="561"/>
      <c r="I53" s="562" t="s">
        <v>77</v>
      </c>
      <c r="J53" s="562"/>
      <c r="K53" s="562"/>
      <c r="L53" s="562"/>
      <c r="M53" s="562"/>
      <c r="N53" s="562"/>
    </row>
    <row r="54" s="414" customFormat="1" spans="1:14">
      <c r="A54" s="563"/>
      <c r="B54" s="564"/>
      <c r="C54" s="565"/>
      <c r="D54" s="565"/>
      <c r="E54" s="565"/>
      <c r="F54" s="565"/>
      <c r="G54" s="566"/>
      <c r="H54" s="566"/>
      <c r="I54" s="565"/>
      <c r="J54" s="564"/>
      <c r="K54" s="565"/>
      <c r="L54" s="565"/>
      <c r="M54" s="565"/>
      <c r="N54" s="564"/>
    </row>
  </sheetData>
  <autoFilter xmlns:etc="http://www.wps.cn/officeDocument/2017/etCustomData" ref="A31:N54" etc:filterBottomFollowUsedRange="0">
    <extLst/>
  </autoFilter>
  <mergeCells count="30">
    <mergeCell ref="A1:M1"/>
    <mergeCell ref="A2:M2"/>
    <mergeCell ref="A3:M3"/>
    <mergeCell ref="L7:M7"/>
    <mergeCell ref="A8:F8"/>
    <mergeCell ref="L9:M9"/>
    <mergeCell ref="A11:E11"/>
    <mergeCell ref="A12:G12"/>
    <mergeCell ref="L12:M12"/>
    <mergeCell ref="A13:E13"/>
    <mergeCell ref="L13:M13"/>
    <mergeCell ref="L14:M14"/>
    <mergeCell ref="A17:F17"/>
    <mergeCell ref="L17:M17"/>
    <mergeCell ref="L18:M18"/>
    <mergeCell ref="A20:E20"/>
    <mergeCell ref="L20:M20"/>
    <mergeCell ref="A21:E21"/>
    <mergeCell ref="A22:E22"/>
    <mergeCell ref="A50:B50"/>
    <mergeCell ref="A51:C51"/>
    <mergeCell ref="I52:N52"/>
    <mergeCell ref="I53:N53"/>
    <mergeCell ref="K39:K40"/>
    <mergeCell ref="K41:K42"/>
    <mergeCell ref="L39:L40"/>
    <mergeCell ref="L41:L42"/>
    <mergeCell ref="M39:M40"/>
    <mergeCell ref="M41:M42"/>
    <mergeCell ref="A4:M5"/>
  </mergeCells>
  <hyperlinks>
    <hyperlink ref="A9" r:id="rId1" display="TEL:(+84)-723-643-733;       (+84)-723-643-734                                         FAX: (+84)-723-643-735"/>
    <hyperlink ref="A3" r:id="rId1" display="TEL:(+84)-723-643-733;       (+84)-723-643-734                                         FAX: (+84)-723-643-735"/>
  </hyperlinks>
  <pageMargins left="0.17" right="0.17" top="0.17" bottom="0.17" header="0.17" footer="0.17"/>
  <pageSetup paperSize="9" scale="33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102"/>
  <sheetViews>
    <sheetView view="pageBreakPreview" zoomScale="70" zoomScaleNormal="70" topLeftCell="A28" workbookViewId="0">
      <selection activeCell="K18" sqref="K$1:XFD$1048576"/>
    </sheetView>
  </sheetViews>
  <sheetFormatPr defaultColWidth="9" defaultRowHeight="14"/>
  <cols>
    <col min="1" max="1" width="34.2909090909091" customWidth="1"/>
    <col min="2" max="2" width="38.8545454545455" customWidth="1"/>
    <col min="3" max="3" width="23.8545454545455" customWidth="1"/>
    <col min="4" max="4" width="48.1363636363636" customWidth="1"/>
    <col min="5" max="5" width="29.2909090909091" customWidth="1"/>
    <col min="6" max="6" width="33.1363636363636" customWidth="1"/>
    <col min="7" max="7" width="24.4272727272727" customWidth="1"/>
    <col min="8" max="9" width="17.5727272727273" customWidth="1"/>
    <col min="10" max="10" width="21.7090909090909" customWidth="1"/>
  </cols>
  <sheetData>
    <row r="1" ht="36.75" customHeight="1" spans="1:10">
      <c r="A1" s="281" t="s">
        <v>76</v>
      </c>
      <c r="B1" s="282"/>
      <c r="C1" s="282"/>
      <c r="D1" s="282"/>
      <c r="E1" s="282"/>
      <c r="F1" s="282"/>
      <c r="G1" s="282"/>
      <c r="H1" s="282"/>
      <c r="I1" s="282"/>
      <c r="J1" s="283"/>
    </row>
    <row r="2" ht="30.75" customHeight="1" spans="1:10">
      <c r="A2" s="284" t="s">
        <v>1</v>
      </c>
      <c r="B2" s="285"/>
      <c r="C2" s="285"/>
      <c r="D2" s="285"/>
      <c r="E2" s="285"/>
      <c r="F2" s="285"/>
      <c r="G2" s="285"/>
      <c r="H2" s="285"/>
      <c r="I2" s="285"/>
      <c r="J2" s="286"/>
    </row>
    <row r="3" ht="29.25" customHeight="1" spans="1:10">
      <c r="A3" s="287" t="s">
        <v>2</v>
      </c>
      <c r="B3" s="288"/>
      <c r="C3" s="288"/>
      <c r="D3" s="288"/>
      <c r="E3" s="288"/>
      <c r="F3" s="288"/>
      <c r="G3" s="288"/>
      <c r="H3" s="288"/>
      <c r="I3" s="288"/>
      <c r="J3" s="289"/>
    </row>
    <row r="4" ht="28.75" spans="1:10">
      <c r="A4" s="290" t="s">
        <v>78</v>
      </c>
      <c r="B4" s="291"/>
      <c r="C4" s="291"/>
      <c r="D4" s="291"/>
      <c r="E4" s="291"/>
      <c r="F4" s="291"/>
      <c r="G4" s="291"/>
      <c r="H4" s="291"/>
      <c r="I4" s="291"/>
      <c r="J4" s="292"/>
    </row>
    <row r="5" ht="15.5" spans="1:10">
      <c r="A5" s="293" t="s">
        <v>4</v>
      </c>
      <c r="B5" s="294"/>
      <c r="C5" s="294"/>
      <c r="D5" s="295"/>
      <c r="E5" s="295"/>
      <c r="F5" s="296" t="s">
        <v>8</v>
      </c>
      <c r="G5" s="297"/>
      <c r="H5" s="298"/>
      <c r="I5" s="298"/>
      <c r="J5" s="299"/>
    </row>
    <row r="6" ht="15.5" spans="1:10">
      <c r="A6" s="300" t="s">
        <v>6</v>
      </c>
      <c r="B6" s="295"/>
      <c r="C6" s="295"/>
      <c r="D6" s="295"/>
      <c r="E6" s="295"/>
      <c r="F6" s="301" t="str">
        <f>PKL!J7</f>
        <v>AK/GDI-20260013</v>
      </c>
      <c r="G6" s="302">
        <f>PKL!L7</f>
        <v>46174</v>
      </c>
      <c r="H6" s="302"/>
      <c r="I6" s="303"/>
      <c r="J6" s="304"/>
    </row>
    <row r="7" ht="15.5" spans="1:10">
      <c r="A7" s="305" t="s">
        <v>79</v>
      </c>
      <c r="B7" s="306"/>
      <c r="C7" s="306"/>
      <c r="D7" s="306"/>
      <c r="E7" s="306"/>
      <c r="F7" s="307" t="s">
        <v>80</v>
      </c>
      <c r="G7" s="308"/>
      <c r="H7" s="309"/>
      <c r="I7" s="298"/>
      <c r="J7" s="310"/>
    </row>
    <row r="8" ht="15.5" spans="1:10">
      <c r="A8" s="311" t="s">
        <v>81</v>
      </c>
      <c r="B8" s="312"/>
      <c r="C8" s="312"/>
      <c r="D8" s="312"/>
      <c r="E8" s="313"/>
      <c r="F8" s="314"/>
      <c r="G8" s="315"/>
      <c r="H8" s="315"/>
      <c r="I8" s="298"/>
      <c r="J8" s="304"/>
    </row>
    <row r="9" ht="15.5" spans="1:10">
      <c r="A9" s="316" t="s">
        <v>82</v>
      </c>
      <c r="B9" s="317"/>
      <c r="C9" s="317"/>
      <c r="D9" s="312"/>
      <c r="E9" s="313"/>
      <c r="F9" s="318" t="str">
        <f>PKL!J12</f>
        <v>AK/GDI/CT-202603</v>
      </c>
      <c r="G9" s="315">
        <f>PKL!L12</f>
        <v>46163</v>
      </c>
      <c r="H9" s="319"/>
      <c r="I9" s="298"/>
      <c r="J9" s="304"/>
    </row>
    <row r="10" ht="15.5" spans="1:10">
      <c r="A10" s="320" t="s">
        <v>9</v>
      </c>
      <c r="B10" s="321"/>
      <c r="C10" s="321"/>
      <c r="D10" s="322"/>
      <c r="E10" s="323"/>
      <c r="F10" s="324"/>
      <c r="G10" s="325"/>
      <c r="H10" s="326"/>
      <c r="I10" s="327"/>
      <c r="J10" s="310"/>
    </row>
    <row r="11" ht="15.5" spans="1:10">
      <c r="A11" s="328" t="s">
        <v>10</v>
      </c>
      <c r="B11" s="329"/>
      <c r="C11" s="329"/>
      <c r="D11" s="329"/>
      <c r="E11" s="330"/>
      <c r="F11" s="331"/>
      <c r="G11" s="332"/>
      <c r="H11" s="332"/>
      <c r="I11" s="298"/>
      <c r="J11" s="304"/>
    </row>
    <row r="12" ht="15.5" spans="1:10">
      <c r="A12" s="333" t="s">
        <v>12</v>
      </c>
      <c r="B12" s="334"/>
      <c r="C12" s="334"/>
      <c r="D12" s="334"/>
      <c r="E12" s="335"/>
      <c r="F12" s="331"/>
      <c r="G12" s="332"/>
      <c r="H12" s="332"/>
      <c r="I12" s="298"/>
      <c r="J12" s="304"/>
    </row>
    <row r="13" ht="15.5" spans="1:10">
      <c r="A13" s="333" t="s">
        <v>14</v>
      </c>
      <c r="B13" s="334"/>
      <c r="C13" s="334"/>
      <c r="D13" s="334"/>
      <c r="E13" s="335"/>
      <c r="F13" s="331"/>
      <c r="G13" s="332"/>
      <c r="H13" s="332"/>
      <c r="I13" s="298"/>
      <c r="J13" s="304"/>
    </row>
    <row r="14" ht="15.5" spans="1:10">
      <c r="A14" s="333"/>
      <c r="B14" s="334"/>
      <c r="C14" s="334"/>
      <c r="D14" s="334"/>
      <c r="E14" s="335"/>
      <c r="F14" s="336"/>
      <c r="G14" s="337"/>
      <c r="H14" s="337"/>
      <c r="I14" s="303"/>
      <c r="J14" s="304"/>
    </row>
    <row r="15" ht="15.5" spans="1:10">
      <c r="A15" s="338" t="s">
        <v>15</v>
      </c>
      <c r="B15" s="339"/>
      <c r="C15" s="340"/>
      <c r="D15" s="340"/>
      <c r="E15" s="341"/>
      <c r="F15" s="342" t="s">
        <v>83</v>
      </c>
      <c r="G15" s="343"/>
      <c r="H15" s="343"/>
      <c r="I15" s="298"/>
      <c r="J15" s="304"/>
    </row>
    <row r="16" ht="15.5" spans="1:10">
      <c r="A16" s="344" t="str">
        <f>PKL!A17</f>
        <v>PT NIRWANA ALABARE GARMENT</v>
      </c>
      <c r="B16" s="345"/>
      <c r="C16" s="345"/>
      <c r="D16" s="345"/>
      <c r="E16" s="345"/>
      <c r="F16" s="346" t="s">
        <v>84</v>
      </c>
      <c r="G16" s="343"/>
      <c r="H16" s="343"/>
      <c r="I16" s="298"/>
      <c r="J16" s="304"/>
    </row>
    <row r="17" ht="15.5" spans="1:10">
      <c r="A17" s="347" t="str">
        <f>PKL!A18</f>
        <v>JL. RAYA RANCAEKEK - MAJALAYA , NO.289, DESA SOLOKAN JERUK, </v>
      </c>
      <c r="B17" s="348"/>
      <c r="C17" s="349"/>
      <c r="D17" s="349"/>
      <c r="E17" s="350"/>
      <c r="F17" s="312"/>
      <c r="G17" s="343"/>
      <c r="H17" s="343"/>
      <c r="I17" s="298"/>
      <c r="J17" s="304"/>
    </row>
    <row r="18" ht="15.5" spans="1:10">
      <c r="A18" s="347" t="str">
        <f>PKL!A19</f>
        <v>KECAMATAN SOLOKAN JERUK, KABUPATEN BANDUNG JAWA BARAT</v>
      </c>
      <c r="B18" s="348"/>
      <c r="C18" s="349"/>
      <c r="D18" s="349"/>
      <c r="E18" s="350"/>
      <c r="F18" s="312"/>
      <c r="G18" s="343"/>
      <c r="H18" s="343"/>
      <c r="I18" s="298"/>
      <c r="J18" s="351"/>
    </row>
    <row r="19" ht="15.5" spans="1:10">
      <c r="A19" s="352" t="str">
        <f>PKL!A20</f>
        <v>40382, INDONESIA</v>
      </c>
      <c r="B19" s="353"/>
      <c r="C19" s="353"/>
      <c r="D19" s="353"/>
      <c r="E19" s="354"/>
      <c r="F19" s="355"/>
      <c r="G19" s="356"/>
      <c r="H19" s="356"/>
      <c r="I19" s="327"/>
      <c r="J19" s="304"/>
    </row>
    <row r="20" ht="22.5" customHeight="1" spans="1:10">
      <c r="A20" s="352" t="str">
        <f>PKL!A21</f>
        <v>TAX ID :0745 4069 2644 4000</v>
      </c>
      <c r="B20" s="353"/>
      <c r="C20" s="353"/>
      <c r="D20" s="353"/>
      <c r="E20" s="354"/>
      <c r="F20" s="357"/>
      <c r="G20" s="343"/>
      <c r="H20" s="343"/>
      <c r="I20" s="298"/>
      <c r="J20" s="304"/>
    </row>
    <row r="21" ht="35.25" customHeight="1" spans="1:10">
      <c r="A21" s="358" t="s">
        <v>21</v>
      </c>
      <c r="B21" s="359"/>
      <c r="C21" s="359"/>
      <c r="D21" s="359"/>
      <c r="E21" s="360"/>
      <c r="F21" s="357"/>
      <c r="G21" s="343"/>
      <c r="H21" s="343"/>
      <c r="I21" s="298"/>
      <c r="J21" s="304"/>
    </row>
    <row r="22" ht="15.5" spans="1:10">
      <c r="A22" s="352"/>
      <c r="B22" s="353"/>
      <c r="C22" s="353"/>
      <c r="D22" s="353"/>
      <c r="E22" s="361"/>
      <c r="F22" s="362"/>
      <c r="G22" s="343"/>
      <c r="H22" s="343"/>
      <c r="I22" s="298"/>
      <c r="J22" s="304"/>
    </row>
    <row r="23" ht="15.5" spans="1:10">
      <c r="A23" s="293" t="s">
        <v>22</v>
      </c>
      <c r="B23" s="294"/>
      <c r="C23" s="296" t="s">
        <v>23</v>
      </c>
      <c r="D23" s="295"/>
      <c r="E23" s="361"/>
      <c r="F23" s="362"/>
      <c r="G23" s="343"/>
      <c r="H23" s="343"/>
      <c r="I23" s="298"/>
      <c r="J23" s="304"/>
    </row>
    <row r="24" ht="15.5" spans="1:10">
      <c r="A24" s="305" t="str">
        <f>PKL!A26</f>
        <v>HO CHI MINH</v>
      </c>
      <c r="B24" s="306"/>
      <c r="C24" s="363" t="str">
        <f>PKL!E26</f>
        <v>JAKARTA</v>
      </c>
      <c r="D24" s="364"/>
      <c r="E24" s="361"/>
      <c r="F24" s="362"/>
      <c r="G24" s="343"/>
      <c r="H24" s="343"/>
      <c r="I24" s="298"/>
      <c r="J24" s="304"/>
    </row>
    <row r="25" ht="15.5" spans="1:10">
      <c r="A25" s="365"/>
      <c r="B25" s="366"/>
      <c r="C25" s="306"/>
      <c r="D25" s="312"/>
      <c r="E25" s="367"/>
      <c r="F25" s="362"/>
      <c r="G25" s="343"/>
      <c r="H25" s="343"/>
      <c r="I25" s="298"/>
      <c r="J25" s="304"/>
    </row>
    <row r="26" ht="15.5" spans="1:10">
      <c r="A26" s="352"/>
      <c r="B26" s="353"/>
      <c r="C26" s="353"/>
      <c r="D26" s="353"/>
      <c r="E26" s="361"/>
      <c r="F26" s="362"/>
      <c r="G26" s="343"/>
      <c r="H26" s="343"/>
      <c r="I26" s="298"/>
      <c r="J26" s="304"/>
    </row>
    <row r="27" ht="16.5" customHeight="1" spans="1:10">
      <c r="A27" s="320" t="s">
        <v>31</v>
      </c>
      <c r="B27" s="368"/>
      <c r="C27" s="369" t="s">
        <v>32</v>
      </c>
      <c r="D27" s="370" t="s">
        <v>33</v>
      </c>
      <c r="E27" s="370"/>
      <c r="F27" s="371"/>
      <c r="G27" s="372"/>
      <c r="H27" s="373"/>
      <c r="I27" s="327"/>
      <c r="J27" s="310"/>
    </row>
    <row r="28" ht="78" customHeight="1" spans="1:10">
      <c r="A28" s="374" t="str">
        <f>PKL!A29</f>
        <v>HF LUCKY 2609S</v>
      </c>
      <c r="B28" s="375"/>
      <c r="C28" s="376">
        <v>46180</v>
      </c>
      <c r="D28" s="377">
        <v>46183</v>
      </c>
      <c r="E28" s="378"/>
      <c r="F28" s="346" t="s">
        <v>85</v>
      </c>
      <c r="G28" s="379"/>
      <c r="H28" s="379"/>
      <c r="I28" s="379"/>
      <c r="J28" s="380"/>
    </row>
    <row r="29" s="276" customFormat="1" ht="51" customHeight="1" spans="1:10">
      <c r="A29" s="381" t="s">
        <v>86</v>
      </c>
      <c r="B29" s="382" t="s">
        <v>87</v>
      </c>
      <c r="C29" s="382" t="s">
        <v>41</v>
      </c>
      <c r="D29" s="382" t="s">
        <v>88</v>
      </c>
      <c r="E29" s="382" t="s">
        <v>42</v>
      </c>
      <c r="F29" s="382" t="s">
        <v>43</v>
      </c>
      <c r="G29" s="383" t="s">
        <v>89</v>
      </c>
      <c r="H29" s="384" t="s">
        <v>90</v>
      </c>
      <c r="I29" s="384" t="s">
        <v>91</v>
      </c>
      <c r="J29" s="385" t="s">
        <v>92</v>
      </c>
    </row>
    <row r="30" s="277" customFormat="1" ht="69" customHeight="1" spans="1:10">
      <c r="A30" s="386" t="s">
        <v>50</v>
      </c>
      <c r="B30" s="387" t="s">
        <v>55</v>
      </c>
      <c r="C30" s="217">
        <v>1051120</v>
      </c>
      <c r="D30" s="136" t="s">
        <v>93</v>
      </c>
      <c r="E30" s="581" t="s">
        <v>52</v>
      </c>
      <c r="F30" s="218" t="s">
        <v>53</v>
      </c>
      <c r="G30" s="217">
        <v>1003</v>
      </c>
      <c r="H30" s="217" t="s">
        <v>56</v>
      </c>
      <c r="I30" s="136">
        <v>0.19</v>
      </c>
      <c r="J30" s="137">
        <f>ROUND(G30*I30,2)</f>
        <v>190.57</v>
      </c>
    </row>
    <row r="31" s="278" customFormat="1" ht="69" customHeight="1" spans="1:10">
      <c r="A31" s="388" t="s">
        <v>50</v>
      </c>
      <c r="B31" s="389" t="s">
        <v>55</v>
      </c>
      <c r="C31" s="217">
        <v>1051120</v>
      </c>
      <c r="D31" s="136" t="s">
        <v>93</v>
      </c>
      <c r="E31" s="581" t="s">
        <v>52</v>
      </c>
      <c r="F31" s="218" t="s">
        <v>57</v>
      </c>
      <c r="G31" s="217">
        <v>1266</v>
      </c>
      <c r="H31" s="217" t="s">
        <v>56</v>
      </c>
      <c r="I31" s="136">
        <v>0.19</v>
      </c>
      <c r="J31" s="137">
        <f t="shared" ref="J31:J47" si="0">ROUND(G31*I31,2)</f>
        <v>240.54</v>
      </c>
    </row>
    <row r="32" s="278" customFormat="1" ht="69" customHeight="1" spans="1:10">
      <c r="A32" s="388" t="s">
        <v>50</v>
      </c>
      <c r="B32" s="389" t="s">
        <v>55</v>
      </c>
      <c r="C32" s="217">
        <v>1051120</v>
      </c>
      <c r="D32" s="136" t="s">
        <v>93</v>
      </c>
      <c r="E32" s="581" t="s">
        <v>52</v>
      </c>
      <c r="F32" s="218" t="s">
        <v>59</v>
      </c>
      <c r="G32" s="217">
        <v>1556</v>
      </c>
      <c r="H32" s="217" t="s">
        <v>56</v>
      </c>
      <c r="I32" s="136">
        <v>0.19</v>
      </c>
      <c r="J32" s="137">
        <f t="shared" si="0"/>
        <v>295.64</v>
      </c>
    </row>
    <row r="33" s="278" customFormat="1" ht="69" customHeight="1" spans="1:10">
      <c r="A33" s="388" t="s">
        <v>50</v>
      </c>
      <c r="B33" s="389" t="s">
        <v>55</v>
      </c>
      <c r="C33" s="217">
        <v>1051120</v>
      </c>
      <c r="D33" s="136" t="s">
        <v>93</v>
      </c>
      <c r="E33" s="581" t="s">
        <v>52</v>
      </c>
      <c r="F33" s="218" t="s">
        <v>61</v>
      </c>
      <c r="G33" s="217">
        <v>2648</v>
      </c>
      <c r="H33" s="217" t="s">
        <v>56</v>
      </c>
      <c r="I33" s="136">
        <v>0.19</v>
      </c>
      <c r="J33" s="137">
        <f t="shared" si="0"/>
        <v>503.12</v>
      </c>
    </row>
    <row r="34" s="278" customFormat="1" ht="69" customHeight="1" spans="1:10">
      <c r="A34" s="388" t="s">
        <v>50</v>
      </c>
      <c r="B34" s="389" t="s">
        <v>55</v>
      </c>
      <c r="C34" s="217">
        <v>1051120</v>
      </c>
      <c r="D34" s="136" t="s">
        <v>93</v>
      </c>
      <c r="E34" s="581" t="s">
        <v>52</v>
      </c>
      <c r="F34" s="218" t="s">
        <v>65</v>
      </c>
      <c r="G34" s="217">
        <v>1710</v>
      </c>
      <c r="H34" s="217" t="s">
        <v>56</v>
      </c>
      <c r="I34" s="136">
        <v>0.19</v>
      </c>
      <c r="J34" s="137">
        <f t="shared" si="0"/>
        <v>324.9</v>
      </c>
    </row>
    <row r="35" s="278" customFormat="1" ht="69" customHeight="1" spans="1:10">
      <c r="A35" s="388" t="s">
        <v>50</v>
      </c>
      <c r="B35" s="389" t="s">
        <v>55</v>
      </c>
      <c r="C35" s="217">
        <v>1051120</v>
      </c>
      <c r="D35" s="136" t="s">
        <v>93</v>
      </c>
      <c r="E35" s="581" t="s">
        <v>52</v>
      </c>
      <c r="F35" s="218" t="s">
        <v>69</v>
      </c>
      <c r="G35" s="217">
        <v>877</v>
      </c>
      <c r="H35" s="217" t="s">
        <v>56</v>
      </c>
      <c r="I35" s="136">
        <v>0.19</v>
      </c>
      <c r="J35" s="137">
        <f t="shared" si="0"/>
        <v>166.63</v>
      </c>
    </row>
    <row r="36" s="278" customFormat="1" ht="69" customHeight="1" spans="1:10">
      <c r="A36" s="388" t="s">
        <v>50</v>
      </c>
      <c r="B36" s="389" t="s">
        <v>55</v>
      </c>
      <c r="C36" s="217">
        <v>1051120</v>
      </c>
      <c r="D36" s="136" t="s">
        <v>93</v>
      </c>
      <c r="E36" s="581" t="s">
        <v>52</v>
      </c>
      <c r="F36" s="218" t="s">
        <v>71</v>
      </c>
      <c r="G36" s="217">
        <v>202</v>
      </c>
      <c r="H36" s="217" t="s">
        <v>56</v>
      </c>
      <c r="I36" s="136">
        <v>0.19</v>
      </c>
      <c r="J36" s="137">
        <f t="shared" si="0"/>
        <v>38.38</v>
      </c>
    </row>
    <row r="37" s="278" customFormat="1" ht="69" customHeight="1" spans="1:10">
      <c r="A37" s="388" t="s">
        <v>50</v>
      </c>
      <c r="B37" s="389" t="s">
        <v>55</v>
      </c>
      <c r="C37" s="217">
        <v>1051120</v>
      </c>
      <c r="D37" s="136" t="s">
        <v>93</v>
      </c>
      <c r="E37" s="581" t="s">
        <v>52</v>
      </c>
      <c r="F37" s="218" t="s">
        <v>63</v>
      </c>
      <c r="G37" s="217">
        <v>414</v>
      </c>
      <c r="H37" s="217" t="s">
        <v>56</v>
      </c>
      <c r="I37" s="136">
        <v>0.19</v>
      </c>
      <c r="J37" s="137">
        <f t="shared" si="0"/>
        <v>78.66</v>
      </c>
    </row>
    <row r="38" s="278" customFormat="1" ht="69" customHeight="1" spans="1:10">
      <c r="A38" s="388" t="s">
        <v>50</v>
      </c>
      <c r="B38" s="389" t="s">
        <v>55</v>
      </c>
      <c r="C38" s="217">
        <v>1051120</v>
      </c>
      <c r="D38" s="136" t="s">
        <v>93</v>
      </c>
      <c r="E38" s="581" t="s">
        <v>52</v>
      </c>
      <c r="F38" s="218" t="s">
        <v>67</v>
      </c>
      <c r="G38" s="217">
        <v>607</v>
      </c>
      <c r="H38" s="217" t="s">
        <v>56</v>
      </c>
      <c r="I38" s="136">
        <v>0.19</v>
      </c>
      <c r="J38" s="137">
        <f t="shared" si="0"/>
        <v>115.33</v>
      </c>
    </row>
    <row r="39" s="278" customFormat="1" ht="69" customHeight="1" spans="1:10">
      <c r="A39" s="388" t="s">
        <v>50</v>
      </c>
      <c r="B39" s="389" t="s">
        <v>55</v>
      </c>
      <c r="C39" s="217">
        <v>1051120</v>
      </c>
      <c r="D39" s="136" t="s">
        <v>93</v>
      </c>
      <c r="E39" s="581" t="s">
        <v>73</v>
      </c>
      <c r="F39" s="218" t="s">
        <v>53</v>
      </c>
      <c r="G39" s="217">
        <v>849</v>
      </c>
      <c r="H39" s="217" t="s">
        <v>56</v>
      </c>
      <c r="I39" s="136">
        <v>0.182</v>
      </c>
      <c r="J39" s="137">
        <f t="shared" si="0"/>
        <v>154.52</v>
      </c>
    </row>
    <row r="40" s="278" customFormat="1" ht="69" customHeight="1" spans="1:10">
      <c r="A40" s="388" t="s">
        <v>50</v>
      </c>
      <c r="B40" s="389" t="s">
        <v>55</v>
      </c>
      <c r="C40" s="217">
        <v>1051120</v>
      </c>
      <c r="D40" s="136" t="s">
        <v>93</v>
      </c>
      <c r="E40" s="581" t="s">
        <v>73</v>
      </c>
      <c r="F40" s="218" t="s">
        <v>57</v>
      </c>
      <c r="G40" s="217">
        <v>1363</v>
      </c>
      <c r="H40" s="217" t="s">
        <v>56</v>
      </c>
      <c r="I40" s="136">
        <v>0.182</v>
      </c>
      <c r="J40" s="137">
        <f t="shared" si="0"/>
        <v>248.07</v>
      </c>
    </row>
    <row r="41" s="278" customFormat="1" ht="69" customHeight="1" spans="1:10">
      <c r="A41" s="388" t="s">
        <v>50</v>
      </c>
      <c r="B41" s="389" t="s">
        <v>55</v>
      </c>
      <c r="C41" s="217">
        <v>1051120</v>
      </c>
      <c r="D41" s="136" t="s">
        <v>93</v>
      </c>
      <c r="E41" s="581" t="s">
        <v>73</v>
      </c>
      <c r="F41" s="218" t="s">
        <v>59</v>
      </c>
      <c r="G41" s="217">
        <v>1680</v>
      </c>
      <c r="H41" s="217" t="s">
        <v>56</v>
      </c>
      <c r="I41" s="136">
        <v>0.182</v>
      </c>
      <c r="J41" s="137">
        <f t="shared" si="0"/>
        <v>305.76</v>
      </c>
    </row>
    <row r="42" s="278" customFormat="1" ht="69" customHeight="1" spans="1:10">
      <c r="A42" s="388" t="s">
        <v>50</v>
      </c>
      <c r="B42" s="389" t="s">
        <v>55</v>
      </c>
      <c r="C42" s="217">
        <v>1051120</v>
      </c>
      <c r="D42" s="136" t="s">
        <v>93</v>
      </c>
      <c r="E42" s="581" t="s">
        <v>73</v>
      </c>
      <c r="F42" s="218" t="s">
        <v>61</v>
      </c>
      <c r="G42" s="217">
        <v>2153</v>
      </c>
      <c r="H42" s="217" t="s">
        <v>56</v>
      </c>
      <c r="I42" s="136">
        <v>0.182</v>
      </c>
      <c r="J42" s="137">
        <f t="shared" si="0"/>
        <v>391.85</v>
      </c>
    </row>
    <row r="43" s="278" customFormat="1" ht="69" customHeight="1" spans="1:10">
      <c r="A43" s="388" t="s">
        <v>50</v>
      </c>
      <c r="B43" s="389" t="s">
        <v>55</v>
      </c>
      <c r="C43" s="217">
        <v>1051120</v>
      </c>
      <c r="D43" s="136" t="s">
        <v>93</v>
      </c>
      <c r="E43" s="581" t="s">
        <v>73</v>
      </c>
      <c r="F43" s="218" t="s">
        <v>65</v>
      </c>
      <c r="G43" s="217">
        <v>1696</v>
      </c>
      <c r="H43" s="217" t="s">
        <v>56</v>
      </c>
      <c r="I43" s="136">
        <v>0.182</v>
      </c>
      <c r="J43" s="137">
        <f t="shared" si="0"/>
        <v>308.67</v>
      </c>
    </row>
    <row r="44" s="278" customFormat="1" ht="69" customHeight="1" spans="1:10">
      <c r="A44" s="388" t="s">
        <v>50</v>
      </c>
      <c r="B44" s="389" t="s">
        <v>55</v>
      </c>
      <c r="C44" s="217">
        <v>1051120</v>
      </c>
      <c r="D44" s="136" t="s">
        <v>93</v>
      </c>
      <c r="E44" s="581" t="s">
        <v>73</v>
      </c>
      <c r="F44" s="218" t="s">
        <v>69</v>
      </c>
      <c r="G44" s="217">
        <v>684</v>
      </c>
      <c r="H44" s="217" t="s">
        <v>56</v>
      </c>
      <c r="I44" s="136">
        <v>0.182</v>
      </c>
      <c r="J44" s="137">
        <f t="shared" si="0"/>
        <v>124.49</v>
      </c>
    </row>
    <row r="45" s="278" customFormat="1" ht="69" customHeight="1" spans="1:10">
      <c r="A45" s="388" t="s">
        <v>50</v>
      </c>
      <c r="B45" s="389" t="s">
        <v>55</v>
      </c>
      <c r="C45" s="217">
        <v>1051120</v>
      </c>
      <c r="D45" s="136" t="s">
        <v>93</v>
      </c>
      <c r="E45" s="581" t="s">
        <v>73</v>
      </c>
      <c r="F45" s="218" t="s">
        <v>71</v>
      </c>
      <c r="G45" s="217">
        <v>212</v>
      </c>
      <c r="H45" s="217" t="s">
        <v>56</v>
      </c>
      <c r="I45" s="136">
        <v>0.182</v>
      </c>
      <c r="J45" s="137">
        <f t="shared" si="0"/>
        <v>38.58</v>
      </c>
    </row>
    <row r="46" s="278" customFormat="1" ht="69" customHeight="1" spans="1:10">
      <c r="A46" s="388" t="s">
        <v>50</v>
      </c>
      <c r="B46" s="389" t="s">
        <v>55</v>
      </c>
      <c r="C46" s="217">
        <v>1051120</v>
      </c>
      <c r="D46" s="136" t="s">
        <v>93</v>
      </c>
      <c r="E46" s="581" t="s">
        <v>73</v>
      </c>
      <c r="F46" s="218" t="s">
        <v>63</v>
      </c>
      <c r="G46" s="217">
        <v>408</v>
      </c>
      <c r="H46" s="217" t="s">
        <v>56</v>
      </c>
      <c r="I46" s="136">
        <v>0.182</v>
      </c>
      <c r="J46" s="137">
        <f t="shared" si="0"/>
        <v>74.26</v>
      </c>
    </row>
    <row r="47" s="278" customFormat="1" ht="69" customHeight="1" spans="1:10">
      <c r="A47" s="388" t="s">
        <v>50</v>
      </c>
      <c r="B47" s="389" t="s">
        <v>55</v>
      </c>
      <c r="C47" s="217">
        <v>1051120</v>
      </c>
      <c r="D47" s="136" t="s">
        <v>93</v>
      </c>
      <c r="E47" s="581" t="s">
        <v>73</v>
      </c>
      <c r="F47" s="218" t="s">
        <v>67</v>
      </c>
      <c r="G47" s="217">
        <v>560</v>
      </c>
      <c r="H47" s="217" t="s">
        <v>56</v>
      </c>
      <c r="I47" s="136">
        <v>0.182</v>
      </c>
      <c r="J47" s="137">
        <f t="shared" si="0"/>
        <v>101.92</v>
      </c>
    </row>
    <row r="48" s="279" customFormat="1" ht="69" customHeight="1" spans="1:10">
      <c r="A48" s="138"/>
      <c r="B48" s="219"/>
      <c r="C48" s="390"/>
      <c r="D48" s="222" t="s">
        <v>74</v>
      </c>
      <c r="E48" s="222"/>
      <c r="F48" s="222"/>
      <c r="G48" s="223">
        <f>SUM(G30:G47)</f>
        <v>19888</v>
      </c>
      <c r="H48" s="143" t="s">
        <v>56</v>
      </c>
      <c r="I48" s="391" t="s">
        <v>94</v>
      </c>
      <c r="J48" s="392">
        <f>SUM(J30:J47)</f>
        <v>3701.89</v>
      </c>
    </row>
    <row r="49" ht="36.75" customHeight="1" spans="1:10">
      <c r="A49" s="393" t="s">
        <v>95</v>
      </c>
      <c r="B49" s="394" t="s">
        <v>96</v>
      </c>
      <c r="C49" s="394"/>
      <c r="D49" s="394"/>
      <c r="E49" s="394"/>
      <c r="F49" s="394"/>
      <c r="G49" s="394"/>
      <c r="H49" s="394"/>
      <c r="I49" s="394"/>
    </row>
    <row r="50" ht="33" customHeight="1" spans="1:10">
      <c r="A50" s="395" t="s">
        <v>97</v>
      </c>
      <c r="B50" s="396"/>
      <c r="C50" s="396"/>
      <c r="D50" s="396"/>
      <c r="E50" s="396"/>
      <c r="F50" s="396"/>
      <c r="G50" s="396"/>
      <c r="H50" s="396"/>
      <c r="I50" s="396"/>
      <c r="J50" s="397"/>
    </row>
    <row r="51" ht="15.5" spans="1:10">
      <c r="A51" s="398" t="s">
        <v>98</v>
      </c>
      <c r="B51" s="399"/>
      <c r="C51" s="399"/>
      <c r="D51" s="399"/>
      <c r="E51" s="399"/>
      <c r="F51" s="399"/>
      <c r="G51" s="399"/>
      <c r="H51" s="399"/>
      <c r="I51" s="399"/>
      <c r="J51" s="397"/>
    </row>
    <row r="52" spans="1:10">
      <c r="A52" s="400"/>
      <c r="B52" s="401"/>
      <c r="C52" s="401"/>
      <c r="D52" s="401"/>
      <c r="E52" s="401"/>
      <c r="F52" s="401"/>
      <c r="G52" s="401"/>
      <c r="H52" s="401"/>
      <c r="I52" s="402" t="s">
        <v>76</v>
      </c>
      <c r="J52" s="402"/>
    </row>
    <row r="53" spans="1:10">
      <c r="A53" s="403"/>
      <c r="B53" s="404"/>
      <c r="C53" s="404"/>
      <c r="D53" s="401"/>
      <c r="E53" s="401"/>
      <c r="F53" s="401"/>
      <c r="H53" s="401"/>
      <c r="I53" s="405" t="s">
        <v>99</v>
      </c>
      <c r="J53" s="405"/>
    </row>
    <row r="54" spans="1:10">
      <c r="A54" s="403"/>
      <c r="B54" s="404"/>
      <c r="C54" s="404"/>
      <c r="D54" s="401"/>
      <c r="E54" s="401"/>
      <c r="F54" s="401"/>
      <c r="H54" s="401"/>
      <c r="I54" s="401"/>
      <c r="J54" s="401"/>
    </row>
    <row r="55" spans="1:10">
      <c r="A55" s="403"/>
      <c r="B55" s="404"/>
      <c r="C55" s="404"/>
      <c r="D55" s="401"/>
      <c r="E55" s="401"/>
      <c r="F55" s="401"/>
      <c r="H55" s="401"/>
      <c r="I55" s="401"/>
      <c r="J55" s="401"/>
    </row>
    <row r="56" spans="1:10">
      <c r="A56" s="403"/>
      <c r="B56" s="404"/>
      <c r="C56" s="404"/>
      <c r="D56" s="401"/>
      <c r="E56" s="401"/>
      <c r="F56" s="401"/>
      <c r="G56" s="401"/>
      <c r="H56" s="401"/>
      <c r="I56" s="401"/>
      <c r="J56" s="401"/>
    </row>
    <row r="57" spans="1:10">
      <c r="A57" s="403"/>
      <c r="B57" s="404"/>
      <c r="C57" s="404"/>
      <c r="D57" s="401"/>
      <c r="E57" s="401"/>
      <c r="F57" s="401"/>
    </row>
    <row r="58" spans="1:10">
      <c r="A58" s="406"/>
      <c r="B58" s="407"/>
      <c r="C58" s="407"/>
      <c r="D58" s="401"/>
      <c r="E58" s="401"/>
      <c r="F58" s="401"/>
      <c r="G58" s="401"/>
      <c r="H58" s="401"/>
      <c r="I58" s="401"/>
      <c r="J58" s="401"/>
    </row>
    <row r="59" ht="15.5" spans="1:10">
      <c r="A59" s="408"/>
      <c r="B59" s="408"/>
      <c r="C59" s="408"/>
      <c r="D59" s="408"/>
      <c r="E59" s="408"/>
      <c r="F59" s="408"/>
      <c r="G59" s="408"/>
      <c r="H59" s="408"/>
      <c r="I59" s="408"/>
      <c r="J59" s="408"/>
    </row>
    <row r="60" s="280" customFormat="1" ht="15.5" spans="1:10">
      <c r="A60" s="408"/>
      <c r="B60" s="408"/>
      <c r="C60" s="408"/>
      <c r="D60" s="408"/>
      <c r="E60" s="408"/>
      <c r="F60" s="408"/>
      <c r="G60" s="408"/>
      <c r="H60" s="408"/>
      <c r="I60" s="408"/>
      <c r="J60" s="408"/>
    </row>
    <row r="61" s="280" customFormat="1" ht="15.5" spans="1:10">
      <c r="A61" s="408"/>
      <c r="B61" s="408"/>
      <c r="C61" s="408"/>
      <c r="D61" s="408"/>
      <c r="E61" s="408"/>
      <c r="F61" s="408"/>
      <c r="G61" s="408"/>
      <c r="H61" s="408"/>
      <c r="I61" s="408"/>
      <c r="J61" s="408"/>
    </row>
    <row r="62" s="280" customFormat="1" ht="15.5" spans="1:10">
      <c r="A62" s="408"/>
      <c r="B62" s="408"/>
      <c r="C62" s="408"/>
      <c r="D62" s="408"/>
      <c r="E62" s="408"/>
      <c r="F62" s="408"/>
      <c r="G62" s="408"/>
      <c r="H62" s="408"/>
      <c r="I62" s="408"/>
      <c r="J62" s="408"/>
    </row>
    <row r="63" s="280" customFormat="1" ht="31.5" spans="1:10">
      <c r="A63" s="408"/>
      <c r="B63" s="408"/>
      <c r="C63" s="408"/>
      <c r="D63" s="408"/>
      <c r="E63" s="408"/>
      <c r="F63" s="408"/>
      <c r="G63" s="409"/>
      <c r="H63" s="409"/>
      <c r="I63" s="409"/>
      <c r="J63" s="409"/>
    </row>
    <row r="64" s="280" customFormat="1" spans="1:10">
      <c r="A64" s="410"/>
      <c r="B64" s="410"/>
      <c r="C64" s="410"/>
      <c r="D64" s="410"/>
      <c r="E64" s="410"/>
      <c r="F64" s="410"/>
      <c r="G64" s="410"/>
      <c r="H64" s="410"/>
      <c r="I64" s="410"/>
      <c r="J64" s="410"/>
    </row>
    <row r="65" s="280" customFormat="1" spans="1:10">
      <c r="A65" s="410"/>
      <c r="B65" s="410"/>
      <c r="C65" s="410"/>
      <c r="D65" s="410"/>
      <c r="E65" s="410"/>
      <c r="F65" s="410"/>
      <c r="G65" s="410"/>
      <c r="H65" s="410"/>
      <c r="I65" s="410"/>
      <c r="J65" s="410"/>
    </row>
    <row r="66" s="280" customFormat="1" spans="1:10">
      <c r="A66" s="410"/>
      <c r="B66" s="410"/>
      <c r="C66" s="410"/>
      <c r="D66" s="410"/>
      <c r="E66" s="410"/>
      <c r="F66" s="410"/>
      <c r="G66" s="410"/>
      <c r="H66" s="410"/>
      <c r="I66" s="410"/>
      <c r="J66" s="410"/>
    </row>
    <row r="67" s="280" customFormat="1" spans="1:10">
      <c r="A67" s="410"/>
      <c r="B67" s="410"/>
      <c r="C67" s="410"/>
      <c r="D67" s="410"/>
      <c r="E67" s="410"/>
      <c r="F67" s="410"/>
      <c r="G67" s="410"/>
      <c r="H67" s="410"/>
      <c r="I67" s="410"/>
      <c r="J67" s="410"/>
    </row>
    <row r="68" s="280" customFormat="1" spans="1:10">
      <c r="A68" s="410"/>
      <c r="B68" s="410"/>
      <c r="C68" s="410"/>
      <c r="D68" s="410"/>
      <c r="E68" s="410"/>
      <c r="F68" s="410"/>
      <c r="G68" s="410"/>
      <c r="H68" s="410"/>
      <c r="I68" s="410"/>
      <c r="J68" s="410"/>
    </row>
    <row r="69" s="280" customFormat="1" spans="1:10">
      <c r="A69" s="410"/>
      <c r="B69" s="410"/>
      <c r="C69" s="410"/>
      <c r="D69" s="410"/>
      <c r="E69" s="410"/>
      <c r="F69" s="410"/>
      <c r="G69" s="410"/>
      <c r="H69" s="410"/>
      <c r="I69" s="410"/>
      <c r="J69" s="410"/>
    </row>
    <row r="70" s="280" customFormat="1" spans="1:10">
      <c r="A70" s="410"/>
      <c r="B70" s="410"/>
      <c r="C70" s="410"/>
      <c r="D70" s="410"/>
      <c r="E70" s="410"/>
      <c r="F70" s="410"/>
      <c r="G70" s="410"/>
      <c r="H70" s="410"/>
      <c r="I70" s="410"/>
      <c r="J70" s="410"/>
    </row>
    <row r="71" s="280" customFormat="1" spans="1:10">
      <c r="A71" s="410"/>
      <c r="B71" s="410"/>
      <c r="C71" s="410"/>
      <c r="D71" s="410"/>
      <c r="E71" s="410"/>
      <c r="F71" s="410"/>
      <c r="G71" s="410"/>
      <c r="H71" s="410"/>
      <c r="I71" s="410"/>
      <c r="J71" s="410"/>
    </row>
    <row r="72" s="280" customFormat="1" spans="1:10">
      <c r="A72" s="410"/>
      <c r="B72" s="410"/>
      <c r="C72" s="410"/>
      <c r="D72" s="410"/>
      <c r="E72" s="410"/>
      <c r="F72" s="410"/>
      <c r="G72" s="410"/>
      <c r="H72" s="410"/>
      <c r="I72" s="410"/>
      <c r="J72" s="410"/>
    </row>
    <row r="73" s="280" customFormat="1" spans="1:10">
      <c r="A73" s="410"/>
      <c r="B73" s="410"/>
      <c r="C73" s="410"/>
      <c r="D73" s="410"/>
      <c r="E73" s="410"/>
      <c r="F73" s="410"/>
      <c r="G73" s="410"/>
      <c r="H73" s="410"/>
      <c r="I73" s="410"/>
      <c r="J73" s="410"/>
    </row>
    <row r="74" s="280" customFormat="1" spans="1:10">
      <c r="A74" s="410"/>
      <c r="B74" s="410"/>
      <c r="C74" s="410"/>
      <c r="D74" s="410"/>
      <c r="E74" s="410"/>
      <c r="F74" s="410"/>
      <c r="G74" s="410"/>
      <c r="H74" s="410"/>
      <c r="I74" s="410"/>
      <c r="J74" s="410"/>
    </row>
    <row r="75" s="280" customFormat="1" spans="1:10">
      <c r="A75" s="410"/>
      <c r="B75" s="410"/>
      <c r="C75" s="410"/>
      <c r="D75" s="410"/>
      <c r="E75" s="410"/>
      <c r="F75" s="410"/>
      <c r="G75" s="410"/>
      <c r="H75" s="410"/>
      <c r="I75" s="410"/>
      <c r="J75" s="410"/>
    </row>
    <row r="76" s="280" customFormat="1" spans="1:10">
      <c r="A76" s="410"/>
      <c r="B76" s="410"/>
      <c r="C76" s="410"/>
      <c r="D76" s="410"/>
      <c r="E76" s="410"/>
      <c r="F76" s="410"/>
      <c r="G76" s="410"/>
      <c r="H76" s="410"/>
      <c r="I76" s="410"/>
      <c r="J76" s="410"/>
    </row>
    <row r="77" s="280" customFormat="1" spans="1:10">
      <c r="A77" s="410"/>
      <c r="B77" s="410"/>
      <c r="C77" s="410"/>
      <c r="D77" s="410"/>
      <c r="E77" s="410"/>
      <c r="F77" s="410"/>
      <c r="G77" s="410"/>
      <c r="H77" s="410"/>
      <c r="I77" s="410"/>
      <c r="J77" s="410"/>
    </row>
    <row r="78" s="280" customFormat="1" spans="1:10">
      <c r="A78" s="410"/>
      <c r="B78" s="410"/>
      <c r="C78" s="410"/>
      <c r="D78" s="410"/>
      <c r="E78" s="410"/>
      <c r="F78" s="410"/>
      <c r="G78" s="410"/>
      <c r="H78" s="410"/>
      <c r="I78" s="410"/>
      <c r="J78" s="410"/>
    </row>
    <row r="79" s="280" customFormat="1" spans="1:10">
      <c r="A79" s="410"/>
      <c r="B79" s="410"/>
      <c r="C79" s="410"/>
      <c r="D79" s="410"/>
      <c r="E79" s="410"/>
      <c r="F79" s="410"/>
      <c r="G79" s="410"/>
      <c r="H79" s="410"/>
      <c r="I79" s="410"/>
      <c r="J79" s="410"/>
    </row>
    <row r="80" s="280" customFormat="1" spans="1:10">
      <c r="A80" s="410"/>
      <c r="B80" s="410"/>
      <c r="C80" s="410"/>
      <c r="D80" s="410"/>
      <c r="E80" s="410"/>
      <c r="F80" s="410"/>
      <c r="G80" s="410"/>
      <c r="H80" s="410"/>
      <c r="I80" s="410"/>
      <c r="J80" s="410"/>
    </row>
    <row r="81" s="280" customFormat="1" spans="1:10">
      <c r="A81" s="410"/>
      <c r="B81" s="410"/>
      <c r="C81" s="410"/>
      <c r="D81" s="410"/>
      <c r="E81" s="410"/>
      <c r="F81" s="410"/>
      <c r="G81" s="410"/>
      <c r="H81" s="410"/>
      <c r="I81" s="410"/>
      <c r="J81" s="410"/>
    </row>
    <row r="82" s="280" customFormat="1" spans="1:10">
      <c r="A82" s="410"/>
      <c r="B82" s="410"/>
      <c r="C82" s="410"/>
      <c r="D82" s="410"/>
      <c r="E82" s="410"/>
      <c r="F82" s="410"/>
      <c r="G82" s="410"/>
      <c r="H82" s="410"/>
      <c r="I82" s="410"/>
      <c r="J82" s="410"/>
    </row>
    <row r="83" s="280" customFormat="1" ht="15.5" spans="1:10">
      <c r="A83" s="408"/>
      <c r="B83" s="408"/>
      <c r="C83" s="408"/>
      <c r="D83" s="408"/>
      <c r="E83" s="408"/>
      <c r="F83" s="408"/>
      <c r="G83" s="408"/>
      <c r="H83" s="408"/>
      <c r="I83" s="408"/>
      <c r="J83" s="408"/>
    </row>
    <row r="84" s="280" customFormat="1" ht="15.5" spans="1:10">
      <c r="A84" s="408"/>
      <c r="B84" s="408"/>
      <c r="C84" s="408"/>
      <c r="D84" s="408"/>
      <c r="E84" s="408"/>
      <c r="F84" s="408"/>
      <c r="G84" s="408"/>
      <c r="H84" s="408"/>
      <c r="I84" s="408"/>
      <c r="J84" s="408"/>
    </row>
    <row r="85" s="280" customFormat="1" ht="15.5" spans="1:10">
      <c r="A85" s="408"/>
      <c r="B85" s="408"/>
      <c r="C85" s="408"/>
      <c r="D85" s="408"/>
      <c r="E85" s="408"/>
      <c r="F85" s="408"/>
      <c r="G85" s="408"/>
      <c r="H85" s="408"/>
      <c r="I85" s="408"/>
      <c r="J85" s="408"/>
    </row>
    <row r="86" s="280" customFormat="1" ht="15.5" spans="1:10">
      <c r="A86" s="408"/>
      <c r="B86" s="408"/>
      <c r="C86" s="408"/>
      <c r="D86" s="408"/>
      <c r="E86" s="408"/>
      <c r="F86" s="408"/>
      <c r="G86" s="408"/>
      <c r="H86" s="408"/>
      <c r="I86" s="408"/>
      <c r="J86" s="408"/>
    </row>
    <row r="87" s="280" customFormat="1" ht="15.5" spans="1:10">
      <c r="A87" s="408"/>
      <c r="B87" s="408"/>
      <c r="C87" s="408"/>
      <c r="D87" s="408"/>
      <c r="E87" s="408"/>
      <c r="F87" s="408"/>
      <c r="G87" s="408"/>
      <c r="H87" s="408"/>
      <c r="I87" s="408"/>
      <c r="J87" s="408"/>
    </row>
    <row r="88" s="280" customFormat="1" ht="15.5" spans="1:10">
      <c r="A88" s="408"/>
      <c r="B88" s="408"/>
      <c r="C88" s="408"/>
      <c r="D88" s="408"/>
      <c r="E88" s="408"/>
      <c r="F88" s="408"/>
      <c r="G88" s="408"/>
      <c r="H88" s="408"/>
      <c r="I88" s="408"/>
      <c r="J88" s="408"/>
    </row>
    <row r="89" s="280" customFormat="1" ht="15.5" spans="1:10">
      <c r="A89" s="408"/>
      <c r="B89" s="408"/>
      <c r="C89" s="408"/>
      <c r="D89" s="408"/>
      <c r="E89" s="408"/>
      <c r="F89" s="408"/>
      <c r="G89" s="408"/>
      <c r="H89" s="408"/>
      <c r="I89" s="408"/>
      <c r="J89" s="408"/>
    </row>
    <row r="90" s="280" customFormat="1" ht="15.5" spans="1:10">
      <c r="A90" s="408"/>
      <c r="B90" s="408"/>
      <c r="C90" s="408"/>
      <c r="D90" s="408"/>
      <c r="E90" s="408"/>
      <c r="F90" s="408"/>
      <c r="G90" s="408"/>
      <c r="H90" s="408"/>
      <c r="I90" s="408"/>
      <c r="J90" s="408"/>
    </row>
    <row r="91" s="280" customFormat="1" ht="15.5" spans="1:10">
      <c r="A91" s="408"/>
      <c r="B91" s="408"/>
      <c r="C91" s="408"/>
      <c r="D91" s="408"/>
      <c r="E91" s="408"/>
      <c r="F91" s="408"/>
      <c r="G91" s="408"/>
      <c r="H91" s="408"/>
      <c r="I91" s="408"/>
      <c r="J91" s="408"/>
    </row>
    <row r="92" s="280" customFormat="1" ht="15.5" spans="1:10">
      <c r="A92" s="408"/>
      <c r="B92" s="408"/>
      <c r="C92" s="408"/>
      <c r="D92" s="408"/>
      <c r="E92" s="408"/>
      <c r="F92" s="408"/>
      <c r="G92" s="408"/>
      <c r="H92" s="408"/>
      <c r="I92" s="408"/>
      <c r="J92" s="408"/>
    </row>
    <row r="93" s="280" customFormat="1" ht="15.5" spans="1:10">
      <c r="A93" s="408"/>
      <c r="B93" s="408"/>
      <c r="C93" s="408"/>
      <c r="D93" s="408"/>
      <c r="E93" s="408"/>
      <c r="F93" s="408"/>
      <c r="G93" s="408"/>
      <c r="H93" s="408"/>
      <c r="I93" s="408"/>
      <c r="J93" s="408"/>
    </row>
    <row r="94" s="280" customFormat="1" ht="15.5" spans="1:10">
      <c r="A94" s="408"/>
      <c r="B94" s="408"/>
      <c r="C94" s="408"/>
      <c r="D94" s="408"/>
      <c r="E94" s="408"/>
      <c r="F94" s="408"/>
      <c r="G94" s="408"/>
      <c r="H94" s="408"/>
      <c r="I94" s="408"/>
      <c r="J94" s="408"/>
    </row>
    <row r="95" s="280" customFormat="1" spans="1:10">
      <c r="A95" s="410"/>
      <c r="B95" s="410"/>
      <c r="C95" s="410"/>
      <c r="D95" s="410"/>
      <c r="E95" s="410"/>
      <c r="F95" s="410"/>
      <c r="G95" s="410"/>
      <c r="H95" s="410"/>
      <c r="I95" s="410"/>
      <c r="J95" s="410"/>
    </row>
    <row r="96" s="280" customFormat="1" spans="1:10">
      <c r="A96" s="410"/>
      <c r="B96" s="410"/>
      <c r="C96" s="410"/>
      <c r="D96" s="410"/>
      <c r="E96" s="410"/>
      <c r="F96" s="410"/>
      <c r="G96" s="410"/>
      <c r="H96" s="410"/>
      <c r="I96" s="410"/>
      <c r="J96" s="410"/>
    </row>
    <row r="97" s="280" customFormat="1" spans="1:10">
      <c r="A97" s="410"/>
      <c r="B97" s="410"/>
      <c r="C97" s="410"/>
      <c r="D97" s="410"/>
      <c r="E97" s="410"/>
      <c r="F97" s="410"/>
      <c r="G97" s="410"/>
      <c r="H97" s="410"/>
      <c r="I97" s="410"/>
      <c r="J97" s="410"/>
    </row>
    <row r="100" s="280" customFormat="1" ht="15.5" spans="1:10">
      <c r="A100" s="408"/>
      <c r="B100" s="408"/>
      <c r="C100" s="408"/>
      <c r="D100" s="408"/>
      <c r="E100" s="408"/>
      <c r="F100" s="408"/>
      <c r="G100" s="408"/>
      <c r="H100" s="408"/>
      <c r="I100" s="408"/>
      <c r="J100" s="408"/>
    </row>
    <row r="101" s="280" customFormat="1" ht="15.5" spans="1:10">
      <c r="A101" s="408"/>
      <c r="B101" s="408"/>
      <c r="C101" s="408"/>
      <c r="D101" s="408"/>
      <c r="E101" s="408"/>
      <c r="F101" s="408"/>
      <c r="G101" s="408"/>
      <c r="H101" s="408"/>
      <c r="I101" s="408"/>
      <c r="J101" s="408"/>
    </row>
    <row r="102" s="280" customFormat="1" ht="15.5" spans="1:10">
      <c r="A102" s="408"/>
      <c r="B102" s="408"/>
      <c r="C102" s="408"/>
      <c r="D102" s="408"/>
      <c r="E102" s="408"/>
      <c r="F102" s="408"/>
      <c r="G102" s="408"/>
      <c r="H102" s="408"/>
      <c r="I102" s="408"/>
      <c r="J102" s="408"/>
    </row>
  </sheetData>
  <autoFilter xmlns:etc="http://www.wps.cn/officeDocument/2017/etCustomData" ref="A29:J53" etc:filterBottomFollowUsedRange="0">
    <extLst/>
  </autoFilter>
  <mergeCells count="14">
    <mergeCell ref="A1:J1"/>
    <mergeCell ref="A2:J2"/>
    <mergeCell ref="A3:J3"/>
    <mergeCell ref="A4:J4"/>
    <mergeCell ref="A11:C11"/>
    <mergeCell ref="A12:E12"/>
    <mergeCell ref="A13:D13"/>
    <mergeCell ref="A16:E16"/>
    <mergeCell ref="A19:D19"/>
    <mergeCell ref="A20:D20"/>
    <mergeCell ref="A21:E21"/>
    <mergeCell ref="A50:G50"/>
    <mergeCell ref="A51:G51"/>
    <mergeCell ref="G63:J63"/>
  </mergeCells>
  <hyperlinks>
    <hyperlink ref="A9" r:id="rId1" display="TEL:(+84)-723-643-733;       (+84)-723-643-734                                 FAX: (+84)-723-643-735"/>
    <hyperlink ref="A3" r:id="rId2" display="TEL:(+84)-723-643-733;       (+84)-723-643-734                                         FAX: (+84)-723-643-735"/>
  </hyperlinks>
  <pageMargins left="0.7" right="0.7" top="0.75" bottom="0.75" header="0.3" footer="0.3"/>
  <pageSetup paperSize="9" scale="30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28"/>
  <sheetViews>
    <sheetView zoomScale="90" zoomScaleNormal="90" topLeftCell="A7" workbookViewId="0">
      <selection activeCell="D13" sqref="D13"/>
    </sheetView>
  </sheetViews>
  <sheetFormatPr defaultColWidth="9.13636363636364" defaultRowHeight="14"/>
  <cols>
    <col min="1" max="1" width="9.13636363636364" style="232" customWidth="1"/>
    <col min="2" max="2" width="22.2909090909091" style="92" customWidth="1"/>
    <col min="3" max="3" width="6.70909090909091" style="92" customWidth="1"/>
    <col min="4" max="4" width="60.2909090909091" style="92" customWidth="1"/>
    <col min="5" max="5" width="19.2909090909091" style="92" customWidth="1"/>
    <col min="6" max="6" width="14.1363636363636" style="233" customWidth="1"/>
    <col min="7" max="7" width="7" style="233" customWidth="1"/>
    <col min="8" max="8" width="16.8545454545455" style="92" customWidth="1"/>
    <col min="9" max="9" width="13" style="232" customWidth="1"/>
    <col min="10" max="10" width="9.42727272727273" style="92" customWidth="1"/>
    <col min="11" max="11" width="8" style="92" customWidth="1"/>
    <col min="12" max="12" width="12.5727272727273" style="92" customWidth="1"/>
    <col min="13" max="13" width="13.8545454545455" style="232" customWidth="1"/>
    <col min="14" max="14" width="16.5727272727273" style="232" customWidth="1"/>
    <col min="15" max="16384" width="9.13636363636364" style="92"/>
  </cols>
  <sheetData>
    <row r="1" ht="46.5" customHeight="1" spans="1:14">
      <c r="A1" s="234" t="s">
        <v>100</v>
      </c>
      <c r="B1" s="235"/>
      <c r="C1" s="235"/>
      <c r="D1" s="235"/>
      <c r="E1" s="236"/>
      <c r="F1" s="237"/>
      <c r="G1" s="237"/>
      <c r="H1" s="238"/>
      <c r="I1" s="239"/>
      <c r="J1" s="236"/>
      <c r="K1" s="236"/>
      <c r="L1" s="236"/>
      <c r="M1" s="240"/>
      <c r="N1" s="241"/>
    </row>
    <row r="2" ht="32.25" customHeight="1" spans="1:14">
      <c r="A2" s="242" t="s">
        <v>101</v>
      </c>
      <c r="B2" s="243" t="s">
        <v>102</v>
      </c>
      <c r="C2" s="243"/>
      <c r="D2" s="244" t="s">
        <v>40</v>
      </c>
      <c r="E2" s="243" t="s">
        <v>103</v>
      </c>
      <c r="F2" s="243" t="s">
        <v>42</v>
      </c>
      <c r="G2" s="243"/>
      <c r="H2" s="243" t="s">
        <v>43</v>
      </c>
      <c r="I2" s="245" t="s">
        <v>104</v>
      </c>
      <c r="J2" s="243" t="s">
        <v>45</v>
      </c>
      <c r="K2" s="243" t="s">
        <v>46</v>
      </c>
      <c r="L2" s="243" t="s">
        <v>47</v>
      </c>
      <c r="M2" s="246" t="s">
        <v>48</v>
      </c>
      <c r="N2" s="247" t="s">
        <v>49</v>
      </c>
    </row>
    <row r="3" ht="47.25" customHeight="1" spans="1:14">
      <c r="A3" s="248">
        <v>14</v>
      </c>
      <c r="B3" s="59" t="s">
        <v>105</v>
      </c>
      <c r="C3" s="48" t="s">
        <v>106</v>
      </c>
      <c r="D3" s="249" t="s">
        <v>107</v>
      </c>
      <c r="E3" s="250" t="s">
        <v>108</v>
      </c>
      <c r="F3" s="251">
        <v>1030</v>
      </c>
      <c r="G3" s="251" t="s">
        <v>57</v>
      </c>
      <c r="H3" s="251" t="s">
        <v>109</v>
      </c>
      <c r="I3" s="252" t="s">
        <v>110</v>
      </c>
      <c r="J3" s="251">
        <v>98</v>
      </c>
      <c r="K3" s="251" t="s">
        <v>111</v>
      </c>
      <c r="L3" s="253">
        <f>M3-1.35</f>
        <v>28.95</v>
      </c>
      <c r="M3" s="253">
        <v>30.3</v>
      </c>
      <c r="N3" s="254">
        <v>0.11</v>
      </c>
    </row>
    <row r="4" ht="47.25" customHeight="1" spans="1:14">
      <c r="A4" s="248"/>
      <c r="B4" s="59" t="s">
        <v>105</v>
      </c>
      <c r="C4" s="48" t="s">
        <v>106</v>
      </c>
      <c r="D4" s="249" t="s">
        <v>107</v>
      </c>
      <c r="E4" s="250" t="s">
        <v>108</v>
      </c>
      <c r="F4" s="251">
        <v>1030</v>
      </c>
      <c r="G4" s="251" t="s">
        <v>59</v>
      </c>
      <c r="H4" s="251" t="s">
        <v>112</v>
      </c>
      <c r="I4" s="252" t="s">
        <v>110</v>
      </c>
      <c r="J4" s="251">
        <v>219</v>
      </c>
      <c r="K4" s="251" t="s">
        <v>111</v>
      </c>
      <c r="L4" s="253"/>
      <c r="M4" s="253"/>
      <c r="N4" s="254"/>
    </row>
    <row r="5" ht="47.25" customHeight="1" spans="1:14">
      <c r="A5" s="248"/>
      <c r="B5" s="59" t="s">
        <v>105</v>
      </c>
      <c r="C5" s="48" t="s">
        <v>106</v>
      </c>
      <c r="D5" s="249" t="s">
        <v>107</v>
      </c>
      <c r="E5" s="250" t="s">
        <v>108</v>
      </c>
      <c r="F5" s="251">
        <v>1030</v>
      </c>
      <c r="G5" s="251" t="s">
        <v>61</v>
      </c>
      <c r="H5" s="251" t="s">
        <v>113</v>
      </c>
      <c r="I5" s="252" t="s">
        <v>110</v>
      </c>
      <c r="J5" s="251">
        <v>208</v>
      </c>
      <c r="K5" s="251" t="s">
        <v>111</v>
      </c>
      <c r="L5" s="253"/>
      <c r="M5" s="253"/>
      <c r="N5" s="254"/>
    </row>
    <row r="6" ht="47.25" customHeight="1" spans="1:14">
      <c r="A6" s="248"/>
      <c r="B6" s="59" t="s">
        <v>105</v>
      </c>
      <c r="C6" s="48" t="s">
        <v>106</v>
      </c>
      <c r="D6" s="249" t="s">
        <v>107</v>
      </c>
      <c r="E6" s="250" t="s">
        <v>108</v>
      </c>
      <c r="F6" s="251">
        <v>1030</v>
      </c>
      <c r="G6" s="251" t="s">
        <v>114</v>
      </c>
      <c r="H6" s="251" t="s">
        <v>115</v>
      </c>
      <c r="I6" s="252" t="s">
        <v>110</v>
      </c>
      <c r="J6" s="251">
        <v>84</v>
      </c>
      <c r="K6" s="251" t="s">
        <v>111</v>
      </c>
      <c r="L6" s="253"/>
      <c r="M6" s="253"/>
      <c r="N6" s="254"/>
    </row>
    <row r="7" ht="47.25" customHeight="1" spans="1:14">
      <c r="A7" s="248"/>
      <c r="B7" s="59" t="s">
        <v>116</v>
      </c>
      <c r="C7" s="48" t="s">
        <v>106</v>
      </c>
      <c r="D7" s="249" t="s">
        <v>117</v>
      </c>
      <c r="E7" s="250" t="s">
        <v>118</v>
      </c>
      <c r="F7" s="251">
        <v>1030</v>
      </c>
      <c r="G7" s="251" t="s">
        <v>59</v>
      </c>
      <c r="H7" s="251" t="s">
        <v>119</v>
      </c>
      <c r="I7" s="252" t="s">
        <v>110</v>
      </c>
      <c r="J7" s="251">
        <v>209</v>
      </c>
      <c r="K7" s="251" t="s">
        <v>111</v>
      </c>
      <c r="L7" s="253"/>
      <c r="M7" s="253"/>
      <c r="N7" s="254"/>
    </row>
    <row r="8" ht="47.25" customHeight="1" spans="1:14">
      <c r="A8" s="248"/>
      <c r="B8" s="59" t="s">
        <v>116</v>
      </c>
      <c r="C8" s="48" t="s">
        <v>106</v>
      </c>
      <c r="D8" s="249" t="s">
        <v>117</v>
      </c>
      <c r="E8" s="250" t="s">
        <v>118</v>
      </c>
      <c r="F8" s="251">
        <v>1030</v>
      </c>
      <c r="G8" s="251" t="s">
        <v>61</v>
      </c>
      <c r="H8" s="251" t="s">
        <v>120</v>
      </c>
      <c r="I8" s="252" t="s">
        <v>110</v>
      </c>
      <c r="J8" s="251">
        <v>412</v>
      </c>
      <c r="K8" s="251" t="s">
        <v>111</v>
      </c>
      <c r="L8" s="253"/>
      <c r="M8" s="253"/>
      <c r="N8" s="254"/>
    </row>
    <row r="9" ht="47.25" customHeight="1" spans="1:14">
      <c r="A9" s="248"/>
      <c r="B9" s="59" t="s">
        <v>116</v>
      </c>
      <c r="C9" s="48" t="s">
        <v>106</v>
      </c>
      <c r="D9" s="249" t="s">
        <v>117</v>
      </c>
      <c r="E9" s="250" t="s">
        <v>118</v>
      </c>
      <c r="F9" s="251">
        <v>1030</v>
      </c>
      <c r="G9" s="251" t="s">
        <v>114</v>
      </c>
      <c r="H9" s="251" t="s">
        <v>121</v>
      </c>
      <c r="I9" s="252" t="s">
        <v>110</v>
      </c>
      <c r="J9" s="251">
        <v>330</v>
      </c>
      <c r="K9" s="251" t="s">
        <v>111</v>
      </c>
      <c r="L9" s="253"/>
      <c r="M9" s="253"/>
      <c r="N9" s="254"/>
    </row>
    <row r="10" ht="47.25" customHeight="1" spans="1:14">
      <c r="A10" s="248"/>
      <c r="B10" s="59" t="s">
        <v>116</v>
      </c>
      <c r="C10" s="48" t="s">
        <v>106</v>
      </c>
      <c r="D10" s="249" t="s">
        <v>117</v>
      </c>
      <c r="E10" s="250" t="s">
        <v>118</v>
      </c>
      <c r="F10" s="251">
        <v>1030</v>
      </c>
      <c r="G10" s="251" t="s">
        <v>122</v>
      </c>
      <c r="H10" s="251" t="s">
        <v>123</v>
      </c>
      <c r="I10" s="252" t="s">
        <v>110</v>
      </c>
      <c r="J10" s="251">
        <v>199</v>
      </c>
      <c r="K10" s="251" t="s">
        <v>111</v>
      </c>
      <c r="L10" s="253"/>
      <c r="M10" s="253"/>
      <c r="N10" s="254"/>
    </row>
    <row r="11" s="231" customFormat="1" ht="53.25" customHeight="1" spans="1:14">
      <c r="A11" s="255">
        <f>COUNT(A3:A10)</f>
        <v>1</v>
      </c>
      <c r="B11" s="256"/>
      <c r="C11" s="256"/>
      <c r="D11" s="256"/>
      <c r="E11" s="256"/>
      <c r="F11" s="257"/>
      <c r="G11" s="257"/>
      <c r="H11" s="257"/>
      <c r="I11" s="258"/>
      <c r="J11" s="259">
        <f>SUM(J3:J10)</f>
        <v>1759</v>
      </c>
      <c r="K11" s="259" t="s">
        <v>111</v>
      </c>
      <c r="L11" s="260">
        <f>SUM(L3:L10)</f>
        <v>28.95</v>
      </c>
      <c r="M11" s="261">
        <f>SUM(M3:M10)</f>
        <v>30.3</v>
      </c>
      <c r="N11" s="262">
        <f>SUM(N3:N10)</f>
        <v>0.11</v>
      </c>
    </row>
    <row r="12" ht="21.75" customHeight="1" spans="1:14">
      <c r="A12" s="263" t="s">
        <v>75</v>
      </c>
      <c r="B12" s="263"/>
      <c r="C12" s="263"/>
      <c r="D12" s="264"/>
      <c r="E12" s="265"/>
      <c r="F12" s="265"/>
      <c r="G12" s="265"/>
      <c r="H12" s="265"/>
      <c r="I12" s="266"/>
      <c r="J12" s="265"/>
      <c r="K12" s="265"/>
      <c r="L12" s="265"/>
      <c r="M12" s="266"/>
      <c r="N12" s="266"/>
    </row>
    <row r="13" ht="21.75" customHeight="1" spans="1:14">
      <c r="A13" s="267"/>
      <c r="B13" s="268"/>
      <c r="C13" s="268"/>
      <c r="D13" s="264"/>
      <c r="E13" s="264"/>
      <c r="F13" s="269" t="s">
        <v>124</v>
      </c>
      <c r="G13" s="269"/>
      <c r="H13" s="269"/>
      <c r="I13" s="269"/>
      <c r="J13" s="269"/>
      <c r="K13" s="269"/>
      <c r="L13" s="269"/>
      <c r="M13" s="269"/>
      <c r="N13" s="269"/>
    </row>
    <row r="14" ht="23.25" customHeight="1" spans="1:14">
      <c r="A14" s="270"/>
      <c r="B14" s="271"/>
      <c r="C14" s="271"/>
      <c r="D14" s="271"/>
      <c r="E14" s="271"/>
      <c r="F14" s="271"/>
      <c r="G14" s="271"/>
      <c r="H14" s="272"/>
      <c r="I14" s="273"/>
      <c r="J14" s="272" t="s">
        <v>77</v>
      </c>
      <c r="K14" s="272"/>
      <c r="L14" s="272"/>
      <c r="M14" s="272"/>
      <c r="N14" s="272"/>
    </row>
    <row r="15" ht="21.75" customHeight="1"/>
    <row r="18" spans="2:14">
      <c r="J18" s="274"/>
      <c r="K18" s="274"/>
      <c r="L18" s="274"/>
      <c r="M18" s="274"/>
      <c r="N18" s="274"/>
    </row>
    <row r="28" s="232" customFormat="1" ht="31.5" spans="2:14">
      <c r="B28" s="92"/>
      <c r="C28" s="92"/>
      <c r="D28" s="92"/>
      <c r="E28" s="92"/>
      <c r="F28" s="233"/>
      <c r="G28" s="233"/>
      <c r="H28" s="92"/>
      <c r="J28" s="275"/>
      <c r="K28" s="275"/>
      <c r="L28" s="275"/>
      <c r="M28" s="275"/>
    </row>
  </sheetData>
  <autoFilter xmlns:etc="http://www.wps.cn/officeDocument/2017/etCustomData" ref="A2:N14" etc:filterBottomFollowUsedRange="0">
    <extLst/>
  </autoFilter>
  <mergeCells count="11">
    <mergeCell ref="A1:D1"/>
    <mergeCell ref="A11:E11"/>
    <mergeCell ref="A12:B12"/>
    <mergeCell ref="F13:N13"/>
    <mergeCell ref="J14:N14"/>
    <mergeCell ref="J18:N18"/>
    <mergeCell ref="J28:M28"/>
    <mergeCell ref="A3:A10"/>
    <mergeCell ref="L3:L10"/>
    <mergeCell ref="M3:M10"/>
    <mergeCell ref="N3:N10"/>
  </mergeCells>
  <pageMargins left="0.17" right="0.17" top="0.17" bottom="0.17" header="0.17" footer="0.17"/>
  <pageSetup paperSize="9" scale="62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L48"/>
  <sheetViews>
    <sheetView topLeftCell="B7" workbookViewId="0">
      <selection activeCell="E50" sqref="E50"/>
    </sheetView>
  </sheetViews>
  <sheetFormatPr defaultColWidth="9.13636363636364" defaultRowHeight="14"/>
  <cols>
    <col min="1" max="1" width="27.4272727272727" style="194" customWidth="1"/>
    <col min="2" max="2" width="8.42727272727273" style="194" customWidth="1"/>
    <col min="3" max="3" width="21.1363636363636" style="194" customWidth="1"/>
    <col min="4" max="4" width="14.4272727272727" style="194" customWidth="1"/>
    <col min="5" max="5" width="36" style="194" customWidth="1"/>
    <col min="6" max="6" width="23.2909090909091" style="194" customWidth="1"/>
    <col min="7" max="7" width="11.8545454545455" style="194" customWidth="1"/>
    <col min="8" max="8" width="10.8545454545455" style="194" customWidth="1"/>
    <col min="9" max="9" width="13.4272727272727" style="194" customWidth="1"/>
    <col min="10" max="10" width="14.8545454545455" style="194" customWidth="1"/>
    <col min="11" max="11" width="16" style="194" customWidth="1"/>
    <col min="12" max="12" width="15.7090909090909" style="194" customWidth="1"/>
    <col min="13" max="16384" width="9.13636363636364" style="194"/>
  </cols>
  <sheetData>
    <row r="2" ht="25.5" spans="1:12">
      <c r="A2" s="195" t="s">
        <v>125</v>
      </c>
      <c r="B2" s="195"/>
      <c r="C2" s="195"/>
      <c r="D2" s="195"/>
      <c r="E2" s="195"/>
      <c r="F2" s="195"/>
      <c r="G2" s="195"/>
      <c r="H2" s="195"/>
      <c r="I2" s="195"/>
      <c r="J2" s="195"/>
      <c r="K2" s="196"/>
      <c r="L2" s="196"/>
    </row>
    <row r="3" spans="1:12">
      <c r="A3" s="194" t="s">
        <v>126</v>
      </c>
      <c r="B3" s="194" t="s">
        <v>127</v>
      </c>
      <c r="C3" s="197" t="str">
        <f>PKL!J7</f>
        <v>AK/GDI-20260013</v>
      </c>
      <c r="D3" s="198"/>
      <c r="E3" s="198"/>
      <c r="F3" s="198"/>
      <c r="G3" s="198"/>
    </row>
    <row r="4" spans="1:12">
      <c r="A4" s="194" t="s">
        <v>128</v>
      </c>
      <c r="B4" s="194" t="s">
        <v>127</v>
      </c>
      <c r="C4" s="199">
        <f>PKL!L7</f>
        <v>46174</v>
      </c>
      <c r="D4" s="198"/>
      <c r="E4" s="198"/>
      <c r="F4" s="198"/>
      <c r="G4" s="198"/>
    </row>
    <row r="5" spans="1:12">
      <c r="C5" s="198"/>
      <c r="D5" s="198"/>
      <c r="E5" s="198"/>
      <c r="F5" s="198"/>
      <c r="G5" s="198"/>
    </row>
    <row r="6" spans="1:12">
      <c r="A6" s="194" t="s">
        <v>129</v>
      </c>
      <c r="B6" s="194" t="s">
        <v>127</v>
      </c>
      <c r="C6" s="198" t="s">
        <v>130</v>
      </c>
      <c r="D6" s="200"/>
      <c r="E6" s="200"/>
      <c r="F6" s="200"/>
      <c r="G6" s="200"/>
    </row>
    <row r="7" spans="1:12">
      <c r="D7" s="198"/>
      <c r="E7" s="198"/>
      <c r="F7" s="198"/>
      <c r="G7" s="198"/>
    </row>
    <row r="8" spans="1:12">
      <c r="C8" s="198"/>
      <c r="D8" s="198"/>
      <c r="E8" s="198"/>
      <c r="F8" s="198"/>
      <c r="G8" s="198"/>
    </row>
    <row r="9" spans="1:12">
      <c r="A9" s="194" t="s">
        <v>131</v>
      </c>
      <c r="B9" s="194" t="s">
        <v>127</v>
      </c>
      <c r="C9" s="201" t="str">
        <f>PKL!A11</f>
        <v>GDI HK LIMITED</v>
      </c>
      <c r="D9" s="201"/>
      <c r="E9" s="201"/>
      <c r="F9" s="201"/>
      <c r="G9" s="201"/>
    </row>
    <row r="10" ht="39" customHeight="1" spans="1:12">
      <c r="C10" s="202" t="s">
        <v>132</v>
      </c>
      <c r="D10" s="202"/>
      <c r="E10" s="202"/>
      <c r="F10" s="202"/>
      <c r="G10" s="202"/>
    </row>
    <row r="11" spans="1:12">
      <c r="C11" s="198"/>
      <c r="D11" s="198"/>
      <c r="E11" s="198"/>
      <c r="F11" s="198"/>
      <c r="G11" s="198"/>
    </row>
    <row r="12" spans="1:12">
      <c r="A12" s="194" t="s">
        <v>133</v>
      </c>
      <c r="C12" s="201" t="s">
        <v>6</v>
      </c>
      <c r="D12" s="201"/>
      <c r="E12" s="201"/>
      <c r="F12" s="201"/>
      <c r="G12" s="201"/>
    </row>
    <row r="13" ht="18" customHeight="1" spans="1:12">
      <c r="C13" s="203" t="s">
        <v>1</v>
      </c>
      <c r="D13" s="203"/>
      <c r="E13" s="203"/>
      <c r="F13" s="203"/>
      <c r="G13" s="203"/>
      <c r="H13" s="203"/>
      <c r="I13" s="203"/>
      <c r="J13" s="203"/>
    </row>
    <row r="14" ht="13.5" customHeight="1" spans="1:12">
      <c r="C14" s="204" t="s">
        <v>134</v>
      </c>
      <c r="D14" s="204"/>
      <c r="E14" s="204"/>
      <c r="F14" s="204"/>
      <c r="G14" s="204"/>
    </row>
    <row r="15" ht="20.25" customHeight="1" spans="1:12">
      <c r="A15" s="194" t="s">
        <v>135</v>
      </c>
      <c r="B15" s="194" t="s">
        <v>127</v>
      </c>
      <c r="C15" s="197" t="str">
        <f>PKL!A17</f>
        <v>PT NIRWANA ALABARE GARMENT</v>
      </c>
      <c r="D15" s="197"/>
      <c r="E15" s="197"/>
      <c r="F15" s="197"/>
      <c r="G15" s="197"/>
      <c r="H15" s="197"/>
    </row>
    <row r="16" ht="17.25" customHeight="1" spans="1:12">
      <c r="C16" s="205" t="s">
        <v>136</v>
      </c>
      <c r="D16" s="205"/>
      <c r="E16" s="205"/>
      <c r="F16" s="205"/>
      <c r="G16" s="205"/>
      <c r="H16" s="205"/>
      <c r="J16" s="206"/>
    </row>
    <row r="17" ht="20.25" customHeight="1" spans="1:12">
      <c r="C17" s="205" t="s">
        <v>137</v>
      </c>
      <c r="D17" s="205"/>
      <c r="E17" s="205"/>
      <c r="F17" s="205"/>
      <c r="G17" s="205"/>
      <c r="H17" s="205"/>
      <c r="J17" s="206"/>
    </row>
    <row r="18" ht="20.25" customHeight="1" spans="1:12">
      <c r="C18" s="205" t="s">
        <v>138</v>
      </c>
      <c r="D18" s="205"/>
      <c r="E18" s="205"/>
      <c r="F18" s="205"/>
      <c r="G18" s="205"/>
      <c r="H18" s="205"/>
      <c r="J18" s="206"/>
    </row>
    <row r="19" ht="24" customHeight="1" spans="1:12">
      <c r="C19" s="205" t="s">
        <v>139</v>
      </c>
      <c r="D19" s="205"/>
      <c r="E19" s="205"/>
      <c r="F19" s="205"/>
      <c r="G19" s="205"/>
      <c r="H19" s="205"/>
      <c r="J19" s="206"/>
    </row>
    <row r="20" ht="24" customHeight="1" spans="1:12">
      <c r="A20" s="206" t="s">
        <v>140</v>
      </c>
      <c r="C20" s="207" t="s">
        <v>141</v>
      </c>
      <c r="D20" s="207"/>
      <c r="E20" s="207"/>
      <c r="F20" s="207"/>
      <c r="G20" s="207"/>
      <c r="H20" s="207"/>
      <c r="J20" s="206"/>
    </row>
    <row r="21" ht="24" customHeight="1" spans="1:12">
      <c r="C21" s="208" t="s">
        <v>142</v>
      </c>
      <c r="D21" s="208"/>
      <c r="E21" s="208"/>
      <c r="F21" s="208"/>
      <c r="G21" s="208"/>
      <c r="H21" s="208"/>
      <c r="J21" s="206"/>
    </row>
    <row r="22" spans="1:12">
      <c r="C22" s="206" t="s">
        <v>143</v>
      </c>
    </row>
    <row r="23" spans="1:12">
      <c r="A23" s="209" t="s">
        <v>144</v>
      </c>
      <c r="B23" s="209"/>
      <c r="C23" s="209"/>
      <c r="D23" s="209"/>
      <c r="E23" s="209"/>
      <c r="F23" s="209"/>
      <c r="G23" s="209"/>
      <c r="H23" s="209"/>
      <c r="I23" s="209"/>
      <c r="J23" s="209"/>
      <c r="K23" s="209"/>
      <c r="L23" s="209"/>
    </row>
    <row r="24" ht="14.75" spans="1:12">
      <c r="A24" s="209"/>
      <c r="B24" s="209"/>
      <c r="C24" s="209"/>
      <c r="D24" s="209"/>
      <c r="E24" s="209"/>
      <c r="F24" s="209"/>
      <c r="G24" s="210"/>
      <c r="H24" s="210"/>
      <c r="I24" s="210"/>
      <c r="J24" s="210"/>
      <c r="K24" s="209"/>
      <c r="L24" s="209"/>
    </row>
    <row r="25" ht="46.5" customHeight="1" spans="1:12">
      <c r="A25" s="128" t="s">
        <v>86</v>
      </c>
      <c r="B25" s="211" t="s">
        <v>87</v>
      </c>
      <c r="C25" s="212"/>
      <c r="D25" s="130" t="s">
        <v>41</v>
      </c>
      <c r="E25" s="130" t="s">
        <v>88</v>
      </c>
      <c r="F25" s="130" t="s">
        <v>42</v>
      </c>
      <c r="G25" s="130" t="s">
        <v>43</v>
      </c>
      <c r="H25" s="213" t="s">
        <v>89</v>
      </c>
      <c r="I25" s="214" t="s">
        <v>90</v>
      </c>
      <c r="J25" s="214" t="s">
        <v>91</v>
      </c>
      <c r="K25" s="132" t="s">
        <v>92</v>
      </c>
      <c r="L25" s="209"/>
    </row>
    <row r="26" ht="44.1" customHeight="1" spans="1:12">
      <c r="A26" s="133" t="s">
        <v>145</v>
      </c>
      <c r="B26" s="215" t="s">
        <v>146</v>
      </c>
      <c r="C26" s="216"/>
      <c r="D26" s="217">
        <v>1051120</v>
      </c>
      <c r="E26" s="136" t="s">
        <v>93</v>
      </c>
      <c r="F26" s="581" t="s">
        <v>147</v>
      </c>
      <c r="G26" s="218" t="s">
        <v>53</v>
      </c>
      <c r="H26" s="217">
        <v>1152</v>
      </c>
      <c r="I26" s="217" t="s">
        <v>56</v>
      </c>
      <c r="J26" s="136">
        <v>0.17</v>
      </c>
      <c r="K26" s="137">
        <f>ROUND(H26*J26,3)</f>
        <v>195.84</v>
      </c>
      <c r="L26" s="209"/>
    </row>
    <row r="27" ht="44.1" customHeight="1" spans="1:12">
      <c r="A27" s="133" t="s">
        <v>145</v>
      </c>
      <c r="B27" s="215" t="s">
        <v>146</v>
      </c>
      <c r="C27" s="216"/>
      <c r="D27" s="217">
        <v>1051120</v>
      </c>
      <c r="E27" s="136" t="s">
        <v>93</v>
      </c>
      <c r="F27" s="581" t="s">
        <v>147</v>
      </c>
      <c r="G27" s="218" t="s">
        <v>57</v>
      </c>
      <c r="H27" s="217">
        <v>2703</v>
      </c>
      <c r="I27" s="217" t="s">
        <v>56</v>
      </c>
      <c r="J27" s="136">
        <v>0.17</v>
      </c>
      <c r="K27" s="137">
        <f t="shared" ref="K27:K34" si="0">ROUND(H27*J27,3)</f>
        <v>459.51</v>
      </c>
      <c r="L27" s="209"/>
    </row>
    <row r="28" ht="44.1" customHeight="1" spans="1:12">
      <c r="A28" s="133" t="s">
        <v>145</v>
      </c>
      <c r="B28" s="215" t="s">
        <v>146</v>
      </c>
      <c r="C28" s="216"/>
      <c r="D28" s="217">
        <v>1051120</v>
      </c>
      <c r="E28" s="136" t="s">
        <v>93</v>
      </c>
      <c r="F28" s="581" t="s">
        <v>147</v>
      </c>
      <c r="G28" s="218" t="s">
        <v>59</v>
      </c>
      <c r="H28" s="217">
        <v>1869</v>
      </c>
      <c r="I28" s="217" t="s">
        <v>56</v>
      </c>
      <c r="J28" s="136">
        <v>0.17</v>
      </c>
      <c r="K28" s="137">
        <f t="shared" si="0"/>
        <v>317.73</v>
      </c>
      <c r="L28" s="209"/>
    </row>
    <row r="29" ht="44.1" customHeight="1" spans="1:12">
      <c r="A29" s="133" t="s">
        <v>145</v>
      </c>
      <c r="B29" s="215" t="s">
        <v>146</v>
      </c>
      <c r="C29" s="216"/>
      <c r="D29" s="217">
        <v>1051120</v>
      </c>
      <c r="E29" s="136" t="s">
        <v>93</v>
      </c>
      <c r="F29" s="581" t="s">
        <v>147</v>
      </c>
      <c r="G29" s="218" t="s">
        <v>61</v>
      </c>
      <c r="H29" s="217">
        <v>3823</v>
      </c>
      <c r="I29" s="217" t="s">
        <v>56</v>
      </c>
      <c r="J29" s="136">
        <v>0.17</v>
      </c>
      <c r="K29" s="137">
        <f t="shared" si="0"/>
        <v>649.91</v>
      </c>
    </row>
    <row r="30" ht="44.1" customHeight="1" spans="1:12">
      <c r="A30" s="133" t="s">
        <v>145</v>
      </c>
      <c r="B30" s="215" t="s">
        <v>146</v>
      </c>
      <c r="C30" s="216"/>
      <c r="D30" s="217">
        <v>1051120</v>
      </c>
      <c r="E30" s="136" t="s">
        <v>93</v>
      </c>
      <c r="F30" s="581" t="s">
        <v>147</v>
      </c>
      <c r="G30" s="218" t="s">
        <v>65</v>
      </c>
      <c r="H30" s="217">
        <v>2332</v>
      </c>
      <c r="I30" s="217" t="s">
        <v>56</v>
      </c>
      <c r="J30" s="136">
        <v>0.17</v>
      </c>
      <c r="K30" s="137">
        <f t="shared" si="0"/>
        <v>396.44</v>
      </c>
      <c r="L30" s="209"/>
    </row>
    <row r="31" ht="44.1" customHeight="1" spans="1:12">
      <c r="A31" s="133" t="s">
        <v>145</v>
      </c>
      <c r="B31" s="215" t="s">
        <v>146</v>
      </c>
      <c r="C31" s="216"/>
      <c r="D31" s="217">
        <v>1051120</v>
      </c>
      <c r="E31" s="136" t="s">
        <v>93</v>
      </c>
      <c r="F31" s="581" t="s">
        <v>147</v>
      </c>
      <c r="G31" s="218" t="s">
        <v>69</v>
      </c>
      <c r="H31" s="217">
        <v>1744</v>
      </c>
      <c r="I31" s="217" t="s">
        <v>56</v>
      </c>
      <c r="J31" s="136">
        <v>0.17</v>
      </c>
      <c r="K31" s="137">
        <f t="shared" si="0"/>
        <v>296.48</v>
      </c>
      <c r="L31" s="209"/>
    </row>
    <row r="32" ht="44.1" customHeight="1" spans="1:12">
      <c r="A32" s="133" t="s">
        <v>145</v>
      </c>
      <c r="B32" s="215" t="s">
        <v>146</v>
      </c>
      <c r="C32" s="216"/>
      <c r="D32" s="217">
        <v>1051120</v>
      </c>
      <c r="E32" s="136" t="s">
        <v>93</v>
      </c>
      <c r="F32" s="581" t="s">
        <v>147</v>
      </c>
      <c r="G32" s="218" t="s">
        <v>71</v>
      </c>
      <c r="H32" s="217">
        <v>205</v>
      </c>
      <c r="I32" s="217" t="s">
        <v>56</v>
      </c>
      <c r="J32" s="136">
        <v>0.17</v>
      </c>
      <c r="K32" s="137">
        <f t="shared" si="0"/>
        <v>34.85</v>
      </c>
      <c r="L32" s="209"/>
    </row>
    <row r="33" ht="44.1" customHeight="1" spans="1:12">
      <c r="A33" s="133" t="s">
        <v>145</v>
      </c>
      <c r="B33" s="215" t="s">
        <v>146</v>
      </c>
      <c r="C33" s="216"/>
      <c r="D33" s="217">
        <v>1051120</v>
      </c>
      <c r="E33" s="136" t="s">
        <v>93</v>
      </c>
      <c r="F33" s="581" t="s">
        <v>147</v>
      </c>
      <c r="G33" s="218" t="s">
        <v>63</v>
      </c>
      <c r="H33" s="217">
        <v>147</v>
      </c>
      <c r="I33" s="217" t="s">
        <v>56</v>
      </c>
      <c r="J33" s="136">
        <v>0.17</v>
      </c>
      <c r="K33" s="137">
        <f t="shared" si="0"/>
        <v>24.99</v>
      </c>
      <c r="L33" s="209"/>
    </row>
    <row r="34" ht="44.1" customHeight="1" spans="1:12">
      <c r="A34" s="133" t="s">
        <v>145</v>
      </c>
      <c r="B34" s="215" t="s">
        <v>146</v>
      </c>
      <c r="C34" s="216"/>
      <c r="D34" s="217">
        <v>1051120</v>
      </c>
      <c r="E34" s="136" t="s">
        <v>93</v>
      </c>
      <c r="F34" s="581" t="s">
        <v>147</v>
      </c>
      <c r="G34" s="218" t="s">
        <v>67</v>
      </c>
      <c r="H34" s="217">
        <v>186</v>
      </c>
      <c r="I34" s="217" t="s">
        <v>56</v>
      </c>
      <c r="J34" s="136">
        <v>0.17</v>
      </c>
      <c r="K34" s="137">
        <f t="shared" si="0"/>
        <v>31.62</v>
      </c>
    </row>
    <row r="35" ht="39.95" customHeight="1" spans="1:12">
      <c r="A35" s="219"/>
      <c r="B35" s="220" t="s">
        <v>74</v>
      </c>
      <c r="C35" s="221"/>
      <c r="D35" s="222"/>
      <c r="E35" s="222"/>
      <c r="F35" s="223"/>
      <c r="G35" s="143"/>
      <c r="H35" s="224">
        <f>SUM(H26:H34)</f>
        <v>14161</v>
      </c>
      <c r="I35" s="143" t="s">
        <v>56</v>
      </c>
      <c r="J35" s="225" t="s">
        <v>94</v>
      </c>
      <c r="K35" s="226">
        <f>SUM(K26:K34)</f>
        <v>2407.37</v>
      </c>
      <c r="L35" s="209"/>
    </row>
    <row r="36" ht="24.95" customHeight="1" spans="1:12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</row>
    <row r="38" spans="1:12">
      <c r="A38" s="227" t="s">
        <v>148</v>
      </c>
      <c r="C38" s="198" t="str">
        <f>INV!B49</f>
        <v>US DOLLAR THREE THOUSAND SEVEN HUNDRED ONE AND EIGHTY NINE CENTS ONLY.</v>
      </c>
    </row>
    <row r="39" spans="1:12">
      <c r="A39" s="227" t="s">
        <v>149</v>
      </c>
    </row>
    <row r="40" spans="1:12">
      <c r="A40" s="227" t="s">
        <v>150</v>
      </c>
      <c r="C40" s="194" t="s">
        <v>151</v>
      </c>
    </row>
    <row r="41" spans="1:12">
      <c r="A41" s="227" t="s">
        <v>152</v>
      </c>
    </row>
    <row r="42" spans="1:12">
      <c r="A42" s="227" t="s">
        <v>153</v>
      </c>
      <c r="C42" s="206" t="s">
        <v>154</v>
      </c>
    </row>
    <row r="43" spans="1:12">
      <c r="A43" s="227" t="s">
        <v>155</v>
      </c>
      <c r="C43" s="228">
        <f>PKL!E29</f>
        <v>46183</v>
      </c>
    </row>
    <row r="44" spans="1:12">
      <c r="A44" s="227" t="s">
        <v>156</v>
      </c>
      <c r="C44" s="198" t="s">
        <v>157</v>
      </c>
    </row>
    <row r="45" spans="1:12">
      <c r="A45" s="227" t="s">
        <v>158</v>
      </c>
      <c r="C45" s="198" t="str">
        <f>C9</f>
        <v>GDI HK LIMITED</v>
      </c>
    </row>
    <row r="46" ht="31.5" customHeight="1" spans="1:12">
      <c r="A46" s="229" t="s">
        <v>159</v>
      </c>
      <c r="B46" s="229"/>
      <c r="C46" s="229"/>
      <c r="D46" s="229"/>
      <c r="E46" s="229"/>
      <c r="F46" s="229"/>
      <c r="G46" s="229"/>
      <c r="H46" s="229"/>
    </row>
    <row r="48" ht="15" spans="1:12">
      <c r="A48" s="230" t="s">
        <v>160</v>
      </c>
      <c r="B48" s="230"/>
      <c r="C48" s="230"/>
    </row>
  </sheetData>
  <autoFilter xmlns:etc="http://www.wps.cn/officeDocument/2017/etCustomData" ref="A25:L35" etc:filterBottomFollowUsedRange="0">
    <extLst/>
  </autoFilter>
  <mergeCells count="27">
    <mergeCell ref="A2:J2"/>
    <mergeCell ref="C9:G9"/>
    <mergeCell ref="C10:G10"/>
    <mergeCell ref="C12:G12"/>
    <mergeCell ref="C13:J13"/>
    <mergeCell ref="C14:G14"/>
    <mergeCell ref="C15:H15"/>
    <mergeCell ref="C16:H16"/>
    <mergeCell ref="C17:H17"/>
    <mergeCell ref="C18:H18"/>
    <mergeCell ref="C19:H19"/>
    <mergeCell ref="C20:H20"/>
    <mergeCell ref="C21:H21"/>
    <mergeCell ref="C22:G22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A46:H46"/>
    <mergeCell ref="A48:C48"/>
  </mergeCells>
  <hyperlinks>
    <hyperlink ref="C14" r:id="rId1" display="TEL:(+84)-723-643-733;       (+84)-723-643-734     FAX: (+84)-723-643-735"/>
  </hyperlinks>
  <pageMargins left="0.2" right="0.3" top="0.75" bottom="0.75" header="0.3" footer="0.3"/>
  <pageSetup paperSize="9" scale="50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401"/>
  <sheetViews>
    <sheetView view="pageBreakPreview" zoomScale="90" zoomScaleNormal="100" workbookViewId="0">
      <selection activeCell="E5" sqref="E5"/>
    </sheetView>
  </sheetViews>
  <sheetFormatPr defaultColWidth="9" defaultRowHeight="13"/>
  <cols>
    <col min="1" max="1" width="23" style="95" customWidth="1"/>
    <col min="2" max="2" width="24.4272727272727" style="95" customWidth="1"/>
    <col min="3" max="3" width="14.7090909090909" style="95" customWidth="1"/>
    <col min="4" max="4" width="29.5727272727273" style="95" customWidth="1"/>
    <col min="5" max="5" width="16.2909090909091" style="95" customWidth="1"/>
    <col min="6" max="6" width="15.7090909090909" style="95" customWidth="1"/>
    <col min="7" max="7" width="15.4272727272727" style="95" customWidth="1"/>
    <col min="8" max="8" width="16.7090909090909" style="95" customWidth="1"/>
    <col min="9" max="9" width="15.7090909090909" style="95" customWidth="1"/>
    <col min="10" max="10" width="11.7090909090909" style="95" customWidth="1"/>
    <col min="11" max="248" width="9" style="95"/>
    <col min="249" max="249" width="32.5727272727273" style="95" customWidth="1"/>
    <col min="250" max="250" width="13.1363636363636" style="95" customWidth="1"/>
    <col min="251" max="251" width="15.5727272727273" style="95" customWidth="1"/>
    <col min="252" max="252" width="5.85454545454545" style="95" customWidth="1"/>
    <col min="253" max="253" width="15.8545454545455" style="95" customWidth="1"/>
    <col min="254" max="254" width="14.5727272727273" style="95" customWidth="1"/>
    <col min="255" max="255" width="17.8545454545455" style="95" customWidth="1"/>
    <col min="256" max="256" width="18.1363636363636" style="95" customWidth="1"/>
    <col min="257" max="257" width="22.5727272727273" style="95" customWidth="1"/>
    <col min="258" max="258" width="21.1363636363636" style="95" customWidth="1"/>
    <col min="259" max="259" width="0.572727272727273" style="95" customWidth="1"/>
    <col min="260" max="260" width="9" style="95"/>
    <col min="261" max="261" width="15.4272727272727" style="95" customWidth="1"/>
    <col min="262" max="504" width="9" style="95"/>
    <col min="505" max="505" width="32.5727272727273" style="95" customWidth="1"/>
    <col min="506" max="506" width="13.1363636363636" style="95" customWidth="1"/>
    <col min="507" max="507" width="15.5727272727273" style="95" customWidth="1"/>
    <col min="508" max="508" width="5.85454545454545" style="95" customWidth="1"/>
    <col min="509" max="509" width="15.8545454545455" style="95" customWidth="1"/>
    <col min="510" max="510" width="14.5727272727273" style="95" customWidth="1"/>
    <col min="511" max="511" width="17.8545454545455" style="95" customWidth="1"/>
    <col min="512" max="512" width="18.1363636363636" style="95" customWidth="1"/>
    <col min="513" max="513" width="22.5727272727273" style="95" customWidth="1"/>
    <col min="514" max="514" width="21.1363636363636" style="95" customWidth="1"/>
    <col min="515" max="515" width="0.572727272727273" style="95" customWidth="1"/>
    <col min="516" max="516" width="9" style="95"/>
    <col min="517" max="517" width="15.4272727272727" style="95" customWidth="1"/>
    <col min="518" max="760" width="9" style="95"/>
    <col min="761" max="761" width="32.5727272727273" style="95" customWidth="1"/>
    <col min="762" max="762" width="13.1363636363636" style="95" customWidth="1"/>
    <col min="763" max="763" width="15.5727272727273" style="95" customWidth="1"/>
    <col min="764" max="764" width="5.85454545454545" style="95" customWidth="1"/>
    <col min="765" max="765" width="15.8545454545455" style="95" customWidth="1"/>
    <col min="766" max="766" width="14.5727272727273" style="95" customWidth="1"/>
    <col min="767" max="767" width="17.8545454545455" style="95" customWidth="1"/>
    <col min="768" max="768" width="18.1363636363636" style="95" customWidth="1"/>
    <col min="769" max="769" width="22.5727272727273" style="95" customWidth="1"/>
    <col min="770" max="770" width="21.1363636363636" style="95" customWidth="1"/>
    <col min="771" max="771" width="0.572727272727273" style="95" customWidth="1"/>
    <col min="772" max="772" width="9" style="95"/>
    <col min="773" max="773" width="15.4272727272727" style="95" customWidth="1"/>
    <col min="774" max="1016" width="9" style="95"/>
    <col min="1017" max="1017" width="32.5727272727273" style="95" customWidth="1"/>
    <col min="1018" max="1018" width="13.1363636363636" style="95" customWidth="1"/>
    <col min="1019" max="1019" width="15.5727272727273" style="95" customWidth="1"/>
    <col min="1020" max="1020" width="5.85454545454545" style="95" customWidth="1"/>
    <col min="1021" max="1021" width="15.8545454545455" style="95" customWidth="1"/>
    <col min="1022" max="1022" width="14.5727272727273" style="95" customWidth="1"/>
    <col min="1023" max="1023" width="17.8545454545455" style="95" customWidth="1"/>
    <col min="1024" max="1024" width="18.1363636363636" style="95" customWidth="1"/>
    <col min="1025" max="1025" width="22.5727272727273" style="95" customWidth="1"/>
    <col min="1026" max="1026" width="21.1363636363636" style="95" customWidth="1"/>
    <col min="1027" max="1027" width="0.572727272727273" style="95" customWidth="1"/>
    <col min="1028" max="1028" width="9" style="95"/>
    <col min="1029" max="1029" width="15.4272727272727" style="95" customWidth="1"/>
    <col min="1030" max="1272" width="9" style="95"/>
    <col min="1273" max="1273" width="32.5727272727273" style="95" customWidth="1"/>
    <col min="1274" max="1274" width="13.1363636363636" style="95" customWidth="1"/>
    <col min="1275" max="1275" width="15.5727272727273" style="95" customWidth="1"/>
    <col min="1276" max="1276" width="5.85454545454545" style="95" customWidth="1"/>
    <col min="1277" max="1277" width="15.8545454545455" style="95" customWidth="1"/>
    <col min="1278" max="1278" width="14.5727272727273" style="95" customWidth="1"/>
    <col min="1279" max="1279" width="17.8545454545455" style="95" customWidth="1"/>
    <col min="1280" max="1280" width="18.1363636363636" style="95" customWidth="1"/>
    <col min="1281" max="1281" width="22.5727272727273" style="95" customWidth="1"/>
    <col min="1282" max="1282" width="21.1363636363636" style="95" customWidth="1"/>
    <col min="1283" max="1283" width="0.572727272727273" style="95" customWidth="1"/>
    <col min="1284" max="1284" width="9" style="95"/>
    <col min="1285" max="1285" width="15.4272727272727" style="95" customWidth="1"/>
    <col min="1286" max="1528" width="9" style="95"/>
    <col min="1529" max="1529" width="32.5727272727273" style="95" customWidth="1"/>
    <col min="1530" max="1530" width="13.1363636363636" style="95" customWidth="1"/>
    <col min="1531" max="1531" width="15.5727272727273" style="95" customWidth="1"/>
    <col min="1532" max="1532" width="5.85454545454545" style="95" customWidth="1"/>
    <col min="1533" max="1533" width="15.8545454545455" style="95" customWidth="1"/>
    <col min="1534" max="1534" width="14.5727272727273" style="95" customWidth="1"/>
    <col min="1535" max="1535" width="17.8545454545455" style="95" customWidth="1"/>
    <col min="1536" max="1536" width="18.1363636363636" style="95" customWidth="1"/>
    <col min="1537" max="1537" width="22.5727272727273" style="95" customWidth="1"/>
    <col min="1538" max="1538" width="21.1363636363636" style="95" customWidth="1"/>
    <col min="1539" max="1539" width="0.572727272727273" style="95" customWidth="1"/>
    <col min="1540" max="1540" width="9" style="95"/>
    <col min="1541" max="1541" width="15.4272727272727" style="95" customWidth="1"/>
    <col min="1542" max="1784" width="9" style="95"/>
    <col min="1785" max="1785" width="32.5727272727273" style="95" customWidth="1"/>
    <col min="1786" max="1786" width="13.1363636363636" style="95" customWidth="1"/>
    <col min="1787" max="1787" width="15.5727272727273" style="95" customWidth="1"/>
    <col min="1788" max="1788" width="5.85454545454545" style="95" customWidth="1"/>
    <col min="1789" max="1789" width="15.8545454545455" style="95" customWidth="1"/>
    <col min="1790" max="1790" width="14.5727272727273" style="95" customWidth="1"/>
    <col min="1791" max="1791" width="17.8545454545455" style="95" customWidth="1"/>
    <col min="1792" max="1792" width="18.1363636363636" style="95" customWidth="1"/>
    <col min="1793" max="1793" width="22.5727272727273" style="95" customWidth="1"/>
    <col min="1794" max="1794" width="21.1363636363636" style="95" customWidth="1"/>
    <col min="1795" max="1795" width="0.572727272727273" style="95" customWidth="1"/>
    <col min="1796" max="1796" width="9" style="95"/>
    <col min="1797" max="1797" width="15.4272727272727" style="95" customWidth="1"/>
    <col min="1798" max="2040" width="9" style="95"/>
    <col min="2041" max="2041" width="32.5727272727273" style="95" customWidth="1"/>
    <col min="2042" max="2042" width="13.1363636363636" style="95" customWidth="1"/>
    <col min="2043" max="2043" width="15.5727272727273" style="95" customWidth="1"/>
    <col min="2044" max="2044" width="5.85454545454545" style="95" customWidth="1"/>
    <col min="2045" max="2045" width="15.8545454545455" style="95" customWidth="1"/>
    <col min="2046" max="2046" width="14.5727272727273" style="95" customWidth="1"/>
    <col min="2047" max="2047" width="17.8545454545455" style="95" customWidth="1"/>
    <col min="2048" max="2048" width="18.1363636363636" style="95" customWidth="1"/>
    <col min="2049" max="2049" width="22.5727272727273" style="95" customWidth="1"/>
    <col min="2050" max="2050" width="21.1363636363636" style="95" customWidth="1"/>
    <col min="2051" max="2051" width="0.572727272727273" style="95" customWidth="1"/>
    <col min="2052" max="2052" width="9" style="95"/>
    <col min="2053" max="2053" width="15.4272727272727" style="95" customWidth="1"/>
    <col min="2054" max="2296" width="9" style="95"/>
    <col min="2297" max="2297" width="32.5727272727273" style="95" customWidth="1"/>
    <col min="2298" max="2298" width="13.1363636363636" style="95" customWidth="1"/>
    <col min="2299" max="2299" width="15.5727272727273" style="95" customWidth="1"/>
    <col min="2300" max="2300" width="5.85454545454545" style="95" customWidth="1"/>
    <col min="2301" max="2301" width="15.8545454545455" style="95" customWidth="1"/>
    <col min="2302" max="2302" width="14.5727272727273" style="95" customWidth="1"/>
    <col min="2303" max="2303" width="17.8545454545455" style="95" customWidth="1"/>
    <col min="2304" max="2304" width="18.1363636363636" style="95" customWidth="1"/>
    <col min="2305" max="2305" width="22.5727272727273" style="95" customWidth="1"/>
    <col min="2306" max="2306" width="21.1363636363636" style="95" customWidth="1"/>
    <col min="2307" max="2307" width="0.572727272727273" style="95" customWidth="1"/>
    <col min="2308" max="2308" width="9" style="95"/>
    <col min="2309" max="2309" width="15.4272727272727" style="95" customWidth="1"/>
    <col min="2310" max="2552" width="9" style="95"/>
    <col min="2553" max="2553" width="32.5727272727273" style="95" customWidth="1"/>
    <col min="2554" max="2554" width="13.1363636363636" style="95" customWidth="1"/>
    <col min="2555" max="2555" width="15.5727272727273" style="95" customWidth="1"/>
    <col min="2556" max="2556" width="5.85454545454545" style="95" customWidth="1"/>
    <col min="2557" max="2557" width="15.8545454545455" style="95" customWidth="1"/>
    <col min="2558" max="2558" width="14.5727272727273" style="95" customWidth="1"/>
    <col min="2559" max="2559" width="17.8545454545455" style="95" customWidth="1"/>
    <col min="2560" max="2560" width="18.1363636363636" style="95" customWidth="1"/>
    <col min="2561" max="2561" width="22.5727272727273" style="95" customWidth="1"/>
    <col min="2562" max="2562" width="21.1363636363636" style="95" customWidth="1"/>
    <col min="2563" max="2563" width="0.572727272727273" style="95" customWidth="1"/>
    <col min="2564" max="2564" width="9" style="95"/>
    <col min="2565" max="2565" width="15.4272727272727" style="95" customWidth="1"/>
    <col min="2566" max="2808" width="9" style="95"/>
    <col min="2809" max="2809" width="32.5727272727273" style="95" customWidth="1"/>
    <col min="2810" max="2810" width="13.1363636363636" style="95" customWidth="1"/>
    <col min="2811" max="2811" width="15.5727272727273" style="95" customWidth="1"/>
    <col min="2812" max="2812" width="5.85454545454545" style="95" customWidth="1"/>
    <col min="2813" max="2813" width="15.8545454545455" style="95" customWidth="1"/>
    <col min="2814" max="2814" width="14.5727272727273" style="95" customWidth="1"/>
    <col min="2815" max="2815" width="17.8545454545455" style="95" customWidth="1"/>
    <col min="2816" max="2816" width="18.1363636363636" style="95" customWidth="1"/>
    <col min="2817" max="2817" width="22.5727272727273" style="95" customWidth="1"/>
    <col min="2818" max="2818" width="21.1363636363636" style="95" customWidth="1"/>
    <col min="2819" max="2819" width="0.572727272727273" style="95" customWidth="1"/>
    <col min="2820" max="2820" width="9" style="95"/>
    <col min="2821" max="2821" width="15.4272727272727" style="95" customWidth="1"/>
    <col min="2822" max="3064" width="9" style="95"/>
    <col min="3065" max="3065" width="32.5727272727273" style="95" customWidth="1"/>
    <col min="3066" max="3066" width="13.1363636363636" style="95" customWidth="1"/>
    <col min="3067" max="3067" width="15.5727272727273" style="95" customWidth="1"/>
    <col min="3068" max="3068" width="5.85454545454545" style="95" customWidth="1"/>
    <col min="3069" max="3069" width="15.8545454545455" style="95" customWidth="1"/>
    <col min="3070" max="3070" width="14.5727272727273" style="95" customWidth="1"/>
    <col min="3071" max="3071" width="17.8545454545455" style="95" customWidth="1"/>
    <col min="3072" max="3072" width="18.1363636363636" style="95" customWidth="1"/>
    <col min="3073" max="3073" width="22.5727272727273" style="95" customWidth="1"/>
    <col min="3074" max="3074" width="21.1363636363636" style="95" customWidth="1"/>
    <col min="3075" max="3075" width="0.572727272727273" style="95" customWidth="1"/>
    <col min="3076" max="3076" width="9" style="95"/>
    <col min="3077" max="3077" width="15.4272727272727" style="95" customWidth="1"/>
    <col min="3078" max="3320" width="9" style="95"/>
    <col min="3321" max="3321" width="32.5727272727273" style="95" customWidth="1"/>
    <col min="3322" max="3322" width="13.1363636363636" style="95" customWidth="1"/>
    <col min="3323" max="3323" width="15.5727272727273" style="95" customWidth="1"/>
    <col min="3324" max="3324" width="5.85454545454545" style="95" customWidth="1"/>
    <col min="3325" max="3325" width="15.8545454545455" style="95" customWidth="1"/>
    <col min="3326" max="3326" width="14.5727272727273" style="95" customWidth="1"/>
    <col min="3327" max="3327" width="17.8545454545455" style="95" customWidth="1"/>
    <col min="3328" max="3328" width="18.1363636363636" style="95" customWidth="1"/>
    <col min="3329" max="3329" width="22.5727272727273" style="95" customWidth="1"/>
    <col min="3330" max="3330" width="21.1363636363636" style="95" customWidth="1"/>
    <col min="3331" max="3331" width="0.572727272727273" style="95" customWidth="1"/>
    <col min="3332" max="3332" width="9" style="95"/>
    <col min="3333" max="3333" width="15.4272727272727" style="95" customWidth="1"/>
    <col min="3334" max="3576" width="9" style="95"/>
    <col min="3577" max="3577" width="32.5727272727273" style="95" customWidth="1"/>
    <col min="3578" max="3578" width="13.1363636363636" style="95" customWidth="1"/>
    <col min="3579" max="3579" width="15.5727272727273" style="95" customWidth="1"/>
    <col min="3580" max="3580" width="5.85454545454545" style="95" customWidth="1"/>
    <col min="3581" max="3581" width="15.8545454545455" style="95" customWidth="1"/>
    <col min="3582" max="3582" width="14.5727272727273" style="95" customWidth="1"/>
    <col min="3583" max="3583" width="17.8545454545455" style="95" customWidth="1"/>
    <col min="3584" max="3584" width="18.1363636363636" style="95" customWidth="1"/>
    <col min="3585" max="3585" width="22.5727272727273" style="95" customWidth="1"/>
    <col min="3586" max="3586" width="21.1363636363636" style="95" customWidth="1"/>
    <col min="3587" max="3587" width="0.572727272727273" style="95" customWidth="1"/>
    <col min="3588" max="3588" width="9" style="95"/>
    <col min="3589" max="3589" width="15.4272727272727" style="95" customWidth="1"/>
    <col min="3590" max="3832" width="9" style="95"/>
    <col min="3833" max="3833" width="32.5727272727273" style="95" customWidth="1"/>
    <col min="3834" max="3834" width="13.1363636363636" style="95" customWidth="1"/>
    <col min="3835" max="3835" width="15.5727272727273" style="95" customWidth="1"/>
    <col min="3836" max="3836" width="5.85454545454545" style="95" customWidth="1"/>
    <col min="3837" max="3837" width="15.8545454545455" style="95" customWidth="1"/>
    <col min="3838" max="3838" width="14.5727272727273" style="95" customWidth="1"/>
    <col min="3839" max="3839" width="17.8545454545455" style="95" customWidth="1"/>
    <col min="3840" max="3840" width="18.1363636363636" style="95" customWidth="1"/>
    <col min="3841" max="3841" width="22.5727272727273" style="95" customWidth="1"/>
    <col min="3842" max="3842" width="21.1363636363636" style="95" customWidth="1"/>
    <col min="3843" max="3843" width="0.572727272727273" style="95" customWidth="1"/>
    <col min="3844" max="3844" width="9" style="95"/>
    <col min="3845" max="3845" width="15.4272727272727" style="95" customWidth="1"/>
    <col min="3846" max="4088" width="9" style="95"/>
    <col min="4089" max="4089" width="32.5727272727273" style="95" customWidth="1"/>
    <col min="4090" max="4090" width="13.1363636363636" style="95" customWidth="1"/>
    <col min="4091" max="4091" width="15.5727272727273" style="95" customWidth="1"/>
    <col min="4092" max="4092" width="5.85454545454545" style="95" customWidth="1"/>
    <col min="4093" max="4093" width="15.8545454545455" style="95" customWidth="1"/>
    <col min="4094" max="4094" width="14.5727272727273" style="95" customWidth="1"/>
    <col min="4095" max="4095" width="17.8545454545455" style="95" customWidth="1"/>
    <col min="4096" max="4096" width="18.1363636363636" style="95" customWidth="1"/>
    <col min="4097" max="4097" width="22.5727272727273" style="95" customWidth="1"/>
    <col min="4098" max="4098" width="21.1363636363636" style="95" customWidth="1"/>
    <col min="4099" max="4099" width="0.572727272727273" style="95" customWidth="1"/>
    <col min="4100" max="4100" width="9" style="95"/>
    <col min="4101" max="4101" width="15.4272727272727" style="95" customWidth="1"/>
    <col min="4102" max="4344" width="9" style="95"/>
    <col min="4345" max="4345" width="32.5727272727273" style="95" customWidth="1"/>
    <col min="4346" max="4346" width="13.1363636363636" style="95" customWidth="1"/>
    <col min="4347" max="4347" width="15.5727272727273" style="95" customWidth="1"/>
    <col min="4348" max="4348" width="5.85454545454545" style="95" customWidth="1"/>
    <col min="4349" max="4349" width="15.8545454545455" style="95" customWidth="1"/>
    <col min="4350" max="4350" width="14.5727272727273" style="95" customWidth="1"/>
    <col min="4351" max="4351" width="17.8545454545455" style="95" customWidth="1"/>
    <col min="4352" max="4352" width="18.1363636363636" style="95" customWidth="1"/>
    <col min="4353" max="4353" width="22.5727272727273" style="95" customWidth="1"/>
    <col min="4354" max="4354" width="21.1363636363636" style="95" customWidth="1"/>
    <col min="4355" max="4355" width="0.572727272727273" style="95" customWidth="1"/>
    <col min="4356" max="4356" width="9" style="95"/>
    <col min="4357" max="4357" width="15.4272727272727" style="95" customWidth="1"/>
    <col min="4358" max="4600" width="9" style="95"/>
    <col min="4601" max="4601" width="32.5727272727273" style="95" customWidth="1"/>
    <col min="4602" max="4602" width="13.1363636363636" style="95" customWidth="1"/>
    <col min="4603" max="4603" width="15.5727272727273" style="95" customWidth="1"/>
    <col min="4604" max="4604" width="5.85454545454545" style="95" customWidth="1"/>
    <col min="4605" max="4605" width="15.8545454545455" style="95" customWidth="1"/>
    <col min="4606" max="4606" width="14.5727272727273" style="95" customWidth="1"/>
    <col min="4607" max="4607" width="17.8545454545455" style="95" customWidth="1"/>
    <col min="4608" max="4608" width="18.1363636363636" style="95" customWidth="1"/>
    <col min="4609" max="4609" width="22.5727272727273" style="95" customWidth="1"/>
    <col min="4610" max="4610" width="21.1363636363636" style="95" customWidth="1"/>
    <col min="4611" max="4611" width="0.572727272727273" style="95" customWidth="1"/>
    <col min="4612" max="4612" width="9" style="95"/>
    <col min="4613" max="4613" width="15.4272727272727" style="95" customWidth="1"/>
    <col min="4614" max="4856" width="9" style="95"/>
    <col min="4857" max="4857" width="32.5727272727273" style="95" customWidth="1"/>
    <col min="4858" max="4858" width="13.1363636363636" style="95" customWidth="1"/>
    <col min="4859" max="4859" width="15.5727272727273" style="95" customWidth="1"/>
    <col min="4860" max="4860" width="5.85454545454545" style="95" customWidth="1"/>
    <col min="4861" max="4861" width="15.8545454545455" style="95" customWidth="1"/>
    <col min="4862" max="4862" width="14.5727272727273" style="95" customWidth="1"/>
    <col min="4863" max="4863" width="17.8545454545455" style="95" customWidth="1"/>
    <col min="4864" max="4864" width="18.1363636363636" style="95" customWidth="1"/>
    <col min="4865" max="4865" width="22.5727272727273" style="95" customWidth="1"/>
    <col min="4866" max="4866" width="21.1363636363636" style="95" customWidth="1"/>
    <col min="4867" max="4867" width="0.572727272727273" style="95" customWidth="1"/>
    <col min="4868" max="4868" width="9" style="95"/>
    <col min="4869" max="4869" width="15.4272727272727" style="95" customWidth="1"/>
    <col min="4870" max="5112" width="9" style="95"/>
    <col min="5113" max="5113" width="32.5727272727273" style="95" customWidth="1"/>
    <col min="5114" max="5114" width="13.1363636363636" style="95" customWidth="1"/>
    <col min="5115" max="5115" width="15.5727272727273" style="95" customWidth="1"/>
    <col min="5116" max="5116" width="5.85454545454545" style="95" customWidth="1"/>
    <col min="5117" max="5117" width="15.8545454545455" style="95" customWidth="1"/>
    <col min="5118" max="5118" width="14.5727272727273" style="95" customWidth="1"/>
    <col min="5119" max="5119" width="17.8545454545455" style="95" customWidth="1"/>
    <col min="5120" max="5120" width="18.1363636363636" style="95" customWidth="1"/>
    <col min="5121" max="5121" width="22.5727272727273" style="95" customWidth="1"/>
    <col min="5122" max="5122" width="21.1363636363636" style="95" customWidth="1"/>
    <col min="5123" max="5123" width="0.572727272727273" style="95" customWidth="1"/>
    <col min="5124" max="5124" width="9" style="95"/>
    <col min="5125" max="5125" width="15.4272727272727" style="95" customWidth="1"/>
    <col min="5126" max="5368" width="9" style="95"/>
    <col min="5369" max="5369" width="32.5727272727273" style="95" customWidth="1"/>
    <col min="5370" max="5370" width="13.1363636363636" style="95" customWidth="1"/>
    <col min="5371" max="5371" width="15.5727272727273" style="95" customWidth="1"/>
    <col min="5372" max="5372" width="5.85454545454545" style="95" customWidth="1"/>
    <col min="5373" max="5373" width="15.8545454545455" style="95" customWidth="1"/>
    <col min="5374" max="5374" width="14.5727272727273" style="95" customWidth="1"/>
    <col min="5375" max="5375" width="17.8545454545455" style="95" customWidth="1"/>
    <col min="5376" max="5376" width="18.1363636363636" style="95" customWidth="1"/>
    <col min="5377" max="5377" width="22.5727272727273" style="95" customWidth="1"/>
    <col min="5378" max="5378" width="21.1363636363636" style="95" customWidth="1"/>
    <col min="5379" max="5379" width="0.572727272727273" style="95" customWidth="1"/>
    <col min="5380" max="5380" width="9" style="95"/>
    <col min="5381" max="5381" width="15.4272727272727" style="95" customWidth="1"/>
    <col min="5382" max="5624" width="9" style="95"/>
    <col min="5625" max="5625" width="32.5727272727273" style="95" customWidth="1"/>
    <col min="5626" max="5626" width="13.1363636363636" style="95" customWidth="1"/>
    <col min="5627" max="5627" width="15.5727272727273" style="95" customWidth="1"/>
    <col min="5628" max="5628" width="5.85454545454545" style="95" customWidth="1"/>
    <col min="5629" max="5629" width="15.8545454545455" style="95" customWidth="1"/>
    <col min="5630" max="5630" width="14.5727272727273" style="95" customWidth="1"/>
    <col min="5631" max="5631" width="17.8545454545455" style="95" customWidth="1"/>
    <col min="5632" max="5632" width="18.1363636363636" style="95" customWidth="1"/>
    <col min="5633" max="5633" width="22.5727272727273" style="95" customWidth="1"/>
    <col min="5634" max="5634" width="21.1363636363636" style="95" customWidth="1"/>
    <col min="5635" max="5635" width="0.572727272727273" style="95" customWidth="1"/>
    <col min="5636" max="5636" width="9" style="95"/>
    <col min="5637" max="5637" width="15.4272727272727" style="95" customWidth="1"/>
    <col min="5638" max="5880" width="9" style="95"/>
    <col min="5881" max="5881" width="32.5727272727273" style="95" customWidth="1"/>
    <col min="5882" max="5882" width="13.1363636363636" style="95" customWidth="1"/>
    <col min="5883" max="5883" width="15.5727272727273" style="95" customWidth="1"/>
    <col min="5884" max="5884" width="5.85454545454545" style="95" customWidth="1"/>
    <col min="5885" max="5885" width="15.8545454545455" style="95" customWidth="1"/>
    <col min="5886" max="5886" width="14.5727272727273" style="95" customWidth="1"/>
    <col min="5887" max="5887" width="17.8545454545455" style="95" customWidth="1"/>
    <col min="5888" max="5888" width="18.1363636363636" style="95" customWidth="1"/>
    <col min="5889" max="5889" width="22.5727272727273" style="95" customWidth="1"/>
    <col min="5890" max="5890" width="21.1363636363636" style="95" customWidth="1"/>
    <col min="5891" max="5891" width="0.572727272727273" style="95" customWidth="1"/>
    <col min="5892" max="5892" width="9" style="95"/>
    <col min="5893" max="5893" width="15.4272727272727" style="95" customWidth="1"/>
    <col min="5894" max="6136" width="9" style="95"/>
    <col min="6137" max="6137" width="32.5727272727273" style="95" customWidth="1"/>
    <col min="6138" max="6138" width="13.1363636363636" style="95" customWidth="1"/>
    <col min="6139" max="6139" width="15.5727272727273" style="95" customWidth="1"/>
    <col min="6140" max="6140" width="5.85454545454545" style="95" customWidth="1"/>
    <col min="6141" max="6141" width="15.8545454545455" style="95" customWidth="1"/>
    <col min="6142" max="6142" width="14.5727272727273" style="95" customWidth="1"/>
    <col min="6143" max="6143" width="17.8545454545455" style="95" customWidth="1"/>
    <col min="6144" max="6144" width="18.1363636363636" style="95" customWidth="1"/>
    <col min="6145" max="6145" width="22.5727272727273" style="95" customWidth="1"/>
    <col min="6146" max="6146" width="21.1363636363636" style="95" customWidth="1"/>
    <col min="6147" max="6147" width="0.572727272727273" style="95" customWidth="1"/>
    <col min="6148" max="6148" width="9" style="95"/>
    <col min="6149" max="6149" width="15.4272727272727" style="95" customWidth="1"/>
    <col min="6150" max="6392" width="9" style="95"/>
    <col min="6393" max="6393" width="32.5727272727273" style="95" customWidth="1"/>
    <col min="6394" max="6394" width="13.1363636363636" style="95" customWidth="1"/>
    <col min="6395" max="6395" width="15.5727272727273" style="95" customWidth="1"/>
    <col min="6396" max="6396" width="5.85454545454545" style="95" customWidth="1"/>
    <col min="6397" max="6397" width="15.8545454545455" style="95" customWidth="1"/>
    <col min="6398" max="6398" width="14.5727272727273" style="95" customWidth="1"/>
    <col min="6399" max="6399" width="17.8545454545455" style="95" customWidth="1"/>
    <col min="6400" max="6400" width="18.1363636363636" style="95" customWidth="1"/>
    <col min="6401" max="6401" width="22.5727272727273" style="95" customWidth="1"/>
    <col min="6402" max="6402" width="21.1363636363636" style="95" customWidth="1"/>
    <col min="6403" max="6403" width="0.572727272727273" style="95" customWidth="1"/>
    <col min="6404" max="6404" width="9" style="95"/>
    <col min="6405" max="6405" width="15.4272727272727" style="95" customWidth="1"/>
    <col min="6406" max="6648" width="9" style="95"/>
    <col min="6649" max="6649" width="32.5727272727273" style="95" customWidth="1"/>
    <col min="6650" max="6650" width="13.1363636363636" style="95" customWidth="1"/>
    <col min="6651" max="6651" width="15.5727272727273" style="95" customWidth="1"/>
    <col min="6652" max="6652" width="5.85454545454545" style="95" customWidth="1"/>
    <col min="6653" max="6653" width="15.8545454545455" style="95" customWidth="1"/>
    <col min="6654" max="6654" width="14.5727272727273" style="95" customWidth="1"/>
    <col min="6655" max="6655" width="17.8545454545455" style="95" customWidth="1"/>
    <col min="6656" max="6656" width="18.1363636363636" style="95" customWidth="1"/>
    <col min="6657" max="6657" width="22.5727272727273" style="95" customWidth="1"/>
    <col min="6658" max="6658" width="21.1363636363636" style="95" customWidth="1"/>
    <col min="6659" max="6659" width="0.572727272727273" style="95" customWidth="1"/>
    <col min="6660" max="6660" width="9" style="95"/>
    <col min="6661" max="6661" width="15.4272727272727" style="95" customWidth="1"/>
    <col min="6662" max="6904" width="9" style="95"/>
    <col min="6905" max="6905" width="32.5727272727273" style="95" customWidth="1"/>
    <col min="6906" max="6906" width="13.1363636363636" style="95" customWidth="1"/>
    <col min="6907" max="6907" width="15.5727272727273" style="95" customWidth="1"/>
    <col min="6908" max="6908" width="5.85454545454545" style="95" customWidth="1"/>
    <col min="6909" max="6909" width="15.8545454545455" style="95" customWidth="1"/>
    <col min="6910" max="6910" width="14.5727272727273" style="95" customWidth="1"/>
    <col min="6911" max="6911" width="17.8545454545455" style="95" customWidth="1"/>
    <col min="6912" max="6912" width="18.1363636363636" style="95" customWidth="1"/>
    <col min="6913" max="6913" width="22.5727272727273" style="95" customWidth="1"/>
    <col min="6914" max="6914" width="21.1363636363636" style="95" customWidth="1"/>
    <col min="6915" max="6915" width="0.572727272727273" style="95" customWidth="1"/>
    <col min="6916" max="6916" width="9" style="95"/>
    <col min="6917" max="6917" width="15.4272727272727" style="95" customWidth="1"/>
    <col min="6918" max="7160" width="9" style="95"/>
    <col min="7161" max="7161" width="32.5727272727273" style="95" customWidth="1"/>
    <col min="7162" max="7162" width="13.1363636363636" style="95" customWidth="1"/>
    <col min="7163" max="7163" width="15.5727272727273" style="95" customWidth="1"/>
    <col min="7164" max="7164" width="5.85454545454545" style="95" customWidth="1"/>
    <col min="7165" max="7165" width="15.8545454545455" style="95" customWidth="1"/>
    <col min="7166" max="7166" width="14.5727272727273" style="95" customWidth="1"/>
    <col min="7167" max="7167" width="17.8545454545455" style="95" customWidth="1"/>
    <col min="7168" max="7168" width="18.1363636363636" style="95" customWidth="1"/>
    <col min="7169" max="7169" width="22.5727272727273" style="95" customWidth="1"/>
    <col min="7170" max="7170" width="21.1363636363636" style="95" customWidth="1"/>
    <col min="7171" max="7171" width="0.572727272727273" style="95" customWidth="1"/>
    <col min="7172" max="7172" width="9" style="95"/>
    <col min="7173" max="7173" width="15.4272727272727" style="95" customWidth="1"/>
    <col min="7174" max="7416" width="9" style="95"/>
    <col min="7417" max="7417" width="32.5727272727273" style="95" customWidth="1"/>
    <col min="7418" max="7418" width="13.1363636363636" style="95" customWidth="1"/>
    <col min="7419" max="7419" width="15.5727272727273" style="95" customWidth="1"/>
    <col min="7420" max="7420" width="5.85454545454545" style="95" customWidth="1"/>
    <col min="7421" max="7421" width="15.8545454545455" style="95" customWidth="1"/>
    <col min="7422" max="7422" width="14.5727272727273" style="95" customWidth="1"/>
    <col min="7423" max="7423" width="17.8545454545455" style="95" customWidth="1"/>
    <col min="7424" max="7424" width="18.1363636363636" style="95" customWidth="1"/>
    <col min="7425" max="7425" width="22.5727272727273" style="95" customWidth="1"/>
    <col min="7426" max="7426" width="21.1363636363636" style="95" customWidth="1"/>
    <col min="7427" max="7427" width="0.572727272727273" style="95" customWidth="1"/>
    <col min="7428" max="7428" width="9" style="95"/>
    <col min="7429" max="7429" width="15.4272727272727" style="95" customWidth="1"/>
    <col min="7430" max="7672" width="9" style="95"/>
    <col min="7673" max="7673" width="32.5727272727273" style="95" customWidth="1"/>
    <col min="7674" max="7674" width="13.1363636363636" style="95" customWidth="1"/>
    <col min="7675" max="7675" width="15.5727272727273" style="95" customWidth="1"/>
    <col min="7676" max="7676" width="5.85454545454545" style="95" customWidth="1"/>
    <col min="7677" max="7677" width="15.8545454545455" style="95" customWidth="1"/>
    <col min="7678" max="7678" width="14.5727272727273" style="95" customWidth="1"/>
    <col min="7679" max="7679" width="17.8545454545455" style="95" customWidth="1"/>
    <col min="7680" max="7680" width="18.1363636363636" style="95" customWidth="1"/>
    <col min="7681" max="7681" width="22.5727272727273" style="95" customWidth="1"/>
    <col min="7682" max="7682" width="21.1363636363636" style="95" customWidth="1"/>
    <col min="7683" max="7683" width="0.572727272727273" style="95" customWidth="1"/>
    <col min="7684" max="7684" width="9" style="95"/>
    <col min="7685" max="7685" width="15.4272727272727" style="95" customWidth="1"/>
    <col min="7686" max="7928" width="9" style="95"/>
    <col min="7929" max="7929" width="32.5727272727273" style="95" customWidth="1"/>
    <col min="7930" max="7930" width="13.1363636363636" style="95" customWidth="1"/>
    <col min="7931" max="7931" width="15.5727272727273" style="95" customWidth="1"/>
    <col min="7932" max="7932" width="5.85454545454545" style="95" customWidth="1"/>
    <col min="7933" max="7933" width="15.8545454545455" style="95" customWidth="1"/>
    <col min="7934" max="7934" width="14.5727272727273" style="95" customWidth="1"/>
    <col min="7935" max="7935" width="17.8545454545455" style="95" customWidth="1"/>
    <col min="7936" max="7936" width="18.1363636363636" style="95" customWidth="1"/>
    <col min="7937" max="7937" width="22.5727272727273" style="95" customWidth="1"/>
    <col min="7938" max="7938" width="21.1363636363636" style="95" customWidth="1"/>
    <col min="7939" max="7939" width="0.572727272727273" style="95" customWidth="1"/>
    <col min="7940" max="7940" width="9" style="95"/>
    <col min="7941" max="7941" width="15.4272727272727" style="95" customWidth="1"/>
    <col min="7942" max="8184" width="9" style="95"/>
    <col min="8185" max="8185" width="32.5727272727273" style="95" customWidth="1"/>
    <col min="8186" max="8186" width="13.1363636363636" style="95" customWidth="1"/>
    <col min="8187" max="8187" width="15.5727272727273" style="95" customWidth="1"/>
    <col min="8188" max="8188" width="5.85454545454545" style="95" customWidth="1"/>
    <col min="8189" max="8189" width="15.8545454545455" style="95" customWidth="1"/>
    <col min="8190" max="8190" width="14.5727272727273" style="95" customWidth="1"/>
    <col min="8191" max="8191" width="17.8545454545455" style="95" customWidth="1"/>
    <col min="8192" max="8192" width="18.1363636363636" style="95" customWidth="1"/>
    <col min="8193" max="8193" width="22.5727272727273" style="95" customWidth="1"/>
    <col min="8194" max="8194" width="21.1363636363636" style="95" customWidth="1"/>
    <col min="8195" max="8195" width="0.572727272727273" style="95" customWidth="1"/>
    <col min="8196" max="8196" width="9" style="95"/>
    <col min="8197" max="8197" width="15.4272727272727" style="95" customWidth="1"/>
    <col min="8198" max="8440" width="9" style="95"/>
    <col min="8441" max="8441" width="32.5727272727273" style="95" customWidth="1"/>
    <col min="8442" max="8442" width="13.1363636363636" style="95" customWidth="1"/>
    <col min="8443" max="8443" width="15.5727272727273" style="95" customWidth="1"/>
    <col min="8444" max="8444" width="5.85454545454545" style="95" customWidth="1"/>
    <col min="8445" max="8445" width="15.8545454545455" style="95" customWidth="1"/>
    <col min="8446" max="8446" width="14.5727272727273" style="95" customWidth="1"/>
    <col min="8447" max="8447" width="17.8545454545455" style="95" customWidth="1"/>
    <col min="8448" max="8448" width="18.1363636363636" style="95" customWidth="1"/>
    <col min="8449" max="8449" width="22.5727272727273" style="95" customWidth="1"/>
    <col min="8450" max="8450" width="21.1363636363636" style="95" customWidth="1"/>
    <col min="8451" max="8451" width="0.572727272727273" style="95" customWidth="1"/>
    <col min="8452" max="8452" width="9" style="95"/>
    <col min="8453" max="8453" width="15.4272727272727" style="95" customWidth="1"/>
    <col min="8454" max="8696" width="9" style="95"/>
    <col min="8697" max="8697" width="32.5727272727273" style="95" customWidth="1"/>
    <col min="8698" max="8698" width="13.1363636363636" style="95" customWidth="1"/>
    <col min="8699" max="8699" width="15.5727272727273" style="95" customWidth="1"/>
    <col min="8700" max="8700" width="5.85454545454545" style="95" customWidth="1"/>
    <col min="8701" max="8701" width="15.8545454545455" style="95" customWidth="1"/>
    <col min="8702" max="8702" width="14.5727272727273" style="95" customWidth="1"/>
    <col min="8703" max="8703" width="17.8545454545455" style="95" customWidth="1"/>
    <col min="8704" max="8704" width="18.1363636363636" style="95" customWidth="1"/>
    <col min="8705" max="8705" width="22.5727272727273" style="95" customWidth="1"/>
    <col min="8706" max="8706" width="21.1363636363636" style="95" customWidth="1"/>
    <col min="8707" max="8707" width="0.572727272727273" style="95" customWidth="1"/>
    <col min="8708" max="8708" width="9" style="95"/>
    <col min="8709" max="8709" width="15.4272727272727" style="95" customWidth="1"/>
    <col min="8710" max="8952" width="9" style="95"/>
    <col min="8953" max="8953" width="32.5727272727273" style="95" customWidth="1"/>
    <col min="8954" max="8954" width="13.1363636363636" style="95" customWidth="1"/>
    <col min="8955" max="8955" width="15.5727272727273" style="95" customWidth="1"/>
    <col min="8956" max="8956" width="5.85454545454545" style="95" customWidth="1"/>
    <col min="8957" max="8957" width="15.8545454545455" style="95" customWidth="1"/>
    <col min="8958" max="8958" width="14.5727272727273" style="95" customWidth="1"/>
    <col min="8959" max="8959" width="17.8545454545455" style="95" customWidth="1"/>
    <col min="8960" max="8960" width="18.1363636363636" style="95" customWidth="1"/>
    <col min="8961" max="8961" width="22.5727272727273" style="95" customWidth="1"/>
    <col min="8962" max="8962" width="21.1363636363636" style="95" customWidth="1"/>
    <col min="8963" max="8963" width="0.572727272727273" style="95" customWidth="1"/>
    <col min="8964" max="8964" width="9" style="95"/>
    <col min="8965" max="8965" width="15.4272727272727" style="95" customWidth="1"/>
    <col min="8966" max="9208" width="9" style="95"/>
    <col min="9209" max="9209" width="32.5727272727273" style="95" customWidth="1"/>
    <col min="9210" max="9210" width="13.1363636363636" style="95" customWidth="1"/>
    <col min="9211" max="9211" width="15.5727272727273" style="95" customWidth="1"/>
    <col min="9212" max="9212" width="5.85454545454545" style="95" customWidth="1"/>
    <col min="9213" max="9213" width="15.8545454545455" style="95" customWidth="1"/>
    <col min="9214" max="9214" width="14.5727272727273" style="95" customWidth="1"/>
    <col min="9215" max="9215" width="17.8545454545455" style="95" customWidth="1"/>
    <col min="9216" max="9216" width="18.1363636363636" style="95" customWidth="1"/>
    <col min="9217" max="9217" width="22.5727272727273" style="95" customWidth="1"/>
    <col min="9218" max="9218" width="21.1363636363636" style="95" customWidth="1"/>
    <col min="9219" max="9219" width="0.572727272727273" style="95" customWidth="1"/>
    <col min="9220" max="9220" width="9" style="95"/>
    <col min="9221" max="9221" width="15.4272727272727" style="95" customWidth="1"/>
    <col min="9222" max="9464" width="9" style="95"/>
    <col min="9465" max="9465" width="32.5727272727273" style="95" customWidth="1"/>
    <col min="9466" max="9466" width="13.1363636363636" style="95" customWidth="1"/>
    <col min="9467" max="9467" width="15.5727272727273" style="95" customWidth="1"/>
    <col min="9468" max="9468" width="5.85454545454545" style="95" customWidth="1"/>
    <col min="9469" max="9469" width="15.8545454545455" style="95" customWidth="1"/>
    <col min="9470" max="9470" width="14.5727272727273" style="95" customWidth="1"/>
    <col min="9471" max="9471" width="17.8545454545455" style="95" customWidth="1"/>
    <col min="9472" max="9472" width="18.1363636363636" style="95" customWidth="1"/>
    <col min="9473" max="9473" width="22.5727272727273" style="95" customWidth="1"/>
    <col min="9474" max="9474" width="21.1363636363636" style="95" customWidth="1"/>
    <col min="9475" max="9475" width="0.572727272727273" style="95" customWidth="1"/>
    <col min="9476" max="9476" width="9" style="95"/>
    <col min="9477" max="9477" width="15.4272727272727" style="95" customWidth="1"/>
    <col min="9478" max="9720" width="9" style="95"/>
    <col min="9721" max="9721" width="32.5727272727273" style="95" customWidth="1"/>
    <col min="9722" max="9722" width="13.1363636363636" style="95" customWidth="1"/>
    <col min="9723" max="9723" width="15.5727272727273" style="95" customWidth="1"/>
    <col min="9724" max="9724" width="5.85454545454545" style="95" customWidth="1"/>
    <col min="9725" max="9725" width="15.8545454545455" style="95" customWidth="1"/>
    <col min="9726" max="9726" width="14.5727272727273" style="95" customWidth="1"/>
    <col min="9727" max="9727" width="17.8545454545455" style="95" customWidth="1"/>
    <col min="9728" max="9728" width="18.1363636363636" style="95" customWidth="1"/>
    <col min="9729" max="9729" width="22.5727272727273" style="95" customWidth="1"/>
    <col min="9730" max="9730" width="21.1363636363636" style="95" customWidth="1"/>
    <col min="9731" max="9731" width="0.572727272727273" style="95" customWidth="1"/>
    <col min="9732" max="9732" width="9" style="95"/>
    <col min="9733" max="9733" width="15.4272727272727" style="95" customWidth="1"/>
    <col min="9734" max="9976" width="9" style="95"/>
    <col min="9977" max="9977" width="32.5727272727273" style="95" customWidth="1"/>
    <col min="9978" max="9978" width="13.1363636363636" style="95" customWidth="1"/>
    <col min="9979" max="9979" width="15.5727272727273" style="95" customWidth="1"/>
    <col min="9980" max="9980" width="5.85454545454545" style="95" customWidth="1"/>
    <col min="9981" max="9981" width="15.8545454545455" style="95" customWidth="1"/>
    <col min="9982" max="9982" width="14.5727272727273" style="95" customWidth="1"/>
    <col min="9983" max="9983" width="17.8545454545455" style="95" customWidth="1"/>
    <col min="9984" max="9984" width="18.1363636363636" style="95" customWidth="1"/>
    <col min="9985" max="9985" width="22.5727272727273" style="95" customWidth="1"/>
    <col min="9986" max="9986" width="21.1363636363636" style="95" customWidth="1"/>
    <col min="9987" max="9987" width="0.572727272727273" style="95" customWidth="1"/>
    <col min="9988" max="9988" width="9" style="95"/>
    <col min="9989" max="9989" width="15.4272727272727" style="95" customWidth="1"/>
    <col min="9990" max="10232" width="9" style="95"/>
    <col min="10233" max="10233" width="32.5727272727273" style="95" customWidth="1"/>
    <col min="10234" max="10234" width="13.1363636363636" style="95" customWidth="1"/>
    <col min="10235" max="10235" width="15.5727272727273" style="95" customWidth="1"/>
    <col min="10236" max="10236" width="5.85454545454545" style="95" customWidth="1"/>
    <col min="10237" max="10237" width="15.8545454545455" style="95" customWidth="1"/>
    <col min="10238" max="10238" width="14.5727272727273" style="95" customWidth="1"/>
    <col min="10239" max="10239" width="17.8545454545455" style="95" customWidth="1"/>
    <col min="10240" max="10240" width="18.1363636363636" style="95" customWidth="1"/>
    <col min="10241" max="10241" width="22.5727272727273" style="95" customWidth="1"/>
    <col min="10242" max="10242" width="21.1363636363636" style="95" customWidth="1"/>
    <col min="10243" max="10243" width="0.572727272727273" style="95" customWidth="1"/>
    <col min="10244" max="10244" width="9" style="95"/>
    <col min="10245" max="10245" width="15.4272727272727" style="95" customWidth="1"/>
    <col min="10246" max="10488" width="9" style="95"/>
    <col min="10489" max="10489" width="32.5727272727273" style="95" customWidth="1"/>
    <col min="10490" max="10490" width="13.1363636363636" style="95" customWidth="1"/>
    <col min="10491" max="10491" width="15.5727272727273" style="95" customWidth="1"/>
    <col min="10492" max="10492" width="5.85454545454545" style="95" customWidth="1"/>
    <col min="10493" max="10493" width="15.8545454545455" style="95" customWidth="1"/>
    <col min="10494" max="10494" width="14.5727272727273" style="95" customWidth="1"/>
    <col min="10495" max="10495" width="17.8545454545455" style="95" customWidth="1"/>
    <col min="10496" max="10496" width="18.1363636363636" style="95" customWidth="1"/>
    <col min="10497" max="10497" width="22.5727272727273" style="95" customWidth="1"/>
    <col min="10498" max="10498" width="21.1363636363636" style="95" customWidth="1"/>
    <col min="10499" max="10499" width="0.572727272727273" style="95" customWidth="1"/>
    <col min="10500" max="10500" width="9" style="95"/>
    <col min="10501" max="10501" width="15.4272727272727" style="95" customWidth="1"/>
    <col min="10502" max="10744" width="9" style="95"/>
    <col min="10745" max="10745" width="32.5727272727273" style="95" customWidth="1"/>
    <col min="10746" max="10746" width="13.1363636363636" style="95" customWidth="1"/>
    <col min="10747" max="10747" width="15.5727272727273" style="95" customWidth="1"/>
    <col min="10748" max="10748" width="5.85454545454545" style="95" customWidth="1"/>
    <col min="10749" max="10749" width="15.8545454545455" style="95" customWidth="1"/>
    <col min="10750" max="10750" width="14.5727272727273" style="95" customWidth="1"/>
    <col min="10751" max="10751" width="17.8545454545455" style="95" customWidth="1"/>
    <col min="10752" max="10752" width="18.1363636363636" style="95" customWidth="1"/>
    <col min="10753" max="10753" width="22.5727272727273" style="95" customWidth="1"/>
    <col min="10754" max="10754" width="21.1363636363636" style="95" customWidth="1"/>
    <col min="10755" max="10755" width="0.572727272727273" style="95" customWidth="1"/>
    <col min="10756" max="10756" width="9" style="95"/>
    <col min="10757" max="10757" width="15.4272727272727" style="95" customWidth="1"/>
    <col min="10758" max="11000" width="9" style="95"/>
    <col min="11001" max="11001" width="32.5727272727273" style="95" customWidth="1"/>
    <col min="11002" max="11002" width="13.1363636363636" style="95" customWidth="1"/>
    <col min="11003" max="11003" width="15.5727272727273" style="95" customWidth="1"/>
    <col min="11004" max="11004" width="5.85454545454545" style="95" customWidth="1"/>
    <col min="11005" max="11005" width="15.8545454545455" style="95" customWidth="1"/>
    <col min="11006" max="11006" width="14.5727272727273" style="95" customWidth="1"/>
    <col min="11007" max="11007" width="17.8545454545455" style="95" customWidth="1"/>
    <col min="11008" max="11008" width="18.1363636363636" style="95" customWidth="1"/>
    <col min="11009" max="11009" width="22.5727272727273" style="95" customWidth="1"/>
    <col min="11010" max="11010" width="21.1363636363636" style="95" customWidth="1"/>
    <col min="11011" max="11011" width="0.572727272727273" style="95" customWidth="1"/>
    <col min="11012" max="11012" width="9" style="95"/>
    <col min="11013" max="11013" width="15.4272727272727" style="95" customWidth="1"/>
    <col min="11014" max="11256" width="9" style="95"/>
    <col min="11257" max="11257" width="32.5727272727273" style="95" customWidth="1"/>
    <col min="11258" max="11258" width="13.1363636363636" style="95" customWidth="1"/>
    <col min="11259" max="11259" width="15.5727272727273" style="95" customWidth="1"/>
    <col min="11260" max="11260" width="5.85454545454545" style="95" customWidth="1"/>
    <col min="11261" max="11261" width="15.8545454545455" style="95" customWidth="1"/>
    <col min="11262" max="11262" width="14.5727272727273" style="95" customWidth="1"/>
    <col min="11263" max="11263" width="17.8545454545455" style="95" customWidth="1"/>
    <col min="11264" max="11264" width="18.1363636363636" style="95" customWidth="1"/>
    <col min="11265" max="11265" width="22.5727272727273" style="95" customWidth="1"/>
    <col min="11266" max="11266" width="21.1363636363636" style="95" customWidth="1"/>
    <col min="11267" max="11267" width="0.572727272727273" style="95" customWidth="1"/>
    <col min="11268" max="11268" width="9" style="95"/>
    <col min="11269" max="11269" width="15.4272727272727" style="95" customWidth="1"/>
    <col min="11270" max="11512" width="9" style="95"/>
    <col min="11513" max="11513" width="32.5727272727273" style="95" customWidth="1"/>
    <col min="11514" max="11514" width="13.1363636363636" style="95" customWidth="1"/>
    <col min="11515" max="11515" width="15.5727272727273" style="95" customWidth="1"/>
    <col min="11516" max="11516" width="5.85454545454545" style="95" customWidth="1"/>
    <col min="11517" max="11517" width="15.8545454545455" style="95" customWidth="1"/>
    <col min="11518" max="11518" width="14.5727272727273" style="95" customWidth="1"/>
    <col min="11519" max="11519" width="17.8545454545455" style="95" customWidth="1"/>
    <col min="11520" max="11520" width="18.1363636363636" style="95" customWidth="1"/>
    <col min="11521" max="11521" width="22.5727272727273" style="95" customWidth="1"/>
    <col min="11522" max="11522" width="21.1363636363636" style="95" customWidth="1"/>
    <col min="11523" max="11523" width="0.572727272727273" style="95" customWidth="1"/>
    <col min="11524" max="11524" width="9" style="95"/>
    <col min="11525" max="11525" width="15.4272727272727" style="95" customWidth="1"/>
    <col min="11526" max="11768" width="9" style="95"/>
    <col min="11769" max="11769" width="32.5727272727273" style="95" customWidth="1"/>
    <col min="11770" max="11770" width="13.1363636363636" style="95" customWidth="1"/>
    <col min="11771" max="11771" width="15.5727272727273" style="95" customWidth="1"/>
    <col min="11772" max="11772" width="5.85454545454545" style="95" customWidth="1"/>
    <col min="11773" max="11773" width="15.8545454545455" style="95" customWidth="1"/>
    <col min="11774" max="11774" width="14.5727272727273" style="95" customWidth="1"/>
    <col min="11775" max="11775" width="17.8545454545455" style="95" customWidth="1"/>
    <col min="11776" max="11776" width="18.1363636363636" style="95" customWidth="1"/>
    <col min="11777" max="11777" width="22.5727272727273" style="95" customWidth="1"/>
    <col min="11778" max="11778" width="21.1363636363636" style="95" customWidth="1"/>
    <col min="11779" max="11779" width="0.572727272727273" style="95" customWidth="1"/>
    <col min="11780" max="11780" width="9" style="95"/>
    <col min="11781" max="11781" width="15.4272727272727" style="95" customWidth="1"/>
    <col min="11782" max="12024" width="9" style="95"/>
    <col min="12025" max="12025" width="32.5727272727273" style="95" customWidth="1"/>
    <col min="12026" max="12026" width="13.1363636363636" style="95" customWidth="1"/>
    <col min="12027" max="12027" width="15.5727272727273" style="95" customWidth="1"/>
    <col min="12028" max="12028" width="5.85454545454545" style="95" customWidth="1"/>
    <col min="12029" max="12029" width="15.8545454545455" style="95" customWidth="1"/>
    <col min="12030" max="12030" width="14.5727272727273" style="95" customWidth="1"/>
    <col min="12031" max="12031" width="17.8545454545455" style="95" customWidth="1"/>
    <col min="12032" max="12032" width="18.1363636363636" style="95" customWidth="1"/>
    <col min="12033" max="12033" width="22.5727272727273" style="95" customWidth="1"/>
    <col min="12034" max="12034" width="21.1363636363636" style="95" customWidth="1"/>
    <col min="12035" max="12035" width="0.572727272727273" style="95" customWidth="1"/>
    <col min="12036" max="12036" width="9" style="95"/>
    <col min="12037" max="12037" width="15.4272727272727" style="95" customWidth="1"/>
    <col min="12038" max="12280" width="9" style="95"/>
    <col min="12281" max="12281" width="32.5727272727273" style="95" customWidth="1"/>
    <col min="12282" max="12282" width="13.1363636363636" style="95" customWidth="1"/>
    <col min="12283" max="12283" width="15.5727272727273" style="95" customWidth="1"/>
    <col min="12284" max="12284" width="5.85454545454545" style="95" customWidth="1"/>
    <col min="12285" max="12285" width="15.8545454545455" style="95" customWidth="1"/>
    <col min="12286" max="12286" width="14.5727272727273" style="95" customWidth="1"/>
    <col min="12287" max="12287" width="17.8545454545455" style="95" customWidth="1"/>
    <col min="12288" max="12288" width="18.1363636363636" style="95" customWidth="1"/>
    <col min="12289" max="12289" width="22.5727272727273" style="95" customWidth="1"/>
    <col min="12290" max="12290" width="21.1363636363636" style="95" customWidth="1"/>
    <col min="12291" max="12291" width="0.572727272727273" style="95" customWidth="1"/>
    <col min="12292" max="12292" width="9" style="95"/>
    <col min="12293" max="12293" width="15.4272727272727" style="95" customWidth="1"/>
    <col min="12294" max="12536" width="9" style="95"/>
    <col min="12537" max="12537" width="32.5727272727273" style="95" customWidth="1"/>
    <col min="12538" max="12538" width="13.1363636363636" style="95" customWidth="1"/>
    <col min="12539" max="12539" width="15.5727272727273" style="95" customWidth="1"/>
    <col min="12540" max="12540" width="5.85454545454545" style="95" customWidth="1"/>
    <col min="12541" max="12541" width="15.8545454545455" style="95" customWidth="1"/>
    <col min="12542" max="12542" width="14.5727272727273" style="95" customWidth="1"/>
    <col min="12543" max="12543" width="17.8545454545455" style="95" customWidth="1"/>
    <col min="12544" max="12544" width="18.1363636363636" style="95" customWidth="1"/>
    <col min="12545" max="12545" width="22.5727272727273" style="95" customWidth="1"/>
    <col min="12546" max="12546" width="21.1363636363636" style="95" customWidth="1"/>
    <col min="12547" max="12547" width="0.572727272727273" style="95" customWidth="1"/>
    <col min="12548" max="12548" width="9" style="95"/>
    <col min="12549" max="12549" width="15.4272727272727" style="95" customWidth="1"/>
    <col min="12550" max="12792" width="9" style="95"/>
    <col min="12793" max="12793" width="32.5727272727273" style="95" customWidth="1"/>
    <col min="12794" max="12794" width="13.1363636363636" style="95" customWidth="1"/>
    <col min="12795" max="12795" width="15.5727272727273" style="95" customWidth="1"/>
    <col min="12796" max="12796" width="5.85454545454545" style="95" customWidth="1"/>
    <col min="12797" max="12797" width="15.8545454545455" style="95" customWidth="1"/>
    <col min="12798" max="12798" width="14.5727272727273" style="95" customWidth="1"/>
    <col min="12799" max="12799" width="17.8545454545455" style="95" customWidth="1"/>
    <col min="12800" max="12800" width="18.1363636363636" style="95" customWidth="1"/>
    <col min="12801" max="12801" width="22.5727272727273" style="95" customWidth="1"/>
    <col min="12802" max="12802" width="21.1363636363636" style="95" customWidth="1"/>
    <col min="12803" max="12803" width="0.572727272727273" style="95" customWidth="1"/>
    <col min="12804" max="12804" width="9" style="95"/>
    <col min="12805" max="12805" width="15.4272727272727" style="95" customWidth="1"/>
    <col min="12806" max="13048" width="9" style="95"/>
    <col min="13049" max="13049" width="32.5727272727273" style="95" customWidth="1"/>
    <col min="13050" max="13050" width="13.1363636363636" style="95" customWidth="1"/>
    <col min="13051" max="13051" width="15.5727272727273" style="95" customWidth="1"/>
    <col min="13052" max="13052" width="5.85454545454545" style="95" customWidth="1"/>
    <col min="13053" max="13053" width="15.8545454545455" style="95" customWidth="1"/>
    <col min="13054" max="13054" width="14.5727272727273" style="95" customWidth="1"/>
    <col min="13055" max="13055" width="17.8545454545455" style="95" customWidth="1"/>
    <col min="13056" max="13056" width="18.1363636363636" style="95" customWidth="1"/>
    <col min="13057" max="13057" width="22.5727272727273" style="95" customWidth="1"/>
    <col min="13058" max="13058" width="21.1363636363636" style="95" customWidth="1"/>
    <col min="13059" max="13059" width="0.572727272727273" style="95" customWidth="1"/>
    <col min="13060" max="13060" width="9" style="95"/>
    <col min="13061" max="13061" width="15.4272727272727" style="95" customWidth="1"/>
    <col min="13062" max="13304" width="9" style="95"/>
    <col min="13305" max="13305" width="32.5727272727273" style="95" customWidth="1"/>
    <col min="13306" max="13306" width="13.1363636363636" style="95" customWidth="1"/>
    <col min="13307" max="13307" width="15.5727272727273" style="95" customWidth="1"/>
    <col min="13308" max="13308" width="5.85454545454545" style="95" customWidth="1"/>
    <col min="13309" max="13309" width="15.8545454545455" style="95" customWidth="1"/>
    <col min="13310" max="13310" width="14.5727272727273" style="95" customWidth="1"/>
    <col min="13311" max="13311" width="17.8545454545455" style="95" customWidth="1"/>
    <col min="13312" max="13312" width="18.1363636363636" style="95" customWidth="1"/>
    <col min="13313" max="13313" width="22.5727272727273" style="95" customWidth="1"/>
    <col min="13314" max="13314" width="21.1363636363636" style="95" customWidth="1"/>
    <col min="13315" max="13315" width="0.572727272727273" style="95" customWidth="1"/>
    <col min="13316" max="13316" width="9" style="95"/>
    <col min="13317" max="13317" width="15.4272727272727" style="95" customWidth="1"/>
    <col min="13318" max="13560" width="9" style="95"/>
    <col min="13561" max="13561" width="32.5727272727273" style="95" customWidth="1"/>
    <col min="13562" max="13562" width="13.1363636363636" style="95" customWidth="1"/>
    <col min="13563" max="13563" width="15.5727272727273" style="95" customWidth="1"/>
    <col min="13564" max="13564" width="5.85454545454545" style="95" customWidth="1"/>
    <col min="13565" max="13565" width="15.8545454545455" style="95" customWidth="1"/>
    <col min="13566" max="13566" width="14.5727272727273" style="95" customWidth="1"/>
    <col min="13567" max="13567" width="17.8545454545455" style="95" customWidth="1"/>
    <col min="13568" max="13568" width="18.1363636363636" style="95" customWidth="1"/>
    <col min="13569" max="13569" width="22.5727272727273" style="95" customWidth="1"/>
    <col min="13570" max="13570" width="21.1363636363636" style="95" customWidth="1"/>
    <col min="13571" max="13571" width="0.572727272727273" style="95" customWidth="1"/>
    <col min="13572" max="13572" width="9" style="95"/>
    <col min="13573" max="13573" width="15.4272727272727" style="95" customWidth="1"/>
    <col min="13574" max="13816" width="9" style="95"/>
    <col min="13817" max="13817" width="32.5727272727273" style="95" customWidth="1"/>
    <col min="13818" max="13818" width="13.1363636363636" style="95" customWidth="1"/>
    <col min="13819" max="13819" width="15.5727272727273" style="95" customWidth="1"/>
    <col min="13820" max="13820" width="5.85454545454545" style="95" customWidth="1"/>
    <col min="13821" max="13821" width="15.8545454545455" style="95" customWidth="1"/>
    <col min="13822" max="13822" width="14.5727272727273" style="95" customWidth="1"/>
    <col min="13823" max="13823" width="17.8545454545455" style="95" customWidth="1"/>
    <col min="13824" max="13824" width="18.1363636363636" style="95" customWidth="1"/>
    <col min="13825" max="13825" width="22.5727272727273" style="95" customWidth="1"/>
    <col min="13826" max="13826" width="21.1363636363636" style="95" customWidth="1"/>
    <col min="13827" max="13827" width="0.572727272727273" style="95" customWidth="1"/>
    <col min="13828" max="13828" width="9" style="95"/>
    <col min="13829" max="13829" width="15.4272727272727" style="95" customWidth="1"/>
    <col min="13830" max="14072" width="9" style="95"/>
    <col min="14073" max="14073" width="32.5727272727273" style="95" customWidth="1"/>
    <col min="14074" max="14074" width="13.1363636363636" style="95" customWidth="1"/>
    <col min="14075" max="14075" width="15.5727272727273" style="95" customWidth="1"/>
    <col min="14076" max="14076" width="5.85454545454545" style="95" customWidth="1"/>
    <col min="14077" max="14077" width="15.8545454545455" style="95" customWidth="1"/>
    <col min="14078" max="14078" width="14.5727272727273" style="95" customWidth="1"/>
    <col min="14079" max="14079" width="17.8545454545455" style="95" customWidth="1"/>
    <col min="14080" max="14080" width="18.1363636363636" style="95" customWidth="1"/>
    <col min="14081" max="14081" width="22.5727272727273" style="95" customWidth="1"/>
    <col min="14082" max="14082" width="21.1363636363636" style="95" customWidth="1"/>
    <col min="14083" max="14083" width="0.572727272727273" style="95" customWidth="1"/>
    <col min="14084" max="14084" width="9" style="95"/>
    <col min="14085" max="14085" width="15.4272727272727" style="95" customWidth="1"/>
    <col min="14086" max="14328" width="9" style="95"/>
    <col min="14329" max="14329" width="32.5727272727273" style="95" customWidth="1"/>
    <col min="14330" max="14330" width="13.1363636363636" style="95" customWidth="1"/>
    <col min="14331" max="14331" width="15.5727272727273" style="95" customWidth="1"/>
    <col min="14332" max="14332" width="5.85454545454545" style="95" customWidth="1"/>
    <col min="14333" max="14333" width="15.8545454545455" style="95" customWidth="1"/>
    <col min="14334" max="14334" width="14.5727272727273" style="95" customWidth="1"/>
    <col min="14335" max="14335" width="17.8545454545455" style="95" customWidth="1"/>
    <col min="14336" max="14336" width="18.1363636363636" style="95" customWidth="1"/>
    <col min="14337" max="14337" width="22.5727272727273" style="95" customWidth="1"/>
    <col min="14338" max="14338" width="21.1363636363636" style="95" customWidth="1"/>
    <col min="14339" max="14339" width="0.572727272727273" style="95" customWidth="1"/>
    <col min="14340" max="14340" width="9" style="95"/>
    <col min="14341" max="14341" width="15.4272727272727" style="95" customWidth="1"/>
    <col min="14342" max="14584" width="9" style="95"/>
    <col min="14585" max="14585" width="32.5727272727273" style="95" customWidth="1"/>
    <col min="14586" max="14586" width="13.1363636363636" style="95" customWidth="1"/>
    <col min="14587" max="14587" width="15.5727272727273" style="95" customWidth="1"/>
    <col min="14588" max="14588" width="5.85454545454545" style="95" customWidth="1"/>
    <col min="14589" max="14589" width="15.8545454545455" style="95" customWidth="1"/>
    <col min="14590" max="14590" width="14.5727272727273" style="95" customWidth="1"/>
    <col min="14591" max="14591" width="17.8545454545455" style="95" customWidth="1"/>
    <col min="14592" max="14592" width="18.1363636363636" style="95" customWidth="1"/>
    <col min="14593" max="14593" width="22.5727272727273" style="95" customWidth="1"/>
    <col min="14594" max="14594" width="21.1363636363636" style="95" customWidth="1"/>
    <col min="14595" max="14595" width="0.572727272727273" style="95" customWidth="1"/>
    <col min="14596" max="14596" width="9" style="95"/>
    <col min="14597" max="14597" width="15.4272727272727" style="95" customWidth="1"/>
    <col min="14598" max="14840" width="9" style="95"/>
    <col min="14841" max="14841" width="32.5727272727273" style="95" customWidth="1"/>
    <col min="14842" max="14842" width="13.1363636363636" style="95" customWidth="1"/>
    <col min="14843" max="14843" width="15.5727272727273" style="95" customWidth="1"/>
    <col min="14844" max="14844" width="5.85454545454545" style="95" customWidth="1"/>
    <col min="14845" max="14845" width="15.8545454545455" style="95" customWidth="1"/>
    <col min="14846" max="14846" width="14.5727272727273" style="95" customWidth="1"/>
    <col min="14847" max="14847" width="17.8545454545455" style="95" customWidth="1"/>
    <col min="14848" max="14848" width="18.1363636363636" style="95" customWidth="1"/>
    <col min="14849" max="14849" width="22.5727272727273" style="95" customWidth="1"/>
    <col min="14850" max="14850" width="21.1363636363636" style="95" customWidth="1"/>
    <col min="14851" max="14851" width="0.572727272727273" style="95" customWidth="1"/>
    <col min="14852" max="14852" width="9" style="95"/>
    <col min="14853" max="14853" width="15.4272727272727" style="95" customWidth="1"/>
    <col min="14854" max="15096" width="9" style="95"/>
    <col min="15097" max="15097" width="32.5727272727273" style="95" customWidth="1"/>
    <col min="15098" max="15098" width="13.1363636363636" style="95" customWidth="1"/>
    <col min="15099" max="15099" width="15.5727272727273" style="95" customWidth="1"/>
    <col min="15100" max="15100" width="5.85454545454545" style="95" customWidth="1"/>
    <col min="15101" max="15101" width="15.8545454545455" style="95" customWidth="1"/>
    <col min="15102" max="15102" width="14.5727272727273" style="95" customWidth="1"/>
    <col min="15103" max="15103" width="17.8545454545455" style="95" customWidth="1"/>
    <col min="15104" max="15104" width="18.1363636363636" style="95" customWidth="1"/>
    <col min="15105" max="15105" width="22.5727272727273" style="95" customWidth="1"/>
    <col min="15106" max="15106" width="21.1363636363636" style="95" customWidth="1"/>
    <col min="15107" max="15107" width="0.572727272727273" style="95" customWidth="1"/>
    <col min="15108" max="15108" width="9" style="95"/>
    <col min="15109" max="15109" width="15.4272727272727" style="95" customWidth="1"/>
    <col min="15110" max="15352" width="9" style="95"/>
    <col min="15353" max="15353" width="32.5727272727273" style="95" customWidth="1"/>
    <col min="15354" max="15354" width="13.1363636363636" style="95" customWidth="1"/>
    <col min="15355" max="15355" width="15.5727272727273" style="95" customWidth="1"/>
    <col min="15356" max="15356" width="5.85454545454545" style="95" customWidth="1"/>
    <col min="15357" max="15357" width="15.8545454545455" style="95" customWidth="1"/>
    <col min="15358" max="15358" width="14.5727272727273" style="95" customWidth="1"/>
    <col min="15359" max="15359" width="17.8545454545455" style="95" customWidth="1"/>
    <col min="15360" max="15360" width="18.1363636363636" style="95" customWidth="1"/>
    <col min="15361" max="15361" width="22.5727272727273" style="95" customWidth="1"/>
    <col min="15362" max="15362" width="21.1363636363636" style="95" customWidth="1"/>
    <col min="15363" max="15363" width="0.572727272727273" style="95" customWidth="1"/>
    <col min="15364" max="15364" width="9" style="95"/>
    <col min="15365" max="15365" width="15.4272727272727" style="95" customWidth="1"/>
    <col min="15366" max="15608" width="9" style="95"/>
    <col min="15609" max="15609" width="32.5727272727273" style="95" customWidth="1"/>
    <col min="15610" max="15610" width="13.1363636363636" style="95" customWidth="1"/>
    <col min="15611" max="15611" width="15.5727272727273" style="95" customWidth="1"/>
    <col min="15612" max="15612" width="5.85454545454545" style="95" customWidth="1"/>
    <col min="15613" max="15613" width="15.8545454545455" style="95" customWidth="1"/>
    <col min="15614" max="15614" width="14.5727272727273" style="95" customWidth="1"/>
    <col min="15615" max="15615" width="17.8545454545455" style="95" customWidth="1"/>
    <col min="15616" max="15616" width="18.1363636363636" style="95" customWidth="1"/>
    <col min="15617" max="15617" width="22.5727272727273" style="95" customWidth="1"/>
    <col min="15618" max="15618" width="21.1363636363636" style="95" customWidth="1"/>
    <col min="15619" max="15619" width="0.572727272727273" style="95" customWidth="1"/>
    <col min="15620" max="15620" width="9" style="95"/>
    <col min="15621" max="15621" width="15.4272727272727" style="95" customWidth="1"/>
    <col min="15622" max="15864" width="9" style="95"/>
    <col min="15865" max="15865" width="32.5727272727273" style="95" customWidth="1"/>
    <col min="15866" max="15866" width="13.1363636363636" style="95" customWidth="1"/>
    <col min="15867" max="15867" width="15.5727272727273" style="95" customWidth="1"/>
    <col min="15868" max="15868" width="5.85454545454545" style="95" customWidth="1"/>
    <col min="15869" max="15869" width="15.8545454545455" style="95" customWidth="1"/>
    <col min="15870" max="15870" width="14.5727272727273" style="95" customWidth="1"/>
    <col min="15871" max="15871" width="17.8545454545455" style="95" customWidth="1"/>
    <col min="15872" max="15872" width="18.1363636363636" style="95" customWidth="1"/>
    <col min="15873" max="15873" width="22.5727272727273" style="95" customWidth="1"/>
    <col min="15874" max="15874" width="21.1363636363636" style="95" customWidth="1"/>
    <col min="15875" max="15875" width="0.572727272727273" style="95" customWidth="1"/>
    <col min="15876" max="15876" width="9" style="95"/>
    <col min="15877" max="15877" width="15.4272727272727" style="95" customWidth="1"/>
    <col min="15878" max="16120" width="9" style="95"/>
    <col min="16121" max="16121" width="32.5727272727273" style="95" customWidth="1"/>
    <col min="16122" max="16122" width="13.1363636363636" style="95" customWidth="1"/>
    <col min="16123" max="16123" width="15.5727272727273" style="95" customWidth="1"/>
    <col min="16124" max="16124" width="5.85454545454545" style="95" customWidth="1"/>
    <col min="16125" max="16125" width="15.8545454545455" style="95" customWidth="1"/>
    <col min="16126" max="16126" width="14.5727272727273" style="95" customWidth="1"/>
    <col min="16127" max="16127" width="17.8545454545455" style="95" customWidth="1"/>
    <col min="16128" max="16128" width="18.1363636363636" style="95" customWidth="1"/>
    <col min="16129" max="16129" width="22.5727272727273" style="95" customWidth="1"/>
    <col min="16130" max="16130" width="21.1363636363636" style="95" customWidth="1"/>
    <col min="16131" max="16131" width="0.572727272727273" style="95" customWidth="1"/>
    <col min="16132" max="16132" width="9" style="95"/>
    <col min="16133" max="16133" width="15.4272727272727" style="95" customWidth="1"/>
    <col min="16134" max="16384" width="9" style="95"/>
  </cols>
  <sheetData>
    <row r="1" s="92" customFormat="1" ht="38.25" customHeight="1" spans="1:27">
      <c r="A1" s="96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 s="92" customFormat="1" ht="32.25" customHeight="1" spans="1:27">
      <c r="A2" s="99" t="s">
        <v>1</v>
      </c>
      <c r="B2" s="100"/>
      <c r="C2" s="100"/>
      <c r="D2" s="100"/>
      <c r="E2" s="100"/>
      <c r="F2" s="100"/>
      <c r="G2" s="100"/>
      <c r="H2" s="100"/>
      <c r="I2" s="100"/>
      <c r="J2" s="101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 s="92" customFormat="1" ht="38.25" customHeight="1" spans="1:27">
      <c r="A3" s="102" t="s">
        <v>2</v>
      </c>
      <c r="B3" s="103"/>
      <c r="C3" s="103"/>
      <c r="D3" s="103"/>
      <c r="E3" s="103"/>
      <c r="F3" s="103"/>
      <c r="G3" s="103"/>
      <c r="H3" s="103"/>
      <c r="I3" s="103"/>
      <c r="J3" s="104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 ht="44.45" customHeight="1" spans="1:27">
      <c r="A4" s="105" t="s">
        <v>161</v>
      </c>
      <c r="B4" s="105"/>
      <c r="C4" s="105"/>
      <c r="D4" s="105"/>
      <c r="E4" s="105"/>
      <c r="F4" s="105"/>
      <c r="G4" s="105"/>
      <c r="H4" s="105"/>
      <c r="I4" s="105"/>
    </row>
    <row r="5" ht="44.45" customHeight="1" spans="1:27">
      <c r="A5" s="106"/>
      <c r="B5" s="106"/>
      <c r="C5" s="106"/>
      <c r="D5" s="106"/>
      <c r="E5" s="106"/>
      <c r="F5" s="106"/>
      <c r="G5" s="106"/>
      <c r="H5" s="106"/>
      <c r="I5" s="106"/>
    </row>
    <row r="6" ht="44.45" customHeight="1" spans="1:27">
      <c r="A6" s="107" t="s">
        <v>162</v>
      </c>
      <c r="B6" s="108"/>
      <c r="C6" s="109"/>
      <c r="D6" s="109"/>
      <c r="E6" s="109"/>
      <c r="F6" s="109"/>
      <c r="H6" s="110" t="s">
        <v>163</v>
      </c>
      <c r="I6" s="111" t="s">
        <v>164</v>
      </c>
    </row>
    <row r="7" ht="27.75" customHeight="1" spans="1:27">
      <c r="A7" s="112" t="s">
        <v>165</v>
      </c>
      <c r="B7" s="113"/>
      <c r="C7" s="113"/>
      <c r="D7" s="113"/>
      <c r="E7" s="113"/>
      <c r="F7" s="113"/>
      <c r="H7" s="114" t="s">
        <v>166</v>
      </c>
      <c r="I7" s="115">
        <v>46018</v>
      </c>
      <c r="J7" s="115"/>
    </row>
    <row r="8" ht="14.25" customHeight="1" spans="1:27">
      <c r="A8" s="116"/>
      <c r="B8" s="117"/>
      <c r="C8" s="118"/>
      <c r="D8" s="118"/>
      <c r="E8" s="118"/>
      <c r="F8" s="118"/>
      <c r="G8" s="119"/>
      <c r="H8" s="106"/>
      <c r="I8" s="106"/>
    </row>
    <row r="9" ht="48" customHeight="1" spans="1:27">
      <c r="A9" s="120" t="s">
        <v>167</v>
      </c>
      <c r="B9" s="121"/>
      <c r="C9" s="121"/>
      <c r="D9" s="121"/>
      <c r="E9" s="121"/>
      <c r="F9" s="121"/>
      <c r="G9" s="121"/>
      <c r="H9" s="122"/>
      <c r="I9" s="123"/>
    </row>
    <row r="10" ht="35.25" customHeight="1" spans="1:27">
      <c r="A10" s="124" t="s">
        <v>168</v>
      </c>
      <c r="B10" s="125"/>
      <c r="C10" s="118"/>
      <c r="D10" s="118"/>
      <c r="E10" s="118"/>
      <c r="F10" s="118"/>
      <c r="G10" s="118"/>
      <c r="H10" s="122"/>
      <c r="I10" s="123"/>
    </row>
    <row r="11" ht="30.75" customHeight="1" spans="1:27">
      <c r="A11" s="124" t="s">
        <v>169</v>
      </c>
      <c r="B11" s="125"/>
      <c r="C11" s="118"/>
      <c r="D11" s="118"/>
      <c r="E11" s="118"/>
      <c r="F11" s="118"/>
      <c r="G11" s="126"/>
      <c r="H11" s="122"/>
      <c r="I11" s="123"/>
    </row>
    <row r="12" s="93" customFormat="1" ht="21.75" customHeight="1" spans="1:27">
      <c r="A12" s="124" t="s">
        <v>170</v>
      </c>
      <c r="B12" s="125"/>
      <c r="C12" s="127" t="s">
        <v>127</v>
      </c>
      <c r="D12" s="118" t="s">
        <v>171</v>
      </c>
      <c r="E12" s="118"/>
      <c r="F12" s="118"/>
      <c r="G12" s="118"/>
      <c r="H12" s="126"/>
      <c r="I12" s="125"/>
    </row>
    <row r="13" s="93" customFormat="1" ht="21.75" customHeight="1" spans="1:27">
      <c r="A13" s="125"/>
      <c r="B13" s="125"/>
      <c r="C13" s="127"/>
      <c r="D13" s="118"/>
      <c r="E13" s="118"/>
      <c r="F13" s="118"/>
      <c r="G13" s="118"/>
      <c r="H13" s="126"/>
      <c r="I13" s="125"/>
    </row>
    <row r="14" s="93" customFormat="1" ht="54" customHeight="1" spans="1:27">
      <c r="A14" s="128" t="s">
        <v>86</v>
      </c>
      <c r="B14" s="129" t="s">
        <v>87</v>
      </c>
      <c r="C14" s="130" t="s">
        <v>41</v>
      </c>
      <c r="D14" s="130" t="s">
        <v>88</v>
      </c>
      <c r="E14" s="130" t="s">
        <v>42</v>
      </c>
      <c r="F14" s="130" t="s">
        <v>43</v>
      </c>
      <c r="G14" s="131" t="s">
        <v>89</v>
      </c>
      <c r="H14" s="130" t="s">
        <v>90</v>
      </c>
      <c r="I14" s="130" t="s">
        <v>91</v>
      </c>
      <c r="J14" s="132" t="s">
        <v>92</v>
      </c>
    </row>
    <row r="15" s="93" customFormat="1" ht="69.95" customHeight="1" spans="1:27">
      <c r="A15" s="133" t="s">
        <v>172</v>
      </c>
      <c r="B15" s="133" t="s">
        <v>173</v>
      </c>
      <c r="C15" s="134">
        <v>1051120</v>
      </c>
      <c r="D15" s="133" t="s">
        <v>93</v>
      </c>
      <c r="E15" s="582" t="s">
        <v>174</v>
      </c>
      <c r="F15" s="135" t="s">
        <v>65</v>
      </c>
      <c r="G15" s="135">
        <v>41</v>
      </c>
      <c r="H15" s="135" t="s">
        <v>56</v>
      </c>
      <c r="I15" s="136">
        <v>0.17</v>
      </c>
      <c r="J15" s="137">
        <v>6.97</v>
      </c>
    </row>
    <row r="16" ht="69.95" customHeight="1" spans="1:27">
      <c r="A16" s="133" t="s">
        <v>172</v>
      </c>
      <c r="B16" s="133" t="s">
        <v>173</v>
      </c>
      <c r="C16" s="134">
        <v>1051120</v>
      </c>
      <c r="D16" s="133" t="s">
        <v>93</v>
      </c>
      <c r="E16" s="582" t="s">
        <v>174</v>
      </c>
      <c r="F16" s="135" t="s">
        <v>69</v>
      </c>
      <c r="G16" s="135">
        <v>12</v>
      </c>
      <c r="H16" s="135" t="s">
        <v>56</v>
      </c>
      <c r="I16" s="136">
        <v>0.17</v>
      </c>
      <c r="J16" s="137">
        <v>2.04</v>
      </c>
    </row>
    <row r="17" s="93" customFormat="1" ht="69.95" customHeight="1" spans="1:10">
      <c r="A17" s="133" t="s">
        <v>172</v>
      </c>
      <c r="B17" s="133" t="s">
        <v>173</v>
      </c>
      <c r="C17" s="134">
        <v>1051120</v>
      </c>
      <c r="D17" s="133" t="s">
        <v>93</v>
      </c>
      <c r="E17" s="582" t="s">
        <v>147</v>
      </c>
      <c r="F17" s="135" t="s">
        <v>57</v>
      </c>
      <c r="G17" s="135">
        <v>123</v>
      </c>
      <c r="H17" s="135" t="s">
        <v>56</v>
      </c>
      <c r="I17" s="136">
        <v>0.17</v>
      </c>
      <c r="J17" s="137">
        <v>20.91</v>
      </c>
    </row>
    <row r="18" s="93" customFormat="1" ht="69.95" customHeight="1" spans="1:10">
      <c r="A18" s="133" t="s">
        <v>172</v>
      </c>
      <c r="B18" s="133" t="s">
        <v>173</v>
      </c>
      <c r="C18" s="134">
        <v>1051120</v>
      </c>
      <c r="D18" s="133" t="s">
        <v>93</v>
      </c>
      <c r="E18" s="582" t="s">
        <v>147</v>
      </c>
      <c r="F18" s="135" t="s">
        <v>63</v>
      </c>
      <c r="G18" s="135">
        <v>52</v>
      </c>
      <c r="H18" s="135" t="s">
        <v>56</v>
      </c>
      <c r="I18" s="136">
        <v>0.17</v>
      </c>
      <c r="J18" s="137">
        <v>8.84</v>
      </c>
    </row>
    <row r="19" ht="69.95" customHeight="1" spans="1:10">
      <c r="A19" s="133" t="s">
        <v>172</v>
      </c>
      <c r="B19" s="133" t="s">
        <v>173</v>
      </c>
      <c r="C19" s="134">
        <v>1051120</v>
      </c>
      <c r="D19" s="133" t="s">
        <v>93</v>
      </c>
      <c r="E19" s="582" t="s">
        <v>147</v>
      </c>
      <c r="F19" s="135" t="s">
        <v>67</v>
      </c>
      <c r="G19" s="135">
        <v>31</v>
      </c>
      <c r="H19" s="135" t="s">
        <v>56</v>
      </c>
      <c r="I19" s="136">
        <v>0.17</v>
      </c>
      <c r="J19" s="137">
        <v>5.27</v>
      </c>
    </row>
    <row r="20" ht="58.5" customHeight="1" spans="1:10">
      <c r="A20" s="138"/>
      <c r="B20" s="139"/>
      <c r="C20" s="140" t="s">
        <v>74</v>
      </c>
      <c r="D20" s="141"/>
      <c r="E20" s="142"/>
      <c r="F20" s="142"/>
      <c r="G20" s="143">
        <f>SUM(G15:G19)</f>
        <v>259</v>
      </c>
      <c r="H20" s="143" t="s">
        <v>56</v>
      </c>
      <c r="I20" s="144" t="s">
        <v>94</v>
      </c>
      <c r="J20" s="145">
        <f>SUM(J15:J19)</f>
        <v>44.03</v>
      </c>
    </row>
    <row r="21" s="93" customFormat="1" ht="21.75" customHeight="1" spans="1:10">
      <c r="A21" s="125"/>
      <c r="B21" s="125"/>
      <c r="C21" s="127"/>
      <c r="D21" s="118"/>
      <c r="E21" s="118"/>
      <c r="F21" s="118"/>
      <c r="G21" s="118"/>
      <c r="H21" s="126"/>
      <c r="I21" s="125"/>
    </row>
    <row r="22" s="94" customFormat="1" ht="17.25" customHeight="1" spans="1:10">
      <c r="A22" s="146"/>
      <c r="B22" s="146"/>
      <c r="C22" s="147"/>
      <c r="D22" s="148"/>
      <c r="E22" s="149"/>
      <c r="F22" s="149"/>
      <c r="G22" s="149"/>
      <c r="H22" s="150"/>
      <c r="I22" s="150"/>
      <c r="J22" s="151"/>
    </row>
    <row r="23" s="93" customFormat="1" ht="21.75" customHeight="1" spans="1:10">
      <c r="A23" s="124" t="s">
        <v>175</v>
      </c>
      <c r="B23" s="125"/>
      <c r="C23" s="127" t="s">
        <v>127</v>
      </c>
      <c r="D23" s="118" t="s">
        <v>176</v>
      </c>
      <c r="E23" s="118"/>
      <c r="F23" s="118"/>
      <c r="G23" s="126"/>
      <c r="H23" s="126"/>
      <c r="I23" s="125"/>
    </row>
    <row r="24" s="93" customFormat="1" ht="21.75" customHeight="1" spans="1:10">
      <c r="A24" s="124" t="s">
        <v>89</v>
      </c>
      <c r="B24" s="125"/>
      <c r="C24" s="127" t="s">
        <v>127</v>
      </c>
      <c r="D24" s="152">
        <f>G20</f>
        <v>259</v>
      </c>
      <c r="E24" s="152" t="s">
        <v>56</v>
      </c>
      <c r="F24" s="152"/>
      <c r="G24" s="153"/>
      <c r="H24" s="154"/>
      <c r="I24" s="125"/>
    </row>
    <row r="25" s="93" customFormat="1" ht="21.75" customHeight="1" spans="1:10">
      <c r="A25" s="124" t="s">
        <v>177</v>
      </c>
      <c r="B25" s="125"/>
      <c r="C25" s="127" t="s">
        <v>127</v>
      </c>
      <c r="D25" s="118" t="s">
        <v>178</v>
      </c>
      <c r="E25" s="118"/>
      <c r="F25" s="118"/>
      <c r="G25" s="118"/>
      <c r="H25" s="118"/>
      <c r="I25" s="125"/>
    </row>
    <row r="26" s="93" customFormat="1" ht="21.75" customHeight="1" spans="1:10">
      <c r="A26" s="124" t="s">
        <v>179</v>
      </c>
      <c r="B26" s="125"/>
      <c r="C26" s="127" t="s">
        <v>127</v>
      </c>
      <c r="D26" s="155">
        <f>J20</f>
        <v>44.03</v>
      </c>
      <c r="E26" s="155"/>
      <c r="F26" s="118"/>
      <c r="G26" s="118"/>
      <c r="H26" s="118"/>
      <c r="I26" s="125"/>
    </row>
    <row r="27" s="93" customFormat="1" ht="21.75" customHeight="1" spans="1:10">
      <c r="A27" s="124"/>
      <c r="B27" s="125"/>
      <c r="C27" s="156"/>
      <c r="D27" s="156" t="s">
        <v>180</v>
      </c>
      <c r="E27" s="118"/>
      <c r="F27" s="118"/>
      <c r="G27" s="118"/>
      <c r="H27" s="118"/>
      <c r="I27" s="125"/>
    </row>
    <row r="28" s="93" customFormat="1" ht="21.75" customHeight="1" spans="1:10">
      <c r="A28" s="157" t="s">
        <v>181</v>
      </c>
      <c r="B28" s="158"/>
      <c r="C28" s="159" t="s">
        <v>127</v>
      </c>
      <c r="D28" s="160" t="s">
        <v>182</v>
      </c>
      <c r="E28" s="160"/>
      <c r="F28" s="161"/>
      <c r="G28" s="161"/>
      <c r="H28" s="161"/>
      <c r="I28" s="162"/>
    </row>
    <row r="29" s="93" customFormat="1" ht="21.75" customHeight="1" spans="1:10">
      <c r="A29" s="157" t="s">
        <v>183</v>
      </c>
      <c r="B29" s="158"/>
      <c r="C29" s="159" t="s">
        <v>127</v>
      </c>
      <c r="D29" s="118" t="s">
        <v>184</v>
      </c>
      <c r="E29" s="118"/>
      <c r="F29" s="163"/>
      <c r="G29" s="163"/>
      <c r="H29" s="163"/>
      <c r="I29" s="164"/>
    </row>
    <row r="30" s="93" customFormat="1" ht="21.75" customHeight="1" spans="1:10">
      <c r="A30" s="120"/>
      <c r="B30" s="121"/>
      <c r="C30" s="159"/>
      <c r="D30" s="160" t="s">
        <v>185</v>
      </c>
      <c r="E30" s="160"/>
      <c r="F30" s="161"/>
      <c r="G30" s="161"/>
      <c r="H30" s="161"/>
      <c r="I30" s="162"/>
    </row>
    <row r="31" s="93" customFormat="1" ht="21.75" customHeight="1" spans="1:10">
      <c r="A31" s="120"/>
      <c r="B31" s="121"/>
      <c r="C31" s="159"/>
      <c r="D31" s="160" t="s">
        <v>136</v>
      </c>
      <c r="E31" s="160"/>
      <c r="F31" s="161"/>
      <c r="G31" s="161"/>
      <c r="H31" s="161"/>
      <c r="I31" s="162"/>
    </row>
    <row r="32" s="93" customFormat="1" ht="22.5" customHeight="1" spans="1:10">
      <c r="A32" s="120"/>
      <c r="B32" s="121"/>
      <c r="C32" s="159"/>
      <c r="D32" s="160" t="s">
        <v>137</v>
      </c>
      <c r="E32" s="160"/>
      <c r="F32" s="161"/>
      <c r="G32" s="161"/>
      <c r="H32" s="161"/>
      <c r="I32" s="162"/>
    </row>
    <row r="33" s="93" customFormat="1" ht="21.75" customHeight="1" spans="1:10">
      <c r="A33" s="120" t="s">
        <v>186</v>
      </c>
      <c r="B33" s="121"/>
      <c r="C33" s="159"/>
      <c r="D33" s="160" t="s">
        <v>157</v>
      </c>
      <c r="E33" s="160"/>
      <c r="F33" s="161"/>
      <c r="G33" s="161"/>
      <c r="H33" s="161"/>
      <c r="I33" s="162"/>
    </row>
    <row r="34" s="93" customFormat="1" ht="21.75" customHeight="1" spans="1:10">
      <c r="A34" s="120" t="s">
        <v>187</v>
      </c>
      <c r="B34" s="121"/>
      <c r="C34" s="159"/>
      <c r="D34" s="160" t="e">
        <f>PKL!#REF!</f>
        <v>#REF!</v>
      </c>
      <c r="E34" s="160"/>
      <c r="F34" s="161"/>
      <c r="G34" s="161"/>
      <c r="H34" s="161"/>
      <c r="I34" s="162"/>
    </row>
    <row r="35" s="93" customFormat="1" ht="21.75" customHeight="1" spans="1:10">
      <c r="A35" s="120"/>
      <c r="B35" s="121"/>
      <c r="C35" s="159"/>
      <c r="D35" s="160" t="e">
        <f>PKL!#REF!</f>
        <v>#REF!</v>
      </c>
      <c r="E35" s="160"/>
      <c r="F35" s="160"/>
      <c r="G35" s="160"/>
      <c r="H35" s="160"/>
      <c r="I35" s="160"/>
      <c r="J35" s="160"/>
    </row>
    <row r="36" s="93" customFormat="1" ht="21.75" customHeight="1" spans="1:10">
      <c r="A36" s="120"/>
      <c r="B36" s="121"/>
      <c r="C36" s="159"/>
      <c r="D36" s="160" t="e">
        <f>PKL!#REF!</f>
        <v>#REF!</v>
      </c>
      <c r="E36" s="160"/>
      <c r="F36" s="160"/>
      <c r="G36" s="160"/>
      <c r="H36" s="160"/>
      <c r="I36" s="160"/>
      <c r="J36" s="160"/>
    </row>
    <row r="37" s="93" customFormat="1" ht="21.75" customHeight="1" spans="1:10">
      <c r="A37" s="157" t="s">
        <v>188</v>
      </c>
      <c r="B37" s="158"/>
      <c r="C37" s="159" t="s">
        <v>127</v>
      </c>
      <c r="D37" s="121" t="s">
        <v>189</v>
      </c>
      <c r="E37" s="121"/>
      <c r="F37" s="121"/>
      <c r="G37" s="121"/>
      <c r="H37" s="121"/>
      <c r="I37" s="121"/>
    </row>
    <row r="38" s="93" customFormat="1" ht="21.75" customHeight="1" spans="1:10">
      <c r="A38" s="157" t="s">
        <v>190</v>
      </c>
      <c r="B38" s="158"/>
      <c r="C38" s="159" t="s">
        <v>127</v>
      </c>
      <c r="D38" s="121" t="s">
        <v>191</v>
      </c>
      <c r="E38" s="121"/>
      <c r="F38" s="121"/>
      <c r="G38" s="121"/>
      <c r="H38" s="121"/>
      <c r="I38" s="121"/>
    </row>
    <row r="39" s="93" customFormat="1" ht="21.75" customHeight="1" spans="1:10">
      <c r="A39" s="157" t="s">
        <v>192</v>
      </c>
      <c r="B39" s="158"/>
      <c r="C39" s="159" t="s">
        <v>127</v>
      </c>
      <c r="D39" s="583" t="s">
        <v>193</v>
      </c>
      <c r="E39" s="165"/>
      <c r="F39" s="161"/>
      <c r="G39" s="161"/>
      <c r="H39" s="161"/>
      <c r="I39" s="162"/>
    </row>
    <row r="40" s="93" customFormat="1" ht="21.75" customHeight="1" spans="1:10">
      <c r="A40" s="157" t="s">
        <v>194</v>
      </c>
      <c r="B40" s="158"/>
      <c r="C40" s="159" t="s">
        <v>127</v>
      </c>
      <c r="D40" s="165" t="s">
        <v>195</v>
      </c>
      <c r="E40" s="165"/>
      <c r="F40" s="161"/>
      <c r="G40" s="161"/>
      <c r="H40" s="161"/>
      <c r="I40" s="162"/>
    </row>
    <row r="41" s="93" customFormat="1" ht="21.75" customHeight="1" spans="1:10">
      <c r="A41" s="166" t="s">
        <v>196</v>
      </c>
      <c r="B41" s="167"/>
      <c r="C41" s="159" t="s">
        <v>127</v>
      </c>
      <c r="D41" s="168">
        <f>PKL!C29</f>
        <v>46180</v>
      </c>
      <c r="E41" s="168"/>
      <c r="F41" s="169"/>
      <c r="G41" s="160"/>
      <c r="H41" s="160"/>
      <c r="I41" s="125"/>
    </row>
    <row r="42" s="93" customFormat="1" ht="21.75" customHeight="1" spans="1:10">
      <c r="A42" s="157" t="s">
        <v>197</v>
      </c>
      <c r="B42" s="158"/>
      <c r="C42" s="159" t="s">
        <v>127</v>
      </c>
      <c r="D42" s="170" t="s">
        <v>198</v>
      </c>
      <c r="E42" s="170"/>
      <c r="F42" s="171"/>
      <c r="G42" s="171"/>
      <c r="H42" s="172"/>
      <c r="I42" s="173"/>
    </row>
    <row r="43" s="93" customFormat="1" ht="32.25" customHeight="1" spans="1:10">
      <c r="A43" s="157" t="s">
        <v>199</v>
      </c>
      <c r="B43" s="158"/>
      <c r="C43" s="159" t="s">
        <v>127</v>
      </c>
      <c r="D43" s="170" t="s">
        <v>26</v>
      </c>
      <c r="E43" s="170"/>
      <c r="F43" s="171"/>
      <c r="G43" s="171"/>
      <c r="H43" s="174"/>
      <c r="I43" s="162"/>
    </row>
    <row r="44" s="93" customFormat="1" ht="20.25" customHeight="1" spans="1:10">
      <c r="A44" s="157" t="s">
        <v>200</v>
      </c>
      <c r="B44" s="158"/>
      <c r="C44" s="159" t="s">
        <v>127</v>
      </c>
      <c r="D44" s="160" t="s">
        <v>201</v>
      </c>
      <c r="E44" s="160"/>
      <c r="F44" s="161"/>
      <c r="G44" s="161"/>
      <c r="H44" s="161"/>
      <c r="I44" s="162"/>
    </row>
    <row r="45" s="93" customFormat="1" ht="20.25" customHeight="1" spans="1:10">
      <c r="A45" s="157" t="s">
        <v>202</v>
      </c>
      <c r="B45" s="158"/>
      <c r="C45" s="159" t="s">
        <v>127</v>
      </c>
      <c r="D45" s="160" t="s">
        <v>203</v>
      </c>
      <c r="E45" s="160"/>
      <c r="F45" s="161"/>
      <c r="G45" s="161"/>
      <c r="H45" s="161"/>
      <c r="I45" s="162"/>
    </row>
    <row r="46" s="93" customFormat="1" ht="20.25" customHeight="1" spans="1:10">
      <c r="A46" s="124"/>
      <c r="B46" s="125"/>
      <c r="C46" s="160"/>
      <c r="D46" s="160" t="s">
        <v>204</v>
      </c>
      <c r="E46" s="160"/>
      <c r="F46" s="161"/>
      <c r="G46" s="161"/>
      <c r="H46" s="161"/>
      <c r="I46" s="162"/>
    </row>
    <row r="47" s="93" customFormat="1" ht="20.25" customHeight="1" spans="1:10">
      <c r="A47" s="175"/>
      <c r="B47" s="176"/>
      <c r="C47" s="160"/>
      <c r="D47" s="160" t="s">
        <v>205</v>
      </c>
      <c r="E47" s="160"/>
      <c r="F47" s="161"/>
      <c r="G47" s="161"/>
      <c r="H47" s="161"/>
      <c r="I47" s="162"/>
    </row>
    <row r="48" s="93" customFormat="1" ht="20.25" customHeight="1" spans="1:10">
      <c r="A48" s="177" t="s">
        <v>206</v>
      </c>
      <c r="B48" s="178"/>
      <c r="C48" s="179"/>
      <c r="D48" s="179"/>
      <c r="E48" s="160"/>
      <c r="F48" s="178" t="s">
        <v>206</v>
      </c>
      <c r="G48" s="178"/>
      <c r="H48" s="178"/>
      <c r="I48" s="178"/>
    </row>
    <row r="49" s="93" customFormat="1" ht="20.25" customHeight="1" spans="1:10">
      <c r="A49" s="180" t="s">
        <v>207</v>
      </c>
      <c r="B49" s="164"/>
      <c r="C49" s="163"/>
      <c r="D49" s="163"/>
      <c r="E49" s="160"/>
      <c r="F49" s="178" t="s">
        <v>208</v>
      </c>
      <c r="G49" s="178"/>
      <c r="H49" s="178"/>
      <c r="I49" s="178"/>
    </row>
    <row r="50" s="93" customFormat="1" ht="20.25" customHeight="1" spans="1:10">
      <c r="A50" s="124"/>
      <c r="B50" s="125"/>
      <c r="C50" s="160"/>
      <c r="D50" s="160"/>
      <c r="E50" s="160"/>
      <c r="F50" s="161"/>
      <c r="G50" s="161"/>
      <c r="H50" s="161"/>
      <c r="I50" s="162"/>
    </row>
    <row r="51" s="93" customFormat="1" ht="20.25" customHeight="1" spans="1:10">
      <c r="A51" s="124"/>
      <c r="B51" s="125"/>
      <c r="C51" s="181"/>
      <c r="D51" s="160"/>
      <c r="E51" s="160"/>
      <c r="F51" s="161"/>
      <c r="G51" s="161"/>
      <c r="H51" s="161"/>
      <c r="I51" s="162"/>
    </row>
    <row r="52" ht="40.5" customHeight="1" spans="1:10">
      <c r="A52" s="182"/>
      <c r="B52" s="182"/>
      <c r="C52" s="182"/>
      <c r="D52" s="183"/>
      <c r="E52" s="184"/>
      <c r="F52" s="184"/>
      <c r="G52" s="184"/>
      <c r="H52" s="185"/>
      <c r="I52" s="186"/>
      <c r="J52" s="182"/>
    </row>
    <row r="53" ht="15.5" spans="1:10">
      <c r="A53" s="182"/>
      <c r="B53" s="182"/>
      <c r="C53" s="182"/>
      <c r="D53" s="183"/>
      <c r="E53" s="183"/>
      <c r="F53" s="183"/>
      <c r="G53" s="183"/>
      <c r="H53" s="187"/>
      <c r="I53" s="187"/>
      <c r="J53" s="182"/>
    </row>
    <row r="54" ht="17.5" spans="1:10">
      <c r="A54" s="182"/>
      <c r="B54" s="182"/>
      <c r="C54" s="151"/>
      <c r="D54" s="183"/>
      <c r="E54" s="183"/>
      <c r="F54" s="183"/>
      <c r="G54" s="183"/>
      <c r="H54" s="187"/>
      <c r="I54" s="187"/>
      <c r="J54" s="182"/>
    </row>
    <row r="55" ht="15.5" spans="1:10">
      <c r="A55" s="182"/>
      <c r="B55" s="182"/>
      <c r="C55" s="182"/>
      <c r="D55" s="188"/>
      <c r="H55" s="189"/>
      <c r="I55" s="189"/>
      <c r="J55" s="182"/>
    </row>
    <row r="56" ht="18" spans="1:10">
      <c r="A56" s="182"/>
      <c r="B56" s="182"/>
      <c r="C56" s="182"/>
      <c r="D56" s="182"/>
      <c r="H56" s="188"/>
      <c r="I56" s="190"/>
      <c r="J56" s="182"/>
    </row>
    <row r="57" ht="15.5" spans="1:10">
      <c r="A57" s="182"/>
      <c r="B57" s="182"/>
      <c r="C57" s="182"/>
      <c r="E57" s="184"/>
      <c r="F57" s="184"/>
      <c r="G57" s="184"/>
      <c r="H57" s="185"/>
      <c r="I57" s="182"/>
      <c r="J57" s="182"/>
    </row>
    <row r="58" ht="15.5" spans="1:10">
      <c r="A58" s="182"/>
      <c r="B58" s="182"/>
      <c r="C58" s="182"/>
      <c r="D58" s="182"/>
      <c r="E58" s="191"/>
      <c r="F58" s="191"/>
      <c r="G58" s="191"/>
      <c r="H58" s="185"/>
      <c r="I58" s="182"/>
      <c r="J58" s="182"/>
    </row>
    <row r="59" ht="15.5" spans="1:10">
      <c r="A59" s="182"/>
      <c r="B59" s="182"/>
      <c r="C59" s="182"/>
      <c r="D59" s="182"/>
      <c r="E59" s="192"/>
      <c r="F59" s="192"/>
      <c r="G59" s="192"/>
      <c r="H59" s="185"/>
      <c r="I59" s="182"/>
      <c r="J59" s="182"/>
    </row>
    <row r="60" spans="1:10">
      <c r="A60" s="182"/>
      <c r="B60" s="182"/>
      <c r="C60" s="182"/>
      <c r="D60" s="182"/>
      <c r="E60" s="182"/>
      <c r="F60" s="182"/>
      <c r="G60" s="182"/>
      <c r="H60" s="182"/>
      <c r="I60" s="182"/>
      <c r="J60" s="182"/>
    </row>
    <row r="61" spans="1:10">
      <c r="A61" s="182"/>
      <c r="B61" s="182"/>
      <c r="C61" s="182"/>
      <c r="D61" s="182"/>
      <c r="E61" s="182"/>
      <c r="F61" s="182"/>
      <c r="G61" s="182"/>
      <c r="H61" s="182"/>
      <c r="I61" s="182"/>
      <c r="J61" s="182"/>
    </row>
    <row r="62" spans="1:10">
      <c r="A62" s="182"/>
      <c r="B62" s="182"/>
      <c r="C62" s="182"/>
      <c r="D62" s="182"/>
      <c r="E62" s="182"/>
      <c r="F62" s="182"/>
      <c r="G62" s="182"/>
      <c r="H62" s="182"/>
      <c r="I62" s="182"/>
      <c r="J62" s="182"/>
    </row>
    <row r="63" spans="1:10">
      <c r="A63" s="182"/>
      <c r="B63" s="182"/>
      <c r="C63" s="182"/>
      <c r="D63" s="182"/>
      <c r="E63" s="182"/>
      <c r="F63" s="182"/>
      <c r="G63" s="182"/>
      <c r="H63" s="182"/>
      <c r="I63" s="182"/>
      <c r="J63" s="182"/>
    </row>
    <row r="64" spans="1:10">
      <c r="A64" s="182"/>
      <c r="B64" s="182"/>
      <c r="C64" s="182"/>
      <c r="D64" s="182"/>
      <c r="E64" s="182"/>
      <c r="F64" s="182"/>
      <c r="G64" s="182"/>
      <c r="H64" s="182"/>
      <c r="I64" s="182"/>
      <c r="J64" s="182"/>
    </row>
    <row r="65" spans="1:10">
      <c r="A65" s="182"/>
      <c r="B65" s="182"/>
      <c r="C65" s="182"/>
      <c r="D65" s="182"/>
      <c r="E65" s="182"/>
      <c r="F65" s="182"/>
      <c r="G65" s="182"/>
      <c r="H65" s="182"/>
      <c r="I65" s="182"/>
      <c r="J65" s="182"/>
    </row>
    <row r="66" spans="1:10">
      <c r="A66" s="182"/>
      <c r="B66" s="182"/>
      <c r="C66" s="182"/>
      <c r="D66" s="182"/>
      <c r="E66" s="182"/>
      <c r="F66" s="182"/>
      <c r="G66" s="182"/>
      <c r="H66" s="182"/>
      <c r="I66" s="182"/>
      <c r="J66" s="182"/>
    </row>
    <row r="67" spans="1:10">
      <c r="A67" s="182"/>
      <c r="B67" s="182"/>
      <c r="C67" s="182"/>
      <c r="D67" s="182"/>
      <c r="E67" s="182"/>
      <c r="F67" s="182"/>
      <c r="G67" s="182"/>
      <c r="H67" s="182"/>
      <c r="I67" s="182"/>
      <c r="J67" s="182"/>
    </row>
    <row r="68" spans="1:10">
      <c r="A68" s="182"/>
      <c r="B68" s="182"/>
      <c r="C68" s="182"/>
      <c r="D68" s="182"/>
      <c r="E68" s="182"/>
      <c r="F68" s="182"/>
      <c r="G68" s="182"/>
      <c r="H68" s="182"/>
      <c r="I68" s="182"/>
      <c r="J68" s="182"/>
    </row>
    <row r="69" spans="1:10">
      <c r="A69" s="182"/>
      <c r="B69" s="182"/>
      <c r="C69" s="182"/>
      <c r="D69" s="182"/>
      <c r="E69" s="182"/>
      <c r="F69" s="182"/>
      <c r="G69" s="182"/>
      <c r="H69" s="182"/>
      <c r="I69" s="182"/>
      <c r="J69" s="182"/>
    </row>
    <row r="70" spans="1:10">
      <c r="A70" s="182"/>
      <c r="B70" s="182"/>
      <c r="C70" s="182"/>
      <c r="D70" s="182"/>
      <c r="E70" s="182"/>
      <c r="F70" s="182"/>
      <c r="G70" s="182"/>
      <c r="H70" s="182"/>
      <c r="I70" s="182"/>
      <c r="J70" s="182"/>
    </row>
    <row r="71" spans="1:10">
      <c r="A71" s="182"/>
      <c r="B71" s="182"/>
      <c r="C71" s="182"/>
      <c r="D71" s="182"/>
      <c r="E71" s="182"/>
      <c r="F71" s="182"/>
      <c r="G71" s="182"/>
      <c r="H71" s="182"/>
      <c r="I71" s="182"/>
      <c r="J71" s="182"/>
    </row>
    <row r="72" spans="1:10">
      <c r="A72" s="182"/>
      <c r="B72" s="182"/>
      <c r="C72" s="182"/>
      <c r="D72" s="182"/>
      <c r="E72" s="182"/>
      <c r="F72" s="182"/>
      <c r="G72" s="182"/>
      <c r="H72" s="182"/>
      <c r="I72" s="182"/>
      <c r="J72" s="182"/>
    </row>
    <row r="73" spans="1:10">
      <c r="A73" s="182"/>
      <c r="B73" s="182"/>
      <c r="C73" s="182"/>
      <c r="D73" s="182"/>
      <c r="E73" s="182"/>
      <c r="F73" s="182"/>
      <c r="G73" s="182"/>
      <c r="H73" s="182"/>
      <c r="I73" s="182"/>
      <c r="J73" s="182"/>
    </row>
    <row r="74" spans="1:10">
      <c r="A74" s="182"/>
      <c r="B74" s="182"/>
      <c r="C74" s="182"/>
      <c r="D74" s="182"/>
      <c r="E74" s="182"/>
      <c r="F74" s="182"/>
      <c r="G74" s="182"/>
      <c r="H74" s="182"/>
      <c r="I74" s="182"/>
      <c r="J74" s="182"/>
    </row>
    <row r="75" spans="1:10">
      <c r="A75" s="182"/>
      <c r="B75" s="182"/>
      <c r="C75" s="182"/>
      <c r="D75" s="182"/>
      <c r="E75" s="182"/>
      <c r="F75" s="182"/>
      <c r="G75" s="182"/>
      <c r="H75" s="182"/>
      <c r="I75" s="182"/>
      <c r="J75" s="182"/>
    </row>
    <row r="76" spans="1:10">
      <c r="A76" s="182"/>
      <c r="B76" s="182"/>
      <c r="C76" s="182"/>
      <c r="D76" s="182"/>
      <c r="E76" s="182"/>
      <c r="F76" s="182"/>
      <c r="G76" s="182"/>
      <c r="H76" s="182"/>
      <c r="I76" s="182"/>
      <c r="J76" s="182"/>
    </row>
    <row r="77" spans="1:10">
      <c r="A77" s="182"/>
      <c r="B77" s="182"/>
      <c r="C77" s="182"/>
      <c r="D77" s="182"/>
      <c r="E77" s="182"/>
      <c r="F77" s="182"/>
      <c r="G77" s="182"/>
      <c r="H77" s="182"/>
      <c r="I77" s="182"/>
      <c r="J77" s="182"/>
    </row>
    <row r="78" spans="1:10">
      <c r="A78" s="182"/>
      <c r="B78" s="182"/>
      <c r="C78" s="182"/>
      <c r="D78" s="182"/>
      <c r="E78" s="182"/>
      <c r="F78" s="182"/>
      <c r="G78" s="182"/>
      <c r="H78" s="182"/>
      <c r="I78" s="182"/>
      <c r="J78" s="182"/>
    </row>
    <row r="79" spans="1:10">
      <c r="A79" s="182"/>
      <c r="B79" s="182"/>
      <c r="C79" s="182"/>
      <c r="D79" s="182"/>
      <c r="E79" s="182"/>
      <c r="F79" s="182"/>
      <c r="G79" s="182"/>
      <c r="H79" s="182"/>
      <c r="I79" s="182"/>
      <c r="J79" s="182"/>
    </row>
    <row r="80" spans="1:10">
      <c r="A80" s="182"/>
      <c r="B80" s="182"/>
      <c r="C80" s="182"/>
      <c r="D80" s="182"/>
      <c r="E80" s="182"/>
      <c r="F80" s="182"/>
      <c r="G80" s="182"/>
      <c r="H80" s="182"/>
      <c r="I80" s="182"/>
      <c r="J80" s="182"/>
    </row>
    <row r="81" spans="1:10">
      <c r="A81" s="182"/>
      <c r="B81" s="182"/>
      <c r="C81" s="182"/>
      <c r="D81" s="182"/>
      <c r="E81" s="182"/>
      <c r="F81" s="182"/>
      <c r="G81" s="182"/>
      <c r="H81" s="182"/>
      <c r="I81" s="182"/>
      <c r="J81" s="182"/>
    </row>
    <row r="82" spans="1:10">
      <c r="A82" s="182"/>
      <c r="B82" s="182"/>
      <c r="C82" s="182"/>
      <c r="D82" s="182"/>
      <c r="E82" s="182"/>
      <c r="F82" s="182"/>
      <c r="G82" s="182"/>
      <c r="H82" s="182"/>
      <c r="I82" s="182"/>
      <c r="J82" s="182"/>
    </row>
    <row r="83" spans="1:10">
      <c r="A83" s="182"/>
      <c r="B83" s="182"/>
      <c r="C83" s="182"/>
      <c r="D83" s="182"/>
      <c r="E83" s="182"/>
      <c r="F83" s="182"/>
      <c r="G83" s="182"/>
      <c r="H83" s="182"/>
      <c r="I83" s="182"/>
      <c r="J83" s="182"/>
    </row>
    <row r="84" spans="1:10">
      <c r="A84" s="182"/>
      <c r="B84" s="182"/>
      <c r="C84" s="182"/>
      <c r="D84" s="182"/>
      <c r="E84" s="182"/>
      <c r="F84" s="182"/>
      <c r="G84" s="182"/>
      <c r="H84" s="182"/>
      <c r="I84" s="182"/>
      <c r="J84" s="182"/>
    </row>
    <row r="85" spans="1:10">
      <c r="A85" s="182"/>
      <c r="B85" s="182"/>
      <c r="C85" s="182"/>
      <c r="D85" s="182"/>
      <c r="E85" s="182"/>
      <c r="F85" s="182"/>
      <c r="G85" s="182"/>
      <c r="H85" s="182"/>
      <c r="I85" s="182"/>
      <c r="J85" s="182"/>
    </row>
    <row r="86" spans="1:10">
      <c r="A86" s="182"/>
      <c r="B86" s="182"/>
      <c r="C86" s="182"/>
      <c r="D86" s="182"/>
      <c r="E86" s="182"/>
      <c r="F86" s="182"/>
      <c r="G86" s="182"/>
      <c r="H86" s="182"/>
      <c r="I86" s="182"/>
      <c r="J86" s="182"/>
    </row>
    <row r="87" spans="1:10">
      <c r="A87" s="182"/>
      <c r="B87" s="182"/>
      <c r="C87" s="182"/>
      <c r="D87" s="182"/>
      <c r="E87" s="182"/>
      <c r="F87" s="182"/>
      <c r="G87" s="182"/>
      <c r="H87" s="182"/>
      <c r="I87" s="182"/>
      <c r="J87" s="182"/>
    </row>
    <row r="88" spans="1:10">
      <c r="A88" s="182"/>
      <c r="B88" s="182"/>
      <c r="C88" s="182"/>
      <c r="D88" s="182"/>
      <c r="E88" s="182"/>
      <c r="F88" s="182"/>
      <c r="G88" s="182"/>
      <c r="H88" s="182"/>
      <c r="I88" s="182"/>
      <c r="J88" s="182"/>
    </row>
    <row r="89" spans="1:10">
      <c r="A89" s="182"/>
      <c r="B89" s="182"/>
      <c r="C89" s="182"/>
      <c r="D89" s="182"/>
      <c r="E89" s="182"/>
      <c r="F89" s="182"/>
      <c r="G89" s="182"/>
      <c r="H89" s="182"/>
      <c r="I89" s="182"/>
      <c r="J89" s="182"/>
    </row>
    <row r="90" spans="1:10">
      <c r="A90" s="182"/>
      <c r="B90" s="182"/>
      <c r="C90" s="182"/>
      <c r="D90" s="182"/>
      <c r="E90" s="182"/>
      <c r="F90" s="182"/>
      <c r="G90" s="182"/>
      <c r="H90" s="182"/>
      <c r="I90" s="182"/>
      <c r="J90" s="182"/>
    </row>
    <row r="91" spans="1:10">
      <c r="A91" s="182"/>
      <c r="B91" s="182"/>
      <c r="C91" s="182"/>
      <c r="D91" s="182"/>
      <c r="E91" s="182"/>
      <c r="F91" s="182"/>
      <c r="G91" s="182"/>
      <c r="H91" s="182"/>
      <c r="I91" s="182"/>
      <c r="J91" s="182"/>
    </row>
    <row r="92" spans="1:10">
      <c r="A92" s="182"/>
      <c r="B92" s="182"/>
      <c r="C92" s="182"/>
      <c r="D92" s="182"/>
      <c r="E92" s="182"/>
      <c r="F92" s="182"/>
      <c r="G92" s="182"/>
      <c r="H92" s="182"/>
      <c r="I92" s="182"/>
      <c r="J92" s="182"/>
    </row>
    <row r="93" spans="1:10">
      <c r="A93" s="182"/>
      <c r="B93" s="182"/>
      <c r="C93" s="182"/>
      <c r="D93" s="182"/>
      <c r="E93" s="182"/>
      <c r="F93" s="182"/>
      <c r="G93" s="182"/>
      <c r="H93" s="182"/>
      <c r="I93" s="182"/>
      <c r="J93" s="182"/>
    </row>
    <row r="94" spans="1:10">
      <c r="A94" s="182"/>
      <c r="B94" s="182"/>
      <c r="C94" s="182"/>
      <c r="D94" s="182"/>
      <c r="E94" s="182"/>
      <c r="F94" s="182"/>
      <c r="G94" s="182"/>
      <c r="H94" s="182"/>
      <c r="I94" s="182"/>
      <c r="J94" s="182"/>
    </row>
    <row r="95" spans="1:10">
      <c r="A95" s="182"/>
      <c r="B95" s="182"/>
      <c r="C95" s="182"/>
      <c r="D95" s="182"/>
      <c r="E95" s="182"/>
      <c r="F95" s="182"/>
      <c r="G95" s="182"/>
      <c r="H95" s="182"/>
      <c r="I95" s="182"/>
      <c r="J95" s="182"/>
    </row>
    <row r="96" spans="1:10">
      <c r="A96" s="182"/>
      <c r="B96" s="182"/>
      <c r="C96" s="182"/>
      <c r="D96" s="182"/>
      <c r="E96" s="182"/>
      <c r="F96" s="182"/>
      <c r="G96" s="182"/>
      <c r="H96" s="182"/>
      <c r="I96" s="182"/>
      <c r="J96" s="182"/>
    </row>
    <row r="97" spans="1:10">
      <c r="A97" s="182"/>
      <c r="B97" s="182"/>
      <c r="C97" s="182"/>
      <c r="D97" s="182"/>
      <c r="E97" s="182"/>
      <c r="F97" s="182"/>
      <c r="G97" s="182"/>
      <c r="H97" s="182"/>
      <c r="I97" s="182"/>
      <c r="J97" s="182"/>
    </row>
    <row r="98" spans="1:10">
      <c r="A98" s="182"/>
      <c r="B98" s="182"/>
      <c r="C98" s="182"/>
      <c r="D98" s="182"/>
      <c r="E98" s="182"/>
      <c r="F98" s="182"/>
      <c r="G98" s="182"/>
      <c r="H98" s="182"/>
      <c r="I98" s="182"/>
      <c r="J98" s="182"/>
    </row>
    <row r="99" spans="1:10">
      <c r="A99" s="182"/>
      <c r="B99" s="182"/>
      <c r="C99" s="182"/>
      <c r="D99" s="182"/>
      <c r="E99" s="182"/>
      <c r="F99" s="182"/>
      <c r="G99" s="182"/>
      <c r="H99" s="182"/>
      <c r="I99" s="182"/>
      <c r="J99" s="182"/>
    </row>
    <row r="100" spans="1:10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</row>
    <row r="101" spans="1:10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</row>
    <row r="102" spans="1:10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</row>
    <row r="103" spans="1:10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</row>
    <row r="104" spans="1:10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</row>
    <row r="105" spans="1:10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</row>
    <row r="106" spans="1:10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</row>
    <row r="107" spans="1:10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</row>
    <row r="108" spans="1:10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</row>
    <row r="109" spans="1:10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</row>
    <row r="110" spans="1:10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</row>
    <row r="111" spans="1:10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</row>
    <row r="112" spans="1:10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</row>
    <row r="113" spans="1:10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</row>
    <row r="114" spans="1:10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</row>
    <row r="115" spans="1:10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</row>
    <row r="116" spans="1:10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</row>
    <row r="117" spans="1:10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</row>
    <row r="118" spans="1:10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</row>
    <row r="119" spans="1:10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</row>
    <row r="120" spans="1:10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</row>
    <row r="121" spans="1:10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</row>
    <row r="122" spans="1:10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</row>
    <row r="123" spans="1:10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</row>
    <row r="124" spans="1:10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</row>
    <row r="125" spans="1:10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</row>
    <row r="126" spans="1:10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</row>
    <row r="127" spans="1:10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</row>
    <row r="128" spans="1:10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</row>
    <row r="129" spans="1:10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</row>
    <row r="130" spans="1:10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</row>
    <row r="131" spans="1:10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</row>
    <row r="132" spans="1:10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</row>
    <row r="133" spans="1:10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</row>
    <row r="134" spans="1:10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</row>
    <row r="135" spans="1:10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</row>
    <row r="136" spans="1:10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</row>
    <row r="137" spans="1:10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</row>
    <row r="138" spans="1:10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</row>
    <row r="139" spans="1:10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</row>
    <row r="140" spans="1:10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</row>
    <row r="141" spans="1:10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</row>
    <row r="142" spans="1:10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</row>
    <row r="143" spans="1:10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</row>
    <row r="144" spans="1:10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</row>
    <row r="145" spans="1:10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</row>
    <row r="146" spans="1:10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</row>
    <row r="147" spans="1:10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</row>
    <row r="148" spans="1:10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</row>
    <row r="149" spans="1:10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</row>
    <row r="150" spans="1:10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</row>
    <row r="151" spans="1:10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</row>
    <row r="152" spans="1:10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</row>
    <row r="153" spans="1:10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</row>
    <row r="154" spans="1:10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</row>
    <row r="155" spans="1:10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</row>
    <row r="156" spans="1:10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</row>
    <row r="157" spans="1:10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</row>
    <row r="158" spans="1:10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</row>
    <row r="159" spans="1:10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</row>
    <row r="160" spans="1:10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</row>
    <row r="161" spans="1:10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</row>
    <row r="162" spans="1:10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</row>
    <row r="163" spans="1:10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</row>
    <row r="164" spans="1:10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</row>
    <row r="165" spans="1:10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</row>
    <row r="166" spans="1:10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</row>
    <row r="167" spans="1:10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</row>
    <row r="168" spans="1:10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</row>
    <row r="169" spans="1:10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</row>
    <row r="170" spans="1:1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</row>
    <row r="171" spans="1:10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</row>
    <row r="172" spans="1:10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</row>
    <row r="173" spans="1:10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</row>
    <row r="174" spans="1:10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</row>
    <row r="175" spans="1:10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</row>
    <row r="176" spans="1:10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</row>
    <row r="177" spans="1:10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</row>
    <row r="178" spans="1:10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</row>
    <row r="179" spans="1:10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</row>
    <row r="180" spans="1:1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</row>
    <row r="181" spans="1:10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</row>
    <row r="182" spans="1:10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</row>
    <row r="183" spans="1:10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</row>
    <row r="184" spans="1:10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</row>
    <row r="185" spans="1:10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</row>
    <row r="186" spans="1:10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</row>
    <row r="187" spans="1:10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</row>
    <row r="188" spans="1:10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</row>
    <row r="189" spans="1:10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</row>
    <row r="190" spans="1:1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</row>
    <row r="191" spans="1:10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</row>
    <row r="192" spans="1:10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</row>
    <row r="193" spans="1:10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</row>
    <row r="194" spans="1:10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</row>
    <row r="195" spans="1:10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</row>
    <row r="196" spans="1:10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</row>
    <row r="197" spans="1:10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</row>
    <row r="198" spans="1:10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</row>
    <row r="199" spans="1:10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</row>
    <row r="200" spans="1:1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</row>
    <row r="201" spans="1:10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</row>
    <row r="202" spans="1:10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</row>
    <row r="203" spans="1:10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</row>
    <row r="204" spans="1:10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</row>
    <row r="205" spans="1:10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</row>
    <row r="206" spans="1:10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</row>
    <row r="207" spans="1:10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</row>
    <row r="208" spans="1:10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</row>
    <row r="209" spans="1:10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</row>
    <row r="210" spans="1: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</row>
    <row r="211" spans="1:10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</row>
    <row r="212" spans="1:10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</row>
    <row r="213" spans="1:10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</row>
    <row r="214" spans="1:10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</row>
    <row r="215" spans="1:10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</row>
    <row r="216" spans="1:10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</row>
    <row r="217" spans="1:10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</row>
    <row r="218" spans="1:10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</row>
    <row r="219" spans="1:10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</row>
    <row r="220" spans="1:1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</row>
    <row r="221" spans="1:10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</row>
    <row r="222" spans="1:10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</row>
    <row r="223" spans="1:10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</row>
    <row r="224" spans="1:10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</row>
    <row r="225" spans="1:10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</row>
    <row r="226" spans="1:10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</row>
    <row r="227" spans="1:10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</row>
    <row r="228" spans="1:10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</row>
    <row r="229" spans="1:10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</row>
    <row r="230" spans="1:1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</row>
    <row r="231" spans="1:10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</row>
    <row r="232" spans="1:10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</row>
    <row r="233" spans="1:10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</row>
    <row r="234" spans="1:10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</row>
    <row r="235" spans="1:10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</row>
    <row r="236" spans="1:10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</row>
    <row r="237" spans="1:10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</row>
    <row r="238" spans="1:10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</row>
    <row r="239" spans="1:10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</row>
    <row r="240" spans="1:1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</row>
    <row r="241" spans="1:10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</row>
    <row r="242" spans="1:10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</row>
    <row r="243" spans="1:10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</row>
    <row r="244" spans="1:10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</row>
    <row r="245" spans="1:10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</row>
    <row r="246" spans="1:10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</row>
    <row r="247" spans="1:10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</row>
    <row r="248" spans="1:10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</row>
    <row r="249" spans="1:10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</row>
    <row r="250" spans="1:1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</row>
    <row r="251" spans="1:10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</row>
    <row r="252" spans="1:10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</row>
    <row r="253" spans="1:10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</row>
    <row r="254" spans="1:10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</row>
    <row r="255" spans="1:10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</row>
    <row r="256" spans="1:10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</row>
    <row r="257" spans="1:10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</row>
    <row r="258" spans="1:10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</row>
    <row r="259" spans="1:10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</row>
    <row r="260" spans="1:1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</row>
    <row r="261" spans="1:10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</row>
    <row r="262" spans="1:10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</row>
    <row r="263" spans="1:10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</row>
    <row r="264" spans="1:10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</row>
    <row r="265" spans="1:10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</row>
    <row r="266" spans="1:10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</row>
    <row r="267" spans="1:10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</row>
    <row r="268" spans="1:10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</row>
    <row r="269" spans="1:10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</row>
    <row r="270" spans="1:1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</row>
    <row r="271" spans="1:10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</row>
    <row r="272" spans="1:10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</row>
    <row r="273" spans="1:10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</row>
    <row r="274" spans="1:10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</row>
    <row r="275" spans="1:10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</row>
    <row r="276" spans="1:10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</row>
    <row r="277" spans="1:10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</row>
    <row r="278" spans="1:10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</row>
    <row r="279" spans="1:10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</row>
    <row r="280" spans="1:1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</row>
    <row r="281" spans="1:10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</row>
    <row r="282" spans="1:10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</row>
    <row r="283" spans="1:10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</row>
    <row r="284" spans="1:10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</row>
    <row r="285" spans="1:10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</row>
    <row r="286" spans="1:10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</row>
    <row r="287" spans="1:10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</row>
    <row r="288" spans="1:10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</row>
    <row r="289" spans="1:10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</row>
    <row r="290" spans="1:1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</row>
    <row r="291" spans="1:10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</row>
    <row r="292" spans="1:10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</row>
    <row r="293" spans="1:10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</row>
    <row r="294" spans="1:10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</row>
    <row r="295" spans="1:10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</row>
    <row r="296" spans="1:10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</row>
    <row r="297" spans="1:10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</row>
    <row r="298" spans="1:10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</row>
    <row r="299" spans="1:10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</row>
    <row r="300" spans="1:1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</row>
    <row r="301" spans="1:10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</row>
    <row r="302" spans="1:10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</row>
    <row r="303" spans="1:10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</row>
    <row r="304" spans="1:10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</row>
    <row r="305" spans="1:10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</row>
    <row r="306" spans="1:10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</row>
    <row r="307" spans="1:10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</row>
    <row r="308" spans="1:10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</row>
    <row r="309" spans="1:10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</row>
    <row r="310" spans="1: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</row>
    <row r="311" spans="1:10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</row>
    <row r="312" spans="1:10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</row>
    <row r="313" spans="1:10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</row>
    <row r="314" spans="1:10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</row>
    <row r="315" spans="1:10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</row>
    <row r="316" spans="1:10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</row>
    <row r="317" spans="1:10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</row>
    <row r="318" spans="1:10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</row>
    <row r="319" spans="1:10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</row>
    <row r="320" spans="1:1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</row>
    <row r="321" spans="1:10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</row>
    <row r="322" spans="1:10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</row>
    <row r="323" spans="1:10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</row>
    <row r="324" spans="1:10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</row>
    <row r="325" spans="1:10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</row>
    <row r="326" spans="1:10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</row>
    <row r="327" spans="1:10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</row>
    <row r="328" spans="1:10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</row>
    <row r="329" spans="1:10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</row>
    <row r="330" spans="1:1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</row>
    <row r="331" spans="1:10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</row>
    <row r="332" spans="1:10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</row>
    <row r="333" spans="1:10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</row>
    <row r="334" spans="1:10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</row>
    <row r="335" spans="1:10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</row>
    <row r="336" spans="1:10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</row>
    <row r="337" spans="1:10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</row>
    <row r="338" spans="1:10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</row>
    <row r="339" spans="1:10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</row>
    <row r="340" spans="1:1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</row>
    <row r="341" spans="1:10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</row>
    <row r="342" spans="1:10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</row>
    <row r="343" spans="1:10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</row>
    <row r="344" spans="1:10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</row>
    <row r="345" spans="1:10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</row>
    <row r="346" spans="1:10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</row>
    <row r="347" spans="1:10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</row>
    <row r="348" spans="1:10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</row>
    <row r="349" spans="1:10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</row>
    <row r="350" spans="1:1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</row>
    <row r="351" spans="1:10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</row>
    <row r="352" spans="1:10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</row>
    <row r="353" spans="1:10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</row>
    <row r="354" spans="1:10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</row>
    <row r="355" spans="1:10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</row>
    <row r="356" spans="1:10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</row>
    <row r="357" spans="1:10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</row>
    <row r="358" spans="1:10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</row>
    <row r="359" spans="1:10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</row>
    <row r="360" spans="1:1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</row>
    <row r="361" spans="1:10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</row>
    <row r="362" spans="1:10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</row>
    <row r="363" spans="1:10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</row>
    <row r="364" spans="1:10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</row>
    <row r="365" spans="1:10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</row>
    <row r="366" spans="1:10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</row>
    <row r="367" spans="1:10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</row>
    <row r="368" spans="1:10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</row>
    <row r="369" spans="1:10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</row>
    <row r="370" spans="1:1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</row>
    <row r="371" spans="1:10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</row>
    <row r="372" spans="1:10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</row>
    <row r="373" spans="1:10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</row>
    <row r="374" spans="1:10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</row>
    <row r="375" spans="1:10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</row>
    <row r="376" spans="1:10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</row>
    <row r="377" spans="1:10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</row>
    <row r="378" spans="1:10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</row>
    <row r="379" spans="1:10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</row>
    <row r="380" spans="1:1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</row>
    <row r="381" spans="1:10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</row>
    <row r="382" spans="1:10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</row>
    <row r="383" spans="1:10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</row>
    <row r="384" spans="1:10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</row>
    <row r="385" spans="1:10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</row>
    <row r="386" spans="1:10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</row>
    <row r="387" spans="1:10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</row>
    <row r="388" spans="1:10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</row>
    <row r="389" spans="1:10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</row>
    <row r="390" spans="1:1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</row>
    <row r="391" spans="1:10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</row>
    <row r="392" spans="1:10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</row>
    <row r="393" spans="1:10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</row>
    <row r="394" spans="1:10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</row>
    <row r="395" spans="1:10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</row>
    <row r="396" spans="1:10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</row>
    <row r="397" spans="1:10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</row>
    <row r="398" spans="1:10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</row>
    <row r="399" spans="1:10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</row>
    <row r="400" spans="1:1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</row>
    <row r="401" spans="1:10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</row>
    <row r="402" spans="1:10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</row>
    <row r="403" spans="1:10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</row>
    <row r="404" spans="1:10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</row>
    <row r="405" spans="1:10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</row>
    <row r="406" spans="1:10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</row>
    <row r="407" spans="1:10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</row>
    <row r="408" spans="1:10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</row>
    <row r="409" spans="1:10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</row>
    <row r="410" spans="1: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</row>
    <row r="411" spans="1:10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</row>
    <row r="412" spans="1:10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</row>
    <row r="413" spans="1:10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</row>
    <row r="414" spans="1:10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</row>
    <row r="415" spans="1:10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</row>
    <row r="416" spans="1:10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</row>
    <row r="417" spans="1:10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</row>
    <row r="418" spans="1:10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</row>
    <row r="419" spans="1:10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</row>
    <row r="420" spans="1:1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</row>
    <row r="421" spans="1:10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</row>
    <row r="422" spans="1:10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</row>
    <row r="423" spans="1:10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</row>
    <row r="424" spans="1:10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</row>
    <row r="425" spans="1:10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</row>
    <row r="426" spans="1:10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</row>
    <row r="427" spans="1:10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</row>
    <row r="428" spans="1:10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</row>
    <row r="429" spans="1:10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</row>
    <row r="430" spans="1:1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</row>
    <row r="431" spans="1:10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</row>
    <row r="432" spans="1:10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</row>
    <row r="433" spans="1:10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</row>
    <row r="434" spans="1:10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</row>
    <row r="435" spans="1:10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</row>
    <row r="436" spans="1:10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</row>
    <row r="437" spans="1:10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</row>
    <row r="438" spans="1:10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</row>
    <row r="439" spans="1:10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</row>
    <row r="440" spans="1:1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</row>
    <row r="441" spans="1:10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</row>
    <row r="442" spans="1:10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</row>
    <row r="443" spans="1:10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</row>
    <row r="444" spans="1:10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</row>
    <row r="445" spans="1:10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</row>
    <row r="446" spans="1:10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</row>
    <row r="447" spans="1:10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</row>
    <row r="448" spans="1:10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</row>
    <row r="449" spans="1:10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</row>
    <row r="450" spans="1:1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</row>
    <row r="451" spans="1:10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</row>
    <row r="452" spans="1:10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</row>
    <row r="453" spans="1:10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</row>
    <row r="454" spans="1:10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</row>
    <row r="455" spans="1:10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</row>
    <row r="456" spans="1:10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</row>
    <row r="457" spans="1:10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</row>
    <row r="458" spans="1:10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</row>
    <row r="459" spans="1:10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</row>
    <row r="460" spans="1:1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</row>
    <row r="461" spans="1:10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</row>
    <row r="462" spans="1:10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</row>
    <row r="463" spans="1:10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</row>
    <row r="464" spans="1:10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</row>
    <row r="465" spans="1:10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</row>
    <row r="466" spans="1:10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</row>
    <row r="467" spans="1:10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</row>
    <row r="468" spans="1:10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</row>
    <row r="469" spans="1:10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</row>
    <row r="470" spans="1:1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</row>
    <row r="471" spans="1:10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</row>
    <row r="472" spans="1:10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</row>
    <row r="473" spans="1:10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</row>
    <row r="474" spans="1:10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</row>
    <row r="475" spans="1:10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</row>
    <row r="476" spans="1:10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</row>
    <row r="477" spans="1:10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</row>
    <row r="478" spans="1:10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</row>
    <row r="479" spans="1:10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</row>
    <row r="480" spans="1:1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</row>
    <row r="481" spans="1:10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</row>
    <row r="482" spans="1:10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</row>
    <row r="483" spans="1:10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</row>
    <row r="484" spans="1:10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</row>
    <row r="485" spans="1:10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</row>
    <row r="486" spans="1:10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</row>
    <row r="487" spans="1:10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</row>
    <row r="488" spans="1:10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</row>
    <row r="489" spans="1:10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</row>
    <row r="490" spans="1:1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</row>
    <row r="491" spans="1:10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</row>
    <row r="492" spans="1:10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</row>
    <row r="493" spans="1:10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</row>
    <row r="494" spans="1:10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</row>
    <row r="495" spans="1:10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</row>
    <row r="496" spans="1:10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</row>
    <row r="497" spans="1:10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</row>
    <row r="498" spans="1:10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</row>
    <row r="499" spans="1:10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</row>
    <row r="500" spans="1:1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</row>
    <row r="501" spans="1:10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</row>
    <row r="502" spans="1:10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</row>
    <row r="503" spans="1:10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</row>
    <row r="504" spans="1:10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</row>
    <row r="505" spans="1:10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</row>
    <row r="506" spans="1:10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</row>
    <row r="507" spans="1:10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</row>
    <row r="508" spans="1:10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</row>
    <row r="509" spans="1:10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</row>
    <row r="510" spans="1: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</row>
    <row r="511" spans="1:10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</row>
    <row r="512" spans="1:10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</row>
    <row r="513" spans="1:10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</row>
    <row r="514" spans="1:10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</row>
    <row r="515" spans="1:10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</row>
    <row r="516" spans="1:10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</row>
    <row r="517" spans="1:10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</row>
    <row r="518" spans="1:10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</row>
    <row r="519" spans="1:10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</row>
    <row r="520" spans="1:1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</row>
    <row r="521" spans="1:10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</row>
    <row r="522" spans="1:10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</row>
    <row r="523" spans="1:10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</row>
    <row r="524" spans="1:10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</row>
    <row r="525" spans="1:10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</row>
    <row r="526" spans="1:10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</row>
    <row r="527" spans="1:10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</row>
    <row r="528" spans="1:10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</row>
    <row r="529" spans="1:10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</row>
    <row r="530" spans="1:1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</row>
    <row r="531" spans="1:10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</row>
    <row r="532" spans="1:10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</row>
    <row r="533" spans="1:10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</row>
    <row r="534" spans="1:10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</row>
    <row r="535" spans="1:10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</row>
    <row r="536" spans="1:10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</row>
    <row r="537" spans="1:10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</row>
    <row r="538" spans="1:10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</row>
    <row r="539" spans="1:10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</row>
    <row r="540" spans="1:1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</row>
    <row r="541" spans="1:10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</row>
    <row r="542" spans="1:10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</row>
    <row r="543" spans="1:10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</row>
    <row r="544" spans="1:10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</row>
    <row r="545" spans="1:10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</row>
    <row r="546" spans="1:10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</row>
    <row r="547" spans="1:10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</row>
    <row r="548" spans="1:10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</row>
    <row r="549" spans="1:10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</row>
    <row r="550" spans="1:1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</row>
    <row r="551" spans="1:10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</row>
    <row r="552" spans="1:10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</row>
    <row r="553" spans="1:10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</row>
    <row r="554" spans="1:10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</row>
    <row r="555" spans="1:10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</row>
    <row r="556" spans="1:10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</row>
    <row r="557" spans="1:10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</row>
    <row r="558" spans="1:10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</row>
    <row r="559" spans="1:10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</row>
    <row r="560" spans="1:1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</row>
    <row r="561" spans="1:10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</row>
    <row r="562" spans="1:10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</row>
    <row r="563" spans="1:10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</row>
    <row r="564" spans="1:10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</row>
    <row r="565" spans="1:10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</row>
    <row r="566" spans="1:10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</row>
    <row r="567" spans="1:10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</row>
    <row r="568" spans="1:10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</row>
    <row r="569" spans="1:10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</row>
    <row r="570" spans="1:1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</row>
    <row r="571" spans="1:10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</row>
    <row r="572" spans="1:10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</row>
    <row r="573" spans="1:10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</row>
    <row r="574" spans="1:10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</row>
    <row r="575" spans="1:10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</row>
    <row r="576" spans="1:10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</row>
    <row r="577" spans="1:10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</row>
    <row r="578" spans="1:10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</row>
    <row r="579" spans="1:10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</row>
    <row r="580" spans="1:1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</row>
    <row r="581" spans="1:10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</row>
    <row r="582" spans="1:10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</row>
    <row r="583" spans="1:10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</row>
    <row r="584" spans="1:10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</row>
    <row r="585" spans="1:10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</row>
    <row r="586" spans="1:10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</row>
    <row r="587" spans="1:10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</row>
    <row r="588" spans="1:10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</row>
    <row r="589" spans="1:10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</row>
    <row r="590" spans="1:1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</row>
    <row r="591" spans="1:10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</row>
    <row r="592" spans="1:10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</row>
    <row r="593" spans="1:10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</row>
    <row r="594" spans="1:10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</row>
    <row r="595" spans="1:10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</row>
    <row r="596" spans="1:10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</row>
    <row r="597" spans="1:10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</row>
    <row r="598" spans="1:10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</row>
    <row r="599" spans="1:10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</row>
    <row r="600" spans="1:1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</row>
    <row r="601" spans="1:10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</row>
    <row r="602" spans="1:10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</row>
    <row r="603" spans="1:10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</row>
    <row r="604" spans="1:10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</row>
    <row r="605" spans="1:10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</row>
    <row r="606" spans="1:10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</row>
    <row r="607" spans="1:10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</row>
    <row r="608" spans="1:10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</row>
    <row r="609" spans="1:10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</row>
    <row r="610" spans="1: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</row>
    <row r="611" spans="1:10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</row>
    <row r="612" spans="1:10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</row>
    <row r="613" spans="1:10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</row>
    <row r="614" spans="1:10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</row>
    <row r="615" spans="1:10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</row>
    <row r="616" spans="1:10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</row>
    <row r="617" spans="1:10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</row>
    <row r="618" spans="1:10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</row>
    <row r="619" spans="1:10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</row>
    <row r="620" spans="1:1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</row>
    <row r="621" spans="1:10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</row>
    <row r="622" spans="1:10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</row>
    <row r="623" spans="1:10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</row>
    <row r="624" spans="1:10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</row>
    <row r="625" spans="1:10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</row>
    <row r="626" spans="1:10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</row>
    <row r="627" spans="1:10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</row>
    <row r="628" spans="1:10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</row>
    <row r="629" spans="1:10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</row>
    <row r="630" spans="1:1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</row>
    <row r="631" spans="1:10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</row>
    <row r="632" spans="1:10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</row>
    <row r="633" spans="1:10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</row>
    <row r="634" spans="1:10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</row>
    <row r="635" spans="1:10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</row>
    <row r="636" spans="1:10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</row>
    <row r="637" spans="1:10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</row>
    <row r="638" spans="1:10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</row>
    <row r="639" spans="1:10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</row>
    <row r="640" spans="1:1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</row>
    <row r="641" spans="1:10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</row>
    <row r="642" spans="1:10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</row>
    <row r="643" spans="1:10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</row>
    <row r="644" spans="1:10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</row>
    <row r="645" spans="1:10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</row>
    <row r="646" spans="1:10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</row>
    <row r="647" spans="1:10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</row>
    <row r="648" spans="1:10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</row>
    <row r="649" spans="1:10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</row>
    <row r="650" spans="1:1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</row>
    <row r="651" spans="1:10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</row>
    <row r="652" spans="1:10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</row>
    <row r="653" spans="1:10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</row>
    <row r="654" spans="1:10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</row>
    <row r="655" spans="1:10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</row>
    <row r="656" spans="1:10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</row>
    <row r="657" spans="1:10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</row>
    <row r="658" spans="1:10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</row>
    <row r="659" spans="1:10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</row>
    <row r="660" spans="1:1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</row>
    <row r="661" spans="1:10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</row>
    <row r="662" spans="1:10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</row>
    <row r="663" spans="1:10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</row>
    <row r="664" spans="1:10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</row>
    <row r="665" spans="1:10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</row>
    <row r="666" spans="1:10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</row>
    <row r="667" spans="1:10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</row>
    <row r="668" spans="1:10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</row>
    <row r="669" spans="1:10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</row>
    <row r="670" spans="1:1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</row>
    <row r="671" spans="1:10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</row>
    <row r="672" spans="1:10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</row>
    <row r="673" spans="1:10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</row>
    <row r="674" spans="1:10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</row>
    <row r="675" spans="1:10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</row>
    <row r="676" spans="1:10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</row>
    <row r="677" spans="1:10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</row>
    <row r="678" spans="1:10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</row>
    <row r="679" spans="1:10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</row>
    <row r="680" spans="1:1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</row>
    <row r="681" spans="1:10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</row>
    <row r="682" spans="1:10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</row>
    <row r="683" spans="1:10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</row>
    <row r="684" spans="1:10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</row>
    <row r="685" spans="1:10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</row>
    <row r="686" spans="1:10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</row>
    <row r="687" spans="1:10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</row>
    <row r="688" spans="1:10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</row>
    <row r="689" spans="1:10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</row>
    <row r="690" spans="1:1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</row>
    <row r="691" spans="1:10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</row>
    <row r="692" spans="1:10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</row>
    <row r="693" spans="1:10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</row>
    <row r="694" spans="1:10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</row>
    <row r="695" spans="1:10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</row>
    <row r="696" spans="1:10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</row>
    <row r="697" spans="1:10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</row>
    <row r="698" spans="1:10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</row>
    <row r="699" spans="1:10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</row>
    <row r="700" spans="1:1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</row>
    <row r="701" spans="1:10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</row>
    <row r="702" spans="1:10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</row>
    <row r="703" spans="1:10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</row>
    <row r="704" spans="1:10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</row>
    <row r="705" spans="1:10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</row>
    <row r="706" spans="1:10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</row>
    <row r="707" spans="1:10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</row>
    <row r="708" spans="1:10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</row>
    <row r="709" spans="1:10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</row>
    <row r="710" spans="1: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</row>
    <row r="711" spans="1:10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</row>
    <row r="712" spans="1:10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</row>
    <row r="713" spans="1:10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</row>
    <row r="714" spans="1:10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</row>
    <row r="715" spans="1:10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</row>
    <row r="716" spans="1:10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</row>
    <row r="717" spans="1:10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</row>
    <row r="718" spans="1:10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</row>
    <row r="719" spans="1:10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</row>
    <row r="720" spans="1:1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</row>
    <row r="721" spans="1:10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</row>
    <row r="722" spans="1:10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</row>
    <row r="723" spans="1:10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</row>
    <row r="724" spans="1:10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</row>
    <row r="725" spans="1:10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</row>
    <row r="726" spans="1:10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</row>
    <row r="727" spans="1:10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</row>
    <row r="728" spans="1:10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</row>
    <row r="729" spans="1:10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</row>
    <row r="730" spans="1:1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</row>
    <row r="731" spans="1:10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</row>
    <row r="732" spans="1:10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</row>
    <row r="733" spans="1:10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</row>
    <row r="734" spans="1:10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</row>
    <row r="735" spans="1:10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</row>
    <row r="736" spans="1:10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</row>
    <row r="737" spans="1:10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</row>
    <row r="738" spans="1:10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</row>
    <row r="739" spans="1:10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</row>
    <row r="740" spans="1:1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</row>
    <row r="741" spans="1:10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</row>
    <row r="742" spans="1:10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</row>
    <row r="743" spans="1:10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</row>
    <row r="744" spans="1:10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</row>
    <row r="745" spans="1:10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</row>
    <row r="746" spans="1:10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</row>
    <row r="747" spans="1:10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</row>
    <row r="748" spans="1:10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</row>
    <row r="749" spans="1:10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</row>
    <row r="750" spans="1:1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</row>
    <row r="751" spans="1:10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</row>
    <row r="752" spans="1:10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</row>
    <row r="753" spans="1:10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</row>
    <row r="754" spans="1:10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</row>
    <row r="755" spans="1:10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</row>
    <row r="756" spans="1:10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</row>
    <row r="757" spans="1:10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</row>
    <row r="758" spans="1:10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</row>
    <row r="759" spans="1:10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</row>
    <row r="760" spans="1:1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</row>
    <row r="761" spans="1:10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</row>
    <row r="762" spans="1:10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</row>
    <row r="763" spans="1:10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</row>
    <row r="764" spans="1:10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</row>
    <row r="765" spans="1:10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</row>
    <row r="766" spans="1:10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</row>
    <row r="767" spans="1:10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</row>
    <row r="768" spans="1:10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</row>
    <row r="769" spans="1:10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</row>
    <row r="770" spans="1:1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</row>
    <row r="771" spans="1:10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</row>
    <row r="772" spans="1:10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</row>
    <row r="773" spans="1:10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</row>
    <row r="774" spans="1:10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</row>
    <row r="775" spans="1:10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</row>
    <row r="776" spans="1:10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</row>
    <row r="777" spans="1:10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</row>
    <row r="778" spans="1:10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</row>
    <row r="779" spans="1:10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</row>
    <row r="780" spans="1:1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</row>
    <row r="781" spans="1:10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</row>
    <row r="782" spans="1:10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</row>
    <row r="783" spans="1:10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</row>
    <row r="784" spans="1:10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</row>
    <row r="785" spans="1:10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</row>
    <row r="786" spans="1:10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</row>
    <row r="787" spans="1:10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</row>
    <row r="788" spans="1:10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</row>
    <row r="789" spans="1:10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</row>
    <row r="790" spans="1:1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</row>
    <row r="791" spans="1:10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</row>
    <row r="792" spans="1:10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</row>
    <row r="793" spans="1:10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</row>
    <row r="794" spans="1:10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</row>
    <row r="795" spans="1:10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</row>
    <row r="796" spans="1:10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</row>
    <row r="797" spans="1:10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</row>
    <row r="798" spans="1:10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</row>
    <row r="799" spans="1:10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</row>
    <row r="800" spans="1:1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</row>
    <row r="801" spans="1:10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</row>
    <row r="802" spans="1:10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</row>
    <row r="803" spans="1:10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</row>
    <row r="804" spans="1:10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</row>
    <row r="805" spans="1:10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</row>
    <row r="806" spans="1:10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</row>
    <row r="807" spans="1:10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</row>
    <row r="808" spans="1:10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</row>
    <row r="809" spans="1:10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</row>
    <row r="810" spans="1: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</row>
    <row r="811" spans="1:10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</row>
    <row r="812" spans="1:10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</row>
    <row r="813" spans="1:10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</row>
    <row r="814" spans="1:10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</row>
    <row r="815" spans="1:10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</row>
    <row r="816" spans="1:10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</row>
    <row r="817" spans="1:10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</row>
    <row r="818" spans="1:10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</row>
    <row r="819" spans="1:10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</row>
    <row r="820" spans="1:1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</row>
    <row r="821" spans="1:10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</row>
    <row r="822" spans="1:10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</row>
    <row r="823" spans="1:10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</row>
    <row r="824" spans="1:10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</row>
    <row r="825" spans="1:10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</row>
    <row r="826" spans="1:10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</row>
    <row r="827" spans="1:10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</row>
    <row r="828" spans="1:10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</row>
    <row r="829" spans="1:10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</row>
    <row r="830" spans="1:1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</row>
    <row r="831" spans="1:10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</row>
    <row r="832" spans="1:10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</row>
    <row r="833" spans="1:10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</row>
    <row r="834" spans="1:10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</row>
    <row r="835" spans="1:10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</row>
    <row r="836" spans="1:10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</row>
    <row r="837" spans="1:10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</row>
    <row r="838" spans="1:10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</row>
    <row r="839" spans="1:10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</row>
    <row r="840" spans="1:1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</row>
    <row r="841" spans="1:10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</row>
    <row r="842" spans="1:10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</row>
    <row r="843" spans="1:10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</row>
    <row r="844" spans="1:10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</row>
    <row r="845" spans="1:10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</row>
    <row r="846" spans="1:10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</row>
    <row r="847" spans="1:10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</row>
    <row r="848" spans="1:10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</row>
    <row r="849" spans="1:10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</row>
    <row r="850" spans="1:1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</row>
    <row r="851" spans="1:10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</row>
    <row r="852" spans="1:10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</row>
    <row r="853" spans="1:10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</row>
    <row r="854" spans="1:10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</row>
    <row r="855" spans="1:10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</row>
    <row r="856" spans="1:10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</row>
    <row r="857" spans="1:10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</row>
    <row r="858" spans="1:10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</row>
    <row r="859" spans="1:10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</row>
    <row r="860" spans="1:1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</row>
    <row r="861" spans="1:10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</row>
    <row r="862" spans="1:10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</row>
    <row r="863" spans="1:10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</row>
    <row r="864" spans="1:10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</row>
    <row r="865" spans="1:10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</row>
    <row r="866" spans="1:10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</row>
    <row r="867" spans="1:10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</row>
    <row r="868" spans="1:10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</row>
    <row r="869" spans="1:10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</row>
    <row r="870" spans="1:1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</row>
    <row r="871" spans="1:10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</row>
    <row r="872" spans="1:10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</row>
    <row r="873" spans="1:10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</row>
    <row r="874" spans="1:10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</row>
    <row r="875" spans="1:10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</row>
    <row r="876" spans="1:10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</row>
    <row r="877" spans="1:10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</row>
    <row r="878" spans="1:10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</row>
    <row r="879" spans="1:10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</row>
    <row r="880" spans="1:1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</row>
    <row r="881" spans="1:10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</row>
    <row r="882" spans="1:10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</row>
    <row r="883" spans="1:10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</row>
    <row r="884" spans="1:10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</row>
    <row r="885" spans="1:10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</row>
    <row r="886" spans="1:10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</row>
    <row r="887" spans="1:10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</row>
    <row r="888" spans="1:10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</row>
    <row r="889" spans="1:10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</row>
    <row r="890" spans="1:1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</row>
    <row r="891" spans="1:10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</row>
    <row r="892" spans="1:10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</row>
    <row r="893" spans="1:10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</row>
    <row r="894" spans="1:10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</row>
    <row r="895" spans="1:10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</row>
    <row r="896" spans="1:10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</row>
    <row r="897" spans="1:10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</row>
    <row r="898" spans="1:10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</row>
    <row r="899" spans="1:10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</row>
    <row r="900" spans="1:1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</row>
    <row r="901" spans="1:10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</row>
    <row r="902" spans="1:10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</row>
    <row r="903" spans="1:10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</row>
    <row r="904" spans="1:10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</row>
    <row r="905" spans="1:10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</row>
    <row r="906" spans="1:10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</row>
    <row r="907" spans="1:10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</row>
    <row r="908" spans="1:10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</row>
    <row r="909" spans="1:10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</row>
    <row r="910" spans="1: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</row>
    <row r="911" spans="1:10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</row>
    <row r="912" spans="1:10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</row>
    <row r="913" spans="1:10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</row>
    <row r="914" spans="1:10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</row>
    <row r="915" spans="1:10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</row>
    <row r="916" spans="1:10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</row>
    <row r="917" spans="1:10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</row>
    <row r="918" spans="1:10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</row>
    <row r="919" spans="1:10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</row>
    <row r="920" spans="1:1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</row>
    <row r="921" spans="1:10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</row>
    <row r="922" spans="1:10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</row>
    <row r="923" spans="1:10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</row>
    <row r="924" spans="1:10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</row>
    <row r="925" spans="1:10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</row>
    <row r="926" spans="1:10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</row>
    <row r="927" spans="1:10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</row>
    <row r="928" spans="1:10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</row>
    <row r="929" spans="1:10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</row>
    <row r="930" spans="1:1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</row>
    <row r="931" spans="1:10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</row>
    <row r="932" spans="1:10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</row>
    <row r="933" spans="1:10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</row>
    <row r="934" spans="1:10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</row>
    <row r="935" spans="1:10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</row>
    <row r="936" spans="1:10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</row>
    <row r="937" spans="1:10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</row>
    <row r="938" spans="1:10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</row>
    <row r="939" spans="1:10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</row>
    <row r="940" spans="1:1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</row>
    <row r="941" spans="1:10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</row>
    <row r="942" spans="1:10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</row>
    <row r="943" spans="1:10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</row>
    <row r="944" spans="1:10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</row>
    <row r="945" spans="1:10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</row>
    <row r="946" spans="1:10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</row>
    <row r="947" spans="1:10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</row>
    <row r="948" spans="1:10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</row>
    <row r="949" spans="1:10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</row>
    <row r="950" spans="1:1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</row>
    <row r="951" spans="1:10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</row>
    <row r="952" spans="1:10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</row>
    <row r="953" spans="1:10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</row>
    <row r="954" spans="1:10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</row>
    <row r="955" spans="1:10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</row>
    <row r="956" spans="1:10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</row>
    <row r="957" spans="1:10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</row>
    <row r="958" spans="1:10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</row>
    <row r="959" spans="1:10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</row>
    <row r="960" spans="1:1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</row>
    <row r="961" spans="1:10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</row>
    <row r="962" spans="1:10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</row>
    <row r="963" spans="1:10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</row>
    <row r="964" spans="1:10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</row>
    <row r="965" spans="1:10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</row>
    <row r="966" spans="1:10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</row>
    <row r="967" spans="1:10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</row>
    <row r="968" spans="1:10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</row>
    <row r="969" spans="1:10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</row>
    <row r="970" spans="1:1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</row>
    <row r="971" spans="1:10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</row>
    <row r="972" spans="1:10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</row>
    <row r="973" spans="1:10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</row>
    <row r="974" spans="1:10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</row>
    <row r="975" spans="1:10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</row>
    <row r="976" spans="1:10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</row>
    <row r="977" spans="1:10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</row>
    <row r="978" spans="1:10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</row>
    <row r="979" spans="1:10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</row>
    <row r="980" spans="1:1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</row>
    <row r="981" spans="1:10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</row>
    <row r="982" spans="1:10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</row>
    <row r="983" spans="1:10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</row>
    <row r="984" spans="1:10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</row>
    <row r="985" spans="1:10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</row>
    <row r="986" spans="1:10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</row>
    <row r="987" spans="1:10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</row>
    <row r="988" spans="1:10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</row>
    <row r="989" spans="1:10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</row>
    <row r="990" spans="1:1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</row>
    <row r="991" spans="1:10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</row>
    <row r="992" spans="1:10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</row>
    <row r="993" spans="1:10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</row>
    <row r="994" spans="1:10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</row>
    <row r="995" spans="1:10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</row>
    <row r="996" spans="1:10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</row>
    <row r="997" spans="1:10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</row>
    <row r="998" spans="1:10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</row>
    <row r="999" spans="1:10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</row>
    <row r="1000" spans="1:1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</row>
    <row r="1001" spans="1:10">
      <c r="A1001" s="193"/>
      <c r="B1001" s="193"/>
      <c r="C1001" s="193"/>
      <c r="D1001" s="193"/>
      <c r="E1001" s="193"/>
      <c r="F1001" s="193"/>
      <c r="G1001" s="193"/>
      <c r="H1001" s="193"/>
      <c r="I1001" s="193"/>
      <c r="J1001" s="193"/>
    </row>
    <row r="1002" spans="1:10">
      <c r="A1002" s="193"/>
      <c r="B1002" s="193"/>
      <c r="C1002" s="193"/>
      <c r="D1002" s="193"/>
      <c r="E1002" s="193"/>
      <c r="F1002" s="193"/>
      <c r="G1002" s="193"/>
      <c r="H1002" s="193"/>
      <c r="I1002" s="193"/>
      <c r="J1002" s="193"/>
    </row>
    <row r="1003" spans="1:10">
      <c r="A1003" s="193"/>
      <c r="B1003" s="193"/>
      <c r="C1003" s="193"/>
      <c r="D1003" s="193"/>
      <c r="E1003" s="193"/>
      <c r="F1003" s="193"/>
      <c r="G1003" s="193"/>
      <c r="H1003" s="193"/>
      <c r="I1003" s="193"/>
      <c r="J1003" s="193"/>
    </row>
    <row r="1004" spans="1:10">
      <c r="A1004" s="193"/>
      <c r="B1004" s="193"/>
      <c r="C1004" s="193"/>
      <c r="D1004" s="193"/>
      <c r="E1004" s="193"/>
      <c r="F1004" s="193"/>
      <c r="G1004" s="193"/>
      <c r="H1004" s="193"/>
      <c r="I1004" s="193"/>
      <c r="J1004" s="193"/>
    </row>
    <row r="1005" spans="1:10">
      <c r="A1005" s="193"/>
      <c r="B1005" s="193"/>
      <c r="C1005" s="193"/>
      <c r="D1005" s="193"/>
      <c r="E1005" s="193"/>
      <c r="F1005" s="193"/>
      <c r="G1005" s="193"/>
      <c r="H1005" s="193"/>
      <c r="I1005" s="193"/>
      <c r="J1005" s="193"/>
    </row>
    <row r="1006" spans="1:10">
      <c r="A1006" s="193"/>
      <c r="B1006" s="193"/>
      <c r="C1006" s="193"/>
      <c r="D1006" s="193"/>
      <c r="E1006" s="193"/>
      <c r="F1006" s="193"/>
      <c r="G1006" s="193"/>
      <c r="H1006" s="193"/>
      <c r="I1006" s="193"/>
      <c r="J1006" s="193"/>
    </row>
    <row r="1007" spans="1:10">
      <c r="A1007" s="193"/>
      <c r="B1007" s="193"/>
      <c r="C1007" s="193"/>
      <c r="D1007" s="193"/>
      <c r="E1007" s="193"/>
      <c r="F1007" s="193"/>
      <c r="G1007" s="193"/>
      <c r="H1007" s="193"/>
      <c r="I1007" s="193"/>
      <c r="J1007" s="193"/>
    </row>
    <row r="1008" spans="1:10">
      <c r="A1008" s="193"/>
      <c r="B1008" s="193"/>
      <c r="C1008" s="193"/>
      <c r="D1008" s="193"/>
      <c r="E1008" s="193"/>
      <c r="F1008" s="193"/>
      <c r="G1008" s="193"/>
      <c r="H1008" s="193"/>
      <c r="I1008" s="193"/>
      <c r="J1008" s="193"/>
    </row>
    <row r="1009" spans="1:10">
      <c r="A1009" s="193"/>
      <c r="B1009" s="193"/>
      <c r="C1009" s="193"/>
      <c r="D1009" s="193"/>
      <c r="E1009" s="193"/>
      <c r="F1009" s="193"/>
      <c r="G1009" s="193"/>
      <c r="H1009" s="193"/>
      <c r="I1009" s="193"/>
      <c r="J1009" s="193"/>
    </row>
    <row r="1010" spans="1:10">
      <c r="A1010" s="193"/>
      <c r="B1010" s="193"/>
      <c r="C1010" s="193"/>
      <c r="D1010" s="193"/>
      <c r="E1010" s="193"/>
      <c r="F1010" s="193"/>
      <c r="G1010" s="193"/>
      <c r="H1010" s="193"/>
      <c r="I1010" s="193"/>
      <c r="J1010" s="193"/>
    </row>
    <row r="1011" spans="1:10">
      <c r="A1011" s="193"/>
      <c r="B1011" s="193"/>
      <c r="C1011" s="193"/>
      <c r="D1011" s="193"/>
      <c r="E1011" s="193"/>
      <c r="F1011" s="193"/>
      <c r="G1011" s="193"/>
      <c r="H1011" s="193"/>
      <c r="I1011" s="193"/>
      <c r="J1011" s="193"/>
    </row>
    <row r="1012" spans="1:10">
      <c r="A1012" s="193"/>
      <c r="B1012" s="193"/>
      <c r="C1012" s="193"/>
      <c r="D1012" s="193"/>
      <c r="E1012" s="193"/>
      <c r="F1012" s="193"/>
      <c r="G1012" s="193"/>
      <c r="H1012" s="193"/>
      <c r="I1012" s="193"/>
      <c r="J1012" s="193"/>
    </row>
    <row r="1013" spans="1:10">
      <c r="A1013" s="193"/>
      <c r="B1013" s="193"/>
      <c r="C1013" s="193"/>
      <c r="D1013" s="193"/>
      <c r="E1013" s="193"/>
      <c r="F1013" s="193"/>
      <c r="G1013" s="193"/>
      <c r="H1013" s="193"/>
      <c r="I1013" s="193"/>
      <c r="J1013" s="193"/>
    </row>
    <row r="1014" spans="1:10">
      <c r="A1014" s="193"/>
      <c r="B1014" s="193"/>
      <c r="C1014" s="193"/>
      <c r="D1014" s="193"/>
      <c r="E1014" s="193"/>
      <c r="F1014" s="193"/>
      <c r="G1014" s="193"/>
      <c r="H1014" s="193"/>
      <c r="I1014" s="193"/>
      <c r="J1014" s="193"/>
    </row>
    <row r="1015" spans="1:10">
      <c r="A1015" s="193"/>
      <c r="B1015" s="193"/>
      <c r="C1015" s="193"/>
      <c r="D1015" s="193"/>
      <c r="E1015" s="193"/>
      <c r="F1015" s="193"/>
      <c r="G1015" s="193"/>
      <c r="H1015" s="193"/>
      <c r="I1015" s="193"/>
      <c r="J1015" s="193"/>
    </row>
    <row r="1016" spans="1:10">
      <c r="A1016" s="193"/>
      <c r="B1016" s="193"/>
      <c r="C1016" s="193"/>
      <c r="D1016" s="193"/>
      <c r="E1016" s="193"/>
      <c r="F1016" s="193"/>
      <c r="G1016" s="193"/>
      <c r="H1016" s="193"/>
      <c r="I1016" s="193"/>
      <c r="J1016" s="193"/>
    </row>
    <row r="1017" spans="1:10">
      <c r="A1017" s="193"/>
      <c r="B1017" s="193"/>
      <c r="C1017" s="193"/>
      <c r="D1017" s="193"/>
      <c r="E1017" s="193"/>
      <c r="F1017" s="193"/>
      <c r="G1017" s="193"/>
      <c r="H1017" s="193"/>
      <c r="I1017" s="193"/>
      <c r="J1017" s="193"/>
    </row>
    <row r="1018" spans="1:10">
      <c r="A1018" s="193"/>
      <c r="B1018" s="193"/>
      <c r="C1018" s="193"/>
      <c r="D1018" s="193"/>
      <c r="E1018" s="193"/>
      <c r="F1018" s="193"/>
      <c r="G1018" s="193"/>
      <c r="H1018" s="193"/>
      <c r="I1018" s="193"/>
      <c r="J1018" s="193"/>
    </row>
    <row r="1019" spans="1:10">
      <c r="A1019" s="193"/>
      <c r="B1019" s="193"/>
      <c r="C1019" s="193"/>
      <c r="D1019" s="193"/>
      <c r="E1019" s="193"/>
      <c r="F1019" s="193"/>
      <c r="G1019" s="193"/>
      <c r="H1019" s="193"/>
      <c r="I1019" s="193"/>
      <c r="J1019" s="193"/>
    </row>
    <row r="1020" spans="1:10">
      <c r="A1020" s="193"/>
      <c r="B1020" s="193"/>
      <c r="C1020" s="193"/>
      <c r="D1020" s="193"/>
      <c r="E1020" s="193"/>
      <c r="F1020" s="193"/>
      <c r="G1020" s="193"/>
      <c r="H1020" s="193"/>
      <c r="I1020" s="193"/>
      <c r="J1020" s="193"/>
    </row>
    <row r="1021" spans="1:10">
      <c r="A1021" s="193"/>
      <c r="B1021" s="193"/>
      <c r="C1021" s="193"/>
      <c r="D1021" s="193"/>
      <c r="E1021" s="193"/>
      <c r="F1021" s="193"/>
      <c r="G1021" s="193"/>
      <c r="H1021" s="193"/>
      <c r="I1021" s="193"/>
      <c r="J1021" s="193"/>
    </row>
    <row r="1022" spans="1:10">
      <c r="A1022" s="193"/>
      <c r="B1022" s="193"/>
      <c r="C1022" s="193"/>
      <c r="D1022" s="193"/>
      <c r="E1022" s="193"/>
      <c r="F1022" s="193"/>
      <c r="G1022" s="193"/>
      <c r="H1022" s="193"/>
      <c r="I1022" s="193"/>
      <c r="J1022" s="193"/>
    </row>
    <row r="1023" spans="1:10">
      <c r="A1023" s="193"/>
      <c r="B1023" s="193"/>
      <c r="C1023" s="193"/>
      <c r="D1023" s="193"/>
      <c r="E1023" s="193"/>
      <c r="F1023" s="193"/>
      <c r="G1023" s="193"/>
      <c r="H1023" s="193"/>
      <c r="I1023" s="193"/>
      <c r="J1023" s="193"/>
    </row>
    <row r="1024" spans="1:10">
      <c r="A1024" s="193"/>
      <c r="B1024" s="193"/>
      <c r="C1024" s="193"/>
      <c r="D1024" s="193"/>
      <c r="E1024" s="193"/>
      <c r="F1024" s="193"/>
      <c r="G1024" s="193"/>
      <c r="H1024" s="193"/>
      <c r="I1024" s="193"/>
      <c r="J1024" s="193"/>
    </row>
    <row r="1025" spans="1:10">
      <c r="A1025" s="193"/>
      <c r="B1025" s="193"/>
      <c r="C1025" s="193"/>
      <c r="D1025" s="193"/>
      <c r="E1025" s="193"/>
      <c r="F1025" s="193"/>
      <c r="G1025" s="193"/>
      <c r="H1025" s="193"/>
      <c r="I1025" s="193"/>
      <c r="J1025" s="193"/>
    </row>
    <row r="1026" spans="1:10">
      <c r="A1026" s="193"/>
      <c r="B1026" s="193"/>
      <c r="C1026" s="193"/>
      <c r="D1026" s="193"/>
      <c r="E1026" s="193"/>
      <c r="F1026" s="193"/>
      <c r="G1026" s="193"/>
      <c r="H1026" s="193"/>
      <c r="I1026" s="193"/>
      <c r="J1026" s="193"/>
    </row>
    <row r="1027" spans="1:10">
      <c r="A1027" s="193"/>
      <c r="B1027" s="193"/>
      <c r="C1027" s="193"/>
      <c r="D1027" s="193"/>
      <c r="E1027" s="193"/>
      <c r="F1027" s="193"/>
      <c r="G1027" s="193"/>
      <c r="H1027" s="193"/>
      <c r="I1027" s="193"/>
      <c r="J1027" s="193"/>
    </row>
    <row r="1028" spans="1:10">
      <c r="A1028" s="193"/>
      <c r="B1028" s="193"/>
      <c r="C1028" s="193"/>
      <c r="D1028" s="193"/>
      <c r="E1028" s="193"/>
      <c r="F1028" s="193"/>
      <c r="G1028" s="193"/>
      <c r="H1028" s="193"/>
      <c r="I1028" s="193"/>
      <c r="J1028" s="193"/>
    </row>
    <row r="1029" spans="1:10">
      <c r="A1029" s="193"/>
      <c r="B1029" s="193"/>
      <c r="C1029" s="193"/>
      <c r="D1029" s="193"/>
      <c r="E1029" s="193"/>
      <c r="F1029" s="193"/>
      <c r="G1029" s="193"/>
      <c r="H1029" s="193"/>
      <c r="I1029" s="193"/>
      <c r="J1029" s="193"/>
    </row>
    <row r="1030" spans="1:10">
      <c r="A1030" s="193"/>
      <c r="B1030" s="193"/>
      <c r="C1030" s="193"/>
      <c r="D1030" s="193"/>
      <c r="E1030" s="193"/>
      <c r="F1030" s="193"/>
      <c r="G1030" s="193"/>
      <c r="H1030" s="193"/>
      <c r="I1030" s="193"/>
      <c r="J1030" s="193"/>
    </row>
    <row r="1031" spans="1:10">
      <c r="A1031" s="193"/>
      <c r="B1031" s="193"/>
      <c r="C1031" s="193"/>
      <c r="D1031" s="193"/>
      <c r="E1031" s="193"/>
      <c r="F1031" s="193"/>
      <c r="G1031" s="193"/>
      <c r="H1031" s="193"/>
      <c r="I1031" s="193"/>
      <c r="J1031" s="193"/>
    </row>
    <row r="1032" spans="1:10">
      <c r="A1032" s="193"/>
      <c r="B1032" s="193"/>
      <c r="C1032" s="193"/>
      <c r="D1032" s="193"/>
      <c r="E1032" s="193"/>
      <c r="F1032" s="193"/>
      <c r="G1032" s="193"/>
      <c r="H1032" s="193"/>
      <c r="I1032" s="193"/>
      <c r="J1032" s="193"/>
    </row>
    <row r="1033" spans="1:10">
      <c r="A1033" s="193"/>
      <c r="B1033" s="193"/>
      <c r="C1033" s="193"/>
      <c r="D1033" s="193"/>
      <c r="E1033" s="193"/>
      <c r="F1033" s="193"/>
      <c r="G1033" s="193"/>
      <c r="H1033" s="193"/>
      <c r="I1033" s="193"/>
      <c r="J1033" s="193"/>
    </row>
    <row r="1034" spans="1:10">
      <c r="A1034" s="193"/>
      <c r="B1034" s="193"/>
      <c r="C1034" s="193"/>
      <c r="D1034" s="193"/>
      <c r="E1034" s="193"/>
      <c r="F1034" s="193"/>
      <c r="G1034" s="193"/>
      <c r="H1034" s="193"/>
      <c r="I1034" s="193"/>
      <c r="J1034" s="193"/>
    </row>
    <row r="1035" spans="1:10">
      <c r="A1035" s="193"/>
      <c r="B1035" s="193"/>
      <c r="C1035" s="193"/>
      <c r="D1035" s="193"/>
      <c r="E1035" s="193"/>
      <c r="F1035" s="193"/>
      <c r="G1035" s="193"/>
      <c r="H1035" s="193"/>
      <c r="I1035" s="193"/>
      <c r="J1035" s="193"/>
    </row>
    <row r="1036" spans="1:10">
      <c r="A1036" s="193"/>
      <c r="B1036" s="193"/>
      <c r="C1036" s="193"/>
      <c r="D1036" s="193"/>
      <c r="E1036" s="193"/>
      <c r="F1036" s="193"/>
      <c r="G1036" s="193"/>
      <c r="H1036" s="193"/>
      <c r="I1036" s="193"/>
      <c r="J1036" s="193"/>
    </row>
    <row r="1037" spans="1:10">
      <c r="A1037" s="193"/>
      <c r="B1037" s="193"/>
      <c r="C1037" s="193"/>
      <c r="D1037" s="193"/>
      <c r="E1037" s="193"/>
      <c r="F1037" s="193"/>
      <c r="G1037" s="193"/>
      <c r="H1037" s="193"/>
      <c r="I1037" s="193"/>
      <c r="J1037" s="193"/>
    </row>
    <row r="1038" spans="1:10">
      <c r="A1038" s="193"/>
      <c r="B1038" s="193"/>
      <c r="C1038" s="193"/>
      <c r="D1038" s="193"/>
      <c r="E1038" s="193"/>
      <c r="F1038" s="193"/>
      <c r="G1038" s="193"/>
      <c r="H1038" s="193"/>
      <c r="I1038" s="193"/>
      <c r="J1038" s="193"/>
    </row>
    <row r="1039" spans="1:10">
      <c r="A1039" s="193"/>
      <c r="B1039" s="193"/>
      <c r="C1039" s="193"/>
      <c r="D1039" s="193"/>
      <c r="E1039" s="193"/>
      <c r="F1039" s="193"/>
      <c r="G1039" s="193"/>
      <c r="H1039" s="193"/>
      <c r="I1039" s="193"/>
      <c r="J1039" s="193"/>
    </row>
    <row r="1040" spans="1:10">
      <c r="A1040" s="193"/>
      <c r="B1040" s="193"/>
      <c r="C1040" s="193"/>
      <c r="D1040" s="193"/>
      <c r="E1040" s="193"/>
      <c r="F1040" s="193"/>
      <c r="G1040" s="193"/>
      <c r="H1040" s="193"/>
      <c r="I1040" s="193"/>
      <c r="J1040" s="193"/>
    </row>
    <row r="1041" spans="1:10">
      <c r="A1041" s="193"/>
      <c r="B1041" s="193"/>
      <c r="C1041" s="193"/>
      <c r="D1041" s="193"/>
      <c r="E1041" s="193"/>
      <c r="F1041" s="193"/>
      <c r="G1041" s="193"/>
      <c r="H1041" s="193"/>
      <c r="I1041" s="193"/>
      <c r="J1041" s="193"/>
    </row>
    <row r="1042" spans="1:10">
      <c r="A1042" s="193"/>
      <c r="B1042" s="193"/>
      <c r="C1042" s="193"/>
      <c r="D1042" s="193"/>
      <c r="E1042" s="193"/>
      <c r="F1042" s="193"/>
      <c r="G1042" s="193"/>
      <c r="H1042" s="193"/>
      <c r="I1042" s="193"/>
      <c r="J1042" s="193"/>
    </row>
    <row r="1043" spans="1:10">
      <c r="A1043" s="193"/>
      <c r="B1043" s="193"/>
      <c r="C1043" s="193"/>
      <c r="D1043" s="193"/>
      <c r="E1043" s="193"/>
      <c r="F1043" s="193"/>
      <c r="G1043" s="193"/>
      <c r="H1043" s="193"/>
      <c r="I1043" s="193"/>
      <c r="J1043" s="193"/>
    </row>
    <row r="1044" spans="1:10">
      <c r="A1044" s="193"/>
      <c r="B1044" s="193"/>
      <c r="C1044" s="193"/>
      <c r="D1044" s="193"/>
      <c r="E1044" s="193"/>
      <c r="F1044" s="193"/>
      <c r="G1044" s="193"/>
      <c r="H1044" s="193"/>
      <c r="I1044" s="193"/>
      <c r="J1044" s="193"/>
    </row>
    <row r="1045" spans="1:10">
      <c r="A1045" s="193"/>
      <c r="B1045" s="193"/>
      <c r="C1045" s="193"/>
      <c r="D1045" s="193"/>
      <c r="E1045" s="193"/>
      <c r="F1045" s="193"/>
      <c r="G1045" s="193"/>
      <c r="H1045" s="193"/>
      <c r="I1045" s="193"/>
      <c r="J1045" s="193"/>
    </row>
    <row r="1046" spans="1:10">
      <c r="A1046" s="193"/>
      <c r="B1046" s="193"/>
      <c r="C1046" s="193"/>
      <c r="D1046" s="193"/>
      <c r="E1046" s="193"/>
      <c r="F1046" s="193"/>
      <c r="G1046" s="193"/>
      <c r="H1046" s="193"/>
      <c r="I1046" s="193"/>
      <c r="J1046" s="193"/>
    </row>
    <row r="1047" spans="1:10">
      <c r="A1047" s="193"/>
      <c r="B1047" s="193"/>
      <c r="C1047" s="193"/>
      <c r="D1047" s="193"/>
      <c r="E1047" s="193"/>
      <c r="F1047" s="193"/>
      <c r="G1047" s="193"/>
      <c r="H1047" s="193"/>
      <c r="I1047" s="193"/>
      <c r="J1047" s="193"/>
    </row>
    <row r="1048" spans="1:10">
      <c r="A1048" s="193"/>
      <c r="B1048" s="193"/>
      <c r="C1048" s="193"/>
      <c r="D1048" s="193"/>
      <c r="E1048" s="193"/>
      <c r="F1048" s="193"/>
      <c r="G1048" s="193"/>
      <c r="H1048" s="193"/>
      <c r="I1048" s="193"/>
      <c r="J1048" s="193"/>
    </row>
    <row r="1049" spans="1:10">
      <c r="A1049" s="193"/>
      <c r="B1049" s="193"/>
      <c r="C1049" s="193"/>
      <c r="D1049" s="193"/>
      <c r="E1049" s="193"/>
      <c r="F1049" s="193"/>
      <c r="G1049" s="193"/>
      <c r="H1049" s="193"/>
      <c r="I1049" s="193"/>
      <c r="J1049" s="193"/>
    </row>
    <row r="1050" spans="1:10">
      <c r="A1050" s="193"/>
      <c r="B1050" s="193"/>
      <c r="C1050" s="193"/>
      <c r="D1050" s="193"/>
      <c r="E1050" s="193"/>
      <c r="F1050" s="193"/>
      <c r="G1050" s="193"/>
      <c r="H1050" s="193"/>
      <c r="I1050" s="193"/>
      <c r="J1050" s="193"/>
    </row>
    <row r="1051" spans="1:10">
      <c r="A1051" s="193"/>
      <c r="B1051" s="193"/>
      <c r="C1051" s="193"/>
      <c r="D1051" s="193"/>
      <c r="E1051" s="193"/>
      <c r="F1051" s="193"/>
      <c r="G1051" s="193"/>
      <c r="H1051" s="193"/>
      <c r="I1051" s="193"/>
      <c r="J1051" s="193"/>
    </row>
    <row r="1052" spans="1:10">
      <c r="A1052" s="193"/>
      <c r="B1052" s="193"/>
      <c r="C1052" s="193"/>
      <c r="D1052" s="193"/>
      <c r="E1052" s="193"/>
      <c r="F1052" s="193"/>
      <c r="G1052" s="193"/>
      <c r="H1052" s="193"/>
      <c r="I1052" s="193"/>
      <c r="J1052" s="193"/>
    </row>
    <row r="1053" spans="1:10">
      <c r="A1053" s="193"/>
      <c r="B1053" s="193"/>
      <c r="C1053" s="193"/>
      <c r="D1053" s="193"/>
      <c r="E1053" s="193"/>
      <c r="F1053" s="193"/>
      <c r="G1053" s="193"/>
      <c r="H1053" s="193"/>
      <c r="I1053" s="193"/>
      <c r="J1053" s="193"/>
    </row>
    <row r="1054" spans="1:10">
      <c r="A1054" s="193"/>
      <c r="B1054" s="193"/>
      <c r="C1054" s="193"/>
      <c r="D1054" s="193"/>
      <c r="E1054" s="193"/>
      <c r="F1054" s="193"/>
      <c r="G1054" s="193"/>
      <c r="H1054" s="193"/>
      <c r="I1054" s="193"/>
      <c r="J1054" s="193"/>
    </row>
    <row r="1055" spans="1:10">
      <c r="A1055" s="193"/>
      <c r="B1055" s="193"/>
      <c r="C1055" s="193"/>
      <c r="D1055" s="193"/>
      <c r="E1055" s="193"/>
      <c r="F1055" s="193"/>
      <c r="G1055" s="193"/>
      <c r="H1055" s="193"/>
      <c r="I1055" s="193"/>
      <c r="J1055" s="193"/>
    </row>
    <row r="1056" spans="1:10">
      <c r="A1056" s="193"/>
      <c r="B1056" s="193"/>
      <c r="C1056" s="193"/>
      <c r="D1056" s="193"/>
      <c r="E1056" s="193"/>
      <c r="F1056" s="193"/>
      <c r="G1056" s="193"/>
      <c r="H1056" s="193"/>
      <c r="I1056" s="193"/>
      <c r="J1056" s="193"/>
    </row>
    <row r="1057" spans="1:10">
      <c r="A1057" s="193"/>
      <c r="B1057" s="193"/>
      <c r="C1057" s="193"/>
      <c r="D1057" s="193"/>
      <c r="E1057" s="193"/>
      <c r="F1057" s="193"/>
      <c r="G1057" s="193"/>
      <c r="H1057" s="193"/>
      <c r="I1057" s="193"/>
      <c r="J1057" s="193"/>
    </row>
    <row r="1058" spans="1:10">
      <c r="A1058" s="193"/>
      <c r="B1058" s="193"/>
      <c r="C1058" s="193"/>
      <c r="D1058" s="193"/>
      <c r="E1058" s="193"/>
      <c r="F1058" s="193"/>
      <c r="G1058" s="193"/>
      <c r="H1058" s="193"/>
      <c r="I1058" s="193"/>
      <c r="J1058" s="193"/>
    </row>
    <row r="1059" spans="1:10">
      <c r="A1059" s="193"/>
      <c r="B1059" s="193"/>
      <c r="C1059" s="193"/>
      <c r="D1059" s="193"/>
      <c r="E1059" s="193"/>
      <c r="F1059" s="193"/>
      <c r="G1059" s="193"/>
      <c r="H1059" s="193"/>
      <c r="I1059" s="193"/>
      <c r="J1059" s="193"/>
    </row>
    <row r="1060" spans="1:10">
      <c r="A1060" s="193"/>
      <c r="B1060" s="193"/>
      <c r="C1060" s="193"/>
      <c r="D1060" s="193"/>
      <c r="E1060" s="193"/>
      <c r="F1060" s="193"/>
      <c r="G1060" s="193"/>
      <c r="H1060" s="193"/>
      <c r="I1060" s="193"/>
      <c r="J1060" s="193"/>
    </row>
    <row r="1061" spans="1:10">
      <c r="A1061" s="193"/>
      <c r="B1061" s="193"/>
      <c r="C1061" s="193"/>
      <c r="D1061" s="193"/>
      <c r="E1061" s="193"/>
      <c r="F1061" s="193"/>
      <c r="G1061" s="193"/>
      <c r="H1061" s="193"/>
      <c r="I1061" s="193"/>
      <c r="J1061" s="193"/>
    </row>
    <row r="1062" spans="1:10">
      <c r="A1062" s="193"/>
      <c r="B1062" s="193"/>
      <c r="C1062" s="193"/>
      <c r="D1062" s="193"/>
      <c r="E1062" s="193"/>
      <c r="F1062" s="193"/>
      <c r="G1062" s="193"/>
      <c r="H1062" s="193"/>
      <c r="I1062" s="193"/>
      <c r="J1062" s="193"/>
    </row>
    <row r="1063" spans="1:10">
      <c r="A1063" s="193"/>
      <c r="B1063" s="193"/>
      <c r="C1063" s="193"/>
      <c r="D1063" s="193"/>
      <c r="E1063" s="193"/>
      <c r="F1063" s="193"/>
      <c r="G1063" s="193"/>
      <c r="H1063" s="193"/>
      <c r="I1063" s="193"/>
      <c r="J1063" s="193"/>
    </row>
    <row r="1064" spans="1:10">
      <c r="A1064" s="193"/>
      <c r="B1064" s="193"/>
      <c r="C1064" s="193"/>
      <c r="D1064" s="193"/>
      <c r="E1064" s="193"/>
      <c r="F1064" s="193"/>
      <c r="G1064" s="193"/>
      <c r="H1064" s="193"/>
      <c r="I1064" s="193"/>
      <c r="J1064" s="193"/>
    </row>
    <row r="1065" spans="1:10">
      <c r="A1065" s="193"/>
      <c r="B1065" s="193"/>
      <c r="C1065" s="193"/>
      <c r="D1065" s="193"/>
      <c r="E1065" s="193"/>
      <c r="F1065" s="193"/>
      <c r="G1065" s="193"/>
      <c r="H1065" s="193"/>
      <c r="I1065" s="193"/>
      <c r="J1065" s="193"/>
    </row>
    <row r="1066" spans="1:10">
      <c r="A1066" s="193"/>
      <c r="B1066" s="193"/>
      <c r="C1066" s="193"/>
      <c r="D1066" s="193"/>
      <c r="E1066" s="193"/>
      <c r="F1066" s="193"/>
      <c r="G1066" s="193"/>
      <c r="H1066" s="193"/>
      <c r="I1066" s="193"/>
      <c r="J1066" s="193"/>
    </row>
    <row r="1067" spans="1:10">
      <c r="A1067" s="193"/>
      <c r="B1067" s="193"/>
      <c r="C1067" s="193"/>
      <c r="D1067" s="193"/>
      <c r="E1067" s="193"/>
      <c r="F1067" s="193"/>
      <c r="G1067" s="193"/>
      <c r="H1067" s="193"/>
      <c r="I1067" s="193"/>
      <c r="J1067" s="193"/>
    </row>
    <row r="1068" spans="1:10">
      <c r="A1068" s="193"/>
      <c r="B1068" s="193"/>
      <c r="C1068" s="193"/>
      <c r="D1068" s="193"/>
      <c r="E1068" s="193"/>
      <c r="F1068" s="193"/>
      <c r="G1068" s="193"/>
      <c r="H1068" s="193"/>
      <c r="I1068" s="193"/>
      <c r="J1068" s="193"/>
    </row>
    <row r="1069" spans="1:10">
      <c r="A1069" s="193"/>
      <c r="B1069" s="193"/>
      <c r="C1069" s="193"/>
      <c r="D1069" s="193"/>
      <c r="E1069" s="193"/>
      <c r="F1069" s="193"/>
      <c r="G1069" s="193"/>
      <c r="H1069" s="193"/>
      <c r="I1069" s="193"/>
      <c r="J1069" s="193"/>
    </row>
    <row r="1070" spans="1:10">
      <c r="A1070" s="193"/>
      <c r="B1070" s="193"/>
      <c r="C1070" s="193"/>
      <c r="D1070" s="193"/>
      <c r="E1070" s="193"/>
      <c r="F1070" s="193"/>
      <c r="G1070" s="193"/>
      <c r="H1070" s="193"/>
      <c r="I1070" s="193"/>
      <c r="J1070" s="193"/>
    </row>
    <row r="1071" spans="1:10">
      <c r="A1071" s="193"/>
      <c r="B1071" s="193"/>
      <c r="C1071" s="193"/>
      <c r="D1071" s="193"/>
      <c r="E1071" s="193"/>
      <c r="F1071" s="193"/>
      <c r="G1071" s="193"/>
      <c r="H1071" s="193"/>
      <c r="I1071" s="193"/>
      <c r="J1071" s="193"/>
    </row>
    <row r="1072" spans="1:10">
      <c r="A1072" s="193"/>
      <c r="B1072" s="193"/>
      <c r="C1072" s="193"/>
      <c r="D1072" s="193"/>
      <c r="E1072" s="193"/>
      <c r="F1072" s="193"/>
      <c r="G1072" s="193"/>
      <c r="H1072" s="193"/>
      <c r="I1072" s="193"/>
      <c r="J1072" s="193"/>
    </row>
    <row r="1073" spans="1:10">
      <c r="A1073" s="193"/>
      <c r="B1073" s="193"/>
      <c r="C1073" s="193"/>
      <c r="D1073" s="193"/>
      <c r="E1073" s="193"/>
      <c r="F1073" s="193"/>
      <c r="G1073" s="193"/>
      <c r="H1073" s="193"/>
      <c r="I1073" s="193"/>
      <c r="J1073" s="193"/>
    </row>
    <row r="1074" spans="1:10">
      <c r="A1074" s="193"/>
      <c r="B1074" s="193"/>
      <c r="C1074" s="193"/>
      <c r="D1074" s="193"/>
      <c r="E1074" s="193"/>
      <c r="F1074" s="193"/>
      <c r="G1074" s="193"/>
      <c r="H1074" s="193"/>
      <c r="I1074" s="193"/>
      <c r="J1074" s="193"/>
    </row>
    <row r="1075" spans="1:10">
      <c r="A1075" s="193"/>
      <c r="B1075" s="193"/>
      <c r="C1075" s="193"/>
      <c r="D1075" s="193"/>
      <c r="E1075" s="193"/>
      <c r="F1075" s="193"/>
      <c r="G1075" s="193"/>
      <c r="H1075" s="193"/>
      <c r="I1075" s="193"/>
      <c r="J1075" s="193"/>
    </row>
    <row r="1076" spans="1:10">
      <c r="A1076" s="193"/>
      <c r="B1076" s="193"/>
      <c r="C1076" s="193"/>
      <c r="D1076" s="193"/>
      <c r="E1076" s="193"/>
      <c r="F1076" s="193"/>
      <c r="G1076" s="193"/>
      <c r="H1076" s="193"/>
      <c r="I1076" s="193"/>
      <c r="J1076" s="193"/>
    </row>
    <row r="1077" spans="1:10">
      <c r="A1077" s="193"/>
      <c r="B1077" s="193"/>
      <c r="C1077" s="193"/>
      <c r="D1077" s="193"/>
      <c r="E1077" s="193"/>
      <c r="F1077" s="193"/>
      <c r="G1077" s="193"/>
      <c r="H1077" s="193"/>
      <c r="I1077" s="193"/>
      <c r="J1077" s="193"/>
    </row>
    <row r="1078" spans="1:10">
      <c r="A1078" s="193"/>
      <c r="B1078" s="193"/>
      <c r="C1078" s="193"/>
      <c r="D1078" s="193"/>
      <c r="E1078" s="193"/>
      <c r="F1078" s="193"/>
      <c r="G1078" s="193"/>
      <c r="H1078" s="193"/>
      <c r="I1078" s="193"/>
      <c r="J1078" s="193"/>
    </row>
    <row r="1079" spans="1:10">
      <c r="A1079" s="193"/>
      <c r="B1079" s="193"/>
      <c r="C1079" s="193"/>
      <c r="D1079" s="193"/>
      <c r="E1079" s="193"/>
      <c r="F1079" s="193"/>
      <c r="G1079" s="193"/>
      <c r="H1079" s="193"/>
      <c r="I1079" s="193"/>
      <c r="J1079" s="193"/>
    </row>
    <row r="1080" spans="1:10">
      <c r="A1080" s="193"/>
      <c r="B1080" s="193"/>
      <c r="C1080" s="193"/>
      <c r="D1080" s="193"/>
      <c r="E1080" s="193"/>
      <c r="F1080" s="193"/>
      <c r="G1080" s="193"/>
      <c r="H1080" s="193"/>
      <c r="I1080" s="193"/>
      <c r="J1080" s="193"/>
    </row>
    <row r="1081" spans="1:10">
      <c r="A1081" s="193"/>
      <c r="B1081" s="193"/>
      <c r="C1081" s="193"/>
      <c r="D1081" s="193"/>
      <c r="E1081" s="193"/>
      <c r="F1081" s="193"/>
      <c r="G1081" s="193"/>
      <c r="H1081" s="193"/>
      <c r="I1081" s="193"/>
      <c r="J1081" s="193"/>
    </row>
    <row r="1082" spans="1:10">
      <c r="A1082" s="193"/>
      <c r="B1082" s="193"/>
      <c r="C1082" s="193"/>
      <c r="D1082" s="193"/>
      <c r="E1082" s="193"/>
      <c r="F1082" s="193"/>
      <c r="G1082" s="193"/>
      <c r="H1082" s="193"/>
      <c r="I1082" s="193"/>
      <c r="J1082" s="193"/>
    </row>
    <row r="1083" spans="1:10">
      <c r="A1083" s="193"/>
      <c r="B1083" s="193"/>
      <c r="C1083" s="193"/>
      <c r="D1083" s="193"/>
      <c r="E1083" s="193"/>
      <c r="F1083" s="193"/>
      <c r="G1083" s="193"/>
      <c r="H1083" s="193"/>
      <c r="I1083" s="193"/>
      <c r="J1083" s="193"/>
    </row>
    <row r="1084" spans="1:10">
      <c r="A1084" s="193"/>
      <c r="B1084" s="193"/>
      <c r="C1084" s="193"/>
      <c r="D1084" s="193"/>
      <c r="E1084" s="193"/>
      <c r="F1084" s="193"/>
      <c r="G1084" s="193"/>
      <c r="H1084" s="193"/>
      <c r="I1084" s="193"/>
      <c r="J1084" s="193"/>
    </row>
    <row r="1085" spans="1:10">
      <c r="A1085" s="193"/>
      <c r="B1085" s="193"/>
      <c r="C1085" s="193"/>
      <c r="D1085" s="193"/>
      <c r="E1085" s="193"/>
      <c r="F1085" s="193"/>
      <c r="G1085" s="193"/>
      <c r="H1085" s="193"/>
      <c r="I1085" s="193"/>
      <c r="J1085" s="193"/>
    </row>
    <row r="1086" spans="1:10">
      <c r="A1086" s="193"/>
      <c r="B1086" s="193"/>
      <c r="C1086" s="193"/>
      <c r="D1086" s="193"/>
      <c r="E1086" s="193"/>
      <c r="F1086" s="193"/>
      <c r="G1086" s="193"/>
      <c r="H1086" s="193"/>
      <c r="I1086" s="193"/>
      <c r="J1086" s="193"/>
    </row>
    <row r="1087" spans="1:10">
      <c r="A1087" s="193"/>
      <c r="B1087" s="193"/>
      <c r="C1087" s="193"/>
      <c r="D1087" s="193"/>
      <c r="E1087" s="193"/>
      <c r="F1087" s="193"/>
      <c r="G1087" s="193"/>
      <c r="H1087" s="193"/>
      <c r="I1087" s="193"/>
      <c r="J1087" s="193"/>
    </row>
    <row r="1088" spans="1:10">
      <c r="A1088" s="193"/>
      <c r="B1088" s="193"/>
      <c r="C1088" s="193"/>
      <c r="D1088" s="193"/>
      <c r="E1088" s="193"/>
      <c r="F1088" s="193"/>
      <c r="G1088" s="193"/>
      <c r="H1088" s="193"/>
      <c r="I1088" s="193"/>
      <c r="J1088" s="193"/>
    </row>
    <row r="1089" spans="1:10">
      <c r="A1089" s="193"/>
      <c r="B1089" s="193"/>
      <c r="C1089" s="193"/>
      <c r="D1089" s="193"/>
      <c r="E1089" s="193"/>
      <c r="F1089" s="193"/>
      <c r="G1089" s="193"/>
      <c r="H1089" s="193"/>
      <c r="I1089" s="193"/>
      <c r="J1089" s="193"/>
    </row>
    <row r="1090" spans="1:10">
      <c r="A1090" s="193"/>
      <c r="B1090" s="193"/>
      <c r="C1090" s="193"/>
      <c r="D1090" s="193"/>
      <c r="E1090" s="193"/>
      <c r="F1090" s="193"/>
      <c r="G1090" s="193"/>
      <c r="H1090" s="193"/>
      <c r="I1090" s="193"/>
      <c r="J1090" s="193"/>
    </row>
    <row r="1091" spans="1:10">
      <c r="A1091" s="193"/>
      <c r="B1091" s="193"/>
      <c r="C1091" s="193"/>
      <c r="D1091" s="193"/>
      <c r="E1091" s="193"/>
      <c r="F1091" s="193"/>
      <c r="G1091" s="193"/>
      <c r="H1091" s="193"/>
      <c r="I1091" s="193"/>
      <c r="J1091" s="193"/>
    </row>
    <row r="1092" spans="1:10">
      <c r="A1092" s="193"/>
      <c r="B1092" s="193"/>
      <c r="C1092" s="193"/>
      <c r="D1092" s="193"/>
      <c r="E1092" s="193"/>
      <c r="F1092" s="193"/>
      <c r="G1092" s="193"/>
      <c r="H1092" s="193"/>
      <c r="I1092" s="193"/>
      <c r="J1092" s="193"/>
    </row>
    <row r="1093" spans="1:10">
      <c r="A1093" s="193"/>
      <c r="B1093" s="193"/>
      <c r="C1093" s="193"/>
      <c r="D1093" s="193"/>
      <c r="E1093" s="193"/>
      <c r="F1093" s="193"/>
      <c r="G1093" s="193"/>
      <c r="H1093" s="193"/>
      <c r="I1093" s="193"/>
      <c r="J1093" s="193"/>
    </row>
    <row r="1094" spans="1:10">
      <c r="A1094" s="193"/>
      <c r="B1094" s="193"/>
      <c r="C1094" s="193"/>
      <c r="D1094" s="193"/>
      <c r="E1094" s="193"/>
      <c r="F1094" s="193"/>
      <c r="G1094" s="193"/>
      <c r="H1094" s="193"/>
      <c r="I1094" s="193"/>
      <c r="J1094" s="193"/>
    </row>
    <row r="1095" spans="1:10">
      <c r="A1095" s="193"/>
      <c r="B1095" s="193"/>
      <c r="C1095" s="193"/>
      <c r="D1095" s="193"/>
      <c r="E1095" s="193"/>
      <c r="F1095" s="193"/>
      <c r="G1095" s="193"/>
      <c r="H1095" s="193"/>
      <c r="I1095" s="193"/>
      <c r="J1095" s="193"/>
    </row>
    <row r="1096" spans="1:10">
      <c r="A1096" s="193"/>
      <c r="B1096" s="193"/>
      <c r="C1096" s="193"/>
      <c r="D1096" s="193"/>
      <c r="E1096" s="193"/>
      <c r="F1096" s="193"/>
      <c r="G1096" s="193"/>
      <c r="H1096" s="193"/>
      <c r="I1096" s="193"/>
      <c r="J1096" s="193"/>
    </row>
    <row r="1097" spans="1:10">
      <c r="A1097" s="193"/>
      <c r="B1097" s="193"/>
      <c r="C1097" s="193"/>
      <c r="D1097" s="193"/>
      <c r="E1097" s="193"/>
      <c r="F1097" s="193"/>
      <c r="G1097" s="193"/>
      <c r="H1097" s="193"/>
      <c r="I1097" s="193"/>
      <c r="J1097" s="193"/>
    </row>
    <row r="1098" spans="1:10">
      <c r="A1098" s="193"/>
      <c r="B1098" s="193"/>
      <c r="C1098" s="193"/>
      <c r="D1098" s="193"/>
      <c r="E1098" s="193"/>
      <c r="F1098" s="193"/>
      <c r="G1098" s="193"/>
      <c r="H1098" s="193"/>
      <c r="I1098" s="193"/>
      <c r="J1098" s="193"/>
    </row>
    <row r="1099" spans="1:10">
      <c r="A1099" s="193"/>
      <c r="B1099" s="193"/>
      <c r="C1099" s="193"/>
      <c r="D1099" s="193"/>
      <c r="E1099" s="193"/>
      <c r="F1099" s="193"/>
      <c r="G1099" s="193"/>
      <c r="H1099" s="193"/>
      <c r="I1099" s="193"/>
      <c r="J1099" s="193"/>
    </row>
    <row r="1100" spans="1:10">
      <c r="A1100" s="193"/>
      <c r="B1100" s="193"/>
      <c r="C1100" s="193"/>
      <c r="D1100" s="193"/>
      <c r="E1100" s="193"/>
      <c r="F1100" s="193"/>
      <c r="G1100" s="193"/>
      <c r="H1100" s="193"/>
      <c r="I1100" s="193"/>
      <c r="J1100" s="193"/>
    </row>
    <row r="1101" spans="1:10">
      <c r="A1101" s="193"/>
      <c r="B1101" s="193"/>
      <c r="C1101" s="193"/>
      <c r="D1101" s="193"/>
      <c r="E1101" s="193"/>
      <c r="F1101" s="193"/>
      <c r="G1101" s="193"/>
      <c r="H1101" s="193"/>
      <c r="I1101" s="193"/>
      <c r="J1101" s="193"/>
    </row>
    <row r="1102" spans="1:10">
      <c r="A1102" s="193"/>
      <c r="B1102" s="193"/>
      <c r="C1102" s="193"/>
      <c r="D1102" s="193"/>
      <c r="E1102" s="193"/>
      <c r="F1102" s="193"/>
      <c r="G1102" s="193"/>
      <c r="H1102" s="193"/>
      <c r="I1102" s="193"/>
      <c r="J1102" s="193"/>
    </row>
    <row r="1103" spans="1:10">
      <c r="A1103" s="193"/>
      <c r="B1103" s="193"/>
      <c r="C1103" s="193"/>
      <c r="D1103" s="193"/>
      <c r="E1103" s="193"/>
      <c r="F1103" s="193"/>
      <c r="G1103" s="193"/>
      <c r="H1103" s="193"/>
      <c r="I1103" s="193"/>
      <c r="J1103" s="193"/>
    </row>
    <row r="1104" spans="1:10">
      <c r="A1104" s="193"/>
      <c r="B1104" s="193"/>
      <c r="C1104" s="193"/>
      <c r="D1104" s="193"/>
      <c r="E1104" s="193"/>
      <c r="F1104" s="193"/>
      <c r="G1104" s="193"/>
      <c r="H1104" s="193"/>
      <c r="I1104" s="193"/>
      <c r="J1104" s="193"/>
    </row>
    <row r="1105" spans="1:10">
      <c r="A1105" s="193"/>
      <c r="B1105" s="193"/>
      <c r="C1105" s="193"/>
      <c r="D1105" s="193"/>
      <c r="E1105" s="193"/>
      <c r="F1105" s="193"/>
      <c r="G1105" s="193"/>
      <c r="H1105" s="193"/>
      <c r="I1105" s="193"/>
      <c r="J1105" s="193"/>
    </row>
    <row r="1106" spans="1:10">
      <c r="A1106" s="193"/>
      <c r="B1106" s="193"/>
      <c r="C1106" s="193"/>
      <c r="D1106" s="193"/>
      <c r="E1106" s="193"/>
      <c r="F1106" s="193"/>
      <c r="G1106" s="193"/>
      <c r="H1106" s="193"/>
      <c r="I1106" s="193"/>
      <c r="J1106" s="193"/>
    </row>
    <row r="1107" spans="1:10">
      <c r="A1107" s="193"/>
      <c r="B1107" s="193"/>
      <c r="C1107" s="193"/>
      <c r="D1107" s="193"/>
      <c r="E1107" s="193"/>
      <c r="F1107" s="193"/>
      <c r="G1107" s="193"/>
      <c r="H1107" s="193"/>
      <c r="I1107" s="193"/>
      <c r="J1107" s="193"/>
    </row>
    <row r="1108" spans="1:10">
      <c r="A1108" s="193"/>
      <c r="B1108" s="193"/>
      <c r="C1108" s="193"/>
      <c r="D1108" s="193"/>
      <c r="E1108" s="193"/>
      <c r="F1108" s="193"/>
      <c r="G1108" s="193"/>
      <c r="H1108" s="193"/>
      <c r="I1108" s="193"/>
      <c r="J1108" s="193"/>
    </row>
    <row r="1109" spans="1:10">
      <c r="A1109" s="193"/>
      <c r="B1109" s="193"/>
      <c r="C1109" s="193"/>
      <c r="D1109" s="193"/>
      <c r="E1109" s="193"/>
      <c r="F1109" s="193"/>
      <c r="G1109" s="193"/>
      <c r="H1109" s="193"/>
      <c r="I1109" s="193"/>
      <c r="J1109" s="193"/>
    </row>
    <row r="1110" spans="1:10">
      <c r="A1110" s="193"/>
      <c r="B1110" s="193"/>
      <c r="C1110" s="193"/>
      <c r="D1110" s="193"/>
      <c r="E1110" s="193"/>
      <c r="F1110" s="193"/>
      <c r="G1110" s="193"/>
      <c r="H1110" s="193"/>
      <c r="I1110" s="193"/>
      <c r="J1110" s="193"/>
    </row>
    <row r="1111" spans="1:10">
      <c r="A1111" s="193"/>
      <c r="B1111" s="193"/>
      <c r="C1111" s="193"/>
      <c r="D1111" s="193"/>
      <c r="E1111" s="193"/>
      <c r="F1111" s="193"/>
      <c r="G1111" s="193"/>
      <c r="H1111" s="193"/>
      <c r="I1111" s="193"/>
      <c r="J1111" s="193"/>
    </row>
    <row r="1112" spans="1:10">
      <c r="A1112" s="193"/>
      <c r="B1112" s="193"/>
      <c r="C1112" s="193"/>
      <c r="D1112" s="193"/>
      <c r="E1112" s="193"/>
      <c r="F1112" s="193"/>
      <c r="G1112" s="193"/>
      <c r="H1112" s="193"/>
      <c r="I1112" s="193"/>
      <c r="J1112" s="193"/>
    </row>
    <row r="1113" spans="1:10">
      <c r="A1113" s="193"/>
      <c r="B1113" s="193"/>
      <c r="C1113" s="193"/>
      <c r="D1113" s="193"/>
      <c r="E1113" s="193"/>
      <c r="F1113" s="193"/>
      <c r="G1113" s="193"/>
      <c r="H1113" s="193"/>
      <c r="I1113" s="193"/>
      <c r="J1113" s="193"/>
    </row>
    <row r="1114" spans="1:10">
      <c r="A1114" s="193"/>
      <c r="B1114" s="193"/>
      <c r="C1114" s="193"/>
      <c r="D1114" s="193"/>
      <c r="E1114" s="193"/>
      <c r="F1114" s="193"/>
      <c r="G1114" s="193"/>
      <c r="H1114" s="193"/>
      <c r="I1114" s="193"/>
      <c r="J1114" s="193"/>
    </row>
    <row r="1115" spans="1:10">
      <c r="A1115" s="193"/>
      <c r="B1115" s="193"/>
      <c r="C1115" s="193"/>
      <c r="D1115" s="193"/>
      <c r="E1115" s="193"/>
      <c r="F1115" s="193"/>
      <c r="G1115" s="193"/>
      <c r="H1115" s="193"/>
      <c r="I1115" s="193"/>
      <c r="J1115" s="193"/>
    </row>
    <row r="1116" spans="1:10">
      <c r="A1116" s="193"/>
      <c r="B1116" s="193"/>
      <c r="C1116" s="193"/>
      <c r="D1116" s="193"/>
      <c r="E1116" s="193"/>
      <c r="F1116" s="193"/>
      <c r="G1116" s="193"/>
      <c r="H1116" s="193"/>
      <c r="I1116" s="193"/>
      <c r="J1116" s="193"/>
    </row>
    <row r="1117" spans="1:10">
      <c r="A1117" s="193"/>
      <c r="B1117" s="193"/>
      <c r="C1117" s="193"/>
      <c r="D1117" s="193"/>
      <c r="E1117" s="193"/>
      <c r="F1117" s="193"/>
      <c r="G1117" s="193"/>
      <c r="H1117" s="193"/>
      <c r="I1117" s="193"/>
      <c r="J1117" s="193"/>
    </row>
    <row r="1118" spans="1:10">
      <c r="A1118" s="193"/>
      <c r="B1118" s="193"/>
      <c r="C1118" s="193"/>
      <c r="D1118" s="193"/>
      <c r="E1118" s="193"/>
      <c r="F1118" s="193"/>
      <c r="G1118" s="193"/>
      <c r="H1118" s="193"/>
      <c r="I1118" s="193"/>
      <c r="J1118" s="193"/>
    </row>
    <row r="1119" spans="1:10">
      <c r="A1119" s="193"/>
      <c r="B1119" s="193"/>
      <c r="C1119" s="193"/>
      <c r="D1119" s="193"/>
      <c r="E1119" s="193"/>
      <c r="F1119" s="193"/>
      <c r="G1119" s="193"/>
      <c r="H1119" s="193"/>
      <c r="I1119" s="193"/>
      <c r="J1119" s="193"/>
    </row>
    <row r="1120" spans="1:10">
      <c r="A1120" s="193"/>
      <c r="B1120" s="193"/>
      <c r="C1120" s="193"/>
      <c r="D1120" s="193"/>
      <c r="E1120" s="193"/>
      <c r="F1120" s="193"/>
      <c r="G1120" s="193"/>
      <c r="H1120" s="193"/>
      <c r="I1120" s="193"/>
      <c r="J1120" s="193"/>
    </row>
    <row r="1121" spans="1:10">
      <c r="A1121" s="193"/>
      <c r="B1121" s="193"/>
      <c r="C1121" s="193"/>
      <c r="D1121" s="193"/>
      <c r="E1121" s="193"/>
      <c r="F1121" s="193"/>
      <c r="G1121" s="193"/>
      <c r="H1121" s="193"/>
      <c r="I1121" s="193"/>
      <c r="J1121" s="193"/>
    </row>
    <row r="1122" spans="1:10">
      <c r="A1122" s="193"/>
      <c r="B1122" s="193"/>
      <c r="C1122" s="193"/>
      <c r="D1122" s="193"/>
      <c r="E1122" s="193"/>
      <c r="F1122" s="193"/>
      <c r="G1122" s="193"/>
      <c r="H1122" s="193"/>
      <c r="I1122" s="193"/>
      <c r="J1122" s="193"/>
    </row>
    <row r="1123" spans="1:10">
      <c r="A1123" s="193"/>
      <c r="B1123" s="193"/>
      <c r="C1123" s="193"/>
      <c r="D1123" s="193"/>
      <c r="E1123" s="193"/>
      <c r="F1123" s="193"/>
      <c r="G1123" s="193"/>
      <c r="H1123" s="193"/>
      <c r="I1123" s="193"/>
      <c r="J1123" s="193"/>
    </row>
    <row r="1124" spans="1:10">
      <c r="A1124" s="193"/>
      <c r="B1124" s="193"/>
      <c r="C1124" s="193"/>
      <c r="D1124" s="193"/>
      <c r="E1124" s="193"/>
      <c r="F1124" s="193"/>
      <c r="G1124" s="193"/>
      <c r="H1124" s="193"/>
      <c r="I1124" s="193"/>
      <c r="J1124" s="193"/>
    </row>
    <row r="1125" spans="1:10">
      <c r="A1125" s="193"/>
      <c r="B1125" s="193"/>
      <c r="C1125" s="193"/>
      <c r="D1125" s="193"/>
      <c r="E1125" s="193"/>
      <c r="F1125" s="193"/>
      <c r="G1125" s="193"/>
      <c r="H1125" s="193"/>
      <c r="I1125" s="193"/>
      <c r="J1125" s="193"/>
    </row>
    <row r="1126" spans="1:10">
      <c r="A1126" s="193"/>
      <c r="B1126" s="193"/>
      <c r="C1126" s="193"/>
      <c r="D1126" s="193"/>
      <c r="E1126" s="193"/>
      <c r="F1126" s="193"/>
      <c r="G1126" s="193"/>
      <c r="H1126" s="193"/>
      <c r="I1126" s="193"/>
      <c r="J1126" s="193"/>
    </row>
    <row r="1127" spans="1:10">
      <c r="A1127" s="193"/>
      <c r="B1127" s="193"/>
      <c r="C1127" s="193"/>
      <c r="D1127" s="193"/>
      <c r="E1127" s="193"/>
      <c r="F1127" s="193"/>
      <c r="G1127" s="193"/>
      <c r="H1127" s="193"/>
      <c r="I1127" s="193"/>
      <c r="J1127" s="193"/>
    </row>
    <row r="1128" spans="1:10">
      <c r="A1128" s="193"/>
      <c r="B1128" s="193"/>
      <c r="C1128" s="193"/>
      <c r="D1128" s="193"/>
      <c r="E1128" s="193"/>
      <c r="F1128" s="193"/>
      <c r="G1128" s="193"/>
      <c r="H1128" s="193"/>
      <c r="I1128" s="193"/>
      <c r="J1128" s="193"/>
    </row>
    <row r="1129" spans="1:10">
      <c r="A1129" s="193"/>
      <c r="B1129" s="193"/>
      <c r="C1129" s="193"/>
      <c r="D1129" s="193"/>
      <c r="E1129" s="193"/>
      <c r="F1129" s="193"/>
      <c r="G1129" s="193"/>
      <c r="H1129" s="193"/>
      <c r="I1129" s="193"/>
      <c r="J1129" s="193"/>
    </row>
    <row r="1130" spans="1:10">
      <c r="A1130" s="193"/>
      <c r="B1130" s="193"/>
      <c r="C1130" s="193"/>
      <c r="D1130" s="193"/>
      <c r="E1130" s="193"/>
      <c r="F1130" s="193"/>
      <c r="G1130" s="193"/>
      <c r="H1130" s="193"/>
      <c r="I1130" s="193"/>
      <c r="J1130" s="193"/>
    </row>
    <row r="1131" spans="1:10">
      <c r="A1131" s="193"/>
      <c r="B1131" s="193"/>
      <c r="C1131" s="193"/>
      <c r="D1131" s="193"/>
      <c r="E1131" s="193"/>
      <c r="F1131" s="193"/>
      <c r="G1131" s="193"/>
      <c r="H1131" s="193"/>
      <c r="I1131" s="193"/>
      <c r="J1131" s="193"/>
    </row>
    <row r="1132" spans="1:10">
      <c r="A1132" s="193"/>
      <c r="B1132" s="193"/>
      <c r="C1132" s="193"/>
      <c r="D1132" s="193"/>
      <c r="E1132" s="193"/>
      <c r="F1132" s="193"/>
      <c r="G1132" s="193"/>
      <c r="H1132" s="193"/>
      <c r="I1132" s="193"/>
      <c r="J1132" s="193"/>
    </row>
    <row r="1133" spans="1:10">
      <c r="A1133" s="193"/>
      <c r="B1133" s="193"/>
      <c r="C1133" s="193"/>
      <c r="D1133" s="193"/>
      <c r="E1133" s="193"/>
      <c r="F1133" s="193"/>
      <c r="G1133" s="193"/>
      <c r="H1133" s="193"/>
      <c r="I1133" s="193"/>
      <c r="J1133" s="193"/>
    </row>
    <row r="1134" spans="1:10">
      <c r="A1134" s="193"/>
      <c r="B1134" s="193"/>
      <c r="C1134" s="193"/>
      <c r="D1134" s="193"/>
      <c r="E1134" s="193"/>
      <c r="F1134" s="193"/>
      <c r="G1134" s="193"/>
      <c r="H1134" s="193"/>
      <c r="I1134" s="193"/>
      <c r="J1134" s="193"/>
    </row>
    <row r="1135" spans="1:10">
      <c r="A1135" s="193"/>
      <c r="B1135" s="193"/>
      <c r="C1135" s="193"/>
      <c r="D1135" s="193"/>
      <c r="E1135" s="193"/>
      <c r="F1135" s="193"/>
      <c r="G1135" s="193"/>
      <c r="H1135" s="193"/>
      <c r="I1135" s="193"/>
      <c r="J1135" s="193"/>
    </row>
    <row r="1136" spans="1:10">
      <c r="A1136" s="193"/>
      <c r="B1136" s="193"/>
      <c r="C1136" s="193"/>
      <c r="D1136" s="193"/>
      <c r="E1136" s="193"/>
      <c r="F1136" s="193"/>
      <c r="G1136" s="193"/>
      <c r="H1136" s="193"/>
      <c r="I1136" s="193"/>
      <c r="J1136" s="193"/>
    </row>
    <row r="1137" spans="1:10">
      <c r="A1137" s="193"/>
      <c r="B1137" s="193"/>
      <c r="C1137" s="193"/>
      <c r="D1137" s="193"/>
      <c r="E1137" s="193"/>
      <c r="F1137" s="193"/>
      <c r="G1137" s="193"/>
      <c r="H1137" s="193"/>
      <c r="I1137" s="193"/>
      <c r="J1137" s="193"/>
    </row>
    <row r="1138" spans="1:10">
      <c r="A1138" s="193"/>
      <c r="B1138" s="193"/>
      <c r="C1138" s="193"/>
      <c r="D1138" s="193"/>
      <c r="E1138" s="193"/>
      <c r="F1138" s="193"/>
      <c r="G1138" s="193"/>
      <c r="H1138" s="193"/>
      <c r="I1138" s="193"/>
      <c r="J1138" s="193"/>
    </row>
    <row r="1139" spans="1:10">
      <c r="A1139" s="193"/>
      <c r="B1139" s="193"/>
      <c r="C1139" s="193"/>
      <c r="D1139" s="193"/>
      <c r="E1139" s="193"/>
      <c r="F1139" s="193"/>
      <c r="G1139" s="193"/>
      <c r="H1139" s="193"/>
      <c r="I1139" s="193"/>
      <c r="J1139" s="193"/>
    </row>
    <row r="1140" spans="1:10">
      <c r="A1140" s="193"/>
      <c r="B1140" s="193"/>
      <c r="C1140" s="193"/>
      <c r="D1140" s="193"/>
      <c r="E1140" s="193"/>
      <c r="F1140" s="193"/>
      <c r="G1140" s="193"/>
      <c r="H1140" s="193"/>
      <c r="I1140" s="193"/>
      <c r="J1140" s="193"/>
    </row>
    <row r="1141" spans="1:10">
      <c r="A1141" s="193"/>
      <c r="B1141" s="193"/>
      <c r="C1141" s="193"/>
      <c r="D1141" s="193"/>
      <c r="E1141" s="193"/>
      <c r="F1141" s="193"/>
      <c r="G1141" s="193"/>
      <c r="H1141" s="193"/>
      <c r="I1141" s="193"/>
      <c r="J1141" s="193"/>
    </row>
    <row r="1142" spans="1:10">
      <c r="A1142" s="193"/>
      <c r="B1142" s="193"/>
      <c r="C1142" s="193"/>
      <c r="D1142" s="193"/>
      <c r="E1142" s="193"/>
      <c r="F1142" s="193"/>
      <c r="G1142" s="193"/>
      <c r="H1142" s="193"/>
      <c r="I1142" s="193"/>
      <c r="J1142" s="193"/>
    </row>
    <row r="1143" spans="1:10">
      <c r="A1143" s="193"/>
      <c r="B1143" s="193"/>
      <c r="C1143" s="193"/>
      <c r="D1143" s="193"/>
      <c r="E1143" s="193"/>
      <c r="F1143" s="193"/>
      <c r="G1143" s="193"/>
      <c r="H1143" s="193"/>
      <c r="I1143" s="193"/>
      <c r="J1143" s="193"/>
    </row>
    <row r="1144" spans="1:10">
      <c r="A1144" s="193"/>
      <c r="B1144" s="193"/>
      <c r="C1144" s="193"/>
      <c r="D1144" s="193"/>
      <c r="E1144" s="193"/>
      <c r="F1144" s="193"/>
      <c r="G1144" s="193"/>
      <c r="H1144" s="193"/>
      <c r="I1144" s="193"/>
      <c r="J1144" s="193"/>
    </row>
    <row r="1145" spans="1:10">
      <c r="A1145" s="193"/>
      <c r="B1145" s="193"/>
      <c r="C1145" s="193"/>
      <c r="D1145" s="193"/>
      <c r="E1145" s="193"/>
      <c r="F1145" s="193"/>
      <c r="G1145" s="193"/>
      <c r="H1145" s="193"/>
      <c r="I1145" s="193"/>
      <c r="J1145" s="193"/>
    </row>
    <row r="1146" spans="1:10">
      <c r="A1146" s="193"/>
      <c r="B1146" s="193"/>
      <c r="C1146" s="193"/>
      <c r="D1146" s="193"/>
      <c r="E1146" s="193"/>
      <c r="F1146" s="193"/>
      <c r="G1146" s="193"/>
      <c r="H1146" s="193"/>
      <c r="I1146" s="193"/>
      <c r="J1146" s="193"/>
    </row>
    <row r="1147" spans="1:10">
      <c r="A1147" s="193"/>
      <c r="B1147" s="193"/>
      <c r="C1147" s="193"/>
      <c r="D1147" s="193"/>
      <c r="E1147" s="193"/>
      <c r="F1147" s="193"/>
      <c r="G1147" s="193"/>
      <c r="H1147" s="193"/>
      <c r="I1147" s="193"/>
      <c r="J1147" s="193"/>
    </row>
    <row r="1148" spans="1:10">
      <c r="A1148" s="193"/>
      <c r="B1148" s="193"/>
      <c r="C1148" s="193"/>
      <c r="D1148" s="193"/>
      <c r="E1148" s="193"/>
      <c r="F1148" s="193"/>
      <c r="G1148" s="193"/>
      <c r="H1148" s="193"/>
      <c r="I1148" s="193"/>
      <c r="J1148" s="193"/>
    </row>
    <row r="1149" spans="1:10">
      <c r="A1149" s="193"/>
      <c r="B1149" s="193"/>
      <c r="C1149" s="193"/>
      <c r="D1149" s="193"/>
      <c r="E1149" s="193"/>
      <c r="F1149" s="193"/>
      <c r="G1149" s="193"/>
      <c r="H1149" s="193"/>
      <c r="I1149" s="193"/>
      <c r="J1149" s="193"/>
    </row>
    <row r="1150" spans="1:10">
      <c r="A1150" s="193"/>
      <c r="B1150" s="193"/>
      <c r="C1150" s="193"/>
      <c r="D1150" s="193"/>
      <c r="E1150" s="193"/>
      <c r="F1150" s="193"/>
      <c r="G1150" s="193"/>
      <c r="H1150" s="193"/>
      <c r="I1150" s="193"/>
      <c r="J1150" s="193"/>
    </row>
    <row r="1151" spans="1:10">
      <c r="A1151" s="193"/>
      <c r="B1151" s="193"/>
      <c r="C1151" s="193"/>
      <c r="D1151" s="193"/>
      <c r="E1151" s="193"/>
      <c r="F1151" s="193"/>
      <c r="G1151" s="193"/>
      <c r="H1151" s="193"/>
      <c r="I1151" s="193"/>
      <c r="J1151" s="193"/>
    </row>
    <row r="1152" spans="1:10">
      <c r="A1152" s="193"/>
      <c r="B1152" s="193"/>
      <c r="C1152" s="193"/>
      <c r="D1152" s="193"/>
      <c r="E1152" s="193"/>
      <c r="F1152" s="193"/>
      <c r="G1152" s="193"/>
      <c r="H1152" s="193"/>
      <c r="I1152" s="193"/>
      <c r="J1152" s="193"/>
    </row>
    <row r="1153" spans="1:10">
      <c r="A1153" s="193"/>
      <c r="B1153" s="193"/>
      <c r="C1153" s="193"/>
      <c r="D1153" s="193"/>
      <c r="E1153" s="193"/>
      <c r="F1153" s="193"/>
      <c r="G1153" s="193"/>
      <c r="H1153" s="193"/>
      <c r="I1153" s="193"/>
      <c r="J1153" s="193"/>
    </row>
    <row r="1154" spans="1:10">
      <c r="A1154" s="193"/>
      <c r="B1154" s="193"/>
      <c r="C1154" s="193"/>
      <c r="D1154" s="193"/>
      <c r="E1154" s="193"/>
      <c r="F1154" s="193"/>
      <c r="G1154" s="193"/>
      <c r="H1154" s="193"/>
      <c r="I1154" s="193"/>
      <c r="J1154" s="193"/>
    </row>
    <row r="1155" spans="1:10">
      <c r="A1155" s="193"/>
      <c r="B1155" s="193"/>
      <c r="C1155" s="193"/>
      <c r="D1155" s="193"/>
      <c r="E1155" s="193"/>
      <c r="F1155" s="193"/>
      <c r="G1155" s="193"/>
      <c r="H1155" s="193"/>
      <c r="I1155" s="193"/>
      <c r="J1155" s="193"/>
    </row>
    <row r="1156" spans="1:10">
      <c r="A1156" s="193"/>
      <c r="B1156" s="193"/>
      <c r="C1156" s="193"/>
      <c r="D1156" s="193"/>
      <c r="E1156" s="193"/>
      <c r="F1156" s="193"/>
      <c r="G1156" s="193"/>
      <c r="H1156" s="193"/>
      <c r="I1156" s="193"/>
      <c r="J1156" s="193"/>
    </row>
    <row r="1157" spans="1:10">
      <c r="A1157" s="193"/>
      <c r="B1157" s="193"/>
      <c r="C1157" s="193"/>
      <c r="D1157" s="193"/>
      <c r="E1157" s="193"/>
      <c r="F1157" s="193"/>
      <c r="G1157" s="193"/>
      <c r="H1157" s="193"/>
      <c r="I1157" s="193"/>
      <c r="J1157" s="193"/>
    </row>
    <row r="1158" spans="1:10">
      <c r="A1158" s="193"/>
      <c r="B1158" s="193"/>
      <c r="C1158" s="193"/>
      <c r="D1158" s="193"/>
      <c r="E1158" s="193"/>
      <c r="F1158" s="193"/>
      <c r="G1158" s="193"/>
      <c r="H1158" s="193"/>
      <c r="I1158" s="193"/>
      <c r="J1158" s="193"/>
    </row>
    <row r="1159" spans="1:10">
      <c r="A1159" s="193"/>
      <c r="B1159" s="193"/>
      <c r="C1159" s="193"/>
      <c r="D1159" s="193"/>
      <c r="E1159" s="193"/>
      <c r="F1159" s="193"/>
      <c r="G1159" s="193"/>
      <c r="H1159" s="193"/>
      <c r="I1159" s="193"/>
      <c r="J1159" s="193"/>
    </row>
    <row r="1160" spans="1:10">
      <c r="A1160" s="193"/>
      <c r="B1160" s="193"/>
      <c r="C1160" s="193"/>
      <c r="D1160" s="193"/>
      <c r="E1160" s="193"/>
      <c r="F1160" s="193"/>
      <c r="G1160" s="193"/>
      <c r="H1160" s="193"/>
      <c r="I1160" s="193"/>
      <c r="J1160" s="193"/>
    </row>
    <row r="1161" spans="1:10">
      <c r="A1161" s="193"/>
      <c r="B1161" s="193"/>
      <c r="C1161" s="193"/>
      <c r="D1161" s="193"/>
      <c r="E1161" s="193"/>
      <c r="F1161" s="193"/>
      <c r="G1161" s="193"/>
      <c r="H1161" s="193"/>
      <c r="I1161" s="193"/>
      <c r="J1161" s="193"/>
    </row>
    <row r="1162" spans="1:10">
      <c r="A1162" s="193"/>
      <c r="B1162" s="193"/>
      <c r="C1162" s="193"/>
      <c r="D1162" s="193"/>
      <c r="E1162" s="193"/>
      <c r="F1162" s="193"/>
      <c r="G1162" s="193"/>
      <c r="H1162" s="193"/>
      <c r="I1162" s="193"/>
      <c r="J1162" s="193"/>
    </row>
    <row r="1163" spans="1:10">
      <c r="A1163" s="193"/>
      <c r="B1163" s="193"/>
      <c r="C1163" s="193"/>
      <c r="D1163" s="193"/>
      <c r="E1163" s="193"/>
      <c r="F1163" s="193"/>
      <c r="G1163" s="193"/>
      <c r="H1163" s="193"/>
      <c r="I1163" s="193"/>
      <c r="J1163" s="193"/>
    </row>
    <row r="1164" spans="1:10">
      <c r="A1164" s="193"/>
      <c r="B1164" s="193"/>
      <c r="C1164" s="193"/>
      <c r="D1164" s="193"/>
      <c r="E1164" s="193"/>
      <c r="F1164" s="193"/>
      <c r="G1164" s="193"/>
      <c r="H1164" s="193"/>
      <c r="I1164" s="193"/>
      <c r="J1164" s="193"/>
    </row>
    <row r="1165" spans="1:10">
      <c r="A1165" s="193"/>
      <c r="B1165" s="193"/>
      <c r="C1165" s="193"/>
      <c r="D1165" s="193"/>
      <c r="E1165" s="193"/>
      <c r="F1165" s="193"/>
      <c r="G1165" s="193"/>
      <c r="H1165" s="193"/>
      <c r="I1165" s="193"/>
      <c r="J1165" s="193"/>
    </row>
    <row r="1166" spans="1:10">
      <c r="A1166" s="193"/>
      <c r="B1166" s="193"/>
      <c r="C1166" s="193"/>
      <c r="D1166" s="193"/>
      <c r="E1166" s="193"/>
      <c r="F1166" s="193"/>
      <c r="G1166" s="193"/>
      <c r="H1166" s="193"/>
      <c r="I1166" s="193"/>
      <c r="J1166" s="193"/>
    </row>
    <row r="1167" spans="1:10">
      <c r="A1167" s="193"/>
      <c r="B1167" s="193"/>
      <c r="C1167" s="193"/>
      <c r="D1167" s="193"/>
      <c r="E1167" s="193"/>
      <c r="F1167" s="193"/>
      <c r="G1167" s="193"/>
      <c r="H1167" s="193"/>
      <c r="I1167" s="193"/>
      <c r="J1167" s="193"/>
    </row>
    <row r="1168" spans="1:10">
      <c r="A1168" s="193"/>
      <c r="B1168" s="193"/>
      <c r="C1168" s="193"/>
      <c r="D1168" s="193"/>
      <c r="E1168" s="193"/>
      <c r="F1168" s="193"/>
      <c r="G1168" s="193"/>
      <c r="H1168" s="193"/>
      <c r="I1168" s="193"/>
      <c r="J1168" s="193"/>
    </row>
    <row r="1169" spans="1:10">
      <c r="A1169" s="193"/>
      <c r="B1169" s="193"/>
      <c r="C1169" s="193"/>
      <c r="D1169" s="193"/>
      <c r="E1169" s="193"/>
      <c r="F1169" s="193"/>
      <c r="G1169" s="193"/>
      <c r="H1169" s="193"/>
      <c r="I1169" s="193"/>
      <c r="J1169" s="193"/>
    </row>
    <row r="1170" spans="1:10">
      <c r="A1170" s="193"/>
      <c r="B1170" s="193"/>
      <c r="C1170" s="193"/>
      <c r="D1170" s="193"/>
      <c r="E1170" s="193"/>
      <c r="F1170" s="193"/>
      <c r="G1170" s="193"/>
      <c r="H1170" s="193"/>
      <c r="I1170" s="193"/>
      <c r="J1170" s="193"/>
    </row>
    <row r="1171" spans="1:10">
      <c r="A1171" s="193"/>
      <c r="B1171" s="193"/>
      <c r="C1171" s="193"/>
      <c r="D1171" s="193"/>
      <c r="E1171" s="193"/>
      <c r="F1171" s="193"/>
      <c r="G1171" s="193"/>
      <c r="H1171" s="193"/>
      <c r="I1171" s="193"/>
      <c r="J1171" s="193"/>
    </row>
    <row r="1172" spans="1:10">
      <c r="A1172" s="193"/>
      <c r="B1172" s="193"/>
      <c r="C1172" s="193"/>
      <c r="D1172" s="193"/>
      <c r="E1172" s="193"/>
      <c r="F1172" s="193"/>
      <c r="G1172" s="193"/>
      <c r="H1172" s="193"/>
      <c r="I1172" s="193"/>
      <c r="J1172" s="193"/>
    </row>
    <row r="1173" spans="1:10">
      <c r="A1173" s="193"/>
      <c r="B1173" s="193"/>
      <c r="C1173" s="193"/>
      <c r="D1173" s="193"/>
      <c r="E1173" s="193"/>
      <c r="F1173" s="193"/>
      <c r="G1173" s="193"/>
      <c r="H1173" s="193"/>
      <c r="I1173" s="193"/>
      <c r="J1173" s="193"/>
    </row>
    <row r="1174" spans="1:10">
      <c r="A1174" s="193"/>
      <c r="B1174" s="193"/>
      <c r="C1174" s="193"/>
      <c r="D1174" s="193"/>
      <c r="E1174" s="193"/>
      <c r="F1174" s="193"/>
      <c r="G1174" s="193"/>
      <c r="H1174" s="193"/>
      <c r="I1174" s="193"/>
      <c r="J1174" s="193"/>
    </row>
    <row r="1175" spans="1:10">
      <c r="A1175" s="193"/>
      <c r="B1175" s="193"/>
      <c r="C1175" s="193"/>
      <c r="D1175" s="193"/>
      <c r="E1175" s="193"/>
      <c r="F1175" s="193"/>
      <c r="G1175" s="193"/>
      <c r="H1175" s="193"/>
      <c r="I1175" s="193"/>
      <c r="J1175" s="193"/>
    </row>
    <row r="1176" spans="1:10">
      <c r="A1176" s="193"/>
      <c r="B1176" s="193"/>
      <c r="C1176" s="193"/>
      <c r="D1176" s="193"/>
      <c r="E1176" s="193"/>
      <c r="F1176" s="193"/>
      <c r="G1176" s="193"/>
      <c r="H1176" s="193"/>
      <c r="I1176" s="193"/>
      <c r="J1176" s="193"/>
    </row>
    <row r="1177" spans="1:10">
      <c r="A1177" s="193"/>
      <c r="B1177" s="193"/>
      <c r="C1177" s="193"/>
      <c r="D1177" s="193"/>
      <c r="E1177" s="193"/>
      <c r="F1177" s="193"/>
      <c r="G1177" s="193"/>
      <c r="H1177" s="193"/>
      <c r="I1177" s="193"/>
      <c r="J1177" s="193"/>
    </row>
    <row r="1178" spans="1:10">
      <c r="A1178" s="193"/>
      <c r="B1178" s="193"/>
      <c r="C1178" s="193"/>
      <c r="D1178" s="193"/>
      <c r="E1178" s="193"/>
      <c r="F1178" s="193"/>
      <c r="G1178" s="193"/>
      <c r="H1178" s="193"/>
      <c r="I1178" s="193"/>
      <c r="J1178" s="193"/>
    </row>
    <row r="1179" spans="1:10">
      <c r="A1179" s="193"/>
      <c r="B1179" s="193"/>
      <c r="C1179" s="193"/>
      <c r="D1179" s="193"/>
      <c r="E1179" s="193"/>
      <c r="F1179" s="193"/>
      <c r="G1179" s="193"/>
      <c r="H1179" s="193"/>
      <c r="I1179" s="193"/>
      <c r="J1179" s="193"/>
    </row>
    <row r="1180" spans="1:10">
      <c r="A1180" s="193"/>
      <c r="B1180" s="193"/>
      <c r="C1180" s="193"/>
      <c r="D1180" s="193"/>
      <c r="E1180" s="193"/>
      <c r="F1180" s="193"/>
      <c r="G1180" s="193"/>
      <c r="H1180" s="193"/>
      <c r="I1180" s="193"/>
      <c r="J1180" s="193"/>
    </row>
    <row r="1181" spans="1:10">
      <c r="A1181" s="193"/>
      <c r="B1181" s="193"/>
      <c r="C1181" s="193"/>
      <c r="D1181" s="193"/>
      <c r="E1181" s="193"/>
      <c r="F1181" s="193"/>
      <c r="G1181" s="193"/>
      <c r="H1181" s="193"/>
      <c r="I1181" s="193"/>
      <c r="J1181" s="193"/>
    </row>
    <row r="1182" spans="1:10">
      <c r="A1182" s="193"/>
      <c r="B1182" s="193"/>
      <c r="C1182" s="193"/>
      <c r="D1182" s="193"/>
      <c r="E1182" s="193"/>
      <c r="F1182" s="193"/>
      <c r="G1182" s="193"/>
      <c r="H1182" s="193"/>
      <c r="I1182" s="193"/>
      <c r="J1182" s="193"/>
    </row>
    <row r="1183" spans="1:10">
      <c r="A1183" s="193"/>
      <c r="B1183" s="193"/>
      <c r="C1183" s="193"/>
      <c r="D1183" s="193"/>
      <c r="E1183" s="193"/>
      <c r="F1183" s="193"/>
      <c r="G1183" s="193"/>
      <c r="H1183" s="193"/>
      <c r="I1183" s="193"/>
      <c r="J1183" s="193"/>
    </row>
    <row r="1184" spans="1:10">
      <c r="A1184" s="193"/>
      <c r="B1184" s="193"/>
      <c r="C1184" s="193"/>
      <c r="D1184" s="193"/>
      <c r="E1184" s="193"/>
      <c r="F1184" s="193"/>
      <c r="G1184" s="193"/>
      <c r="H1184" s="193"/>
      <c r="I1184" s="193"/>
      <c r="J1184" s="193"/>
    </row>
    <row r="1185" spans="1:10">
      <c r="A1185" s="193"/>
      <c r="B1185" s="193"/>
      <c r="C1185" s="193"/>
      <c r="D1185" s="193"/>
      <c r="E1185" s="193"/>
      <c r="F1185" s="193"/>
      <c r="G1185" s="193"/>
      <c r="H1185" s="193"/>
      <c r="I1185" s="193"/>
      <c r="J1185" s="193"/>
    </row>
    <row r="1186" spans="1:10">
      <c r="A1186" s="193"/>
      <c r="B1186" s="193"/>
      <c r="C1186" s="193"/>
      <c r="D1186" s="193"/>
      <c r="E1186" s="193"/>
      <c r="F1186" s="193"/>
      <c r="G1186" s="193"/>
      <c r="H1186" s="193"/>
      <c r="I1186" s="193"/>
      <c r="J1186" s="193"/>
    </row>
    <row r="1187" spans="1:10">
      <c r="A1187" s="193"/>
      <c r="B1187" s="193"/>
      <c r="C1187" s="193"/>
      <c r="D1187" s="193"/>
      <c r="E1187" s="193"/>
      <c r="F1187" s="193"/>
      <c r="G1187" s="193"/>
      <c r="H1187" s="193"/>
      <c r="I1187" s="193"/>
      <c r="J1187" s="193"/>
    </row>
    <row r="1188" spans="1:10">
      <c r="A1188" s="193"/>
      <c r="B1188" s="193"/>
      <c r="C1188" s="193"/>
      <c r="D1188" s="193"/>
      <c r="E1188" s="193"/>
      <c r="F1188" s="193"/>
      <c r="G1188" s="193"/>
      <c r="H1188" s="193"/>
      <c r="I1188" s="193"/>
      <c r="J1188" s="193"/>
    </row>
    <row r="1189" spans="1:10">
      <c r="A1189" s="193"/>
      <c r="B1189" s="193"/>
      <c r="C1189" s="193"/>
      <c r="D1189" s="193"/>
      <c r="E1189" s="193"/>
      <c r="F1189" s="193"/>
      <c r="G1189" s="193"/>
      <c r="H1189" s="193"/>
      <c r="I1189" s="193"/>
      <c r="J1189" s="193"/>
    </row>
    <row r="1190" spans="1:10">
      <c r="A1190" s="193"/>
      <c r="B1190" s="193"/>
      <c r="C1190" s="193"/>
      <c r="D1190" s="193"/>
      <c r="E1190" s="193"/>
      <c r="F1190" s="193"/>
      <c r="G1190" s="193"/>
      <c r="H1190" s="193"/>
      <c r="I1190" s="193"/>
      <c r="J1190" s="193"/>
    </row>
    <row r="1191" spans="1:10">
      <c r="A1191" s="193"/>
      <c r="B1191" s="193"/>
      <c r="C1191" s="193"/>
      <c r="D1191" s="193"/>
      <c r="E1191" s="193"/>
      <c r="F1191" s="193"/>
      <c r="G1191" s="193"/>
      <c r="H1191" s="193"/>
      <c r="I1191" s="193"/>
      <c r="J1191" s="193"/>
    </row>
    <row r="1192" spans="1:10">
      <c r="A1192" s="193"/>
      <c r="B1192" s="193"/>
      <c r="C1192" s="193"/>
      <c r="D1192" s="193"/>
      <c r="E1192" s="193"/>
      <c r="F1192" s="193"/>
      <c r="G1192" s="193"/>
      <c r="H1192" s="193"/>
      <c r="I1192" s="193"/>
      <c r="J1192" s="193"/>
    </row>
    <row r="1193" spans="1:10">
      <c r="A1193" s="193"/>
      <c r="B1193" s="193"/>
      <c r="C1193" s="193"/>
      <c r="D1193" s="193"/>
      <c r="E1193" s="193"/>
      <c r="F1193" s="193"/>
      <c r="G1193" s="193"/>
      <c r="H1193" s="193"/>
      <c r="I1193" s="193"/>
      <c r="J1193" s="193"/>
    </row>
    <row r="1194" spans="1:10">
      <c r="A1194" s="193"/>
      <c r="B1194" s="193"/>
      <c r="C1194" s="193"/>
      <c r="D1194" s="193"/>
      <c r="E1194" s="193"/>
      <c r="F1194" s="193"/>
      <c r="G1194" s="193"/>
      <c r="H1194" s="193"/>
      <c r="I1194" s="193"/>
      <c r="J1194" s="193"/>
    </row>
    <row r="1195" spans="1:10">
      <c r="A1195" s="193"/>
      <c r="B1195" s="193"/>
      <c r="C1195" s="193"/>
      <c r="D1195" s="193"/>
      <c r="E1195" s="193"/>
      <c r="F1195" s="193"/>
      <c r="G1195" s="193"/>
      <c r="H1195" s="193"/>
      <c r="I1195" s="193"/>
      <c r="J1195" s="193"/>
    </row>
    <row r="1196" spans="1:10">
      <c r="A1196" s="193"/>
      <c r="B1196" s="193"/>
      <c r="C1196" s="193"/>
      <c r="D1196" s="193"/>
      <c r="E1196" s="193"/>
      <c r="F1196" s="193"/>
      <c r="G1196" s="193"/>
      <c r="H1196" s="193"/>
      <c r="I1196" s="193"/>
      <c r="J1196" s="193"/>
    </row>
    <row r="1197" spans="1:10">
      <c r="A1197" s="193"/>
      <c r="B1197" s="193"/>
      <c r="C1197" s="193"/>
      <c r="D1197" s="193"/>
      <c r="E1197" s="193"/>
      <c r="F1197" s="193"/>
      <c r="G1197" s="193"/>
      <c r="H1197" s="193"/>
      <c r="I1197" s="193"/>
      <c r="J1197" s="193"/>
    </row>
    <row r="1198" spans="1:10">
      <c r="A1198" s="193"/>
      <c r="B1198" s="193"/>
      <c r="C1198" s="193"/>
      <c r="D1198" s="193"/>
      <c r="E1198" s="193"/>
      <c r="F1198" s="193"/>
      <c r="G1198" s="193"/>
      <c r="H1198" s="193"/>
      <c r="I1198" s="193"/>
      <c r="J1198" s="193"/>
    </row>
    <row r="1199" spans="1:10">
      <c r="A1199" s="193"/>
      <c r="B1199" s="193"/>
      <c r="C1199" s="193"/>
      <c r="D1199" s="193"/>
      <c r="E1199" s="193"/>
      <c r="F1199" s="193"/>
      <c r="G1199" s="193"/>
      <c r="H1199" s="193"/>
      <c r="I1199" s="193"/>
      <c r="J1199" s="193"/>
    </row>
    <row r="1200" spans="1:10">
      <c r="A1200" s="193"/>
      <c r="B1200" s="193"/>
      <c r="C1200" s="193"/>
      <c r="D1200" s="193"/>
      <c r="E1200" s="193"/>
      <c r="F1200" s="193"/>
      <c r="G1200" s="193"/>
      <c r="H1200" s="193"/>
      <c r="I1200" s="193"/>
      <c r="J1200" s="193"/>
    </row>
    <row r="1201" spans="1:10">
      <c r="A1201" s="193"/>
      <c r="B1201" s="193"/>
      <c r="C1201" s="193"/>
      <c r="D1201" s="193"/>
      <c r="E1201" s="193"/>
      <c r="F1201" s="193"/>
      <c r="G1201" s="193"/>
      <c r="H1201" s="193"/>
      <c r="I1201" s="193"/>
      <c r="J1201" s="193"/>
    </row>
    <row r="1202" spans="1:10">
      <c r="A1202" s="193"/>
      <c r="B1202" s="193"/>
      <c r="C1202" s="193"/>
      <c r="D1202" s="193"/>
      <c r="E1202" s="193"/>
      <c r="F1202" s="193"/>
      <c r="G1202" s="193"/>
      <c r="H1202" s="193"/>
      <c r="I1202" s="193"/>
      <c r="J1202" s="193"/>
    </row>
    <row r="1203" spans="1:10">
      <c r="A1203" s="193"/>
      <c r="B1203" s="193"/>
      <c r="C1203" s="193"/>
      <c r="D1203" s="193"/>
      <c r="E1203" s="193"/>
      <c r="F1203" s="193"/>
      <c r="G1203" s="193"/>
      <c r="H1203" s="193"/>
      <c r="I1203" s="193"/>
      <c r="J1203" s="193"/>
    </row>
    <row r="1204" spans="1:10">
      <c r="A1204" s="193"/>
      <c r="B1204" s="193"/>
      <c r="C1204" s="193"/>
      <c r="D1204" s="193"/>
      <c r="E1204" s="193"/>
      <c r="F1204" s="193"/>
      <c r="G1204" s="193"/>
      <c r="H1204" s="193"/>
      <c r="I1204" s="193"/>
      <c r="J1204" s="193"/>
    </row>
    <row r="1205" spans="1:10">
      <c r="A1205" s="193"/>
      <c r="B1205" s="193"/>
      <c r="C1205" s="193"/>
      <c r="D1205" s="193"/>
      <c r="E1205" s="193"/>
      <c r="F1205" s="193"/>
      <c r="G1205" s="193"/>
      <c r="H1205" s="193"/>
      <c r="I1205" s="193"/>
      <c r="J1205" s="193"/>
    </row>
    <row r="1206" spans="1:10">
      <c r="A1206" s="193"/>
      <c r="B1206" s="193"/>
      <c r="C1206" s="193"/>
      <c r="D1206" s="193"/>
      <c r="E1206" s="193"/>
      <c r="F1206" s="193"/>
      <c r="G1206" s="193"/>
      <c r="H1206" s="193"/>
      <c r="I1206" s="193"/>
      <c r="J1206" s="193"/>
    </row>
    <row r="1207" spans="1:10">
      <c r="A1207" s="193"/>
      <c r="B1207" s="193"/>
      <c r="C1207" s="193"/>
      <c r="D1207" s="193"/>
      <c r="E1207" s="193"/>
      <c r="F1207" s="193"/>
      <c r="G1207" s="193"/>
      <c r="H1207" s="193"/>
      <c r="I1207" s="193"/>
      <c r="J1207" s="193"/>
    </row>
    <row r="1208" spans="1:10">
      <c r="A1208" s="193"/>
      <c r="B1208" s="193"/>
      <c r="C1208" s="193"/>
      <c r="D1208" s="193"/>
      <c r="E1208" s="193"/>
      <c r="F1208" s="193"/>
      <c r="G1208" s="193"/>
      <c r="H1208" s="193"/>
      <c r="I1208" s="193"/>
      <c r="J1208" s="193"/>
    </row>
    <row r="1209" spans="1:10">
      <c r="A1209" s="193"/>
      <c r="B1209" s="193"/>
      <c r="C1209" s="193"/>
      <c r="D1209" s="193"/>
      <c r="E1209" s="193"/>
      <c r="F1209" s="193"/>
      <c r="G1209" s="193"/>
      <c r="H1209" s="193"/>
      <c r="I1209" s="193"/>
      <c r="J1209" s="193"/>
    </row>
    <row r="1210" spans="1:10">
      <c r="A1210" s="193"/>
      <c r="B1210" s="193"/>
      <c r="C1210" s="193"/>
      <c r="D1210" s="193"/>
      <c r="E1210" s="193"/>
      <c r="F1210" s="193"/>
      <c r="G1210" s="193"/>
      <c r="H1210" s="193"/>
      <c r="I1210" s="193"/>
      <c r="J1210" s="193"/>
    </row>
    <row r="1211" spans="1:10">
      <c r="A1211" s="193"/>
      <c r="B1211" s="193"/>
      <c r="C1211" s="193"/>
      <c r="D1211" s="193"/>
      <c r="E1211" s="193"/>
      <c r="F1211" s="193"/>
      <c r="G1211" s="193"/>
      <c r="H1211" s="193"/>
      <c r="I1211" s="193"/>
      <c r="J1211" s="193"/>
    </row>
    <row r="1212" spans="1:10">
      <c r="A1212" s="193"/>
      <c r="B1212" s="193"/>
      <c r="C1212" s="193"/>
      <c r="D1212" s="193"/>
      <c r="E1212" s="193"/>
      <c r="F1212" s="193"/>
      <c r="G1212" s="193"/>
      <c r="H1212" s="193"/>
      <c r="I1212" s="193"/>
      <c r="J1212" s="193"/>
    </row>
    <row r="1213" spans="1:10">
      <c r="A1213" s="193"/>
      <c r="B1213" s="193"/>
      <c r="C1213" s="193"/>
      <c r="D1213" s="193"/>
      <c r="E1213" s="193"/>
      <c r="F1213" s="193"/>
      <c r="G1213" s="193"/>
      <c r="H1213" s="193"/>
      <c r="I1213" s="193"/>
      <c r="J1213" s="193"/>
    </row>
    <row r="1214" spans="1:10">
      <c r="A1214" s="193"/>
      <c r="B1214" s="193"/>
      <c r="C1214" s="193"/>
      <c r="D1214" s="193"/>
      <c r="E1214" s="193"/>
      <c r="F1214" s="193"/>
      <c r="G1214" s="193"/>
      <c r="H1214" s="193"/>
      <c r="I1214" s="193"/>
      <c r="J1214" s="193"/>
    </row>
    <row r="1215" spans="1:10">
      <c r="A1215" s="193"/>
      <c r="B1215" s="193"/>
      <c r="C1215" s="193"/>
      <c r="D1215" s="193"/>
      <c r="E1215" s="193"/>
      <c r="F1215" s="193"/>
      <c r="G1215" s="193"/>
      <c r="H1215" s="193"/>
      <c r="I1215" s="193"/>
      <c r="J1215" s="193"/>
    </row>
    <row r="1216" spans="1:10">
      <c r="A1216" s="193"/>
      <c r="B1216" s="193"/>
      <c r="C1216" s="193"/>
      <c r="D1216" s="193"/>
      <c r="E1216" s="193"/>
      <c r="F1216" s="193"/>
      <c r="G1216" s="193"/>
      <c r="H1216" s="193"/>
      <c r="I1216" s="193"/>
      <c r="J1216" s="193"/>
    </row>
    <row r="1217" spans="1:10">
      <c r="A1217" s="193"/>
      <c r="B1217" s="193"/>
      <c r="C1217" s="193"/>
      <c r="D1217" s="193"/>
      <c r="E1217" s="193"/>
      <c r="F1217" s="193"/>
      <c r="G1217" s="193"/>
      <c r="H1217" s="193"/>
      <c r="I1217" s="193"/>
      <c r="J1217" s="193"/>
    </row>
    <row r="1218" spans="1:10">
      <c r="A1218" s="193"/>
      <c r="B1218" s="193"/>
      <c r="C1218" s="193"/>
      <c r="D1218" s="193"/>
      <c r="E1218" s="193"/>
      <c r="F1218" s="193"/>
      <c r="G1218" s="193"/>
      <c r="H1218" s="193"/>
      <c r="I1218" s="193"/>
      <c r="J1218" s="193"/>
    </row>
    <row r="1219" spans="1:10">
      <c r="A1219" s="193"/>
      <c r="B1219" s="193"/>
      <c r="C1219" s="193"/>
      <c r="D1219" s="193"/>
      <c r="E1219" s="193"/>
      <c r="F1219" s="193"/>
      <c r="G1219" s="193"/>
      <c r="H1219" s="193"/>
      <c r="I1219" s="193"/>
      <c r="J1219" s="193"/>
    </row>
    <row r="1220" spans="1:10">
      <c r="A1220" s="193"/>
      <c r="B1220" s="193"/>
      <c r="C1220" s="193"/>
      <c r="D1220" s="193"/>
      <c r="E1220" s="193"/>
      <c r="F1220" s="193"/>
      <c r="G1220" s="193"/>
      <c r="H1220" s="193"/>
      <c r="I1220" s="193"/>
      <c r="J1220" s="193"/>
    </row>
    <row r="1221" spans="1:10">
      <c r="A1221" s="193"/>
      <c r="B1221" s="193"/>
      <c r="C1221" s="193"/>
      <c r="D1221" s="193"/>
      <c r="E1221" s="193"/>
      <c r="F1221" s="193"/>
      <c r="G1221" s="193"/>
      <c r="H1221" s="193"/>
      <c r="I1221" s="193"/>
      <c r="J1221" s="193"/>
    </row>
    <row r="1222" spans="1:10">
      <c r="A1222" s="193"/>
      <c r="B1222" s="193"/>
      <c r="C1222" s="193"/>
      <c r="D1222" s="193"/>
      <c r="E1222" s="193"/>
      <c r="F1222" s="193"/>
      <c r="G1222" s="193"/>
      <c r="H1222" s="193"/>
      <c r="I1222" s="193"/>
      <c r="J1222" s="193"/>
    </row>
    <row r="1223" spans="1:10">
      <c r="A1223" s="193"/>
      <c r="B1223" s="193"/>
      <c r="C1223" s="193"/>
      <c r="D1223" s="193"/>
      <c r="E1223" s="193"/>
      <c r="F1223" s="193"/>
      <c r="G1223" s="193"/>
      <c r="H1223" s="193"/>
      <c r="I1223" s="193"/>
      <c r="J1223" s="193"/>
    </row>
    <row r="1224" spans="1:10">
      <c r="A1224" s="193"/>
      <c r="B1224" s="193"/>
      <c r="C1224" s="193"/>
      <c r="D1224" s="193"/>
      <c r="E1224" s="193"/>
      <c r="F1224" s="193"/>
      <c r="G1224" s="193"/>
      <c r="H1224" s="193"/>
      <c r="I1224" s="193"/>
      <c r="J1224" s="193"/>
    </row>
    <row r="1225" spans="1:10">
      <c r="A1225" s="193"/>
      <c r="B1225" s="193"/>
      <c r="C1225" s="193"/>
      <c r="D1225" s="193"/>
      <c r="E1225" s="193"/>
      <c r="F1225" s="193"/>
      <c r="G1225" s="193"/>
      <c r="H1225" s="193"/>
      <c r="I1225" s="193"/>
      <c r="J1225" s="193"/>
    </row>
    <row r="1226" spans="1:10">
      <c r="A1226" s="193"/>
      <c r="B1226" s="193"/>
      <c r="C1226" s="193"/>
      <c r="D1226" s="193"/>
      <c r="E1226" s="193"/>
      <c r="F1226" s="193"/>
      <c r="G1226" s="193"/>
      <c r="H1226" s="193"/>
      <c r="I1226" s="193"/>
      <c r="J1226" s="193"/>
    </row>
    <row r="1227" spans="1:10">
      <c r="A1227" s="193"/>
      <c r="B1227" s="193"/>
      <c r="C1227" s="193"/>
      <c r="D1227" s="193"/>
      <c r="E1227" s="193"/>
      <c r="F1227" s="193"/>
      <c r="G1227" s="193"/>
      <c r="H1227" s="193"/>
      <c r="I1227" s="193"/>
      <c r="J1227" s="193"/>
    </row>
    <row r="1228" spans="1:10">
      <c r="A1228" s="193"/>
      <c r="B1228" s="193"/>
      <c r="C1228" s="193"/>
      <c r="D1228" s="193"/>
      <c r="E1228" s="193"/>
      <c r="F1228" s="193"/>
      <c r="G1228" s="193"/>
      <c r="H1228" s="193"/>
      <c r="I1228" s="193"/>
      <c r="J1228" s="193"/>
    </row>
    <row r="1229" spans="1:10">
      <c r="A1229" s="193"/>
      <c r="B1229" s="193"/>
      <c r="C1229" s="193"/>
      <c r="D1229" s="193"/>
      <c r="E1229" s="193"/>
      <c r="F1229" s="193"/>
      <c r="G1229" s="193"/>
      <c r="H1229" s="193"/>
      <c r="I1229" s="193"/>
      <c r="J1229" s="193"/>
    </row>
    <row r="1230" spans="1:10">
      <c r="A1230" s="193"/>
      <c r="B1230" s="193"/>
      <c r="C1230" s="193"/>
      <c r="D1230" s="193"/>
      <c r="E1230" s="193"/>
      <c r="F1230" s="193"/>
      <c r="G1230" s="193"/>
      <c r="H1230" s="193"/>
      <c r="I1230" s="193"/>
      <c r="J1230" s="193"/>
    </row>
    <row r="1231" spans="1:10">
      <c r="A1231" s="193"/>
      <c r="B1231" s="193"/>
      <c r="C1231" s="193"/>
      <c r="D1231" s="193"/>
      <c r="E1231" s="193"/>
      <c r="F1231" s="193"/>
      <c r="G1231" s="193"/>
      <c r="H1231" s="193"/>
      <c r="I1231" s="193"/>
      <c r="J1231" s="193"/>
    </row>
    <row r="1232" spans="1:10">
      <c r="A1232" s="193"/>
      <c r="B1232" s="193"/>
      <c r="C1232" s="193"/>
      <c r="D1232" s="193"/>
      <c r="E1232" s="193"/>
      <c r="F1232" s="193"/>
      <c r="G1232" s="193"/>
      <c r="H1232" s="193"/>
      <c r="I1232" s="193"/>
      <c r="J1232" s="193"/>
    </row>
    <row r="1233" spans="1:10">
      <c r="A1233" s="193"/>
      <c r="B1233" s="193"/>
      <c r="C1233" s="193"/>
      <c r="D1233" s="193"/>
      <c r="E1233" s="193"/>
      <c r="F1233" s="193"/>
      <c r="G1233" s="193"/>
      <c r="H1233" s="193"/>
      <c r="I1233" s="193"/>
      <c r="J1233" s="193"/>
    </row>
    <row r="1234" spans="1:10">
      <c r="A1234" s="193"/>
      <c r="B1234" s="193"/>
      <c r="C1234" s="193"/>
      <c r="D1234" s="193"/>
      <c r="E1234" s="193"/>
      <c r="F1234" s="193"/>
      <c r="G1234" s="193"/>
      <c r="H1234" s="193"/>
      <c r="I1234" s="193"/>
      <c r="J1234" s="193"/>
    </row>
    <row r="1235" spans="1:10">
      <c r="A1235" s="193"/>
      <c r="B1235" s="193"/>
      <c r="C1235" s="193"/>
      <c r="D1235" s="193"/>
      <c r="E1235" s="193"/>
      <c r="F1235" s="193"/>
      <c r="G1235" s="193"/>
      <c r="H1235" s="193"/>
      <c r="I1235" s="193"/>
      <c r="J1235" s="193"/>
    </row>
    <row r="1236" spans="1:10">
      <c r="A1236" s="193"/>
      <c r="B1236" s="193"/>
      <c r="C1236" s="193"/>
      <c r="D1236" s="193"/>
      <c r="E1236" s="193"/>
      <c r="F1236" s="193"/>
      <c r="G1236" s="193"/>
      <c r="H1236" s="193"/>
      <c r="I1236" s="193"/>
      <c r="J1236" s="193"/>
    </row>
    <row r="1237" spans="1:10">
      <c r="A1237" s="193"/>
      <c r="B1237" s="193"/>
      <c r="C1237" s="193"/>
      <c r="D1237" s="193"/>
      <c r="E1237" s="193"/>
      <c r="F1237" s="193"/>
      <c r="G1237" s="193"/>
      <c r="H1237" s="193"/>
      <c r="I1237" s="193"/>
      <c r="J1237" s="193"/>
    </row>
    <row r="1238" spans="1:10">
      <c r="A1238" s="193"/>
      <c r="B1238" s="193"/>
      <c r="C1238" s="193"/>
      <c r="D1238" s="193"/>
      <c r="E1238" s="193"/>
      <c r="F1238" s="193"/>
      <c r="G1238" s="193"/>
      <c r="H1238" s="193"/>
      <c r="I1238" s="193"/>
      <c r="J1238" s="193"/>
    </row>
    <row r="1239" spans="1:10">
      <c r="A1239" s="193"/>
      <c r="B1239" s="193"/>
      <c r="C1239" s="193"/>
      <c r="D1239" s="193"/>
      <c r="E1239" s="193"/>
      <c r="F1239" s="193"/>
      <c r="G1239" s="193"/>
      <c r="H1239" s="193"/>
      <c r="I1239" s="193"/>
      <c r="J1239" s="193"/>
    </row>
    <row r="1240" spans="1:10">
      <c r="A1240" s="193"/>
      <c r="B1240" s="193"/>
      <c r="C1240" s="193"/>
      <c r="D1240" s="193"/>
      <c r="E1240" s="193"/>
      <c r="F1240" s="193"/>
      <c r="G1240" s="193"/>
      <c r="H1240" s="193"/>
      <c r="I1240" s="193"/>
      <c r="J1240" s="193"/>
    </row>
    <row r="1241" spans="1:10">
      <c r="A1241" s="193"/>
      <c r="B1241" s="193"/>
      <c r="C1241" s="193"/>
      <c r="D1241" s="193"/>
      <c r="E1241" s="193"/>
      <c r="F1241" s="193"/>
      <c r="G1241" s="193"/>
      <c r="H1241" s="193"/>
      <c r="I1241" s="193"/>
      <c r="J1241" s="193"/>
    </row>
    <row r="1242" spans="1:10">
      <c r="A1242" s="193"/>
      <c r="B1242" s="193"/>
      <c r="C1242" s="193"/>
      <c r="D1242" s="193"/>
      <c r="E1242" s="193"/>
      <c r="F1242" s="193"/>
      <c r="G1242" s="193"/>
      <c r="H1242" s="193"/>
      <c r="I1242" s="193"/>
      <c r="J1242" s="193"/>
    </row>
    <row r="1243" spans="1:10">
      <c r="A1243" s="193"/>
      <c r="B1243" s="193"/>
      <c r="C1243" s="193"/>
      <c r="D1243" s="193"/>
      <c r="E1243" s="193"/>
      <c r="F1243" s="193"/>
      <c r="G1243" s="193"/>
      <c r="H1243" s="193"/>
      <c r="I1243" s="193"/>
      <c r="J1243" s="193"/>
    </row>
    <row r="1244" spans="1:10">
      <c r="A1244" s="193"/>
      <c r="B1244" s="193"/>
      <c r="C1244" s="193"/>
      <c r="D1244" s="193"/>
      <c r="E1244" s="193"/>
      <c r="F1244" s="193"/>
      <c r="G1244" s="193"/>
      <c r="H1244" s="193"/>
      <c r="I1244" s="193"/>
      <c r="J1244" s="193"/>
    </row>
    <row r="1245" spans="1:10">
      <c r="A1245" s="193"/>
      <c r="B1245" s="193"/>
      <c r="C1245" s="193"/>
      <c r="D1245" s="193"/>
      <c r="E1245" s="193"/>
      <c r="F1245" s="193"/>
      <c r="G1245" s="193"/>
      <c r="H1245" s="193"/>
      <c r="I1245" s="193"/>
      <c r="J1245" s="193"/>
    </row>
    <row r="1246" spans="1:10">
      <c r="A1246" s="193"/>
      <c r="B1246" s="193"/>
      <c r="C1246" s="193"/>
      <c r="D1246" s="193"/>
      <c r="E1246" s="193"/>
      <c r="F1246" s="193"/>
      <c r="G1246" s="193"/>
      <c r="H1246" s="193"/>
      <c r="I1246" s="193"/>
      <c r="J1246" s="193"/>
    </row>
    <row r="1247" spans="1:10">
      <c r="A1247" s="193"/>
      <c r="B1247" s="193"/>
      <c r="C1247" s="193"/>
      <c r="D1247" s="193"/>
      <c r="E1247" s="193"/>
      <c r="F1247" s="193"/>
      <c r="G1247" s="193"/>
      <c r="H1247" s="193"/>
      <c r="I1247" s="193"/>
      <c r="J1247" s="193"/>
    </row>
    <row r="1248" spans="1:10">
      <c r="A1248" s="193"/>
      <c r="B1248" s="193"/>
      <c r="C1248" s="193"/>
      <c r="D1248" s="193"/>
      <c r="E1248" s="193"/>
      <c r="F1248" s="193"/>
      <c r="G1248" s="193"/>
      <c r="H1248" s="193"/>
      <c r="I1248" s="193"/>
      <c r="J1248" s="193"/>
    </row>
    <row r="1249" spans="1:10">
      <c r="A1249" s="193"/>
      <c r="B1249" s="193"/>
      <c r="C1249" s="193"/>
      <c r="D1249" s="193"/>
      <c r="E1249" s="193"/>
      <c r="F1249" s="193"/>
      <c r="G1249" s="193"/>
      <c r="H1249" s="193"/>
      <c r="I1249" s="193"/>
      <c r="J1249" s="193"/>
    </row>
    <row r="1250" spans="1:10">
      <c r="A1250" s="193"/>
      <c r="B1250" s="193"/>
      <c r="C1250" s="193"/>
      <c r="D1250" s="193"/>
      <c r="E1250" s="193"/>
      <c r="F1250" s="193"/>
      <c r="G1250" s="193"/>
      <c r="H1250" s="193"/>
      <c r="I1250" s="193"/>
      <c r="J1250" s="193"/>
    </row>
    <row r="1251" spans="1:10">
      <c r="A1251" s="193"/>
      <c r="B1251" s="193"/>
      <c r="C1251" s="193"/>
      <c r="D1251" s="193"/>
      <c r="E1251" s="193"/>
      <c r="F1251" s="193"/>
      <c r="G1251" s="193"/>
      <c r="H1251" s="193"/>
      <c r="I1251" s="193"/>
      <c r="J1251" s="193"/>
    </row>
    <row r="1252" spans="1:10">
      <c r="A1252" s="193"/>
      <c r="B1252" s="193"/>
      <c r="C1252" s="193"/>
      <c r="D1252" s="193"/>
      <c r="E1252" s="193"/>
      <c r="F1252" s="193"/>
      <c r="G1252" s="193"/>
      <c r="H1252" s="193"/>
      <c r="I1252" s="193"/>
      <c r="J1252" s="193"/>
    </row>
    <row r="1253" spans="1:10">
      <c r="A1253" s="193"/>
      <c r="B1253" s="193"/>
      <c r="C1253" s="193"/>
      <c r="D1253" s="193"/>
      <c r="E1253" s="193"/>
      <c r="F1253" s="193"/>
      <c r="G1253" s="193"/>
      <c r="H1253" s="193"/>
      <c r="I1253" s="193"/>
      <c r="J1253" s="193"/>
    </row>
    <row r="1254" spans="1:10">
      <c r="A1254" s="193"/>
      <c r="B1254" s="193"/>
      <c r="C1254" s="193"/>
      <c r="D1254" s="193"/>
      <c r="E1254" s="193"/>
      <c r="F1254" s="193"/>
      <c r="G1254" s="193"/>
      <c r="H1254" s="193"/>
      <c r="I1254" s="193"/>
      <c r="J1254" s="193"/>
    </row>
    <row r="1255" spans="1:10">
      <c r="A1255" s="193"/>
      <c r="B1255" s="193"/>
      <c r="C1255" s="193"/>
      <c r="D1255" s="193"/>
      <c r="E1255" s="193"/>
      <c r="F1255" s="193"/>
      <c r="G1255" s="193"/>
      <c r="H1255" s="193"/>
      <c r="I1255" s="193"/>
      <c r="J1255" s="193"/>
    </row>
    <row r="1256" spans="1:10">
      <c r="A1256" s="193"/>
      <c r="B1256" s="193"/>
      <c r="C1256" s="193"/>
      <c r="D1256" s="193"/>
      <c r="E1256" s="193"/>
      <c r="F1256" s="193"/>
      <c r="G1256" s="193"/>
      <c r="H1256" s="193"/>
      <c r="I1256" s="193"/>
      <c r="J1256" s="193"/>
    </row>
    <row r="1257" spans="1:10">
      <c r="A1257" s="193"/>
      <c r="B1257" s="193"/>
      <c r="C1257" s="193"/>
      <c r="D1257" s="193"/>
      <c r="E1257" s="193"/>
      <c r="F1257" s="193"/>
      <c r="G1257" s="193"/>
      <c r="H1257" s="193"/>
      <c r="I1257" s="193"/>
      <c r="J1257" s="193"/>
    </row>
    <row r="1258" spans="1:10">
      <c r="A1258" s="193"/>
      <c r="B1258" s="193"/>
      <c r="C1258" s="193"/>
      <c r="D1258" s="193"/>
      <c r="E1258" s="193"/>
      <c r="F1258" s="193"/>
      <c r="G1258" s="193"/>
      <c r="H1258" s="193"/>
      <c r="I1258" s="193"/>
      <c r="J1258" s="193"/>
    </row>
    <row r="1259" spans="1:10">
      <c r="A1259" s="193"/>
      <c r="B1259" s="193"/>
      <c r="C1259" s="193"/>
      <c r="D1259" s="193"/>
      <c r="E1259" s="193"/>
      <c r="F1259" s="193"/>
      <c r="G1259" s="193"/>
      <c r="H1259" s="193"/>
      <c r="I1259" s="193"/>
      <c r="J1259" s="193"/>
    </row>
    <row r="1260" spans="1:10">
      <c r="A1260" s="193"/>
      <c r="B1260" s="193"/>
      <c r="C1260" s="193"/>
      <c r="D1260" s="193"/>
      <c r="E1260" s="193"/>
      <c r="F1260" s="193"/>
      <c r="G1260" s="193"/>
      <c r="H1260" s="193"/>
      <c r="I1260" s="193"/>
      <c r="J1260" s="193"/>
    </row>
    <row r="1261" spans="1:10">
      <c r="A1261" s="193"/>
      <c r="B1261" s="193"/>
      <c r="C1261" s="193"/>
      <c r="D1261" s="193"/>
      <c r="E1261" s="193"/>
      <c r="F1261" s="193"/>
      <c r="G1261" s="193"/>
      <c r="H1261" s="193"/>
      <c r="I1261" s="193"/>
      <c r="J1261" s="193"/>
    </row>
    <row r="1262" spans="1:10">
      <c r="A1262" s="193"/>
      <c r="B1262" s="193"/>
      <c r="C1262" s="193"/>
      <c r="D1262" s="193"/>
      <c r="E1262" s="193"/>
      <c r="F1262" s="193"/>
      <c r="G1262" s="193"/>
      <c r="H1262" s="193"/>
      <c r="I1262" s="193"/>
      <c r="J1262" s="193"/>
    </row>
    <row r="1263" spans="1:10">
      <c r="A1263" s="193"/>
      <c r="B1263" s="193"/>
      <c r="C1263" s="193"/>
      <c r="D1263" s="193"/>
      <c r="E1263" s="193"/>
      <c r="F1263" s="193"/>
      <c r="G1263" s="193"/>
      <c r="H1263" s="193"/>
      <c r="I1263" s="193"/>
      <c r="J1263" s="193"/>
    </row>
    <row r="1264" spans="1:10">
      <c r="A1264" s="193"/>
      <c r="B1264" s="193"/>
      <c r="C1264" s="193"/>
      <c r="D1264" s="193"/>
      <c r="E1264" s="193"/>
      <c r="F1264" s="193"/>
      <c r="G1264" s="193"/>
      <c r="H1264" s="193"/>
      <c r="I1264" s="193"/>
      <c r="J1264" s="193"/>
    </row>
    <row r="1265" spans="1:10">
      <c r="A1265" s="193"/>
      <c r="B1265" s="193"/>
      <c r="C1265" s="193"/>
      <c r="D1265" s="193"/>
      <c r="E1265" s="193"/>
      <c r="F1265" s="193"/>
      <c r="G1265" s="193"/>
      <c r="H1265" s="193"/>
      <c r="I1265" s="193"/>
      <c r="J1265" s="193"/>
    </row>
    <row r="1266" spans="1:10">
      <c r="A1266" s="193"/>
      <c r="B1266" s="193"/>
      <c r="C1266" s="193"/>
      <c r="D1266" s="193"/>
      <c r="E1266" s="193"/>
      <c r="F1266" s="193"/>
      <c r="G1266" s="193"/>
      <c r="H1266" s="193"/>
      <c r="I1266" s="193"/>
      <c r="J1266" s="193"/>
    </row>
    <row r="1267" spans="1:10">
      <c r="A1267" s="193"/>
      <c r="B1267" s="193"/>
      <c r="C1267" s="193"/>
      <c r="D1267" s="193"/>
      <c r="E1267" s="193"/>
      <c r="F1267" s="193"/>
      <c r="G1267" s="193"/>
      <c r="H1267" s="193"/>
      <c r="I1267" s="193"/>
      <c r="J1267" s="193"/>
    </row>
    <row r="1268" spans="1:10">
      <c r="A1268" s="193"/>
      <c r="B1268" s="193"/>
      <c r="C1268" s="193"/>
      <c r="D1268" s="193"/>
      <c r="E1268" s="193"/>
      <c r="F1268" s="193"/>
      <c r="G1268" s="193"/>
      <c r="H1268" s="193"/>
      <c r="I1268" s="193"/>
      <c r="J1268" s="193"/>
    </row>
    <row r="1269" spans="1:10">
      <c r="A1269" s="193"/>
      <c r="B1269" s="193"/>
      <c r="C1269" s="193"/>
      <c r="D1269" s="193"/>
      <c r="E1269" s="193"/>
      <c r="F1269" s="193"/>
      <c r="G1269" s="193"/>
      <c r="H1269" s="193"/>
      <c r="I1269" s="193"/>
      <c r="J1269" s="193"/>
    </row>
    <row r="1270" spans="1:10">
      <c r="A1270" s="193"/>
      <c r="B1270" s="193"/>
      <c r="C1270" s="193"/>
      <c r="D1270" s="193"/>
      <c r="E1270" s="193"/>
      <c r="F1270" s="193"/>
      <c r="G1270" s="193"/>
      <c r="H1270" s="193"/>
      <c r="I1270" s="193"/>
      <c r="J1270" s="193"/>
    </row>
    <row r="1271" spans="1:10">
      <c r="A1271" s="193"/>
      <c r="B1271" s="193"/>
      <c r="C1271" s="193"/>
      <c r="D1271" s="193"/>
      <c r="E1271" s="193"/>
      <c r="F1271" s="193"/>
      <c r="G1271" s="193"/>
      <c r="H1271" s="193"/>
      <c r="I1271" s="193"/>
      <c r="J1271" s="193"/>
    </row>
    <row r="1272" spans="1:10">
      <c r="A1272" s="193"/>
      <c r="B1272" s="193"/>
      <c r="C1272" s="193"/>
      <c r="D1272" s="193"/>
      <c r="E1272" s="193"/>
      <c r="F1272" s="193"/>
      <c r="G1272" s="193"/>
      <c r="H1272" s="193"/>
      <c r="I1272" s="193"/>
      <c r="J1272" s="193"/>
    </row>
    <row r="1273" spans="1:10">
      <c r="A1273" s="193"/>
      <c r="B1273" s="193"/>
      <c r="C1273" s="193"/>
      <c r="D1273" s="193"/>
      <c r="E1273" s="193"/>
      <c r="F1273" s="193"/>
      <c r="G1273" s="193"/>
      <c r="H1273" s="193"/>
      <c r="I1273" s="193"/>
      <c r="J1273" s="193"/>
    </row>
    <row r="1274" spans="1:10">
      <c r="A1274" s="193"/>
      <c r="B1274" s="193"/>
      <c r="C1274" s="193"/>
      <c r="D1274" s="193"/>
      <c r="E1274" s="193"/>
      <c r="F1274" s="193"/>
      <c r="G1274" s="193"/>
      <c r="H1274" s="193"/>
      <c r="I1274" s="193"/>
      <c r="J1274" s="193"/>
    </row>
    <row r="1275" spans="1:10">
      <c r="A1275" s="193"/>
      <c r="B1275" s="193"/>
      <c r="C1275" s="193"/>
      <c r="D1275" s="193"/>
      <c r="E1275" s="193"/>
      <c r="F1275" s="193"/>
      <c r="G1275" s="193"/>
      <c r="H1275" s="193"/>
      <c r="I1275" s="193"/>
      <c r="J1275" s="193"/>
    </row>
    <row r="1276" spans="1:10">
      <c r="A1276" s="193"/>
      <c r="B1276" s="193"/>
      <c r="C1276" s="193"/>
      <c r="D1276" s="193"/>
      <c r="E1276" s="193"/>
      <c r="F1276" s="193"/>
      <c r="G1276" s="193"/>
      <c r="H1276" s="193"/>
      <c r="I1276" s="193"/>
      <c r="J1276" s="193"/>
    </row>
    <row r="1277" spans="1:10">
      <c r="A1277" s="193"/>
      <c r="B1277" s="193"/>
      <c r="C1277" s="193"/>
      <c r="D1277" s="193"/>
      <c r="E1277" s="193"/>
      <c r="F1277" s="193"/>
      <c r="G1277" s="193"/>
      <c r="H1277" s="193"/>
      <c r="I1277" s="193"/>
      <c r="J1277" s="193"/>
    </row>
    <row r="1278" spans="1:10">
      <c r="A1278" s="193"/>
      <c r="B1278" s="193"/>
      <c r="C1278" s="193"/>
      <c r="D1278" s="193"/>
      <c r="E1278" s="193"/>
      <c r="F1278" s="193"/>
      <c r="G1278" s="193"/>
      <c r="H1278" s="193"/>
      <c r="I1278" s="193"/>
      <c r="J1278" s="193"/>
    </row>
    <row r="1279" spans="1:10">
      <c r="A1279" s="193"/>
      <c r="B1279" s="193"/>
      <c r="C1279" s="193"/>
      <c r="D1279" s="193"/>
      <c r="E1279" s="193"/>
      <c r="F1279" s="193"/>
      <c r="G1279" s="193"/>
      <c r="H1279" s="193"/>
      <c r="I1279" s="193"/>
      <c r="J1279" s="193"/>
    </row>
    <row r="1280" spans="1:10">
      <c r="A1280" s="193"/>
      <c r="B1280" s="193"/>
      <c r="C1280" s="193"/>
      <c r="D1280" s="193"/>
      <c r="E1280" s="193"/>
      <c r="F1280" s="193"/>
      <c r="G1280" s="193"/>
      <c r="H1280" s="193"/>
      <c r="I1280" s="193"/>
      <c r="J1280" s="193"/>
    </row>
    <row r="1281" spans="1:10">
      <c r="A1281" s="193"/>
      <c r="B1281" s="193"/>
      <c r="C1281" s="193"/>
      <c r="D1281" s="193"/>
      <c r="E1281" s="193"/>
      <c r="F1281" s="193"/>
      <c r="G1281" s="193"/>
      <c r="H1281" s="193"/>
      <c r="I1281" s="193"/>
      <c r="J1281" s="193"/>
    </row>
    <row r="1282" spans="1:10">
      <c r="A1282" s="193"/>
      <c r="B1282" s="193"/>
      <c r="C1282" s="193"/>
      <c r="D1282" s="193"/>
      <c r="E1282" s="193"/>
      <c r="F1282" s="193"/>
      <c r="G1282" s="193"/>
      <c r="H1282" s="193"/>
      <c r="I1282" s="193"/>
      <c r="J1282" s="193"/>
    </row>
    <row r="1283" spans="1:10">
      <c r="A1283" s="193"/>
      <c r="B1283" s="193"/>
      <c r="C1283" s="193"/>
      <c r="D1283" s="193"/>
      <c r="E1283" s="193"/>
      <c r="F1283" s="193"/>
      <c r="G1283" s="193"/>
      <c r="H1283" s="193"/>
      <c r="I1283" s="193"/>
      <c r="J1283" s="193"/>
    </row>
    <row r="1284" spans="1:10">
      <c r="A1284" s="193"/>
      <c r="B1284" s="193"/>
      <c r="C1284" s="193"/>
      <c r="D1284" s="193"/>
      <c r="E1284" s="193"/>
      <c r="F1284" s="193"/>
      <c r="G1284" s="193"/>
      <c r="H1284" s="193"/>
      <c r="I1284" s="193"/>
      <c r="J1284" s="193"/>
    </row>
    <row r="1285" spans="1:10">
      <c r="A1285" s="193"/>
      <c r="B1285" s="193"/>
      <c r="C1285" s="193"/>
      <c r="D1285" s="193"/>
      <c r="E1285" s="193"/>
      <c r="F1285" s="193"/>
      <c r="G1285" s="193"/>
      <c r="H1285" s="193"/>
      <c r="I1285" s="193"/>
      <c r="J1285" s="193"/>
    </row>
    <row r="1286" spans="1:10">
      <c r="A1286" s="193"/>
      <c r="B1286" s="193"/>
      <c r="C1286" s="193"/>
      <c r="D1286" s="193"/>
      <c r="E1286" s="193"/>
      <c r="F1286" s="193"/>
      <c r="G1286" s="193"/>
      <c r="H1286" s="193"/>
      <c r="I1286" s="193"/>
      <c r="J1286" s="193"/>
    </row>
    <row r="1287" spans="1:10">
      <c r="A1287" s="193"/>
      <c r="B1287" s="193"/>
      <c r="C1287" s="193"/>
      <c r="D1287" s="193"/>
      <c r="E1287" s="193"/>
      <c r="F1287" s="193"/>
      <c r="G1287" s="193"/>
      <c r="H1287" s="193"/>
      <c r="I1287" s="193"/>
      <c r="J1287" s="193"/>
    </row>
    <row r="1288" spans="1:10">
      <c r="A1288" s="193"/>
      <c r="B1288" s="193"/>
      <c r="C1288" s="193"/>
      <c r="D1288" s="193"/>
      <c r="E1288" s="193"/>
      <c r="F1288" s="193"/>
      <c r="G1288" s="193"/>
      <c r="H1288" s="193"/>
      <c r="I1288" s="193"/>
      <c r="J1288" s="193"/>
    </row>
    <row r="1289" spans="1:10">
      <c r="A1289" s="193"/>
      <c r="B1289" s="193"/>
      <c r="C1289" s="193"/>
      <c r="D1289" s="193"/>
      <c r="E1289" s="193"/>
      <c r="F1289" s="193"/>
      <c r="G1289" s="193"/>
      <c r="H1289" s="193"/>
      <c r="I1289" s="193"/>
      <c r="J1289" s="193"/>
    </row>
    <row r="1290" spans="1:10">
      <c r="A1290" s="193"/>
      <c r="B1290" s="193"/>
      <c r="C1290" s="193"/>
      <c r="D1290" s="193"/>
      <c r="E1290" s="193"/>
      <c r="F1290" s="193"/>
      <c r="G1290" s="193"/>
      <c r="H1290" s="193"/>
      <c r="I1290" s="193"/>
      <c r="J1290" s="193"/>
    </row>
    <row r="1291" spans="1:10">
      <c r="A1291" s="193"/>
      <c r="B1291" s="193"/>
      <c r="C1291" s="193"/>
      <c r="D1291" s="193"/>
      <c r="E1291" s="193"/>
      <c r="F1291" s="193"/>
      <c r="G1291" s="193"/>
      <c r="H1291" s="193"/>
      <c r="I1291" s="193"/>
      <c r="J1291" s="193"/>
    </row>
    <row r="1292" spans="1:10">
      <c r="A1292" s="193"/>
      <c r="B1292" s="193"/>
      <c r="C1292" s="193"/>
      <c r="D1292" s="193"/>
      <c r="E1292" s="193"/>
      <c r="F1292" s="193"/>
      <c r="G1292" s="193"/>
      <c r="H1292" s="193"/>
      <c r="I1292" s="193"/>
      <c r="J1292" s="193"/>
    </row>
    <row r="1293" spans="1:10">
      <c r="A1293" s="193"/>
      <c r="B1293" s="193"/>
      <c r="C1293" s="193"/>
      <c r="D1293" s="193"/>
      <c r="E1293" s="193"/>
      <c r="F1293" s="193"/>
      <c r="G1293" s="193"/>
      <c r="H1293" s="193"/>
      <c r="I1293" s="193"/>
      <c r="J1293" s="193"/>
    </row>
    <row r="1294" spans="1:10">
      <c r="A1294" s="193"/>
      <c r="B1294" s="193"/>
      <c r="C1294" s="193"/>
      <c r="D1294" s="193"/>
      <c r="E1294" s="193"/>
      <c r="F1294" s="193"/>
      <c r="G1294" s="193"/>
      <c r="H1294" s="193"/>
      <c r="I1294" s="193"/>
      <c r="J1294" s="193"/>
    </row>
    <row r="1295" spans="1:10">
      <c r="A1295" s="193"/>
      <c r="B1295" s="193"/>
      <c r="C1295" s="193"/>
      <c r="D1295" s="193"/>
      <c r="E1295" s="193"/>
      <c r="F1295" s="193"/>
      <c r="G1295" s="193"/>
      <c r="H1295" s="193"/>
      <c r="I1295" s="193"/>
      <c r="J1295" s="193"/>
    </row>
    <row r="1296" spans="1:10">
      <c r="A1296" s="193"/>
      <c r="B1296" s="193"/>
      <c r="C1296" s="193"/>
      <c r="D1296" s="193"/>
      <c r="E1296" s="193"/>
      <c r="F1296" s="193"/>
      <c r="G1296" s="193"/>
      <c r="H1296" s="193"/>
      <c r="I1296" s="193"/>
      <c r="J1296" s="193"/>
    </row>
    <row r="1297" spans="1:10">
      <c r="A1297" s="193"/>
      <c r="B1297" s="193"/>
      <c r="C1297" s="193"/>
      <c r="D1297" s="193"/>
      <c r="E1297" s="193"/>
      <c r="F1297" s="193"/>
      <c r="G1297" s="193"/>
      <c r="H1297" s="193"/>
      <c r="I1297" s="193"/>
      <c r="J1297" s="193"/>
    </row>
    <row r="1298" spans="1:10">
      <c r="A1298" s="193"/>
      <c r="B1298" s="193"/>
      <c r="C1298" s="193"/>
      <c r="D1298" s="193"/>
      <c r="E1298" s="193"/>
      <c r="F1298" s="193"/>
      <c r="G1298" s="193"/>
      <c r="H1298" s="193"/>
      <c r="I1298" s="193"/>
      <c r="J1298" s="193"/>
    </row>
    <row r="1299" spans="1:10">
      <c r="A1299" s="193"/>
      <c r="B1299" s="193"/>
      <c r="C1299" s="193"/>
      <c r="D1299" s="193"/>
      <c r="E1299" s="193"/>
      <c r="F1299" s="193"/>
      <c r="G1299" s="193"/>
      <c r="H1299" s="193"/>
      <c r="I1299" s="193"/>
      <c r="J1299" s="193"/>
    </row>
    <row r="1300" spans="1:10">
      <c r="A1300" s="193"/>
      <c r="B1300" s="193"/>
      <c r="C1300" s="193"/>
      <c r="D1300" s="193"/>
      <c r="E1300" s="193"/>
      <c r="F1300" s="193"/>
      <c r="G1300" s="193"/>
      <c r="H1300" s="193"/>
      <c r="I1300" s="193"/>
      <c r="J1300" s="193"/>
    </row>
    <row r="1301" spans="1:10">
      <c r="A1301" s="193"/>
      <c r="B1301" s="193"/>
      <c r="C1301" s="193"/>
      <c r="D1301" s="193"/>
      <c r="E1301" s="193"/>
      <c r="F1301" s="193"/>
      <c r="G1301" s="193"/>
      <c r="H1301" s="193"/>
      <c r="I1301" s="193"/>
      <c r="J1301" s="193"/>
    </row>
    <row r="1302" spans="1:10">
      <c r="A1302" s="193"/>
      <c r="B1302" s="193"/>
      <c r="C1302" s="193"/>
      <c r="D1302" s="193"/>
      <c r="E1302" s="193"/>
      <c r="F1302" s="193"/>
      <c r="G1302" s="193"/>
      <c r="H1302" s="193"/>
      <c r="I1302" s="193"/>
      <c r="J1302" s="193"/>
    </row>
    <row r="1303" spans="1:10">
      <c r="A1303" s="193"/>
      <c r="B1303" s="193"/>
      <c r="C1303" s="193"/>
      <c r="D1303" s="193"/>
      <c r="E1303" s="193"/>
      <c r="F1303" s="193"/>
      <c r="G1303" s="193"/>
      <c r="H1303" s="193"/>
      <c r="I1303" s="193"/>
      <c r="J1303" s="193"/>
    </row>
    <row r="1304" spans="1:10">
      <c r="A1304" s="193"/>
      <c r="B1304" s="193"/>
      <c r="C1304" s="193"/>
      <c r="D1304" s="193"/>
      <c r="E1304" s="193"/>
      <c r="F1304" s="193"/>
      <c r="G1304" s="193"/>
      <c r="H1304" s="193"/>
      <c r="I1304" s="193"/>
      <c r="J1304" s="193"/>
    </row>
    <row r="1305" spans="1:10">
      <c r="A1305" s="193"/>
      <c r="B1305" s="193"/>
      <c r="C1305" s="193"/>
      <c r="D1305" s="193"/>
      <c r="E1305" s="193"/>
      <c r="F1305" s="193"/>
      <c r="G1305" s="193"/>
      <c r="H1305" s="193"/>
      <c r="I1305" s="193"/>
      <c r="J1305" s="193"/>
    </row>
    <row r="1306" spans="1:10">
      <c r="A1306" s="193"/>
      <c r="B1306" s="193"/>
      <c r="C1306" s="193"/>
      <c r="D1306" s="193"/>
      <c r="E1306" s="193"/>
      <c r="F1306" s="193"/>
      <c r="G1306" s="193"/>
      <c r="H1306" s="193"/>
      <c r="I1306" s="193"/>
      <c r="J1306" s="193"/>
    </row>
    <row r="1307" spans="1:10">
      <c r="A1307" s="193"/>
      <c r="B1307" s="193"/>
      <c r="C1307" s="193"/>
      <c r="D1307" s="193"/>
      <c r="E1307" s="193"/>
      <c r="F1307" s="193"/>
      <c r="G1307" s="193"/>
      <c r="H1307" s="193"/>
      <c r="I1307" s="193"/>
      <c r="J1307" s="193"/>
    </row>
    <row r="1308" spans="1:10">
      <c r="A1308" s="193"/>
      <c r="B1308" s="193"/>
      <c r="C1308" s="193"/>
      <c r="D1308" s="193"/>
      <c r="E1308" s="193"/>
      <c r="F1308" s="193"/>
      <c r="G1308" s="193"/>
      <c r="H1308" s="193"/>
      <c r="I1308" s="193"/>
      <c r="J1308" s="193"/>
    </row>
    <row r="1309" spans="1:10">
      <c r="A1309" s="193"/>
      <c r="B1309" s="193"/>
      <c r="C1309" s="193"/>
      <c r="D1309" s="193"/>
      <c r="E1309" s="193"/>
      <c r="F1309" s="193"/>
      <c r="G1309" s="193"/>
      <c r="H1309" s="193"/>
      <c r="I1309" s="193"/>
      <c r="J1309" s="193"/>
    </row>
    <row r="1310" spans="1:10">
      <c r="A1310" s="193"/>
      <c r="B1310" s="193"/>
      <c r="C1310" s="193"/>
      <c r="D1310" s="193"/>
      <c r="E1310" s="193"/>
      <c r="F1310" s="193"/>
      <c r="G1310" s="193"/>
      <c r="H1310" s="193"/>
      <c r="I1310" s="193"/>
      <c r="J1310" s="193"/>
    </row>
    <row r="1311" spans="1:10">
      <c r="A1311" s="193"/>
      <c r="B1311" s="193"/>
      <c r="C1311" s="193"/>
      <c r="D1311" s="193"/>
      <c r="E1311" s="193"/>
      <c r="F1311" s="193"/>
      <c r="G1311" s="193"/>
      <c r="H1311" s="193"/>
      <c r="I1311" s="193"/>
      <c r="J1311" s="193"/>
    </row>
    <row r="1312" spans="1:10">
      <c r="A1312" s="193"/>
      <c r="B1312" s="193"/>
      <c r="C1312" s="193"/>
      <c r="D1312" s="193"/>
      <c r="E1312" s="193"/>
      <c r="F1312" s="193"/>
      <c r="G1312" s="193"/>
      <c r="H1312" s="193"/>
      <c r="I1312" s="193"/>
      <c r="J1312" s="193"/>
    </row>
    <row r="1313" spans="1:10">
      <c r="A1313" s="193"/>
      <c r="B1313" s="193"/>
      <c r="C1313" s="193"/>
      <c r="D1313" s="193"/>
      <c r="E1313" s="193"/>
      <c r="F1313" s="193"/>
      <c r="G1313" s="193"/>
      <c r="H1313" s="193"/>
      <c r="I1313" s="193"/>
      <c r="J1313" s="193"/>
    </row>
    <row r="1314" spans="1:10">
      <c r="A1314" s="193"/>
      <c r="B1314" s="193"/>
      <c r="C1314" s="193"/>
      <c r="D1314" s="193"/>
      <c r="E1314" s="193"/>
      <c r="F1314" s="193"/>
      <c r="G1314" s="193"/>
      <c r="H1314" s="193"/>
      <c r="I1314" s="193"/>
      <c r="J1314" s="193"/>
    </row>
    <row r="1315" spans="1:10">
      <c r="A1315" s="193"/>
      <c r="B1315" s="193"/>
      <c r="C1315" s="193"/>
      <c r="D1315" s="193"/>
      <c r="E1315" s="193"/>
      <c r="F1315" s="193"/>
      <c r="G1315" s="193"/>
      <c r="H1315" s="193"/>
      <c r="I1315" s="193"/>
      <c r="J1315" s="193"/>
    </row>
    <row r="1316" spans="1:10">
      <c r="A1316" s="193"/>
      <c r="B1316" s="193"/>
      <c r="C1316" s="193"/>
      <c r="D1316" s="193"/>
      <c r="E1316" s="193"/>
      <c r="F1316" s="193"/>
      <c r="G1316" s="193"/>
      <c r="H1316" s="193"/>
      <c r="I1316" s="193"/>
      <c r="J1316" s="193"/>
    </row>
    <row r="1317" spans="1:10">
      <c r="A1317" s="193"/>
      <c r="B1317" s="193"/>
      <c r="C1317" s="193"/>
      <c r="D1317" s="193"/>
      <c r="E1317" s="193"/>
      <c r="F1317" s="193"/>
      <c r="G1317" s="193"/>
      <c r="H1317" s="193"/>
      <c r="I1317" s="193"/>
      <c r="J1317" s="193"/>
    </row>
    <row r="1318" spans="1:10">
      <c r="A1318" s="193"/>
      <c r="B1318" s="193"/>
      <c r="C1318" s="193"/>
      <c r="D1318" s="193"/>
      <c r="E1318" s="193"/>
      <c r="F1318" s="193"/>
      <c r="G1318" s="193"/>
      <c r="H1318" s="193"/>
      <c r="I1318" s="193"/>
      <c r="J1318" s="193"/>
    </row>
    <row r="1319" spans="1:10">
      <c r="A1319" s="193"/>
      <c r="B1319" s="193"/>
      <c r="C1319" s="193"/>
      <c r="D1319" s="193"/>
      <c r="E1319" s="193"/>
      <c r="F1319" s="193"/>
      <c r="G1319" s="193"/>
      <c r="H1319" s="193"/>
      <c r="I1319" s="193"/>
      <c r="J1319" s="193"/>
    </row>
    <row r="1320" spans="1:10">
      <c r="A1320" s="193"/>
      <c r="B1320" s="193"/>
      <c r="C1320" s="193"/>
      <c r="D1320" s="193"/>
      <c r="E1320" s="193"/>
      <c r="F1320" s="193"/>
      <c r="G1320" s="193"/>
      <c r="H1320" s="193"/>
      <c r="I1320" s="193"/>
      <c r="J1320" s="193"/>
    </row>
    <row r="1321" spans="1:10">
      <c r="A1321" s="193"/>
      <c r="B1321" s="193"/>
      <c r="C1321" s="193"/>
      <c r="D1321" s="193"/>
      <c r="E1321" s="193"/>
      <c r="F1321" s="193"/>
      <c r="G1321" s="193"/>
      <c r="H1321" s="193"/>
      <c r="I1321" s="193"/>
      <c r="J1321" s="193"/>
    </row>
    <row r="1322" spans="1:10">
      <c r="A1322" s="193"/>
      <c r="B1322" s="193"/>
      <c r="C1322" s="193"/>
      <c r="D1322" s="193"/>
      <c r="E1322" s="193"/>
      <c r="F1322" s="193"/>
      <c r="G1322" s="193"/>
      <c r="H1322" s="193"/>
      <c r="I1322" s="193"/>
      <c r="J1322" s="193"/>
    </row>
    <row r="1323" spans="1:10">
      <c r="A1323" s="193"/>
      <c r="B1323" s="193"/>
      <c r="C1323" s="193"/>
      <c r="D1323" s="193"/>
      <c r="E1323" s="193"/>
      <c r="F1323" s="193"/>
      <c r="G1323" s="193"/>
      <c r="H1323" s="193"/>
      <c r="I1323" s="193"/>
      <c r="J1323" s="193"/>
    </row>
    <row r="1324" spans="1:10">
      <c r="A1324" s="193"/>
      <c r="B1324" s="193"/>
      <c r="C1324" s="193"/>
      <c r="D1324" s="193"/>
      <c r="E1324" s="193"/>
      <c r="F1324" s="193"/>
      <c r="G1324" s="193"/>
      <c r="H1324" s="193"/>
      <c r="I1324" s="193"/>
      <c r="J1324" s="193"/>
    </row>
    <row r="1325" spans="1:10">
      <c r="A1325" s="193"/>
      <c r="B1325" s="193"/>
      <c r="C1325" s="193"/>
      <c r="D1325" s="193"/>
      <c r="E1325" s="193"/>
      <c r="F1325" s="193"/>
      <c r="G1325" s="193"/>
      <c r="H1325" s="193"/>
      <c r="I1325" s="193"/>
      <c r="J1325" s="193"/>
    </row>
    <row r="1326" spans="1:10">
      <c r="A1326" s="193"/>
      <c r="B1326" s="193"/>
      <c r="C1326" s="193"/>
      <c r="D1326" s="193"/>
      <c r="E1326" s="193"/>
      <c r="F1326" s="193"/>
      <c r="G1326" s="193"/>
      <c r="H1326" s="193"/>
      <c r="I1326" s="193"/>
      <c r="J1326" s="193"/>
    </row>
    <row r="1327" spans="1:10">
      <c r="A1327" s="193"/>
      <c r="B1327" s="193"/>
      <c r="C1327" s="193"/>
      <c r="D1327" s="193"/>
      <c r="E1327" s="193"/>
      <c r="F1327" s="193"/>
      <c r="G1327" s="193"/>
      <c r="H1327" s="193"/>
      <c r="I1327" s="193"/>
      <c r="J1327" s="193"/>
    </row>
    <row r="1328" spans="1:10">
      <c r="A1328" s="193"/>
      <c r="B1328" s="193"/>
      <c r="C1328" s="193"/>
      <c r="D1328" s="193"/>
      <c r="E1328" s="193"/>
      <c r="F1328" s="193"/>
      <c r="G1328" s="193"/>
      <c r="H1328" s="193"/>
      <c r="I1328" s="193"/>
      <c r="J1328" s="193"/>
    </row>
    <row r="1329" spans="1:10">
      <c r="A1329" s="193"/>
      <c r="B1329" s="193"/>
      <c r="C1329" s="193"/>
      <c r="D1329" s="193"/>
      <c r="E1329" s="193"/>
      <c r="F1329" s="193"/>
      <c r="G1329" s="193"/>
      <c r="H1329" s="193"/>
      <c r="I1329" s="193"/>
      <c r="J1329" s="193"/>
    </row>
    <row r="1330" spans="1:10">
      <c r="A1330" s="193"/>
      <c r="B1330" s="193"/>
      <c r="C1330" s="193"/>
      <c r="D1330" s="193"/>
      <c r="E1330" s="193"/>
      <c r="F1330" s="193"/>
      <c r="G1330" s="193"/>
      <c r="H1330" s="193"/>
      <c r="I1330" s="193"/>
      <c r="J1330" s="193"/>
    </row>
    <row r="1331" spans="1:10">
      <c r="A1331" s="193"/>
      <c r="B1331" s="193"/>
      <c r="C1331" s="193"/>
      <c r="D1331" s="193"/>
      <c r="E1331" s="193"/>
      <c r="F1331" s="193"/>
      <c r="G1331" s="193"/>
      <c r="H1331" s="193"/>
      <c r="I1331" s="193"/>
      <c r="J1331" s="193"/>
    </row>
    <row r="1332" spans="1:10">
      <c r="A1332" s="193"/>
      <c r="B1332" s="193"/>
      <c r="C1332" s="193"/>
      <c r="D1332" s="193"/>
      <c r="E1332" s="193"/>
      <c r="F1332" s="193"/>
      <c r="G1332" s="193"/>
      <c r="H1332" s="193"/>
      <c r="I1332" s="193"/>
      <c r="J1332" s="193"/>
    </row>
    <row r="1333" spans="1:10">
      <c r="A1333" s="193"/>
      <c r="B1333" s="193"/>
      <c r="C1333" s="193"/>
      <c r="D1333" s="193"/>
      <c r="E1333" s="193"/>
      <c r="F1333" s="193"/>
      <c r="G1333" s="193"/>
      <c r="H1333" s="193"/>
      <c r="I1333" s="193"/>
      <c r="J1333" s="193"/>
    </row>
    <row r="1334" spans="1:10">
      <c r="A1334" s="193"/>
      <c r="B1334" s="193"/>
      <c r="C1334" s="193"/>
      <c r="D1334" s="193"/>
      <c r="E1334" s="193"/>
      <c r="F1334" s="193"/>
      <c r="G1334" s="193"/>
      <c r="H1334" s="193"/>
      <c r="I1334" s="193"/>
      <c r="J1334" s="193"/>
    </row>
    <row r="1335" spans="1:10">
      <c r="A1335" s="193"/>
      <c r="B1335" s="193"/>
      <c r="C1335" s="193"/>
      <c r="D1335" s="193"/>
      <c r="E1335" s="193"/>
      <c r="F1335" s="193"/>
      <c r="G1335" s="193"/>
      <c r="H1335" s="193"/>
      <c r="I1335" s="193"/>
      <c r="J1335" s="193"/>
    </row>
    <row r="1336" spans="1:10">
      <c r="A1336" s="193"/>
      <c r="B1336" s="193"/>
      <c r="C1336" s="193"/>
      <c r="D1336" s="193"/>
      <c r="E1336" s="193"/>
      <c r="F1336" s="193"/>
      <c r="G1336" s="193"/>
      <c r="H1336" s="193"/>
      <c r="I1336" s="193"/>
      <c r="J1336" s="193"/>
    </row>
    <row r="1337" spans="1:10">
      <c r="A1337" s="193"/>
      <c r="B1337" s="193"/>
      <c r="C1337" s="193"/>
      <c r="D1337" s="193"/>
      <c r="E1337" s="193"/>
      <c r="F1337" s="193"/>
      <c r="G1337" s="193"/>
      <c r="H1337" s="193"/>
      <c r="I1337" s="193"/>
      <c r="J1337" s="193"/>
    </row>
    <row r="1338" spans="1:10">
      <c r="A1338" s="193"/>
      <c r="B1338" s="193"/>
      <c r="C1338" s="193"/>
      <c r="D1338" s="193"/>
      <c r="E1338" s="193"/>
      <c r="F1338" s="193"/>
      <c r="G1338" s="193"/>
      <c r="H1338" s="193"/>
      <c r="I1338" s="193"/>
      <c r="J1338" s="193"/>
    </row>
    <row r="1339" spans="1:10">
      <c r="A1339" s="193"/>
      <c r="B1339" s="193"/>
      <c r="C1339" s="193"/>
      <c r="D1339" s="193"/>
      <c r="E1339" s="193"/>
      <c r="F1339" s="193"/>
      <c r="G1339" s="193"/>
      <c r="H1339" s="193"/>
      <c r="I1339" s="193"/>
      <c r="J1339" s="193"/>
    </row>
    <row r="1340" spans="1:10">
      <c r="A1340" s="193"/>
      <c r="B1340" s="193"/>
      <c r="C1340" s="193"/>
      <c r="D1340" s="193"/>
      <c r="E1340" s="193"/>
      <c r="F1340" s="193"/>
      <c r="G1340" s="193"/>
      <c r="H1340" s="193"/>
      <c r="I1340" s="193"/>
      <c r="J1340" s="193"/>
    </row>
    <row r="1341" spans="1:10">
      <c r="A1341" s="193"/>
      <c r="B1341" s="193"/>
      <c r="C1341" s="193"/>
      <c r="D1341" s="193"/>
      <c r="E1341" s="193"/>
      <c r="F1341" s="193"/>
      <c r="G1341" s="193"/>
      <c r="H1341" s="193"/>
      <c r="I1341" s="193"/>
      <c r="J1341" s="193"/>
    </row>
    <row r="1342" spans="1:10">
      <c r="A1342" s="193"/>
      <c r="B1342" s="193"/>
      <c r="C1342" s="193"/>
      <c r="D1342" s="193"/>
      <c r="E1342" s="193"/>
      <c r="F1342" s="193"/>
      <c r="G1342" s="193"/>
      <c r="H1342" s="193"/>
      <c r="I1342" s="193"/>
      <c r="J1342" s="193"/>
    </row>
    <row r="1343" spans="1:10">
      <c r="A1343" s="193"/>
      <c r="B1343" s="193"/>
      <c r="C1343" s="193"/>
      <c r="D1343" s="193"/>
      <c r="E1343" s="193"/>
      <c r="F1343" s="193"/>
      <c r="G1343" s="193"/>
      <c r="H1343" s="193"/>
      <c r="I1343" s="193"/>
      <c r="J1343" s="193"/>
    </row>
    <row r="1344" spans="1:10">
      <c r="A1344" s="193"/>
      <c r="B1344" s="193"/>
      <c r="C1344" s="193"/>
      <c r="D1344" s="193"/>
      <c r="E1344" s="193"/>
      <c r="F1344" s="193"/>
      <c r="G1344" s="193"/>
      <c r="H1344" s="193"/>
      <c r="I1344" s="193"/>
      <c r="J1344" s="193"/>
    </row>
    <row r="1345" spans="1:10">
      <c r="A1345" s="193"/>
      <c r="B1345" s="193"/>
      <c r="C1345" s="193"/>
      <c r="D1345" s="193"/>
      <c r="E1345" s="193"/>
      <c r="F1345" s="193"/>
      <c r="G1345" s="193"/>
      <c r="H1345" s="193"/>
      <c r="I1345" s="193"/>
      <c r="J1345" s="193"/>
    </row>
    <row r="1346" spans="1:10">
      <c r="A1346" s="193"/>
      <c r="B1346" s="193"/>
      <c r="C1346" s="193"/>
      <c r="D1346" s="193"/>
      <c r="E1346" s="193"/>
      <c r="F1346" s="193"/>
      <c r="G1346" s="193"/>
      <c r="H1346" s="193"/>
      <c r="I1346" s="193"/>
      <c r="J1346" s="193"/>
    </row>
    <row r="1347" spans="1:10">
      <c r="A1347" s="193"/>
      <c r="B1347" s="193"/>
      <c r="C1347" s="193"/>
      <c r="D1347" s="193"/>
      <c r="E1347" s="193"/>
      <c r="F1347" s="193"/>
      <c r="G1347" s="193"/>
      <c r="H1347" s="193"/>
      <c r="I1347" s="193"/>
      <c r="J1347" s="193"/>
    </row>
    <row r="1348" spans="1:10">
      <c r="A1348" s="193"/>
      <c r="B1348" s="193"/>
      <c r="C1348" s="193"/>
      <c r="D1348" s="193"/>
      <c r="E1348" s="193"/>
      <c r="F1348" s="193"/>
      <c r="G1348" s="193"/>
      <c r="H1348" s="193"/>
      <c r="I1348" s="193"/>
      <c r="J1348" s="193"/>
    </row>
    <row r="1349" spans="1:10">
      <c r="A1349" s="193"/>
      <c r="B1349" s="193"/>
      <c r="C1349" s="193"/>
      <c r="D1349" s="193"/>
      <c r="E1349" s="193"/>
      <c r="F1349" s="193"/>
      <c r="G1349" s="193"/>
      <c r="H1349" s="193"/>
      <c r="I1349" s="193"/>
      <c r="J1349" s="193"/>
    </row>
    <row r="1350" spans="1:10">
      <c r="A1350" s="193"/>
      <c r="B1350" s="193"/>
      <c r="C1350" s="193"/>
      <c r="D1350" s="193"/>
      <c r="E1350" s="193"/>
      <c r="F1350" s="193"/>
      <c r="G1350" s="193"/>
      <c r="H1350" s="193"/>
      <c r="I1350" s="193"/>
      <c r="J1350" s="193"/>
    </row>
    <row r="1351" spans="1:10">
      <c r="A1351" s="193"/>
      <c r="B1351" s="193"/>
      <c r="C1351" s="193"/>
      <c r="D1351" s="193"/>
      <c r="E1351" s="193"/>
      <c r="F1351" s="193"/>
      <c r="G1351" s="193"/>
      <c r="H1351" s="193"/>
      <c r="I1351" s="193"/>
      <c r="J1351" s="193"/>
    </row>
    <row r="1352" spans="1:10">
      <c r="A1352" s="193"/>
      <c r="B1352" s="193"/>
      <c r="C1352" s="193"/>
      <c r="D1352" s="193"/>
      <c r="E1352" s="193"/>
      <c r="F1352" s="193"/>
      <c r="G1352" s="193"/>
      <c r="H1352" s="193"/>
      <c r="I1352" s="193"/>
      <c r="J1352" s="193"/>
    </row>
    <row r="1353" spans="1:10">
      <c r="A1353" s="193"/>
      <c r="B1353" s="193"/>
      <c r="C1353" s="193"/>
      <c r="D1353" s="193"/>
      <c r="E1353" s="193"/>
      <c r="F1353" s="193"/>
      <c r="G1353" s="193"/>
      <c r="H1353" s="193"/>
      <c r="I1353" s="193"/>
      <c r="J1353" s="193"/>
    </row>
    <row r="1354" spans="1:10">
      <c r="A1354" s="193"/>
      <c r="B1354" s="193"/>
      <c r="C1354" s="193"/>
      <c r="D1354" s="193"/>
      <c r="E1354" s="193"/>
      <c r="F1354" s="193"/>
      <c r="G1354" s="193"/>
      <c r="H1354" s="193"/>
      <c r="I1354" s="193"/>
      <c r="J1354" s="193"/>
    </row>
    <row r="1355" spans="1:10">
      <c r="A1355" s="193"/>
      <c r="B1355" s="193"/>
      <c r="C1355" s="193"/>
      <c r="D1355" s="193"/>
      <c r="E1355" s="193"/>
      <c r="F1355" s="193"/>
      <c r="G1355" s="193"/>
      <c r="H1355" s="193"/>
      <c r="I1355" s="193"/>
      <c r="J1355" s="193"/>
    </row>
    <row r="1356" spans="1:10">
      <c r="A1356" s="193"/>
      <c r="B1356" s="193"/>
      <c r="C1356" s="193"/>
      <c r="D1356" s="193"/>
      <c r="E1356" s="193"/>
      <c r="F1356" s="193"/>
      <c r="G1356" s="193"/>
      <c r="H1356" s="193"/>
      <c r="I1356" s="193"/>
      <c r="J1356" s="193"/>
    </row>
    <row r="1357" spans="1:10">
      <c r="A1357" s="193"/>
      <c r="B1357" s="193"/>
      <c r="C1357" s="193"/>
      <c r="D1357" s="193"/>
      <c r="E1357" s="193"/>
      <c r="F1357" s="193"/>
      <c r="G1357" s="193"/>
      <c r="H1357" s="193"/>
      <c r="I1357" s="193"/>
      <c r="J1357" s="193"/>
    </row>
    <row r="1358" spans="1:10">
      <c r="A1358" s="193"/>
      <c r="B1358" s="193"/>
      <c r="C1358" s="193"/>
      <c r="D1358" s="193"/>
      <c r="E1358" s="193"/>
      <c r="F1358" s="193"/>
      <c r="G1358" s="193"/>
      <c r="H1358" s="193"/>
      <c r="I1358" s="193"/>
      <c r="J1358" s="193"/>
    </row>
    <row r="1359" spans="1:10">
      <c r="A1359" s="193"/>
      <c r="B1359" s="193"/>
      <c r="C1359" s="193"/>
      <c r="D1359" s="193"/>
      <c r="E1359" s="193"/>
      <c r="F1359" s="193"/>
      <c r="G1359" s="193"/>
      <c r="H1359" s="193"/>
      <c r="I1359" s="193"/>
      <c r="J1359" s="193"/>
    </row>
    <row r="1360" spans="1:10">
      <c r="A1360" s="193"/>
      <c r="B1360" s="193"/>
      <c r="C1360" s="193"/>
      <c r="D1360" s="193"/>
      <c r="E1360" s="193"/>
      <c r="F1360" s="193"/>
      <c r="G1360" s="193"/>
      <c r="H1360" s="193"/>
      <c r="I1360" s="193"/>
      <c r="J1360" s="193"/>
    </row>
    <row r="1361" spans="1:10">
      <c r="A1361" s="193"/>
      <c r="B1361" s="193"/>
      <c r="C1361" s="193"/>
      <c r="D1361" s="193"/>
      <c r="E1361" s="193"/>
      <c r="F1361" s="193"/>
      <c r="G1361" s="193"/>
      <c r="H1361" s="193"/>
      <c r="I1361" s="193"/>
      <c r="J1361" s="193"/>
    </row>
    <row r="1362" spans="1:10">
      <c r="A1362" s="193"/>
      <c r="B1362" s="193"/>
      <c r="C1362" s="193"/>
      <c r="D1362" s="193"/>
      <c r="E1362" s="193"/>
      <c r="F1362" s="193"/>
      <c r="G1362" s="193"/>
      <c r="H1362" s="193"/>
      <c r="I1362" s="193"/>
      <c r="J1362" s="193"/>
    </row>
    <row r="1363" spans="1:10">
      <c r="A1363" s="193"/>
      <c r="B1363" s="193"/>
      <c r="C1363" s="193"/>
      <c r="D1363" s="193"/>
      <c r="E1363" s="193"/>
      <c r="F1363" s="193"/>
      <c r="G1363" s="193"/>
      <c r="H1363" s="193"/>
      <c r="I1363" s="193"/>
      <c r="J1363" s="193"/>
    </row>
    <row r="1364" spans="1:10">
      <c r="A1364" s="193"/>
      <c r="B1364" s="193"/>
      <c r="C1364" s="193"/>
      <c r="D1364" s="193"/>
      <c r="E1364" s="193"/>
      <c r="F1364" s="193"/>
      <c r="G1364" s="193"/>
      <c r="H1364" s="193"/>
      <c r="I1364" s="193"/>
      <c r="J1364" s="193"/>
    </row>
    <row r="1365" spans="1:10">
      <c r="A1365" s="193"/>
      <c r="B1365" s="193"/>
      <c r="C1365" s="193"/>
      <c r="D1365" s="193"/>
      <c r="E1365" s="193"/>
      <c r="F1365" s="193"/>
      <c r="G1365" s="193"/>
      <c r="H1365" s="193"/>
      <c r="I1365" s="193"/>
      <c r="J1365" s="193"/>
    </row>
    <row r="1366" spans="1:10">
      <c r="A1366" s="193"/>
      <c r="B1366" s="193"/>
      <c r="C1366" s="193"/>
      <c r="D1366" s="193"/>
      <c r="E1366" s="193"/>
      <c r="F1366" s="193"/>
      <c r="G1366" s="193"/>
      <c r="H1366" s="193"/>
      <c r="I1366" s="193"/>
      <c r="J1366" s="193"/>
    </row>
    <row r="1367" spans="1:10">
      <c r="A1367" s="193"/>
      <c r="B1367" s="193"/>
      <c r="C1367" s="193"/>
      <c r="D1367" s="193"/>
      <c r="E1367" s="193"/>
      <c r="F1367" s="193"/>
      <c r="G1367" s="193"/>
      <c r="H1367" s="193"/>
      <c r="I1367" s="193"/>
      <c r="J1367" s="193"/>
    </row>
    <row r="1368" spans="1:10">
      <c r="A1368" s="193"/>
      <c r="B1368" s="193"/>
      <c r="C1368" s="193"/>
      <c r="D1368" s="193"/>
      <c r="E1368" s="193"/>
      <c r="F1368" s="193"/>
      <c r="G1368" s="193"/>
      <c r="H1368" s="193"/>
      <c r="I1368" s="193"/>
      <c r="J1368" s="193"/>
    </row>
    <row r="1369" spans="1:10">
      <c r="A1369" s="193"/>
      <c r="B1369" s="193"/>
      <c r="C1369" s="193"/>
      <c r="D1369" s="193"/>
      <c r="E1369" s="193"/>
      <c r="F1369" s="193"/>
      <c r="G1369" s="193"/>
      <c r="H1369" s="193"/>
      <c r="I1369" s="193"/>
      <c r="J1369" s="193"/>
    </row>
    <row r="1370" spans="1:10">
      <c r="A1370" s="193"/>
      <c r="B1370" s="193"/>
      <c r="C1370" s="193"/>
      <c r="D1370" s="193"/>
      <c r="E1370" s="193"/>
      <c r="F1370" s="193"/>
      <c r="G1370" s="193"/>
      <c r="H1370" s="193"/>
      <c r="I1370" s="193"/>
      <c r="J1370" s="193"/>
    </row>
    <row r="1371" spans="1:10">
      <c r="A1371" s="193"/>
      <c r="B1371" s="193"/>
      <c r="C1371" s="193"/>
      <c r="D1371" s="193"/>
      <c r="E1371" s="193"/>
      <c r="F1371" s="193"/>
      <c r="G1371" s="193"/>
      <c r="H1371" s="193"/>
      <c r="I1371" s="193"/>
      <c r="J1371" s="193"/>
    </row>
    <row r="1372" spans="1:10">
      <c r="A1372" s="193"/>
      <c r="B1372" s="193"/>
      <c r="C1372" s="193"/>
      <c r="D1372" s="193"/>
      <c r="E1372" s="193"/>
      <c r="F1372" s="193"/>
      <c r="G1372" s="193"/>
      <c r="H1372" s="193"/>
      <c r="I1372" s="193"/>
      <c r="J1372" s="193"/>
    </row>
    <row r="1373" spans="1:10">
      <c r="A1373" s="193"/>
      <c r="B1373" s="193"/>
      <c r="C1373" s="193"/>
      <c r="D1373" s="193"/>
      <c r="E1373" s="193"/>
      <c r="F1373" s="193"/>
      <c r="G1373" s="193"/>
      <c r="H1373" s="193"/>
      <c r="I1373" s="193"/>
      <c r="J1373" s="193"/>
    </row>
    <row r="1374" spans="1:10">
      <c r="A1374" s="193"/>
      <c r="B1374" s="193"/>
      <c r="C1374" s="193"/>
      <c r="D1374" s="193"/>
      <c r="E1374" s="193"/>
      <c r="F1374" s="193"/>
      <c r="G1374" s="193"/>
      <c r="H1374" s="193"/>
      <c r="I1374" s="193"/>
      <c r="J1374" s="193"/>
    </row>
    <row r="1375" spans="1:10">
      <c r="A1375" s="193"/>
      <c r="B1375" s="193"/>
      <c r="C1375" s="193"/>
      <c r="D1375" s="193"/>
      <c r="E1375" s="193"/>
      <c r="F1375" s="193"/>
      <c r="G1375" s="193"/>
      <c r="H1375" s="193"/>
      <c r="I1375" s="193"/>
      <c r="J1375" s="193"/>
    </row>
    <row r="1376" spans="1:10">
      <c r="A1376" s="193"/>
      <c r="B1376" s="193"/>
      <c r="C1376" s="193"/>
      <c r="D1376" s="193"/>
      <c r="E1376" s="193"/>
      <c r="F1376" s="193"/>
      <c r="G1376" s="193"/>
      <c r="H1376" s="193"/>
      <c r="I1376" s="193"/>
      <c r="J1376" s="193"/>
    </row>
    <row r="1377" spans="1:10">
      <c r="A1377" s="193"/>
      <c r="B1377" s="193"/>
      <c r="C1377" s="193"/>
      <c r="D1377" s="193"/>
      <c r="E1377" s="193"/>
      <c r="F1377" s="193"/>
      <c r="G1377" s="193"/>
      <c r="H1377" s="193"/>
      <c r="I1377" s="193"/>
      <c r="J1377" s="193"/>
    </row>
    <row r="1378" spans="1:10">
      <c r="A1378" s="193"/>
      <c r="B1378" s="193"/>
      <c r="C1378" s="193"/>
      <c r="D1378" s="193"/>
      <c r="E1378" s="193"/>
      <c r="F1378" s="193"/>
      <c r="G1378" s="193"/>
      <c r="H1378" s="193"/>
      <c r="I1378" s="193"/>
      <c r="J1378" s="193"/>
    </row>
    <row r="1379" spans="1:10">
      <c r="A1379" s="193"/>
      <c r="B1379" s="193"/>
      <c r="C1379" s="193"/>
      <c r="D1379" s="193"/>
      <c r="E1379" s="193"/>
      <c r="F1379" s="193"/>
      <c r="G1379" s="193"/>
      <c r="H1379" s="193"/>
      <c r="I1379" s="193"/>
      <c r="J1379" s="193"/>
    </row>
    <row r="1380" spans="1:10">
      <c r="A1380" s="193"/>
      <c r="B1380" s="193"/>
      <c r="C1380" s="193"/>
      <c r="D1380" s="193"/>
      <c r="E1380" s="193"/>
      <c r="F1380" s="193"/>
      <c r="G1380" s="193"/>
      <c r="H1380" s="193"/>
      <c r="I1380" s="193"/>
      <c r="J1380" s="193"/>
    </row>
    <row r="1381" spans="1:10">
      <c r="A1381" s="193"/>
      <c r="B1381" s="193"/>
      <c r="C1381" s="193"/>
      <c r="D1381" s="193"/>
      <c r="E1381" s="193"/>
      <c r="F1381" s="193"/>
      <c r="G1381" s="193"/>
      <c r="H1381" s="193"/>
      <c r="I1381" s="193"/>
      <c r="J1381" s="193"/>
    </row>
    <row r="1382" spans="1:10">
      <c r="A1382" s="193"/>
      <c r="B1382" s="193"/>
      <c r="C1382" s="193"/>
      <c r="D1382" s="193"/>
      <c r="E1382" s="193"/>
      <c r="F1382" s="193"/>
      <c r="G1382" s="193"/>
      <c r="H1382" s="193"/>
      <c r="I1382" s="193"/>
      <c r="J1382" s="193"/>
    </row>
    <row r="1383" spans="1:10">
      <c r="A1383" s="193"/>
      <c r="B1383" s="193"/>
      <c r="C1383" s="193"/>
      <c r="D1383" s="193"/>
      <c r="E1383" s="193"/>
      <c r="F1383" s="193"/>
      <c r="G1383" s="193"/>
      <c r="H1383" s="193"/>
      <c r="I1383" s="193"/>
      <c r="J1383" s="193"/>
    </row>
    <row r="1384" spans="1:10">
      <c r="A1384" s="193"/>
      <c r="B1384" s="193"/>
      <c r="C1384" s="193"/>
      <c r="D1384" s="193"/>
      <c r="E1384" s="193"/>
      <c r="F1384" s="193"/>
      <c r="G1384" s="193"/>
      <c r="H1384" s="193"/>
      <c r="I1384" s="193"/>
      <c r="J1384" s="193"/>
    </row>
    <row r="1385" spans="1:10">
      <c r="A1385" s="193"/>
      <c r="B1385" s="193"/>
      <c r="C1385" s="193"/>
      <c r="D1385" s="193"/>
      <c r="E1385" s="193"/>
      <c r="F1385" s="193"/>
      <c r="G1385" s="193"/>
      <c r="H1385" s="193"/>
      <c r="I1385" s="193"/>
      <c r="J1385" s="193"/>
    </row>
    <row r="1386" spans="1:10">
      <c r="A1386" s="193"/>
      <c r="B1386" s="193"/>
      <c r="C1386" s="193"/>
      <c r="D1386" s="193"/>
      <c r="E1386" s="193"/>
      <c r="F1386" s="193"/>
      <c r="G1386" s="193"/>
      <c r="H1386" s="193"/>
      <c r="I1386" s="193"/>
      <c r="J1386" s="193"/>
    </row>
    <row r="1387" spans="1:10">
      <c r="A1387" s="193"/>
      <c r="B1387" s="193"/>
      <c r="C1387" s="193"/>
      <c r="D1387" s="193"/>
      <c r="E1387" s="193"/>
      <c r="F1387" s="193"/>
      <c r="G1387" s="193"/>
      <c r="H1387" s="193"/>
      <c r="I1387" s="193"/>
      <c r="J1387" s="193"/>
    </row>
    <row r="1388" spans="1:10">
      <c r="A1388" s="193"/>
      <c r="B1388" s="193"/>
      <c r="C1388" s="193"/>
      <c r="D1388" s="193"/>
      <c r="E1388" s="193"/>
      <c r="F1388" s="193"/>
      <c r="G1388" s="193"/>
      <c r="H1388" s="193"/>
      <c r="I1388" s="193"/>
      <c r="J1388" s="193"/>
    </row>
    <row r="1389" spans="1:10">
      <c r="A1389" s="193"/>
      <c r="B1389" s="193"/>
      <c r="C1389" s="193"/>
      <c r="D1389" s="193"/>
      <c r="E1389" s="193"/>
      <c r="F1389" s="193"/>
      <c r="G1389" s="193"/>
      <c r="H1389" s="193"/>
      <c r="I1389" s="193"/>
      <c r="J1389" s="193"/>
    </row>
    <row r="1390" spans="1:10">
      <c r="A1390" s="193"/>
      <c r="B1390" s="193"/>
      <c r="C1390" s="193"/>
      <c r="D1390" s="193"/>
      <c r="E1390" s="193"/>
      <c r="F1390" s="193"/>
      <c r="G1390" s="193"/>
      <c r="H1390" s="193"/>
      <c r="I1390" s="193"/>
      <c r="J1390" s="193"/>
    </row>
    <row r="1391" spans="1:10">
      <c r="A1391" s="193"/>
      <c r="B1391" s="193"/>
      <c r="C1391" s="193"/>
      <c r="D1391" s="193"/>
      <c r="E1391" s="193"/>
      <c r="F1391" s="193"/>
      <c r="G1391" s="193"/>
      <c r="H1391" s="193"/>
      <c r="I1391" s="193"/>
      <c r="J1391" s="193"/>
    </row>
    <row r="1392" spans="1:10">
      <c r="A1392" s="193"/>
      <c r="B1392" s="193"/>
      <c r="C1392" s="193"/>
      <c r="D1392" s="193"/>
      <c r="E1392" s="193"/>
      <c r="F1392" s="193"/>
      <c r="G1392" s="193"/>
      <c r="H1392" s="193"/>
      <c r="I1392" s="193"/>
      <c r="J1392" s="193"/>
    </row>
    <row r="1393" spans="1:10">
      <c r="A1393" s="193"/>
      <c r="B1393" s="193"/>
      <c r="C1393" s="193"/>
      <c r="D1393" s="193"/>
      <c r="E1393" s="193"/>
      <c r="F1393" s="193"/>
      <c r="G1393" s="193"/>
      <c r="H1393" s="193"/>
      <c r="I1393" s="193"/>
      <c r="J1393" s="193"/>
    </row>
    <row r="1394" spans="1:10">
      <c r="A1394" s="193"/>
      <c r="B1394" s="193"/>
      <c r="C1394" s="193"/>
      <c r="D1394" s="193"/>
      <c r="E1394" s="193"/>
      <c r="F1394" s="193"/>
      <c r="G1394" s="193"/>
      <c r="H1394" s="193"/>
      <c r="I1394" s="193"/>
      <c r="J1394" s="193"/>
    </row>
    <row r="1395" spans="1:10">
      <c r="A1395" s="193"/>
      <c r="B1395" s="193"/>
      <c r="C1395" s="193"/>
      <c r="D1395" s="193"/>
      <c r="E1395" s="193"/>
      <c r="F1395" s="193"/>
      <c r="G1395" s="193"/>
      <c r="H1395" s="193"/>
      <c r="I1395" s="193"/>
      <c r="J1395" s="193"/>
    </row>
    <row r="1396" spans="1:10">
      <c r="A1396" s="193"/>
      <c r="B1396" s="193"/>
      <c r="C1396" s="193"/>
      <c r="D1396" s="193"/>
      <c r="E1396" s="193"/>
      <c r="F1396" s="193"/>
      <c r="G1396" s="193"/>
      <c r="H1396" s="193"/>
      <c r="I1396" s="193"/>
      <c r="J1396" s="193"/>
    </row>
    <row r="1397" spans="1:10">
      <c r="A1397" s="193"/>
      <c r="B1397" s="193"/>
      <c r="C1397" s="193"/>
      <c r="D1397" s="193"/>
      <c r="E1397" s="193"/>
      <c r="F1397" s="193"/>
      <c r="G1397" s="193"/>
      <c r="H1397" s="193"/>
      <c r="I1397" s="193"/>
      <c r="J1397" s="193"/>
    </row>
    <row r="1398" spans="1:10">
      <c r="A1398" s="193"/>
      <c r="B1398" s="193"/>
      <c r="C1398" s="193"/>
      <c r="D1398" s="193"/>
      <c r="E1398" s="193"/>
      <c r="F1398" s="193"/>
      <c r="G1398" s="193"/>
      <c r="H1398" s="193"/>
      <c r="I1398" s="193"/>
      <c r="J1398" s="193"/>
    </row>
    <row r="1399" spans="1:10">
      <c r="A1399" s="193"/>
      <c r="B1399" s="193"/>
      <c r="C1399" s="193"/>
      <c r="D1399" s="193"/>
      <c r="E1399" s="193"/>
      <c r="F1399" s="193"/>
      <c r="G1399" s="193"/>
      <c r="H1399" s="193"/>
      <c r="I1399" s="193"/>
      <c r="J1399" s="193"/>
    </row>
    <row r="1400" spans="1:10">
      <c r="A1400" s="193"/>
      <c r="B1400" s="193"/>
      <c r="C1400" s="193"/>
      <c r="D1400" s="193"/>
      <c r="E1400" s="193"/>
      <c r="F1400" s="193"/>
      <c r="G1400" s="193"/>
      <c r="H1400" s="193"/>
      <c r="I1400" s="193"/>
      <c r="J1400" s="193"/>
    </row>
    <row r="1401" spans="1:10">
      <c r="A1401" s="193"/>
      <c r="B1401" s="193"/>
      <c r="C1401" s="193"/>
      <c r="D1401" s="193"/>
      <c r="E1401" s="193"/>
      <c r="F1401" s="193"/>
      <c r="G1401" s="193"/>
      <c r="H1401" s="193"/>
      <c r="I1401" s="193"/>
      <c r="J1401" s="193"/>
    </row>
  </sheetData>
  <mergeCells count="21">
    <mergeCell ref="A1:J1"/>
    <mergeCell ref="A2:I2"/>
    <mergeCell ref="A3:I3"/>
    <mergeCell ref="A4:I4"/>
    <mergeCell ref="A7:F7"/>
    <mergeCell ref="I7:J7"/>
    <mergeCell ref="A9:G9"/>
    <mergeCell ref="D26:E26"/>
    <mergeCell ref="D35:J35"/>
    <mergeCell ref="D36:J36"/>
    <mergeCell ref="D37:I37"/>
    <mergeCell ref="D38:I38"/>
    <mergeCell ref="D39:E39"/>
    <mergeCell ref="D40:E40"/>
    <mergeCell ref="D41:E41"/>
    <mergeCell ref="D42:E42"/>
    <mergeCell ref="D43:E43"/>
    <mergeCell ref="A48:D48"/>
    <mergeCell ref="F48:I48"/>
    <mergeCell ref="A49:D49"/>
    <mergeCell ref="F49:I49"/>
  </mergeCells>
  <hyperlinks>
    <hyperlink ref="A3" r:id="rId1" display="TEL:(+84)-723-643-733;       (+84)-723-643-734                                         FAX: (+84)-723-643-735"/>
  </hyperlinks>
  <printOptions horizontalCentered="1"/>
  <pageMargins left="0.2" right="0.2" top="0" bottom="0" header="0" footer="0"/>
  <pageSetup paperSize="9" scale="5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 tint="0.349986266670736"/>
    <pageSetUpPr fitToPage="1"/>
  </sheetPr>
  <dimension ref="A1:T77"/>
  <sheetViews>
    <sheetView showGridLines="0" zoomScale="90" zoomScaleNormal="90" topLeftCell="A49" workbookViewId="0">
      <selection activeCell="C71" sqref="C71"/>
    </sheetView>
  </sheetViews>
  <sheetFormatPr defaultColWidth="9" defaultRowHeight="18"/>
  <cols>
    <col min="1" max="1" width="5" style="6" customWidth="1"/>
    <col min="2" max="2" width="22.5727272727273" style="6" customWidth="1"/>
    <col min="3" max="3" width="16" style="6" customWidth="1"/>
    <col min="4" max="4" width="18.4272727272727" style="6" customWidth="1"/>
    <col min="5" max="5" width="6.13636363636364" style="6" customWidth="1"/>
    <col min="6" max="6" width="18.4272727272727" style="6" customWidth="1"/>
    <col min="7" max="7" width="11.4272727272727" style="7" customWidth="1"/>
    <col min="8" max="8" width="13.1363636363636" style="8" customWidth="1"/>
    <col min="9" max="9" width="12.4272727272727" style="9" customWidth="1"/>
    <col min="10" max="10" width="10.8545454545455" style="9" customWidth="1"/>
    <col min="11" max="13" width="9" style="10"/>
    <col min="14" max="16" width="9.29090909090909" style="10" customWidth="1"/>
    <col min="17" max="16384" width="9" style="10"/>
  </cols>
  <sheetData>
    <row r="1" s="1" customFormat="1" ht="20.25" customHeight="1" spans="1:12">
      <c r="A1" s="11"/>
      <c r="B1" s="11"/>
      <c r="C1" s="12"/>
      <c r="D1" s="12"/>
      <c r="E1" s="12"/>
      <c r="F1" s="12"/>
      <c r="G1" s="13"/>
      <c r="H1" s="14"/>
      <c r="I1" s="15" t="s">
        <v>209</v>
      </c>
      <c r="J1" s="15"/>
    </row>
    <row r="2" s="1" customFormat="1" ht="15.75" customHeight="1" spans="1:12">
      <c r="A2" s="11"/>
      <c r="B2" s="11"/>
      <c r="C2" s="16"/>
      <c r="D2" s="17" t="s">
        <v>210</v>
      </c>
      <c r="E2" s="17"/>
      <c r="F2" s="17"/>
      <c r="G2" s="17"/>
      <c r="H2" s="18"/>
      <c r="I2" s="19" t="s">
        <v>211</v>
      </c>
      <c r="J2" s="20"/>
    </row>
    <row r="3" s="1" customFormat="1" ht="31.5" customHeight="1" spans="1:12">
      <c r="A3" s="21" t="s">
        <v>212</v>
      </c>
      <c r="B3" s="21"/>
      <c r="C3" s="21"/>
      <c r="D3" s="17"/>
      <c r="E3" s="17"/>
      <c r="F3" s="17"/>
      <c r="G3" s="17"/>
      <c r="H3" s="18"/>
      <c r="I3" s="19" t="s">
        <v>213</v>
      </c>
      <c r="J3" s="20"/>
    </row>
    <row r="4" s="1" customFormat="1" ht="23.25" customHeight="1" spans="1:12">
      <c r="A4" s="22"/>
      <c r="B4" s="22"/>
      <c r="C4" s="23">
        <f ca="1">NOW()</f>
        <v>46177.7904861111</v>
      </c>
      <c r="D4" s="23"/>
      <c r="E4" s="23"/>
      <c r="F4" s="23"/>
      <c r="G4" s="23"/>
      <c r="H4" s="23"/>
      <c r="I4" s="24" t="s">
        <v>214</v>
      </c>
    </row>
    <row r="5" ht="24" customHeight="1" spans="1:12">
      <c r="A5" s="22"/>
      <c r="B5" s="22"/>
      <c r="C5" s="23" t="s">
        <v>215</v>
      </c>
      <c r="D5" s="23"/>
      <c r="E5" s="23"/>
      <c r="F5" s="23"/>
      <c r="G5" s="23"/>
      <c r="H5" s="23"/>
      <c r="I5" s="24" t="s">
        <v>216</v>
      </c>
      <c r="L5" s="2"/>
    </row>
    <row r="6" ht="31.5" customHeight="1" spans="1:12">
      <c r="A6" s="6" t="s">
        <v>217</v>
      </c>
      <c r="C6" s="25"/>
      <c r="D6" s="25"/>
      <c r="E6" s="25"/>
      <c r="H6" s="26" t="s">
        <v>218</v>
      </c>
      <c r="I6" s="27"/>
      <c r="J6" s="27"/>
      <c r="K6" s="28"/>
    </row>
    <row r="7" ht="31.5" customHeight="1" spans="1:12">
      <c r="A7" s="6" t="s">
        <v>219</v>
      </c>
      <c r="H7" s="29" t="s">
        <v>220</v>
      </c>
      <c r="I7" s="29"/>
      <c r="J7" s="25"/>
      <c r="K7" s="30"/>
    </row>
    <row r="8" ht="31.5" customHeight="1" spans="1:12">
      <c r="A8" s="6" t="s">
        <v>221</v>
      </c>
      <c r="C8" s="27"/>
      <c r="D8" s="27"/>
      <c r="E8" s="27"/>
      <c r="F8" s="25"/>
      <c r="G8" s="25"/>
      <c r="H8" s="31"/>
      <c r="I8" s="10"/>
      <c r="J8" s="10"/>
    </row>
    <row r="9" ht="31.5" customHeight="1" spans="1:12">
      <c r="A9" s="6" t="s">
        <v>222</v>
      </c>
      <c r="C9" s="32" t="s">
        <v>223</v>
      </c>
      <c r="D9" s="32"/>
      <c r="E9" s="32"/>
      <c r="F9" s="32"/>
      <c r="G9" s="32"/>
      <c r="H9" s="32"/>
      <c r="I9" s="32"/>
      <c r="J9" s="32"/>
      <c r="K9" s="32"/>
      <c r="L9" s="32"/>
    </row>
    <row r="10" ht="31.5" customHeight="1" spans="1:12">
      <c r="A10" s="6" t="s">
        <v>224</v>
      </c>
      <c r="C10" s="10" t="s">
        <v>225</v>
      </c>
      <c r="D10" s="10"/>
      <c r="E10" s="10"/>
      <c r="J10" s="9" t="s">
        <v>226</v>
      </c>
    </row>
    <row r="11" ht="31.5" customHeight="1" spans="1:12">
      <c r="A11" s="6" t="s">
        <v>227</v>
      </c>
      <c r="C11" s="33"/>
      <c r="D11" s="33"/>
      <c r="E11" s="33"/>
      <c r="F11" s="33"/>
      <c r="G11" s="33"/>
      <c r="H11" s="33"/>
      <c r="I11" s="33"/>
      <c r="J11" s="33"/>
    </row>
    <row r="12" s="2" customFormat="1" ht="23.25" customHeight="1" spans="1:12">
      <c r="A12" s="34" t="s">
        <v>228</v>
      </c>
      <c r="B12" s="35" t="s">
        <v>86</v>
      </c>
      <c r="C12" s="35" t="s">
        <v>229</v>
      </c>
      <c r="D12" s="35" t="s">
        <v>230</v>
      </c>
      <c r="E12" s="36" t="s">
        <v>231</v>
      </c>
      <c r="F12" s="36"/>
      <c r="G12" s="35" t="s">
        <v>232</v>
      </c>
      <c r="H12" s="37" t="s">
        <v>233</v>
      </c>
      <c r="I12" s="38" t="s">
        <v>234</v>
      </c>
      <c r="J12" s="39"/>
    </row>
    <row r="13" s="2" customFormat="1" ht="23.25" customHeight="1" spans="1:12">
      <c r="A13" s="40"/>
      <c r="B13" s="41"/>
      <c r="C13" s="41"/>
      <c r="D13" s="41"/>
      <c r="E13" s="42"/>
      <c r="F13" s="42"/>
      <c r="G13" s="43"/>
      <c r="H13" s="44" t="s">
        <v>235</v>
      </c>
      <c r="I13" s="45"/>
      <c r="J13" s="46"/>
    </row>
    <row r="14" s="2" customFormat="1" ht="19.5" customHeight="1" spans="1:12">
      <c r="A14" s="47">
        <v>1</v>
      </c>
      <c r="B14" s="48" t="s">
        <v>236</v>
      </c>
      <c r="C14" s="49" t="s">
        <v>237</v>
      </c>
      <c r="D14" s="50" t="s">
        <v>238</v>
      </c>
      <c r="E14" s="51" t="s">
        <v>239</v>
      </c>
      <c r="F14" s="52"/>
      <c r="G14" s="53" t="s">
        <v>56</v>
      </c>
      <c r="H14" s="54">
        <v>238</v>
      </c>
      <c r="I14" s="55"/>
      <c r="J14" s="56"/>
    </row>
    <row r="15" s="2" customFormat="1" ht="19.5" customHeight="1" spans="1:12">
      <c r="A15" s="47">
        <v>2</v>
      </c>
      <c r="B15" s="48" t="s">
        <v>236</v>
      </c>
      <c r="C15" s="49" t="s">
        <v>240</v>
      </c>
      <c r="D15" s="50" t="s">
        <v>241</v>
      </c>
      <c r="E15" s="51" t="s">
        <v>239</v>
      </c>
      <c r="F15" s="52"/>
      <c r="G15" s="53" t="s">
        <v>56</v>
      </c>
      <c r="H15" s="54">
        <v>361</v>
      </c>
      <c r="I15" s="57"/>
      <c r="J15" s="58"/>
    </row>
    <row r="16" s="2" customFormat="1" ht="19.5" customHeight="1" spans="1:12">
      <c r="A16" s="47">
        <v>3</v>
      </c>
      <c r="B16" s="48" t="s">
        <v>236</v>
      </c>
      <c r="C16" s="49" t="s">
        <v>242</v>
      </c>
      <c r="D16" s="50" t="s">
        <v>243</v>
      </c>
      <c r="E16" s="51" t="s">
        <v>239</v>
      </c>
      <c r="F16" s="52"/>
      <c r="G16" s="53" t="s">
        <v>56</v>
      </c>
      <c r="H16" s="54">
        <v>64</v>
      </c>
      <c r="I16" s="57"/>
      <c r="J16" s="58"/>
    </row>
    <row r="17" s="2" customFormat="1" ht="19.5" customHeight="1" spans="1:10">
      <c r="A17" s="47">
        <v>4</v>
      </c>
      <c r="B17" s="59" t="s">
        <v>244</v>
      </c>
      <c r="C17" s="49" t="s">
        <v>245</v>
      </c>
      <c r="D17" s="50" t="s">
        <v>246</v>
      </c>
      <c r="E17" s="60" t="s">
        <v>59</v>
      </c>
      <c r="F17" s="60" t="s">
        <v>247</v>
      </c>
      <c r="G17" s="53" t="s">
        <v>56</v>
      </c>
      <c r="H17" s="54">
        <v>214</v>
      </c>
      <c r="I17" s="57"/>
      <c r="J17" s="58"/>
    </row>
    <row r="18" s="2" customFormat="1" ht="19.5" customHeight="1" spans="1:10">
      <c r="A18" s="47">
        <v>5</v>
      </c>
      <c r="B18" s="59" t="s">
        <v>244</v>
      </c>
      <c r="C18" s="49" t="s">
        <v>245</v>
      </c>
      <c r="D18" s="50" t="s">
        <v>246</v>
      </c>
      <c r="E18" s="60" t="s">
        <v>61</v>
      </c>
      <c r="F18" s="60" t="s">
        <v>247</v>
      </c>
      <c r="G18" s="53" t="s">
        <v>56</v>
      </c>
      <c r="H18" s="54">
        <v>353</v>
      </c>
      <c r="I18" s="57"/>
      <c r="J18" s="58"/>
    </row>
    <row r="19" s="2" customFormat="1" ht="19.5" customHeight="1" spans="1:10">
      <c r="A19" s="47">
        <v>6</v>
      </c>
      <c r="B19" s="59" t="s">
        <v>244</v>
      </c>
      <c r="C19" s="49" t="s">
        <v>245</v>
      </c>
      <c r="D19" s="50" t="s">
        <v>246</v>
      </c>
      <c r="E19" s="60" t="s">
        <v>114</v>
      </c>
      <c r="F19" s="60" t="s">
        <v>247</v>
      </c>
      <c r="G19" s="53" t="s">
        <v>56</v>
      </c>
      <c r="H19" s="54">
        <v>177</v>
      </c>
      <c r="I19" s="57"/>
      <c r="J19" s="58"/>
    </row>
    <row r="20" s="2" customFormat="1" ht="19.5" customHeight="1" spans="1:10">
      <c r="A20" s="47">
        <v>7</v>
      </c>
      <c r="B20" s="59" t="s">
        <v>244</v>
      </c>
      <c r="C20" s="49" t="s">
        <v>245</v>
      </c>
      <c r="D20" s="50" t="s">
        <v>246</v>
      </c>
      <c r="E20" s="60" t="s">
        <v>122</v>
      </c>
      <c r="F20" s="60" t="s">
        <v>247</v>
      </c>
      <c r="G20" s="53" t="s">
        <v>56</v>
      </c>
      <c r="H20" s="54">
        <v>96</v>
      </c>
      <c r="I20" s="57"/>
      <c r="J20" s="58"/>
    </row>
    <row r="21" s="2" customFormat="1" ht="19.5" customHeight="1" spans="1:10">
      <c r="A21" s="47">
        <v>8</v>
      </c>
      <c r="B21" s="59" t="s">
        <v>244</v>
      </c>
      <c r="C21" s="49" t="s">
        <v>248</v>
      </c>
      <c r="D21" s="50" t="s">
        <v>246</v>
      </c>
      <c r="E21" s="60" t="s">
        <v>59</v>
      </c>
      <c r="F21" s="60" t="s">
        <v>247</v>
      </c>
      <c r="G21" s="53" t="s">
        <v>56</v>
      </c>
      <c r="H21" s="54">
        <v>298</v>
      </c>
      <c r="I21" s="57"/>
      <c r="J21" s="58"/>
    </row>
    <row r="22" s="2" customFormat="1" ht="19.5" customHeight="1" spans="1:10">
      <c r="A22" s="47">
        <v>9</v>
      </c>
      <c r="B22" s="59" t="s">
        <v>244</v>
      </c>
      <c r="C22" s="49" t="s">
        <v>248</v>
      </c>
      <c r="D22" s="50" t="s">
        <v>246</v>
      </c>
      <c r="E22" s="60" t="s">
        <v>61</v>
      </c>
      <c r="F22" s="60" t="s">
        <v>247</v>
      </c>
      <c r="G22" s="53" t="s">
        <v>56</v>
      </c>
      <c r="H22" s="54">
        <v>496</v>
      </c>
      <c r="I22" s="57"/>
      <c r="J22" s="58"/>
    </row>
    <row r="23" s="2" customFormat="1" ht="19.5" customHeight="1" spans="1:10">
      <c r="A23" s="47">
        <v>10</v>
      </c>
      <c r="B23" s="59" t="s">
        <v>244</v>
      </c>
      <c r="C23" s="49" t="s">
        <v>248</v>
      </c>
      <c r="D23" s="50" t="s">
        <v>246</v>
      </c>
      <c r="E23" s="60" t="s">
        <v>114</v>
      </c>
      <c r="F23" s="60" t="s">
        <v>247</v>
      </c>
      <c r="G23" s="53" t="s">
        <v>56</v>
      </c>
      <c r="H23" s="54">
        <v>247</v>
      </c>
      <c r="I23" s="57"/>
      <c r="J23" s="58"/>
    </row>
    <row r="24" s="2" customFormat="1" ht="19.5" customHeight="1" spans="1:10">
      <c r="A24" s="47">
        <v>11</v>
      </c>
      <c r="B24" s="59" t="s">
        <v>244</v>
      </c>
      <c r="C24" s="49" t="s">
        <v>248</v>
      </c>
      <c r="D24" s="50" t="s">
        <v>246</v>
      </c>
      <c r="E24" s="60" t="s">
        <v>122</v>
      </c>
      <c r="F24" s="60" t="s">
        <v>247</v>
      </c>
      <c r="G24" s="53" t="s">
        <v>56</v>
      </c>
      <c r="H24" s="54">
        <v>129</v>
      </c>
      <c r="I24" s="57"/>
      <c r="J24" s="58"/>
    </row>
    <row r="25" s="2" customFormat="1" ht="19.5" customHeight="1" spans="1:10">
      <c r="A25" s="47">
        <v>12</v>
      </c>
      <c r="B25" s="59" t="s">
        <v>244</v>
      </c>
      <c r="C25" s="49" t="s">
        <v>249</v>
      </c>
      <c r="D25" s="50" t="s">
        <v>246</v>
      </c>
      <c r="E25" s="60" t="s">
        <v>59</v>
      </c>
      <c r="F25" s="60" t="s">
        <v>247</v>
      </c>
      <c r="G25" s="53" t="s">
        <v>56</v>
      </c>
      <c r="H25" s="54">
        <v>162</v>
      </c>
      <c r="I25" s="57"/>
      <c r="J25" s="58"/>
    </row>
    <row r="26" s="2" customFormat="1" ht="19.5" customHeight="1" spans="1:10">
      <c r="A26" s="47">
        <v>13</v>
      </c>
      <c r="B26" s="59" t="s">
        <v>244</v>
      </c>
      <c r="C26" s="49" t="s">
        <v>249</v>
      </c>
      <c r="D26" s="50" t="s">
        <v>246</v>
      </c>
      <c r="E26" s="60" t="s">
        <v>61</v>
      </c>
      <c r="F26" s="60" t="s">
        <v>247</v>
      </c>
      <c r="G26" s="53" t="s">
        <v>56</v>
      </c>
      <c r="H26" s="54">
        <v>272</v>
      </c>
      <c r="I26" s="57"/>
      <c r="J26" s="58"/>
    </row>
    <row r="27" s="2" customFormat="1" ht="19.5" customHeight="1" spans="1:10">
      <c r="A27" s="47">
        <v>14</v>
      </c>
      <c r="B27" s="59" t="s">
        <v>244</v>
      </c>
      <c r="C27" s="49" t="s">
        <v>249</v>
      </c>
      <c r="D27" s="50" t="s">
        <v>246</v>
      </c>
      <c r="E27" s="60" t="s">
        <v>114</v>
      </c>
      <c r="F27" s="60" t="s">
        <v>247</v>
      </c>
      <c r="G27" s="53" t="s">
        <v>56</v>
      </c>
      <c r="H27" s="54">
        <v>135</v>
      </c>
      <c r="I27" s="57"/>
      <c r="J27" s="58"/>
    </row>
    <row r="28" s="2" customFormat="1" ht="19.5" customHeight="1" spans="1:10">
      <c r="A28" s="47">
        <v>15</v>
      </c>
      <c r="B28" s="59" t="s">
        <v>244</v>
      </c>
      <c r="C28" s="49" t="s">
        <v>249</v>
      </c>
      <c r="D28" s="50" t="s">
        <v>246</v>
      </c>
      <c r="E28" s="60" t="s">
        <v>122</v>
      </c>
      <c r="F28" s="60" t="s">
        <v>247</v>
      </c>
      <c r="G28" s="53" t="s">
        <v>56</v>
      </c>
      <c r="H28" s="54">
        <v>71</v>
      </c>
      <c r="I28" s="57"/>
      <c r="J28" s="58"/>
    </row>
    <row r="29" s="2" customFormat="1" ht="19.5" customHeight="1" spans="1:10">
      <c r="A29" s="47">
        <v>16</v>
      </c>
      <c r="B29" s="59" t="s">
        <v>244</v>
      </c>
      <c r="C29" s="49" t="s">
        <v>250</v>
      </c>
      <c r="D29" s="50" t="s">
        <v>246</v>
      </c>
      <c r="E29" s="60" t="s">
        <v>59</v>
      </c>
      <c r="F29" s="60" t="s">
        <v>247</v>
      </c>
      <c r="G29" s="53" t="s">
        <v>56</v>
      </c>
      <c r="H29" s="54">
        <v>102</v>
      </c>
      <c r="I29" s="57"/>
      <c r="J29" s="58"/>
    </row>
    <row r="30" s="2" customFormat="1" ht="19.5" customHeight="1" spans="1:10">
      <c r="A30" s="47">
        <v>17</v>
      </c>
      <c r="B30" s="59" t="s">
        <v>244</v>
      </c>
      <c r="C30" s="49" t="s">
        <v>250</v>
      </c>
      <c r="D30" s="50" t="s">
        <v>246</v>
      </c>
      <c r="E30" s="60" t="s">
        <v>61</v>
      </c>
      <c r="F30" s="60" t="s">
        <v>247</v>
      </c>
      <c r="G30" s="53" t="s">
        <v>56</v>
      </c>
      <c r="H30" s="54">
        <v>171</v>
      </c>
      <c r="I30" s="57"/>
      <c r="J30" s="58"/>
    </row>
    <row r="31" s="2" customFormat="1" ht="19.5" customHeight="1" spans="1:10">
      <c r="A31" s="47">
        <v>18</v>
      </c>
      <c r="B31" s="59" t="s">
        <v>244</v>
      </c>
      <c r="C31" s="49" t="s">
        <v>250</v>
      </c>
      <c r="D31" s="50" t="s">
        <v>246</v>
      </c>
      <c r="E31" s="60" t="s">
        <v>114</v>
      </c>
      <c r="F31" s="60" t="s">
        <v>247</v>
      </c>
      <c r="G31" s="53" t="s">
        <v>56</v>
      </c>
      <c r="H31" s="54">
        <v>85</v>
      </c>
      <c r="I31" s="57"/>
      <c r="J31" s="58"/>
    </row>
    <row r="32" s="2" customFormat="1" ht="19.5" customHeight="1" spans="1:10">
      <c r="A32" s="47">
        <v>19</v>
      </c>
      <c r="B32" s="59" t="s">
        <v>244</v>
      </c>
      <c r="C32" s="49" t="s">
        <v>250</v>
      </c>
      <c r="D32" s="50" t="s">
        <v>246</v>
      </c>
      <c r="E32" s="60" t="s">
        <v>122</v>
      </c>
      <c r="F32" s="60" t="s">
        <v>247</v>
      </c>
      <c r="G32" s="53" t="s">
        <v>56</v>
      </c>
      <c r="H32" s="54">
        <v>47</v>
      </c>
      <c r="I32" s="57"/>
      <c r="J32" s="58"/>
    </row>
    <row r="33" s="2" customFormat="1" ht="19.5" customHeight="1" spans="1:10">
      <c r="A33" s="47">
        <v>20</v>
      </c>
      <c r="B33" s="59" t="s">
        <v>105</v>
      </c>
      <c r="C33" s="61">
        <v>1030</v>
      </c>
      <c r="D33" s="50" t="s">
        <v>110</v>
      </c>
      <c r="E33" s="60" t="s">
        <v>57</v>
      </c>
      <c r="F33" s="60" t="s">
        <v>109</v>
      </c>
      <c r="G33" s="53" t="s">
        <v>56</v>
      </c>
      <c r="H33" s="54">
        <v>98</v>
      </c>
      <c r="I33" s="57"/>
      <c r="J33" s="58"/>
    </row>
    <row r="34" s="2" customFormat="1" ht="19.5" customHeight="1" spans="1:10">
      <c r="A34" s="47">
        <v>21</v>
      </c>
      <c r="B34" s="59" t="s">
        <v>105</v>
      </c>
      <c r="C34" s="61">
        <v>1030</v>
      </c>
      <c r="D34" s="50" t="s">
        <v>110</v>
      </c>
      <c r="E34" s="60" t="s">
        <v>59</v>
      </c>
      <c r="F34" s="60" t="s">
        <v>112</v>
      </c>
      <c r="G34" s="53" t="s">
        <v>56</v>
      </c>
      <c r="H34" s="54">
        <v>219</v>
      </c>
      <c r="I34" s="57"/>
      <c r="J34" s="58"/>
    </row>
    <row r="35" s="2" customFormat="1" ht="19.5" customHeight="1" spans="1:10">
      <c r="A35" s="47">
        <v>22</v>
      </c>
      <c r="B35" s="59" t="s">
        <v>105</v>
      </c>
      <c r="C35" s="61">
        <v>1030</v>
      </c>
      <c r="D35" s="50" t="s">
        <v>110</v>
      </c>
      <c r="E35" s="60" t="s">
        <v>61</v>
      </c>
      <c r="F35" s="60" t="s">
        <v>113</v>
      </c>
      <c r="G35" s="53" t="s">
        <v>56</v>
      </c>
      <c r="H35" s="54">
        <v>208</v>
      </c>
      <c r="I35" s="57"/>
      <c r="J35" s="58"/>
    </row>
    <row r="36" s="2" customFormat="1" ht="19.5" customHeight="1" spans="1:10">
      <c r="A36" s="47">
        <v>23</v>
      </c>
      <c r="B36" s="59" t="s">
        <v>105</v>
      </c>
      <c r="C36" s="61">
        <v>1030</v>
      </c>
      <c r="D36" s="50" t="s">
        <v>110</v>
      </c>
      <c r="E36" s="60" t="s">
        <v>114</v>
      </c>
      <c r="F36" s="60" t="s">
        <v>115</v>
      </c>
      <c r="G36" s="53" t="s">
        <v>56</v>
      </c>
      <c r="H36" s="54">
        <v>84</v>
      </c>
      <c r="I36" s="57"/>
      <c r="J36" s="58"/>
    </row>
    <row r="37" s="2" customFormat="1" ht="19.5" customHeight="1" spans="1:10">
      <c r="A37" s="47">
        <v>24</v>
      </c>
      <c r="B37" s="59" t="s">
        <v>116</v>
      </c>
      <c r="C37" s="61">
        <v>1030</v>
      </c>
      <c r="D37" s="50" t="s">
        <v>110</v>
      </c>
      <c r="E37" s="60" t="s">
        <v>59</v>
      </c>
      <c r="F37" s="60" t="s">
        <v>119</v>
      </c>
      <c r="G37" s="53" t="s">
        <v>56</v>
      </c>
      <c r="H37" s="54">
        <v>209</v>
      </c>
      <c r="I37" s="57"/>
      <c r="J37" s="58"/>
    </row>
    <row r="38" s="2" customFormat="1" ht="19.5" customHeight="1" spans="1:10">
      <c r="A38" s="47">
        <v>25</v>
      </c>
      <c r="B38" s="59" t="s">
        <v>116</v>
      </c>
      <c r="C38" s="61">
        <v>1030</v>
      </c>
      <c r="D38" s="50" t="s">
        <v>110</v>
      </c>
      <c r="E38" s="60" t="s">
        <v>61</v>
      </c>
      <c r="F38" s="60" t="s">
        <v>120</v>
      </c>
      <c r="G38" s="53" t="s">
        <v>56</v>
      </c>
      <c r="H38" s="54">
        <v>412</v>
      </c>
      <c r="I38" s="57"/>
      <c r="J38" s="58"/>
    </row>
    <row r="39" s="2" customFormat="1" ht="19.5" customHeight="1" spans="1:10">
      <c r="A39" s="47">
        <v>26</v>
      </c>
      <c r="B39" s="59" t="s">
        <v>116</v>
      </c>
      <c r="C39" s="61">
        <v>1030</v>
      </c>
      <c r="D39" s="50" t="s">
        <v>110</v>
      </c>
      <c r="E39" s="60" t="s">
        <v>114</v>
      </c>
      <c r="F39" s="60" t="s">
        <v>121</v>
      </c>
      <c r="G39" s="53" t="s">
        <v>56</v>
      </c>
      <c r="H39" s="54">
        <v>330</v>
      </c>
      <c r="I39" s="57"/>
      <c r="J39" s="58"/>
    </row>
    <row r="40" s="2" customFormat="1" ht="19.5" customHeight="1" spans="1:10">
      <c r="A40" s="47">
        <v>27</v>
      </c>
      <c r="B40" s="59" t="s">
        <v>116</v>
      </c>
      <c r="C40" s="61">
        <v>1030</v>
      </c>
      <c r="D40" s="50" t="s">
        <v>110</v>
      </c>
      <c r="E40" s="60" t="s">
        <v>122</v>
      </c>
      <c r="F40" s="60" t="s">
        <v>123</v>
      </c>
      <c r="G40" s="53" t="s">
        <v>56</v>
      </c>
      <c r="H40" s="54">
        <v>199</v>
      </c>
      <c r="I40" s="57"/>
      <c r="J40" s="58"/>
    </row>
    <row r="41" s="2" customFormat="1" ht="19.5" customHeight="1" spans="1:10">
      <c r="A41" s="47">
        <v>28</v>
      </c>
      <c r="B41" s="59" t="s">
        <v>105</v>
      </c>
      <c r="C41" s="61">
        <v>1120</v>
      </c>
      <c r="D41" s="50" t="s">
        <v>110</v>
      </c>
      <c r="E41" s="60" t="s">
        <v>57</v>
      </c>
      <c r="F41" s="60" t="s">
        <v>109</v>
      </c>
      <c r="G41" s="53" t="s">
        <v>56</v>
      </c>
      <c r="H41" s="54">
        <v>42</v>
      </c>
      <c r="I41" s="57"/>
      <c r="J41" s="58"/>
    </row>
    <row r="42" s="2" customFormat="1" ht="19.5" customHeight="1" spans="1:10">
      <c r="A42" s="47">
        <v>29</v>
      </c>
      <c r="B42" s="59" t="s">
        <v>105</v>
      </c>
      <c r="C42" s="61">
        <v>1120</v>
      </c>
      <c r="D42" s="50" t="s">
        <v>110</v>
      </c>
      <c r="E42" s="60" t="s">
        <v>59</v>
      </c>
      <c r="F42" s="60" t="s">
        <v>112</v>
      </c>
      <c r="G42" s="53" t="s">
        <v>56</v>
      </c>
      <c r="H42" s="54">
        <v>112</v>
      </c>
      <c r="I42" s="57"/>
      <c r="J42" s="58"/>
    </row>
    <row r="43" s="2" customFormat="1" ht="19.5" customHeight="1" spans="1:10">
      <c r="A43" s="47">
        <v>30</v>
      </c>
      <c r="B43" s="59" t="s">
        <v>105</v>
      </c>
      <c r="C43" s="61">
        <v>1120</v>
      </c>
      <c r="D43" s="50" t="s">
        <v>110</v>
      </c>
      <c r="E43" s="60" t="s">
        <v>61</v>
      </c>
      <c r="F43" s="60" t="s">
        <v>113</v>
      </c>
      <c r="G43" s="53" t="s">
        <v>56</v>
      </c>
      <c r="H43" s="54">
        <v>105</v>
      </c>
      <c r="I43" s="57"/>
      <c r="J43" s="58"/>
    </row>
    <row r="44" s="2" customFormat="1" ht="19.5" customHeight="1" spans="1:10">
      <c r="A44" s="47">
        <v>31</v>
      </c>
      <c r="B44" s="59" t="s">
        <v>105</v>
      </c>
      <c r="C44" s="61">
        <v>1120</v>
      </c>
      <c r="D44" s="50" t="s">
        <v>110</v>
      </c>
      <c r="E44" s="60" t="s">
        <v>114</v>
      </c>
      <c r="F44" s="60" t="s">
        <v>115</v>
      </c>
      <c r="G44" s="53" t="s">
        <v>56</v>
      </c>
      <c r="H44" s="54">
        <v>40</v>
      </c>
      <c r="I44" s="57"/>
      <c r="J44" s="58"/>
    </row>
    <row r="45" s="2" customFormat="1" ht="19.5" customHeight="1" spans="1:10">
      <c r="A45" s="47">
        <v>32</v>
      </c>
      <c r="B45" s="59" t="s">
        <v>116</v>
      </c>
      <c r="C45" s="61">
        <v>1120</v>
      </c>
      <c r="D45" s="50" t="s">
        <v>110</v>
      </c>
      <c r="E45" s="60" t="s">
        <v>59</v>
      </c>
      <c r="F45" s="60" t="s">
        <v>119</v>
      </c>
      <c r="G45" s="53" t="s">
        <v>56</v>
      </c>
      <c r="H45" s="54">
        <v>128</v>
      </c>
      <c r="I45" s="57"/>
      <c r="J45" s="58"/>
    </row>
    <row r="46" s="2" customFormat="1" ht="19.5" customHeight="1" spans="1:10">
      <c r="A46" s="47">
        <v>33</v>
      </c>
      <c r="B46" s="59" t="s">
        <v>116</v>
      </c>
      <c r="C46" s="61">
        <v>1120</v>
      </c>
      <c r="D46" s="50" t="s">
        <v>110</v>
      </c>
      <c r="E46" s="60" t="s">
        <v>61</v>
      </c>
      <c r="F46" s="60" t="s">
        <v>120</v>
      </c>
      <c r="G46" s="53" t="s">
        <v>56</v>
      </c>
      <c r="H46" s="54">
        <v>200</v>
      </c>
      <c r="I46" s="57"/>
      <c r="J46" s="58"/>
    </row>
    <row r="47" s="2" customFormat="1" ht="19.5" customHeight="1" spans="1:10">
      <c r="A47" s="47">
        <v>34</v>
      </c>
      <c r="B47" s="59" t="s">
        <v>116</v>
      </c>
      <c r="C47" s="61">
        <v>1120</v>
      </c>
      <c r="D47" s="50" t="s">
        <v>110</v>
      </c>
      <c r="E47" s="60" t="s">
        <v>114</v>
      </c>
      <c r="F47" s="60" t="s">
        <v>121</v>
      </c>
      <c r="G47" s="53" t="s">
        <v>56</v>
      </c>
      <c r="H47" s="54">
        <v>150</v>
      </c>
      <c r="I47" s="57"/>
      <c r="J47" s="58"/>
    </row>
    <row r="48" s="2" customFormat="1" ht="19.5" customHeight="1" spans="1:10">
      <c r="A48" s="47">
        <v>35</v>
      </c>
      <c r="B48" s="59" t="s">
        <v>116</v>
      </c>
      <c r="C48" s="61">
        <v>1120</v>
      </c>
      <c r="D48" s="50" t="s">
        <v>110</v>
      </c>
      <c r="E48" s="60" t="s">
        <v>122</v>
      </c>
      <c r="F48" s="60" t="s">
        <v>123</v>
      </c>
      <c r="G48" s="53" t="s">
        <v>56</v>
      </c>
      <c r="H48" s="54">
        <v>86</v>
      </c>
      <c r="I48" s="57"/>
      <c r="J48" s="58"/>
    </row>
    <row r="49" s="2" customFormat="1" ht="19.5" customHeight="1" spans="1:17">
      <c r="A49" s="47">
        <v>36</v>
      </c>
      <c r="B49" s="59" t="s">
        <v>116</v>
      </c>
      <c r="C49" s="61">
        <v>1120</v>
      </c>
      <c r="D49" s="50" t="s">
        <v>246</v>
      </c>
      <c r="E49" s="60" t="s">
        <v>61</v>
      </c>
      <c r="F49" s="60" t="s">
        <v>120</v>
      </c>
      <c r="G49" s="53" t="s">
        <v>56</v>
      </c>
      <c r="H49" s="54">
        <v>50</v>
      </c>
      <c r="I49" s="57"/>
      <c r="J49" s="58"/>
    </row>
    <row r="50" s="2" customFormat="1" ht="19.5" customHeight="1" spans="1:17">
      <c r="A50" s="47">
        <v>37</v>
      </c>
      <c r="B50" s="59" t="s">
        <v>116</v>
      </c>
      <c r="C50" s="61">
        <v>1120</v>
      </c>
      <c r="D50" s="50" t="s">
        <v>246</v>
      </c>
      <c r="E50" s="60" t="s">
        <v>114</v>
      </c>
      <c r="F50" s="60" t="s">
        <v>121</v>
      </c>
      <c r="G50" s="53" t="s">
        <v>56</v>
      </c>
      <c r="H50" s="54">
        <v>50</v>
      </c>
      <c r="I50" s="57"/>
      <c r="J50" s="58"/>
    </row>
    <row r="51" s="2" customFormat="1" ht="19.5" customHeight="1" spans="1:17">
      <c r="A51" s="47">
        <v>38</v>
      </c>
      <c r="B51" s="59" t="s">
        <v>116</v>
      </c>
      <c r="C51" s="61">
        <v>1120</v>
      </c>
      <c r="D51" s="50" t="s">
        <v>246</v>
      </c>
      <c r="E51" s="60" t="s">
        <v>122</v>
      </c>
      <c r="F51" s="60" t="s">
        <v>123</v>
      </c>
      <c r="G51" s="53" t="s">
        <v>56</v>
      </c>
      <c r="H51" s="54">
        <v>35</v>
      </c>
      <c r="I51" s="57"/>
      <c r="J51" s="58"/>
    </row>
    <row r="52" s="2" customFormat="1" ht="19.5" customHeight="1" spans="1:17">
      <c r="A52" s="47">
        <v>39</v>
      </c>
      <c r="B52" s="59" t="s">
        <v>105</v>
      </c>
      <c r="C52" s="61">
        <v>1120</v>
      </c>
      <c r="D52" s="50" t="s">
        <v>246</v>
      </c>
      <c r="E52" s="60" t="s">
        <v>57</v>
      </c>
      <c r="F52" s="60" t="s">
        <v>109</v>
      </c>
      <c r="G52" s="53" t="s">
        <v>56</v>
      </c>
      <c r="H52" s="54">
        <v>9</v>
      </c>
      <c r="I52" s="57"/>
      <c r="J52" s="58"/>
    </row>
    <row r="53" s="2" customFormat="1" ht="19.5" customHeight="1" spans="1:17">
      <c r="A53" s="47">
        <v>40</v>
      </c>
      <c r="B53" s="59" t="s">
        <v>105</v>
      </c>
      <c r="C53" s="61">
        <v>1120</v>
      </c>
      <c r="D53" s="50" t="s">
        <v>246</v>
      </c>
      <c r="E53" s="60" t="s">
        <v>114</v>
      </c>
      <c r="F53" s="60" t="s">
        <v>115</v>
      </c>
      <c r="G53" s="53" t="s">
        <v>56</v>
      </c>
      <c r="H53" s="54">
        <v>7</v>
      </c>
      <c r="I53" s="57"/>
      <c r="J53" s="58"/>
    </row>
    <row r="54" s="2" customFormat="1" ht="31.5" customHeight="1" spans="1:17">
      <c r="A54" s="47">
        <v>41</v>
      </c>
      <c r="B54" s="59" t="s">
        <v>251</v>
      </c>
      <c r="C54" s="61" t="s">
        <v>242</v>
      </c>
      <c r="D54" s="62" t="s">
        <v>252</v>
      </c>
      <c r="E54" s="63" t="s">
        <v>253</v>
      </c>
      <c r="F54" s="64"/>
      <c r="G54" s="53" t="s">
        <v>56</v>
      </c>
      <c r="H54" s="54">
        <v>1917</v>
      </c>
      <c r="I54" s="57" t="s">
        <v>254</v>
      </c>
      <c r="J54" s="58"/>
    </row>
    <row r="55" s="2" customFormat="1" ht="31.5" customHeight="1" spans="1:17">
      <c r="A55" s="47">
        <v>42</v>
      </c>
      <c r="B55" s="59" t="s">
        <v>251</v>
      </c>
      <c r="C55" s="61" t="s">
        <v>255</v>
      </c>
      <c r="D55" s="62" t="s">
        <v>256</v>
      </c>
      <c r="E55" s="63" t="s">
        <v>253</v>
      </c>
      <c r="F55" s="64"/>
      <c r="G55" s="53" t="s">
        <v>56</v>
      </c>
      <c r="H55" s="54">
        <v>1231</v>
      </c>
      <c r="I55" s="57"/>
      <c r="J55" s="58"/>
    </row>
    <row r="56" s="2" customFormat="1" ht="33" customHeight="1" spans="1:17">
      <c r="A56" s="47">
        <v>43</v>
      </c>
      <c r="B56" s="59" t="s">
        <v>251</v>
      </c>
      <c r="C56" s="49" t="s">
        <v>240</v>
      </c>
      <c r="D56" s="62" t="s">
        <v>256</v>
      </c>
      <c r="E56" s="63" t="s">
        <v>253</v>
      </c>
      <c r="F56" s="64"/>
      <c r="G56" s="53" t="s">
        <v>56</v>
      </c>
      <c r="H56" s="54">
        <v>1658</v>
      </c>
      <c r="I56" s="57" t="s">
        <v>257</v>
      </c>
      <c r="J56" s="58"/>
    </row>
    <row r="57" s="2" customFormat="1" ht="33" customHeight="1" spans="1:17">
      <c r="A57" s="47">
        <v>44</v>
      </c>
      <c r="B57" s="59" t="s">
        <v>251</v>
      </c>
      <c r="C57" s="49" t="s">
        <v>258</v>
      </c>
      <c r="D57" s="62" t="s">
        <v>252</v>
      </c>
      <c r="E57" s="63" t="s">
        <v>253</v>
      </c>
      <c r="F57" s="64"/>
      <c r="G57" s="53" t="s">
        <v>56</v>
      </c>
      <c r="H57" s="54">
        <v>3545</v>
      </c>
      <c r="I57" s="57"/>
      <c r="J57" s="58"/>
      <c r="L57" s="2">
        <f>1300+16749</f>
        <v>18049</v>
      </c>
    </row>
    <row r="58" s="2" customFormat="1" ht="33.75" customHeight="1" spans="1:17">
      <c r="A58" s="47">
        <v>45</v>
      </c>
      <c r="B58" s="59" t="s">
        <v>251</v>
      </c>
      <c r="C58" s="49" t="s">
        <v>258</v>
      </c>
      <c r="D58" s="62" t="s">
        <v>259</v>
      </c>
      <c r="E58" s="51" t="s">
        <v>260</v>
      </c>
      <c r="F58" s="52"/>
      <c r="G58" s="53" t="s">
        <v>56</v>
      </c>
      <c r="H58" s="54">
        <v>1907</v>
      </c>
      <c r="I58" s="57" t="s">
        <v>261</v>
      </c>
      <c r="J58" s="58"/>
    </row>
    <row r="59" ht="18.75" spans="1:17">
      <c r="A59" s="65" t="s">
        <v>262</v>
      </c>
      <c r="B59" s="66"/>
      <c r="C59" s="66"/>
      <c r="D59" s="66"/>
      <c r="E59" s="66"/>
      <c r="F59" s="66"/>
      <c r="G59" s="66"/>
      <c r="H59" s="67">
        <f>SUM(H14:H58)</f>
        <v>16749</v>
      </c>
      <c r="I59" s="68"/>
      <c r="J59" s="69"/>
    </row>
    <row r="60" s="3" customFormat="1" ht="27" hidden="1" customHeight="1" spans="1:17">
      <c r="B60" s="70" t="s">
        <v>263</v>
      </c>
      <c r="C60" s="71" t="str">
        <f>F66</f>
        <v>Không đồng.</v>
      </c>
      <c r="D60" s="71"/>
      <c r="E60" s="71"/>
      <c r="F60" s="71"/>
      <c r="G60" s="71"/>
      <c r="H60" s="71"/>
      <c r="I60" s="71"/>
      <c r="J60" s="71"/>
    </row>
    <row r="61" s="4" customFormat="1" ht="17.5" hidden="1" spans="1:17">
      <c r="A61" s="72">
        <f>J59</f>
        <v>0</v>
      </c>
      <c r="B61" s="73"/>
      <c r="C61" s="74" t="str">
        <f>RIGHT("000000000000"&amp;ROUND(A61,0),12)</f>
        <v>000000000000</v>
      </c>
      <c r="D61" s="74"/>
      <c r="E61" s="74"/>
      <c r="F61" s="74">
        <v>1</v>
      </c>
      <c r="G61" s="75">
        <v>2</v>
      </c>
      <c r="H61" s="76">
        <v>3</v>
      </c>
      <c r="I61" s="74">
        <v>4</v>
      </c>
      <c r="J61" s="74">
        <v>5</v>
      </c>
      <c r="K61" s="74">
        <v>6</v>
      </c>
      <c r="L61" s="4">
        <v>7</v>
      </c>
      <c r="M61" s="4">
        <v>8</v>
      </c>
      <c r="N61" s="4">
        <v>9</v>
      </c>
      <c r="O61" s="4">
        <v>10</v>
      </c>
      <c r="P61" s="4">
        <v>11</v>
      </c>
      <c r="Q61" s="4">
        <v>12</v>
      </c>
    </row>
    <row r="62" s="4" customFormat="1" ht="17.5" hidden="1" spans="1:17">
      <c r="A62" s="74"/>
      <c r="B62" s="74"/>
      <c r="C62" s="74"/>
      <c r="D62" s="74"/>
      <c r="E62" s="74"/>
      <c r="F62" s="74">
        <f>VALUE(MID(C61,F61,1))</f>
        <v>0</v>
      </c>
      <c r="G62" s="75">
        <f>VALUE(MID(C61,G61,1))</f>
        <v>0</v>
      </c>
      <c r="H62" s="76">
        <f>VALUE(MID(C61,H61,1))</f>
        <v>0</v>
      </c>
      <c r="I62" s="74">
        <f>VALUE(MID(C61,I61,1))</f>
        <v>0</v>
      </c>
      <c r="J62" s="74">
        <f>VALUE(MID(C61,J61,1))</f>
        <v>0</v>
      </c>
      <c r="K62" s="74">
        <f>VALUE(MID(C61,K61,1))</f>
        <v>0</v>
      </c>
      <c r="L62" s="4">
        <f>VALUE(MID(C61,L61,1))</f>
        <v>0</v>
      </c>
      <c r="M62" s="4">
        <f>VALUE(MID(C61,M61,1))</f>
        <v>0</v>
      </c>
      <c r="N62" s="4">
        <f>VALUE(MID(C61,N61,1))</f>
        <v>0</v>
      </c>
      <c r="O62" s="4">
        <f>VALUE(MID(C61,O61,1))</f>
        <v>0</v>
      </c>
      <c r="P62" s="4">
        <f>VALUE(MID(C61,P61,1))</f>
        <v>0</v>
      </c>
      <c r="Q62" s="4">
        <f>VALUE(MID(C61,Q61,1))</f>
        <v>0</v>
      </c>
    </row>
    <row r="63" s="4" customFormat="1" ht="17.5" hidden="1" spans="1:17">
      <c r="A63" s="74"/>
      <c r="B63" s="74"/>
      <c r="C63" s="74"/>
      <c r="D63" s="74"/>
      <c r="E63" s="74"/>
      <c r="F63" s="74">
        <f>SUM(F62:F62)</f>
        <v>0</v>
      </c>
      <c r="G63" s="75">
        <f>SUM(F62:G62)</f>
        <v>0</v>
      </c>
      <c r="H63" s="76">
        <f>SUM(F62:H62)</f>
        <v>0</v>
      </c>
      <c r="I63" s="74">
        <f>SUM(I62:I62)</f>
        <v>0</v>
      </c>
      <c r="J63" s="74">
        <f>SUM(I62:J62)</f>
        <v>0</v>
      </c>
      <c r="K63" s="74">
        <f>SUM(I62:K62)</f>
        <v>0</v>
      </c>
      <c r="L63" s="4">
        <f>SUM(L62:L62)</f>
        <v>0</v>
      </c>
      <c r="M63" s="4">
        <f>SUM(L62:M62)</f>
        <v>0</v>
      </c>
      <c r="N63" s="4">
        <f>SUM(L62:N62)</f>
        <v>0</v>
      </c>
      <c r="O63" s="4">
        <f>SUM(O62:O62)</f>
        <v>0</v>
      </c>
      <c r="P63" s="4">
        <f>SUM(O62:P62)</f>
        <v>0</v>
      </c>
      <c r="Q63" s="4">
        <f>SUM(O62:Q62)</f>
        <v>0</v>
      </c>
    </row>
    <row r="64" s="4" customFormat="1" ht="17.5" hidden="1" spans="1:17">
      <c r="A64" s="74"/>
      <c r="B64" s="74"/>
      <c r="C64" s="74"/>
      <c r="D64" s="74"/>
      <c r="E64" s="74"/>
      <c r="F64" s="74" t="str">
        <f>IF(F62=0,"",CHOOSE(F62,"một","hai","ba","bốn","năm","sáu","bảy","tám","chín"))</f>
        <v/>
      </c>
      <c r="G64" s="75" t="str">
        <f>IF(G62=0,IF(AND(F62&lt;&gt;0,H62&lt;&gt;0),"lẻ",""),CHOOSE(G62,"mười","hai","ba","bốn","năm","sáu","bảy","tám","chín"))</f>
        <v/>
      </c>
      <c r="H64" s="76" t="str">
        <f>IF(H62=0,"",CHOOSE(H62,IF(G62&gt;1,"mốt","một"),"hai","ba","bốn",IF(G62=0,"năm","lăm"),"sáu","bảy","tám","chín"))</f>
        <v/>
      </c>
      <c r="I64" s="74" t="str">
        <f>IF(I62=0,"",CHOOSE(I62,"một","hai","ba","bốn","năm","sáu","bảy","tám","chín"))</f>
        <v/>
      </c>
      <c r="J64" s="74" t="str">
        <f>IF(J62=0,IF(AND(I62&lt;&gt;0,K62&lt;&gt;0),"lẻ",""),CHOOSE(J62,"mười","hai","ba","bốn","năm","sáu","bảy","tám","chín"))</f>
        <v/>
      </c>
      <c r="K64" s="74" t="str">
        <f>IF(K62=0,"",CHOOSE(K62,IF(J62&gt;1,"mốt","một"),"hai","ba","bốn",IF(J62=0,"năm","lăm"),"sáu","bảy","tám","chín"))</f>
        <v/>
      </c>
      <c r="L64" s="4" t="str">
        <f>IF(L62=0,"",CHOOSE(L62,"một","hai","ba","bốn","năm","sáu","bảy","tám","chín"))</f>
        <v/>
      </c>
      <c r="M64" s="4" t="str">
        <f>IF(M62=0,IF(AND(L62&lt;&gt;0,N62&lt;&gt;0),"lẻ",""),CHOOSE(M62,"mười","hai","ba","bốn","năm","sáu","bảy","tám","chín"))</f>
        <v/>
      </c>
      <c r="N64" s="4" t="str">
        <f>IF(N62=0,"",CHOOSE(N62,IF(M62&gt;1,"mốt","một"),"hai","ba","bốn",IF(M62=0,"năm","lăm"),"sáu","bảy","tám","chín"))</f>
        <v/>
      </c>
      <c r="O64" s="4" t="str">
        <f>IF(O62=0,"",CHOOSE(O62,"một","hai","ba","bốn","năm","sáu","bảy","tám","chín"))</f>
        <v/>
      </c>
      <c r="P64" s="4" t="str">
        <f>IF(P62=0,IF(AND(O62&lt;&gt;0,Q62&lt;&gt;0),"lẻ",""),CHOOSE(P62,"mười","hai","ba","bốn","năm","sáu","bảy","tám","chín"))</f>
        <v/>
      </c>
      <c r="Q64" s="4" t="str">
        <f>IF(Q62=0,"",CHOOSE(Q62,IF(P62&gt;1,"mốt","một"),"hai","ba","bốn",IF(P62=0,"năm","lăm"),"sáu","bảy","tám","chín"))</f>
        <v/>
      </c>
    </row>
    <row r="65" s="4" customFormat="1" ht="17.5" hidden="1" spans="1:20">
      <c r="A65" s="74"/>
      <c r="B65" s="74"/>
      <c r="C65" s="74"/>
      <c r="D65" s="74"/>
      <c r="E65" s="74"/>
      <c r="F65" s="74" t="str">
        <f>IF(F62=0,"","trăm")</f>
        <v/>
      </c>
      <c r="G65" s="75" t="str">
        <f>IF(G62=0,"",IF(G62=1,"","mươi"))</f>
        <v/>
      </c>
      <c r="H65" s="76" t="str">
        <f>IF(AND(H62=0,H63=0),"","tỷ")</f>
        <v/>
      </c>
      <c r="I65" s="74" t="str">
        <f>IF(I62=0,"","trăm")</f>
        <v/>
      </c>
      <c r="J65" s="74" t="str">
        <f>IF(J62=0,"",IF(J62=1,"","mươi"))</f>
        <v/>
      </c>
      <c r="K65" s="74" t="str">
        <f>IF(AND(K62=0,K63=0),"","triệu")</f>
        <v/>
      </c>
      <c r="L65" s="4" t="str">
        <f>IF(L62=0,"","trăm")</f>
        <v/>
      </c>
      <c r="M65" s="4" t="str">
        <f>IF(M62=0,"",IF(M62=1,"","mươi"))</f>
        <v/>
      </c>
      <c r="N65" s="4" t="str">
        <f>IF(AND(N62=0,N63=0),"","nghìn")</f>
        <v/>
      </c>
      <c r="O65" s="4" t="str">
        <f>IF(O62=0,"","trăm")</f>
        <v/>
      </c>
      <c r="P65" s="4" t="str">
        <f>IF(P62=0,"",IF(P62=1,"","mươi"))</f>
        <v/>
      </c>
      <c r="Q65" s="4" t="s">
        <v>264</v>
      </c>
    </row>
    <row r="66" s="4" customFormat="1" ht="17.5" hidden="1" spans="1:20">
      <c r="A66" s="74"/>
      <c r="B66" s="74"/>
      <c r="C66" s="74"/>
      <c r="D66" s="74"/>
      <c r="E66" s="74"/>
      <c r="F66" s="74" t="str">
        <f>UPPER(LEFT(TRIM(IF(A61=0,"không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"&amp;Q65)),1))&amp;RIGHT(TRIM(IF(A61=0,"không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"&amp;Q65)),LEN(TRIM(IF(A61=0,"không đồng.",F64&amp;" "&amp;F65&amp;" "&amp;G64&amp;" "&amp;G65&amp;" "&amp;H64&amp;" "&amp;H65&amp;" "&amp;I64&amp;" "&amp;I65&amp;" "&amp;J64&amp;" "&amp;J65&amp;" "&amp;K64&amp;" "&amp;K65&amp;" "&amp;L64&amp;" "&amp;L65&amp;" "&amp;M64&amp;" "&amp;M65&amp;" "&amp;N64&amp;" "&amp;N65&amp;" "&amp;O64&amp;" "&amp;O65&amp;" "&amp;P64&amp;" "&amp;P65&amp;" "&amp;Q64&amp;" "&amp;Q65)))-1)</f>
        <v>Không đồng.</v>
      </c>
      <c r="G66" s="75"/>
      <c r="H66" s="76"/>
      <c r="I66" s="74"/>
      <c r="J66" s="74"/>
      <c r="K66" s="74"/>
    </row>
    <row r="67" s="3" customFormat="1" ht="47.25" customHeight="1" spans="1:20">
      <c r="A67" s="77" t="s">
        <v>265</v>
      </c>
      <c r="B67" s="77"/>
      <c r="C67" s="77" t="s">
        <v>266</v>
      </c>
      <c r="D67" s="77"/>
      <c r="E67" s="77"/>
      <c r="F67" s="78" t="s">
        <v>267</v>
      </c>
      <c r="G67" s="78"/>
      <c r="H67" s="78"/>
      <c r="I67" s="79"/>
      <c r="J67" s="80" t="s">
        <v>268</v>
      </c>
      <c r="K67" s="80"/>
    </row>
    <row r="68" ht="22.5" customHeight="1" spans="1:20">
      <c r="A68" s="81"/>
      <c r="B68" s="79"/>
      <c r="C68" s="79"/>
      <c r="D68" s="79"/>
      <c r="E68" s="79"/>
      <c r="F68" s="79"/>
      <c r="G68" s="79"/>
      <c r="H68" s="82"/>
      <c r="I68" s="79"/>
      <c r="J68" s="79"/>
      <c r="K68" s="83"/>
    </row>
    <row r="69" spans="1:20">
      <c r="A69" s="84"/>
      <c r="B69" s="84"/>
      <c r="C69" s="84"/>
      <c r="D69" s="84"/>
      <c r="E69" s="84"/>
      <c r="F69" s="84"/>
      <c r="G69" s="84"/>
      <c r="H69" s="84"/>
      <c r="I69" s="84"/>
      <c r="J69" s="84"/>
    </row>
    <row r="70" s="5" customFormat="1" spans="1:20">
      <c r="A70" s="85"/>
      <c r="B70" s="85"/>
      <c r="C70" s="86" t="s">
        <v>269</v>
      </c>
      <c r="D70" s="86"/>
      <c r="E70" s="86"/>
      <c r="F70" s="86" t="s">
        <v>270</v>
      </c>
      <c r="G70" s="86"/>
      <c r="H70" s="86"/>
      <c r="I70" s="87">
        <f ca="1">NOW()</f>
        <v>46177.7904861111</v>
      </c>
      <c r="J70" s="87"/>
    </row>
    <row r="71" spans="1:20">
      <c r="C71" s="88"/>
      <c r="D71" s="88"/>
      <c r="E71" s="88"/>
      <c r="I71" s="25" t="s">
        <v>271</v>
      </c>
      <c r="J71" s="25"/>
    </row>
    <row r="72" spans="1:20">
      <c r="A72" s="89"/>
    </row>
    <row r="74" spans="1:20">
      <c r="A74" s="90" t="s">
        <v>272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T74" s="10" t="s">
        <v>226</v>
      </c>
    </row>
    <row r="76" spans="1:20">
      <c r="C76" s="91"/>
      <c r="D76" s="91"/>
      <c r="E76" s="91"/>
    </row>
    <row r="77" s="6" customFormat="1" spans="1:20">
      <c r="C77" s="91"/>
      <c r="D77" s="91"/>
      <c r="E77" s="91"/>
      <c r="G77" s="7"/>
      <c r="H77" s="8"/>
      <c r="I77" s="9"/>
      <c r="J77" s="9"/>
      <c r="K77" s="10"/>
      <c r="L77" s="10"/>
      <c r="M77" s="10"/>
      <c r="N77" s="10"/>
      <c r="O77" s="10"/>
      <c r="P77" s="10"/>
      <c r="Q77" s="10"/>
      <c r="R77" s="10"/>
      <c r="S77" s="10"/>
      <c r="T77" s="10"/>
    </row>
  </sheetData>
  <mergeCells count="37">
    <mergeCell ref="I1:J1"/>
    <mergeCell ref="A3:C3"/>
    <mergeCell ref="C4:H4"/>
    <mergeCell ref="C5:H5"/>
    <mergeCell ref="I6:J6"/>
    <mergeCell ref="H7:I7"/>
    <mergeCell ref="C9:L9"/>
    <mergeCell ref="E14:F14"/>
    <mergeCell ref="I14:J14"/>
    <mergeCell ref="E15:F15"/>
    <mergeCell ref="E16:F16"/>
    <mergeCell ref="E54:F54"/>
    <mergeCell ref="E55:F55"/>
    <mergeCell ref="E56:F56"/>
    <mergeCell ref="E57:F57"/>
    <mergeCell ref="E58:F58"/>
    <mergeCell ref="A59:G59"/>
    <mergeCell ref="I59:J59"/>
    <mergeCell ref="C60:J60"/>
    <mergeCell ref="A61:B61"/>
    <mergeCell ref="A67:B67"/>
    <mergeCell ref="C67:E67"/>
    <mergeCell ref="F67:H67"/>
    <mergeCell ref="A69:J69"/>
    <mergeCell ref="C70:E70"/>
    <mergeCell ref="F70:H70"/>
    <mergeCell ref="I70:J70"/>
    <mergeCell ref="I71:J71"/>
    <mergeCell ref="A74:K74"/>
    <mergeCell ref="A12:A13"/>
    <mergeCell ref="B12:B13"/>
    <mergeCell ref="C12:C13"/>
    <mergeCell ref="D12:D13"/>
    <mergeCell ref="G12:G13"/>
    <mergeCell ref="D2:G3"/>
    <mergeCell ref="E12:F13"/>
    <mergeCell ref="I12:J13"/>
  </mergeCells>
  <pageMargins left="0.25" right="0" top="0.16" bottom="0.24" header="0.1" footer="0.3"/>
  <pageSetup paperSize="11" scale="72" fitToHeight="0" orientation="landscape"/>
  <headerFooter/>
  <colBreaks count="1" manualBreakCount="1">
    <brk id="10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PKL</vt:lpstr>
      <vt:lpstr>PL </vt:lpstr>
      <vt:lpstr>INV</vt:lpstr>
      <vt:lpstr>TEM</vt:lpstr>
      <vt:lpstr>DELIVERY INSTRUCTION</vt:lpstr>
      <vt:lpstr>SC</vt:lpstr>
      <vt:lpstr>IN PHIẾU XUẤT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Flower Dance •﹏•</cp:lastModifiedBy>
  <dcterms:created xsi:type="dcterms:W3CDTF">2025-02-05T09:50:00Z</dcterms:created>
  <cp:lastPrinted>2025-12-31T02:29:00Z</cp:lastPrinted>
  <dcterms:modified xsi:type="dcterms:W3CDTF">2026-06-04T10:58:18Z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61BDF50E8D934AA182C92DE72AEFE3C5_12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