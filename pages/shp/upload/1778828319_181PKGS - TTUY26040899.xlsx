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3BC82575-F96A-480B-BEDB-9F7A4D179B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OICE" sheetId="4" r:id="rId1"/>
    <sheet name="PACKING" sheetId="5" r:id="rId2"/>
    <sheet name="179 Rolls PACKING DETAIL" sheetId="6" r:id="rId3"/>
  </sheets>
  <definedNames>
    <definedName name="_xlnm._FilterDatabase" localSheetId="2" hidden="1">'179 Rolls PACKING DETAIL'!$A$2:$Q$2</definedName>
    <definedName name="_xlnm.Print_Titles" localSheetId="0">INVOICE!$16:$16</definedName>
    <definedName name="_xlnm.Print_Titles" localSheetId="1">PACKING!$18:$18</definedName>
  </definedNames>
  <calcPr calcId="181029"/>
</workbook>
</file>

<file path=xl/calcChain.xml><?xml version="1.0" encoding="utf-8"?>
<calcChain xmlns="http://schemas.openxmlformats.org/spreadsheetml/2006/main">
  <c r="P82" i="5" l="1"/>
  <c r="M82" i="5"/>
  <c r="J79" i="5"/>
  <c r="J75" i="5"/>
  <c r="J82" i="5" s="1"/>
  <c r="K86" i="4"/>
  <c r="P86" i="4" s="1"/>
  <c r="P92" i="4" s="1"/>
  <c r="K90" i="4"/>
  <c r="P90" i="4" s="1"/>
  <c r="N182" i="6"/>
  <c r="M182" i="6"/>
  <c r="L182" i="6"/>
  <c r="K92" i="4" l="1"/>
</calcChain>
</file>

<file path=xl/sharedStrings.xml><?xml version="1.0" encoding="utf-8"?>
<sst xmlns="http://schemas.openxmlformats.org/spreadsheetml/2006/main" count="2176" uniqueCount="431">
  <si>
    <t>Amount</t>
  </si>
  <si>
    <t>Unit Price</t>
    <phoneticPr fontId="8" type="noConversion"/>
  </si>
  <si>
    <t>Quantity</t>
  </si>
  <si>
    <t>Description of Goods</t>
    <phoneticPr fontId="8" type="noConversion"/>
  </si>
  <si>
    <t>Marks &amp; Nos.</t>
    <phoneticPr fontId="9" type="noConversion"/>
  </si>
  <si>
    <t xml:space="preserve">to </t>
    <phoneticPr fontId="9" type="noConversion"/>
  </si>
  <si>
    <t xml:space="preserve">From </t>
    <phoneticPr fontId="8" type="noConversion"/>
  </si>
  <si>
    <t xml:space="preserve">sailing on or about </t>
    <phoneticPr fontId="8" type="noConversion"/>
  </si>
  <si>
    <t xml:space="preserve">Per </t>
    <phoneticPr fontId="8" type="noConversion"/>
  </si>
  <si>
    <t xml:space="preserve">Shipped by </t>
    <phoneticPr fontId="8" type="noConversion"/>
  </si>
  <si>
    <t xml:space="preserve">INVOICE of </t>
    <phoneticPr fontId="8" type="noConversion"/>
  </si>
  <si>
    <t xml:space="preserve">Dated: </t>
    <phoneticPr fontId="8" type="noConversion"/>
  </si>
  <si>
    <t xml:space="preserve">No. </t>
    <phoneticPr fontId="8" type="noConversion"/>
  </si>
  <si>
    <t>INVOICE</t>
    <phoneticPr fontId="8" type="noConversion"/>
  </si>
  <si>
    <t>TTUY26040899</t>
  </si>
  <si>
    <t>FU KWOK KNITTING &amp; GARMENT CO.,LTD</t>
  </si>
  <si>
    <t>No. 110, Nanzih Dist., Kaohsiung City 811, Taiwan (R.O.C.)</t>
  </si>
  <si>
    <t>EVER BOOMY V.1190-090A</t>
  </si>
  <si>
    <t>KAOHSIUNG,TAIWAN</t>
  </si>
  <si>
    <t>JAKARTA,INDONESIA</t>
  </si>
  <si>
    <t>APR.20,2026</t>
  </si>
  <si>
    <t>----------</t>
  </si>
  <si>
    <t>KNITTED FABRIC 100% POLYESTER</t>
  </si>
  <si>
    <t xml:space="preserve">#074418 + knit + Piece Dye + </t>
  </si>
  <si>
    <t>Synthetic fiber + 100% Polyester</t>
  </si>
  <si>
    <t>60 IN * 180 GSM</t>
  </si>
  <si>
    <t>ORDER NO.: 26K3026400 (26CF74418B1)</t>
  </si>
  <si>
    <t>---------------------</t>
  </si>
  <si>
    <t>FEPO:6K060B21,B22,B23,B24, 6K060S24</t>
  </si>
  <si>
    <t>STYLE:AM,AS,AT,AX0126,XM6930</t>
  </si>
  <si>
    <t>PO#FK-NIRWANA-CSF26-0304BUY</t>
  </si>
  <si>
    <t>COLOR BLA1 BLACK</t>
  </si>
  <si>
    <t xml:space="preserve"> YDS</t>
  </si>
  <si>
    <t>USD</t>
  </si>
  <si>
    <t>COLOR COGR1 COOL GREY</t>
  </si>
  <si>
    <t>COLOR COGR2 COLUMBIA GREY</t>
  </si>
  <si>
    <t>COLOR CONA2 COLLEGIATE NAVY</t>
  </si>
  <si>
    <t>COLOR GRI1 GRILL</t>
  </si>
  <si>
    <t>COLOR GUST1 GULF STREAM</t>
  </si>
  <si>
    <t>COLOR MEL2 MELONADE</t>
  </si>
  <si>
    <t>COLOR NOC1 NOCTURNAL</t>
  </si>
  <si>
    <t>COLOR RADA1 RAINY DAY</t>
  </si>
  <si>
    <t>COLOR REOX1 RED OXIDE</t>
  </si>
  <si>
    <t>COLOR SHA2 SHARK</t>
  </si>
  <si>
    <t>COLOR SMSA1 SMOKEY SAGE</t>
  </si>
  <si>
    <t>COLOR STGR1 STONE GREEN</t>
  </si>
  <si>
    <t>COLOR TEBR1 TEAK BROWN</t>
  </si>
  <si>
    <t>COLOR VIBL7 VINTAGE BLUE</t>
  </si>
  <si>
    <t>COLOR WHI1 WHITE</t>
  </si>
  <si>
    <t xml:space="preserve"> </t>
  </si>
  <si>
    <t>ORDER NO.: 26K3042200 (26CF74418B2)</t>
  </si>
  <si>
    <t>----------------------</t>
  </si>
  <si>
    <t>FEPO:6K060B21</t>
  </si>
  <si>
    <t>STYLE:AM0126</t>
  </si>
  <si>
    <t xml:space="preserve">#082354 + knit + Piece Dye + </t>
  </si>
  <si>
    <t xml:space="preserve">Artificial fiber + 100% Polyester </t>
  </si>
  <si>
    <t>+ 60 IN * 180 GSM</t>
  </si>
  <si>
    <t>ORDER NO.: 26K3026900 (26CF82354A6)</t>
  </si>
  <si>
    <t>FEPO:6K060B21,B22</t>
  </si>
  <si>
    <t>STYLE:AM0126,AX0126</t>
  </si>
  <si>
    <t>COLOR WHA2/CONA1</t>
  </si>
  <si>
    <t xml:space="preserve">      WHALE/COLUMBIA NAVY</t>
  </si>
  <si>
    <t>-----------------------------------------</t>
  </si>
  <si>
    <t>vvvvvv</t>
  </si>
  <si>
    <t>vvvv</t>
  </si>
  <si>
    <t>vvv</t>
  </si>
  <si>
    <t>vvvvvvvvv</t>
  </si>
  <si>
    <t>Measurement</t>
    <phoneticPr fontId="8" type="noConversion"/>
  </si>
  <si>
    <t>Gross Weight</t>
    <phoneticPr fontId="8" type="noConversion"/>
  </si>
  <si>
    <t>Net Weight</t>
    <phoneticPr fontId="8" type="noConversion"/>
  </si>
  <si>
    <t>Qrantity</t>
  </si>
  <si>
    <t>Description</t>
  </si>
  <si>
    <t>Packing No.</t>
  </si>
  <si>
    <t>Per S.S.</t>
    <phoneticPr fontId="8" type="noConversion"/>
  </si>
  <si>
    <t>Shipped by</t>
    <phoneticPr fontId="8" type="noConversion"/>
  </si>
  <si>
    <t>MARKS &amp; NOS:</t>
    <phoneticPr fontId="9" type="noConversion"/>
  </si>
  <si>
    <t xml:space="preserve">PACKING LIST of </t>
    <phoneticPr fontId="8" type="noConversion"/>
  </si>
  <si>
    <t>Dated:</t>
  </si>
  <si>
    <t>No.</t>
    <phoneticPr fontId="8" type="noConversion"/>
  </si>
  <si>
    <t>PACKING LIST</t>
    <phoneticPr fontId="8" type="noConversion"/>
  </si>
  <si>
    <t>G001-G005</t>
  </si>
  <si>
    <t xml:space="preserve"> KGS</t>
  </si>
  <si>
    <t>A001-A005,A007,</t>
  </si>
  <si>
    <t>A002</t>
  </si>
  <si>
    <t>F001</t>
  </si>
  <si>
    <t>H001-H012</t>
  </si>
  <si>
    <t>L001~1</t>
  </si>
  <si>
    <t>I0001-I0007</t>
  </si>
  <si>
    <t>B001-B016,B013-</t>
  </si>
  <si>
    <t>B016</t>
  </si>
  <si>
    <t>D001-D020,D018-</t>
  </si>
  <si>
    <t>D019,D021,D023-</t>
  </si>
  <si>
    <t>D025,D027</t>
  </si>
  <si>
    <t>J0001-J0004,</t>
  </si>
  <si>
    <t>J0021-J0028,</t>
  </si>
  <si>
    <t>J026~1</t>
  </si>
  <si>
    <t>K0012,F002,K0001</t>
  </si>
  <si>
    <t>-K0003</t>
  </si>
  <si>
    <t>M0001</t>
  </si>
  <si>
    <t>N0001-N0012</t>
  </si>
  <si>
    <t>O0001-O0005</t>
  </si>
  <si>
    <t>P0001-P0012</t>
  </si>
  <si>
    <t>E001-E021,E006-</t>
  </si>
  <si>
    <t>E009</t>
  </si>
  <si>
    <t>C001-C016,A003</t>
  </si>
  <si>
    <t>F015-F017</t>
  </si>
  <si>
    <t>K001,K001~1,K005</t>
  </si>
  <si>
    <t>,K05~1</t>
  </si>
  <si>
    <t>A0004,A003~3</t>
  </si>
  <si>
    <t>---------------------------------------------------------------------------------------------</t>
  </si>
  <si>
    <t xml:space="preserve"> ROLLS</t>
  </si>
  <si>
    <t>vvvvvvvv</t>
  </si>
  <si>
    <t>MARKS &amp; NOS.:</t>
  </si>
  <si>
    <t>FK/NIRWANA</t>
  </si>
  <si>
    <t>PO#</t>
  </si>
  <si>
    <t>STYLE#</t>
  </si>
  <si>
    <t>ITEM:</t>
  </si>
  <si>
    <t>CONTENT:</t>
  </si>
  <si>
    <t>R/NO:</t>
  </si>
  <si>
    <t>MADE IN TAIWAN</t>
  </si>
  <si>
    <t xml:space="preserve">For account and risk of Messrs. </t>
    <phoneticPr fontId="8" type="noConversion"/>
  </si>
  <si>
    <r>
      <rPr>
        <b/>
        <sz val="10"/>
        <rFont val="細明體"/>
        <family val="3"/>
        <charset val="136"/>
      </rPr>
      <t>CONSIGNEE :</t>
    </r>
    <r>
      <rPr>
        <sz val="10"/>
        <rFont val="細明體"/>
        <family val="3"/>
        <charset val="136"/>
      </rPr>
      <t xml:space="preserve">  PT.NIRWANA ALABARE GARMENT</t>
    </r>
    <phoneticPr fontId="3" type="noConversion"/>
  </si>
  <si>
    <t xml:space="preserve">JL. RAYA RANCAEKEK - MAJALAYA NO.289, DESA SOLOKAN JERUK, KEC.SOLOKAN JERUK, KABUPATEN BANDUNG,
</t>
    <phoneticPr fontId="3" type="noConversion"/>
  </si>
  <si>
    <t xml:space="preserve">JAWA BARAT 40382 INDONESIA 6222-85962076
ATTN: CINHUI/NINA
NPWP CODE: 0745 4069 2644 4000
</t>
    <phoneticPr fontId="3" type="noConversion"/>
  </si>
  <si>
    <r>
      <rPr>
        <sz val="12"/>
        <rFont val="細明體"/>
        <family val="3"/>
        <charset val="136"/>
      </rPr>
      <t>收貨人</t>
    </r>
  </si>
  <si>
    <r>
      <rPr>
        <sz val="12"/>
        <rFont val="細明體"/>
        <family val="3"/>
        <charset val="136"/>
      </rPr>
      <t>發貨單號</t>
    </r>
    <phoneticPr fontId="23" type="noConversion"/>
  </si>
  <si>
    <t>PI number</t>
    <phoneticPr fontId="23" type="noConversion"/>
  </si>
  <si>
    <r>
      <rPr>
        <sz val="12"/>
        <rFont val="細明體"/>
        <family val="3"/>
        <charset val="136"/>
      </rPr>
      <t>編號</t>
    </r>
    <phoneticPr fontId="23" type="noConversion"/>
  </si>
  <si>
    <t>po number</t>
    <phoneticPr fontId="9" type="noConversion"/>
  </si>
  <si>
    <t>ITEM</t>
  </si>
  <si>
    <r>
      <rPr>
        <sz val="12"/>
        <rFont val="細明體"/>
        <family val="3"/>
        <charset val="136"/>
      </rPr>
      <t>颜色</t>
    </r>
  </si>
  <si>
    <t>Color name</t>
    <phoneticPr fontId="23" type="noConversion"/>
  </si>
  <si>
    <t>Lot number</t>
    <phoneticPr fontId="9" type="noConversion"/>
  </si>
  <si>
    <t>Roll number</t>
    <phoneticPr fontId="9" type="noConversion"/>
  </si>
  <si>
    <r>
      <rPr>
        <sz val="12"/>
        <rFont val="細明體"/>
        <family val="3"/>
        <charset val="136"/>
      </rPr>
      <t>疋号</t>
    </r>
  </si>
  <si>
    <t>QTY(Y)</t>
    <phoneticPr fontId="23" type="noConversion"/>
  </si>
  <si>
    <t>Net Weight (KG)</t>
    <phoneticPr fontId="9" type="noConversion"/>
  </si>
  <si>
    <t>Gross weight(KG)</t>
    <phoneticPr fontId="9" type="noConversion"/>
  </si>
  <si>
    <t>PT.NIRWANA ALABARE</t>
  </si>
  <si>
    <t>D26K373700</t>
  </si>
  <si>
    <t>26K3026400A1</t>
  </si>
  <si>
    <t>26CF74418B1</t>
  </si>
  <si>
    <t>FK-NIRWANA-CSF26-0304BUY</t>
  </si>
  <si>
    <r>
      <rPr>
        <sz val="12"/>
        <color indexed="8"/>
        <rFont val="細明體"/>
        <family val="3"/>
        <charset val="136"/>
      </rPr>
      <t>黑</t>
    </r>
  </si>
  <si>
    <t>Black</t>
  </si>
  <si>
    <t>BL-72</t>
  </si>
  <si>
    <t>G001</t>
  </si>
  <si>
    <t>001</t>
  </si>
  <si>
    <t>G002</t>
  </si>
  <si>
    <t>002</t>
  </si>
  <si>
    <t>G003</t>
  </si>
  <si>
    <t>003</t>
  </si>
  <si>
    <t>G004</t>
  </si>
  <si>
    <t>004</t>
  </si>
  <si>
    <t>G005</t>
  </si>
  <si>
    <t>005</t>
  </si>
  <si>
    <r>
      <rPr>
        <sz val="12"/>
        <color indexed="8"/>
        <rFont val="細明體"/>
        <family val="3"/>
        <charset val="136"/>
      </rPr>
      <t>冷灰</t>
    </r>
  </si>
  <si>
    <t>Cool Grey</t>
  </si>
  <si>
    <t>CO-32</t>
  </si>
  <si>
    <t>A001</t>
  </si>
  <si>
    <t>A003</t>
  </si>
  <si>
    <t>A004</t>
  </si>
  <si>
    <t>A005</t>
  </si>
  <si>
    <t>A007</t>
  </si>
  <si>
    <t>007</t>
  </si>
  <si>
    <t>CO-34</t>
  </si>
  <si>
    <r>
      <rPr>
        <sz val="12"/>
        <color indexed="8"/>
        <rFont val="細明體"/>
        <family val="3"/>
        <charset val="136"/>
      </rPr>
      <t>品牌灰</t>
    </r>
  </si>
  <si>
    <t>Columbia Grey</t>
  </si>
  <si>
    <t>CO-12</t>
  </si>
  <si>
    <t>F01</t>
  </si>
  <si>
    <r>
      <rPr>
        <sz val="12"/>
        <color indexed="8"/>
        <rFont val="細明體"/>
        <family val="3"/>
        <charset val="136"/>
      </rPr>
      <t>學士藍</t>
    </r>
  </si>
  <si>
    <t>Collegiate Navy</t>
  </si>
  <si>
    <t>CN-64</t>
  </si>
  <si>
    <t>H001</t>
  </si>
  <si>
    <t>H002</t>
  </si>
  <si>
    <t>H003</t>
  </si>
  <si>
    <t>H004</t>
  </si>
  <si>
    <t>H005</t>
  </si>
  <si>
    <t>H006</t>
  </si>
  <si>
    <t>006</t>
  </si>
  <si>
    <t>H007</t>
  </si>
  <si>
    <t>H008</t>
  </si>
  <si>
    <t>008</t>
  </si>
  <si>
    <t>H009</t>
  </si>
  <si>
    <t>009</t>
  </si>
  <si>
    <t>H010</t>
  </si>
  <si>
    <t>010</t>
  </si>
  <si>
    <t>H011</t>
  </si>
  <si>
    <t>011</t>
  </si>
  <si>
    <t>H012</t>
  </si>
  <si>
    <t>012</t>
  </si>
  <si>
    <r>
      <rPr>
        <sz val="12"/>
        <color indexed="8"/>
        <rFont val="細明體"/>
        <family val="3"/>
        <charset val="136"/>
      </rPr>
      <t>烤灰</t>
    </r>
  </si>
  <si>
    <t>Grill</t>
  </si>
  <si>
    <t>GI-5</t>
  </si>
  <si>
    <t>L001-1</t>
  </si>
  <si>
    <t>101</t>
  </si>
  <si>
    <r>
      <rPr>
        <sz val="12"/>
        <color indexed="8"/>
        <rFont val="細明體"/>
        <family val="3"/>
        <charset val="136"/>
      </rPr>
      <t>海灣藍</t>
    </r>
  </si>
  <si>
    <t>Gulf Stream</t>
  </si>
  <si>
    <t>GS-11</t>
  </si>
  <si>
    <t>I0001</t>
  </si>
  <si>
    <t>I0002</t>
  </si>
  <si>
    <t>I0003</t>
  </si>
  <si>
    <t>I0004</t>
  </si>
  <si>
    <t>I0005</t>
  </si>
  <si>
    <t>I0006</t>
  </si>
  <si>
    <t>I0007</t>
  </si>
  <si>
    <r>
      <rPr>
        <sz val="12"/>
        <color indexed="8"/>
        <rFont val="細明體"/>
        <family val="3"/>
        <charset val="136"/>
      </rPr>
      <t>蜜瓜橘</t>
    </r>
  </si>
  <si>
    <t>Melonade</t>
  </si>
  <si>
    <t>ME-4</t>
  </si>
  <si>
    <t>B013</t>
  </si>
  <si>
    <t>013</t>
  </si>
  <si>
    <t>B014</t>
  </si>
  <si>
    <t>014</t>
  </si>
  <si>
    <t>B015</t>
  </si>
  <si>
    <t>015</t>
  </si>
  <si>
    <t>016</t>
  </si>
  <si>
    <t>ME-6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</si>
  <si>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</si>
  <si>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</si>
  <si>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</si>
  <si>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</si>
  <si>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</si>
  <si>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</si>
  <si>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</si>
  <si>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</si>
  <si>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</si>
  <si>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</si>
  <si>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</si>
  <si>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</si>
  <si>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r>
      <rPr>
        <sz val="12"/>
        <color indexed="8"/>
        <rFont val="細明體"/>
        <family val="3"/>
        <charset val="136"/>
      </rPr>
      <t>深夜藍</t>
    </r>
  </si>
  <si>
    <t>Nocturnal</t>
  </si>
  <si>
    <t>NO-4</t>
  </si>
  <si>
    <t>D018</t>
  </si>
  <si>
    <t>018</t>
  </si>
  <si>
    <t>D019</t>
  </si>
  <si>
    <t>019</t>
  </si>
  <si>
    <t>D020</t>
  </si>
  <si>
    <t>021</t>
  </si>
  <si>
    <t>D021</t>
  </si>
  <si>
    <t>023</t>
  </si>
  <si>
    <t>D022</t>
  </si>
  <si>
    <t>024</t>
  </si>
  <si>
    <t>D023</t>
  </si>
  <si>
    <t>025</t>
  </si>
  <si>
    <t>D024</t>
  </si>
  <si>
    <t>027</t>
  </si>
  <si>
    <t>NO-5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</si>
  <si>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</si>
  <si>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</si>
  <si>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</si>
  <si>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</si>
  <si>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</si>
  <si>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</si>
  <si>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</si>
  <si>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</si>
  <si>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</si>
  <si>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</si>
  <si>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</si>
  <si>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</si>
  <si>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</si>
  <si>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</si>
  <si>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</si>
  <si>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</si>
  <si>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</si>
  <si>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017</t>
  </si>
  <si>
    <t>020</t>
  </si>
  <si>
    <r>
      <rPr>
        <sz val="12"/>
        <color indexed="8"/>
        <rFont val="細明體"/>
        <family val="3"/>
        <charset val="136"/>
      </rPr>
      <t>降雨藍</t>
    </r>
  </si>
  <si>
    <t>Rainy Day</t>
  </si>
  <si>
    <t>IN-13</t>
  </si>
  <si>
    <t>J0001</t>
  </si>
  <si>
    <t>J0002</t>
  </si>
  <si>
    <t>J0003</t>
  </si>
  <si>
    <t>J0004</t>
  </si>
  <si>
    <t>IN-9</t>
  </si>
  <si>
    <t>J0021</t>
  </si>
  <si>
    <t>J0022</t>
  </si>
  <si>
    <t>022</t>
  </si>
  <si>
    <t>J0023</t>
  </si>
  <si>
    <t>J0024</t>
  </si>
  <si>
    <t>J0025</t>
  </si>
  <si>
    <t>J0026</t>
  </si>
  <si>
    <t>026</t>
  </si>
  <si>
    <t>J0027</t>
  </si>
  <si>
    <t>J0028</t>
  </si>
  <si>
    <t>028</t>
  </si>
  <si>
    <t>J0029</t>
  </si>
  <si>
    <t>126</t>
  </si>
  <si>
    <r>
      <rPr>
        <sz val="12"/>
        <color indexed="8"/>
        <rFont val="細明體"/>
        <family val="3"/>
        <charset val="136"/>
      </rPr>
      <t>氧化紅</t>
    </r>
  </si>
  <si>
    <t>Red Oxide</t>
  </si>
  <si>
    <t>EO-15</t>
  </si>
  <si>
    <t>K0001</t>
  </si>
  <si>
    <t>K0002</t>
  </si>
  <si>
    <t>K0003</t>
  </si>
  <si>
    <t>EO-3</t>
  </si>
  <si>
    <t>K0012</t>
  </si>
  <si>
    <t>EO-7</t>
  </si>
  <si>
    <t>F02</t>
  </si>
  <si>
    <r>
      <rPr>
        <sz val="12"/>
        <color indexed="8"/>
        <rFont val="細明體"/>
        <family val="3"/>
        <charset val="136"/>
      </rPr>
      <t>鯊灰</t>
    </r>
  </si>
  <si>
    <t>Shark</t>
  </si>
  <si>
    <t>SH-10</t>
  </si>
  <si>
    <t>M001</t>
  </si>
  <si>
    <r>
      <rPr>
        <sz val="12"/>
        <color indexed="8"/>
        <rFont val="細明體"/>
        <family val="3"/>
        <charset val="136"/>
      </rPr>
      <t>淺霧綠</t>
    </r>
  </si>
  <si>
    <t>Smokey Sage</t>
  </si>
  <si>
    <t>SM-5</t>
  </si>
  <si>
    <t>N0001</t>
  </si>
  <si>
    <t>N0002</t>
  </si>
  <si>
    <t>N0003</t>
  </si>
  <si>
    <t>N0004</t>
  </si>
  <si>
    <t>N0005</t>
  </si>
  <si>
    <t>N0006</t>
  </si>
  <si>
    <t>N0007</t>
  </si>
  <si>
    <t>N0008</t>
  </si>
  <si>
    <t>N0009</t>
  </si>
  <si>
    <t>N0010</t>
  </si>
  <si>
    <t>N0011</t>
  </si>
  <si>
    <t>N0012</t>
  </si>
  <si>
    <r>
      <rPr>
        <sz val="12"/>
        <color indexed="8"/>
        <rFont val="細明體"/>
        <family val="3"/>
        <charset val="136"/>
      </rPr>
      <t>墓石綠</t>
    </r>
  </si>
  <si>
    <t>Stone Green</t>
  </si>
  <si>
    <t>SG-35</t>
  </si>
  <si>
    <t>O001</t>
  </si>
  <si>
    <t>O002</t>
  </si>
  <si>
    <t>O003</t>
  </si>
  <si>
    <t>O004</t>
  </si>
  <si>
    <t>O005</t>
  </si>
  <si>
    <r>
      <rPr>
        <sz val="12"/>
        <color indexed="8"/>
        <rFont val="細明體"/>
        <family val="3"/>
        <charset val="136"/>
      </rPr>
      <t>柚木棕</t>
    </r>
  </si>
  <si>
    <t>Teak Brown</t>
  </si>
  <si>
    <t>UA-7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</si>
  <si>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</si>
  <si>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</si>
  <si>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</si>
  <si>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</si>
  <si>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</si>
  <si>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</si>
  <si>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</si>
  <si>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</si>
  <si>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</si>
  <si>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</si>
  <si>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</si>
  <si>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</si>
  <si>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r>
      <rPr>
        <sz val="12"/>
        <color indexed="8"/>
        <rFont val="細明體"/>
        <family val="3"/>
        <charset val="136"/>
      </rPr>
      <t>懷舊藍</t>
    </r>
  </si>
  <si>
    <t>Vintage Blue</t>
  </si>
  <si>
    <t>FL-10</t>
  </si>
  <si>
    <t>E06</t>
  </si>
  <si>
    <t>E07</t>
  </si>
  <si>
    <t>E08</t>
  </si>
  <si>
    <t>E09</t>
  </si>
  <si>
    <t>FL-11</t>
  </si>
  <si>
    <t>E001</t>
  </si>
  <si>
    <t>E002</t>
  </si>
  <si>
    <t>E003</t>
  </si>
  <si>
    <t>E004</t>
  </si>
  <si>
    <t>E005</t>
  </si>
  <si>
    <t>E006</t>
  </si>
  <si>
    <t>E007</t>
  </si>
  <si>
    <t>E008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</si>
  <si>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</si>
  <si>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</si>
  <si>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</si>
  <si>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</si>
  <si>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</si>
  <si>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</si>
  <si>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</si>
  <si>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</si>
  <si>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</si>
  <si>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</si>
  <si>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</si>
  <si>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</si>
  <si>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r>
      <rPr>
        <sz val="12"/>
        <color indexed="8"/>
        <rFont val="細明體"/>
        <family val="3"/>
        <charset val="136"/>
      </rPr>
      <t>白</t>
    </r>
  </si>
  <si>
    <t>White</t>
  </si>
  <si>
    <t>WH-35</t>
  </si>
  <si>
    <t>A03</t>
  </si>
  <si>
    <t>WH-36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</si>
  <si>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</si>
  <si>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</si>
  <si>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</si>
  <si>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</si>
  <si>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</si>
  <si>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</si>
  <si>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</si>
  <si>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</si>
  <si>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</si>
  <si>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</si>
  <si>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</si>
  <si>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</si>
  <si>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</si>
  <si>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</si>
  <si>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</si>
  <si>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</si>
  <si>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D26K373800</t>
  </si>
  <si>
    <t>26K3026900A1</t>
  </si>
  <si>
    <t>26CF82354A6</t>
  </si>
  <si>
    <r>
      <rPr>
        <sz val="12"/>
        <color indexed="8"/>
        <rFont val="細明體"/>
        <family val="3"/>
        <charset val="136"/>
      </rPr>
      <t>鯨藍</t>
    </r>
    <r>
      <rPr>
        <sz val="12"/>
        <color indexed="8"/>
        <rFont val="Calibri"/>
        <family val="2"/>
      </rPr>
      <t>/</t>
    </r>
    <r>
      <rPr>
        <sz val="12"/>
        <color indexed="8"/>
        <rFont val="細明體"/>
        <family val="3"/>
        <charset val="136"/>
      </rPr>
      <t>哥藍</t>
    </r>
  </si>
  <si>
    <t>Whale/Columbia Navy</t>
  </si>
  <si>
    <t>F2-22</t>
  </si>
  <si>
    <t>A03-3</t>
  </si>
  <si>
    <t>303</t>
  </si>
  <si>
    <t>D26K385200</t>
  </si>
  <si>
    <t>26K3042200A1</t>
  </si>
  <si>
    <t>26CF74418B2</t>
  </si>
  <si>
    <t>BL-74</t>
  </si>
  <si>
    <t>F015</t>
  </si>
  <si>
    <t>F016</t>
  </si>
  <si>
    <t>F017</t>
  </si>
  <si>
    <t>SG-36</t>
  </si>
  <si>
    <t>K001</t>
  </si>
  <si>
    <t>K005</t>
  </si>
  <si>
    <t>K01-1</t>
  </si>
  <si>
    <t>K05-1</t>
  </si>
  <si>
    <t>105</t>
  </si>
  <si>
    <t>Total:</t>
    <phoneticPr fontId="9" type="noConversion"/>
  </si>
  <si>
    <t xml:space="preserve">PATTERN WEBBING TAPE </t>
  </si>
  <si>
    <t>YDS</t>
    <phoneticPr fontId="8" type="noConversion"/>
  </si>
  <si>
    <t xml:space="preserve">Compass Blue stripe stretch Woven tape </t>
    <phoneticPr fontId="3" type="noConversion"/>
  </si>
  <si>
    <t>F26-0304BUY- 6K060B21-24 / AM0126/AS0126/AT0126/AX0126</t>
    <phoneticPr fontId="8" type="noConversion"/>
  </si>
  <si>
    <t>F26-0304BUY- 6K060BS24 / XM6930</t>
    <phoneticPr fontId="8" type="noConversion"/>
  </si>
  <si>
    <t xml:space="preserve">#033416 3/8" PATTERN WEBBING TAPE </t>
    <phoneticPr fontId="8" type="noConversion"/>
  </si>
  <si>
    <t xml:space="preserve">#036729 10MM Compass Blue stripe stretch Woven tape </t>
    <phoneticPr fontId="8" type="noConversion"/>
  </si>
  <si>
    <t>SAY TOTAL U.S. DOLLARS TWENTY FOUR THOUSAND NINE HUNDRED THIRTY ONE AND CENT SIX ONLY.</t>
    <phoneticPr fontId="3" type="noConversion"/>
  </si>
  <si>
    <t>PT.NIRWANA</t>
    <phoneticPr fontId="3" type="noConversion"/>
  </si>
  <si>
    <t>INDONESIA</t>
    <phoneticPr fontId="3" type="noConversion"/>
  </si>
  <si>
    <t>COLOR:</t>
    <phoneticPr fontId="3" type="noConversion"/>
  </si>
  <si>
    <t>Q'TY:</t>
    <phoneticPr fontId="3" type="noConversion"/>
  </si>
  <si>
    <t xml:space="preserve">C/NO: </t>
    <phoneticPr fontId="3" type="noConversion"/>
  </si>
  <si>
    <t>CTNS</t>
    <phoneticPr fontId="3" type="noConversion"/>
  </si>
  <si>
    <t>FU KWOK KNITTING &amp; GARMENT CO.,LTD</t>
    <phoneticPr fontId="3" type="noConversion"/>
  </si>
  <si>
    <t>No. 110, Nanzih Dist., Kaohsiung City 811, Taiwan (R.O.C.)</t>
    <phoneticPr fontId="3" type="noConversion"/>
  </si>
  <si>
    <t xml:space="preserve">  181 Pkgs </t>
    <phoneticPr fontId="3" type="noConversion"/>
  </si>
  <si>
    <t>2026/4/17</t>
    <phoneticPr fontId="3" type="noConversion"/>
  </si>
  <si>
    <t xml:space="preserve"> 2026/04/17</t>
    <phoneticPr fontId="3" type="noConversion"/>
  </si>
  <si>
    <t>CIF JAKATA</t>
    <phoneticPr fontId="3" type="noConversion"/>
  </si>
  <si>
    <t>SAY TOTAL ONE HUNDRED EIGHTY ONE (181) PKGS  ONLY.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</si>
</sst>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#,##0.00_);[Red]\(#,##0.00\)"/>
    <numFmt numFmtId="177" formatCode="#,##0.00;[Red]#,##0.00"/>
    <numFmt numFmtId="178" formatCode="_-* #,##0_-;\-* #,##0_-;_-* &quot;-&quot;??_-;_-@_-"/>
  </numFmts>
  <fonts count="27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0"/>
      <name val="細明體"/>
      <family val="3"/>
      <charset val="136"/>
    </font>
    <font>
      <sz val="9"/>
      <name val="新細明體"/>
      <family val="2"/>
      <charset val="136"/>
      <scheme val="minor"/>
    </font>
    <font>
      <u/>
      <sz val="10"/>
      <name val="細明體"/>
      <family val="3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sz val="11"/>
      <name val="Times New Roman"/>
      <family val="1"/>
    </font>
    <font>
      <b/>
      <u val="double"/>
      <sz val="10"/>
      <name val="細明體"/>
      <family val="3"/>
      <charset val="136"/>
    </font>
    <font>
      <sz val="14"/>
      <name val="細明體"/>
      <family val="3"/>
      <charset val="136"/>
    </font>
    <font>
      <b/>
      <u/>
      <sz val="14"/>
      <name val="Times New Roman"/>
      <family val="1"/>
    </font>
    <font>
      <b/>
      <sz val="14"/>
      <name val="Times New Roman"/>
      <family val="1"/>
    </font>
    <font>
      <sz val="12"/>
      <name val="細明體"/>
      <family val="3"/>
      <charset val="136"/>
    </font>
    <font>
      <sz val="12"/>
      <name val="新細明體"/>
      <family val="1"/>
      <charset val="136"/>
    </font>
    <font>
      <b/>
      <sz val="12"/>
      <name val="新細明體"/>
      <family val="1"/>
      <charset val="136"/>
    </font>
    <font>
      <u/>
      <sz val="11"/>
      <name val="Times New Roman"/>
      <family val="1"/>
    </font>
    <font>
      <b/>
      <sz val="10"/>
      <name val="細明體"/>
      <family val="3"/>
      <charset val="136"/>
    </font>
    <font>
      <sz val="12"/>
      <color theme="1"/>
      <name val="新細明體"/>
      <family val="2"/>
      <charset val="136"/>
      <scheme val="minor"/>
    </font>
    <font>
      <sz val="10"/>
      <name val="Arial"/>
      <family val="2"/>
    </font>
    <font>
      <sz val="12"/>
      <name val="Calibri"/>
      <family val="2"/>
    </font>
    <font>
      <sz val="12"/>
      <color indexed="8"/>
      <name val="新細明體"/>
      <family val="1"/>
      <charset val="136"/>
    </font>
    <font>
      <sz val="10"/>
      <name val="Calibri"/>
      <family val="2"/>
    </font>
    <font>
      <sz val="12"/>
      <color indexed="8"/>
      <name val="Calibri"/>
      <family val="2"/>
    </font>
    <font>
      <sz val="12"/>
      <color indexed="8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/>
    <xf numFmtId="0" fontId="16" fillId="0" borderId="0"/>
    <xf numFmtId="0" fontId="16" fillId="0" borderId="0"/>
    <xf numFmtId="43" fontId="20" fillId="0" borderId="0" applyFont="0" applyFill="0" applyBorder="0" applyAlignment="0" applyProtection="0">
      <alignment vertical="center"/>
    </xf>
    <xf numFmtId="0" fontId="21" fillId="0" borderId="0"/>
  </cellStyleXfs>
  <cellXfs count="97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10" fillId="0" borderId="0" xfId="1" applyNumberFormat="1" applyFont="1" applyAlignment="1">
      <alignment horizontal="right" vertical="top"/>
    </xf>
    <xf numFmtId="0" fontId="10" fillId="0" borderId="0" xfId="1" applyFont="1" applyAlignment="1">
      <alignment horizontal="right" vertical="top"/>
    </xf>
    <xf numFmtId="49" fontId="10" fillId="0" borderId="0" xfId="1" applyNumberFormat="1" applyFont="1" applyAlignment="1">
      <alignment horizontal="left" vertical="top"/>
    </xf>
    <xf numFmtId="0" fontId="10" fillId="0" borderId="6" xfId="1" applyFont="1" applyBorder="1" applyAlignment="1">
      <alignment horizontal="right" vertical="top"/>
    </xf>
    <xf numFmtId="49" fontId="11" fillId="0" borderId="0" xfId="1" applyNumberFormat="1" applyFont="1" applyAlignment="1">
      <alignment horizontal="left" vertical="top"/>
    </xf>
    <xf numFmtId="49" fontId="12" fillId="0" borderId="0" xfId="1" applyNumberFormat="1" applyFont="1" applyAlignment="1">
      <alignment horizontal="left" vertical="top"/>
    </xf>
    <xf numFmtId="49" fontId="15" fillId="0" borderId="0" xfId="1" applyNumberFormat="1" applyFont="1" applyAlignment="1">
      <alignment horizontal="left" vertical="top"/>
    </xf>
    <xf numFmtId="49" fontId="2" fillId="0" borderId="0" xfId="1" applyNumberFormat="1" applyFont="1" applyAlignment="1">
      <alignment horizontal="right" vertical="top"/>
    </xf>
    <xf numFmtId="49" fontId="2" fillId="0" borderId="0" xfId="2" applyNumberFormat="1" applyFont="1" applyAlignment="1">
      <alignment horizontal="left" vertical="top"/>
    </xf>
    <xf numFmtId="49" fontId="2" fillId="0" borderId="7" xfId="2" applyNumberFormat="1" applyFont="1" applyBorder="1" applyAlignment="1">
      <alignment horizontal="left" vertical="top"/>
    </xf>
    <xf numFmtId="49" fontId="10" fillId="0" borderId="0" xfId="2" applyNumberFormat="1" applyFont="1" applyAlignment="1">
      <alignment horizontal="right" vertical="top"/>
    </xf>
    <xf numFmtId="49" fontId="10" fillId="0" borderId="0" xfId="2" applyNumberFormat="1" applyFont="1" applyAlignment="1">
      <alignment horizontal="left" vertical="top"/>
    </xf>
    <xf numFmtId="0" fontId="16" fillId="0" borderId="0" xfId="2" applyAlignment="1">
      <alignment horizontal="left" vertical="top"/>
    </xf>
    <xf numFmtId="49" fontId="11" fillId="0" borderId="0" xfId="2" applyNumberFormat="1" applyFont="1" applyAlignment="1">
      <alignment horizontal="left" vertical="top"/>
    </xf>
    <xf numFmtId="49" fontId="15" fillId="0" borderId="0" xfId="2" applyNumberFormat="1" applyFont="1" applyAlignment="1">
      <alignment horizontal="left" vertical="top"/>
    </xf>
    <xf numFmtId="49" fontId="4" fillId="0" borderId="0" xfId="2" applyNumberFormat="1" applyFont="1" applyAlignment="1">
      <alignment horizontal="left" vertical="top"/>
    </xf>
    <xf numFmtId="49" fontId="2" fillId="0" borderId="0" xfId="2" applyNumberFormat="1" applyFont="1" applyAlignment="1">
      <alignment horizontal="right" vertical="top"/>
    </xf>
    <xf numFmtId="49" fontId="2" fillId="0" borderId="0" xfId="3" applyNumberFormat="1" applyFont="1" applyAlignment="1">
      <alignment horizontal="left" vertical="top" wrapText="1"/>
    </xf>
    <xf numFmtId="49" fontId="2" fillId="0" borderId="0" xfId="3" applyNumberFormat="1" applyFont="1" applyAlignment="1">
      <alignment horizontal="right" vertical="top"/>
    </xf>
    <xf numFmtId="0" fontId="2" fillId="0" borderId="0" xfId="1" applyFont="1" applyAlignment="1">
      <alignment horizontal="right" vertical="top"/>
    </xf>
    <xf numFmtId="3" fontId="2" fillId="0" borderId="0" xfId="1" applyNumberFormat="1" applyFont="1" applyAlignment="1">
      <alignment horizontal="right" vertical="top"/>
    </xf>
    <xf numFmtId="176" fontId="2" fillId="0" borderId="0" xfId="1" applyNumberFormat="1" applyFont="1" applyAlignment="1">
      <alignment horizontal="right" vertical="top"/>
    </xf>
    <xf numFmtId="176" fontId="2" fillId="0" borderId="0" xfId="1" applyNumberFormat="1" applyFont="1" applyAlignment="1">
      <alignment horizontal="left" vertical="top"/>
    </xf>
    <xf numFmtId="0" fontId="2" fillId="0" borderId="0" xfId="2" applyFont="1" applyAlignment="1">
      <alignment horizontal="right" vertical="top"/>
    </xf>
    <xf numFmtId="3" fontId="2" fillId="0" borderId="0" xfId="2" applyNumberFormat="1" applyFont="1" applyAlignment="1">
      <alignment horizontal="right" vertical="top"/>
    </xf>
    <xf numFmtId="176" fontId="2" fillId="0" borderId="0" xfId="2" applyNumberFormat="1" applyFont="1" applyAlignment="1">
      <alignment horizontal="right" vertical="top"/>
    </xf>
    <xf numFmtId="176" fontId="2" fillId="0" borderId="0" xfId="2" applyNumberFormat="1" applyFont="1" applyAlignment="1">
      <alignment horizontal="left" vertical="top"/>
    </xf>
    <xf numFmtId="0" fontId="24" fillId="0" borderId="0" xfId="5" applyFont="1" applyAlignment="1">
      <alignment horizontal="left"/>
    </xf>
    <xf numFmtId="0" fontId="25" fillId="0" borderId="8" xfId="5" applyFont="1" applyBorder="1" applyAlignment="1">
      <alignment horizontal="left" vertical="center"/>
    </xf>
    <xf numFmtId="49" fontId="25" fillId="0" borderId="8" xfId="5" applyNumberFormat="1" applyFont="1" applyBorder="1" applyAlignment="1">
      <alignment horizontal="left" vertical="center"/>
    </xf>
    <xf numFmtId="177" fontId="25" fillId="0" borderId="8" xfId="5" applyNumberFormat="1" applyFont="1" applyBorder="1" applyAlignment="1">
      <alignment horizontal="left" vertical="center"/>
    </xf>
    <xf numFmtId="177" fontId="25" fillId="2" borderId="8" xfId="5" applyNumberFormat="1" applyFont="1" applyFill="1" applyBorder="1" applyAlignment="1">
      <alignment horizontal="left" vertical="center"/>
    </xf>
    <xf numFmtId="0" fontId="2" fillId="0" borderId="0" xfId="2" quotePrefix="1" applyFont="1" applyAlignment="1">
      <alignment horizontal="right" vertical="top"/>
    </xf>
    <xf numFmtId="178" fontId="2" fillId="0" borderId="0" xfId="4" applyNumberFormat="1" applyFont="1" applyAlignment="1">
      <alignment horizontal="left" vertical="top"/>
    </xf>
    <xf numFmtId="49" fontId="6" fillId="0" borderId="2" xfId="1" applyNumberFormat="1" applyFont="1" applyBorder="1" applyAlignment="1">
      <alignment horizontal="center" vertical="top"/>
    </xf>
    <xf numFmtId="0" fontId="1" fillId="0" borderId="1" xfId="1" applyBorder="1" applyAlignment="1">
      <alignment horizontal="center" vertical="top"/>
    </xf>
    <xf numFmtId="49" fontId="10" fillId="0" borderId="0" xfId="1" applyNumberFormat="1" applyFont="1" applyAlignment="1">
      <alignment horizontal="left" vertical="top"/>
    </xf>
    <xf numFmtId="49" fontId="2" fillId="0" borderId="4" xfId="1" applyNumberFormat="1" applyFont="1" applyBorder="1" applyAlignment="1">
      <alignment horizontal="left" vertical="top" shrinkToFit="1"/>
    </xf>
    <xf numFmtId="0" fontId="2" fillId="0" borderId="4" xfId="1" applyFont="1" applyBorder="1" applyAlignment="1">
      <alignment horizontal="left" vertical="top" shrinkToFit="1"/>
    </xf>
    <xf numFmtId="0" fontId="10" fillId="0" borderId="0" xfId="1" applyFont="1" applyAlignment="1">
      <alignment horizontal="left" vertical="top"/>
    </xf>
    <xf numFmtId="49" fontId="2" fillId="0" borderId="5" xfId="3" applyNumberFormat="1" applyFont="1" applyBorder="1" applyAlignment="1">
      <alignment horizontal="left" vertical="top" shrinkToFit="1"/>
    </xf>
    <xf numFmtId="0" fontId="2" fillId="0" borderId="5" xfId="3" applyFont="1" applyBorder="1" applyAlignment="1">
      <alignment horizontal="left" vertical="top" shrinkToFit="1"/>
    </xf>
    <xf numFmtId="49" fontId="2" fillId="0" borderId="0" xfId="1" applyNumberFormat="1" applyFont="1" applyAlignment="1">
      <alignment horizontal="left" vertical="top" shrinkToFit="1"/>
    </xf>
    <xf numFmtId="0" fontId="2" fillId="0" borderId="0" xfId="1" applyFont="1" applyAlignment="1">
      <alignment horizontal="left" vertical="top" shrinkToFit="1"/>
    </xf>
    <xf numFmtId="0" fontId="1" fillId="0" borderId="0" xfId="1" applyAlignment="1">
      <alignment horizontal="left" vertical="top" shrinkToFit="1"/>
    </xf>
    <xf numFmtId="0" fontId="2" fillId="0" borderId="5" xfId="1" applyFont="1" applyBorder="1" applyAlignment="1">
      <alignment horizontal="left" vertical="top" shrinkToFit="1"/>
    </xf>
    <xf numFmtId="0" fontId="6" fillId="0" borderId="1" xfId="1" applyFont="1" applyBorder="1" applyAlignment="1">
      <alignment horizontal="center" vertical="top"/>
    </xf>
    <xf numFmtId="49" fontId="6" fillId="0" borderId="3" xfId="1" applyNumberFormat="1" applyFont="1" applyBorder="1" applyAlignment="1">
      <alignment horizontal="center" vertical="top"/>
    </xf>
    <xf numFmtId="0" fontId="7" fillId="0" borderId="3" xfId="1" applyFont="1" applyBorder="1" applyAlignment="1">
      <alignment horizontal="center" vertical="top"/>
    </xf>
    <xf numFmtId="49" fontId="6" fillId="0" borderId="1" xfId="1" applyNumberFormat="1" applyFont="1" applyBorder="1" applyAlignment="1">
      <alignment horizontal="center" vertical="top"/>
    </xf>
    <xf numFmtId="0" fontId="1" fillId="0" borderId="3" xfId="1" applyBorder="1" applyAlignment="1">
      <alignment horizontal="center" vertical="top"/>
    </xf>
    <xf numFmtId="49" fontId="10" fillId="0" borderId="0" xfId="3" applyNumberFormat="1" applyFont="1" applyAlignment="1">
      <alignment horizontal="left" vertical="top"/>
    </xf>
    <xf numFmtId="49" fontId="2" fillId="0" borderId="0" xfId="3" applyNumberFormat="1" applyFont="1" applyAlignment="1">
      <alignment horizontal="left" vertical="top" wrapText="1"/>
    </xf>
    <xf numFmtId="49" fontId="2" fillId="0" borderId="0" xfId="3" applyNumberFormat="1" applyFont="1" applyAlignment="1">
      <alignment horizontal="left" vertical="top"/>
    </xf>
    <xf numFmtId="0" fontId="0" fillId="0" borderId="0" xfId="0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49" fontId="10" fillId="0" borderId="0" xfId="1" applyNumberFormat="1" applyFont="1" applyAlignment="1">
      <alignment horizontal="right" vertical="top"/>
    </xf>
    <xf numFmtId="0" fontId="10" fillId="0" borderId="0" xfId="1" applyFont="1" applyAlignment="1">
      <alignment horizontal="right" vertical="top"/>
    </xf>
    <xf numFmtId="49" fontId="2" fillId="0" borderId="5" xfId="1" applyNumberFormat="1" applyFont="1" applyBorder="1" applyAlignment="1">
      <alignment horizontal="left" vertical="top" shrinkToFit="1"/>
    </xf>
    <xf numFmtId="0" fontId="10" fillId="0" borderId="0" xfId="1" applyFont="1" applyAlignment="1">
      <alignment horizontal="right" vertical="top" shrinkToFit="1"/>
    </xf>
    <xf numFmtId="0" fontId="10" fillId="0" borderId="0" xfId="1" applyFont="1" applyAlignment="1">
      <alignment horizontal="left" vertical="top" shrinkToFit="1"/>
    </xf>
    <xf numFmtId="49" fontId="14" fillId="0" borderId="0" xfId="1" applyNumberFormat="1" applyFont="1" applyAlignment="1">
      <alignment horizontal="center" vertical="top" shrinkToFit="1"/>
    </xf>
    <xf numFmtId="49" fontId="10" fillId="0" borderId="0" xfId="1" applyNumberFormat="1" applyFont="1" applyAlignment="1">
      <alignment horizontal="center" vertical="top" wrapText="1"/>
    </xf>
    <xf numFmtId="49" fontId="13" fillId="0" borderId="0" xfId="1" applyNumberFormat="1" applyFont="1" applyAlignment="1">
      <alignment horizontal="center" vertical="top"/>
    </xf>
    <xf numFmtId="49" fontId="13" fillId="0" borderId="0" xfId="2" applyNumberFormat="1" applyFont="1" applyAlignment="1">
      <alignment horizontal="center" vertical="top" wrapText="1"/>
    </xf>
    <xf numFmtId="49" fontId="2" fillId="0" borderId="5" xfId="2" applyNumberFormat="1" applyFont="1" applyBorder="1" applyAlignment="1">
      <alignment horizontal="left" vertical="top" shrinkToFit="1"/>
    </xf>
    <xf numFmtId="0" fontId="2" fillId="0" borderId="5" xfId="2" applyFont="1" applyBorder="1" applyAlignment="1">
      <alignment horizontal="left" vertical="top" shrinkToFit="1"/>
    </xf>
    <xf numFmtId="0" fontId="10" fillId="0" borderId="0" xfId="2" applyFont="1" applyAlignment="1">
      <alignment horizontal="left" vertical="top" shrinkToFit="1"/>
    </xf>
    <xf numFmtId="0" fontId="10" fillId="0" borderId="0" xfId="2" applyFont="1" applyAlignment="1">
      <alignment horizontal="right" vertical="top" shrinkToFit="1"/>
    </xf>
    <xf numFmtId="49" fontId="10" fillId="0" borderId="0" xfId="2" applyNumberFormat="1" applyFont="1" applyAlignment="1">
      <alignment horizontal="left" vertical="top"/>
    </xf>
    <xf numFmtId="49" fontId="2" fillId="0" borderId="0" xfId="2" applyNumberFormat="1" applyFont="1" applyAlignment="1">
      <alignment horizontal="left" vertical="top"/>
    </xf>
    <xf numFmtId="49" fontId="5" fillId="0" borderId="0" xfId="2" applyNumberFormat="1" applyFont="1" applyAlignment="1">
      <alignment horizontal="left" vertical="top"/>
    </xf>
    <xf numFmtId="0" fontId="16" fillId="0" borderId="0" xfId="2" applyAlignment="1">
      <alignment horizontal="left" vertical="top"/>
    </xf>
    <xf numFmtId="49" fontId="18" fillId="0" borderId="0" xfId="2" applyNumberFormat="1" applyFont="1" applyAlignment="1">
      <alignment horizontal="left" vertical="top"/>
    </xf>
    <xf numFmtId="49" fontId="6" fillId="0" borderId="2" xfId="2" applyNumberFormat="1" applyFont="1" applyBorder="1" applyAlignment="1">
      <alignment horizontal="center" vertical="top"/>
    </xf>
    <xf numFmtId="49" fontId="6" fillId="0" borderId="1" xfId="2" applyNumberFormat="1" applyFont="1" applyBorder="1" applyAlignment="1">
      <alignment horizontal="center" vertical="top"/>
    </xf>
    <xf numFmtId="49" fontId="5" fillId="0" borderId="1" xfId="2" applyNumberFormat="1" applyFont="1" applyBorder="1" applyAlignment="1">
      <alignment horizontal="center" vertical="top"/>
    </xf>
    <xf numFmtId="0" fontId="8" fillId="0" borderId="0" xfId="2" applyFont="1" applyAlignment="1">
      <alignment horizontal="left" vertical="top" wrapText="1"/>
    </xf>
    <xf numFmtId="0" fontId="8" fillId="0" borderId="7" xfId="2" applyFont="1" applyBorder="1" applyAlignment="1">
      <alignment horizontal="left" vertical="top" wrapText="1"/>
    </xf>
    <xf numFmtId="49" fontId="6" fillId="0" borderId="3" xfId="2" applyNumberFormat="1" applyFont="1" applyBorder="1" applyAlignment="1">
      <alignment horizontal="center" vertical="top"/>
    </xf>
    <xf numFmtId="0" fontId="5" fillId="0" borderId="1" xfId="2" applyFont="1" applyBorder="1" applyAlignment="1">
      <alignment horizontal="center" vertical="top"/>
    </xf>
    <xf numFmtId="0" fontId="5" fillId="0" borderId="3" xfId="2" applyFont="1" applyBorder="1" applyAlignment="1">
      <alignment horizontal="center" vertical="top"/>
    </xf>
    <xf numFmtId="0" fontId="16" fillId="0" borderId="5" xfId="2" applyBorder="1" applyAlignment="1">
      <alignment horizontal="left" vertical="top" shrinkToFit="1"/>
    </xf>
    <xf numFmtId="0" fontId="6" fillId="0" borderId="2" xfId="2" applyFont="1" applyBorder="1" applyAlignment="1">
      <alignment horizontal="center" vertical="top"/>
    </xf>
    <xf numFmtId="0" fontId="17" fillId="0" borderId="1" xfId="2" applyFont="1" applyBorder="1" applyAlignment="1">
      <alignment horizontal="center" vertical="top"/>
    </xf>
    <xf numFmtId="0" fontId="17" fillId="0" borderId="3" xfId="2" applyFont="1" applyBorder="1" applyAlignment="1">
      <alignment horizontal="center" vertical="top"/>
    </xf>
    <xf numFmtId="0" fontId="10" fillId="0" borderId="0" xfId="2" applyFont="1" applyAlignment="1">
      <alignment horizontal="left" vertical="top"/>
    </xf>
    <xf numFmtId="0" fontId="10" fillId="0" borderId="6" xfId="2" applyFont="1" applyBorder="1" applyAlignment="1">
      <alignment horizontal="left" vertical="top"/>
    </xf>
    <xf numFmtId="0" fontId="2" fillId="0" borderId="4" xfId="2" applyFont="1" applyBorder="1" applyAlignment="1">
      <alignment horizontal="left" vertical="top" shrinkToFit="1"/>
    </xf>
    <xf numFmtId="0" fontId="22" fillId="2" borderId="9" xfId="5" applyFont="1" applyFill="1" applyBorder="1" applyAlignment="1">
      <alignment horizontal="left" vertical="center"/>
    </xf>
    <xf numFmtId="0" fontId="22" fillId="2" borderId="10" xfId="5" applyFont="1" applyFill="1" applyBorder="1" applyAlignment="1">
      <alignment horizontal="left" vertical="center"/>
    </xf>
    <xf numFmtId="0" fontId="22" fillId="2" borderId="8" xfId="5" applyFont="1" applyFill="1" applyBorder="1" applyAlignment="1">
      <alignment horizontal="left" vertical="center"/>
    </xf>
  </cellXfs>
  <cellStyles count="6">
    <cellStyle name="一般" xfId="0" builtinId="0"/>
    <cellStyle name="一般 2" xfId="1" xr:uid="{00000000-0005-0000-0000-000001000000}"/>
    <cellStyle name="一般 2 2" xfId="3" xr:uid="{00000000-0005-0000-0000-000002000000}"/>
    <cellStyle name="一般 3" xfId="2" xr:uid="{00000000-0005-0000-0000-000003000000}"/>
    <cellStyle name="一般 4" xfId="5" xr:uid="{8E56194C-7996-4B91-B6B9-113FD3B5D04D}"/>
    <cellStyle name="千分位" xfId="4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4"/>
  <sheetViews>
    <sheetView tabSelected="1" topLeftCell="A83" workbookViewId="0">
      <selection activeCell="P28" sqref="P28:P90"/>
    </sheetView>
  </sheetViews>
  <sheetFormatPr defaultColWidth="9" defaultRowHeight="14.25"/>
  <cols>
    <col min="1" max="5" width="4.125" style="1" customWidth="1"/>
    <col min="6" max="6" width="5.625" style="1" customWidth="1"/>
    <col min="7" max="7" width="7.625" style="1" customWidth="1"/>
    <col min="8" max="10" width="7.125" style="1" customWidth="1"/>
    <col min="11" max="11" width="11.625" style="1" customWidth="1"/>
    <col min="12" max="13" width="4.125" style="1" customWidth="1"/>
    <col min="14" max="14" width="8.625" style="1" customWidth="1"/>
    <col min="15" max="15" width="4.125" style="1" customWidth="1"/>
    <col min="16" max="16" width="11.625" style="1" customWidth="1"/>
    <col min="17" max="16384" width="9" style="1"/>
  </cols>
  <sheetData>
    <row r="1" spans="1:16" s="9" customFormat="1" ht="19.5">
      <c r="A1" s="66" t="s">
        <v>424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</row>
    <row r="2" spans="1:16" s="6" customFormat="1" ht="15">
      <c r="A2" s="67" t="s">
        <v>425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</row>
    <row r="3" spans="1:16" s="6" customFormat="1" ht="15">
      <c r="A3" s="64"/>
      <c r="B3" s="64"/>
      <c r="C3" s="64"/>
      <c r="D3" s="64"/>
      <c r="E3" s="64"/>
      <c r="F3" s="64"/>
      <c r="G3" s="64"/>
      <c r="H3" s="64"/>
      <c r="I3" s="64"/>
      <c r="J3" s="65"/>
      <c r="K3" s="65"/>
      <c r="L3" s="65"/>
      <c r="M3" s="65"/>
      <c r="N3" s="65"/>
      <c r="O3" s="65"/>
      <c r="P3" s="65"/>
    </row>
    <row r="4" spans="1:16" s="9" customFormat="1" ht="19.5">
      <c r="A4" s="68" t="s">
        <v>13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</row>
    <row r="5" spans="1:16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6.5">
      <c r="A6" s="6" t="s">
        <v>12</v>
      </c>
      <c r="B6" s="46" t="s">
        <v>14</v>
      </c>
      <c r="C6" s="47"/>
      <c r="D6" s="47"/>
      <c r="E6" s="47"/>
      <c r="F6" s="47"/>
      <c r="G6" s="48"/>
      <c r="L6" s="61" t="s">
        <v>11</v>
      </c>
      <c r="M6" s="62"/>
      <c r="N6" s="63" t="s">
        <v>427</v>
      </c>
      <c r="O6" s="63"/>
      <c r="P6" s="49"/>
    </row>
    <row r="7" spans="1:16" ht="15.75">
      <c r="A7" s="59" t="s">
        <v>10</v>
      </c>
      <c r="B7" s="59"/>
      <c r="C7" s="59"/>
      <c r="D7" s="60"/>
      <c r="E7" s="49" t="s">
        <v>426</v>
      </c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</row>
    <row r="8" spans="1:16" ht="15">
      <c r="A8" s="55"/>
      <c r="B8" s="55"/>
      <c r="C8" s="55"/>
      <c r="D8" s="55"/>
      <c r="E8" s="55"/>
      <c r="F8" s="55"/>
      <c r="G8" s="44"/>
      <c r="H8" s="44"/>
      <c r="I8" s="45"/>
      <c r="J8" s="45"/>
      <c r="K8" s="45"/>
      <c r="L8" s="45"/>
      <c r="M8" s="45"/>
      <c r="N8" s="45"/>
      <c r="O8" s="45"/>
      <c r="P8" s="45"/>
    </row>
    <row r="9" spans="1:16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</row>
    <row r="10" spans="1:16" ht="16.5">
      <c r="A10" s="57" t="s">
        <v>121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21"/>
      <c r="P10" s="21"/>
    </row>
    <row r="11" spans="1:16" ht="16.5">
      <c r="A11" s="57" t="s">
        <v>122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</row>
    <row r="12" spans="1:16" ht="16.5">
      <c r="A12" s="57" t="s">
        <v>123</v>
      </c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</row>
    <row r="13" spans="1:16" ht="15">
      <c r="A13" s="40" t="s">
        <v>9</v>
      </c>
      <c r="B13" s="40"/>
      <c r="C13" s="40"/>
      <c r="D13" s="41"/>
      <c r="E13" s="41"/>
      <c r="F13" s="41"/>
      <c r="G13" s="41"/>
      <c r="H13" s="41"/>
      <c r="I13" s="42"/>
      <c r="J13" s="7" t="s">
        <v>8</v>
      </c>
      <c r="K13" s="41" t="s">
        <v>17</v>
      </c>
      <c r="L13" s="42"/>
      <c r="M13" s="42"/>
      <c r="N13" s="42"/>
      <c r="O13" s="42"/>
      <c r="P13" s="42"/>
    </row>
    <row r="14" spans="1:16" ht="15">
      <c r="A14" s="40" t="s">
        <v>7</v>
      </c>
      <c r="B14" s="40"/>
      <c r="C14" s="40"/>
      <c r="D14" s="43"/>
      <c r="E14" s="42" t="s">
        <v>20</v>
      </c>
      <c r="F14" s="42"/>
      <c r="G14" s="42"/>
      <c r="H14" s="5" t="s">
        <v>6</v>
      </c>
      <c r="I14" s="49" t="s">
        <v>18</v>
      </c>
      <c r="J14" s="49"/>
      <c r="K14" s="49"/>
      <c r="L14" s="4" t="s">
        <v>5</v>
      </c>
      <c r="M14" s="42" t="s">
        <v>19</v>
      </c>
      <c r="N14" s="42"/>
      <c r="O14" s="42"/>
      <c r="P14" s="42"/>
    </row>
    <row r="15" spans="1:16" ht="15" thickBot="1"/>
    <row r="16" spans="1:16" s="3" customFormat="1" ht="17.25" thickTop="1">
      <c r="A16" s="53" t="s">
        <v>4</v>
      </c>
      <c r="B16" s="39"/>
      <c r="C16" s="39"/>
      <c r="D16" s="54"/>
      <c r="E16" s="38" t="s">
        <v>3</v>
      </c>
      <c r="F16" s="39"/>
      <c r="G16" s="39"/>
      <c r="H16" s="39"/>
      <c r="I16" s="39"/>
      <c r="J16" s="39"/>
      <c r="K16" s="38" t="s">
        <v>2</v>
      </c>
      <c r="L16" s="51"/>
      <c r="M16" s="50" t="s">
        <v>1</v>
      </c>
      <c r="N16" s="52"/>
      <c r="O16" s="38" t="s">
        <v>0</v>
      </c>
      <c r="P16" s="50"/>
    </row>
    <row r="17" spans="1:16">
      <c r="N17" s="1" t="s">
        <v>429</v>
      </c>
    </row>
    <row r="18" spans="1:16">
      <c r="N18" s="1" t="s">
        <v>21</v>
      </c>
    </row>
    <row r="19" spans="1:16">
      <c r="E19" s="1" t="s">
        <v>22</v>
      </c>
    </row>
    <row r="20" spans="1:16">
      <c r="E20" s="1" t="s">
        <v>23</v>
      </c>
    </row>
    <row r="21" spans="1:16">
      <c r="E21" s="1" t="s">
        <v>24</v>
      </c>
    </row>
    <row r="22" spans="1:16">
      <c r="E22" s="1" t="s">
        <v>25</v>
      </c>
    </row>
    <row r="23" spans="1:16">
      <c r="E23" s="1" t="s">
        <v>26</v>
      </c>
    </row>
    <row r="24" spans="1:16" ht="16.5">
      <c r="A24" s="2"/>
      <c r="B24" s="2"/>
      <c r="E24" s="10" t="s">
        <v>27</v>
      </c>
    </row>
    <row r="25" spans="1:16">
      <c r="E25" s="1" t="s">
        <v>28</v>
      </c>
    </row>
    <row r="26" spans="1:16">
      <c r="E26" s="1" t="s">
        <v>29</v>
      </c>
    </row>
    <row r="27" spans="1:16">
      <c r="E27" s="2" t="s">
        <v>30</v>
      </c>
    </row>
    <row r="28" spans="1:16">
      <c r="E28" s="1" t="s">
        <v>31</v>
      </c>
      <c r="K28" s="23">
        <v>389</v>
      </c>
      <c r="L28" s="1" t="s">
        <v>32</v>
      </c>
      <c r="M28" s="11" t="s">
        <v>33</v>
      </c>
      <c r="N28" s="25">
        <v>1.7</v>
      </c>
      <c r="O28" s="11" t="s">
        <v>33</v>
      </c>
      <c r="P28" s="25">
        <v>661.3</v>
      </c>
    </row>
    <row r="29" spans="1:16">
      <c r="E29" s="1" t="s">
        <v>31</v>
      </c>
      <c r="J29" s="22"/>
      <c r="K29" s="23">
        <v>16</v>
      </c>
      <c r="L29" s="1" t="s">
        <v>32</v>
      </c>
      <c r="N29" s="25">
        <v>1.7</v>
      </c>
      <c r="P29" s="25">
        <v>27.2</v>
      </c>
    </row>
    <row r="30" spans="1:16" ht="16.5">
      <c r="E30" s="1" t="s">
        <v>34</v>
      </c>
      <c r="J30"/>
      <c r="K30" s="23">
        <v>535</v>
      </c>
      <c r="L30" s="1" t="s">
        <v>32</v>
      </c>
      <c r="N30" s="25">
        <v>1.7</v>
      </c>
      <c r="P30" s="25">
        <v>909.5</v>
      </c>
    </row>
    <row r="31" spans="1:16">
      <c r="E31" s="1" t="s">
        <v>34</v>
      </c>
      <c r="J31" s="22"/>
      <c r="K31" s="23">
        <v>21</v>
      </c>
      <c r="L31" s="1" t="s">
        <v>32</v>
      </c>
      <c r="N31" s="25">
        <v>1.7</v>
      </c>
      <c r="P31" s="25">
        <v>35.700000000000003</v>
      </c>
    </row>
    <row r="32" spans="1:16" ht="16.5">
      <c r="E32" s="1" t="s">
        <v>35</v>
      </c>
      <c r="J32"/>
      <c r="K32" s="23">
        <v>26</v>
      </c>
      <c r="L32" s="1" t="s">
        <v>32</v>
      </c>
      <c r="N32" s="25">
        <v>1.7</v>
      </c>
      <c r="P32" s="25">
        <v>44.2</v>
      </c>
    </row>
    <row r="33" spans="5:16">
      <c r="E33" s="1" t="s">
        <v>35</v>
      </c>
      <c r="J33" s="22"/>
      <c r="K33" s="23">
        <v>55</v>
      </c>
      <c r="L33" s="1" t="s">
        <v>32</v>
      </c>
      <c r="N33" s="25">
        <v>1.7</v>
      </c>
      <c r="P33" s="25">
        <v>93.5</v>
      </c>
    </row>
    <row r="34" spans="5:16" ht="16.5">
      <c r="E34" s="1" t="s">
        <v>36</v>
      </c>
      <c r="J34"/>
      <c r="K34" s="23">
        <v>931</v>
      </c>
      <c r="L34" s="1" t="s">
        <v>32</v>
      </c>
      <c r="N34" s="25">
        <v>1.7</v>
      </c>
      <c r="P34" s="25">
        <v>1582.7</v>
      </c>
    </row>
    <row r="35" spans="5:16">
      <c r="E35" s="1" t="s">
        <v>36</v>
      </c>
      <c r="J35" s="22"/>
      <c r="K35" s="23">
        <v>43</v>
      </c>
      <c r="L35" s="1" t="s">
        <v>32</v>
      </c>
      <c r="N35" s="25">
        <v>1.7</v>
      </c>
      <c r="P35" s="25">
        <v>73.099999999999994</v>
      </c>
    </row>
    <row r="36" spans="5:16" ht="16.5">
      <c r="E36" s="1" t="s">
        <v>37</v>
      </c>
      <c r="J36"/>
      <c r="K36" s="23">
        <v>12</v>
      </c>
      <c r="L36" s="1" t="s">
        <v>32</v>
      </c>
      <c r="N36" s="25">
        <v>1.7</v>
      </c>
      <c r="P36" s="25">
        <v>20.399999999999999</v>
      </c>
    </row>
    <row r="37" spans="5:16">
      <c r="E37" s="1" t="s">
        <v>37</v>
      </c>
      <c r="J37" s="22"/>
      <c r="K37" s="23">
        <v>3</v>
      </c>
      <c r="L37" s="1" t="s">
        <v>32</v>
      </c>
      <c r="N37" s="25">
        <v>1.7</v>
      </c>
      <c r="P37" s="25">
        <v>5.0999999999999996</v>
      </c>
    </row>
    <row r="38" spans="5:16" ht="16.5">
      <c r="E38" s="1" t="s">
        <v>38</v>
      </c>
      <c r="J38"/>
      <c r="K38" s="23">
        <v>537</v>
      </c>
      <c r="L38" s="1" t="s">
        <v>32</v>
      </c>
      <c r="N38" s="25">
        <v>1.7</v>
      </c>
      <c r="P38" s="25">
        <v>912.9</v>
      </c>
    </row>
    <row r="39" spans="5:16">
      <c r="E39" s="1" t="s">
        <v>38</v>
      </c>
      <c r="J39" s="22"/>
      <c r="K39" s="23">
        <v>7</v>
      </c>
      <c r="L39" s="1" t="s">
        <v>32</v>
      </c>
      <c r="N39" s="25">
        <v>1.7</v>
      </c>
      <c r="P39" s="25">
        <v>11.9</v>
      </c>
    </row>
    <row r="40" spans="5:16" ht="16.5">
      <c r="E40" s="1" t="s">
        <v>39</v>
      </c>
      <c r="J40"/>
      <c r="K40" s="24">
        <v>1444</v>
      </c>
      <c r="L40" s="1" t="s">
        <v>32</v>
      </c>
      <c r="N40" s="25">
        <v>1.7</v>
      </c>
      <c r="P40" s="25">
        <v>2454.8000000000002</v>
      </c>
    </row>
    <row r="41" spans="5:16">
      <c r="E41" s="1" t="s">
        <v>39</v>
      </c>
      <c r="J41" s="22"/>
      <c r="K41" s="23">
        <v>143</v>
      </c>
      <c r="L41" s="1" t="s">
        <v>32</v>
      </c>
      <c r="N41" s="25">
        <v>1.7</v>
      </c>
      <c r="P41" s="25">
        <v>243.1</v>
      </c>
    </row>
    <row r="42" spans="5:16" ht="16.5">
      <c r="E42" s="1" t="s">
        <v>40</v>
      </c>
      <c r="J42"/>
      <c r="K42" s="24">
        <v>2112</v>
      </c>
      <c r="L42" s="1" t="s">
        <v>32</v>
      </c>
      <c r="N42" s="25">
        <v>1.7</v>
      </c>
      <c r="P42" s="25">
        <v>3590.4</v>
      </c>
    </row>
    <row r="43" spans="5:16">
      <c r="E43" s="1" t="s">
        <v>40</v>
      </c>
      <c r="J43" s="22"/>
      <c r="K43" s="23">
        <v>36</v>
      </c>
      <c r="L43" s="1" t="s">
        <v>32</v>
      </c>
      <c r="N43" s="25">
        <v>1.7</v>
      </c>
      <c r="P43" s="25">
        <v>61.2</v>
      </c>
    </row>
    <row r="44" spans="5:16" ht="16.5">
      <c r="E44" s="1" t="s">
        <v>41</v>
      </c>
      <c r="J44"/>
      <c r="K44" s="23">
        <v>840</v>
      </c>
      <c r="L44" s="1" t="s">
        <v>32</v>
      </c>
      <c r="N44" s="25">
        <v>1.7</v>
      </c>
      <c r="P44" s="25">
        <v>1428</v>
      </c>
    </row>
    <row r="45" spans="5:16">
      <c r="E45" s="1" t="s">
        <v>41</v>
      </c>
      <c r="J45" s="22"/>
      <c r="K45" s="23">
        <v>85</v>
      </c>
      <c r="L45" s="1" t="s">
        <v>32</v>
      </c>
      <c r="N45" s="25">
        <v>1.7</v>
      </c>
      <c r="P45" s="25">
        <v>144.5</v>
      </c>
    </row>
    <row r="46" spans="5:16" ht="16.5">
      <c r="E46" s="1" t="s">
        <v>42</v>
      </c>
      <c r="J46"/>
      <c r="K46" s="23">
        <v>360</v>
      </c>
      <c r="L46" s="1" t="s">
        <v>32</v>
      </c>
      <c r="N46" s="25">
        <v>1.7</v>
      </c>
      <c r="P46" s="25">
        <v>612</v>
      </c>
    </row>
    <row r="47" spans="5:16">
      <c r="E47" s="1" t="s">
        <v>42</v>
      </c>
      <c r="J47" s="22"/>
      <c r="K47" s="23">
        <v>39</v>
      </c>
      <c r="L47" s="1" t="s">
        <v>32</v>
      </c>
      <c r="N47" s="25">
        <v>1.7</v>
      </c>
      <c r="P47" s="25">
        <v>66.3</v>
      </c>
    </row>
    <row r="48" spans="5:16" ht="16.5">
      <c r="E48" s="1" t="s">
        <v>43</v>
      </c>
      <c r="J48"/>
      <c r="K48" s="23">
        <v>31</v>
      </c>
      <c r="L48" s="1" t="s">
        <v>32</v>
      </c>
      <c r="N48" s="25">
        <v>1.7</v>
      </c>
      <c r="P48" s="25">
        <v>52.7</v>
      </c>
    </row>
    <row r="49" spans="5:16">
      <c r="E49" s="1" t="s">
        <v>43</v>
      </c>
      <c r="J49" s="22"/>
      <c r="K49" s="23">
        <v>46</v>
      </c>
      <c r="L49" s="1" t="s">
        <v>32</v>
      </c>
      <c r="N49" s="25">
        <v>1.7</v>
      </c>
      <c r="P49" s="25">
        <v>78.2</v>
      </c>
    </row>
    <row r="50" spans="5:16" ht="16.5">
      <c r="E50" s="1" t="s">
        <v>44</v>
      </c>
      <c r="J50"/>
      <c r="K50" s="23">
        <v>929</v>
      </c>
      <c r="L50" s="1" t="s">
        <v>32</v>
      </c>
      <c r="N50" s="25">
        <v>1.7</v>
      </c>
      <c r="P50" s="25">
        <v>1579.3</v>
      </c>
    </row>
    <row r="51" spans="5:16">
      <c r="E51" s="1" t="s">
        <v>44</v>
      </c>
      <c r="J51" s="22"/>
      <c r="K51" s="23">
        <v>33</v>
      </c>
      <c r="L51" s="1" t="s">
        <v>32</v>
      </c>
      <c r="N51" s="25">
        <v>1.7</v>
      </c>
      <c r="P51" s="25">
        <v>56.1</v>
      </c>
    </row>
    <row r="52" spans="5:16" ht="16.5">
      <c r="E52" s="1" t="s">
        <v>45</v>
      </c>
      <c r="J52"/>
      <c r="K52" s="23">
        <v>366</v>
      </c>
      <c r="L52" s="1" t="s">
        <v>32</v>
      </c>
      <c r="N52" s="25">
        <v>1.7</v>
      </c>
      <c r="P52" s="25">
        <v>622.20000000000005</v>
      </c>
    </row>
    <row r="53" spans="5:16">
      <c r="E53" s="1" t="s">
        <v>45</v>
      </c>
      <c r="J53" s="22"/>
      <c r="K53" s="23">
        <v>36</v>
      </c>
      <c r="L53" s="1" t="s">
        <v>32</v>
      </c>
      <c r="N53" s="25">
        <v>1.7</v>
      </c>
      <c r="P53" s="25">
        <v>61.2</v>
      </c>
    </row>
    <row r="54" spans="5:16" ht="16.5">
      <c r="E54" s="1" t="s">
        <v>46</v>
      </c>
      <c r="J54"/>
      <c r="K54" s="23">
        <v>869</v>
      </c>
      <c r="L54" s="1" t="s">
        <v>32</v>
      </c>
      <c r="N54" s="25">
        <v>1.7</v>
      </c>
      <c r="P54" s="25">
        <v>1477.3</v>
      </c>
    </row>
    <row r="55" spans="5:16">
      <c r="E55" s="1" t="s">
        <v>46</v>
      </c>
      <c r="J55" s="22"/>
      <c r="K55" s="23">
        <v>97</v>
      </c>
      <c r="L55" s="1" t="s">
        <v>32</v>
      </c>
      <c r="N55" s="25">
        <v>1.7</v>
      </c>
      <c r="P55" s="25">
        <v>164.9</v>
      </c>
    </row>
    <row r="56" spans="5:16" ht="16.5">
      <c r="E56" s="1" t="s">
        <v>47</v>
      </c>
      <c r="J56"/>
      <c r="K56" s="24">
        <v>1947</v>
      </c>
      <c r="L56" s="1" t="s">
        <v>32</v>
      </c>
      <c r="N56" s="25">
        <v>1.7</v>
      </c>
      <c r="P56" s="25">
        <v>3309.9</v>
      </c>
    </row>
    <row r="57" spans="5:16">
      <c r="E57" s="1" t="s">
        <v>47</v>
      </c>
      <c r="J57" s="22"/>
      <c r="K57" s="23">
        <v>85</v>
      </c>
      <c r="L57" s="1" t="s">
        <v>32</v>
      </c>
      <c r="N57" s="25">
        <v>1.7</v>
      </c>
      <c r="P57" s="25">
        <v>144.5</v>
      </c>
    </row>
    <row r="58" spans="5:16" ht="16.5">
      <c r="E58" s="1" t="s">
        <v>48</v>
      </c>
      <c r="J58"/>
      <c r="K58" s="24">
        <v>1292</v>
      </c>
      <c r="L58" s="1" t="s">
        <v>32</v>
      </c>
      <c r="M58" s="11" t="s">
        <v>33</v>
      </c>
      <c r="N58" s="25">
        <v>1.7</v>
      </c>
      <c r="O58" s="11" t="s">
        <v>33</v>
      </c>
      <c r="P58" s="25">
        <v>2196.4</v>
      </c>
    </row>
    <row r="59" spans="5:16">
      <c r="E59" s="1" t="s">
        <v>48</v>
      </c>
      <c r="J59" s="22"/>
      <c r="K59" s="23">
        <v>76</v>
      </c>
      <c r="L59" s="1" t="s">
        <v>32</v>
      </c>
      <c r="N59" s="25">
        <v>1.7</v>
      </c>
      <c r="P59" s="25">
        <v>129.19999999999999</v>
      </c>
    </row>
    <row r="60" spans="5:16" ht="16.5">
      <c r="E60" s="1" t="s">
        <v>49</v>
      </c>
      <c r="J60"/>
      <c r="N60" s="26"/>
      <c r="P60" s="26"/>
    </row>
    <row r="61" spans="5:16" ht="16.5">
      <c r="E61" s="1" t="s">
        <v>50</v>
      </c>
      <c r="J61"/>
      <c r="N61" s="26"/>
      <c r="P61" s="26"/>
    </row>
    <row r="62" spans="5:16" ht="16.5">
      <c r="E62" s="10" t="s">
        <v>51</v>
      </c>
      <c r="J62"/>
      <c r="N62" s="26"/>
      <c r="P62" s="26"/>
    </row>
    <row r="63" spans="5:16" ht="16.5">
      <c r="E63" s="1" t="s">
        <v>52</v>
      </c>
      <c r="J63"/>
      <c r="N63" s="26"/>
      <c r="P63" s="26"/>
    </row>
    <row r="64" spans="5:16" ht="16.5">
      <c r="E64" s="1" t="s">
        <v>53</v>
      </c>
      <c r="J64"/>
      <c r="N64" s="26"/>
      <c r="P64" s="26"/>
    </row>
    <row r="65" spans="5:16" ht="16.5">
      <c r="E65" s="2" t="s">
        <v>30</v>
      </c>
      <c r="J65"/>
      <c r="N65" s="26"/>
      <c r="P65" s="26"/>
    </row>
    <row r="66" spans="5:16" ht="16.5">
      <c r="E66" s="1" t="s">
        <v>31</v>
      </c>
      <c r="J66"/>
      <c r="K66" s="23">
        <v>200</v>
      </c>
      <c r="L66" s="1" t="s">
        <v>32</v>
      </c>
      <c r="N66" s="25">
        <v>1.7</v>
      </c>
      <c r="P66" s="25">
        <v>340</v>
      </c>
    </row>
    <row r="67" spans="5:16">
      <c r="E67" s="1" t="s">
        <v>31</v>
      </c>
      <c r="J67" s="22"/>
      <c r="K67" s="23">
        <v>37</v>
      </c>
      <c r="L67" s="1" t="s">
        <v>32</v>
      </c>
      <c r="N67" s="25">
        <v>1.7</v>
      </c>
      <c r="P67" s="25">
        <v>62.9</v>
      </c>
    </row>
    <row r="68" spans="5:16" ht="16.5">
      <c r="E68" s="1" t="s">
        <v>45</v>
      </c>
      <c r="J68"/>
      <c r="K68" s="23">
        <v>150</v>
      </c>
      <c r="L68" s="1" t="s">
        <v>32</v>
      </c>
      <c r="N68" s="25">
        <v>1.7</v>
      </c>
      <c r="P68" s="25">
        <v>255</v>
      </c>
    </row>
    <row r="69" spans="5:16">
      <c r="E69" s="1" t="s">
        <v>45</v>
      </c>
      <c r="J69" s="22"/>
      <c r="K69" s="23">
        <v>7</v>
      </c>
      <c r="L69" s="1" t="s">
        <v>32</v>
      </c>
      <c r="N69" s="25">
        <v>1.7</v>
      </c>
      <c r="P69" s="25">
        <v>11.9</v>
      </c>
    </row>
    <row r="70" spans="5:16" ht="16.5">
      <c r="E70" s="1" t="s">
        <v>49</v>
      </c>
      <c r="J70"/>
      <c r="N70" s="26"/>
      <c r="P70" s="26"/>
    </row>
    <row r="71" spans="5:16" ht="16.5">
      <c r="E71" s="1" t="s">
        <v>54</v>
      </c>
      <c r="J71"/>
      <c r="N71" s="26"/>
      <c r="P71" s="26"/>
    </row>
    <row r="72" spans="5:16" ht="16.5">
      <c r="E72" s="1" t="s">
        <v>55</v>
      </c>
      <c r="J72"/>
      <c r="N72" s="26"/>
      <c r="P72" s="26"/>
    </row>
    <row r="73" spans="5:16" ht="16.5">
      <c r="E73" s="1" t="s">
        <v>56</v>
      </c>
      <c r="J73"/>
      <c r="N73" s="26"/>
      <c r="P73" s="26"/>
    </row>
    <row r="74" spans="5:16" ht="16.5">
      <c r="E74" s="1" t="s">
        <v>57</v>
      </c>
      <c r="J74"/>
      <c r="N74" s="26"/>
      <c r="P74" s="26"/>
    </row>
    <row r="75" spans="5:16" ht="16.5">
      <c r="E75" s="10" t="s">
        <v>51</v>
      </c>
      <c r="J75"/>
      <c r="N75" s="26"/>
      <c r="P75" s="26"/>
    </row>
    <row r="76" spans="5:16" ht="16.5">
      <c r="E76" s="1" t="s">
        <v>58</v>
      </c>
      <c r="J76"/>
      <c r="N76" s="26"/>
      <c r="P76" s="26"/>
    </row>
    <row r="77" spans="5:16" ht="16.5">
      <c r="E77" s="1" t="s">
        <v>59</v>
      </c>
      <c r="J77"/>
      <c r="N77" s="26"/>
      <c r="P77" s="26"/>
    </row>
    <row r="78" spans="5:16" ht="16.5">
      <c r="E78" s="2" t="s">
        <v>30</v>
      </c>
      <c r="J78"/>
      <c r="N78" s="26"/>
      <c r="P78" s="26"/>
    </row>
    <row r="79" spans="5:16" ht="16.5">
      <c r="E79" s="1" t="s">
        <v>60</v>
      </c>
      <c r="J79"/>
      <c r="K79" s="23">
        <v>9</v>
      </c>
      <c r="L79" s="1" t="s">
        <v>32</v>
      </c>
      <c r="N79" s="25">
        <v>2.35</v>
      </c>
      <c r="P79" s="25">
        <v>21.15</v>
      </c>
    </row>
    <row r="80" spans="5:16" ht="16.5">
      <c r="E80" s="1" t="s">
        <v>61</v>
      </c>
      <c r="J80"/>
      <c r="N80" s="26"/>
      <c r="P80" s="26"/>
    </row>
    <row r="81" spans="5:16">
      <c r="E81" s="1" t="s">
        <v>60</v>
      </c>
      <c r="J81" s="22"/>
      <c r="K81" s="23">
        <v>1</v>
      </c>
      <c r="L81" s="1" t="s">
        <v>32</v>
      </c>
      <c r="N81" s="25">
        <v>2.35</v>
      </c>
      <c r="P81" s="25">
        <v>2.35</v>
      </c>
    </row>
    <row r="82" spans="5:16">
      <c r="E82" s="1" t="s">
        <v>61</v>
      </c>
      <c r="N82" s="26"/>
      <c r="P82" s="26"/>
    </row>
    <row r="84" spans="5:16">
      <c r="E84" s="1" t="s">
        <v>414</v>
      </c>
    </row>
    <row r="85" spans="5:16">
      <c r="E85" s="1" t="s">
        <v>415</v>
      </c>
    </row>
    <row r="86" spans="5:16">
      <c r="E86" s="1" t="s">
        <v>410</v>
      </c>
      <c r="K86" s="37">
        <f>1015+984+2079+2262+554+1539</f>
        <v>8433</v>
      </c>
      <c r="L86" s="1" t="s">
        <v>411</v>
      </c>
      <c r="M86" s="1" t="s">
        <v>33</v>
      </c>
      <c r="N86" s="1">
        <v>7.6999999999999999E-2</v>
      </c>
      <c r="O86" s="1" t="s">
        <v>33</v>
      </c>
      <c r="P86" s="11">
        <f>K86*N86</f>
        <v>649.34100000000001</v>
      </c>
    </row>
    <row r="87" spans="5:16">
      <c r="P87" s="11"/>
    </row>
    <row r="88" spans="5:16">
      <c r="E88" s="1" t="s">
        <v>413</v>
      </c>
      <c r="P88" s="11"/>
    </row>
    <row r="89" spans="5:16">
      <c r="E89" s="1" t="s">
        <v>416</v>
      </c>
      <c r="P89" s="11"/>
    </row>
    <row r="90" spans="5:16">
      <c r="E90" s="1" t="s">
        <v>412</v>
      </c>
      <c r="K90" s="37">
        <f>2530+112+171+265</f>
        <v>3078</v>
      </c>
      <c r="L90" s="1" t="s">
        <v>411</v>
      </c>
      <c r="M90" s="1" t="s">
        <v>33</v>
      </c>
      <c r="N90" s="1">
        <v>0.24</v>
      </c>
      <c r="O90" s="1" t="s">
        <v>33</v>
      </c>
      <c r="P90" s="11">
        <f>K90*N90</f>
        <v>738.72</v>
      </c>
    </row>
    <row r="91" spans="5:16" ht="16.5">
      <c r="K91" s="10" t="s">
        <v>62</v>
      </c>
      <c r="N91" s="26"/>
      <c r="P91" s="26"/>
    </row>
    <row r="92" spans="5:16">
      <c r="K92" s="24">
        <f>SUM(K28:K91)</f>
        <v>25356</v>
      </c>
      <c r="L92" s="1" t="s">
        <v>32</v>
      </c>
      <c r="N92" s="26"/>
      <c r="O92" s="11" t="s">
        <v>33</v>
      </c>
      <c r="P92" s="25">
        <f>SUM(P28:P91)</f>
        <v>24931.061000000012</v>
      </c>
    </row>
    <row r="93" spans="5:16">
      <c r="K93" s="11" t="s">
        <v>63</v>
      </c>
      <c r="L93" s="1" t="s">
        <v>64</v>
      </c>
      <c r="O93" s="11" t="s">
        <v>65</v>
      </c>
      <c r="P93" s="11" t="s">
        <v>66</v>
      </c>
    </row>
    <row r="94" spans="5:16">
      <c r="K94" s="11"/>
      <c r="O94" s="11"/>
      <c r="P94" s="11"/>
    </row>
    <row r="95" spans="5:16">
      <c r="E95" s="1" t="s">
        <v>417</v>
      </c>
    </row>
    <row r="98" spans="5:6">
      <c r="E98" s="12" t="s">
        <v>112</v>
      </c>
      <c r="F98" s="12"/>
    </row>
    <row r="99" spans="5:6">
      <c r="E99" s="12" t="s">
        <v>113</v>
      </c>
      <c r="F99" s="12"/>
    </row>
    <row r="100" spans="5:6">
      <c r="E100" s="12" t="s">
        <v>114</v>
      </c>
      <c r="F100" s="12"/>
    </row>
    <row r="101" spans="5:6">
      <c r="E101" s="12" t="s">
        <v>115</v>
      </c>
      <c r="F101" s="12"/>
    </row>
    <row r="102" spans="5:6">
      <c r="E102" s="12" t="s">
        <v>116</v>
      </c>
      <c r="F102" s="12"/>
    </row>
    <row r="103" spans="5:6">
      <c r="E103" s="12" t="s">
        <v>117</v>
      </c>
      <c r="F103" s="12"/>
    </row>
    <row r="104" spans="5:6">
      <c r="E104" s="12" t="s">
        <v>118</v>
      </c>
      <c r="F104" s="12"/>
    </row>
    <row r="105" spans="5:6">
      <c r="E105" s="12" t="s">
        <v>119</v>
      </c>
      <c r="F105" s="12"/>
    </row>
    <row r="107" spans="5:6">
      <c r="E107" s="1" t="s">
        <v>418</v>
      </c>
    </row>
    <row r="108" spans="5:6">
      <c r="E108" s="1" t="s">
        <v>419</v>
      </c>
    </row>
    <row r="109" spans="5:6">
      <c r="E109" s="1" t="s">
        <v>114</v>
      </c>
    </row>
    <row r="110" spans="5:6">
      <c r="E110" s="1" t="s">
        <v>116</v>
      </c>
    </row>
    <row r="111" spans="5:6">
      <c r="E111" s="1" t="s">
        <v>420</v>
      </c>
    </row>
    <row r="112" spans="5:6">
      <c r="E112" s="1" t="s">
        <v>421</v>
      </c>
    </row>
    <row r="113" spans="5:5">
      <c r="E113" s="1" t="s">
        <v>422</v>
      </c>
    </row>
    <row r="114" spans="5:5">
      <c r="E114" s="1" t="s">
        <v>119</v>
      </c>
    </row>
  </sheetData>
  <mergeCells count="28">
    <mergeCell ref="L6:M6"/>
    <mergeCell ref="N6:P6"/>
    <mergeCell ref="A3:I3"/>
    <mergeCell ref="J3:P3"/>
    <mergeCell ref="A1:P1"/>
    <mergeCell ref="A2:P2"/>
    <mergeCell ref="A4:P4"/>
    <mergeCell ref="G8:P8"/>
    <mergeCell ref="B6:G6"/>
    <mergeCell ref="E7:P7"/>
    <mergeCell ref="O16:P16"/>
    <mergeCell ref="K13:P13"/>
    <mergeCell ref="K16:L16"/>
    <mergeCell ref="I14:K14"/>
    <mergeCell ref="M16:N16"/>
    <mergeCell ref="M14:P14"/>
    <mergeCell ref="A16:D16"/>
    <mergeCell ref="A8:F8"/>
    <mergeCell ref="A9:P9"/>
    <mergeCell ref="A10:N10"/>
    <mergeCell ref="A11:P11"/>
    <mergeCell ref="A12:P12"/>
    <mergeCell ref="A7:D7"/>
    <mergeCell ref="E16:J16"/>
    <mergeCell ref="A13:C13"/>
    <mergeCell ref="D13:I13"/>
    <mergeCell ref="A14:D14"/>
    <mergeCell ref="E14:G14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orientation="portrait" horizontalDpi="180" verticalDpi="180" r:id="rId1"/>
  <headerFooter alignWithMargins="0">
    <oddFooter>&amp;C&amp;"Times New Roman,標準"PAGE&amp;"新細明體,標準":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2"/>
  <sheetViews>
    <sheetView topLeftCell="A70" workbookViewId="0">
      <selection activeCell="D86" sqref="D86"/>
    </sheetView>
  </sheetViews>
  <sheetFormatPr defaultColWidth="9" defaultRowHeight="14.25"/>
  <cols>
    <col min="1" max="2" width="4.125" style="12" customWidth="1"/>
    <col min="3" max="3" width="11.5" style="12" customWidth="1"/>
    <col min="4" max="4" width="10.125" style="12" customWidth="1"/>
    <col min="5" max="5" width="4.125" style="12" customWidth="1"/>
    <col min="6" max="6" width="6.625" style="12" customWidth="1"/>
    <col min="7" max="7" width="4.125" style="12" customWidth="1"/>
    <col min="8" max="8" width="6.625" style="12" customWidth="1"/>
    <col min="9" max="9" width="3.5" style="12" customWidth="1"/>
    <col min="10" max="10" width="8.125" style="12" customWidth="1"/>
    <col min="11" max="11" width="4.125" style="12" customWidth="1"/>
    <col min="12" max="12" width="1.625" style="12" customWidth="1"/>
    <col min="13" max="13" width="10.125" style="12" customWidth="1"/>
    <col min="14" max="14" width="4.125" style="12" customWidth="1"/>
    <col min="15" max="15" width="1.625" style="12" customWidth="1"/>
    <col min="16" max="16" width="10.75" style="12" customWidth="1"/>
    <col min="17" max="17" width="4.125" style="12" customWidth="1"/>
    <col min="18" max="18" width="1.625" style="12" customWidth="1"/>
    <col min="19" max="19" width="8.125" style="12" customWidth="1"/>
    <col min="20" max="20" width="4.125" style="12" customWidth="1"/>
    <col min="21" max="16384" width="9" style="12"/>
  </cols>
  <sheetData>
    <row r="1" spans="1:20" s="9" customFormat="1" ht="19.5">
      <c r="A1" s="66" t="s">
        <v>424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</row>
    <row r="2" spans="1:20" s="6" customFormat="1" ht="15">
      <c r="A2" s="67" t="s">
        <v>425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</row>
    <row r="3" spans="1:20" ht="15">
      <c r="A3" s="73"/>
      <c r="B3" s="73"/>
      <c r="C3" s="73"/>
      <c r="D3" s="73"/>
      <c r="E3" s="73"/>
      <c r="F3" s="73"/>
      <c r="G3" s="73"/>
      <c r="H3" s="73"/>
      <c r="I3" s="73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</row>
    <row r="4" spans="1:20" ht="18.75">
      <c r="A4" s="69" t="s">
        <v>79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</row>
    <row r="5" spans="1:20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 spans="1:20" ht="15">
      <c r="A6" s="15" t="s">
        <v>78</v>
      </c>
      <c r="B6" s="70" t="s">
        <v>14</v>
      </c>
      <c r="C6" s="71"/>
      <c r="D6" s="71"/>
      <c r="E6" s="71"/>
      <c r="F6" s="71"/>
      <c r="N6" s="74" t="s">
        <v>77</v>
      </c>
      <c r="O6" s="75"/>
      <c r="P6" s="70" t="s">
        <v>428</v>
      </c>
      <c r="Q6" s="70"/>
      <c r="R6" s="70"/>
      <c r="S6" s="70"/>
      <c r="T6" s="71"/>
    </row>
    <row r="7" spans="1:20" ht="16.5">
      <c r="A7" s="76" t="s">
        <v>76</v>
      </c>
      <c r="B7" s="77"/>
      <c r="C7" s="77"/>
      <c r="D7" s="77"/>
      <c r="E7" s="71"/>
      <c r="F7" s="71"/>
      <c r="G7" s="71"/>
      <c r="H7" s="71"/>
      <c r="I7" s="71"/>
      <c r="J7" s="71"/>
      <c r="K7" s="71"/>
      <c r="L7" s="71"/>
      <c r="M7" s="71"/>
      <c r="N7" s="78" t="s">
        <v>75</v>
      </c>
      <c r="O7" s="77"/>
      <c r="P7" s="77"/>
      <c r="Q7" s="77"/>
      <c r="R7" s="77"/>
      <c r="S7" s="77"/>
      <c r="T7" s="77"/>
    </row>
    <row r="8" spans="1:20" ht="16.5">
      <c r="A8" s="55" t="s">
        <v>120</v>
      </c>
      <c r="B8" s="55"/>
      <c r="C8" s="55"/>
      <c r="D8" s="55"/>
      <c r="E8" s="55"/>
      <c r="F8" s="55"/>
      <c r="G8" s="44" t="s">
        <v>15</v>
      </c>
      <c r="H8" s="44"/>
      <c r="I8" s="45"/>
      <c r="J8" s="45"/>
      <c r="K8" s="45"/>
      <c r="L8" s="45"/>
      <c r="M8" s="45"/>
      <c r="N8" s="45"/>
      <c r="O8" s="45"/>
      <c r="P8" s="45"/>
      <c r="Q8" s="16"/>
      <c r="R8" s="16"/>
      <c r="S8" s="16"/>
      <c r="T8" s="16"/>
    </row>
    <row r="9" spans="1:20" ht="16.5">
      <c r="A9" s="56" t="s">
        <v>16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16"/>
      <c r="R9" s="16"/>
      <c r="S9" s="16"/>
      <c r="T9" s="16"/>
    </row>
    <row r="10" spans="1:20" ht="16.5">
      <c r="A10" s="57" t="s">
        <v>121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21"/>
      <c r="P10" s="21"/>
      <c r="Q10" s="16"/>
      <c r="R10" s="16"/>
      <c r="S10" s="16"/>
      <c r="T10" s="16"/>
    </row>
    <row r="11" spans="1:20" ht="16.5">
      <c r="A11" s="57" t="s">
        <v>122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16"/>
      <c r="R11" s="16"/>
      <c r="S11" s="16"/>
      <c r="T11" s="16"/>
    </row>
    <row r="12" spans="1:20" ht="16.5">
      <c r="A12" s="57" t="s">
        <v>123</v>
      </c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16"/>
      <c r="R12" s="16"/>
      <c r="S12" s="16"/>
      <c r="T12" s="16"/>
    </row>
    <row r="13" spans="1:20" ht="15">
      <c r="A13" s="92" t="s">
        <v>74</v>
      </c>
      <c r="B13" s="92"/>
      <c r="C13" s="92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82"/>
      <c r="O13" s="82"/>
      <c r="P13" s="82"/>
      <c r="Q13" s="82"/>
      <c r="R13" s="82"/>
      <c r="S13" s="82"/>
      <c r="T13" s="82"/>
    </row>
    <row r="14" spans="1:20" ht="16.5">
      <c r="A14" s="74" t="s">
        <v>73</v>
      </c>
      <c r="B14" s="77"/>
      <c r="C14" s="71" t="s">
        <v>17</v>
      </c>
      <c r="D14" s="71"/>
      <c r="E14" s="71"/>
      <c r="F14" s="71"/>
      <c r="G14" s="71"/>
      <c r="H14" s="87"/>
      <c r="I14" s="87"/>
      <c r="J14" s="87"/>
      <c r="K14" s="87"/>
      <c r="L14" s="87"/>
      <c r="M14" s="87"/>
      <c r="N14" s="82"/>
      <c r="O14" s="82"/>
      <c r="P14" s="82"/>
      <c r="Q14" s="82"/>
      <c r="R14" s="82"/>
      <c r="S14" s="82"/>
      <c r="T14" s="82"/>
    </row>
    <row r="15" spans="1:20" ht="16.5">
      <c r="A15" s="74" t="s">
        <v>7</v>
      </c>
      <c r="B15" s="77"/>
      <c r="C15" s="77"/>
      <c r="D15" s="77"/>
      <c r="E15" s="71"/>
      <c r="F15" s="87"/>
      <c r="G15" s="87"/>
      <c r="H15" s="87"/>
      <c r="I15" s="87"/>
      <c r="J15" s="87"/>
      <c r="K15" s="87"/>
      <c r="L15" s="87"/>
      <c r="M15" s="87"/>
      <c r="N15" s="82"/>
      <c r="O15" s="82"/>
      <c r="P15" s="82"/>
      <c r="Q15" s="82"/>
      <c r="R15" s="82"/>
      <c r="S15" s="82"/>
      <c r="T15" s="82"/>
    </row>
    <row r="16" spans="1:20" ht="15">
      <c r="A16" s="74" t="s">
        <v>6</v>
      </c>
      <c r="B16" s="91"/>
      <c r="C16" s="70" t="s">
        <v>18</v>
      </c>
      <c r="D16" s="71"/>
      <c r="E16" s="71"/>
      <c r="F16" s="71"/>
      <c r="G16" s="14" t="s">
        <v>5</v>
      </c>
      <c r="H16" s="71" t="s">
        <v>19</v>
      </c>
      <c r="I16" s="71"/>
      <c r="J16" s="71"/>
      <c r="K16" s="71"/>
      <c r="L16" s="71"/>
      <c r="M16" s="71"/>
      <c r="N16" s="82"/>
      <c r="O16" s="82"/>
      <c r="P16" s="82"/>
      <c r="Q16" s="82"/>
      <c r="R16" s="82"/>
      <c r="S16" s="82"/>
      <c r="T16" s="82"/>
    </row>
    <row r="17" spans="1:20" ht="15" thickBot="1">
      <c r="L17" s="13"/>
      <c r="M17" s="13"/>
      <c r="N17" s="83"/>
      <c r="O17" s="83"/>
      <c r="P17" s="83"/>
      <c r="Q17" s="83"/>
      <c r="R17" s="83"/>
      <c r="S17" s="83"/>
      <c r="T17" s="83"/>
    </row>
    <row r="18" spans="1:20" ht="17.25" thickTop="1">
      <c r="A18" s="80" t="s">
        <v>72</v>
      </c>
      <c r="B18" s="85"/>
      <c r="C18" s="86"/>
      <c r="D18" s="79" t="s">
        <v>71</v>
      </c>
      <c r="E18" s="85"/>
      <c r="F18" s="85"/>
      <c r="G18" s="85"/>
      <c r="H18" s="86"/>
      <c r="I18" s="79" t="s">
        <v>70</v>
      </c>
      <c r="J18" s="80"/>
      <c r="K18" s="84"/>
      <c r="L18" s="79" t="s">
        <v>69</v>
      </c>
      <c r="M18" s="89"/>
      <c r="N18" s="90"/>
      <c r="O18" s="88" t="s">
        <v>68</v>
      </c>
      <c r="P18" s="89"/>
      <c r="Q18" s="90"/>
      <c r="R18" s="79" t="s">
        <v>67</v>
      </c>
      <c r="S18" s="80"/>
      <c r="T18" s="81"/>
    </row>
    <row r="19" spans="1:20">
      <c r="D19" s="12" t="s">
        <v>22</v>
      </c>
    </row>
    <row r="20" spans="1:20">
      <c r="D20" s="12" t="s">
        <v>23</v>
      </c>
    </row>
    <row r="21" spans="1:20">
      <c r="D21" s="12" t="s">
        <v>24</v>
      </c>
    </row>
    <row r="22" spans="1:20">
      <c r="D22" s="12" t="s">
        <v>25</v>
      </c>
    </row>
    <row r="23" spans="1:20">
      <c r="D23" s="12" t="s">
        <v>26</v>
      </c>
    </row>
    <row r="24" spans="1:20" ht="16.5">
      <c r="D24" s="18" t="s">
        <v>27</v>
      </c>
    </row>
    <row r="25" spans="1:20">
      <c r="D25" s="12" t="s">
        <v>28</v>
      </c>
    </row>
    <row r="26" spans="1:20">
      <c r="D26" s="12" t="s">
        <v>29</v>
      </c>
    </row>
    <row r="27" spans="1:20">
      <c r="D27" s="19" t="s">
        <v>30</v>
      </c>
    </row>
    <row r="28" spans="1:20">
      <c r="A28" s="12" t="s">
        <v>80</v>
      </c>
      <c r="D28" s="12" t="s">
        <v>31</v>
      </c>
      <c r="J28" s="27">
        <v>405</v>
      </c>
      <c r="K28" s="12" t="s">
        <v>32</v>
      </c>
      <c r="M28" s="29">
        <v>105.2</v>
      </c>
      <c r="N28" s="12" t="s">
        <v>81</v>
      </c>
      <c r="P28" s="29">
        <v>106.2</v>
      </c>
      <c r="Q28" s="12" t="s">
        <v>81</v>
      </c>
    </row>
    <row r="29" spans="1:20">
      <c r="A29" s="12" t="s">
        <v>82</v>
      </c>
      <c r="D29" s="12" t="s">
        <v>34</v>
      </c>
      <c r="J29" s="27">
        <v>556</v>
      </c>
      <c r="K29" s="12" t="s">
        <v>32</v>
      </c>
      <c r="M29" s="29">
        <v>144.80000000000001</v>
      </c>
      <c r="N29" s="12" t="s">
        <v>81</v>
      </c>
      <c r="P29" s="29">
        <v>146.19999999999999</v>
      </c>
      <c r="Q29" s="12" t="s">
        <v>81</v>
      </c>
    </row>
    <row r="30" spans="1:20">
      <c r="A30" s="12" t="s">
        <v>83</v>
      </c>
      <c r="M30" s="30"/>
      <c r="P30" s="30"/>
    </row>
    <row r="31" spans="1:20">
      <c r="A31" s="12" t="s">
        <v>84</v>
      </c>
      <c r="D31" s="12" t="s">
        <v>35</v>
      </c>
      <c r="J31" s="27">
        <v>81</v>
      </c>
      <c r="K31" s="12" t="s">
        <v>32</v>
      </c>
      <c r="M31" s="29">
        <v>21</v>
      </c>
      <c r="N31" s="12" t="s">
        <v>81</v>
      </c>
      <c r="P31" s="29">
        <v>21.2</v>
      </c>
      <c r="Q31" s="12" t="s">
        <v>81</v>
      </c>
    </row>
    <row r="32" spans="1:20">
      <c r="A32" s="12" t="s">
        <v>85</v>
      </c>
      <c r="D32" s="12" t="s">
        <v>36</v>
      </c>
      <c r="J32" s="27">
        <v>974</v>
      </c>
      <c r="K32" s="12" t="s">
        <v>32</v>
      </c>
      <c r="M32" s="29">
        <v>253.1</v>
      </c>
      <c r="N32" s="12" t="s">
        <v>81</v>
      </c>
      <c r="P32" s="29">
        <v>255.5</v>
      </c>
      <c r="Q32" s="12" t="s">
        <v>81</v>
      </c>
    </row>
    <row r="33" spans="1:17">
      <c r="A33" s="12" t="s">
        <v>86</v>
      </c>
      <c r="D33" s="12" t="s">
        <v>37</v>
      </c>
      <c r="J33" s="27">
        <v>15</v>
      </c>
      <c r="K33" s="12" t="s">
        <v>32</v>
      </c>
      <c r="M33" s="29">
        <v>3.9</v>
      </c>
      <c r="N33" s="12" t="s">
        <v>81</v>
      </c>
      <c r="P33" s="29">
        <v>4.0999999999999996</v>
      </c>
      <c r="Q33" s="12" t="s">
        <v>81</v>
      </c>
    </row>
    <row r="34" spans="1:17">
      <c r="A34" s="12" t="s">
        <v>87</v>
      </c>
      <c r="D34" s="12" t="s">
        <v>38</v>
      </c>
      <c r="J34" s="27">
        <v>544</v>
      </c>
      <c r="K34" s="12" t="s">
        <v>32</v>
      </c>
      <c r="M34" s="29">
        <v>141.4</v>
      </c>
      <c r="N34" s="12" t="s">
        <v>81</v>
      </c>
      <c r="P34" s="29">
        <v>142.80000000000001</v>
      </c>
      <c r="Q34" s="12" t="s">
        <v>81</v>
      </c>
    </row>
    <row r="35" spans="1:17">
      <c r="A35" s="12" t="s">
        <v>88</v>
      </c>
      <c r="D35" s="12" t="s">
        <v>39</v>
      </c>
      <c r="J35" s="28">
        <v>1587</v>
      </c>
      <c r="K35" s="12" t="s">
        <v>32</v>
      </c>
      <c r="M35" s="29">
        <v>413.4</v>
      </c>
      <c r="N35" s="12" t="s">
        <v>81</v>
      </c>
      <c r="P35" s="29">
        <v>417.4</v>
      </c>
      <c r="Q35" s="12" t="s">
        <v>81</v>
      </c>
    </row>
    <row r="36" spans="1:17">
      <c r="A36" s="12" t="s">
        <v>89</v>
      </c>
      <c r="M36" s="30"/>
      <c r="P36" s="30"/>
    </row>
    <row r="37" spans="1:17">
      <c r="A37" s="12" t="s">
        <v>90</v>
      </c>
      <c r="D37" s="12" t="s">
        <v>40</v>
      </c>
      <c r="J37" s="28">
        <v>2148</v>
      </c>
      <c r="K37" s="12" t="s">
        <v>32</v>
      </c>
      <c r="M37" s="29">
        <v>560.1</v>
      </c>
      <c r="N37" s="12" t="s">
        <v>81</v>
      </c>
      <c r="P37" s="29">
        <v>565.5</v>
      </c>
      <c r="Q37" s="12" t="s">
        <v>81</v>
      </c>
    </row>
    <row r="38" spans="1:17">
      <c r="A38" s="12" t="s">
        <v>91</v>
      </c>
      <c r="M38" s="30"/>
      <c r="P38" s="30"/>
    </row>
    <row r="39" spans="1:17">
      <c r="A39" s="12" t="s">
        <v>92</v>
      </c>
      <c r="M39" s="30"/>
      <c r="P39" s="30"/>
    </row>
    <row r="40" spans="1:17">
      <c r="A40" s="12" t="s">
        <v>93</v>
      </c>
      <c r="D40" s="12" t="s">
        <v>41</v>
      </c>
      <c r="J40" s="27">
        <v>925</v>
      </c>
      <c r="K40" s="12" t="s">
        <v>32</v>
      </c>
      <c r="M40" s="29">
        <v>240.2</v>
      </c>
      <c r="N40" s="12" t="s">
        <v>81</v>
      </c>
      <c r="P40" s="29">
        <v>242.8</v>
      </c>
      <c r="Q40" s="12" t="s">
        <v>81</v>
      </c>
    </row>
    <row r="41" spans="1:17">
      <c r="A41" s="12" t="s">
        <v>94</v>
      </c>
      <c r="M41" s="30"/>
      <c r="P41" s="30"/>
    </row>
    <row r="42" spans="1:17">
      <c r="A42" s="12" t="s">
        <v>95</v>
      </c>
      <c r="M42" s="30"/>
      <c r="P42" s="30"/>
    </row>
    <row r="43" spans="1:17">
      <c r="A43" s="12" t="s">
        <v>96</v>
      </c>
      <c r="D43" s="12" t="s">
        <v>42</v>
      </c>
      <c r="J43" s="27">
        <v>399</v>
      </c>
      <c r="K43" s="12" t="s">
        <v>32</v>
      </c>
      <c r="M43" s="29">
        <v>104.3</v>
      </c>
      <c r="N43" s="12" t="s">
        <v>81</v>
      </c>
      <c r="P43" s="29">
        <v>105.3</v>
      </c>
      <c r="Q43" s="12" t="s">
        <v>81</v>
      </c>
    </row>
    <row r="44" spans="1:17">
      <c r="A44" s="12" t="s">
        <v>97</v>
      </c>
      <c r="M44" s="30"/>
      <c r="P44" s="30"/>
    </row>
    <row r="45" spans="1:17">
      <c r="A45" s="12" t="s">
        <v>98</v>
      </c>
      <c r="D45" s="12" t="s">
        <v>43</v>
      </c>
      <c r="J45" s="27">
        <v>77</v>
      </c>
      <c r="K45" s="12" t="s">
        <v>32</v>
      </c>
      <c r="M45" s="29">
        <v>20.100000000000001</v>
      </c>
      <c r="N45" s="12" t="s">
        <v>81</v>
      </c>
      <c r="P45" s="29">
        <v>20.3</v>
      </c>
      <c r="Q45" s="12" t="s">
        <v>81</v>
      </c>
    </row>
    <row r="46" spans="1:17">
      <c r="A46" s="12" t="s">
        <v>99</v>
      </c>
      <c r="D46" s="12" t="s">
        <v>44</v>
      </c>
      <c r="J46" s="27">
        <v>962</v>
      </c>
      <c r="K46" s="12" t="s">
        <v>32</v>
      </c>
      <c r="M46" s="29">
        <v>253.3</v>
      </c>
      <c r="N46" s="12" t="s">
        <v>81</v>
      </c>
      <c r="P46" s="29">
        <v>255.7</v>
      </c>
      <c r="Q46" s="12" t="s">
        <v>81</v>
      </c>
    </row>
    <row r="47" spans="1:17">
      <c r="A47" s="12" t="s">
        <v>100</v>
      </c>
      <c r="D47" s="12" t="s">
        <v>45</v>
      </c>
      <c r="J47" s="27">
        <v>402</v>
      </c>
      <c r="K47" s="12" t="s">
        <v>32</v>
      </c>
      <c r="M47" s="29">
        <v>106.1</v>
      </c>
      <c r="N47" s="12" t="s">
        <v>81</v>
      </c>
      <c r="P47" s="29">
        <v>107.1</v>
      </c>
      <c r="Q47" s="12" t="s">
        <v>81</v>
      </c>
    </row>
    <row r="48" spans="1:17">
      <c r="A48" s="12" t="s">
        <v>101</v>
      </c>
      <c r="D48" s="12" t="s">
        <v>46</v>
      </c>
      <c r="J48" s="27">
        <v>966</v>
      </c>
      <c r="K48" s="12" t="s">
        <v>32</v>
      </c>
      <c r="M48" s="29">
        <v>251.2</v>
      </c>
      <c r="N48" s="12" t="s">
        <v>81</v>
      </c>
      <c r="P48" s="29">
        <v>253.6</v>
      </c>
      <c r="Q48" s="12" t="s">
        <v>81</v>
      </c>
    </row>
    <row r="49" spans="1:17">
      <c r="A49" s="12" t="s">
        <v>102</v>
      </c>
      <c r="D49" s="12" t="s">
        <v>47</v>
      </c>
      <c r="J49" s="28">
        <v>2032</v>
      </c>
      <c r="K49" s="12" t="s">
        <v>32</v>
      </c>
      <c r="M49" s="29">
        <v>528</v>
      </c>
      <c r="N49" s="12" t="s">
        <v>81</v>
      </c>
      <c r="P49" s="29">
        <v>533</v>
      </c>
      <c r="Q49" s="12" t="s">
        <v>81</v>
      </c>
    </row>
    <row r="50" spans="1:17">
      <c r="A50" s="12" t="s">
        <v>103</v>
      </c>
      <c r="M50" s="30"/>
      <c r="P50" s="30"/>
    </row>
    <row r="51" spans="1:17">
      <c r="A51" s="12" t="s">
        <v>104</v>
      </c>
      <c r="D51" s="12" t="s">
        <v>48</v>
      </c>
      <c r="J51" s="28">
        <v>1368</v>
      </c>
      <c r="K51" s="12" t="s">
        <v>32</v>
      </c>
      <c r="M51" s="29">
        <v>355.3</v>
      </c>
      <c r="N51" s="12" t="s">
        <v>81</v>
      </c>
      <c r="P51" s="29">
        <v>358.7</v>
      </c>
      <c r="Q51" s="12" t="s">
        <v>81</v>
      </c>
    </row>
    <row r="52" spans="1:17">
      <c r="D52" s="12" t="s">
        <v>49</v>
      </c>
      <c r="M52" s="30"/>
      <c r="P52" s="30"/>
    </row>
    <row r="53" spans="1:17">
      <c r="D53" s="12" t="s">
        <v>50</v>
      </c>
      <c r="M53" s="30"/>
      <c r="P53" s="30"/>
    </row>
    <row r="54" spans="1:17" ht="16.5">
      <c r="D54" s="18" t="s">
        <v>51</v>
      </c>
      <c r="M54" s="30"/>
      <c r="P54" s="30"/>
    </row>
    <row r="55" spans="1:17">
      <c r="D55" s="12" t="s">
        <v>52</v>
      </c>
      <c r="M55" s="30"/>
      <c r="P55" s="30"/>
    </row>
    <row r="56" spans="1:17">
      <c r="D56" s="12" t="s">
        <v>53</v>
      </c>
      <c r="M56" s="30"/>
      <c r="P56" s="30"/>
    </row>
    <row r="57" spans="1:17">
      <c r="D57" s="19" t="s">
        <v>30</v>
      </c>
      <c r="M57" s="30"/>
      <c r="P57" s="30"/>
    </row>
    <row r="58" spans="1:17">
      <c r="A58" s="12" t="s">
        <v>105</v>
      </c>
      <c r="D58" s="12" t="s">
        <v>31</v>
      </c>
      <c r="J58" s="27">
        <v>237</v>
      </c>
      <c r="K58" s="12" t="s">
        <v>32</v>
      </c>
      <c r="M58" s="29">
        <v>61.9</v>
      </c>
      <c r="N58" s="12" t="s">
        <v>81</v>
      </c>
      <c r="P58" s="29">
        <v>62.5</v>
      </c>
      <c r="Q58" s="12" t="s">
        <v>81</v>
      </c>
    </row>
    <row r="59" spans="1:17">
      <c r="A59" s="12" t="s">
        <v>106</v>
      </c>
      <c r="D59" s="12" t="s">
        <v>45</v>
      </c>
      <c r="J59" s="27">
        <v>157</v>
      </c>
      <c r="K59" s="12" t="s">
        <v>32</v>
      </c>
      <c r="M59" s="29">
        <v>41.3</v>
      </c>
      <c r="N59" s="12" t="s">
        <v>81</v>
      </c>
      <c r="P59" s="29">
        <v>42.1</v>
      </c>
      <c r="Q59" s="12" t="s">
        <v>81</v>
      </c>
    </row>
    <row r="60" spans="1:17">
      <c r="A60" s="12" t="s">
        <v>107</v>
      </c>
      <c r="M60" s="30"/>
      <c r="P60" s="30"/>
    </row>
    <row r="61" spans="1:17">
      <c r="D61" s="12" t="s">
        <v>49</v>
      </c>
      <c r="M61" s="30"/>
      <c r="P61" s="30"/>
    </row>
    <row r="62" spans="1:17">
      <c r="D62" s="12" t="s">
        <v>54</v>
      </c>
      <c r="M62" s="30"/>
      <c r="P62" s="30"/>
    </row>
    <row r="63" spans="1:17">
      <c r="D63" s="12" t="s">
        <v>55</v>
      </c>
      <c r="M63" s="30"/>
      <c r="P63" s="30"/>
    </row>
    <row r="64" spans="1:17">
      <c r="D64" s="12" t="s">
        <v>56</v>
      </c>
      <c r="M64" s="30"/>
      <c r="P64" s="30"/>
    </row>
    <row r="65" spans="1:17">
      <c r="D65" s="12" t="s">
        <v>57</v>
      </c>
      <c r="M65" s="30"/>
      <c r="P65" s="30"/>
    </row>
    <row r="66" spans="1:17" ht="16.5">
      <c r="D66" s="18" t="s">
        <v>51</v>
      </c>
      <c r="M66" s="30"/>
      <c r="P66" s="30"/>
    </row>
    <row r="67" spans="1:17">
      <c r="D67" s="12" t="s">
        <v>58</v>
      </c>
      <c r="M67" s="30"/>
      <c r="P67" s="30"/>
    </row>
    <row r="68" spans="1:17">
      <c r="D68" s="12" t="s">
        <v>59</v>
      </c>
      <c r="M68" s="30"/>
      <c r="P68" s="30"/>
    </row>
    <row r="69" spans="1:17">
      <c r="D69" s="19" t="s">
        <v>30</v>
      </c>
      <c r="M69" s="30"/>
      <c r="P69" s="30"/>
    </row>
    <row r="70" spans="1:17">
      <c r="A70" s="12" t="s">
        <v>108</v>
      </c>
      <c r="D70" s="12" t="s">
        <v>60</v>
      </c>
      <c r="J70" s="27">
        <v>10</v>
      </c>
      <c r="K70" s="12" t="s">
        <v>32</v>
      </c>
      <c r="M70" s="29">
        <v>2.7</v>
      </c>
      <c r="N70" s="12" t="s">
        <v>81</v>
      </c>
      <c r="P70" s="29">
        <v>3.1</v>
      </c>
      <c r="Q70" s="12" t="s">
        <v>81</v>
      </c>
    </row>
    <row r="71" spans="1:17">
      <c r="D71" s="12" t="s">
        <v>61</v>
      </c>
      <c r="M71" s="30"/>
      <c r="P71" s="30"/>
    </row>
    <row r="72" spans="1:17">
      <c r="M72" s="30"/>
      <c r="P72" s="30"/>
    </row>
    <row r="73" spans="1:17">
      <c r="A73" s="20"/>
      <c r="D73" s="1" t="s">
        <v>414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>
      <c r="A74" s="36">
        <v>1</v>
      </c>
      <c r="D74" s="1" t="s">
        <v>415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>
      <c r="A75" s="20"/>
      <c r="D75" s="1" t="s">
        <v>410</v>
      </c>
      <c r="E75" s="1"/>
      <c r="F75" s="1"/>
      <c r="G75" s="1"/>
      <c r="H75" s="1"/>
      <c r="I75" s="1"/>
      <c r="J75" s="37">
        <f>1015+984+2079+2262+554+1539</f>
        <v>8433</v>
      </c>
      <c r="K75" s="1" t="s">
        <v>411</v>
      </c>
      <c r="L75" s="1"/>
      <c r="M75" s="29">
        <v>22</v>
      </c>
      <c r="N75" s="1" t="s">
        <v>81</v>
      </c>
      <c r="O75" s="1"/>
      <c r="P75" s="29">
        <v>23.2</v>
      </c>
      <c r="Q75" s="1" t="s">
        <v>81</v>
      </c>
    </row>
    <row r="76" spans="1:17">
      <c r="A76" s="20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>
      <c r="A77" s="20"/>
      <c r="D77" s="1" t="s">
        <v>413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>
      <c r="A78" s="27">
        <v>1</v>
      </c>
      <c r="D78" s="1" t="s">
        <v>416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>
      <c r="A79" s="20"/>
      <c r="D79" s="1" t="s">
        <v>412</v>
      </c>
      <c r="E79" s="1"/>
      <c r="F79" s="1"/>
      <c r="G79" s="1"/>
      <c r="H79" s="1"/>
      <c r="I79" s="1"/>
      <c r="J79" s="37">
        <f>2530+112+171+265</f>
        <v>3078</v>
      </c>
      <c r="K79" s="1" t="s">
        <v>411</v>
      </c>
      <c r="L79" s="1"/>
      <c r="M79" s="29">
        <v>12.6</v>
      </c>
      <c r="N79" s="1" t="s">
        <v>81</v>
      </c>
      <c r="O79" s="1"/>
      <c r="P79" s="29">
        <v>14.2</v>
      </c>
      <c r="Q79" s="1" t="s">
        <v>81</v>
      </c>
    </row>
    <row r="80" spans="1:17">
      <c r="M80" s="30"/>
      <c r="P80" s="30"/>
    </row>
    <row r="81" spans="1:17" ht="16.5">
      <c r="A81" s="18" t="s">
        <v>109</v>
      </c>
      <c r="M81" s="30"/>
      <c r="P81" s="30"/>
    </row>
    <row r="82" spans="1:17">
      <c r="A82" s="27">
        <v>179</v>
      </c>
      <c r="B82" s="12" t="s">
        <v>110</v>
      </c>
      <c r="J82" s="28">
        <f>SUM(J28:J81)</f>
        <v>25356</v>
      </c>
      <c r="K82" s="12" t="s">
        <v>32</v>
      </c>
      <c r="M82" s="29">
        <f>SUM(M28:M81)</f>
        <v>3641.9</v>
      </c>
      <c r="N82" s="12" t="s">
        <v>81</v>
      </c>
      <c r="P82" s="29">
        <f>SUM(P28:P81)</f>
        <v>3680.4999999999991</v>
      </c>
      <c r="Q82" s="12" t="s">
        <v>81</v>
      </c>
    </row>
    <row r="83" spans="1:17">
      <c r="A83" s="27">
        <v>2</v>
      </c>
      <c r="B83" s="12" t="s">
        <v>423</v>
      </c>
      <c r="J83" s="20" t="s">
        <v>63</v>
      </c>
      <c r="K83" s="12" t="s">
        <v>64</v>
      </c>
      <c r="M83" s="29" t="s">
        <v>111</v>
      </c>
      <c r="N83" s="12" t="s">
        <v>64</v>
      </c>
      <c r="P83" s="29" t="s">
        <v>111</v>
      </c>
      <c r="Q83" s="12" t="s">
        <v>64</v>
      </c>
    </row>
    <row r="84" spans="1:17">
      <c r="A84" s="20" t="s">
        <v>65</v>
      </c>
      <c r="B84" s="12" t="s">
        <v>63</v>
      </c>
    </row>
    <row r="85" spans="1:17">
      <c r="D85" s="12" t="s">
        <v>430</v>
      </c>
    </row>
    <row r="86" spans="1:17">
      <c r="A86" s="12" t="s">
        <v>112</v>
      </c>
    </row>
    <row r="87" spans="1:17">
      <c r="A87" s="12" t="s">
        <v>113</v>
      </c>
    </row>
    <row r="88" spans="1:17">
      <c r="A88" s="12" t="s">
        <v>114</v>
      </c>
    </row>
    <row r="89" spans="1:17">
      <c r="A89" s="12" t="s">
        <v>115</v>
      </c>
    </row>
    <row r="90" spans="1:17">
      <c r="A90" s="12" t="s">
        <v>116</v>
      </c>
    </row>
    <row r="91" spans="1:17">
      <c r="A91" s="12" t="s">
        <v>117</v>
      </c>
    </row>
    <row r="92" spans="1:17">
      <c r="A92" s="12" t="s">
        <v>118</v>
      </c>
    </row>
    <row r="93" spans="1:17">
      <c r="A93" s="12" t="s">
        <v>119</v>
      </c>
    </row>
    <row r="95" spans="1:17">
      <c r="A95" s="1" t="s">
        <v>418</v>
      </c>
    </row>
    <row r="96" spans="1:17">
      <c r="A96" s="1" t="s">
        <v>419</v>
      </c>
    </row>
    <row r="97" spans="1:1">
      <c r="A97" s="1" t="s">
        <v>114</v>
      </c>
    </row>
    <row r="98" spans="1:1">
      <c r="A98" s="1" t="s">
        <v>116</v>
      </c>
    </row>
    <row r="99" spans="1:1">
      <c r="A99" s="1" t="s">
        <v>420</v>
      </c>
    </row>
    <row r="100" spans="1:1">
      <c r="A100" s="1" t="s">
        <v>421</v>
      </c>
    </row>
    <row r="101" spans="1:1">
      <c r="A101" s="1" t="s">
        <v>422</v>
      </c>
    </row>
    <row r="102" spans="1:1">
      <c r="A102" s="1" t="s">
        <v>119</v>
      </c>
    </row>
  </sheetData>
  <mergeCells count="33">
    <mergeCell ref="D13:M13"/>
    <mergeCell ref="A1:P1"/>
    <mergeCell ref="A2:P2"/>
    <mergeCell ref="N7:T7"/>
    <mergeCell ref="R18:T18"/>
    <mergeCell ref="N13:T17"/>
    <mergeCell ref="I18:K18"/>
    <mergeCell ref="H16:M16"/>
    <mergeCell ref="D18:H18"/>
    <mergeCell ref="A15:D15"/>
    <mergeCell ref="E15:M15"/>
    <mergeCell ref="C14:M14"/>
    <mergeCell ref="A14:B14"/>
    <mergeCell ref="O18:Q18"/>
    <mergeCell ref="L18:N18"/>
    <mergeCell ref="C16:F16"/>
    <mergeCell ref="A18:C18"/>
    <mergeCell ref="A16:B16"/>
    <mergeCell ref="A13:C13"/>
    <mergeCell ref="A10:N10"/>
    <mergeCell ref="A11:P11"/>
    <mergeCell ref="A12:P12"/>
    <mergeCell ref="A4:T4"/>
    <mergeCell ref="P6:T6"/>
    <mergeCell ref="J3:T3"/>
    <mergeCell ref="B6:F6"/>
    <mergeCell ref="A3:I3"/>
    <mergeCell ref="N6:O6"/>
    <mergeCell ref="A7:D7"/>
    <mergeCell ref="E7:M7"/>
    <mergeCell ref="A8:F8"/>
    <mergeCell ref="G8:P8"/>
    <mergeCell ref="A9:P9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orientation="portrait" horizontalDpi="180" verticalDpi="180" r:id="rId1"/>
  <headerFooter alignWithMargins="0">
    <oddFooter>&amp;C&amp;"Times New Roman,標準"PAGE: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D8682-0473-46EF-8E0F-8155A46971D1}">
  <sheetPr>
    <pageSetUpPr autoPageBreaks="0"/>
  </sheetPr>
  <dimension ref="A1:N182"/>
  <sheetViews>
    <sheetView workbookViewId="0">
      <selection activeCell="K183" sqref="K183"/>
    </sheetView>
  </sheetViews>
  <sheetFormatPr defaultColWidth="9.125" defaultRowHeight="16.5" customHeight="1"/>
  <cols>
    <col min="1" max="1" width="26.5" style="31" customWidth="1"/>
    <col min="2" max="2" width="15" style="31" customWidth="1"/>
    <col min="3" max="4" width="16.375" style="31" customWidth="1"/>
    <col min="5" max="5" width="31.625" style="31" bestFit="1" customWidth="1"/>
    <col min="6" max="7" width="13.5" style="31" customWidth="1"/>
    <col min="8" max="8" width="24" style="31" bestFit="1" customWidth="1"/>
    <col min="9" max="12" width="12.5" style="31" customWidth="1"/>
    <col min="13" max="13" width="17.625" style="31" bestFit="1" customWidth="1"/>
    <col min="14" max="14" width="21.375" style="31" bestFit="1" customWidth="1"/>
    <col min="15" max="256" width="9.125" style="31"/>
    <col min="257" max="257" width="26.5" style="31" customWidth="1"/>
    <col min="258" max="258" width="15" style="31" customWidth="1"/>
    <col min="259" max="260" width="16.375" style="31" customWidth="1"/>
    <col min="261" max="261" width="31.625" style="31" bestFit="1" customWidth="1"/>
    <col min="262" max="263" width="13.5" style="31" customWidth="1"/>
    <col min="264" max="264" width="24" style="31" bestFit="1" customWidth="1"/>
    <col min="265" max="268" width="12.5" style="31" customWidth="1"/>
    <col min="269" max="269" width="17.625" style="31" bestFit="1" customWidth="1"/>
    <col min="270" max="270" width="21.375" style="31" bestFit="1" customWidth="1"/>
    <col min="271" max="512" width="9.125" style="31"/>
    <col min="513" max="513" width="26.5" style="31" customWidth="1"/>
    <col min="514" max="514" width="15" style="31" customWidth="1"/>
    <col min="515" max="516" width="16.375" style="31" customWidth="1"/>
    <col min="517" max="517" width="31.625" style="31" bestFit="1" customWidth="1"/>
    <col min="518" max="519" width="13.5" style="31" customWidth="1"/>
    <col min="520" max="520" width="24" style="31" bestFit="1" customWidth="1"/>
    <col min="521" max="524" width="12.5" style="31" customWidth="1"/>
    <col min="525" max="525" width="17.625" style="31" bestFit="1" customWidth="1"/>
    <col min="526" max="526" width="21.375" style="31" bestFit="1" customWidth="1"/>
    <col min="527" max="768" width="9.125" style="31"/>
    <col min="769" max="769" width="26.5" style="31" customWidth="1"/>
    <col min="770" max="770" width="15" style="31" customWidth="1"/>
    <col min="771" max="772" width="16.375" style="31" customWidth="1"/>
    <col min="773" max="773" width="31.625" style="31" bestFit="1" customWidth="1"/>
    <col min="774" max="775" width="13.5" style="31" customWidth="1"/>
    <col min="776" max="776" width="24" style="31" bestFit="1" customWidth="1"/>
    <col min="777" max="780" width="12.5" style="31" customWidth="1"/>
    <col min="781" max="781" width="17.625" style="31" bestFit="1" customWidth="1"/>
    <col min="782" max="782" width="21.375" style="31" bestFit="1" customWidth="1"/>
    <col min="783" max="1024" width="9.125" style="31"/>
    <col min="1025" max="1025" width="26.5" style="31" customWidth="1"/>
    <col min="1026" max="1026" width="15" style="31" customWidth="1"/>
    <col min="1027" max="1028" width="16.375" style="31" customWidth="1"/>
    <col min="1029" max="1029" width="31.625" style="31" bestFit="1" customWidth="1"/>
    <col min="1030" max="1031" width="13.5" style="31" customWidth="1"/>
    <col min="1032" max="1032" width="24" style="31" bestFit="1" customWidth="1"/>
    <col min="1033" max="1036" width="12.5" style="31" customWidth="1"/>
    <col min="1037" max="1037" width="17.625" style="31" bestFit="1" customWidth="1"/>
    <col min="1038" max="1038" width="21.375" style="31" bestFit="1" customWidth="1"/>
    <col min="1039" max="1280" width="9.125" style="31"/>
    <col min="1281" max="1281" width="26.5" style="31" customWidth="1"/>
    <col min="1282" max="1282" width="15" style="31" customWidth="1"/>
    <col min="1283" max="1284" width="16.375" style="31" customWidth="1"/>
    <col min="1285" max="1285" width="31.625" style="31" bestFit="1" customWidth="1"/>
    <col min="1286" max="1287" width="13.5" style="31" customWidth="1"/>
    <col min="1288" max="1288" width="24" style="31" bestFit="1" customWidth="1"/>
    <col min="1289" max="1292" width="12.5" style="31" customWidth="1"/>
    <col min="1293" max="1293" width="17.625" style="31" bestFit="1" customWidth="1"/>
    <col min="1294" max="1294" width="21.375" style="31" bestFit="1" customWidth="1"/>
    <col min="1295" max="1536" width="9.125" style="31"/>
    <col min="1537" max="1537" width="26.5" style="31" customWidth="1"/>
    <col min="1538" max="1538" width="15" style="31" customWidth="1"/>
    <col min="1539" max="1540" width="16.375" style="31" customWidth="1"/>
    <col min="1541" max="1541" width="31.625" style="31" bestFit="1" customWidth="1"/>
    <col min="1542" max="1543" width="13.5" style="31" customWidth="1"/>
    <col min="1544" max="1544" width="24" style="31" bestFit="1" customWidth="1"/>
    <col min="1545" max="1548" width="12.5" style="31" customWidth="1"/>
    <col min="1549" max="1549" width="17.625" style="31" bestFit="1" customWidth="1"/>
    <col min="1550" max="1550" width="21.375" style="31" bestFit="1" customWidth="1"/>
    <col min="1551" max="1792" width="9.125" style="31"/>
    <col min="1793" max="1793" width="26.5" style="31" customWidth="1"/>
    <col min="1794" max="1794" width="15" style="31" customWidth="1"/>
    <col min="1795" max="1796" width="16.375" style="31" customWidth="1"/>
    <col min="1797" max="1797" width="31.625" style="31" bestFit="1" customWidth="1"/>
    <col min="1798" max="1799" width="13.5" style="31" customWidth="1"/>
    <col min="1800" max="1800" width="24" style="31" bestFit="1" customWidth="1"/>
    <col min="1801" max="1804" width="12.5" style="31" customWidth="1"/>
    <col min="1805" max="1805" width="17.625" style="31" bestFit="1" customWidth="1"/>
    <col min="1806" max="1806" width="21.375" style="31" bestFit="1" customWidth="1"/>
    <col min="1807" max="2048" width="9.125" style="31"/>
    <col min="2049" max="2049" width="26.5" style="31" customWidth="1"/>
    <col min="2050" max="2050" width="15" style="31" customWidth="1"/>
    <col min="2051" max="2052" width="16.375" style="31" customWidth="1"/>
    <col min="2053" max="2053" width="31.625" style="31" bestFit="1" customWidth="1"/>
    <col min="2054" max="2055" width="13.5" style="31" customWidth="1"/>
    <col min="2056" max="2056" width="24" style="31" bestFit="1" customWidth="1"/>
    <col min="2057" max="2060" width="12.5" style="31" customWidth="1"/>
    <col min="2061" max="2061" width="17.625" style="31" bestFit="1" customWidth="1"/>
    <col min="2062" max="2062" width="21.375" style="31" bestFit="1" customWidth="1"/>
    <col min="2063" max="2304" width="9.125" style="31"/>
    <col min="2305" max="2305" width="26.5" style="31" customWidth="1"/>
    <col min="2306" max="2306" width="15" style="31" customWidth="1"/>
    <col min="2307" max="2308" width="16.375" style="31" customWidth="1"/>
    <col min="2309" max="2309" width="31.625" style="31" bestFit="1" customWidth="1"/>
    <col min="2310" max="2311" width="13.5" style="31" customWidth="1"/>
    <col min="2312" max="2312" width="24" style="31" bestFit="1" customWidth="1"/>
    <col min="2313" max="2316" width="12.5" style="31" customWidth="1"/>
    <col min="2317" max="2317" width="17.625" style="31" bestFit="1" customWidth="1"/>
    <col min="2318" max="2318" width="21.375" style="31" bestFit="1" customWidth="1"/>
    <col min="2319" max="2560" width="9.125" style="31"/>
    <col min="2561" max="2561" width="26.5" style="31" customWidth="1"/>
    <col min="2562" max="2562" width="15" style="31" customWidth="1"/>
    <col min="2563" max="2564" width="16.375" style="31" customWidth="1"/>
    <col min="2565" max="2565" width="31.625" style="31" bestFit="1" customWidth="1"/>
    <col min="2566" max="2567" width="13.5" style="31" customWidth="1"/>
    <col min="2568" max="2568" width="24" style="31" bestFit="1" customWidth="1"/>
    <col min="2569" max="2572" width="12.5" style="31" customWidth="1"/>
    <col min="2573" max="2573" width="17.625" style="31" bestFit="1" customWidth="1"/>
    <col min="2574" max="2574" width="21.375" style="31" bestFit="1" customWidth="1"/>
    <col min="2575" max="2816" width="9.125" style="31"/>
    <col min="2817" max="2817" width="26.5" style="31" customWidth="1"/>
    <col min="2818" max="2818" width="15" style="31" customWidth="1"/>
    <col min="2819" max="2820" width="16.375" style="31" customWidth="1"/>
    <col min="2821" max="2821" width="31.625" style="31" bestFit="1" customWidth="1"/>
    <col min="2822" max="2823" width="13.5" style="31" customWidth="1"/>
    <col min="2824" max="2824" width="24" style="31" bestFit="1" customWidth="1"/>
    <col min="2825" max="2828" width="12.5" style="31" customWidth="1"/>
    <col min="2829" max="2829" width="17.625" style="31" bestFit="1" customWidth="1"/>
    <col min="2830" max="2830" width="21.375" style="31" bestFit="1" customWidth="1"/>
    <col min="2831" max="3072" width="9.125" style="31"/>
    <col min="3073" max="3073" width="26.5" style="31" customWidth="1"/>
    <col min="3074" max="3074" width="15" style="31" customWidth="1"/>
    <col min="3075" max="3076" width="16.375" style="31" customWidth="1"/>
    <col min="3077" max="3077" width="31.625" style="31" bestFit="1" customWidth="1"/>
    <col min="3078" max="3079" width="13.5" style="31" customWidth="1"/>
    <col min="3080" max="3080" width="24" style="31" bestFit="1" customWidth="1"/>
    <col min="3081" max="3084" width="12.5" style="31" customWidth="1"/>
    <col min="3085" max="3085" width="17.625" style="31" bestFit="1" customWidth="1"/>
    <col min="3086" max="3086" width="21.375" style="31" bestFit="1" customWidth="1"/>
    <col min="3087" max="3328" width="9.125" style="31"/>
    <col min="3329" max="3329" width="26.5" style="31" customWidth="1"/>
    <col min="3330" max="3330" width="15" style="31" customWidth="1"/>
    <col min="3331" max="3332" width="16.375" style="31" customWidth="1"/>
    <col min="3333" max="3333" width="31.625" style="31" bestFit="1" customWidth="1"/>
    <col min="3334" max="3335" width="13.5" style="31" customWidth="1"/>
    <col min="3336" max="3336" width="24" style="31" bestFit="1" customWidth="1"/>
    <col min="3337" max="3340" width="12.5" style="31" customWidth="1"/>
    <col min="3341" max="3341" width="17.625" style="31" bestFit="1" customWidth="1"/>
    <col min="3342" max="3342" width="21.375" style="31" bestFit="1" customWidth="1"/>
    <col min="3343" max="3584" width="9.125" style="31"/>
    <col min="3585" max="3585" width="26.5" style="31" customWidth="1"/>
    <col min="3586" max="3586" width="15" style="31" customWidth="1"/>
    <col min="3587" max="3588" width="16.375" style="31" customWidth="1"/>
    <col min="3589" max="3589" width="31.625" style="31" bestFit="1" customWidth="1"/>
    <col min="3590" max="3591" width="13.5" style="31" customWidth="1"/>
    <col min="3592" max="3592" width="24" style="31" bestFit="1" customWidth="1"/>
    <col min="3593" max="3596" width="12.5" style="31" customWidth="1"/>
    <col min="3597" max="3597" width="17.625" style="31" bestFit="1" customWidth="1"/>
    <col min="3598" max="3598" width="21.375" style="31" bestFit="1" customWidth="1"/>
    <col min="3599" max="3840" width="9.125" style="31"/>
    <col min="3841" max="3841" width="26.5" style="31" customWidth="1"/>
    <col min="3842" max="3842" width="15" style="31" customWidth="1"/>
    <col min="3843" max="3844" width="16.375" style="31" customWidth="1"/>
    <col min="3845" max="3845" width="31.625" style="31" bestFit="1" customWidth="1"/>
    <col min="3846" max="3847" width="13.5" style="31" customWidth="1"/>
    <col min="3848" max="3848" width="24" style="31" bestFit="1" customWidth="1"/>
    <col min="3849" max="3852" width="12.5" style="31" customWidth="1"/>
    <col min="3853" max="3853" width="17.625" style="31" bestFit="1" customWidth="1"/>
    <col min="3854" max="3854" width="21.375" style="31" bestFit="1" customWidth="1"/>
    <col min="3855" max="4096" width="9.125" style="31"/>
    <col min="4097" max="4097" width="26.5" style="31" customWidth="1"/>
    <col min="4098" max="4098" width="15" style="31" customWidth="1"/>
    <col min="4099" max="4100" width="16.375" style="31" customWidth="1"/>
    <col min="4101" max="4101" width="31.625" style="31" bestFit="1" customWidth="1"/>
    <col min="4102" max="4103" width="13.5" style="31" customWidth="1"/>
    <col min="4104" max="4104" width="24" style="31" bestFit="1" customWidth="1"/>
    <col min="4105" max="4108" width="12.5" style="31" customWidth="1"/>
    <col min="4109" max="4109" width="17.625" style="31" bestFit="1" customWidth="1"/>
    <col min="4110" max="4110" width="21.375" style="31" bestFit="1" customWidth="1"/>
    <col min="4111" max="4352" width="9.125" style="31"/>
    <col min="4353" max="4353" width="26.5" style="31" customWidth="1"/>
    <col min="4354" max="4354" width="15" style="31" customWidth="1"/>
    <col min="4355" max="4356" width="16.375" style="31" customWidth="1"/>
    <col min="4357" max="4357" width="31.625" style="31" bestFit="1" customWidth="1"/>
    <col min="4358" max="4359" width="13.5" style="31" customWidth="1"/>
    <col min="4360" max="4360" width="24" style="31" bestFit="1" customWidth="1"/>
    <col min="4361" max="4364" width="12.5" style="31" customWidth="1"/>
    <col min="4365" max="4365" width="17.625" style="31" bestFit="1" customWidth="1"/>
    <col min="4366" max="4366" width="21.375" style="31" bestFit="1" customWidth="1"/>
    <col min="4367" max="4608" width="9.125" style="31"/>
    <col min="4609" max="4609" width="26.5" style="31" customWidth="1"/>
    <col min="4610" max="4610" width="15" style="31" customWidth="1"/>
    <col min="4611" max="4612" width="16.375" style="31" customWidth="1"/>
    <col min="4613" max="4613" width="31.625" style="31" bestFit="1" customWidth="1"/>
    <col min="4614" max="4615" width="13.5" style="31" customWidth="1"/>
    <col min="4616" max="4616" width="24" style="31" bestFit="1" customWidth="1"/>
    <col min="4617" max="4620" width="12.5" style="31" customWidth="1"/>
    <col min="4621" max="4621" width="17.625" style="31" bestFit="1" customWidth="1"/>
    <col min="4622" max="4622" width="21.375" style="31" bestFit="1" customWidth="1"/>
    <col min="4623" max="4864" width="9.125" style="31"/>
    <col min="4865" max="4865" width="26.5" style="31" customWidth="1"/>
    <col min="4866" max="4866" width="15" style="31" customWidth="1"/>
    <col min="4867" max="4868" width="16.375" style="31" customWidth="1"/>
    <col min="4869" max="4869" width="31.625" style="31" bestFit="1" customWidth="1"/>
    <col min="4870" max="4871" width="13.5" style="31" customWidth="1"/>
    <col min="4872" max="4872" width="24" style="31" bestFit="1" customWidth="1"/>
    <col min="4873" max="4876" width="12.5" style="31" customWidth="1"/>
    <col min="4877" max="4877" width="17.625" style="31" bestFit="1" customWidth="1"/>
    <col min="4878" max="4878" width="21.375" style="31" bestFit="1" customWidth="1"/>
    <col min="4879" max="5120" width="9.125" style="31"/>
    <col min="5121" max="5121" width="26.5" style="31" customWidth="1"/>
    <col min="5122" max="5122" width="15" style="31" customWidth="1"/>
    <col min="5123" max="5124" width="16.375" style="31" customWidth="1"/>
    <col min="5125" max="5125" width="31.625" style="31" bestFit="1" customWidth="1"/>
    <col min="5126" max="5127" width="13.5" style="31" customWidth="1"/>
    <col min="5128" max="5128" width="24" style="31" bestFit="1" customWidth="1"/>
    <col min="5129" max="5132" width="12.5" style="31" customWidth="1"/>
    <col min="5133" max="5133" width="17.625" style="31" bestFit="1" customWidth="1"/>
    <col min="5134" max="5134" width="21.375" style="31" bestFit="1" customWidth="1"/>
    <col min="5135" max="5376" width="9.125" style="31"/>
    <col min="5377" max="5377" width="26.5" style="31" customWidth="1"/>
    <col min="5378" max="5378" width="15" style="31" customWidth="1"/>
    <col min="5379" max="5380" width="16.375" style="31" customWidth="1"/>
    <col min="5381" max="5381" width="31.625" style="31" bestFit="1" customWidth="1"/>
    <col min="5382" max="5383" width="13.5" style="31" customWidth="1"/>
    <col min="5384" max="5384" width="24" style="31" bestFit="1" customWidth="1"/>
    <col min="5385" max="5388" width="12.5" style="31" customWidth="1"/>
    <col min="5389" max="5389" width="17.625" style="31" bestFit="1" customWidth="1"/>
    <col min="5390" max="5390" width="21.375" style="31" bestFit="1" customWidth="1"/>
    <col min="5391" max="5632" width="9.125" style="31"/>
    <col min="5633" max="5633" width="26.5" style="31" customWidth="1"/>
    <col min="5634" max="5634" width="15" style="31" customWidth="1"/>
    <col min="5635" max="5636" width="16.375" style="31" customWidth="1"/>
    <col min="5637" max="5637" width="31.625" style="31" bestFit="1" customWidth="1"/>
    <col min="5638" max="5639" width="13.5" style="31" customWidth="1"/>
    <col min="5640" max="5640" width="24" style="31" bestFit="1" customWidth="1"/>
    <col min="5641" max="5644" width="12.5" style="31" customWidth="1"/>
    <col min="5645" max="5645" width="17.625" style="31" bestFit="1" customWidth="1"/>
    <col min="5646" max="5646" width="21.375" style="31" bestFit="1" customWidth="1"/>
    <col min="5647" max="5888" width="9.125" style="31"/>
    <col min="5889" max="5889" width="26.5" style="31" customWidth="1"/>
    <col min="5890" max="5890" width="15" style="31" customWidth="1"/>
    <col min="5891" max="5892" width="16.375" style="31" customWidth="1"/>
    <col min="5893" max="5893" width="31.625" style="31" bestFit="1" customWidth="1"/>
    <col min="5894" max="5895" width="13.5" style="31" customWidth="1"/>
    <col min="5896" max="5896" width="24" style="31" bestFit="1" customWidth="1"/>
    <col min="5897" max="5900" width="12.5" style="31" customWidth="1"/>
    <col min="5901" max="5901" width="17.625" style="31" bestFit="1" customWidth="1"/>
    <col min="5902" max="5902" width="21.375" style="31" bestFit="1" customWidth="1"/>
    <col min="5903" max="6144" width="9.125" style="31"/>
    <col min="6145" max="6145" width="26.5" style="31" customWidth="1"/>
    <col min="6146" max="6146" width="15" style="31" customWidth="1"/>
    <col min="6147" max="6148" width="16.375" style="31" customWidth="1"/>
    <col min="6149" max="6149" width="31.625" style="31" bestFit="1" customWidth="1"/>
    <col min="6150" max="6151" width="13.5" style="31" customWidth="1"/>
    <col min="6152" max="6152" width="24" style="31" bestFit="1" customWidth="1"/>
    <col min="6153" max="6156" width="12.5" style="31" customWidth="1"/>
    <col min="6157" max="6157" width="17.625" style="31" bestFit="1" customWidth="1"/>
    <col min="6158" max="6158" width="21.375" style="31" bestFit="1" customWidth="1"/>
    <col min="6159" max="6400" width="9.125" style="31"/>
    <col min="6401" max="6401" width="26.5" style="31" customWidth="1"/>
    <col min="6402" max="6402" width="15" style="31" customWidth="1"/>
    <col min="6403" max="6404" width="16.375" style="31" customWidth="1"/>
    <col min="6405" max="6405" width="31.625" style="31" bestFit="1" customWidth="1"/>
    <col min="6406" max="6407" width="13.5" style="31" customWidth="1"/>
    <col min="6408" max="6408" width="24" style="31" bestFit="1" customWidth="1"/>
    <col min="6409" max="6412" width="12.5" style="31" customWidth="1"/>
    <col min="6413" max="6413" width="17.625" style="31" bestFit="1" customWidth="1"/>
    <col min="6414" max="6414" width="21.375" style="31" bestFit="1" customWidth="1"/>
    <col min="6415" max="6656" width="9.125" style="31"/>
    <col min="6657" max="6657" width="26.5" style="31" customWidth="1"/>
    <col min="6658" max="6658" width="15" style="31" customWidth="1"/>
    <col min="6659" max="6660" width="16.375" style="31" customWidth="1"/>
    <col min="6661" max="6661" width="31.625" style="31" bestFit="1" customWidth="1"/>
    <col min="6662" max="6663" width="13.5" style="31" customWidth="1"/>
    <col min="6664" max="6664" width="24" style="31" bestFit="1" customWidth="1"/>
    <col min="6665" max="6668" width="12.5" style="31" customWidth="1"/>
    <col min="6669" max="6669" width="17.625" style="31" bestFit="1" customWidth="1"/>
    <col min="6670" max="6670" width="21.375" style="31" bestFit="1" customWidth="1"/>
    <col min="6671" max="6912" width="9.125" style="31"/>
    <col min="6913" max="6913" width="26.5" style="31" customWidth="1"/>
    <col min="6914" max="6914" width="15" style="31" customWidth="1"/>
    <col min="6915" max="6916" width="16.375" style="31" customWidth="1"/>
    <col min="6917" max="6917" width="31.625" style="31" bestFit="1" customWidth="1"/>
    <col min="6918" max="6919" width="13.5" style="31" customWidth="1"/>
    <col min="6920" max="6920" width="24" style="31" bestFit="1" customWidth="1"/>
    <col min="6921" max="6924" width="12.5" style="31" customWidth="1"/>
    <col min="6925" max="6925" width="17.625" style="31" bestFit="1" customWidth="1"/>
    <col min="6926" max="6926" width="21.375" style="31" bestFit="1" customWidth="1"/>
    <col min="6927" max="7168" width="9.125" style="31"/>
    <col min="7169" max="7169" width="26.5" style="31" customWidth="1"/>
    <col min="7170" max="7170" width="15" style="31" customWidth="1"/>
    <col min="7171" max="7172" width="16.375" style="31" customWidth="1"/>
    <col min="7173" max="7173" width="31.625" style="31" bestFit="1" customWidth="1"/>
    <col min="7174" max="7175" width="13.5" style="31" customWidth="1"/>
    <col min="7176" max="7176" width="24" style="31" bestFit="1" customWidth="1"/>
    <col min="7177" max="7180" width="12.5" style="31" customWidth="1"/>
    <col min="7181" max="7181" width="17.625" style="31" bestFit="1" customWidth="1"/>
    <col min="7182" max="7182" width="21.375" style="31" bestFit="1" customWidth="1"/>
    <col min="7183" max="7424" width="9.125" style="31"/>
    <col min="7425" max="7425" width="26.5" style="31" customWidth="1"/>
    <col min="7426" max="7426" width="15" style="31" customWidth="1"/>
    <col min="7427" max="7428" width="16.375" style="31" customWidth="1"/>
    <col min="7429" max="7429" width="31.625" style="31" bestFit="1" customWidth="1"/>
    <col min="7430" max="7431" width="13.5" style="31" customWidth="1"/>
    <col min="7432" max="7432" width="24" style="31" bestFit="1" customWidth="1"/>
    <col min="7433" max="7436" width="12.5" style="31" customWidth="1"/>
    <col min="7437" max="7437" width="17.625" style="31" bestFit="1" customWidth="1"/>
    <col min="7438" max="7438" width="21.375" style="31" bestFit="1" customWidth="1"/>
    <col min="7439" max="7680" width="9.125" style="31"/>
    <col min="7681" max="7681" width="26.5" style="31" customWidth="1"/>
    <col min="7682" max="7682" width="15" style="31" customWidth="1"/>
    <col min="7683" max="7684" width="16.375" style="31" customWidth="1"/>
    <col min="7685" max="7685" width="31.625" style="31" bestFit="1" customWidth="1"/>
    <col min="7686" max="7687" width="13.5" style="31" customWidth="1"/>
    <col min="7688" max="7688" width="24" style="31" bestFit="1" customWidth="1"/>
    <col min="7689" max="7692" width="12.5" style="31" customWidth="1"/>
    <col min="7693" max="7693" width="17.625" style="31" bestFit="1" customWidth="1"/>
    <col min="7694" max="7694" width="21.375" style="31" bestFit="1" customWidth="1"/>
    <col min="7695" max="7936" width="9.125" style="31"/>
    <col min="7937" max="7937" width="26.5" style="31" customWidth="1"/>
    <col min="7938" max="7938" width="15" style="31" customWidth="1"/>
    <col min="7939" max="7940" width="16.375" style="31" customWidth="1"/>
    <col min="7941" max="7941" width="31.625" style="31" bestFit="1" customWidth="1"/>
    <col min="7942" max="7943" width="13.5" style="31" customWidth="1"/>
    <col min="7944" max="7944" width="24" style="31" bestFit="1" customWidth="1"/>
    <col min="7945" max="7948" width="12.5" style="31" customWidth="1"/>
    <col min="7949" max="7949" width="17.625" style="31" bestFit="1" customWidth="1"/>
    <col min="7950" max="7950" width="21.375" style="31" bestFit="1" customWidth="1"/>
    <col min="7951" max="8192" width="9.125" style="31"/>
    <col min="8193" max="8193" width="26.5" style="31" customWidth="1"/>
    <col min="8194" max="8194" width="15" style="31" customWidth="1"/>
    <col min="8195" max="8196" width="16.375" style="31" customWidth="1"/>
    <col min="8197" max="8197" width="31.625" style="31" bestFit="1" customWidth="1"/>
    <col min="8198" max="8199" width="13.5" style="31" customWidth="1"/>
    <col min="8200" max="8200" width="24" style="31" bestFit="1" customWidth="1"/>
    <col min="8201" max="8204" width="12.5" style="31" customWidth="1"/>
    <col min="8205" max="8205" width="17.625" style="31" bestFit="1" customWidth="1"/>
    <col min="8206" max="8206" width="21.375" style="31" bestFit="1" customWidth="1"/>
    <col min="8207" max="8448" width="9.125" style="31"/>
    <col min="8449" max="8449" width="26.5" style="31" customWidth="1"/>
    <col min="8450" max="8450" width="15" style="31" customWidth="1"/>
    <col min="8451" max="8452" width="16.375" style="31" customWidth="1"/>
    <col min="8453" max="8453" width="31.625" style="31" bestFit="1" customWidth="1"/>
    <col min="8454" max="8455" width="13.5" style="31" customWidth="1"/>
    <col min="8456" max="8456" width="24" style="31" bestFit="1" customWidth="1"/>
    <col min="8457" max="8460" width="12.5" style="31" customWidth="1"/>
    <col min="8461" max="8461" width="17.625" style="31" bestFit="1" customWidth="1"/>
    <col min="8462" max="8462" width="21.375" style="31" bestFit="1" customWidth="1"/>
    <col min="8463" max="8704" width="9.125" style="31"/>
    <col min="8705" max="8705" width="26.5" style="31" customWidth="1"/>
    <col min="8706" max="8706" width="15" style="31" customWidth="1"/>
    <col min="8707" max="8708" width="16.375" style="31" customWidth="1"/>
    <col min="8709" max="8709" width="31.625" style="31" bestFit="1" customWidth="1"/>
    <col min="8710" max="8711" width="13.5" style="31" customWidth="1"/>
    <col min="8712" max="8712" width="24" style="31" bestFit="1" customWidth="1"/>
    <col min="8713" max="8716" width="12.5" style="31" customWidth="1"/>
    <col min="8717" max="8717" width="17.625" style="31" bestFit="1" customWidth="1"/>
    <col min="8718" max="8718" width="21.375" style="31" bestFit="1" customWidth="1"/>
    <col min="8719" max="8960" width="9.125" style="31"/>
    <col min="8961" max="8961" width="26.5" style="31" customWidth="1"/>
    <col min="8962" max="8962" width="15" style="31" customWidth="1"/>
    <col min="8963" max="8964" width="16.375" style="31" customWidth="1"/>
    <col min="8965" max="8965" width="31.625" style="31" bestFit="1" customWidth="1"/>
    <col min="8966" max="8967" width="13.5" style="31" customWidth="1"/>
    <col min="8968" max="8968" width="24" style="31" bestFit="1" customWidth="1"/>
    <col min="8969" max="8972" width="12.5" style="31" customWidth="1"/>
    <col min="8973" max="8973" width="17.625" style="31" bestFit="1" customWidth="1"/>
    <col min="8974" max="8974" width="21.375" style="31" bestFit="1" customWidth="1"/>
    <col min="8975" max="9216" width="9.125" style="31"/>
    <col min="9217" max="9217" width="26.5" style="31" customWidth="1"/>
    <col min="9218" max="9218" width="15" style="31" customWidth="1"/>
    <col min="9219" max="9220" width="16.375" style="31" customWidth="1"/>
    <col min="9221" max="9221" width="31.625" style="31" bestFit="1" customWidth="1"/>
    <col min="9222" max="9223" width="13.5" style="31" customWidth="1"/>
    <col min="9224" max="9224" width="24" style="31" bestFit="1" customWidth="1"/>
    <col min="9225" max="9228" width="12.5" style="31" customWidth="1"/>
    <col min="9229" max="9229" width="17.625" style="31" bestFit="1" customWidth="1"/>
    <col min="9230" max="9230" width="21.375" style="31" bestFit="1" customWidth="1"/>
    <col min="9231" max="9472" width="9.125" style="31"/>
    <col min="9473" max="9473" width="26.5" style="31" customWidth="1"/>
    <col min="9474" max="9474" width="15" style="31" customWidth="1"/>
    <col min="9475" max="9476" width="16.375" style="31" customWidth="1"/>
    <col min="9477" max="9477" width="31.625" style="31" bestFit="1" customWidth="1"/>
    <col min="9478" max="9479" width="13.5" style="31" customWidth="1"/>
    <col min="9480" max="9480" width="24" style="31" bestFit="1" customWidth="1"/>
    <col min="9481" max="9484" width="12.5" style="31" customWidth="1"/>
    <col min="9485" max="9485" width="17.625" style="31" bestFit="1" customWidth="1"/>
    <col min="9486" max="9486" width="21.375" style="31" bestFit="1" customWidth="1"/>
    <col min="9487" max="9728" width="9.125" style="31"/>
    <col min="9729" max="9729" width="26.5" style="31" customWidth="1"/>
    <col min="9730" max="9730" width="15" style="31" customWidth="1"/>
    <col min="9731" max="9732" width="16.375" style="31" customWidth="1"/>
    <col min="9733" max="9733" width="31.625" style="31" bestFit="1" customWidth="1"/>
    <col min="9734" max="9735" width="13.5" style="31" customWidth="1"/>
    <col min="9736" max="9736" width="24" style="31" bestFit="1" customWidth="1"/>
    <col min="9737" max="9740" width="12.5" style="31" customWidth="1"/>
    <col min="9741" max="9741" width="17.625" style="31" bestFit="1" customWidth="1"/>
    <col min="9742" max="9742" width="21.375" style="31" bestFit="1" customWidth="1"/>
    <col min="9743" max="9984" width="9.125" style="31"/>
    <col min="9985" max="9985" width="26.5" style="31" customWidth="1"/>
    <col min="9986" max="9986" width="15" style="31" customWidth="1"/>
    <col min="9987" max="9988" width="16.375" style="31" customWidth="1"/>
    <col min="9989" max="9989" width="31.625" style="31" bestFit="1" customWidth="1"/>
    <col min="9990" max="9991" width="13.5" style="31" customWidth="1"/>
    <col min="9992" max="9992" width="24" style="31" bestFit="1" customWidth="1"/>
    <col min="9993" max="9996" width="12.5" style="31" customWidth="1"/>
    <col min="9997" max="9997" width="17.625" style="31" bestFit="1" customWidth="1"/>
    <col min="9998" max="9998" width="21.375" style="31" bestFit="1" customWidth="1"/>
    <col min="9999" max="10240" width="9.125" style="31"/>
    <col min="10241" max="10241" width="26.5" style="31" customWidth="1"/>
    <col min="10242" max="10242" width="15" style="31" customWidth="1"/>
    <col min="10243" max="10244" width="16.375" style="31" customWidth="1"/>
    <col min="10245" max="10245" width="31.625" style="31" bestFit="1" customWidth="1"/>
    <col min="10246" max="10247" width="13.5" style="31" customWidth="1"/>
    <col min="10248" max="10248" width="24" style="31" bestFit="1" customWidth="1"/>
    <col min="10249" max="10252" width="12.5" style="31" customWidth="1"/>
    <col min="10253" max="10253" width="17.625" style="31" bestFit="1" customWidth="1"/>
    <col min="10254" max="10254" width="21.375" style="31" bestFit="1" customWidth="1"/>
    <col min="10255" max="10496" width="9.125" style="31"/>
    <col min="10497" max="10497" width="26.5" style="31" customWidth="1"/>
    <col min="10498" max="10498" width="15" style="31" customWidth="1"/>
    <col min="10499" max="10500" width="16.375" style="31" customWidth="1"/>
    <col min="10501" max="10501" width="31.625" style="31" bestFit="1" customWidth="1"/>
    <col min="10502" max="10503" width="13.5" style="31" customWidth="1"/>
    <col min="10504" max="10504" width="24" style="31" bestFit="1" customWidth="1"/>
    <col min="10505" max="10508" width="12.5" style="31" customWidth="1"/>
    <col min="10509" max="10509" width="17.625" style="31" bestFit="1" customWidth="1"/>
    <col min="10510" max="10510" width="21.375" style="31" bestFit="1" customWidth="1"/>
    <col min="10511" max="10752" width="9.125" style="31"/>
    <col min="10753" max="10753" width="26.5" style="31" customWidth="1"/>
    <col min="10754" max="10754" width="15" style="31" customWidth="1"/>
    <col min="10755" max="10756" width="16.375" style="31" customWidth="1"/>
    <col min="10757" max="10757" width="31.625" style="31" bestFit="1" customWidth="1"/>
    <col min="10758" max="10759" width="13.5" style="31" customWidth="1"/>
    <col min="10760" max="10760" width="24" style="31" bestFit="1" customWidth="1"/>
    <col min="10761" max="10764" width="12.5" style="31" customWidth="1"/>
    <col min="10765" max="10765" width="17.625" style="31" bestFit="1" customWidth="1"/>
    <col min="10766" max="10766" width="21.375" style="31" bestFit="1" customWidth="1"/>
    <col min="10767" max="11008" width="9.125" style="31"/>
    <col min="11009" max="11009" width="26.5" style="31" customWidth="1"/>
    <col min="11010" max="11010" width="15" style="31" customWidth="1"/>
    <col min="11011" max="11012" width="16.375" style="31" customWidth="1"/>
    <col min="11013" max="11013" width="31.625" style="31" bestFit="1" customWidth="1"/>
    <col min="11014" max="11015" width="13.5" style="31" customWidth="1"/>
    <col min="11016" max="11016" width="24" style="31" bestFit="1" customWidth="1"/>
    <col min="11017" max="11020" width="12.5" style="31" customWidth="1"/>
    <col min="11021" max="11021" width="17.625" style="31" bestFit="1" customWidth="1"/>
    <col min="11022" max="11022" width="21.375" style="31" bestFit="1" customWidth="1"/>
    <col min="11023" max="11264" width="9.125" style="31"/>
    <col min="11265" max="11265" width="26.5" style="31" customWidth="1"/>
    <col min="11266" max="11266" width="15" style="31" customWidth="1"/>
    <col min="11267" max="11268" width="16.375" style="31" customWidth="1"/>
    <col min="11269" max="11269" width="31.625" style="31" bestFit="1" customWidth="1"/>
    <col min="11270" max="11271" width="13.5" style="31" customWidth="1"/>
    <col min="11272" max="11272" width="24" style="31" bestFit="1" customWidth="1"/>
    <col min="11273" max="11276" width="12.5" style="31" customWidth="1"/>
    <col min="11277" max="11277" width="17.625" style="31" bestFit="1" customWidth="1"/>
    <col min="11278" max="11278" width="21.375" style="31" bestFit="1" customWidth="1"/>
    <col min="11279" max="11520" width="9.125" style="31"/>
    <col min="11521" max="11521" width="26.5" style="31" customWidth="1"/>
    <col min="11522" max="11522" width="15" style="31" customWidth="1"/>
    <col min="11523" max="11524" width="16.375" style="31" customWidth="1"/>
    <col min="11525" max="11525" width="31.625" style="31" bestFit="1" customWidth="1"/>
    <col min="11526" max="11527" width="13.5" style="31" customWidth="1"/>
    <col min="11528" max="11528" width="24" style="31" bestFit="1" customWidth="1"/>
    <col min="11529" max="11532" width="12.5" style="31" customWidth="1"/>
    <col min="11533" max="11533" width="17.625" style="31" bestFit="1" customWidth="1"/>
    <col min="11534" max="11534" width="21.375" style="31" bestFit="1" customWidth="1"/>
    <col min="11535" max="11776" width="9.125" style="31"/>
    <col min="11777" max="11777" width="26.5" style="31" customWidth="1"/>
    <col min="11778" max="11778" width="15" style="31" customWidth="1"/>
    <col min="11779" max="11780" width="16.375" style="31" customWidth="1"/>
    <col min="11781" max="11781" width="31.625" style="31" bestFit="1" customWidth="1"/>
    <col min="11782" max="11783" width="13.5" style="31" customWidth="1"/>
    <col min="11784" max="11784" width="24" style="31" bestFit="1" customWidth="1"/>
    <col min="11785" max="11788" width="12.5" style="31" customWidth="1"/>
    <col min="11789" max="11789" width="17.625" style="31" bestFit="1" customWidth="1"/>
    <col min="11790" max="11790" width="21.375" style="31" bestFit="1" customWidth="1"/>
    <col min="11791" max="12032" width="9.125" style="31"/>
    <col min="12033" max="12033" width="26.5" style="31" customWidth="1"/>
    <col min="12034" max="12034" width="15" style="31" customWidth="1"/>
    <col min="12035" max="12036" width="16.375" style="31" customWidth="1"/>
    <col min="12037" max="12037" width="31.625" style="31" bestFit="1" customWidth="1"/>
    <col min="12038" max="12039" width="13.5" style="31" customWidth="1"/>
    <col min="12040" max="12040" width="24" style="31" bestFit="1" customWidth="1"/>
    <col min="12041" max="12044" width="12.5" style="31" customWidth="1"/>
    <col min="12045" max="12045" width="17.625" style="31" bestFit="1" customWidth="1"/>
    <col min="12046" max="12046" width="21.375" style="31" bestFit="1" customWidth="1"/>
    <col min="12047" max="12288" width="9.125" style="31"/>
    <col min="12289" max="12289" width="26.5" style="31" customWidth="1"/>
    <col min="12290" max="12290" width="15" style="31" customWidth="1"/>
    <col min="12291" max="12292" width="16.375" style="31" customWidth="1"/>
    <col min="12293" max="12293" width="31.625" style="31" bestFit="1" customWidth="1"/>
    <col min="12294" max="12295" width="13.5" style="31" customWidth="1"/>
    <col min="12296" max="12296" width="24" style="31" bestFit="1" customWidth="1"/>
    <col min="12297" max="12300" width="12.5" style="31" customWidth="1"/>
    <col min="12301" max="12301" width="17.625" style="31" bestFit="1" customWidth="1"/>
    <col min="12302" max="12302" width="21.375" style="31" bestFit="1" customWidth="1"/>
    <col min="12303" max="12544" width="9.125" style="31"/>
    <col min="12545" max="12545" width="26.5" style="31" customWidth="1"/>
    <col min="12546" max="12546" width="15" style="31" customWidth="1"/>
    <col min="12547" max="12548" width="16.375" style="31" customWidth="1"/>
    <col min="12549" max="12549" width="31.625" style="31" bestFit="1" customWidth="1"/>
    <col min="12550" max="12551" width="13.5" style="31" customWidth="1"/>
    <col min="12552" max="12552" width="24" style="31" bestFit="1" customWidth="1"/>
    <col min="12553" max="12556" width="12.5" style="31" customWidth="1"/>
    <col min="12557" max="12557" width="17.625" style="31" bestFit="1" customWidth="1"/>
    <col min="12558" max="12558" width="21.375" style="31" bestFit="1" customWidth="1"/>
    <col min="12559" max="12800" width="9.125" style="31"/>
    <col min="12801" max="12801" width="26.5" style="31" customWidth="1"/>
    <col min="12802" max="12802" width="15" style="31" customWidth="1"/>
    <col min="12803" max="12804" width="16.375" style="31" customWidth="1"/>
    <col min="12805" max="12805" width="31.625" style="31" bestFit="1" customWidth="1"/>
    <col min="12806" max="12807" width="13.5" style="31" customWidth="1"/>
    <col min="12808" max="12808" width="24" style="31" bestFit="1" customWidth="1"/>
    <col min="12809" max="12812" width="12.5" style="31" customWidth="1"/>
    <col min="12813" max="12813" width="17.625" style="31" bestFit="1" customWidth="1"/>
    <col min="12814" max="12814" width="21.375" style="31" bestFit="1" customWidth="1"/>
    <col min="12815" max="13056" width="9.125" style="31"/>
    <col min="13057" max="13057" width="26.5" style="31" customWidth="1"/>
    <col min="13058" max="13058" width="15" style="31" customWidth="1"/>
    <col min="13059" max="13060" width="16.375" style="31" customWidth="1"/>
    <col min="13061" max="13061" width="31.625" style="31" bestFit="1" customWidth="1"/>
    <col min="13062" max="13063" width="13.5" style="31" customWidth="1"/>
    <col min="13064" max="13064" width="24" style="31" bestFit="1" customWidth="1"/>
    <col min="13065" max="13068" width="12.5" style="31" customWidth="1"/>
    <col min="13069" max="13069" width="17.625" style="31" bestFit="1" customWidth="1"/>
    <col min="13070" max="13070" width="21.375" style="31" bestFit="1" customWidth="1"/>
    <col min="13071" max="13312" width="9.125" style="31"/>
    <col min="13313" max="13313" width="26.5" style="31" customWidth="1"/>
    <col min="13314" max="13314" width="15" style="31" customWidth="1"/>
    <col min="13315" max="13316" width="16.375" style="31" customWidth="1"/>
    <col min="13317" max="13317" width="31.625" style="31" bestFit="1" customWidth="1"/>
    <col min="13318" max="13319" width="13.5" style="31" customWidth="1"/>
    <col min="13320" max="13320" width="24" style="31" bestFit="1" customWidth="1"/>
    <col min="13321" max="13324" width="12.5" style="31" customWidth="1"/>
    <col min="13325" max="13325" width="17.625" style="31" bestFit="1" customWidth="1"/>
    <col min="13326" max="13326" width="21.375" style="31" bestFit="1" customWidth="1"/>
    <col min="13327" max="13568" width="9.125" style="31"/>
    <col min="13569" max="13569" width="26.5" style="31" customWidth="1"/>
    <col min="13570" max="13570" width="15" style="31" customWidth="1"/>
    <col min="13571" max="13572" width="16.375" style="31" customWidth="1"/>
    <col min="13573" max="13573" width="31.625" style="31" bestFit="1" customWidth="1"/>
    <col min="13574" max="13575" width="13.5" style="31" customWidth="1"/>
    <col min="13576" max="13576" width="24" style="31" bestFit="1" customWidth="1"/>
    <col min="13577" max="13580" width="12.5" style="31" customWidth="1"/>
    <col min="13581" max="13581" width="17.625" style="31" bestFit="1" customWidth="1"/>
    <col min="13582" max="13582" width="21.375" style="31" bestFit="1" customWidth="1"/>
    <col min="13583" max="13824" width="9.125" style="31"/>
    <col min="13825" max="13825" width="26.5" style="31" customWidth="1"/>
    <col min="13826" max="13826" width="15" style="31" customWidth="1"/>
    <col min="13827" max="13828" width="16.375" style="31" customWidth="1"/>
    <col min="13829" max="13829" width="31.625" style="31" bestFit="1" customWidth="1"/>
    <col min="13830" max="13831" width="13.5" style="31" customWidth="1"/>
    <col min="13832" max="13832" width="24" style="31" bestFit="1" customWidth="1"/>
    <col min="13833" max="13836" width="12.5" style="31" customWidth="1"/>
    <col min="13837" max="13837" width="17.625" style="31" bestFit="1" customWidth="1"/>
    <col min="13838" max="13838" width="21.375" style="31" bestFit="1" customWidth="1"/>
    <col min="13839" max="14080" width="9.125" style="31"/>
    <col min="14081" max="14081" width="26.5" style="31" customWidth="1"/>
    <col min="14082" max="14082" width="15" style="31" customWidth="1"/>
    <col min="14083" max="14084" width="16.375" style="31" customWidth="1"/>
    <col min="14085" max="14085" width="31.625" style="31" bestFit="1" customWidth="1"/>
    <col min="14086" max="14087" width="13.5" style="31" customWidth="1"/>
    <col min="14088" max="14088" width="24" style="31" bestFit="1" customWidth="1"/>
    <col min="14089" max="14092" width="12.5" style="31" customWidth="1"/>
    <col min="14093" max="14093" width="17.625" style="31" bestFit="1" customWidth="1"/>
    <col min="14094" max="14094" width="21.375" style="31" bestFit="1" customWidth="1"/>
    <col min="14095" max="14336" width="9.125" style="31"/>
    <col min="14337" max="14337" width="26.5" style="31" customWidth="1"/>
    <col min="14338" max="14338" width="15" style="31" customWidth="1"/>
    <col min="14339" max="14340" width="16.375" style="31" customWidth="1"/>
    <col min="14341" max="14341" width="31.625" style="31" bestFit="1" customWidth="1"/>
    <col min="14342" max="14343" width="13.5" style="31" customWidth="1"/>
    <col min="14344" max="14344" width="24" style="31" bestFit="1" customWidth="1"/>
    <col min="14345" max="14348" width="12.5" style="31" customWidth="1"/>
    <col min="14349" max="14349" width="17.625" style="31" bestFit="1" customWidth="1"/>
    <col min="14350" max="14350" width="21.375" style="31" bestFit="1" customWidth="1"/>
    <col min="14351" max="14592" width="9.125" style="31"/>
    <col min="14593" max="14593" width="26.5" style="31" customWidth="1"/>
    <col min="14594" max="14594" width="15" style="31" customWidth="1"/>
    <col min="14595" max="14596" width="16.375" style="31" customWidth="1"/>
    <col min="14597" max="14597" width="31.625" style="31" bestFit="1" customWidth="1"/>
    <col min="14598" max="14599" width="13.5" style="31" customWidth="1"/>
    <col min="14600" max="14600" width="24" style="31" bestFit="1" customWidth="1"/>
    <col min="14601" max="14604" width="12.5" style="31" customWidth="1"/>
    <col min="14605" max="14605" width="17.625" style="31" bestFit="1" customWidth="1"/>
    <col min="14606" max="14606" width="21.375" style="31" bestFit="1" customWidth="1"/>
    <col min="14607" max="14848" width="9.125" style="31"/>
    <col min="14849" max="14849" width="26.5" style="31" customWidth="1"/>
    <col min="14850" max="14850" width="15" style="31" customWidth="1"/>
    <col min="14851" max="14852" width="16.375" style="31" customWidth="1"/>
    <col min="14853" max="14853" width="31.625" style="31" bestFit="1" customWidth="1"/>
    <col min="14854" max="14855" width="13.5" style="31" customWidth="1"/>
    <col min="14856" max="14856" width="24" style="31" bestFit="1" customWidth="1"/>
    <col min="14857" max="14860" width="12.5" style="31" customWidth="1"/>
    <col min="14861" max="14861" width="17.625" style="31" bestFit="1" customWidth="1"/>
    <col min="14862" max="14862" width="21.375" style="31" bestFit="1" customWidth="1"/>
    <col min="14863" max="15104" width="9.125" style="31"/>
    <col min="15105" max="15105" width="26.5" style="31" customWidth="1"/>
    <col min="15106" max="15106" width="15" style="31" customWidth="1"/>
    <col min="15107" max="15108" width="16.375" style="31" customWidth="1"/>
    <col min="15109" max="15109" width="31.625" style="31" bestFit="1" customWidth="1"/>
    <col min="15110" max="15111" width="13.5" style="31" customWidth="1"/>
    <col min="15112" max="15112" width="24" style="31" bestFit="1" customWidth="1"/>
    <col min="15113" max="15116" width="12.5" style="31" customWidth="1"/>
    <col min="15117" max="15117" width="17.625" style="31" bestFit="1" customWidth="1"/>
    <col min="15118" max="15118" width="21.375" style="31" bestFit="1" customWidth="1"/>
    <col min="15119" max="15360" width="9.125" style="31"/>
    <col min="15361" max="15361" width="26.5" style="31" customWidth="1"/>
    <col min="15362" max="15362" width="15" style="31" customWidth="1"/>
    <col min="15363" max="15364" width="16.375" style="31" customWidth="1"/>
    <col min="15365" max="15365" width="31.625" style="31" bestFit="1" customWidth="1"/>
    <col min="15366" max="15367" width="13.5" style="31" customWidth="1"/>
    <col min="15368" max="15368" width="24" style="31" bestFit="1" customWidth="1"/>
    <col min="15369" max="15372" width="12.5" style="31" customWidth="1"/>
    <col min="15373" max="15373" width="17.625" style="31" bestFit="1" customWidth="1"/>
    <col min="15374" max="15374" width="21.375" style="31" bestFit="1" customWidth="1"/>
    <col min="15375" max="15616" width="9.125" style="31"/>
    <col min="15617" max="15617" width="26.5" style="31" customWidth="1"/>
    <col min="15618" max="15618" width="15" style="31" customWidth="1"/>
    <col min="15619" max="15620" width="16.375" style="31" customWidth="1"/>
    <col min="15621" max="15621" width="31.625" style="31" bestFit="1" customWidth="1"/>
    <col min="15622" max="15623" width="13.5" style="31" customWidth="1"/>
    <col min="15624" max="15624" width="24" style="31" bestFit="1" customWidth="1"/>
    <col min="15625" max="15628" width="12.5" style="31" customWidth="1"/>
    <col min="15629" max="15629" width="17.625" style="31" bestFit="1" customWidth="1"/>
    <col min="15630" max="15630" width="21.375" style="31" bestFit="1" customWidth="1"/>
    <col min="15631" max="15872" width="9.125" style="31"/>
    <col min="15873" max="15873" width="26.5" style="31" customWidth="1"/>
    <col min="15874" max="15874" width="15" style="31" customWidth="1"/>
    <col min="15875" max="15876" width="16.375" style="31" customWidth="1"/>
    <col min="15877" max="15877" width="31.625" style="31" bestFit="1" customWidth="1"/>
    <col min="15878" max="15879" width="13.5" style="31" customWidth="1"/>
    <col min="15880" max="15880" width="24" style="31" bestFit="1" customWidth="1"/>
    <col min="15881" max="15884" width="12.5" style="31" customWidth="1"/>
    <col min="15885" max="15885" width="17.625" style="31" bestFit="1" customWidth="1"/>
    <col min="15886" max="15886" width="21.375" style="31" bestFit="1" customWidth="1"/>
    <col min="15887" max="16128" width="9.125" style="31"/>
    <col min="16129" max="16129" width="26.5" style="31" customWidth="1"/>
    <col min="16130" max="16130" width="15" style="31" customWidth="1"/>
    <col min="16131" max="16132" width="16.375" style="31" customWidth="1"/>
    <col min="16133" max="16133" width="31.625" style="31" bestFit="1" customWidth="1"/>
    <col min="16134" max="16135" width="13.5" style="31" customWidth="1"/>
    <col min="16136" max="16136" width="24" style="31" bestFit="1" customWidth="1"/>
    <col min="16137" max="16140" width="12.5" style="31" customWidth="1"/>
    <col min="16141" max="16141" width="17.625" style="31" bestFit="1" customWidth="1"/>
    <col min="16142" max="16142" width="21.375" style="31" bestFit="1" customWidth="1"/>
    <col min="16143" max="16384" width="9.125" style="31"/>
  </cols>
  <sheetData>
    <row r="1" spans="1:14" ht="16.5" customHeight="1">
      <c r="A1" s="96" t="s">
        <v>124</v>
      </c>
      <c r="B1" s="96" t="s">
        <v>125</v>
      </c>
      <c r="C1" s="94" t="s">
        <v>126</v>
      </c>
      <c r="D1" s="96" t="s">
        <v>127</v>
      </c>
      <c r="E1" s="96" t="s">
        <v>128</v>
      </c>
      <c r="F1" s="96" t="s">
        <v>129</v>
      </c>
      <c r="G1" s="96" t="s">
        <v>130</v>
      </c>
      <c r="H1" s="96" t="s">
        <v>131</v>
      </c>
      <c r="I1" s="96" t="s">
        <v>132</v>
      </c>
      <c r="J1" s="96" t="s">
        <v>133</v>
      </c>
      <c r="K1" s="96" t="s">
        <v>134</v>
      </c>
      <c r="L1" s="94" t="s">
        <v>135</v>
      </c>
      <c r="M1" s="94" t="s">
        <v>136</v>
      </c>
      <c r="N1" s="96" t="s">
        <v>137</v>
      </c>
    </row>
    <row r="2" spans="1:14" ht="15.75" customHeight="1">
      <c r="A2" s="96"/>
      <c r="B2" s="96"/>
      <c r="C2" s="95"/>
      <c r="D2" s="96"/>
      <c r="E2" s="96"/>
      <c r="F2" s="96"/>
      <c r="G2" s="96"/>
      <c r="H2" s="96"/>
      <c r="I2" s="96"/>
      <c r="J2" s="96"/>
      <c r="K2" s="96"/>
      <c r="L2" s="95"/>
      <c r="M2" s="95"/>
      <c r="N2" s="96"/>
    </row>
    <row r="3" spans="1:14" ht="16.5" customHeight="1">
      <c r="A3" s="32" t="s">
        <v>138</v>
      </c>
      <c r="B3" s="32" t="s">
        <v>139</v>
      </c>
      <c r="C3" s="32" t="s">
        <v>140</v>
      </c>
      <c r="D3" s="32" t="s">
        <v>141</v>
      </c>
      <c r="E3" s="32" t="s">
        <v>142</v>
      </c>
      <c r="F3" s="32">
        <v>74418</v>
      </c>
      <c r="G3" s="32" t="s">
        <v>143</v>
      </c>
      <c r="H3" s="32" t="s">
        <v>144</v>
      </c>
      <c r="I3" s="33" t="s">
        <v>145</v>
      </c>
      <c r="J3" s="33" t="s">
        <v>146</v>
      </c>
      <c r="K3" s="33" t="s">
        <v>147</v>
      </c>
      <c r="L3" s="34">
        <v>75</v>
      </c>
      <c r="M3" s="34">
        <v>19.600000000000001</v>
      </c>
      <c r="N3" s="34">
        <v>20.100000000000001</v>
      </c>
    </row>
    <row r="4" spans="1:14" ht="16.5" customHeight="1">
      <c r="A4" s="32" t="s">
        <v>138</v>
      </c>
      <c r="B4" s="32" t="s">
        <v>139</v>
      </c>
      <c r="C4" s="32" t="s">
        <v>140</v>
      </c>
      <c r="D4" s="32" t="s">
        <v>141</v>
      </c>
      <c r="E4" s="32" t="s">
        <v>142</v>
      </c>
      <c r="F4" s="32">
        <v>74418</v>
      </c>
      <c r="G4" s="32" t="s">
        <v>143</v>
      </c>
      <c r="H4" s="32" t="s">
        <v>144</v>
      </c>
      <c r="I4" s="33" t="s">
        <v>145</v>
      </c>
      <c r="J4" s="33" t="s">
        <v>148</v>
      </c>
      <c r="K4" s="33" t="s">
        <v>149</v>
      </c>
      <c r="L4" s="34">
        <v>83</v>
      </c>
      <c r="M4" s="34">
        <v>21.5</v>
      </c>
      <c r="N4" s="34">
        <v>22</v>
      </c>
    </row>
    <row r="5" spans="1:14" ht="16.5" customHeight="1">
      <c r="A5" s="32" t="s">
        <v>138</v>
      </c>
      <c r="B5" s="32" t="s">
        <v>139</v>
      </c>
      <c r="C5" s="32" t="s">
        <v>140</v>
      </c>
      <c r="D5" s="32" t="s">
        <v>141</v>
      </c>
      <c r="E5" s="32" t="s">
        <v>142</v>
      </c>
      <c r="F5" s="32">
        <v>74418</v>
      </c>
      <c r="G5" s="32" t="s">
        <v>143</v>
      </c>
      <c r="H5" s="32" t="s">
        <v>144</v>
      </c>
      <c r="I5" s="33" t="s">
        <v>145</v>
      </c>
      <c r="J5" s="33" t="s">
        <v>150</v>
      </c>
      <c r="K5" s="33" t="s">
        <v>151</v>
      </c>
      <c r="L5" s="34">
        <v>82</v>
      </c>
      <c r="M5" s="34">
        <v>21.3</v>
      </c>
      <c r="N5" s="34">
        <v>21.8</v>
      </c>
    </row>
    <row r="6" spans="1:14" ht="16.5" customHeight="1">
      <c r="A6" s="32" t="s">
        <v>138</v>
      </c>
      <c r="B6" s="32" t="s">
        <v>139</v>
      </c>
      <c r="C6" s="32" t="s">
        <v>140</v>
      </c>
      <c r="D6" s="32" t="s">
        <v>141</v>
      </c>
      <c r="E6" s="32" t="s">
        <v>142</v>
      </c>
      <c r="F6" s="32">
        <v>74418</v>
      </c>
      <c r="G6" s="32" t="s">
        <v>143</v>
      </c>
      <c r="H6" s="32" t="s">
        <v>144</v>
      </c>
      <c r="I6" s="33" t="s">
        <v>145</v>
      </c>
      <c r="J6" s="33" t="s">
        <v>152</v>
      </c>
      <c r="K6" s="33" t="s">
        <v>153</v>
      </c>
      <c r="L6" s="34">
        <v>83</v>
      </c>
      <c r="M6" s="34">
        <v>21.5</v>
      </c>
      <c r="N6" s="34">
        <v>22</v>
      </c>
    </row>
    <row r="7" spans="1:14" ht="16.5" customHeight="1">
      <c r="A7" s="32" t="s">
        <v>138</v>
      </c>
      <c r="B7" s="32" t="s">
        <v>139</v>
      </c>
      <c r="C7" s="32" t="s">
        <v>140</v>
      </c>
      <c r="D7" s="32" t="s">
        <v>141</v>
      </c>
      <c r="E7" s="32" t="s">
        <v>142</v>
      </c>
      <c r="F7" s="32">
        <v>74418</v>
      </c>
      <c r="G7" s="32" t="s">
        <v>143</v>
      </c>
      <c r="H7" s="32" t="s">
        <v>144</v>
      </c>
      <c r="I7" s="33" t="s">
        <v>145</v>
      </c>
      <c r="J7" s="33" t="s">
        <v>154</v>
      </c>
      <c r="K7" s="33" t="s">
        <v>155</v>
      </c>
      <c r="L7" s="34">
        <v>82</v>
      </c>
      <c r="M7" s="34">
        <v>21.3</v>
      </c>
      <c r="N7" s="34">
        <v>21.8</v>
      </c>
    </row>
    <row r="8" spans="1:14" ht="16.5" customHeight="1">
      <c r="A8" s="32" t="s">
        <v>138</v>
      </c>
      <c r="B8" s="32" t="s">
        <v>139</v>
      </c>
      <c r="C8" s="32" t="s">
        <v>140</v>
      </c>
      <c r="D8" s="32" t="s">
        <v>141</v>
      </c>
      <c r="E8" s="32" t="s">
        <v>142</v>
      </c>
      <c r="F8" s="32">
        <v>74418</v>
      </c>
      <c r="G8" s="32" t="s">
        <v>156</v>
      </c>
      <c r="H8" s="32" t="s">
        <v>157</v>
      </c>
      <c r="I8" s="33" t="s">
        <v>158</v>
      </c>
      <c r="J8" s="33" t="s">
        <v>159</v>
      </c>
      <c r="K8" s="33" t="s">
        <v>147</v>
      </c>
      <c r="L8" s="34">
        <v>79</v>
      </c>
      <c r="M8" s="34">
        <v>20.5</v>
      </c>
      <c r="N8" s="34">
        <v>21</v>
      </c>
    </row>
    <row r="9" spans="1:14" ht="16.5" customHeight="1">
      <c r="A9" s="32" t="s">
        <v>138</v>
      </c>
      <c r="B9" s="32" t="s">
        <v>139</v>
      </c>
      <c r="C9" s="32" t="s">
        <v>140</v>
      </c>
      <c r="D9" s="32" t="s">
        <v>141</v>
      </c>
      <c r="E9" s="32" t="s">
        <v>142</v>
      </c>
      <c r="F9" s="32">
        <v>74418</v>
      </c>
      <c r="G9" s="32" t="s">
        <v>156</v>
      </c>
      <c r="H9" s="32" t="s">
        <v>157</v>
      </c>
      <c r="I9" s="33" t="s">
        <v>158</v>
      </c>
      <c r="J9" s="33" t="s">
        <v>83</v>
      </c>
      <c r="K9" s="33" t="s">
        <v>149</v>
      </c>
      <c r="L9" s="34">
        <v>78</v>
      </c>
      <c r="M9" s="34">
        <v>20.399999999999999</v>
      </c>
      <c r="N9" s="34">
        <v>20.9</v>
      </c>
    </row>
    <row r="10" spans="1:14" ht="16.5" customHeight="1">
      <c r="A10" s="32" t="s">
        <v>138</v>
      </c>
      <c r="B10" s="32" t="s">
        <v>139</v>
      </c>
      <c r="C10" s="32" t="s">
        <v>140</v>
      </c>
      <c r="D10" s="32" t="s">
        <v>141</v>
      </c>
      <c r="E10" s="32" t="s">
        <v>142</v>
      </c>
      <c r="F10" s="32">
        <v>74418</v>
      </c>
      <c r="G10" s="32" t="s">
        <v>156</v>
      </c>
      <c r="H10" s="32" t="s">
        <v>157</v>
      </c>
      <c r="I10" s="33" t="s">
        <v>158</v>
      </c>
      <c r="J10" s="33" t="s">
        <v>160</v>
      </c>
      <c r="K10" s="33" t="s">
        <v>151</v>
      </c>
      <c r="L10" s="34">
        <v>79</v>
      </c>
      <c r="M10" s="34">
        <v>20.5</v>
      </c>
      <c r="N10" s="34">
        <v>21</v>
      </c>
    </row>
    <row r="11" spans="1:14" ht="16.5" customHeight="1">
      <c r="A11" s="32" t="s">
        <v>138</v>
      </c>
      <c r="B11" s="32" t="s">
        <v>139</v>
      </c>
      <c r="C11" s="32" t="s">
        <v>140</v>
      </c>
      <c r="D11" s="32" t="s">
        <v>141</v>
      </c>
      <c r="E11" s="32" t="s">
        <v>142</v>
      </c>
      <c r="F11" s="32">
        <v>74418</v>
      </c>
      <c r="G11" s="32" t="s">
        <v>156</v>
      </c>
      <c r="H11" s="32" t="s">
        <v>157</v>
      </c>
      <c r="I11" s="33" t="s">
        <v>158</v>
      </c>
      <c r="J11" s="33" t="s">
        <v>161</v>
      </c>
      <c r="K11" s="33" t="s">
        <v>153</v>
      </c>
      <c r="L11" s="34">
        <v>80</v>
      </c>
      <c r="M11" s="34">
        <v>21</v>
      </c>
      <c r="N11" s="34">
        <v>21.5</v>
      </c>
    </row>
    <row r="12" spans="1:14" ht="16.5" customHeight="1">
      <c r="A12" s="32" t="s">
        <v>138</v>
      </c>
      <c r="B12" s="32" t="s">
        <v>139</v>
      </c>
      <c r="C12" s="32" t="s">
        <v>140</v>
      </c>
      <c r="D12" s="32" t="s">
        <v>141</v>
      </c>
      <c r="E12" s="32" t="s">
        <v>142</v>
      </c>
      <c r="F12" s="32">
        <v>74418</v>
      </c>
      <c r="G12" s="32" t="s">
        <v>156</v>
      </c>
      <c r="H12" s="32" t="s">
        <v>157</v>
      </c>
      <c r="I12" s="33" t="s">
        <v>158</v>
      </c>
      <c r="J12" s="33" t="s">
        <v>162</v>
      </c>
      <c r="K12" s="33" t="s">
        <v>155</v>
      </c>
      <c r="L12" s="34">
        <v>82</v>
      </c>
      <c r="M12" s="34">
        <v>21.2</v>
      </c>
      <c r="N12" s="34">
        <v>21.7</v>
      </c>
    </row>
    <row r="13" spans="1:14" ht="16.5" customHeight="1">
      <c r="A13" s="32" t="s">
        <v>138</v>
      </c>
      <c r="B13" s="32" t="s">
        <v>139</v>
      </c>
      <c r="C13" s="32" t="s">
        <v>140</v>
      </c>
      <c r="D13" s="32" t="s">
        <v>141</v>
      </c>
      <c r="E13" s="32" t="s">
        <v>142</v>
      </c>
      <c r="F13" s="32">
        <v>74418</v>
      </c>
      <c r="G13" s="32" t="s">
        <v>156</v>
      </c>
      <c r="H13" s="32" t="s">
        <v>157</v>
      </c>
      <c r="I13" s="33" t="s">
        <v>158</v>
      </c>
      <c r="J13" s="33" t="s">
        <v>163</v>
      </c>
      <c r="K13" s="33" t="s">
        <v>164</v>
      </c>
      <c r="L13" s="34">
        <v>80</v>
      </c>
      <c r="M13" s="34">
        <v>20.8</v>
      </c>
      <c r="N13" s="34">
        <v>21.3</v>
      </c>
    </row>
    <row r="14" spans="1:14" ht="16.5" customHeight="1">
      <c r="A14" s="32" t="s">
        <v>138</v>
      </c>
      <c r="B14" s="32" t="s">
        <v>139</v>
      </c>
      <c r="C14" s="32" t="s">
        <v>140</v>
      </c>
      <c r="D14" s="32" t="s">
        <v>141</v>
      </c>
      <c r="E14" s="32" t="s">
        <v>142</v>
      </c>
      <c r="F14" s="32">
        <v>74418</v>
      </c>
      <c r="G14" s="32" t="s">
        <v>156</v>
      </c>
      <c r="H14" s="32" t="s">
        <v>157</v>
      </c>
      <c r="I14" s="33" t="s">
        <v>165</v>
      </c>
      <c r="J14" s="33" t="s">
        <v>83</v>
      </c>
      <c r="K14" s="33" t="s">
        <v>149</v>
      </c>
      <c r="L14" s="34">
        <v>78</v>
      </c>
      <c r="M14" s="34">
        <v>20.399999999999999</v>
      </c>
      <c r="N14" s="34">
        <v>20.9</v>
      </c>
    </row>
    <row r="15" spans="1:14" ht="16.5" customHeight="1">
      <c r="A15" s="32" t="s">
        <v>138</v>
      </c>
      <c r="B15" s="32" t="s">
        <v>139</v>
      </c>
      <c r="C15" s="32" t="s">
        <v>140</v>
      </c>
      <c r="D15" s="32" t="s">
        <v>141</v>
      </c>
      <c r="E15" s="32" t="s">
        <v>142</v>
      </c>
      <c r="F15" s="32">
        <v>74418</v>
      </c>
      <c r="G15" s="32" t="s">
        <v>166</v>
      </c>
      <c r="H15" s="32" t="s">
        <v>167</v>
      </c>
      <c r="I15" s="33" t="s">
        <v>168</v>
      </c>
      <c r="J15" s="33" t="s">
        <v>169</v>
      </c>
      <c r="K15" s="33" t="s">
        <v>147</v>
      </c>
      <c r="L15" s="34">
        <v>81</v>
      </c>
      <c r="M15" s="34">
        <v>21</v>
      </c>
      <c r="N15" s="34">
        <v>21.5</v>
      </c>
    </row>
    <row r="16" spans="1:14" ht="16.5" customHeight="1">
      <c r="A16" s="32" t="s">
        <v>138</v>
      </c>
      <c r="B16" s="32" t="s">
        <v>139</v>
      </c>
      <c r="C16" s="32" t="s">
        <v>140</v>
      </c>
      <c r="D16" s="32" t="s">
        <v>141</v>
      </c>
      <c r="E16" s="32" t="s">
        <v>142</v>
      </c>
      <c r="F16" s="32">
        <v>74418</v>
      </c>
      <c r="G16" s="32" t="s">
        <v>170</v>
      </c>
      <c r="H16" s="32" t="s">
        <v>171</v>
      </c>
      <c r="I16" s="33" t="s">
        <v>172</v>
      </c>
      <c r="J16" s="33" t="s">
        <v>173</v>
      </c>
      <c r="K16" s="33" t="s">
        <v>147</v>
      </c>
      <c r="L16" s="34">
        <v>82</v>
      </c>
      <c r="M16" s="34">
        <v>21.3</v>
      </c>
      <c r="N16" s="34">
        <v>21.8</v>
      </c>
    </row>
    <row r="17" spans="1:14" ht="16.5" customHeight="1">
      <c r="A17" s="32" t="s">
        <v>138</v>
      </c>
      <c r="B17" s="32" t="s">
        <v>139</v>
      </c>
      <c r="C17" s="32" t="s">
        <v>140</v>
      </c>
      <c r="D17" s="32" t="s">
        <v>141</v>
      </c>
      <c r="E17" s="32" t="s">
        <v>142</v>
      </c>
      <c r="F17" s="32">
        <v>74418</v>
      </c>
      <c r="G17" s="32" t="s">
        <v>170</v>
      </c>
      <c r="H17" s="32" t="s">
        <v>171</v>
      </c>
      <c r="I17" s="33" t="s">
        <v>172</v>
      </c>
      <c r="J17" s="33" t="s">
        <v>174</v>
      </c>
      <c r="K17" s="33" t="s">
        <v>149</v>
      </c>
      <c r="L17" s="34">
        <v>82</v>
      </c>
      <c r="M17" s="34">
        <v>21.4</v>
      </c>
      <c r="N17" s="34">
        <v>21.9</v>
      </c>
    </row>
    <row r="18" spans="1:14" ht="16.5" customHeight="1">
      <c r="A18" s="32" t="s">
        <v>138</v>
      </c>
      <c r="B18" s="32" t="s">
        <v>139</v>
      </c>
      <c r="C18" s="32" t="s">
        <v>140</v>
      </c>
      <c r="D18" s="32" t="s">
        <v>141</v>
      </c>
      <c r="E18" s="32" t="s">
        <v>142</v>
      </c>
      <c r="F18" s="32">
        <v>74418</v>
      </c>
      <c r="G18" s="32" t="s">
        <v>170</v>
      </c>
      <c r="H18" s="32" t="s">
        <v>171</v>
      </c>
      <c r="I18" s="33" t="s">
        <v>172</v>
      </c>
      <c r="J18" s="33" t="s">
        <v>175</v>
      </c>
      <c r="K18" s="33" t="s">
        <v>151</v>
      </c>
      <c r="L18" s="34">
        <v>82</v>
      </c>
      <c r="M18" s="34">
        <v>21.4</v>
      </c>
      <c r="N18" s="34">
        <v>21.9</v>
      </c>
    </row>
    <row r="19" spans="1:14" ht="16.5" customHeight="1">
      <c r="A19" s="32" t="s">
        <v>138</v>
      </c>
      <c r="B19" s="32" t="s">
        <v>139</v>
      </c>
      <c r="C19" s="32" t="s">
        <v>140</v>
      </c>
      <c r="D19" s="32" t="s">
        <v>141</v>
      </c>
      <c r="E19" s="32" t="s">
        <v>142</v>
      </c>
      <c r="F19" s="32">
        <v>74418</v>
      </c>
      <c r="G19" s="32" t="s">
        <v>170</v>
      </c>
      <c r="H19" s="32" t="s">
        <v>171</v>
      </c>
      <c r="I19" s="33" t="s">
        <v>172</v>
      </c>
      <c r="J19" s="33" t="s">
        <v>176</v>
      </c>
      <c r="K19" s="33" t="s">
        <v>153</v>
      </c>
      <c r="L19" s="34">
        <v>81</v>
      </c>
      <c r="M19" s="34">
        <v>21.1</v>
      </c>
      <c r="N19" s="34">
        <v>21.6</v>
      </c>
    </row>
    <row r="20" spans="1:14" ht="16.5" customHeight="1">
      <c r="A20" s="32" t="s">
        <v>138</v>
      </c>
      <c r="B20" s="32" t="s">
        <v>139</v>
      </c>
      <c r="C20" s="32" t="s">
        <v>140</v>
      </c>
      <c r="D20" s="32" t="s">
        <v>141</v>
      </c>
      <c r="E20" s="32" t="s">
        <v>142</v>
      </c>
      <c r="F20" s="32">
        <v>74418</v>
      </c>
      <c r="G20" s="32" t="s">
        <v>170</v>
      </c>
      <c r="H20" s="32" t="s">
        <v>171</v>
      </c>
      <c r="I20" s="33" t="s">
        <v>172</v>
      </c>
      <c r="J20" s="33" t="s">
        <v>177</v>
      </c>
      <c r="K20" s="33" t="s">
        <v>155</v>
      </c>
      <c r="L20" s="34">
        <v>82</v>
      </c>
      <c r="M20" s="34">
        <v>21.4</v>
      </c>
      <c r="N20" s="34">
        <v>21.9</v>
      </c>
    </row>
    <row r="21" spans="1:14" ht="16.5" customHeight="1">
      <c r="A21" s="32" t="s">
        <v>138</v>
      </c>
      <c r="B21" s="32" t="s">
        <v>139</v>
      </c>
      <c r="C21" s="32" t="s">
        <v>140</v>
      </c>
      <c r="D21" s="32" t="s">
        <v>141</v>
      </c>
      <c r="E21" s="32" t="s">
        <v>142</v>
      </c>
      <c r="F21" s="32">
        <v>74418</v>
      </c>
      <c r="G21" s="32" t="s">
        <v>170</v>
      </c>
      <c r="H21" s="32" t="s">
        <v>171</v>
      </c>
      <c r="I21" s="33" t="s">
        <v>172</v>
      </c>
      <c r="J21" s="33" t="s">
        <v>178</v>
      </c>
      <c r="K21" s="33" t="s">
        <v>179</v>
      </c>
      <c r="L21" s="34">
        <v>82</v>
      </c>
      <c r="M21" s="34">
        <v>21.2</v>
      </c>
      <c r="N21" s="34">
        <v>21.7</v>
      </c>
    </row>
    <row r="22" spans="1:14" ht="16.5" customHeight="1">
      <c r="A22" s="32" t="s">
        <v>138</v>
      </c>
      <c r="B22" s="32" t="s">
        <v>139</v>
      </c>
      <c r="C22" s="32" t="s">
        <v>140</v>
      </c>
      <c r="D22" s="32" t="s">
        <v>141</v>
      </c>
      <c r="E22" s="32" t="s">
        <v>142</v>
      </c>
      <c r="F22" s="32">
        <v>74418</v>
      </c>
      <c r="G22" s="32" t="s">
        <v>170</v>
      </c>
      <c r="H22" s="32" t="s">
        <v>171</v>
      </c>
      <c r="I22" s="33" t="s">
        <v>172</v>
      </c>
      <c r="J22" s="33" t="s">
        <v>180</v>
      </c>
      <c r="K22" s="33" t="s">
        <v>164</v>
      </c>
      <c r="L22" s="34">
        <v>82</v>
      </c>
      <c r="M22" s="34">
        <v>21.3</v>
      </c>
      <c r="N22" s="34">
        <v>21.8</v>
      </c>
    </row>
    <row r="23" spans="1:14" ht="16.5" customHeight="1">
      <c r="A23" s="32" t="s">
        <v>138</v>
      </c>
      <c r="B23" s="32" t="s">
        <v>139</v>
      </c>
      <c r="C23" s="32" t="s">
        <v>140</v>
      </c>
      <c r="D23" s="32" t="s">
        <v>141</v>
      </c>
      <c r="E23" s="32" t="s">
        <v>142</v>
      </c>
      <c r="F23" s="32">
        <v>74418</v>
      </c>
      <c r="G23" s="32" t="s">
        <v>170</v>
      </c>
      <c r="H23" s="32" t="s">
        <v>171</v>
      </c>
      <c r="I23" s="33" t="s">
        <v>172</v>
      </c>
      <c r="J23" s="33" t="s">
        <v>181</v>
      </c>
      <c r="K23" s="33" t="s">
        <v>182</v>
      </c>
      <c r="L23" s="34">
        <v>77</v>
      </c>
      <c r="M23" s="34">
        <v>20</v>
      </c>
      <c r="N23" s="34">
        <v>20.5</v>
      </c>
    </row>
    <row r="24" spans="1:14" ht="16.5" customHeight="1">
      <c r="A24" s="32" t="s">
        <v>138</v>
      </c>
      <c r="B24" s="32" t="s">
        <v>139</v>
      </c>
      <c r="C24" s="32" t="s">
        <v>140</v>
      </c>
      <c r="D24" s="32" t="s">
        <v>141</v>
      </c>
      <c r="E24" s="32" t="s">
        <v>142</v>
      </c>
      <c r="F24" s="32">
        <v>74418</v>
      </c>
      <c r="G24" s="32" t="s">
        <v>170</v>
      </c>
      <c r="H24" s="32" t="s">
        <v>171</v>
      </c>
      <c r="I24" s="33" t="s">
        <v>172</v>
      </c>
      <c r="J24" s="33" t="s">
        <v>183</v>
      </c>
      <c r="K24" s="33" t="s">
        <v>184</v>
      </c>
      <c r="L24" s="34">
        <v>82</v>
      </c>
      <c r="M24" s="34">
        <v>21.2</v>
      </c>
      <c r="N24" s="34">
        <v>21.7</v>
      </c>
    </row>
    <row r="25" spans="1:14" ht="16.5" customHeight="1">
      <c r="A25" s="32" t="s">
        <v>138</v>
      </c>
      <c r="B25" s="32" t="s">
        <v>139</v>
      </c>
      <c r="C25" s="32" t="s">
        <v>140</v>
      </c>
      <c r="D25" s="32" t="s">
        <v>141</v>
      </c>
      <c r="E25" s="32" t="s">
        <v>142</v>
      </c>
      <c r="F25" s="32">
        <v>74418</v>
      </c>
      <c r="G25" s="32" t="s">
        <v>170</v>
      </c>
      <c r="H25" s="32" t="s">
        <v>171</v>
      </c>
      <c r="I25" s="33" t="s">
        <v>172</v>
      </c>
      <c r="J25" s="33" t="s">
        <v>185</v>
      </c>
      <c r="K25" s="33" t="s">
        <v>186</v>
      </c>
      <c r="L25" s="34">
        <v>80</v>
      </c>
      <c r="M25" s="34">
        <v>20.7</v>
      </c>
      <c r="N25" s="34">
        <v>21.2</v>
      </c>
    </row>
    <row r="26" spans="1:14" ht="16.5" customHeight="1">
      <c r="A26" s="32" t="s">
        <v>138</v>
      </c>
      <c r="B26" s="32" t="s">
        <v>139</v>
      </c>
      <c r="C26" s="32" t="s">
        <v>140</v>
      </c>
      <c r="D26" s="32" t="s">
        <v>141</v>
      </c>
      <c r="E26" s="32" t="s">
        <v>142</v>
      </c>
      <c r="F26" s="32">
        <v>74418</v>
      </c>
      <c r="G26" s="32" t="s">
        <v>170</v>
      </c>
      <c r="H26" s="32" t="s">
        <v>171</v>
      </c>
      <c r="I26" s="33" t="s">
        <v>172</v>
      </c>
      <c r="J26" s="33" t="s">
        <v>187</v>
      </c>
      <c r="K26" s="33" t="s">
        <v>188</v>
      </c>
      <c r="L26" s="34">
        <v>80</v>
      </c>
      <c r="M26" s="34">
        <v>20.8</v>
      </c>
      <c r="N26" s="34">
        <v>21.3</v>
      </c>
    </row>
    <row r="27" spans="1:14" ht="16.5" customHeight="1">
      <c r="A27" s="32" t="s">
        <v>138</v>
      </c>
      <c r="B27" s="32" t="s">
        <v>139</v>
      </c>
      <c r="C27" s="32" t="s">
        <v>140</v>
      </c>
      <c r="D27" s="32" t="s">
        <v>141</v>
      </c>
      <c r="E27" s="32" t="s">
        <v>142</v>
      </c>
      <c r="F27" s="32">
        <v>74418</v>
      </c>
      <c r="G27" s="32" t="s">
        <v>170</v>
      </c>
      <c r="H27" s="32" t="s">
        <v>171</v>
      </c>
      <c r="I27" s="33" t="s">
        <v>172</v>
      </c>
      <c r="J27" s="33" t="s">
        <v>189</v>
      </c>
      <c r="K27" s="33" t="s">
        <v>190</v>
      </c>
      <c r="L27" s="34">
        <v>82</v>
      </c>
      <c r="M27" s="34">
        <v>21.3</v>
      </c>
      <c r="N27" s="34">
        <v>21.8</v>
      </c>
    </row>
    <row r="28" spans="1:14" ht="16.5" customHeight="1">
      <c r="A28" s="32" t="s">
        <v>138</v>
      </c>
      <c r="B28" s="32" t="s">
        <v>139</v>
      </c>
      <c r="C28" s="32" t="s">
        <v>140</v>
      </c>
      <c r="D28" s="32" t="s">
        <v>141</v>
      </c>
      <c r="E28" s="32" t="s">
        <v>142</v>
      </c>
      <c r="F28" s="32">
        <v>74418</v>
      </c>
      <c r="G28" s="32" t="s">
        <v>191</v>
      </c>
      <c r="H28" s="32" t="s">
        <v>192</v>
      </c>
      <c r="I28" s="33" t="s">
        <v>193</v>
      </c>
      <c r="J28" s="33" t="s">
        <v>194</v>
      </c>
      <c r="K28" s="33" t="s">
        <v>195</v>
      </c>
      <c r="L28" s="34">
        <v>15</v>
      </c>
      <c r="M28" s="34">
        <v>3.9</v>
      </c>
      <c r="N28" s="34">
        <v>4.4000000000000004</v>
      </c>
    </row>
    <row r="29" spans="1:14" ht="16.5" customHeight="1">
      <c r="A29" s="32" t="s">
        <v>138</v>
      </c>
      <c r="B29" s="32" t="s">
        <v>139</v>
      </c>
      <c r="C29" s="32" t="s">
        <v>140</v>
      </c>
      <c r="D29" s="32" t="s">
        <v>141</v>
      </c>
      <c r="E29" s="32" t="s">
        <v>142</v>
      </c>
      <c r="F29" s="32">
        <v>74418</v>
      </c>
      <c r="G29" s="32" t="s">
        <v>196</v>
      </c>
      <c r="H29" s="32" t="s">
        <v>197</v>
      </c>
      <c r="I29" s="33" t="s">
        <v>198</v>
      </c>
      <c r="J29" s="33" t="s">
        <v>199</v>
      </c>
      <c r="K29" s="33" t="s">
        <v>147</v>
      </c>
      <c r="L29" s="34">
        <v>87</v>
      </c>
      <c r="M29" s="34">
        <v>22.5</v>
      </c>
      <c r="N29" s="34">
        <v>23</v>
      </c>
    </row>
    <row r="30" spans="1:14" ht="16.5" customHeight="1">
      <c r="A30" s="32" t="s">
        <v>138</v>
      </c>
      <c r="B30" s="32" t="s">
        <v>139</v>
      </c>
      <c r="C30" s="32" t="s">
        <v>140</v>
      </c>
      <c r="D30" s="32" t="s">
        <v>141</v>
      </c>
      <c r="E30" s="32" t="s">
        <v>142</v>
      </c>
      <c r="F30" s="32">
        <v>74418</v>
      </c>
      <c r="G30" s="32" t="s">
        <v>196</v>
      </c>
      <c r="H30" s="32" t="s">
        <v>197</v>
      </c>
      <c r="I30" s="33" t="s">
        <v>198</v>
      </c>
      <c r="J30" s="33" t="s">
        <v>200</v>
      </c>
      <c r="K30" s="33" t="s">
        <v>149</v>
      </c>
      <c r="L30" s="34">
        <v>82</v>
      </c>
      <c r="M30" s="34">
        <v>21.4</v>
      </c>
      <c r="N30" s="34">
        <v>21.9</v>
      </c>
    </row>
    <row r="31" spans="1:14" ht="16.5" customHeight="1">
      <c r="A31" s="32" t="s">
        <v>138</v>
      </c>
      <c r="B31" s="32" t="s">
        <v>139</v>
      </c>
      <c r="C31" s="32" t="s">
        <v>140</v>
      </c>
      <c r="D31" s="32" t="s">
        <v>141</v>
      </c>
      <c r="E31" s="32" t="s">
        <v>142</v>
      </c>
      <c r="F31" s="32">
        <v>74418</v>
      </c>
      <c r="G31" s="32" t="s">
        <v>196</v>
      </c>
      <c r="H31" s="32" t="s">
        <v>197</v>
      </c>
      <c r="I31" s="33" t="s">
        <v>198</v>
      </c>
      <c r="J31" s="33" t="s">
        <v>201</v>
      </c>
      <c r="K31" s="33" t="s">
        <v>151</v>
      </c>
      <c r="L31" s="34">
        <v>81</v>
      </c>
      <c r="M31" s="34">
        <v>21</v>
      </c>
      <c r="N31" s="34">
        <v>21.5</v>
      </c>
    </row>
    <row r="32" spans="1:14" ht="16.5" customHeight="1">
      <c r="A32" s="32" t="s">
        <v>138</v>
      </c>
      <c r="B32" s="32" t="s">
        <v>139</v>
      </c>
      <c r="C32" s="32" t="s">
        <v>140</v>
      </c>
      <c r="D32" s="32" t="s">
        <v>141</v>
      </c>
      <c r="E32" s="32" t="s">
        <v>142</v>
      </c>
      <c r="F32" s="32">
        <v>74418</v>
      </c>
      <c r="G32" s="32" t="s">
        <v>196</v>
      </c>
      <c r="H32" s="32" t="s">
        <v>197</v>
      </c>
      <c r="I32" s="33" t="s">
        <v>198</v>
      </c>
      <c r="J32" s="33" t="s">
        <v>202</v>
      </c>
      <c r="K32" s="33" t="s">
        <v>153</v>
      </c>
      <c r="L32" s="34">
        <v>78</v>
      </c>
      <c r="M32" s="34">
        <v>20.2</v>
      </c>
      <c r="N32" s="34">
        <v>20.7</v>
      </c>
    </row>
    <row r="33" spans="1:14" ht="16.5" customHeight="1">
      <c r="A33" s="32" t="s">
        <v>138</v>
      </c>
      <c r="B33" s="32" t="s">
        <v>139</v>
      </c>
      <c r="C33" s="32" t="s">
        <v>140</v>
      </c>
      <c r="D33" s="32" t="s">
        <v>141</v>
      </c>
      <c r="E33" s="32" t="s">
        <v>142</v>
      </c>
      <c r="F33" s="32">
        <v>74418</v>
      </c>
      <c r="G33" s="32" t="s">
        <v>196</v>
      </c>
      <c r="H33" s="32" t="s">
        <v>197</v>
      </c>
      <c r="I33" s="33" t="s">
        <v>198</v>
      </c>
      <c r="J33" s="33" t="s">
        <v>203</v>
      </c>
      <c r="K33" s="33" t="s">
        <v>155</v>
      </c>
      <c r="L33" s="34">
        <v>72</v>
      </c>
      <c r="M33" s="34">
        <v>18.7</v>
      </c>
      <c r="N33" s="34">
        <v>19.2</v>
      </c>
    </row>
    <row r="34" spans="1:14" ht="16.5" customHeight="1">
      <c r="A34" s="32" t="s">
        <v>138</v>
      </c>
      <c r="B34" s="32" t="s">
        <v>139</v>
      </c>
      <c r="C34" s="32" t="s">
        <v>140</v>
      </c>
      <c r="D34" s="32" t="s">
        <v>141</v>
      </c>
      <c r="E34" s="32" t="s">
        <v>142</v>
      </c>
      <c r="F34" s="32">
        <v>74418</v>
      </c>
      <c r="G34" s="32" t="s">
        <v>196</v>
      </c>
      <c r="H34" s="32" t="s">
        <v>197</v>
      </c>
      <c r="I34" s="33" t="s">
        <v>198</v>
      </c>
      <c r="J34" s="33" t="s">
        <v>204</v>
      </c>
      <c r="K34" s="33" t="s">
        <v>179</v>
      </c>
      <c r="L34" s="34">
        <v>68</v>
      </c>
      <c r="M34" s="34">
        <v>17.8</v>
      </c>
      <c r="N34" s="34">
        <v>18.3</v>
      </c>
    </row>
    <row r="35" spans="1:14" ht="16.5" customHeight="1">
      <c r="A35" s="32" t="s">
        <v>138</v>
      </c>
      <c r="B35" s="32" t="s">
        <v>139</v>
      </c>
      <c r="C35" s="32" t="s">
        <v>140</v>
      </c>
      <c r="D35" s="32" t="s">
        <v>141</v>
      </c>
      <c r="E35" s="32" t="s">
        <v>142</v>
      </c>
      <c r="F35" s="32">
        <v>74418</v>
      </c>
      <c r="G35" s="32" t="s">
        <v>196</v>
      </c>
      <c r="H35" s="32" t="s">
        <v>197</v>
      </c>
      <c r="I35" s="33" t="s">
        <v>198</v>
      </c>
      <c r="J35" s="33" t="s">
        <v>205</v>
      </c>
      <c r="K35" s="33" t="s">
        <v>164</v>
      </c>
      <c r="L35" s="34">
        <v>76</v>
      </c>
      <c r="M35" s="34">
        <v>19.8</v>
      </c>
      <c r="N35" s="34">
        <v>20.3</v>
      </c>
    </row>
    <row r="36" spans="1:14" ht="16.5" customHeight="1">
      <c r="A36" s="32" t="s">
        <v>138</v>
      </c>
      <c r="B36" s="32" t="s">
        <v>139</v>
      </c>
      <c r="C36" s="32" t="s">
        <v>140</v>
      </c>
      <c r="D36" s="32" t="s">
        <v>141</v>
      </c>
      <c r="E36" s="32" t="s">
        <v>142</v>
      </c>
      <c r="F36" s="32">
        <v>74418</v>
      </c>
      <c r="G36" s="32" t="s">
        <v>206</v>
      </c>
      <c r="H36" s="32" t="s">
        <v>207</v>
      </c>
      <c r="I36" s="33" t="s">
        <v>208</v>
      </c>
      <c r="J36" s="33" t="s">
        <v>209</v>
      </c>
      <c r="K36" s="33" t="s">
        <v>210</v>
      </c>
      <c r="L36" s="34">
        <v>82</v>
      </c>
      <c r="M36" s="34">
        <v>21.3</v>
      </c>
      <c r="N36" s="34">
        <v>21.8</v>
      </c>
    </row>
    <row r="37" spans="1:14" ht="16.5" customHeight="1">
      <c r="A37" s="32" t="s">
        <v>138</v>
      </c>
      <c r="B37" s="32" t="s">
        <v>139</v>
      </c>
      <c r="C37" s="32" t="s">
        <v>140</v>
      </c>
      <c r="D37" s="32" t="s">
        <v>141</v>
      </c>
      <c r="E37" s="32" t="s">
        <v>142</v>
      </c>
      <c r="F37" s="32">
        <v>74418</v>
      </c>
      <c r="G37" s="32" t="s">
        <v>206</v>
      </c>
      <c r="H37" s="32" t="s">
        <v>207</v>
      </c>
      <c r="I37" s="33" t="s">
        <v>208</v>
      </c>
      <c r="J37" s="33" t="s">
        <v>211</v>
      </c>
      <c r="K37" s="33" t="s">
        <v>212</v>
      </c>
      <c r="L37" s="34">
        <v>82</v>
      </c>
      <c r="M37" s="34">
        <v>21.2</v>
      </c>
      <c r="N37" s="34">
        <v>21.7</v>
      </c>
    </row>
    <row r="38" spans="1:14" ht="16.5" customHeight="1">
      <c r="A38" s="32" t="s">
        <v>138</v>
      </c>
      <c r="B38" s="32" t="s">
        <v>139</v>
      </c>
      <c r="C38" s="32" t="s">
        <v>140</v>
      </c>
      <c r="D38" s="32" t="s">
        <v>141</v>
      </c>
      <c r="E38" s="32" t="s">
        <v>142</v>
      </c>
      <c r="F38" s="32">
        <v>74418</v>
      </c>
      <c r="G38" s="32" t="s">
        <v>206</v>
      </c>
      <c r="H38" s="32" t="s">
        <v>207</v>
      </c>
      <c r="I38" s="33" t="s">
        <v>208</v>
      </c>
      <c r="J38" s="33" t="s">
        <v>213</v>
      </c>
      <c r="K38" s="33" t="s">
        <v>214</v>
      </c>
      <c r="L38" s="34">
        <v>82</v>
      </c>
      <c r="M38" s="34">
        <v>21.1</v>
      </c>
      <c r="N38" s="34">
        <v>21.6</v>
      </c>
    </row>
    <row r="39" spans="1:14" ht="16.5" customHeight="1">
      <c r="A39" s="32" t="s">
        <v>138</v>
      </c>
      <c r="B39" s="32" t="s">
        <v>139</v>
      </c>
      <c r="C39" s="32" t="s">
        <v>140</v>
      </c>
      <c r="D39" s="32" t="s">
        <v>141</v>
      </c>
      <c r="E39" s="32" t="s">
        <v>142</v>
      </c>
      <c r="F39" s="32">
        <v>74418</v>
      </c>
      <c r="G39" s="32" t="s">
        <v>206</v>
      </c>
      <c r="H39" s="32" t="s">
        <v>207</v>
      </c>
      <c r="I39" s="33" t="s">
        <v>208</v>
      </c>
      <c r="J39" s="33" t="s">
        <v>89</v>
      </c>
      <c r="K39" s="33" t="s">
        <v>215</v>
      </c>
      <c r="L39" s="34">
        <v>81</v>
      </c>
      <c r="M39" s="34">
        <v>21</v>
      </c>
      <c r="N39" s="34">
        <v>21.5</v>
      </c>
    </row>
    <row r="40" spans="1:14" ht="16.5" customHeight="1">
      <c r="A40" s="32" t="s">
        <v>138</v>
      </c>
      <c r="B40" s="32" t="s">
        <v>139</v>
      </c>
      <c r="C40" s="32" t="s">
        <v>140</v>
      </c>
      <c r="D40" s="32" t="s">
        <v>141</v>
      </c>
      <c r="E40" s="32" t="s">
        <v>142</v>
      </c>
      <c r="F40" s="32">
        <v>74418</v>
      </c>
      <c r="G40" s="32" t="s">
        <v>206</v>
      </c>
      <c r="H40" s="32" t="s">
        <v>207</v>
      </c>
      <c r="I40" s="33" t="s">
        <v>216</v>
      </c>
      <c r="J40" s="33" t="s">
        <v>217</v>
      </c>
      <c r="K40" s="33" t="s">
        <v>147</v>
      </c>
      <c r="L40" s="34">
        <v>80</v>
      </c>
      <c r="M40" s="34">
        <v>21</v>
      </c>
      <c r="N40" s="34">
        <v>21.5</v>
      </c>
    </row>
    <row r="41" spans="1:14" ht="16.5" customHeight="1">
      <c r="A41" s="32" t="s">
        <v>138</v>
      </c>
      <c r="B41" s="32" t="s">
        <v>139</v>
      </c>
      <c r="C41" s="32" t="s">
        <v>140</v>
      </c>
      <c r="D41" s="32" t="s">
        <v>141</v>
      </c>
      <c r="E41" s="32" t="s">
        <v>142</v>
      </c>
      <c r="F41" s="32">
        <v>74418</v>
      </c>
      <c r="G41" s="32" t="s">
        <v>206</v>
      </c>
      <c r="H41" s="32" t="s">
        <v>207</v>
      </c>
      <c r="I41" s="33" t="s">
        <v>216</v>
      </c>
      <c r="J41" s="33" t="s">
        <v>218</v>
      </c>
      <c r="K41" s="33" t="s">
        <v>149</v>
      </c>
      <c r="L41" s="34">
        <v>81</v>
      </c>
      <c r="M41" s="34">
        <v>21.2</v>
      </c>
      <c r="N41" s="34">
        <v>21.7</v>
      </c>
    </row>
    <row r="42" spans="1:14" ht="16.5" customHeight="1">
      <c r="A42" s="32" t="s">
        <v>138</v>
      </c>
      <c r="B42" s="32" t="s">
        <v>139</v>
      </c>
      <c r="C42" s="32" t="s">
        <v>140</v>
      </c>
      <c r="D42" s="32" t="s">
        <v>141</v>
      </c>
      <c r="E42" s="32" t="s">
        <v>142</v>
      </c>
      <c r="F42" s="32">
        <v>74418</v>
      </c>
      <c r="G42" s="32" t="s">
        <v>206</v>
      </c>
      <c r="H42" s="32" t="s">
        <v>207</v>
      </c>
      <c r="I42" s="33" t="s">
        <v>216</v>
      </c>
      <c r="J42" s="33" t="s">
        <v>219</v>
      </c>
      <c r="K42" s="33" t="s">
        <v>151</v>
      </c>
      <c r="L42" s="34">
        <v>82</v>
      </c>
      <c r="M42" s="34">
        <v>21.4</v>
      </c>
      <c r="N42" s="34">
        <v>21.9</v>
      </c>
    </row>
    <row r="43" spans="1:14" ht="16.5" customHeight="1">
      <c r="A43" s="32" t="s">
        <v>138</v>
      </c>
      <c r="B43" s="32" t="s">
        <v>139</v>
      </c>
      <c r="C43" s="32" t="s">
        <v>140</v>
      </c>
      <c r="D43" s="32" t="s">
        <v>141</v>
      </c>
      <c r="E43" s="32" t="s">
        <v>142</v>
      </c>
      <c r="F43" s="32">
        <v>74418</v>
      </c>
      <c r="G43" s="32" t="s">
        <v>206</v>
      </c>
      <c r="H43" s="32" t="s">
        <v>207</v>
      </c>
      <c r="I43" s="33" t="s">
        <v>216</v>
      </c>
      <c r="J43" s="33" t="s">
        <v>220</v>
      </c>
      <c r="K43" s="33" t="s">
        <v>153</v>
      </c>
      <c r="L43" s="34">
        <v>82</v>
      </c>
      <c r="M43" s="34">
        <v>21.4</v>
      </c>
      <c r="N43" s="34">
        <v>21.9</v>
      </c>
    </row>
    <row r="44" spans="1:14" ht="16.5" customHeight="1">
      <c r="A44" s="32" t="s">
        <v>138</v>
      </c>
      <c r="B44" s="32" t="s">
        <v>139</v>
      </c>
      <c r="C44" s="32" t="s">
        <v>140</v>
      </c>
      <c r="D44" s="32" t="s">
        <v>141</v>
      </c>
      <c r="E44" s="32" t="s">
        <v>142</v>
      </c>
      <c r="F44" s="32">
        <v>74418</v>
      </c>
      <c r="G44" s="32" t="s">
        <v>206</v>
      </c>
      <c r="H44" s="32" t="s">
        <v>207</v>
      </c>
      <c r="I44" s="33" t="s">
        <v>216</v>
      </c>
      <c r="J44" s="33" t="s">
        <v>221</v>
      </c>
      <c r="K44" s="33" t="s">
        <v>155</v>
      </c>
      <c r="L44" s="34">
        <v>81</v>
      </c>
      <c r="M44" s="34">
        <v>21</v>
      </c>
      <c r="N44" s="34">
        <v>21.5</v>
      </c>
    </row>
    <row r="45" spans="1:14" ht="16.5" customHeight="1">
      <c r="A45" s="32" t="s">
        <v>138</v>
      </c>
      <c r="B45" s="32" t="s">
        <v>139</v>
      </c>
      <c r="C45" s="32" t="s">
        <v>140</v>
      </c>
      <c r="D45" s="32" t="s">
        <v>141</v>
      </c>
      <c r="E45" s="32" t="s">
        <v>142</v>
      </c>
      <c r="F45" s="32">
        <v>74418</v>
      </c>
      <c r="G45" s="32" t="s">
        <v>206</v>
      </c>
      <c r="H45" s="32" t="s">
        <v>207</v>
      </c>
      <c r="I45" s="33" t="s">
        <v>216</v>
      </c>
      <c r="J45" s="33" t="s">
        <v>222</v>
      </c>
      <c r="K45" s="33" t="s">
        <v>179</v>
      </c>
      <c r="L45" s="34">
        <v>82</v>
      </c>
      <c r="M45" s="34">
        <v>21.4</v>
      </c>
      <c r="N45" s="34">
        <v>21.9</v>
      </c>
    </row>
    <row r="46" spans="1:14" ht="16.5" customHeight="1">
      <c r="A46" s="32" t="s">
        <v>138</v>
      </c>
      <c r="B46" s="32" t="s">
        <v>139</v>
      </c>
      <c r="C46" s="32" t="s">
        <v>140</v>
      </c>
      <c r="D46" s="32" t="s">
        <v>141</v>
      </c>
      <c r="E46" s="32" t="s">
        <v>142</v>
      </c>
      <c r="F46" s="32">
        <v>74418</v>
      </c>
      <c r="G46" s="32" t="s">
        <v>206</v>
      </c>
      <c r="H46" s="32" t="s">
        <v>207</v>
      </c>
      <c r="I46" s="33" t="s">
        <v>216</v>
      </c>
      <c r="J46" s="33" t="s">
        <v>223</v>
      </c>
      <c r="K46" s="33" t="s">
        <v>164</v>
      </c>
      <c r="L46" s="34">
        <v>81</v>
      </c>
      <c r="M46" s="34">
        <v>21.2</v>
      </c>
      <c r="N46" s="34">
        <v>21.7</v>
      </c>
    </row>
    <row r="47" spans="1:14" ht="16.5" customHeight="1">
      <c r="A47" s="32" t="s">
        <v>138</v>
      </c>
      <c r="B47" s="32" t="s">
        <v>139</v>
      </c>
      <c r="C47" s="32" t="s">
        <v>140</v>
      </c>
      <c r="D47" s="32" t="s">
        <v>141</v>
      </c>
      <c r="E47" s="32" t="s">
        <v>142</v>
      </c>
      <c r="F47" s="32">
        <v>74418</v>
      </c>
      <c r="G47" s="32" t="s">
        <v>206</v>
      </c>
      <c r="H47" s="32" t="s">
        <v>207</v>
      </c>
      <c r="I47" s="33" t="s">
        <v>216</v>
      </c>
      <c r="J47" s="33" t="s">
        <v>224</v>
      </c>
      <c r="K47" s="33" t="s">
        <v>182</v>
      </c>
      <c r="L47" s="34">
        <v>81</v>
      </c>
      <c r="M47" s="34">
        <v>21.2</v>
      </c>
      <c r="N47" s="34">
        <v>21.7</v>
      </c>
    </row>
    <row r="48" spans="1:14" ht="16.5" customHeight="1">
      <c r="A48" s="32" t="s">
        <v>138</v>
      </c>
      <c r="B48" s="32" t="s">
        <v>139</v>
      </c>
      <c r="C48" s="32" t="s">
        <v>140</v>
      </c>
      <c r="D48" s="32" t="s">
        <v>141</v>
      </c>
      <c r="E48" s="32" t="s">
        <v>142</v>
      </c>
      <c r="F48" s="32">
        <v>74418</v>
      </c>
      <c r="G48" s="32" t="s">
        <v>206</v>
      </c>
      <c r="H48" s="32" t="s">
        <v>207</v>
      </c>
      <c r="I48" s="33" t="s">
        <v>216</v>
      </c>
      <c r="J48" s="33" t="s">
        <v>225</v>
      </c>
      <c r="K48" s="33" t="s">
        <v>184</v>
      </c>
      <c r="L48" s="34">
        <v>82</v>
      </c>
      <c r="M48" s="34">
        <v>21.3</v>
      </c>
      <c r="N48" s="34">
        <v>21.8</v>
      </c>
    </row>
    <row r="49" spans="1:14" ht="16.5" customHeight="1">
      <c r="A49" s="32" t="s">
        <v>138</v>
      </c>
      <c r="B49" s="32" t="s">
        <v>139</v>
      </c>
      <c r="C49" s="32" t="s">
        <v>140</v>
      </c>
      <c r="D49" s="32" t="s">
        <v>141</v>
      </c>
      <c r="E49" s="32" t="s">
        <v>142</v>
      </c>
      <c r="F49" s="32">
        <v>74418</v>
      </c>
      <c r="G49" s="32" t="s">
        <v>206</v>
      </c>
      <c r="H49" s="32" t="s">
        <v>207</v>
      </c>
      <c r="I49" s="33" t="s">
        <v>216</v>
      </c>
      <c r="J49" s="33" t="s">
        <v>226</v>
      </c>
      <c r="K49" s="33" t="s">
        <v>186</v>
      </c>
      <c r="L49" s="34">
        <v>82</v>
      </c>
      <c r="M49" s="34">
        <v>21.4</v>
      </c>
      <c r="N49" s="34">
        <v>21.9</v>
      </c>
    </row>
    <row r="50" spans="1:14" ht="16.5" customHeight="1">
      <c r="A50" s="32" t="s">
        <v>138</v>
      </c>
      <c r="B50" s="32" t="s">
        <v>139</v>
      </c>
      <c r="C50" s="32" t="s">
        <v>140</v>
      </c>
      <c r="D50" s="32" t="s">
        <v>141</v>
      </c>
      <c r="E50" s="32" t="s">
        <v>142</v>
      </c>
      <c r="F50" s="32">
        <v>74418</v>
      </c>
      <c r="G50" s="32" t="s">
        <v>206</v>
      </c>
      <c r="H50" s="32" t="s">
        <v>207</v>
      </c>
      <c r="I50" s="33" t="s">
        <v>216</v>
      </c>
      <c r="J50" s="33" t="s">
        <v>227</v>
      </c>
      <c r="K50" s="33" t="s">
        <v>188</v>
      </c>
      <c r="L50" s="34">
        <v>81</v>
      </c>
      <c r="M50" s="34">
        <v>21.1</v>
      </c>
      <c r="N50" s="34">
        <v>21.6</v>
      </c>
    </row>
    <row r="51" spans="1:14" ht="16.5" customHeight="1">
      <c r="A51" s="32" t="s">
        <v>138</v>
      </c>
      <c r="B51" s="32" t="s">
        <v>139</v>
      </c>
      <c r="C51" s="32" t="s">
        <v>140</v>
      </c>
      <c r="D51" s="32" t="s">
        <v>141</v>
      </c>
      <c r="E51" s="32" t="s">
        <v>142</v>
      </c>
      <c r="F51" s="32">
        <v>74418</v>
      </c>
      <c r="G51" s="32" t="s">
        <v>206</v>
      </c>
      <c r="H51" s="32" t="s">
        <v>207</v>
      </c>
      <c r="I51" s="33" t="s">
        <v>216</v>
      </c>
      <c r="J51" s="33" t="s">
        <v>228</v>
      </c>
      <c r="K51" s="33" t="s">
        <v>190</v>
      </c>
      <c r="L51" s="34">
        <v>79</v>
      </c>
      <c r="M51" s="34">
        <v>20.7</v>
      </c>
      <c r="N51" s="34">
        <v>21.2</v>
      </c>
    </row>
    <row r="52" spans="1:14" ht="16.5" customHeight="1">
      <c r="A52" s="32" t="s">
        <v>138</v>
      </c>
      <c r="B52" s="32" t="s">
        <v>139</v>
      </c>
      <c r="C52" s="32" t="s">
        <v>140</v>
      </c>
      <c r="D52" s="32" t="s">
        <v>141</v>
      </c>
      <c r="E52" s="32" t="s">
        <v>142</v>
      </c>
      <c r="F52" s="32">
        <v>74418</v>
      </c>
      <c r="G52" s="32" t="s">
        <v>206</v>
      </c>
      <c r="H52" s="32" t="s">
        <v>207</v>
      </c>
      <c r="I52" s="33" t="s">
        <v>216</v>
      </c>
      <c r="J52" s="33" t="s">
        <v>209</v>
      </c>
      <c r="K52" s="33" t="s">
        <v>210</v>
      </c>
      <c r="L52" s="34">
        <v>82</v>
      </c>
      <c r="M52" s="34">
        <v>21.3</v>
      </c>
      <c r="N52" s="34">
        <v>21.8</v>
      </c>
    </row>
    <row r="53" spans="1:14" ht="16.5" customHeight="1">
      <c r="A53" s="32" t="s">
        <v>138</v>
      </c>
      <c r="B53" s="32" t="s">
        <v>139</v>
      </c>
      <c r="C53" s="32" t="s">
        <v>140</v>
      </c>
      <c r="D53" s="32" t="s">
        <v>141</v>
      </c>
      <c r="E53" s="32" t="s">
        <v>142</v>
      </c>
      <c r="F53" s="32">
        <v>74418</v>
      </c>
      <c r="G53" s="32" t="s">
        <v>206</v>
      </c>
      <c r="H53" s="32" t="s">
        <v>207</v>
      </c>
      <c r="I53" s="33" t="s">
        <v>216</v>
      </c>
      <c r="J53" s="33" t="s">
        <v>211</v>
      </c>
      <c r="K53" s="33" t="s">
        <v>212</v>
      </c>
      <c r="L53" s="34">
        <v>78</v>
      </c>
      <c r="M53" s="34">
        <v>20.3</v>
      </c>
      <c r="N53" s="34">
        <v>20.8</v>
      </c>
    </row>
    <row r="54" spans="1:14" ht="16.5" customHeight="1">
      <c r="A54" s="32" t="s">
        <v>138</v>
      </c>
      <c r="B54" s="32" t="s">
        <v>139</v>
      </c>
      <c r="C54" s="32" t="s">
        <v>140</v>
      </c>
      <c r="D54" s="32" t="s">
        <v>141</v>
      </c>
      <c r="E54" s="32" t="s">
        <v>142</v>
      </c>
      <c r="F54" s="32">
        <v>74418</v>
      </c>
      <c r="G54" s="32" t="s">
        <v>206</v>
      </c>
      <c r="H54" s="32" t="s">
        <v>207</v>
      </c>
      <c r="I54" s="33" t="s">
        <v>216</v>
      </c>
      <c r="J54" s="33" t="s">
        <v>213</v>
      </c>
      <c r="K54" s="33" t="s">
        <v>214</v>
      </c>
      <c r="L54" s="34">
        <v>80</v>
      </c>
      <c r="M54" s="34">
        <v>20.8</v>
      </c>
      <c r="N54" s="34">
        <v>21.3</v>
      </c>
    </row>
    <row r="55" spans="1:14" ht="16.5" customHeight="1">
      <c r="A55" s="32" t="s">
        <v>138</v>
      </c>
      <c r="B55" s="32" t="s">
        <v>139</v>
      </c>
      <c r="C55" s="32" t="s">
        <v>140</v>
      </c>
      <c r="D55" s="32" t="s">
        <v>141</v>
      </c>
      <c r="E55" s="32" t="s">
        <v>142</v>
      </c>
      <c r="F55" s="32">
        <v>74418</v>
      </c>
      <c r="G55" s="32" t="s">
        <v>206</v>
      </c>
      <c r="H55" s="32" t="s">
        <v>207</v>
      </c>
      <c r="I55" s="33" t="s">
        <v>216</v>
      </c>
      <c r="J55" s="33" t="s">
        <v>89</v>
      </c>
      <c r="K55" s="33" t="s">
        <v>215</v>
      </c>
      <c r="L55" s="34">
        <v>46</v>
      </c>
      <c r="M55" s="34">
        <v>12.1</v>
      </c>
      <c r="N55" s="34">
        <v>12.6</v>
      </c>
    </row>
    <row r="56" spans="1:14" ht="16.5" customHeight="1">
      <c r="A56" s="32" t="s">
        <v>138</v>
      </c>
      <c r="B56" s="32" t="s">
        <v>139</v>
      </c>
      <c r="C56" s="32" t="s">
        <v>140</v>
      </c>
      <c r="D56" s="32" t="s">
        <v>141</v>
      </c>
      <c r="E56" s="32" t="s">
        <v>142</v>
      </c>
      <c r="F56" s="32">
        <v>74418</v>
      </c>
      <c r="G56" s="32" t="s">
        <v>229</v>
      </c>
      <c r="H56" s="32" t="s">
        <v>230</v>
      </c>
      <c r="I56" s="33" t="s">
        <v>231</v>
      </c>
      <c r="J56" s="33" t="s">
        <v>232</v>
      </c>
      <c r="K56" s="33" t="s">
        <v>233</v>
      </c>
      <c r="L56" s="34">
        <v>82</v>
      </c>
      <c r="M56" s="34">
        <v>21.3</v>
      </c>
      <c r="N56" s="34">
        <v>21.8</v>
      </c>
    </row>
    <row r="57" spans="1:14" ht="16.5" customHeight="1">
      <c r="A57" s="32" t="s">
        <v>138</v>
      </c>
      <c r="B57" s="32" t="s">
        <v>139</v>
      </c>
      <c r="C57" s="32" t="s">
        <v>140</v>
      </c>
      <c r="D57" s="32" t="s">
        <v>141</v>
      </c>
      <c r="E57" s="32" t="s">
        <v>142</v>
      </c>
      <c r="F57" s="32">
        <v>74418</v>
      </c>
      <c r="G57" s="32" t="s">
        <v>229</v>
      </c>
      <c r="H57" s="32" t="s">
        <v>230</v>
      </c>
      <c r="I57" s="33" t="s">
        <v>231</v>
      </c>
      <c r="J57" s="33" t="s">
        <v>234</v>
      </c>
      <c r="K57" s="33" t="s">
        <v>235</v>
      </c>
      <c r="L57" s="34">
        <v>82</v>
      </c>
      <c r="M57" s="34">
        <v>21.3</v>
      </c>
      <c r="N57" s="34">
        <v>21.8</v>
      </c>
    </row>
    <row r="58" spans="1:14" ht="16.5" customHeight="1">
      <c r="A58" s="32" t="s">
        <v>138</v>
      </c>
      <c r="B58" s="32" t="s">
        <v>139</v>
      </c>
      <c r="C58" s="32" t="s">
        <v>140</v>
      </c>
      <c r="D58" s="32" t="s">
        <v>141</v>
      </c>
      <c r="E58" s="32" t="s">
        <v>142</v>
      </c>
      <c r="F58" s="32">
        <v>74418</v>
      </c>
      <c r="G58" s="32" t="s">
        <v>229</v>
      </c>
      <c r="H58" s="32" t="s">
        <v>230</v>
      </c>
      <c r="I58" s="33" t="s">
        <v>231</v>
      </c>
      <c r="J58" s="33" t="s">
        <v>236</v>
      </c>
      <c r="K58" s="33" t="s">
        <v>237</v>
      </c>
      <c r="L58" s="34">
        <v>83</v>
      </c>
      <c r="M58" s="34">
        <v>21.5</v>
      </c>
      <c r="N58" s="34">
        <v>22</v>
      </c>
    </row>
    <row r="59" spans="1:14" ht="16.5" customHeight="1">
      <c r="A59" s="32" t="s">
        <v>138</v>
      </c>
      <c r="B59" s="32" t="s">
        <v>139</v>
      </c>
      <c r="C59" s="32" t="s">
        <v>140</v>
      </c>
      <c r="D59" s="32" t="s">
        <v>141</v>
      </c>
      <c r="E59" s="32" t="s">
        <v>142</v>
      </c>
      <c r="F59" s="32">
        <v>74418</v>
      </c>
      <c r="G59" s="32" t="s">
        <v>229</v>
      </c>
      <c r="H59" s="32" t="s">
        <v>230</v>
      </c>
      <c r="I59" s="33" t="s">
        <v>231</v>
      </c>
      <c r="J59" s="33" t="s">
        <v>238</v>
      </c>
      <c r="K59" s="33" t="s">
        <v>239</v>
      </c>
      <c r="L59" s="34">
        <v>80</v>
      </c>
      <c r="M59" s="34">
        <v>20.9</v>
      </c>
      <c r="N59" s="34">
        <v>21.4</v>
      </c>
    </row>
    <row r="60" spans="1:14" ht="16.5" customHeight="1">
      <c r="A60" s="32" t="s">
        <v>138</v>
      </c>
      <c r="B60" s="32" t="s">
        <v>139</v>
      </c>
      <c r="C60" s="32" t="s">
        <v>140</v>
      </c>
      <c r="D60" s="32" t="s">
        <v>141</v>
      </c>
      <c r="E60" s="32" t="s">
        <v>142</v>
      </c>
      <c r="F60" s="32">
        <v>74418</v>
      </c>
      <c r="G60" s="32" t="s">
        <v>229</v>
      </c>
      <c r="H60" s="32" t="s">
        <v>230</v>
      </c>
      <c r="I60" s="33" t="s">
        <v>231</v>
      </c>
      <c r="J60" s="33" t="s">
        <v>240</v>
      </c>
      <c r="K60" s="33" t="s">
        <v>241</v>
      </c>
      <c r="L60" s="34">
        <v>77</v>
      </c>
      <c r="M60" s="34">
        <v>20</v>
      </c>
      <c r="N60" s="34">
        <v>20.5</v>
      </c>
    </row>
    <row r="61" spans="1:14" ht="16.5" customHeight="1">
      <c r="A61" s="32" t="s">
        <v>138</v>
      </c>
      <c r="B61" s="32" t="s">
        <v>139</v>
      </c>
      <c r="C61" s="32" t="s">
        <v>140</v>
      </c>
      <c r="D61" s="32" t="s">
        <v>141</v>
      </c>
      <c r="E61" s="32" t="s">
        <v>142</v>
      </c>
      <c r="F61" s="32">
        <v>74418</v>
      </c>
      <c r="G61" s="32" t="s">
        <v>229</v>
      </c>
      <c r="H61" s="32" t="s">
        <v>230</v>
      </c>
      <c r="I61" s="33" t="s">
        <v>231</v>
      </c>
      <c r="J61" s="33" t="s">
        <v>242</v>
      </c>
      <c r="K61" s="33" t="s">
        <v>243</v>
      </c>
      <c r="L61" s="34">
        <v>81</v>
      </c>
      <c r="M61" s="34">
        <v>21</v>
      </c>
      <c r="N61" s="34">
        <v>21.5</v>
      </c>
    </row>
    <row r="62" spans="1:14" ht="16.5" customHeight="1">
      <c r="A62" s="32" t="s">
        <v>138</v>
      </c>
      <c r="B62" s="32" t="s">
        <v>139</v>
      </c>
      <c r="C62" s="32" t="s">
        <v>140</v>
      </c>
      <c r="D62" s="32" t="s">
        <v>141</v>
      </c>
      <c r="E62" s="32" t="s">
        <v>142</v>
      </c>
      <c r="F62" s="32">
        <v>74418</v>
      </c>
      <c r="G62" s="32" t="s">
        <v>229</v>
      </c>
      <c r="H62" s="32" t="s">
        <v>230</v>
      </c>
      <c r="I62" s="33" t="s">
        <v>231</v>
      </c>
      <c r="J62" s="33" t="s">
        <v>244</v>
      </c>
      <c r="K62" s="33" t="s">
        <v>245</v>
      </c>
      <c r="L62" s="34">
        <v>80</v>
      </c>
      <c r="M62" s="34">
        <v>20.8</v>
      </c>
      <c r="N62" s="34">
        <v>21.3</v>
      </c>
    </row>
    <row r="63" spans="1:14" ht="16.5" customHeight="1">
      <c r="A63" s="32" t="s">
        <v>138</v>
      </c>
      <c r="B63" s="32" t="s">
        <v>139</v>
      </c>
      <c r="C63" s="32" t="s">
        <v>140</v>
      </c>
      <c r="D63" s="32" t="s">
        <v>141</v>
      </c>
      <c r="E63" s="32" t="s">
        <v>142</v>
      </c>
      <c r="F63" s="32">
        <v>74418</v>
      </c>
      <c r="G63" s="32" t="s">
        <v>229</v>
      </c>
      <c r="H63" s="32" t="s">
        <v>230</v>
      </c>
      <c r="I63" s="33" t="s">
        <v>246</v>
      </c>
      <c r="J63" s="33" t="s">
        <v>247</v>
      </c>
      <c r="K63" s="33" t="s">
        <v>147</v>
      </c>
      <c r="L63" s="34">
        <v>84</v>
      </c>
      <c r="M63" s="34">
        <v>21.9</v>
      </c>
      <c r="N63" s="34">
        <v>22.4</v>
      </c>
    </row>
    <row r="64" spans="1:14" ht="16.5" customHeight="1">
      <c r="A64" s="32" t="s">
        <v>138</v>
      </c>
      <c r="B64" s="32" t="s">
        <v>139</v>
      </c>
      <c r="C64" s="32" t="s">
        <v>140</v>
      </c>
      <c r="D64" s="32" t="s">
        <v>141</v>
      </c>
      <c r="E64" s="32" t="s">
        <v>142</v>
      </c>
      <c r="F64" s="32">
        <v>74418</v>
      </c>
      <c r="G64" s="32" t="s">
        <v>229</v>
      </c>
      <c r="H64" s="32" t="s">
        <v>230</v>
      </c>
      <c r="I64" s="33" t="s">
        <v>246</v>
      </c>
      <c r="J64" s="33" t="s">
        <v>248</v>
      </c>
      <c r="K64" s="33" t="s">
        <v>149</v>
      </c>
      <c r="L64" s="34">
        <v>81</v>
      </c>
      <c r="M64" s="34">
        <v>21.2</v>
      </c>
      <c r="N64" s="34">
        <v>21.7</v>
      </c>
    </row>
    <row r="65" spans="1:14" ht="16.5" customHeight="1">
      <c r="A65" s="32" t="s">
        <v>138</v>
      </c>
      <c r="B65" s="32" t="s">
        <v>139</v>
      </c>
      <c r="C65" s="32" t="s">
        <v>140</v>
      </c>
      <c r="D65" s="32" t="s">
        <v>141</v>
      </c>
      <c r="E65" s="32" t="s">
        <v>142</v>
      </c>
      <c r="F65" s="32">
        <v>74418</v>
      </c>
      <c r="G65" s="32" t="s">
        <v>229</v>
      </c>
      <c r="H65" s="32" t="s">
        <v>230</v>
      </c>
      <c r="I65" s="33" t="s">
        <v>246</v>
      </c>
      <c r="J65" s="33" t="s">
        <v>249</v>
      </c>
      <c r="K65" s="33" t="s">
        <v>151</v>
      </c>
      <c r="L65" s="34">
        <v>82</v>
      </c>
      <c r="M65" s="34">
        <v>21.4</v>
      </c>
      <c r="N65" s="34">
        <v>21.9</v>
      </c>
    </row>
    <row r="66" spans="1:14" ht="16.5" customHeight="1">
      <c r="A66" s="32" t="s">
        <v>138</v>
      </c>
      <c r="B66" s="32" t="s">
        <v>139</v>
      </c>
      <c r="C66" s="32" t="s">
        <v>140</v>
      </c>
      <c r="D66" s="32" t="s">
        <v>141</v>
      </c>
      <c r="E66" s="32" t="s">
        <v>142</v>
      </c>
      <c r="F66" s="32">
        <v>74418</v>
      </c>
      <c r="G66" s="32" t="s">
        <v>229</v>
      </c>
      <c r="H66" s="32" t="s">
        <v>230</v>
      </c>
      <c r="I66" s="33" t="s">
        <v>246</v>
      </c>
      <c r="J66" s="33" t="s">
        <v>250</v>
      </c>
      <c r="K66" s="33" t="s">
        <v>153</v>
      </c>
      <c r="L66" s="34">
        <v>82</v>
      </c>
      <c r="M66" s="34">
        <v>21.4</v>
      </c>
      <c r="N66" s="34">
        <v>21.9</v>
      </c>
    </row>
    <row r="67" spans="1:14" ht="16.5" customHeight="1">
      <c r="A67" s="32" t="s">
        <v>138</v>
      </c>
      <c r="B67" s="32" t="s">
        <v>139</v>
      </c>
      <c r="C67" s="32" t="s">
        <v>140</v>
      </c>
      <c r="D67" s="32" t="s">
        <v>141</v>
      </c>
      <c r="E67" s="32" t="s">
        <v>142</v>
      </c>
      <c r="F67" s="32">
        <v>74418</v>
      </c>
      <c r="G67" s="32" t="s">
        <v>229</v>
      </c>
      <c r="H67" s="32" t="s">
        <v>230</v>
      </c>
      <c r="I67" s="33" t="s">
        <v>246</v>
      </c>
      <c r="J67" s="33" t="s">
        <v>251</v>
      </c>
      <c r="K67" s="33" t="s">
        <v>155</v>
      </c>
      <c r="L67" s="34">
        <v>76</v>
      </c>
      <c r="M67" s="34">
        <v>19.899999999999999</v>
      </c>
      <c r="N67" s="34">
        <v>20.399999999999999</v>
      </c>
    </row>
    <row r="68" spans="1:14" ht="16.5" customHeight="1">
      <c r="A68" s="32" t="s">
        <v>138</v>
      </c>
      <c r="B68" s="32" t="s">
        <v>139</v>
      </c>
      <c r="C68" s="32" t="s">
        <v>140</v>
      </c>
      <c r="D68" s="32" t="s">
        <v>141</v>
      </c>
      <c r="E68" s="32" t="s">
        <v>142</v>
      </c>
      <c r="F68" s="32">
        <v>74418</v>
      </c>
      <c r="G68" s="32" t="s">
        <v>229</v>
      </c>
      <c r="H68" s="32" t="s">
        <v>230</v>
      </c>
      <c r="I68" s="33" t="s">
        <v>246</v>
      </c>
      <c r="J68" s="33" t="s">
        <v>252</v>
      </c>
      <c r="K68" s="33" t="s">
        <v>179</v>
      </c>
      <c r="L68" s="34">
        <v>80</v>
      </c>
      <c r="M68" s="34">
        <v>20.8</v>
      </c>
      <c r="N68" s="34">
        <v>21.3</v>
      </c>
    </row>
    <row r="69" spans="1:14" ht="16.5" customHeight="1">
      <c r="A69" s="32" t="s">
        <v>138</v>
      </c>
      <c r="B69" s="32" t="s">
        <v>139</v>
      </c>
      <c r="C69" s="32" t="s">
        <v>140</v>
      </c>
      <c r="D69" s="32" t="s">
        <v>141</v>
      </c>
      <c r="E69" s="32" t="s">
        <v>142</v>
      </c>
      <c r="F69" s="32">
        <v>74418</v>
      </c>
      <c r="G69" s="32" t="s">
        <v>229</v>
      </c>
      <c r="H69" s="32" t="s">
        <v>230</v>
      </c>
      <c r="I69" s="33" t="s">
        <v>246</v>
      </c>
      <c r="J69" s="33" t="s">
        <v>253</v>
      </c>
      <c r="K69" s="33" t="s">
        <v>164</v>
      </c>
      <c r="L69" s="34">
        <v>77</v>
      </c>
      <c r="M69" s="34">
        <v>20.100000000000001</v>
      </c>
      <c r="N69" s="34">
        <v>20.6</v>
      </c>
    </row>
    <row r="70" spans="1:14" ht="16.5" customHeight="1">
      <c r="A70" s="32" t="s">
        <v>138</v>
      </c>
      <c r="B70" s="32" t="s">
        <v>139</v>
      </c>
      <c r="C70" s="32" t="s">
        <v>140</v>
      </c>
      <c r="D70" s="32" t="s">
        <v>141</v>
      </c>
      <c r="E70" s="32" t="s">
        <v>142</v>
      </c>
      <c r="F70" s="32">
        <v>74418</v>
      </c>
      <c r="G70" s="32" t="s">
        <v>229</v>
      </c>
      <c r="H70" s="32" t="s">
        <v>230</v>
      </c>
      <c r="I70" s="33" t="s">
        <v>246</v>
      </c>
      <c r="J70" s="33" t="s">
        <v>254</v>
      </c>
      <c r="K70" s="33" t="s">
        <v>182</v>
      </c>
      <c r="L70" s="34">
        <v>80</v>
      </c>
      <c r="M70" s="34">
        <v>20.9</v>
      </c>
      <c r="N70" s="34">
        <v>21.4</v>
      </c>
    </row>
    <row r="71" spans="1:14" ht="16.5" customHeight="1">
      <c r="A71" s="32" t="s">
        <v>138</v>
      </c>
      <c r="B71" s="32" t="s">
        <v>139</v>
      </c>
      <c r="C71" s="32" t="s">
        <v>140</v>
      </c>
      <c r="D71" s="32" t="s">
        <v>141</v>
      </c>
      <c r="E71" s="32" t="s">
        <v>142</v>
      </c>
      <c r="F71" s="32">
        <v>74418</v>
      </c>
      <c r="G71" s="32" t="s">
        <v>229</v>
      </c>
      <c r="H71" s="32" t="s">
        <v>230</v>
      </c>
      <c r="I71" s="33" t="s">
        <v>246</v>
      </c>
      <c r="J71" s="33" t="s">
        <v>255</v>
      </c>
      <c r="K71" s="33" t="s">
        <v>184</v>
      </c>
      <c r="L71" s="34">
        <v>81</v>
      </c>
      <c r="M71" s="34">
        <v>21.1</v>
      </c>
      <c r="N71" s="34">
        <v>21.6</v>
      </c>
    </row>
    <row r="72" spans="1:14" ht="16.5" customHeight="1">
      <c r="A72" s="32" t="s">
        <v>138</v>
      </c>
      <c r="B72" s="32" t="s">
        <v>139</v>
      </c>
      <c r="C72" s="32" t="s">
        <v>140</v>
      </c>
      <c r="D72" s="32" t="s">
        <v>141</v>
      </c>
      <c r="E72" s="32" t="s">
        <v>142</v>
      </c>
      <c r="F72" s="32">
        <v>74418</v>
      </c>
      <c r="G72" s="32" t="s">
        <v>229</v>
      </c>
      <c r="H72" s="32" t="s">
        <v>230</v>
      </c>
      <c r="I72" s="33" t="s">
        <v>246</v>
      </c>
      <c r="J72" s="33" t="s">
        <v>256</v>
      </c>
      <c r="K72" s="33" t="s">
        <v>186</v>
      </c>
      <c r="L72" s="34">
        <v>80</v>
      </c>
      <c r="M72" s="34">
        <v>21</v>
      </c>
      <c r="N72" s="34">
        <v>21.5</v>
      </c>
    </row>
    <row r="73" spans="1:14" ht="16.5" customHeight="1">
      <c r="A73" s="32" t="s">
        <v>138</v>
      </c>
      <c r="B73" s="32" t="s">
        <v>139</v>
      </c>
      <c r="C73" s="32" t="s">
        <v>140</v>
      </c>
      <c r="D73" s="32" t="s">
        <v>141</v>
      </c>
      <c r="E73" s="32" t="s">
        <v>142</v>
      </c>
      <c r="F73" s="32">
        <v>74418</v>
      </c>
      <c r="G73" s="32" t="s">
        <v>229</v>
      </c>
      <c r="H73" s="32" t="s">
        <v>230</v>
      </c>
      <c r="I73" s="33" t="s">
        <v>246</v>
      </c>
      <c r="J73" s="33" t="s">
        <v>257</v>
      </c>
      <c r="K73" s="33" t="s">
        <v>188</v>
      </c>
      <c r="L73" s="34">
        <v>82</v>
      </c>
      <c r="M73" s="34">
        <v>21.5</v>
      </c>
      <c r="N73" s="34">
        <v>22</v>
      </c>
    </row>
    <row r="74" spans="1:14" ht="16.5" customHeight="1">
      <c r="A74" s="32" t="s">
        <v>138</v>
      </c>
      <c r="B74" s="32" t="s">
        <v>139</v>
      </c>
      <c r="C74" s="32" t="s">
        <v>140</v>
      </c>
      <c r="D74" s="32" t="s">
        <v>141</v>
      </c>
      <c r="E74" s="32" t="s">
        <v>142</v>
      </c>
      <c r="F74" s="32">
        <v>74418</v>
      </c>
      <c r="G74" s="32" t="s">
        <v>229</v>
      </c>
      <c r="H74" s="32" t="s">
        <v>230</v>
      </c>
      <c r="I74" s="33" t="s">
        <v>246</v>
      </c>
      <c r="J74" s="33" t="s">
        <v>258</v>
      </c>
      <c r="K74" s="33" t="s">
        <v>190</v>
      </c>
      <c r="L74" s="34">
        <v>82</v>
      </c>
      <c r="M74" s="34">
        <v>21.4</v>
      </c>
      <c r="N74" s="34">
        <v>21.9</v>
      </c>
    </row>
    <row r="75" spans="1:14" ht="16.5" customHeight="1">
      <c r="A75" s="32" t="s">
        <v>138</v>
      </c>
      <c r="B75" s="32" t="s">
        <v>139</v>
      </c>
      <c r="C75" s="32" t="s">
        <v>140</v>
      </c>
      <c r="D75" s="32" t="s">
        <v>141</v>
      </c>
      <c r="E75" s="32" t="s">
        <v>142</v>
      </c>
      <c r="F75" s="32">
        <v>74418</v>
      </c>
      <c r="G75" s="32" t="s">
        <v>229</v>
      </c>
      <c r="H75" s="32" t="s">
        <v>230</v>
      </c>
      <c r="I75" s="33" t="s">
        <v>246</v>
      </c>
      <c r="J75" s="33" t="s">
        <v>259</v>
      </c>
      <c r="K75" s="33" t="s">
        <v>210</v>
      </c>
      <c r="L75" s="34">
        <v>77</v>
      </c>
      <c r="M75" s="34">
        <v>20</v>
      </c>
      <c r="N75" s="34">
        <v>20.5</v>
      </c>
    </row>
    <row r="76" spans="1:14" ht="16.5" customHeight="1">
      <c r="A76" s="32" t="s">
        <v>138</v>
      </c>
      <c r="B76" s="32" t="s">
        <v>139</v>
      </c>
      <c r="C76" s="32" t="s">
        <v>140</v>
      </c>
      <c r="D76" s="32" t="s">
        <v>141</v>
      </c>
      <c r="E76" s="32" t="s">
        <v>142</v>
      </c>
      <c r="F76" s="32">
        <v>74418</v>
      </c>
      <c r="G76" s="32" t="s">
        <v>229</v>
      </c>
      <c r="H76" s="32" t="s">
        <v>230</v>
      </c>
      <c r="I76" s="33" t="s">
        <v>246</v>
      </c>
      <c r="J76" s="33" t="s">
        <v>260</v>
      </c>
      <c r="K76" s="33" t="s">
        <v>212</v>
      </c>
      <c r="L76" s="34">
        <v>75</v>
      </c>
      <c r="M76" s="34">
        <v>19.5</v>
      </c>
      <c r="N76" s="34">
        <v>20</v>
      </c>
    </row>
    <row r="77" spans="1:14" ht="16.5" customHeight="1">
      <c r="A77" s="32" t="s">
        <v>138</v>
      </c>
      <c r="B77" s="32" t="s">
        <v>139</v>
      </c>
      <c r="C77" s="32" t="s">
        <v>140</v>
      </c>
      <c r="D77" s="32" t="s">
        <v>141</v>
      </c>
      <c r="E77" s="32" t="s">
        <v>142</v>
      </c>
      <c r="F77" s="32">
        <v>74418</v>
      </c>
      <c r="G77" s="32" t="s">
        <v>229</v>
      </c>
      <c r="H77" s="32" t="s">
        <v>230</v>
      </c>
      <c r="I77" s="33" t="s">
        <v>246</v>
      </c>
      <c r="J77" s="33" t="s">
        <v>261</v>
      </c>
      <c r="K77" s="33" t="s">
        <v>214</v>
      </c>
      <c r="L77" s="34">
        <v>80</v>
      </c>
      <c r="M77" s="34">
        <v>20.9</v>
      </c>
      <c r="N77" s="34">
        <v>21.4</v>
      </c>
    </row>
    <row r="78" spans="1:14" ht="16.5" customHeight="1">
      <c r="A78" s="32" t="s">
        <v>138</v>
      </c>
      <c r="B78" s="32" t="s">
        <v>139</v>
      </c>
      <c r="C78" s="32" t="s">
        <v>140</v>
      </c>
      <c r="D78" s="32" t="s">
        <v>141</v>
      </c>
      <c r="E78" s="32" t="s">
        <v>142</v>
      </c>
      <c r="F78" s="32">
        <v>74418</v>
      </c>
      <c r="G78" s="32" t="s">
        <v>229</v>
      </c>
      <c r="H78" s="32" t="s">
        <v>230</v>
      </c>
      <c r="I78" s="33" t="s">
        <v>246</v>
      </c>
      <c r="J78" s="33" t="s">
        <v>262</v>
      </c>
      <c r="K78" s="33" t="s">
        <v>215</v>
      </c>
      <c r="L78" s="34">
        <v>82</v>
      </c>
      <c r="M78" s="34">
        <v>21.4</v>
      </c>
      <c r="N78" s="34">
        <v>21.9</v>
      </c>
    </row>
    <row r="79" spans="1:14" ht="16.5" customHeight="1">
      <c r="A79" s="32" t="s">
        <v>138</v>
      </c>
      <c r="B79" s="32" t="s">
        <v>139</v>
      </c>
      <c r="C79" s="32" t="s">
        <v>140</v>
      </c>
      <c r="D79" s="32" t="s">
        <v>141</v>
      </c>
      <c r="E79" s="32" t="s">
        <v>142</v>
      </c>
      <c r="F79" s="32">
        <v>74418</v>
      </c>
      <c r="G79" s="32" t="s">
        <v>229</v>
      </c>
      <c r="H79" s="32" t="s">
        <v>230</v>
      </c>
      <c r="I79" s="33" t="s">
        <v>246</v>
      </c>
      <c r="J79" s="33" t="s">
        <v>263</v>
      </c>
      <c r="K79" s="33" t="s">
        <v>264</v>
      </c>
      <c r="L79" s="34">
        <v>82</v>
      </c>
      <c r="M79" s="34">
        <v>21.4</v>
      </c>
      <c r="N79" s="34">
        <v>21.9</v>
      </c>
    </row>
    <row r="80" spans="1:14" ht="16.5" customHeight="1">
      <c r="A80" s="32" t="s">
        <v>138</v>
      </c>
      <c r="B80" s="32" t="s">
        <v>139</v>
      </c>
      <c r="C80" s="32" t="s">
        <v>140</v>
      </c>
      <c r="D80" s="32" t="s">
        <v>141</v>
      </c>
      <c r="E80" s="32" t="s">
        <v>142</v>
      </c>
      <c r="F80" s="32">
        <v>74418</v>
      </c>
      <c r="G80" s="32" t="s">
        <v>229</v>
      </c>
      <c r="H80" s="32" t="s">
        <v>230</v>
      </c>
      <c r="I80" s="33" t="s">
        <v>246</v>
      </c>
      <c r="J80" s="33" t="s">
        <v>232</v>
      </c>
      <c r="K80" s="33" t="s">
        <v>233</v>
      </c>
      <c r="L80" s="34">
        <v>82</v>
      </c>
      <c r="M80" s="34">
        <v>21.4</v>
      </c>
      <c r="N80" s="34">
        <v>21.9</v>
      </c>
    </row>
    <row r="81" spans="1:14" ht="16.5" customHeight="1">
      <c r="A81" s="32" t="s">
        <v>138</v>
      </c>
      <c r="B81" s="32" t="s">
        <v>139</v>
      </c>
      <c r="C81" s="32" t="s">
        <v>140</v>
      </c>
      <c r="D81" s="32" t="s">
        <v>141</v>
      </c>
      <c r="E81" s="32" t="s">
        <v>142</v>
      </c>
      <c r="F81" s="32">
        <v>74418</v>
      </c>
      <c r="G81" s="32" t="s">
        <v>229</v>
      </c>
      <c r="H81" s="32" t="s">
        <v>230</v>
      </c>
      <c r="I81" s="33" t="s">
        <v>246</v>
      </c>
      <c r="J81" s="33" t="s">
        <v>234</v>
      </c>
      <c r="K81" s="33" t="s">
        <v>235</v>
      </c>
      <c r="L81" s="34">
        <v>78</v>
      </c>
      <c r="M81" s="34">
        <v>20.399999999999999</v>
      </c>
      <c r="N81" s="34">
        <v>20.9</v>
      </c>
    </row>
    <row r="82" spans="1:14" ht="16.5" customHeight="1">
      <c r="A82" s="32" t="s">
        <v>138</v>
      </c>
      <c r="B82" s="32" t="s">
        <v>139</v>
      </c>
      <c r="C82" s="32" t="s">
        <v>140</v>
      </c>
      <c r="D82" s="32" t="s">
        <v>141</v>
      </c>
      <c r="E82" s="32" t="s">
        <v>142</v>
      </c>
      <c r="F82" s="32">
        <v>74418</v>
      </c>
      <c r="G82" s="32" t="s">
        <v>229</v>
      </c>
      <c r="H82" s="32" t="s">
        <v>230</v>
      </c>
      <c r="I82" s="33" t="s">
        <v>246</v>
      </c>
      <c r="J82" s="33" t="s">
        <v>236</v>
      </c>
      <c r="K82" s="33" t="s">
        <v>265</v>
      </c>
      <c r="L82" s="34">
        <v>60</v>
      </c>
      <c r="M82" s="34">
        <v>15.7</v>
      </c>
      <c r="N82" s="34">
        <v>16.2</v>
      </c>
    </row>
    <row r="83" spans="1:14" ht="16.5" customHeight="1">
      <c r="A83" s="32" t="s">
        <v>138</v>
      </c>
      <c r="B83" s="32" t="s">
        <v>139</v>
      </c>
      <c r="C83" s="32" t="s">
        <v>140</v>
      </c>
      <c r="D83" s="32" t="s">
        <v>141</v>
      </c>
      <c r="E83" s="32" t="s">
        <v>142</v>
      </c>
      <c r="F83" s="32">
        <v>74418</v>
      </c>
      <c r="G83" s="32" t="s">
        <v>266</v>
      </c>
      <c r="H83" s="32" t="s">
        <v>267</v>
      </c>
      <c r="I83" s="33" t="s">
        <v>268</v>
      </c>
      <c r="J83" s="33" t="s">
        <v>269</v>
      </c>
      <c r="K83" s="33" t="s">
        <v>147</v>
      </c>
      <c r="L83" s="34">
        <v>81</v>
      </c>
      <c r="M83" s="34">
        <v>21.1</v>
      </c>
      <c r="N83" s="34">
        <v>21.6</v>
      </c>
    </row>
    <row r="84" spans="1:14" ht="16.5" customHeight="1">
      <c r="A84" s="32" t="s">
        <v>138</v>
      </c>
      <c r="B84" s="32" t="s">
        <v>139</v>
      </c>
      <c r="C84" s="32" t="s">
        <v>140</v>
      </c>
      <c r="D84" s="32" t="s">
        <v>141</v>
      </c>
      <c r="E84" s="32" t="s">
        <v>142</v>
      </c>
      <c r="F84" s="32">
        <v>74418</v>
      </c>
      <c r="G84" s="32" t="s">
        <v>266</v>
      </c>
      <c r="H84" s="32" t="s">
        <v>267</v>
      </c>
      <c r="I84" s="33" t="s">
        <v>268</v>
      </c>
      <c r="J84" s="33" t="s">
        <v>270</v>
      </c>
      <c r="K84" s="33" t="s">
        <v>149</v>
      </c>
      <c r="L84" s="34">
        <v>82</v>
      </c>
      <c r="M84" s="34">
        <v>21.4</v>
      </c>
      <c r="N84" s="34">
        <v>21.9</v>
      </c>
    </row>
    <row r="85" spans="1:14" ht="16.5" customHeight="1">
      <c r="A85" s="32" t="s">
        <v>138</v>
      </c>
      <c r="B85" s="32" t="s">
        <v>139</v>
      </c>
      <c r="C85" s="32" t="s">
        <v>140</v>
      </c>
      <c r="D85" s="32" t="s">
        <v>141</v>
      </c>
      <c r="E85" s="32" t="s">
        <v>142</v>
      </c>
      <c r="F85" s="32">
        <v>74418</v>
      </c>
      <c r="G85" s="32" t="s">
        <v>266</v>
      </c>
      <c r="H85" s="32" t="s">
        <v>267</v>
      </c>
      <c r="I85" s="33" t="s">
        <v>268</v>
      </c>
      <c r="J85" s="33" t="s">
        <v>271</v>
      </c>
      <c r="K85" s="33" t="s">
        <v>151</v>
      </c>
      <c r="L85" s="34">
        <v>81</v>
      </c>
      <c r="M85" s="34">
        <v>21.1</v>
      </c>
      <c r="N85" s="34">
        <v>21.6</v>
      </c>
    </row>
    <row r="86" spans="1:14" ht="16.5" customHeight="1">
      <c r="A86" s="32" t="s">
        <v>138</v>
      </c>
      <c r="B86" s="32" t="s">
        <v>139</v>
      </c>
      <c r="C86" s="32" t="s">
        <v>140</v>
      </c>
      <c r="D86" s="32" t="s">
        <v>141</v>
      </c>
      <c r="E86" s="32" t="s">
        <v>142</v>
      </c>
      <c r="F86" s="32">
        <v>74418</v>
      </c>
      <c r="G86" s="32" t="s">
        <v>266</v>
      </c>
      <c r="H86" s="32" t="s">
        <v>267</v>
      </c>
      <c r="I86" s="33" t="s">
        <v>268</v>
      </c>
      <c r="J86" s="33" t="s">
        <v>272</v>
      </c>
      <c r="K86" s="33" t="s">
        <v>153</v>
      </c>
      <c r="L86" s="34">
        <v>82</v>
      </c>
      <c r="M86" s="34">
        <v>21.3</v>
      </c>
      <c r="N86" s="34">
        <v>21.8</v>
      </c>
    </row>
    <row r="87" spans="1:14" ht="16.5" customHeight="1">
      <c r="A87" s="32" t="s">
        <v>138</v>
      </c>
      <c r="B87" s="32" t="s">
        <v>139</v>
      </c>
      <c r="C87" s="32" t="s">
        <v>140</v>
      </c>
      <c r="D87" s="32" t="s">
        <v>141</v>
      </c>
      <c r="E87" s="32" t="s">
        <v>142</v>
      </c>
      <c r="F87" s="32">
        <v>74418</v>
      </c>
      <c r="G87" s="32" t="s">
        <v>266</v>
      </c>
      <c r="H87" s="32" t="s">
        <v>267</v>
      </c>
      <c r="I87" s="33" t="s">
        <v>273</v>
      </c>
      <c r="J87" s="33" t="s">
        <v>274</v>
      </c>
      <c r="K87" s="33" t="s">
        <v>237</v>
      </c>
      <c r="L87" s="34">
        <v>81</v>
      </c>
      <c r="M87" s="34">
        <v>21.1</v>
      </c>
      <c r="N87" s="34">
        <v>21.6</v>
      </c>
    </row>
    <row r="88" spans="1:14" ht="16.5" customHeight="1">
      <c r="A88" s="32" t="s">
        <v>138</v>
      </c>
      <c r="B88" s="32" t="s">
        <v>139</v>
      </c>
      <c r="C88" s="32" t="s">
        <v>140</v>
      </c>
      <c r="D88" s="32" t="s">
        <v>141</v>
      </c>
      <c r="E88" s="32" t="s">
        <v>142</v>
      </c>
      <c r="F88" s="32">
        <v>74418</v>
      </c>
      <c r="G88" s="32" t="s">
        <v>266</v>
      </c>
      <c r="H88" s="32" t="s">
        <v>267</v>
      </c>
      <c r="I88" s="33" t="s">
        <v>273</v>
      </c>
      <c r="J88" s="33" t="s">
        <v>275</v>
      </c>
      <c r="K88" s="33" t="s">
        <v>276</v>
      </c>
      <c r="L88" s="34">
        <v>81</v>
      </c>
      <c r="M88" s="34">
        <v>21</v>
      </c>
      <c r="N88" s="34">
        <v>21.5</v>
      </c>
    </row>
    <row r="89" spans="1:14" ht="16.5" customHeight="1">
      <c r="A89" s="32" t="s">
        <v>138</v>
      </c>
      <c r="B89" s="32" t="s">
        <v>139</v>
      </c>
      <c r="C89" s="32" t="s">
        <v>140</v>
      </c>
      <c r="D89" s="32" t="s">
        <v>141</v>
      </c>
      <c r="E89" s="32" t="s">
        <v>142</v>
      </c>
      <c r="F89" s="32">
        <v>74418</v>
      </c>
      <c r="G89" s="32" t="s">
        <v>266</v>
      </c>
      <c r="H89" s="32" t="s">
        <v>267</v>
      </c>
      <c r="I89" s="33" t="s">
        <v>273</v>
      </c>
      <c r="J89" s="33" t="s">
        <v>277</v>
      </c>
      <c r="K89" s="33" t="s">
        <v>239</v>
      </c>
      <c r="L89" s="34">
        <v>81</v>
      </c>
      <c r="M89" s="34">
        <v>21.1</v>
      </c>
      <c r="N89" s="34">
        <v>21.6</v>
      </c>
    </row>
    <row r="90" spans="1:14" ht="16.5" customHeight="1">
      <c r="A90" s="32" t="s">
        <v>138</v>
      </c>
      <c r="B90" s="32" t="s">
        <v>139</v>
      </c>
      <c r="C90" s="32" t="s">
        <v>140</v>
      </c>
      <c r="D90" s="32" t="s">
        <v>141</v>
      </c>
      <c r="E90" s="32" t="s">
        <v>142</v>
      </c>
      <c r="F90" s="32">
        <v>74418</v>
      </c>
      <c r="G90" s="32" t="s">
        <v>266</v>
      </c>
      <c r="H90" s="32" t="s">
        <v>267</v>
      </c>
      <c r="I90" s="33" t="s">
        <v>273</v>
      </c>
      <c r="J90" s="33" t="s">
        <v>278</v>
      </c>
      <c r="K90" s="33" t="s">
        <v>241</v>
      </c>
      <c r="L90" s="34">
        <v>82</v>
      </c>
      <c r="M90" s="34">
        <v>21.2</v>
      </c>
      <c r="N90" s="34">
        <v>21.7</v>
      </c>
    </row>
    <row r="91" spans="1:14" ht="16.5" customHeight="1">
      <c r="A91" s="32" t="s">
        <v>138</v>
      </c>
      <c r="B91" s="32" t="s">
        <v>139</v>
      </c>
      <c r="C91" s="32" t="s">
        <v>140</v>
      </c>
      <c r="D91" s="32" t="s">
        <v>141</v>
      </c>
      <c r="E91" s="32" t="s">
        <v>142</v>
      </c>
      <c r="F91" s="32">
        <v>74418</v>
      </c>
      <c r="G91" s="32" t="s">
        <v>266</v>
      </c>
      <c r="H91" s="32" t="s">
        <v>267</v>
      </c>
      <c r="I91" s="33" t="s">
        <v>273</v>
      </c>
      <c r="J91" s="33" t="s">
        <v>279</v>
      </c>
      <c r="K91" s="33" t="s">
        <v>243</v>
      </c>
      <c r="L91" s="34">
        <v>82</v>
      </c>
      <c r="M91" s="34">
        <v>21.2</v>
      </c>
      <c r="N91" s="34">
        <v>21.7</v>
      </c>
    </row>
    <row r="92" spans="1:14" ht="16.5" customHeight="1">
      <c r="A92" s="32" t="s">
        <v>138</v>
      </c>
      <c r="B92" s="32" t="s">
        <v>139</v>
      </c>
      <c r="C92" s="32" t="s">
        <v>140</v>
      </c>
      <c r="D92" s="32" t="s">
        <v>141</v>
      </c>
      <c r="E92" s="32" t="s">
        <v>142</v>
      </c>
      <c r="F92" s="32">
        <v>74418</v>
      </c>
      <c r="G92" s="32" t="s">
        <v>266</v>
      </c>
      <c r="H92" s="32" t="s">
        <v>267</v>
      </c>
      <c r="I92" s="33" t="s">
        <v>273</v>
      </c>
      <c r="J92" s="33" t="s">
        <v>280</v>
      </c>
      <c r="K92" s="33" t="s">
        <v>281</v>
      </c>
      <c r="L92" s="34">
        <v>32</v>
      </c>
      <c r="M92" s="34">
        <v>8.1999999999999993</v>
      </c>
      <c r="N92" s="34">
        <v>8.6999999999999993</v>
      </c>
    </row>
    <row r="93" spans="1:14" ht="16.5" customHeight="1">
      <c r="A93" s="32" t="s">
        <v>138</v>
      </c>
      <c r="B93" s="32" t="s">
        <v>139</v>
      </c>
      <c r="C93" s="32" t="s">
        <v>140</v>
      </c>
      <c r="D93" s="32" t="s">
        <v>141</v>
      </c>
      <c r="E93" s="32" t="s">
        <v>142</v>
      </c>
      <c r="F93" s="32">
        <v>74418</v>
      </c>
      <c r="G93" s="32" t="s">
        <v>266</v>
      </c>
      <c r="H93" s="32" t="s">
        <v>267</v>
      </c>
      <c r="I93" s="33" t="s">
        <v>273</v>
      </c>
      <c r="J93" s="33" t="s">
        <v>282</v>
      </c>
      <c r="K93" s="33" t="s">
        <v>245</v>
      </c>
      <c r="L93" s="34">
        <v>30</v>
      </c>
      <c r="M93" s="34">
        <v>7.7</v>
      </c>
      <c r="N93" s="34">
        <v>8.1999999999999993</v>
      </c>
    </row>
    <row r="94" spans="1:14" ht="16.5" customHeight="1">
      <c r="A94" s="32" t="s">
        <v>138</v>
      </c>
      <c r="B94" s="32" t="s">
        <v>139</v>
      </c>
      <c r="C94" s="32" t="s">
        <v>140</v>
      </c>
      <c r="D94" s="32" t="s">
        <v>141</v>
      </c>
      <c r="E94" s="32" t="s">
        <v>142</v>
      </c>
      <c r="F94" s="32">
        <v>74418</v>
      </c>
      <c r="G94" s="32" t="s">
        <v>266</v>
      </c>
      <c r="H94" s="32" t="s">
        <v>267</v>
      </c>
      <c r="I94" s="33" t="s">
        <v>273</v>
      </c>
      <c r="J94" s="33" t="s">
        <v>283</v>
      </c>
      <c r="K94" s="33" t="s">
        <v>284</v>
      </c>
      <c r="L94" s="34">
        <v>80</v>
      </c>
      <c r="M94" s="34">
        <v>20.8</v>
      </c>
      <c r="N94" s="34">
        <v>21.3</v>
      </c>
    </row>
    <row r="95" spans="1:14" ht="16.5" customHeight="1">
      <c r="A95" s="32" t="s">
        <v>138</v>
      </c>
      <c r="B95" s="32" t="s">
        <v>139</v>
      </c>
      <c r="C95" s="32" t="s">
        <v>140</v>
      </c>
      <c r="D95" s="32" t="s">
        <v>141</v>
      </c>
      <c r="E95" s="32" t="s">
        <v>142</v>
      </c>
      <c r="F95" s="32">
        <v>74418</v>
      </c>
      <c r="G95" s="32" t="s">
        <v>266</v>
      </c>
      <c r="H95" s="32" t="s">
        <v>267</v>
      </c>
      <c r="I95" s="33" t="s">
        <v>273</v>
      </c>
      <c r="J95" s="33" t="s">
        <v>285</v>
      </c>
      <c r="K95" s="33" t="s">
        <v>286</v>
      </c>
      <c r="L95" s="34">
        <v>50</v>
      </c>
      <c r="M95" s="34">
        <v>13</v>
      </c>
      <c r="N95" s="34">
        <v>13.5</v>
      </c>
    </row>
    <row r="96" spans="1:14" ht="16.5" customHeight="1">
      <c r="A96" s="32" t="s">
        <v>138</v>
      </c>
      <c r="B96" s="32" t="s">
        <v>139</v>
      </c>
      <c r="C96" s="32" t="s">
        <v>140</v>
      </c>
      <c r="D96" s="32" t="s">
        <v>141</v>
      </c>
      <c r="E96" s="32" t="s">
        <v>142</v>
      </c>
      <c r="F96" s="32">
        <v>74418</v>
      </c>
      <c r="G96" s="32" t="s">
        <v>287</v>
      </c>
      <c r="H96" s="32" t="s">
        <v>288</v>
      </c>
      <c r="I96" s="33" t="s">
        <v>289</v>
      </c>
      <c r="J96" s="33" t="s">
        <v>290</v>
      </c>
      <c r="K96" s="33" t="s">
        <v>147</v>
      </c>
      <c r="L96" s="34">
        <v>78</v>
      </c>
      <c r="M96" s="34">
        <v>20.5</v>
      </c>
      <c r="N96" s="34">
        <v>21</v>
      </c>
    </row>
    <row r="97" spans="1:14" ht="16.5" customHeight="1">
      <c r="A97" s="32" t="s">
        <v>138</v>
      </c>
      <c r="B97" s="32" t="s">
        <v>139</v>
      </c>
      <c r="C97" s="32" t="s">
        <v>140</v>
      </c>
      <c r="D97" s="32" t="s">
        <v>141</v>
      </c>
      <c r="E97" s="32" t="s">
        <v>142</v>
      </c>
      <c r="F97" s="32">
        <v>74418</v>
      </c>
      <c r="G97" s="32" t="s">
        <v>287</v>
      </c>
      <c r="H97" s="32" t="s">
        <v>288</v>
      </c>
      <c r="I97" s="33" t="s">
        <v>289</v>
      </c>
      <c r="J97" s="33" t="s">
        <v>291</v>
      </c>
      <c r="K97" s="33" t="s">
        <v>149</v>
      </c>
      <c r="L97" s="34">
        <v>79</v>
      </c>
      <c r="M97" s="34">
        <v>20.8</v>
      </c>
      <c r="N97" s="34">
        <v>21.3</v>
      </c>
    </row>
    <row r="98" spans="1:14" ht="16.5" customHeight="1">
      <c r="A98" s="32" t="s">
        <v>138</v>
      </c>
      <c r="B98" s="32" t="s">
        <v>139</v>
      </c>
      <c r="C98" s="32" t="s">
        <v>140</v>
      </c>
      <c r="D98" s="32" t="s">
        <v>141</v>
      </c>
      <c r="E98" s="32" t="s">
        <v>142</v>
      </c>
      <c r="F98" s="32">
        <v>74418</v>
      </c>
      <c r="G98" s="32" t="s">
        <v>287</v>
      </c>
      <c r="H98" s="32" t="s">
        <v>288</v>
      </c>
      <c r="I98" s="33" t="s">
        <v>289</v>
      </c>
      <c r="J98" s="33" t="s">
        <v>292</v>
      </c>
      <c r="K98" s="33" t="s">
        <v>151</v>
      </c>
      <c r="L98" s="34">
        <v>82</v>
      </c>
      <c r="M98" s="34">
        <v>21.4</v>
      </c>
      <c r="N98" s="34">
        <v>21.9</v>
      </c>
    </row>
    <row r="99" spans="1:14" ht="16.5" customHeight="1">
      <c r="A99" s="32" t="s">
        <v>138</v>
      </c>
      <c r="B99" s="32" t="s">
        <v>139</v>
      </c>
      <c r="C99" s="32" t="s">
        <v>140</v>
      </c>
      <c r="D99" s="32" t="s">
        <v>141</v>
      </c>
      <c r="E99" s="32" t="s">
        <v>142</v>
      </c>
      <c r="F99" s="32">
        <v>74418</v>
      </c>
      <c r="G99" s="32" t="s">
        <v>287</v>
      </c>
      <c r="H99" s="32" t="s">
        <v>288</v>
      </c>
      <c r="I99" s="33" t="s">
        <v>293</v>
      </c>
      <c r="J99" s="33" t="s">
        <v>294</v>
      </c>
      <c r="K99" s="33" t="s">
        <v>190</v>
      </c>
      <c r="L99" s="34">
        <v>81</v>
      </c>
      <c r="M99" s="34">
        <v>21.1</v>
      </c>
      <c r="N99" s="34">
        <v>21.6</v>
      </c>
    </row>
    <row r="100" spans="1:14" ht="16.5" customHeight="1">
      <c r="A100" s="32" t="s">
        <v>138</v>
      </c>
      <c r="B100" s="32" t="s">
        <v>139</v>
      </c>
      <c r="C100" s="32" t="s">
        <v>140</v>
      </c>
      <c r="D100" s="32" t="s">
        <v>141</v>
      </c>
      <c r="E100" s="32" t="s">
        <v>142</v>
      </c>
      <c r="F100" s="32">
        <v>74418</v>
      </c>
      <c r="G100" s="32" t="s">
        <v>287</v>
      </c>
      <c r="H100" s="32" t="s">
        <v>288</v>
      </c>
      <c r="I100" s="33" t="s">
        <v>295</v>
      </c>
      <c r="J100" s="33" t="s">
        <v>296</v>
      </c>
      <c r="K100" s="33" t="s">
        <v>149</v>
      </c>
      <c r="L100" s="34">
        <v>79</v>
      </c>
      <c r="M100" s="34">
        <v>20.5</v>
      </c>
      <c r="N100" s="34">
        <v>21</v>
      </c>
    </row>
    <row r="101" spans="1:14" ht="16.5" customHeight="1">
      <c r="A101" s="32" t="s">
        <v>138</v>
      </c>
      <c r="B101" s="32" t="s">
        <v>139</v>
      </c>
      <c r="C101" s="32" t="s">
        <v>140</v>
      </c>
      <c r="D101" s="32" t="s">
        <v>141</v>
      </c>
      <c r="E101" s="32" t="s">
        <v>142</v>
      </c>
      <c r="F101" s="32">
        <v>74418</v>
      </c>
      <c r="G101" s="32" t="s">
        <v>297</v>
      </c>
      <c r="H101" s="32" t="s">
        <v>298</v>
      </c>
      <c r="I101" s="33" t="s">
        <v>299</v>
      </c>
      <c r="J101" s="33" t="s">
        <v>300</v>
      </c>
      <c r="K101" s="33" t="s">
        <v>147</v>
      </c>
      <c r="L101" s="34">
        <v>77</v>
      </c>
      <c r="M101" s="34">
        <v>20.100000000000001</v>
      </c>
      <c r="N101" s="34">
        <v>20.6</v>
      </c>
    </row>
    <row r="102" spans="1:14" ht="16.5" customHeight="1">
      <c r="A102" s="32" t="s">
        <v>138</v>
      </c>
      <c r="B102" s="32" t="s">
        <v>139</v>
      </c>
      <c r="C102" s="32" t="s">
        <v>140</v>
      </c>
      <c r="D102" s="32" t="s">
        <v>141</v>
      </c>
      <c r="E102" s="32" t="s">
        <v>142</v>
      </c>
      <c r="F102" s="32">
        <v>74418</v>
      </c>
      <c r="G102" s="32" t="s">
        <v>301</v>
      </c>
      <c r="H102" s="32" t="s">
        <v>302</v>
      </c>
      <c r="I102" s="33" t="s">
        <v>303</v>
      </c>
      <c r="J102" s="33" t="s">
        <v>304</v>
      </c>
      <c r="K102" s="33" t="s">
        <v>147</v>
      </c>
      <c r="L102" s="34">
        <v>79</v>
      </c>
      <c r="M102" s="34">
        <v>20.8</v>
      </c>
      <c r="N102" s="34">
        <v>21.3</v>
      </c>
    </row>
    <row r="103" spans="1:14" ht="16.5" customHeight="1">
      <c r="A103" s="32" t="s">
        <v>138</v>
      </c>
      <c r="B103" s="32" t="s">
        <v>139</v>
      </c>
      <c r="C103" s="32" t="s">
        <v>140</v>
      </c>
      <c r="D103" s="32" t="s">
        <v>141</v>
      </c>
      <c r="E103" s="32" t="s">
        <v>142</v>
      </c>
      <c r="F103" s="32">
        <v>74418</v>
      </c>
      <c r="G103" s="32" t="s">
        <v>301</v>
      </c>
      <c r="H103" s="32" t="s">
        <v>302</v>
      </c>
      <c r="I103" s="33" t="s">
        <v>303</v>
      </c>
      <c r="J103" s="33" t="s">
        <v>305</v>
      </c>
      <c r="K103" s="33" t="s">
        <v>149</v>
      </c>
      <c r="L103" s="34">
        <v>81</v>
      </c>
      <c r="M103" s="34">
        <v>21.4</v>
      </c>
      <c r="N103" s="34">
        <v>21.9</v>
      </c>
    </row>
    <row r="104" spans="1:14" ht="16.5" customHeight="1">
      <c r="A104" s="32" t="s">
        <v>138</v>
      </c>
      <c r="B104" s="32" t="s">
        <v>139</v>
      </c>
      <c r="C104" s="32" t="s">
        <v>140</v>
      </c>
      <c r="D104" s="32" t="s">
        <v>141</v>
      </c>
      <c r="E104" s="32" t="s">
        <v>142</v>
      </c>
      <c r="F104" s="32">
        <v>74418</v>
      </c>
      <c r="G104" s="32" t="s">
        <v>301</v>
      </c>
      <c r="H104" s="32" t="s">
        <v>302</v>
      </c>
      <c r="I104" s="33" t="s">
        <v>303</v>
      </c>
      <c r="J104" s="33" t="s">
        <v>306</v>
      </c>
      <c r="K104" s="33" t="s">
        <v>151</v>
      </c>
      <c r="L104" s="34">
        <v>81</v>
      </c>
      <c r="M104" s="34">
        <v>21.4</v>
      </c>
      <c r="N104" s="34">
        <v>21.9</v>
      </c>
    </row>
    <row r="105" spans="1:14" ht="16.5" customHeight="1">
      <c r="A105" s="32" t="s">
        <v>138</v>
      </c>
      <c r="B105" s="32" t="s">
        <v>139</v>
      </c>
      <c r="C105" s="32" t="s">
        <v>140</v>
      </c>
      <c r="D105" s="32" t="s">
        <v>141</v>
      </c>
      <c r="E105" s="32" t="s">
        <v>142</v>
      </c>
      <c r="F105" s="32">
        <v>74418</v>
      </c>
      <c r="G105" s="32" t="s">
        <v>301</v>
      </c>
      <c r="H105" s="32" t="s">
        <v>302</v>
      </c>
      <c r="I105" s="33" t="s">
        <v>303</v>
      </c>
      <c r="J105" s="33" t="s">
        <v>307</v>
      </c>
      <c r="K105" s="33" t="s">
        <v>153</v>
      </c>
      <c r="L105" s="34">
        <v>81</v>
      </c>
      <c r="M105" s="34">
        <v>21.2</v>
      </c>
      <c r="N105" s="34">
        <v>21.7</v>
      </c>
    </row>
    <row r="106" spans="1:14" ht="16.5" customHeight="1">
      <c r="A106" s="32" t="s">
        <v>138</v>
      </c>
      <c r="B106" s="32" t="s">
        <v>139</v>
      </c>
      <c r="C106" s="32" t="s">
        <v>140</v>
      </c>
      <c r="D106" s="32" t="s">
        <v>141</v>
      </c>
      <c r="E106" s="32" t="s">
        <v>142</v>
      </c>
      <c r="F106" s="32">
        <v>74418</v>
      </c>
      <c r="G106" s="32" t="s">
        <v>301</v>
      </c>
      <c r="H106" s="32" t="s">
        <v>302</v>
      </c>
      <c r="I106" s="33" t="s">
        <v>303</v>
      </c>
      <c r="J106" s="33" t="s">
        <v>308</v>
      </c>
      <c r="K106" s="33" t="s">
        <v>155</v>
      </c>
      <c r="L106" s="34">
        <v>81</v>
      </c>
      <c r="M106" s="34">
        <v>21.4</v>
      </c>
      <c r="N106" s="34">
        <v>21.9</v>
      </c>
    </row>
    <row r="107" spans="1:14" ht="16.5" customHeight="1">
      <c r="A107" s="32" t="s">
        <v>138</v>
      </c>
      <c r="B107" s="32" t="s">
        <v>139</v>
      </c>
      <c r="C107" s="32" t="s">
        <v>140</v>
      </c>
      <c r="D107" s="32" t="s">
        <v>141</v>
      </c>
      <c r="E107" s="32" t="s">
        <v>142</v>
      </c>
      <c r="F107" s="32">
        <v>74418</v>
      </c>
      <c r="G107" s="32" t="s">
        <v>301</v>
      </c>
      <c r="H107" s="32" t="s">
        <v>302</v>
      </c>
      <c r="I107" s="33" t="s">
        <v>303</v>
      </c>
      <c r="J107" s="33" t="s">
        <v>309</v>
      </c>
      <c r="K107" s="33" t="s">
        <v>179</v>
      </c>
      <c r="L107" s="34">
        <v>81</v>
      </c>
      <c r="M107" s="34">
        <v>21.3</v>
      </c>
      <c r="N107" s="34">
        <v>21.8</v>
      </c>
    </row>
    <row r="108" spans="1:14" ht="16.5" customHeight="1">
      <c r="A108" s="32" t="s">
        <v>138</v>
      </c>
      <c r="B108" s="32" t="s">
        <v>139</v>
      </c>
      <c r="C108" s="32" t="s">
        <v>140</v>
      </c>
      <c r="D108" s="32" t="s">
        <v>141</v>
      </c>
      <c r="E108" s="32" t="s">
        <v>142</v>
      </c>
      <c r="F108" s="32">
        <v>74418</v>
      </c>
      <c r="G108" s="32" t="s">
        <v>301</v>
      </c>
      <c r="H108" s="32" t="s">
        <v>302</v>
      </c>
      <c r="I108" s="33" t="s">
        <v>303</v>
      </c>
      <c r="J108" s="33" t="s">
        <v>310</v>
      </c>
      <c r="K108" s="33" t="s">
        <v>164</v>
      </c>
      <c r="L108" s="34">
        <v>81</v>
      </c>
      <c r="M108" s="34">
        <v>21.2</v>
      </c>
      <c r="N108" s="34">
        <v>21.7</v>
      </c>
    </row>
    <row r="109" spans="1:14" ht="16.5" customHeight="1">
      <c r="A109" s="32" t="s">
        <v>138</v>
      </c>
      <c r="B109" s="32" t="s">
        <v>139</v>
      </c>
      <c r="C109" s="32" t="s">
        <v>140</v>
      </c>
      <c r="D109" s="32" t="s">
        <v>141</v>
      </c>
      <c r="E109" s="32" t="s">
        <v>142</v>
      </c>
      <c r="F109" s="32">
        <v>74418</v>
      </c>
      <c r="G109" s="32" t="s">
        <v>301</v>
      </c>
      <c r="H109" s="32" t="s">
        <v>302</v>
      </c>
      <c r="I109" s="33" t="s">
        <v>303</v>
      </c>
      <c r="J109" s="33" t="s">
        <v>311</v>
      </c>
      <c r="K109" s="33" t="s">
        <v>182</v>
      </c>
      <c r="L109" s="34">
        <v>79</v>
      </c>
      <c r="M109" s="34">
        <v>20.8</v>
      </c>
      <c r="N109" s="34">
        <v>21.3</v>
      </c>
    </row>
    <row r="110" spans="1:14" ht="16.5" customHeight="1">
      <c r="A110" s="32" t="s">
        <v>138</v>
      </c>
      <c r="B110" s="32" t="s">
        <v>139</v>
      </c>
      <c r="C110" s="32" t="s">
        <v>140</v>
      </c>
      <c r="D110" s="32" t="s">
        <v>141</v>
      </c>
      <c r="E110" s="32" t="s">
        <v>142</v>
      </c>
      <c r="F110" s="32">
        <v>74418</v>
      </c>
      <c r="G110" s="32" t="s">
        <v>301</v>
      </c>
      <c r="H110" s="32" t="s">
        <v>302</v>
      </c>
      <c r="I110" s="33" t="s">
        <v>303</v>
      </c>
      <c r="J110" s="33" t="s">
        <v>312</v>
      </c>
      <c r="K110" s="33" t="s">
        <v>184</v>
      </c>
      <c r="L110" s="34">
        <v>81</v>
      </c>
      <c r="M110" s="34">
        <v>21.4</v>
      </c>
      <c r="N110" s="34">
        <v>21.9</v>
      </c>
    </row>
    <row r="111" spans="1:14" ht="16.5" customHeight="1">
      <c r="A111" s="32" t="s">
        <v>138</v>
      </c>
      <c r="B111" s="32" t="s">
        <v>139</v>
      </c>
      <c r="C111" s="32" t="s">
        <v>140</v>
      </c>
      <c r="D111" s="32" t="s">
        <v>141</v>
      </c>
      <c r="E111" s="32" t="s">
        <v>142</v>
      </c>
      <c r="F111" s="32">
        <v>74418</v>
      </c>
      <c r="G111" s="32" t="s">
        <v>301</v>
      </c>
      <c r="H111" s="32" t="s">
        <v>302</v>
      </c>
      <c r="I111" s="33" t="s">
        <v>303</v>
      </c>
      <c r="J111" s="33" t="s">
        <v>313</v>
      </c>
      <c r="K111" s="33" t="s">
        <v>186</v>
      </c>
      <c r="L111" s="34">
        <v>80</v>
      </c>
      <c r="M111" s="34">
        <v>21.1</v>
      </c>
      <c r="N111" s="34">
        <v>21.6</v>
      </c>
    </row>
    <row r="112" spans="1:14" ht="16.5" customHeight="1">
      <c r="A112" s="32" t="s">
        <v>138</v>
      </c>
      <c r="B112" s="32" t="s">
        <v>139</v>
      </c>
      <c r="C112" s="32" t="s">
        <v>140</v>
      </c>
      <c r="D112" s="32" t="s">
        <v>141</v>
      </c>
      <c r="E112" s="32" t="s">
        <v>142</v>
      </c>
      <c r="F112" s="32">
        <v>74418</v>
      </c>
      <c r="G112" s="32" t="s">
        <v>301</v>
      </c>
      <c r="H112" s="32" t="s">
        <v>302</v>
      </c>
      <c r="I112" s="33" t="s">
        <v>303</v>
      </c>
      <c r="J112" s="33" t="s">
        <v>314</v>
      </c>
      <c r="K112" s="33" t="s">
        <v>188</v>
      </c>
      <c r="L112" s="34">
        <v>76</v>
      </c>
      <c r="M112" s="34">
        <v>20.100000000000001</v>
      </c>
      <c r="N112" s="34">
        <v>20.6</v>
      </c>
    </row>
    <row r="113" spans="1:14" ht="16.5" customHeight="1">
      <c r="A113" s="32" t="s">
        <v>138</v>
      </c>
      <c r="B113" s="32" t="s">
        <v>139</v>
      </c>
      <c r="C113" s="32" t="s">
        <v>140</v>
      </c>
      <c r="D113" s="32" t="s">
        <v>141</v>
      </c>
      <c r="E113" s="32" t="s">
        <v>142</v>
      </c>
      <c r="F113" s="32">
        <v>74418</v>
      </c>
      <c r="G113" s="32" t="s">
        <v>301</v>
      </c>
      <c r="H113" s="32" t="s">
        <v>302</v>
      </c>
      <c r="I113" s="33" t="s">
        <v>303</v>
      </c>
      <c r="J113" s="33" t="s">
        <v>315</v>
      </c>
      <c r="K113" s="33" t="s">
        <v>190</v>
      </c>
      <c r="L113" s="34">
        <v>81</v>
      </c>
      <c r="M113" s="34">
        <v>21.2</v>
      </c>
      <c r="N113" s="34">
        <v>21.7</v>
      </c>
    </row>
    <row r="114" spans="1:14" ht="16.5" customHeight="1">
      <c r="A114" s="32" t="s">
        <v>138</v>
      </c>
      <c r="B114" s="32" t="s">
        <v>139</v>
      </c>
      <c r="C114" s="32" t="s">
        <v>140</v>
      </c>
      <c r="D114" s="32" t="s">
        <v>141</v>
      </c>
      <c r="E114" s="32" t="s">
        <v>142</v>
      </c>
      <c r="F114" s="32">
        <v>74418</v>
      </c>
      <c r="G114" s="32" t="s">
        <v>316</v>
      </c>
      <c r="H114" s="32" t="s">
        <v>317</v>
      </c>
      <c r="I114" s="33" t="s">
        <v>318</v>
      </c>
      <c r="J114" s="33" t="s">
        <v>319</v>
      </c>
      <c r="K114" s="33" t="s">
        <v>147</v>
      </c>
      <c r="L114" s="34">
        <v>81</v>
      </c>
      <c r="M114" s="34">
        <v>21.3</v>
      </c>
      <c r="N114" s="34">
        <v>21.8</v>
      </c>
    </row>
    <row r="115" spans="1:14" ht="16.5" customHeight="1">
      <c r="A115" s="32" t="s">
        <v>138</v>
      </c>
      <c r="B115" s="32" t="s">
        <v>139</v>
      </c>
      <c r="C115" s="32" t="s">
        <v>140</v>
      </c>
      <c r="D115" s="32" t="s">
        <v>141</v>
      </c>
      <c r="E115" s="32" t="s">
        <v>142</v>
      </c>
      <c r="F115" s="32">
        <v>74418</v>
      </c>
      <c r="G115" s="32" t="s">
        <v>316</v>
      </c>
      <c r="H115" s="32" t="s">
        <v>317</v>
      </c>
      <c r="I115" s="33" t="s">
        <v>318</v>
      </c>
      <c r="J115" s="33" t="s">
        <v>320</v>
      </c>
      <c r="K115" s="33" t="s">
        <v>149</v>
      </c>
      <c r="L115" s="34">
        <v>80</v>
      </c>
      <c r="M115" s="34">
        <v>21</v>
      </c>
      <c r="N115" s="34">
        <v>21.5</v>
      </c>
    </row>
    <row r="116" spans="1:14" ht="16.5" customHeight="1">
      <c r="A116" s="32" t="s">
        <v>138</v>
      </c>
      <c r="B116" s="32" t="s">
        <v>139</v>
      </c>
      <c r="C116" s="32" t="s">
        <v>140</v>
      </c>
      <c r="D116" s="32" t="s">
        <v>141</v>
      </c>
      <c r="E116" s="32" t="s">
        <v>142</v>
      </c>
      <c r="F116" s="32">
        <v>74418</v>
      </c>
      <c r="G116" s="32" t="s">
        <v>316</v>
      </c>
      <c r="H116" s="32" t="s">
        <v>317</v>
      </c>
      <c r="I116" s="33" t="s">
        <v>318</v>
      </c>
      <c r="J116" s="33" t="s">
        <v>321</v>
      </c>
      <c r="K116" s="33" t="s">
        <v>151</v>
      </c>
      <c r="L116" s="34">
        <v>80</v>
      </c>
      <c r="M116" s="34">
        <v>21.2</v>
      </c>
      <c r="N116" s="34">
        <v>21.7</v>
      </c>
    </row>
    <row r="117" spans="1:14" ht="16.5" customHeight="1">
      <c r="A117" s="32" t="s">
        <v>138</v>
      </c>
      <c r="B117" s="32" t="s">
        <v>139</v>
      </c>
      <c r="C117" s="32" t="s">
        <v>140</v>
      </c>
      <c r="D117" s="32" t="s">
        <v>141</v>
      </c>
      <c r="E117" s="32" t="s">
        <v>142</v>
      </c>
      <c r="F117" s="32">
        <v>74418</v>
      </c>
      <c r="G117" s="32" t="s">
        <v>316</v>
      </c>
      <c r="H117" s="32" t="s">
        <v>317</v>
      </c>
      <c r="I117" s="33" t="s">
        <v>318</v>
      </c>
      <c r="J117" s="33" t="s">
        <v>322</v>
      </c>
      <c r="K117" s="33" t="s">
        <v>153</v>
      </c>
      <c r="L117" s="34">
        <v>80</v>
      </c>
      <c r="M117" s="34">
        <v>21.1</v>
      </c>
      <c r="N117" s="34">
        <v>21.6</v>
      </c>
    </row>
    <row r="118" spans="1:14" ht="16.5" customHeight="1">
      <c r="A118" s="32" t="s">
        <v>138</v>
      </c>
      <c r="B118" s="32" t="s">
        <v>139</v>
      </c>
      <c r="C118" s="32" t="s">
        <v>140</v>
      </c>
      <c r="D118" s="32" t="s">
        <v>141</v>
      </c>
      <c r="E118" s="32" t="s">
        <v>142</v>
      </c>
      <c r="F118" s="32">
        <v>74418</v>
      </c>
      <c r="G118" s="32" t="s">
        <v>316</v>
      </c>
      <c r="H118" s="32" t="s">
        <v>317</v>
      </c>
      <c r="I118" s="33" t="s">
        <v>318</v>
      </c>
      <c r="J118" s="33" t="s">
        <v>323</v>
      </c>
      <c r="K118" s="33" t="s">
        <v>155</v>
      </c>
      <c r="L118" s="34">
        <v>81</v>
      </c>
      <c r="M118" s="34">
        <v>21.5</v>
      </c>
      <c r="N118" s="34">
        <v>22</v>
      </c>
    </row>
    <row r="119" spans="1:14" ht="16.5" customHeight="1">
      <c r="A119" s="32" t="s">
        <v>138</v>
      </c>
      <c r="B119" s="32" t="s">
        <v>139</v>
      </c>
      <c r="C119" s="32" t="s">
        <v>140</v>
      </c>
      <c r="D119" s="32" t="s">
        <v>141</v>
      </c>
      <c r="E119" s="32" t="s">
        <v>142</v>
      </c>
      <c r="F119" s="32">
        <v>74418</v>
      </c>
      <c r="G119" s="32" t="s">
        <v>324</v>
      </c>
      <c r="H119" s="32" t="s">
        <v>325</v>
      </c>
      <c r="I119" s="33" t="s">
        <v>326</v>
      </c>
      <c r="J119" s="33" t="s">
        <v>327</v>
      </c>
      <c r="K119" s="33" t="s">
        <v>147</v>
      </c>
      <c r="L119" s="34">
        <v>81</v>
      </c>
      <c r="M119" s="34">
        <v>21</v>
      </c>
      <c r="N119" s="34">
        <v>21.5</v>
      </c>
    </row>
    <row r="120" spans="1:14" ht="16.5" customHeight="1">
      <c r="A120" s="32" t="s">
        <v>138</v>
      </c>
      <c r="B120" s="32" t="s">
        <v>139</v>
      </c>
      <c r="C120" s="32" t="s">
        <v>140</v>
      </c>
      <c r="D120" s="32" t="s">
        <v>141</v>
      </c>
      <c r="E120" s="32" t="s">
        <v>142</v>
      </c>
      <c r="F120" s="32">
        <v>74418</v>
      </c>
      <c r="G120" s="32" t="s">
        <v>324</v>
      </c>
      <c r="H120" s="32" t="s">
        <v>325</v>
      </c>
      <c r="I120" s="33" t="s">
        <v>326</v>
      </c>
      <c r="J120" s="33" t="s">
        <v>328</v>
      </c>
      <c r="K120" s="33" t="s">
        <v>149</v>
      </c>
      <c r="L120" s="34">
        <v>82</v>
      </c>
      <c r="M120" s="34">
        <v>21.2</v>
      </c>
      <c r="N120" s="34">
        <v>21.7</v>
      </c>
    </row>
    <row r="121" spans="1:14" ht="16.5" customHeight="1">
      <c r="A121" s="32" t="s">
        <v>138</v>
      </c>
      <c r="B121" s="32" t="s">
        <v>139</v>
      </c>
      <c r="C121" s="32" t="s">
        <v>140</v>
      </c>
      <c r="D121" s="32" t="s">
        <v>141</v>
      </c>
      <c r="E121" s="32" t="s">
        <v>142</v>
      </c>
      <c r="F121" s="32">
        <v>74418</v>
      </c>
      <c r="G121" s="32" t="s">
        <v>324</v>
      </c>
      <c r="H121" s="32" t="s">
        <v>325</v>
      </c>
      <c r="I121" s="33" t="s">
        <v>326</v>
      </c>
      <c r="J121" s="33" t="s">
        <v>329</v>
      </c>
      <c r="K121" s="33" t="s">
        <v>151</v>
      </c>
      <c r="L121" s="34">
        <v>82</v>
      </c>
      <c r="M121" s="34">
        <v>21.3</v>
      </c>
      <c r="N121" s="34">
        <v>21.8</v>
      </c>
    </row>
    <row r="122" spans="1:14" ht="16.5" customHeight="1">
      <c r="A122" s="32" t="s">
        <v>138</v>
      </c>
      <c r="B122" s="32" t="s">
        <v>139</v>
      </c>
      <c r="C122" s="32" t="s">
        <v>140</v>
      </c>
      <c r="D122" s="32" t="s">
        <v>141</v>
      </c>
      <c r="E122" s="32" t="s">
        <v>142</v>
      </c>
      <c r="F122" s="32">
        <v>74418</v>
      </c>
      <c r="G122" s="32" t="s">
        <v>324</v>
      </c>
      <c r="H122" s="32" t="s">
        <v>325</v>
      </c>
      <c r="I122" s="33" t="s">
        <v>326</v>
      </c>
      <c r="J122" s="33" t="s">
        <v>330</v>
      </c>
      <c r="K122" s="33" t="s">
        <v>153</v>
      </c>
      <c r="L122" s="34">
        <v>80</v>
      </c>
      <c r="M122" s="34">
        <v>20.9</v>
      </c>
      <c r="N122" s="34">
        <v>21.4</v>
      </c>
    </row>
    <row r="123" spans="1:14" ht="16.5" customHeight="1">
      <c r="A123" s="32" t="s">
        <v>138</v>
      </c>
      <c r="B123" s="32" t="s">
        <v>139</v>
      </c>
      <c r="C123" s="32" t="s">
        <v>140</v>
      </c>
      <c r="D123" s="32" t="s">
        <v>141</v>
      </c>
      <c r="E123" s="32" t="s">
        <v>142</v>
      </c>
      <c r="F123" s="32">
        <v>74418</v>
      </c>
      <c r="G123" s="32" t="s">
        <v>324</v>
      </c>
      <c r="H123" s="32" t="s">
        <v>325</v>
      </c>
      <c r="I123" s="33" t="s">
        <v>326</v>
      </c>
      <c r="J123" s="33" t="s">
        <v>331</v>
      </c>
      <c r="K123" s="33" t="s">
        <v>155</v>
      </c>
      <c r="L123" s="34">
        <v>81</v>
      </c>
      <c r="M123" s="34">
        <v>21</v>
      </c>
      <c r="N123" s="34">
        <v>21.5</v>
      </c>
    </row>
    <row r="124" spans="1:14" ht="16.5" customHeight="1">
      <c r="A124" s="32" t="s">
        <v>138</v>
      </c>
      <c r="B124" s="32" t="s">
        <v>139</v>
      </c>
      <c r="C124" s="32" t="s">
        <v>140</v>
      </c>
      <c r="D124" s="32" t="s">
        <v>141</v>
      </c>
      <c r="E124" s="32" t="s">
        <v>142</v>
      </c>
      <c r="F124" s="32">
        <v>74418</v>
      </c>
      <c r="G124" s="32" t="s">
        <v>324</v>
      </c>
      <c r="H124" s="32" t="s">
        <v>325</v>
      </c>
      <c r="I124" s="33" t="s">
        <v>326</v>
      </c>
      <c r="J124" s="33" t="s">
        <v>332</v>
      </c>
      <c r="K124" s="33" t="s">
        <v>179</v>
      </c>
      <c r="L124" s="34">
        <v>82</v>
      </c>
      <c r="M124" s="34">
        <v>21.4</v>
      </c>
      <c r="N124" s="34">
        <v>21.9</v>
      </c>
    </row>
    <row r="125" spans="1:14" ht="16.5" customHeight="1">
      <c r="A125" s="32" t="s">
        <v>138</v>
      </c>
      <c r="B125" s="32" t="s">
        <v>139</v>
      </c>
      <c r="C125" s="32" t="s">
        <v>140</v>
      </c>
      <c r="D125" s="32" t="s">
        <v>141</v>
      </c>
      <c r="E125" s="32" t="s">
        <v>142</v>
      </c>
      <c r="F125" s="32">
        <v>74418</v>
      </c>
      <c r="G125" s="32" t="s">
        <v>324</v>
      </c>
      <c r="H125" s="32" t="s">
        <v>325</v>
      </c>
      <c r="I125" s="33" t="s">
        <v>326</v>
      </c>
      <c r="J125" s="33" t="s">
        <v>333</v>
      </c>
      <c r="K125" s="33" t="s">
        <v>164</v>
      </c>
      <c r="L125" s="34">
        <v>82</v>
      </c>
      <c r="M125" s="34">
        <v>21.4</v>
      </c>
      <c r="N125" s="34">
        <v>21.9</v>
      </c>
    </row>
    <row r="126" spans="1:14" ht="16.5" customHeight="1">
      <c r="A126" s="32" t="s">
        <v>138</v>
      </c>
      <c r="B126" s="32" t="s">
        <v>139</v>
      </c>
      <c r="C126" s="32" t="s">
        <v>140</v>
      </c>
      <c r="D126" s="32" t="s">
        <v>141</v>
      </c>
      <c r="E126" s="32" t="s">
        <v>142</v>
      </c>
      <c r="F126" s="32">
        <v>74418</v>
      </c>
      <c r="G126" s="32" t="s">
        <v>324</v>
      </c>
      <c r="H126" s="32" t="s">
        <v>325</v>
      </c>
      <c r="I126" s="33" t="s">
        <v>326</v>
      </c>
      <c r="J126" s="33" t="s">
        <v>334</v>
      </c>
      <c r="K126" s="33" t="s">
        <v>182</v>
      </c>
      <c r="L126" s="34">
        <v>82</v>
      </c>
      <c r="M126" s="34">
        <v>21.4</v>
      </c>
      <c r="N126" s="34">
        <v>21.9</v>
      </c>
    </row>
    <row r="127" spans="1:14" ht="16.5" customHeight="1">
      <c r="A127" s="32" t="s">
        <v>138</v>
      </c>
      <c r="B127" s="32" t="s">
        <v>139</v>
      </c>
      <c r="C127" s="32" t="s">
        <v>140</v>
      </c>
      <c r="D127" s="32" t="s">
        <v>141</v>
      </c>
      <c r="E127" s="32" t="s">
        <v>142</v>
      </c>
      <c r="F127" s="32">
        <v>74418</v>
      </c>
      <c r="G127" s="32" t="s">
        <v>324</v>
      </c>
      <c r="H127" s="32" t="s">
        <v>325</v>
      </c>
      <c r="I127" s="33" t="s">
        <v>326</v>
      </c>
      <c r="J127" s="33" t="s">
        <v>335</v>
      </c>
      <c r="K127" s="33" t="s">
        <v>184</v>
      </c>
      <c r="L127" s="34">
        <v>82</v>
      </c>
      <c r="M127" s="34">
        <v>21.3</v>
      </c>
      <c r="N127" s="34">
        <v>21.8</v>
      </c>
    </row>
    <row r="128" spans="1:14" ht="16.5" customHeight="1">
      <c r="A128" s="32" t="s">
        <v>138</v>
      </c>
      <c r="B128" s="32" t="s">
        <v>139</v>
      </c>
      <c r="C128" s="32" t="s">
        <v>140</v>
      </c>
      <c r="D128" s="32" t="s">
        <v>141</v>
      </c>
      <c r="E128" s="32" t="s">
        <v>142</v>
      </c>
      <c r="F128" s="32">
        <v>74418</v>
      </c>
      <c r="G128" s="32" t="s">
        <v>324</v>
      </c>
      <c r="H128" s="32" t="s">
        <v>325</v>
      </c>
      <c r="I128" s="33" t="s">
        <v>326</v>
      </c>
      <c r="J128" s="33" t="s">
        <v>336</v>
      </c>
      <c r="K128" s="33" t="s">
        <v>186</v>
      </c>
      <c r="L128" s="34">
        <v>76</v>
      </c>
      <c r="M128" s="34">
        <v>19.7</v>
      </c>
      <c r="N128" s="34">
        <v>20.2</v>
      </c>
    </row>
    <row r="129" spans="1:14" ht="16.5" customHeight="1">
      <c r="A129" s="32" t="s">
        <v>138</v>
      </c>
      <c r="B129" s="32" t="s">
        <v>139</v>
      </c>
      <c r="C129" s="32" t="s">
        <v>140</v>
      </c>
      <c r="D129" s="32" t="s">
        <v>141</v>
      </c>
      <c r="E129" s="32" t="s">
        <v>142</v>
      </c>
      <c r="F129" s="32">
        <v>74418</v>
      </c>
      <c r="G129" s="32" t="s">
        <v>324</v>
      </c>
      <c r="H129" s="32" t="s">
        <v>325</v>
      </c>
      <c r="I129" s="33" t="s">
        <v>326</v>
      </c>
      <c r="J129" s="33" t="s">
        <v>337</v>
      </c>
      <c r="K129" s="33" t="s">
        <v>188</v>
      </c>
      <c r="L129" s="34">
        <v>82</v>
      </c>
      <c r="M129" s="34">
        <v>21.4</v>
      </c>
      <c r="N129" s="34">
        <v>21.9</v>
      </c>
    </row>
    <row r="130" spans="1:14" ht="16.5" customHeight="1">
      <c r="A130" s="32" t="s">
        <v>138</v>
      </c>
      <c r="B130" s="32" t="s">
        <v>139</v>
      </c>
      <c r="C130" s="32" t="s">
        <v>140</v>
      </c>
      <c r="D130" s="32" t="s">
        <v>141</v>
      </c>
      <c r="E130" s="32" t="s">
        <v>142</v>
      </c>
      <c r="F130" s="32">
        <v>74418</v>
      </c>
      <c r="G130" s="32" t="s">
        <v>324</v>
      </c>
      <c r="H130" s="32" t="s">
        <v>325</v>
      </c>
      <c r="I130" s="33" t="s">
        <v>326</v>
      </c>
      <c r="J130" s="33" t="s">
        <v>338</v>
      </c>
      <c r="K130" s="33" t="s">
        <v>190</v>
      </c>
      <c r="L130" s="34">
        <v>74</v>
      </c>
      <c r="M130" s="34">
        <v>19.2</v>
      </c>
      <c r="N130" s="34">
        <v>19.7</v>
      </c>
    </row>
    <row r="131" spans="1:14" ht="16.5" customHeight="1">
      <c r="A131" s="32" t="s">
        <v>138</v>
      </c>
      <c r="B131" s="32" t="s">
        <v>139</v>
      </c>
      <c r="C131" s="32" t="s">
        <v>140</v>
      </c>
      <c r="D131" s="32" t="s">
        <v>141</v>
      </c>
      <c r="E131" s="32" t="s">
        <v>142</v>
      </c>
      <c r="F131" s="32">
        <v>74418</v>
      </c>
      <c r="G131" s="32" t="s">
        <v>339</v>
      </c>
      <c r="H131" s="32" t="s">
        <v>340</v>
      </c>
      <c r="I131" s="33" t="s">
        <v>341</v>
      </c>
      <c r="J131" s="33" t="s">
        <v>342</v>
      </c>
      <c r="K131" s="33" t="s">
        <v>179</v>
      </c>
      <c r="L131" s="34">
        <v>81</v>
      </c>
      <c r="M131" s="34">
        <v>21.1</v>
      </c>
      <c r="N131" s="34">
        <v>21.6</v>
      </c>
    </row>
    <row r="132" spans="1:14" ht="16.5" customHeight="1">
      <c r="A132" s="32" t="s">
        <v>138</v>
      </c>
      <c r="B132" s="32" t="s">
        <v>139</v>
      </c>
      <c r="C132" s="32" t="s">
        <v>140</v>
      </c>
      <c r="D132" s="32" t="s">
        <v>141</v>
      </c>
      <c r="E132" s="32" t="s">
        <v>142</v>
      </c>
      <c r="F132" s="32">
        <v>74418</v>
      </c>
      <c r="G132" s="32" t="s">
        <v>339</v>
      </c>
      <c r="H132" s="32" t="s">
        <v>340</v>
      </c>
      <c r="I132" s="33" t="s">
        <v>341</v>
      </c>
      <c r="J132" s="33" t="s">
        <v>343</v>
      </c>
      <c r="K132" s="33" t="s">
        <v>164</v>
      </c>
      <c r="L132" s="34">
        <v>81</v>
      </c>
      <c r="M132" s="34">
        <v>21.3</v>
      </c>
      <c r="N132" s="34">
        <v>21.8</v>
      </c>
    </row>
    <row r="133" spans="1:14" ht="16.5" customHeight="1">
      <c r="A133" s="32" t="s">
        <v>138</v>
      </c>
      <c r="B133" s="32" t="s">
        <v>139</v>
      </c>
      <c r="C133" s="32" t="s">
        <v>140</v>
      </c>
      <c r="D133" s="32" t="s">
        <v>141</v>
      </c>
      <c r="E133" s="32" t="s">
        <v>142</v>
      </c>
      <c r="F133" s="32">
        <v>74418</v>
      </c>
      <c r="G133" s="32" t="s">
        <v>339</v>
      </c>
      <c r="H133" s="32" t="s">
        <v>340</v>
      </c>
      <c r="I133" s="33" t="s">
        <v>341</v>
      </c>
      <c r="J133" s="33" t="s">
        <v>344</v>
      </c>
      <c r="K133" s="33" t="s">
        <v>182</v>
      </c>
      <c r="L133" s="34">
        <v>77</v>
      </c>
      <c r="M133" s="34">
        <v>20.3</v>
      </c>
      <c r="N133" s="34">
        <v>20.8</v>
      </c>
    </row>
    <row r="134" spans="1:14" ht="16.5" customHeight="1">
      <c r="A134" s="32" t="s">
        <v>138</v>
      </c>
      <c r="B134" s="32" t="s">
        <v>139</v>
      </c>
      <c r="C134" s="32" t="s">
        <v>140</v>
      </c>
      <c r="D134" s="32" t="s">
        <v>141</v>
      </c>
      <c r="E134" s="32" t="s">
        <v>142</v>
      </c>
      <c r="F134" s="32">
        <v>74418</v>
      </c>
      <c r="G134" s="32" t="s">
        <v>339</v>
      </c>
      <c r="H134" s="32" t="s">
        <v>340</v>
      </c>
      <c r="I134" s="33" t="s">
        <v>341</v>
      </c>
      <c r="J134" s="33" t="s">
        <v>345</v>
      </c>
      <c r="K134" s="33" t="s">
        <v>184</v>
      </c>
      <c r="L134" s="34">
        <v>80</v>
      </c>
      <c r="M134" s="34">
        <v>20.9</v>
      </c>
      <c r="N134" s="34">
        <v>21.4</v>
      </c>
    </row>
    <row r="135" spans="1:14" ht="16.5" customHeight="1">
      <c r="A135" s="32" t="s">
        <v>138</v>
      </c>
      <c r="B135" s="32" t="s">
        <v>139</v>
      </c>
      <c r="C135" s="32" t="s">
        <v>140</v>
      </c>
      <c r="D135" s="32" t="s">
        <v>141</v>
      </c>
      <c r="E135" s="32" t="s">
        <v>142</v>
      </c>
      <c r="F135" s="32">
        <v>74418</v>
      </c>
      <c r="G135" s="32" t="s">
        <v>339</v>
      </c>
      <c r="H135" s="32" t="s">
        <v>340</v>
      </c>
      <c r="I135" s="33" t="s">
        <v>346</v>
      </c>
      <c r="J135" s="33" t="s">
        <v>347</v>
      </c>
      <c r="K135" s="33" t="s">
        <v>147</v>
      </c>
      <c r="L135" s="34">
        <v>82</v>
      </c>
      <c r="M135" s="34">
        <v>21.4</v>
      </c>
      <c r="N135" s="34">
        <v>21.9</v>
      </c>
    </row>
    <row r="136" spans="1:14" ht="16.5" customHeight="1">
      <c r="A136" s="32" t="s">
        <v>138</v>
      </c>
      <c r="B136" s="32" t="s">
        <v>139</v>
      </c>
      <c r="C136" s="32" t="s">
        <v>140</v>
      </c>
      <c r="D136" s="32" t="s">
        <v>141</v>
      </c>
      <c r="E136" s="32" t="s">
        <v>142</v>
      </c>
      <c r="F136" s="32">
        <v>74418</v>
      </c>
      <c r="G136" s="32" t="s">
        <v>339</v>
      </c>
      <c r="H136" s="32" t="s">
        <v>340</v>
      </c>
      <c r="I136" s="33" t="s">
        <v>346</v>
      </c>
      <c r="J136" s="33" t="s">
        <v>348</v>
      </c>
      <c r="K136" s="33" t="s">
        <v>149</v>
      </c>
      <c r="L136" s="34">
        <v>81</v>
      </c>
      <c r="M136" s="34">
        <v>21</v>
      </c>
      <c r="N136" s="34">
        <v>21.5</v>
      </c>
    </row>
    <row r="137" spans="1:14" ht="16.5" customHeight="1">
      <c r="A137" s="32" t="s">
        <v>138</v>
      </c>
      <c r="B137" s="32" t="s">
        <v>139</v>
      </c>
      <c r="C137" s="32" t="s">
        <v>140</v>
      </c>
      <c r="D137" s="32" t="s">
        <v>141</v>
      </c>
      <c r="E137" s="32" t="s">
        <v>142</v>
      </c>
      <c r="F137" s="32">
        <v>74418</v>
      </c>
      <c r="G137" s="32" t="s">
        <v>339</v>
      </c>
      <c r="H137" s="32" t="s">
        <v>340</v>
      </c>
      <c r="I137" s="33" t="s">
        <v>346</v>
      </c>
      <c r="J137" s="33" t="s">
        <v>349</v>
      </c>
      <c r="K137" s="33" t="s">
        <v>151</v>
      </c>
      <c r="L137" s="34">
        <v>82</v>
      </c>
      <c r="M137" s="34">
        <v>21.3</v>
      </c>
      <c r="N137" s="34">
        <v>21.8</v>
      </c>
    </row>
    <row r="138" spans="1:14" ht="16.5" customHeight="1">
      <c r="A138" s="32" t="s">
        <v>138</v>
      </c>
      <c r="B138" s="32" t="s">
        <v>139</v>
      </c>
      <c r="C138" s="32" t="s">
        <v>140</v>
      </c>
      <c r="D138" s="32" t="s">
        <v>141</v>
      </c>
      <c r="E138" s="32" t="s">
        <v>142</v>
      </c>
      <c r="F138" s="32">
        <v>74418</v>
      </c>
      <c r="G138" s="32" t="s">
        <v>339</v>
      </c>
      <c r="H138" s="32" t="s">
        <v>340</v>
      </c>
      <c r="I138" s="33" t="s">
        <v>346</v>
      </c>
      <c r="J138" s="33" t="s">
        <v>350</v>
      </c>
      <c r="K138" s="33" t="s">
        <v>153</v>
      </c>
      <c r="L138" s="34">
        <v>82</v>
      </c>
      <c r="M138" s="34">
        <v>21.2</v>
      </c>
      <c r="N138" s="34">
        <v>21.7</v>
      </c>
    </row>
    <row r="139" spans="1:14" ht="16.5" customHeight="1">
      <c r="A139" s="32" t="s">
        <v>138</v>
      </c>
      <c r="B139" s="32" t="s">
        <v>139</v>
      </c>
      <c r="C139" s="32" t="s">
        <v>140</v>
      </c>
      <c r="D139" s="32" t="s">
        <v>141</v>
      </c>
      <c r="E139" s="32" t="s">
        <v>142</v>
      </c>
      <c r="F139" s="32">
        <v>74418</v>
      </c>
      <c r="G139" s="32" t="s">
        <v>339</v>
      </c>
      <c r="H139" s="32" t="s">
        <v>340</v>
      </c>
      <c r="I139" s="33" t="s">
        <v>346</v>
      </c>
      <c r="J139" s="33" t="s">
        <v>351</v>
      </c>
      <c r="K139" s="33" t="s">
        <v>155</v>
      </c>
      <c r="L139" s="34">
        <v>82</v>
      </c>
      <c r="M139" s="34">
        <v>21.3</v>
      </c>
      <c r="N139" s="34">
        <v>21.8</v>
      </c>
    </row>
    <row r="140" spans="1:14" ht="16.5" customHeight="1">
      <c r="A140" s="32" t="s">
        <v>138</v>
      </c>
      <c r="B140" s="32" t="s">
        <v>139</v>
      </c>
      <c r="C140" s="32" t="s">
        <v>140</v>
      </c>
      <c r="D140" s="32" t="s">
        <v>141</v>
      </c>
      <c r="E140" s="32" t="s">
        <v>142</v>
      </c>
      <c r="F140" s="32">
        <v>74418</v>
      </c>
      <c r="G140" s="32" t="s">
        <v>339</v>
      </c>
      <c r="H140" s="32" t="s">
        <v>340</v>
      </c>
      <c r="I140" s="33" t="s">
        <v>346</v>
      </c>
      <c r="J140" s="33" t="s">
        <v>352</v>
      </c>
      <c r="K140" s="33" t="s">
        <v>179</v>
      </c>
      <c r="L140" s="34">
        <v>82</v>
      </c>
      <c r="M140" s="34">
        <v>21.2</v>
      </c>
      <c r="N140" s="34">
        <v>21.7</v>
      </c>
    </row>
    <row r="141" spans="1:14" ht="16.5" customHeight="1">
      <c r="A141" s="32" t="s">
        <v>138</v>
      </c>
      <c r="B141" s="32" t="s">
        <v>139</v>
      </c>
      <c r="C141" s="32" t="s">
        <v>140</v>
      </c>
      <c r="D141" s="32" t="s">
        <v>141</v>
      </c>
      <c r="E141" s="32" t="s">
        <v>142</v>
      </c>
      <c r="F141" s="32">
        <v>74418</v>
      </c>
      <c r="G141" s="32" t="s">
        <v>339</v>
      </c>
      <c r="H141" s="32" t="s">
        <v>340</v>
      </c>
      <c r="I141" s="33" t="s">
        <v>346</v>
      </c>
      <c r="J141" s="33" t="s">
        <v>353</v>
      </c>
      <c r="K141" s="33" t="s">
        <v>164</v>
      </c>
      <c r="L141" s="34">
        <v>82</v>
      </c>
      <c r="M141" s="34">
        <v>21.2</v>
      </c>
      <c r="N141" s="34">
        <v>21.7</v>
      </c>
    </row>
    <row r="142" spans="1:14" ht="16.5" customHeight="1">
      <c r="A142" s="32" t="s">
        <v>138</v>
      </c>
      <c r="B142" s="32" t="s">
        <v>139</v>
      </c>
      <c r="C142" s="32" t="s">
        <v>140</v>
      </c>
      <c r="D142" s="32" t="s">
        <v>141</v>
      </c>
      <c r="E142" s="32" t="s">
        <v>142</v>
      </c>
      <c r="F142" s="32">
        <v>74418</v>
      </c>
      <c r="G142" s="32" t="s">
        <v>339</v>
      </c>
      <c r="H142" s="32" t="s">
        <v>340</v>
      </c>
      <c r="I142" s="33" t="s">
        <v>346</v>
      </c>
      <c r="J142" s="33" t="s">
        <v>354</v>
      </c>
      <c r="K142" s="33" t="s">
        <v>182</v>
      </c>
      <c r="L142" s="34">
        <v>82</v>
      </c>
      <c r="M142" s="34">
        <v>21.2</v>
      </c>
      <c r="N142" s="34">
        <v>21.7</v>
      </c>
    </row>
    <row r="143" spans="1:14" ht="16.5" customHeight="1">
      <c r="A143" s="32" t="s">
        <v>138</v>
      </c>
      <c r="B143" s="32" t="s">
        <v>139</v>
      </c>
      <c r="C143" s="32" t="s">
        <v>140</v>
      </c>
      <c r="D143" s="32" t="s">
        <v>141</v>
      </c>
      <c r="E143" s="32" t="s">
        <v>142</v>
      </c>
      <c r="F143" s="32">
        <v>74418</v>
      </c>
      <c r="G143" s="32" t="s">
        <v>339</v>
      </c>
      <c r="H143" s="32" t="s">
        <v>340</v>
      </c>
      <c r="I143" s="33" t="s">
        <v>346</v>
      </c>
      <c r="J143" s="33" t="s">
        <v>103</v>
      </c>
      <c r="K143" s="33" t="s">
        <v>184</v>
      </c>
      <c r="L143" s="34">
        <v>82</v>
      </c>
      <c r="M143" s="34">
        <v>21.3</v>
      </c>
      <c r="N143" s="34">
        <v>21.8</v>
      </c>
    </row>
    <row r="144" spans="1:14" ht="16.5" customHeight="1">
      <c r="A144" s="32" t="s">
        <v>138</v>
      </c>
      <c r="B144" s="32" t="s">
        <v>139</v>
      </c>
      <c r="C144" s="32" t="s">
        <v>140</v>
      </c>
      <c r="D144" s="32" t="s">
        <v>141</v>
      </c>
      <c r="E144" s="32" t="s">
        <v>142</v>
      </c>
      <c r="F144" s="32">
        <v>74418</v>
      </c>
      <c r="G144" s="32" t="s">
        <v>339</v>
      </c>
      <c r="H144" s="32" t="s">
        <v>340</v>
      </c>
      <c r="I144" s="33" t="s">
        <v>346</v>
      </c>
      <c r="J144" s="33" t="s">
        <v>355</v>
      </c>
      <c r="K144" s="33" t="s">
        <v>186</v>
      </c>
      <c r="L144" s="34">
        <v>82</v>
      </c>
      <c r="M144" s="34">
        <v>21.2</v>
      </c>
      <c r="N144" s="34">
        <v>21.7</v>
      </c>
    </row>
    <row r="145" spans="1:14" ht="16.5" customHeight="1">
      <c r="A145" s="32" t="s">
        <v>138</v>
      </c>
      <c r="B145" s="32" t="s">
        <v>139</v>
      </c>
      <c r="C145" s="32" t="s">
        <v>140</v>
      </c>
      <c r="D145" s="32" t="s">
        <v>141</v>
      </c>
      <c r="E145" s="32" t="s">
        <v>142</v>
      </c>
      <c r="F145" s="32">
        <v>74418</v>
      </c>
      <c r="G145" s="32" t="s">
        <v>339</v>
      </c>
      <c r="H145" s="32" t="s">
        <v>340</v>
      </c>
      <c r="I145" s="33" t="s">
        <v>346</v>
      </c>
      <c r="J145" s="33" t="s">
        <v>356</v>
      </c>
      <c r="K145" s="33" t="s">
        <v>188</v>
      </c>
      <c r="L145" s="34">
        <v>82</v>
      </c>
      <c r="M145" s="34">
        <v>21.3</v>
      </c>
      <c r="N145" s="34">
        <v>21.8</v>
      </c>
    </row>
    <row r="146" spans="1:14" ht="16.5" customHeight="1">
      <c r="A146" s="32" t="s">
        <v>138</v>
      </c>
      <c r="B146" s="32" t="s">
        <v>139</v>
      </c>
      <c r="C146" s="32" t="s">
        <v>140</v>
      </c>
      <c r="D146" s="32" t="s">
        <v>141</v>
      </c>
      <c r="E146" s="32" t="s">
        <v>142</v>
      </c>
      <c r="F146" s="32">
        <v>74418</v>
      </c>
      <c r="G146" s="32" t="s">
        <v>339</v>
      </c>
      <c r="H146" s="32" t="s">
        <v>340</v>
      </c>
      <c r="I146" s="33" t="s">
        <v>346</v>
      </c>
      <c r="J146" s="33" t="s">
        <v>357</v>
      </c>
      <c r="K146" s="33" t="s">
        <v>190</v>
      </c>
      <c r="L146" s="34">
        <v>82</v>
      </c>
      <c r="M146" s="34">
        <v>21.3</v>
      </c>
      <c r="N146" s="34">
        <v>21.8</v>
      </c>
    </row>
    <row r="147" spans="1:14" ht="16.5" customHeight="1">
      <c r="A147" s="32" t="s">
        <v>138</v>
      </c>
      <c r="B147" s="32" t="s">
        <v>139</v>
      </c>
      <c r="C147" s="32" t="s">
        <v>140</v>
      </c>
      <c r="D147" s="32" t="s">
        <v>141</v>
      </c>
      <c r="E147" s="32" t="s">
        <v>142</v>
      </c>
      <c r="F147" s="32">
        <v>74418</v>
      </c>
      <c r="G147" s="32" t="s">
        <v>339</v>
      </c>
      <c r="H147" s="32" t="s">
        <v>340</v>
      </c>
      <c r="I147" s="33" t="s">
        <v>346</v>
      </c>
      <c r="J147" s="33" t="s">
        <v>358</v>
      </c>
      <c r="K147" s="33" t="s">
        <v>210</v>
      </c>
      <c r="L147" s="34">
        <v>81</v>
      </c>
      <c r="M147" s="34">
        <v>21</v>
      </c>
      <c r="N147" s="34">
        <v>21.5</v>
      </c>
    </row>
    <row r="148" spans="1:14" ht="16.5" customHeight="1">
      <c r="A148" s="32" t="s">
        <v>138</v>
      </c>
      <c r="B148" s="32" t="s">
        <v>139</v>
      </c>
      <c r="C148" s="32" t="s">
        <v>140</v>
      </c>
      <c r="D148" s="32" t="s">
        <v>141</v>
      </c>
      <c r="E148" s="32" t="s">
        <v>142</v>
      </c>
      <c r="F148" s="32">
        <v>74418</v>
      </c>
      <c r="G148" s="32" t="s">
        <v>339</v>
      </c>
      <c r="H148" s="32" t="s">
        <v>340</v>
      </c>
      <c r="I148" s="33" t="s">
        <v>346</v>
      </c>
      <c r="J148" s="33" t="s">
        <v>359</v>
      </c>
      <c r="K148" s="33" t="s">
        <v>212</v>
      </c>
      <c r="L148" s="34">
        <v>82</v>
      </c>
      <c r="M148" s="34">
        <v>21.2</v>
      </c>
      <c r="N148" s="34">
        <v>21.7</v>
      </c>
    </row>
    <row r="149" spans="1:14" ht="16.5" customHeight="1">
      <c r="A149" s="32" t="s">
        <v>138</v>
      </c>
      <c r="B149" s="32" t="s">
        <v>139</v>
      </c>
      <c r="C149" s="32" t="s">
        <v>140</v>
      </c>
      <c r="D149" s="32" t="s">
        <v>141</v>
      </c>
      <c r="E149" s="32" t="s">
        <v>142</v>
      </c>
      <c r="F149" s="32">
        <v>74418</v>
      </c>
      <c r="G149" s="32" t="s">
        <v>339</v>
      </c>
      <c r="H149" s="32" t="s">
        <v>340</v>
      </c>
      <c r="I149" s="33" t="s">
        <v>346</v>
      </c>
      <c r="J149" s="33" t="s">
        <v>360</v>
      </c>
      <c r="K149" s="33" t="s">
        <v>214</v>
      </c>
      <c r="L149" s="34">
        <v>82</v>
      </c>
      <c r="M149" s="34">
        <v>21.3</v>
      </c>
      <c r="N149" s="34">
        <v>21.8</v>
      </c>
    </row>
    <row r="150" spans="1:14" ht="16.5" customHeight="1">
      <c r="A150" s="32" t="s">
        <v>138</v>
      </c>
      <c r="B150" s="32" t="s">
        <v>139</v>
      </c>
      <c r="C150" s="32" t="s">
        <v>140</v>
      </c>
      <c r="D150" s="32" t="s">
        <v>141</v>
      </c>
      <c r="E150" s="32" t="s">
        <v>142</v>
      </c>
      <c r="F150" s="32">
        <v>74418</v>
      </c>
      <c r="G150" s="32" t="s">
        <v>339</v>
      </c>
      <c r="H150" s="32" t="s">
        <v>340</v>
      </c>
      <c r="I150" s="33" t="s">
        <v>346</v>
      </c>
      <c r="J150" s="33" t="s">
        <v>361</v>
      </c>
      <c r="K150" s="33" t="s">
        <v>215</v>
      </c>
      <c r="L150" s="34">
        <v>81</v>
      </c>
      <c r="M150" s="34">
        <v>21.1</v>
      </c>
      <c r="N150" s="34">
        <v>21.6</v>
      </c>
    </row>
    <row r="151" spans="1:14" ht="16.5" customHeight="1">
      <c r="A151" s="32" t="s">
        <v>138</v>
      </c>
      <c r="B151" s="32" t="s">
        <v>139</v>
      </c>
      <c r="C151" s="32" t="s">
        <v>140</v>
      </c>
      <c r="D151" s="32" t="s">
        <v>141</v>
      </c>
      <c r="E151" s="32" t="s">
        <v>142</v>
      </c>
      <c r="F151" s="32">
        <v>74418</v>
      </c>
      <c r="G151" s="32" t="s">
        <v>339</v>
      </c>
      <c r="H151" s="32" t="s">
        <v>340</v>
      </c>
      <c r="I151" s="33" t="s">
        <v>346</v>
      </c>
      <c r="J151" s="33" t="s">
        <v>362</v>
      </c>
      <c r="K151" s="33" t="s">
        <v>264</v>
      </c>
      <c r="L151" s="34">
        <v>82</v>
      </c>
      <c r="M151" s="34">
        <v>21.3</v>
      </c>
      <c r="N151" s="34">
        <v>21.8</v>
      </c>
    </row>
    <row r="152" spans="1:14" ht="16.5" customHeight="1">
      <c r="A152" s="32" t="s">
        <v>138</v>
      </c>
      <c r="B152" s="32" t="s">
        <v>139</v>
      </c>
      <c r="C152" s="32" t="s">
        <v>140</v>
      </c>
      <c r="D152" s="32" t="s">
        <v>141</v>
      </c>
      <c r="E152" s="32" t="s">
        <v>142</v>
      </c>
      <c r="F152" s="32">
        <v>74418</v>
      </c>
      <c r="G152" s="32" t="s">
        <v>339</v>
      </c>
      <c r="H152" s="32" t="s">
        <v>340</v>
      </c>
      <c r="I152" s="33" t="s">
        <v>346</v>
      </c>
      <c r="J152" s="33" t="s">
        <v>363</v>
      </c>
      <c r="K152" s="33" t="s">
        <v>233</v>
      </c>
      <c r="L152" s="34">
        <v>81</v>
      </c>
      <c r="M152" s="34">
        <v>21.1</v>
      </c>
      <c r="N152" s="34">
        <v>21.6</v>
      </c>
    </row>
    <row r="153" spans="1:14" ht="16.5" customHeight="1">
      <c r="A153" s="32" t="s">
        <v>138</v>
      </c>
      <c r="B153" s="32" t="s">
        <v>139</v>
      </c>
      <c r="C153" s="32" t="s">
        <v>140</v>
      </c>
      <c r="D153" s="32" t="s">
        <v>141</v>
      </c>
      <c r="E153" s="32" t="s">
        <v>142</v>
      </c>
      <c r="F153" s="32">
        <v>74418</v>
      </c>
      <c r="G153" s="32" t="s">
        <v>339</v>
      </c>
      <c r="H153" s="32" t="s">
        <v>340</v>
      </c>
      <c r="I153" s="33" t="s">
        <v>346</v>
      </c>
      <c r="J153" s="33" t="s">
        <v>364</v>
      </c>
      <c r="K153" s="33" t="s">
        <v>235</v>
      </c>
      <c r="L153" s="34">
        <v>82</v>
      </c>
      <c r="M153" s="34">
        <v>21.3</v>
      </c>
      <c r="N153" s="34">
        <v>21.8</v>
      </c>
    </row>
    <row r="154" spans="1:14" ht="16.5" customHeight="1">
      <c r="A154" s="32" t="s">
        <v>138</v>
      </c>
      <c r="B154" s="32" t="s">
        <v>139</v>
      </c>
      <c r="C154" s="32" t="s">
        <v>140</v>
      </c>
      <c r="D154" s="32" t="s">
        <v>141</v>
      </c>
      <c r="E154" s="32" t="s">
        <v>142</v>
      </c>
      <c r="F154" s="32">
        <v>74418</v>
      </c>
      <c r="G154" s="32" t="s">
        <v>339</v>
      </c>
      <c r="H154" s="32" t="s">
        <v>340</v>
      </c>
      <c r="I154" s="33" t="s">
        <v>346</v>
      </c>
      <c r="J154" s="33" t="s">
        <v>365</v>
      </c>
      <c r="K154" s="33" t="s">
        <v>265</v>
      </c>
      <c r="L154" s="34">
        <v>77</v>
      </c>
      <c r="M154" s="34">
        <v>19.899999999999999</v>
      </c>
      <c r="N154" s="34">
        <v>20.399999999999999</v>
      </c>
    </row>
    <row r="155" spans="1:14" ht="16.5" customHeight="1">
      <c r="A155" s="32" t="s">
        <v>138</v>
      </c>
      <c r="B155" s="32" t="s">
        <v>139</v>
      </c>
      <c r="C155" s="32" t="s">
        <v>140</v>
      </c>
      <c r="D155" s="32" t="s">
        <v>141</v>
      </c>
      <c r="E155" s="32" t="s">
        <v>142</v>
      </c>
      <c r="F155" s="32">
        <v>74418</v>
      </c>
      <c r="G155" s="32" t="s">
        <v>339</v>
      </c>
      <c r="H155" s="32" t="s">
        <v>340</v>
      </c>
      <c r="I155" s="33" t="s">
        <v>346</v>
      </c>
      <c r="J155" s="33" t="s">
        <v>366</v>
      </c>
      <c r="K155" s="33" t="s">
        <v>237</v>
      </c>
      <c r="L155" s="34">
        <v>82</v>
      </c>
      <c r="M155" s="34">
        <v>21.3</v>
      </c>
      <c r="N155" s="34">
        <v>21.8</v>
      </c>
    </row>
    <row r="156" spans="1:14" ht="16.5" customHeight="1">
      <c r="A156" s="32" t="s">
        <v>138</v>
      </c>
      <c r="B156" s="32" t="s">
        <v>139</v>
      </c>
      <c r="C156" s="32" t="s">
        <v>140</v>
      </c>
      <c r="D156" s="32" t="s">
        <v>141</v>
      </c>
      <c r="E156" s="32" t="s">
        <v>142</v>
      </c>
      <c r="F156" s="32">
        <v>74418</v>
      </c>
      <c r="G156" s="32" t="s">
        <v>367</v>
      </c>
      <c r="H156" s="32" t="s">
        <v>368</v>
      </c>
      <c r="I156" s="33" t="s">
        <v>369</v>
      </c>
      <c r="J156" s="33" t="s">
        <v>370</v>
      </c>
      <c r="K156" s="33" t="s">
        <v>151</v>
      </c>
      <c r="L156" s="34">
        <v>79</v>
      </c>
      <c r="M156" s="34">
        <v>20.5</v>
      </c>
      <c r="N156" s="34">
        <v>21</v>
      </c>
    </row>
    <row r="157" spans="1:14" ht="16.5" customHeight="1">
      <c r="A157" s="32" t="s">
        <v>138</v>
      </c>
      <c r="B157" s="32" t="s">
        <v>139</v>
      </c>
      <c r="C157" s="32" t="s">
        <v>140</v>
      </c>
      <c r="D157" s="32" t="s">
        <v>141</v>
      </c>
      <c r="E157" s="32" t="s">
        <v>142</v>
      </c>
      <c r="F157" s="32">
        <v>74418</v>
      </c>
      <c r="G157" s="32" t="s">
        <v>367</v>
      </c>
      <c r="H157" s="32" t="s">
        <v>368</v>
      </c>
      <c r="I157" s="33" t="s">
        <v>371</v>
      </c>
      <c r="J157" s="33" t="s">
        <v>372</v>
      </c>
      <c r="K157" s="33" t="s">
        <v>147</v>
      </c>
      <c r="L157" s="34">
        <v>82</v>
      </c>
      <c r="M157" s="34">
        <v>21.3</v>
      </c>
      <c r="N157" s="34">
        <v>21.8</v>
      </c>
    </row>
    <row r="158" spans="1:14" ht="16.5" customHeight="1">
      <c r="A158" s="32" t="s">
        <v>138</v>
      </c>
      <c r="B158" s="32" t="s">
        <v>139</v>
      </c>
      <c r="C158" s="32" t="s">
        <v>140</v>
      </c>
      <c r="D158" s="32" t="s">
        <v>141</v>
      </c>
      <c r="E158" s="32" t="s">
        <v>142</v>
      </c>
      <c r="F158" s="32">
        <v>74418</v>
      </c>
      <c r="G158" s="32" t="s">
        <v>367</v>
      </c>
      <c r="H158" s="32" t="s">
        <v>368</v>
      </c>
      <c r="I158" s="33" t="s">
        <v>371</v>
      </c>
      <c r="J158" s="33" t="s">
        <v>373</v>
      </c>
      <c r="K158" s="33" t="s">
        <v>149</v>
      </c>
      <c r="L158" s="34">
        <v>82</v>
      </c>
      <c r="M158" s="34">
        <v>21.3</v>
      </c>
      <c r="N158" s="34">
        <v>21.8</v>
      </c>
    </row>
    <row r="159" spans="1:14" ht="16.5" customHeight="1">
      <c r="A159" s="32" t="s">
        <v>138</v>
      </c>
      <c r="B159" s="32" t="s">
        <v>139</v>
      </c>
      <c r="C159" s="32" t="s">
        <v>140</v>
      </c>
      <c r="D159" s="32" t="s">
        <v>141</v>
      </c>
      <c r="E159" s="32" t="s">
        <v>142</v>
      </c>
      <c r="F159" s="32">
        <v>74418</v>
      </c>
      <c r="G159" s="32" t="s">
        <v>367</v>
      </c>
      <c r="H159" s="32" t="s">
        <v>368</v>
      </c>
      <c r="I159" s="33" t="s">
        <v>371</v>
      </c>
      <c r="J159" s="33" t="s">
        <v>374</v>
      </c>
      <c r="K159" s="33" t="s">
        <v>151</v>
      </c>
      <c r="L159" s="34">
        <v>82</v>
      </c>
      <c r="M159" s="34">
        <v>21.3</v>
      </c>
      <c r="N159" s="34">
        <v>21.8</v>
      </c>
    </row>
    <row r="160" spans="1:14" ht="16.5" customHeight="1">
      <c r="A160" s="32" t="s">
        <v>138</v>
      </c>
      <c r="B160" s="32" t="s">
        <v>139</v>
      </c>
      <c r="C160" s="32" t="s">
        <v>140</v>
      </c>
      <c r="D160" s="32" t="s">
        <v>141</v>
      </c>
      <c r="E160" s="32" t="s">
        <v>142</v>
      </c>
      <c r="F160" s="32">
        <v>74418</v>
      </c>
      <c r="G160" s="32" t="s">
        <v>367</v>
      </c>
      <c r="H160" s="32" t="s">
        <v>368</v>
      </c>
      <c r="I160" s="33" t="s">
        <v>371</v>
      </c>
      <c r="J160" s="33" t="s">
        <v>375</v>
      </c>
      <c r="K160" s="33" t="s">
        <v>153</v>
      </c>
      <c r="L160" s="34">
        <v>82</v>
      </c>
      <c r="M160" s="34">
        <v>21.2</v>
      </c>
      <c r="N160" s="34">
        <v>21.7</v>
      </c>
    </row>
    <row r="161" spans="1:14" ht="16.5" customHeight="1">
      <c r="A161" s="32" t="s">
        <v>138</v>
      </c>
      <c r="B161" s="32" t="s">
        <v>139</v>
      </c>
      <c r="C161" s="32" t="s">
        <v>140</v>
      </c>
      <c r="D161" s="32" t="s">
        <v>141</v>
      </c>
      <c r="E161" s="32" t="s">
        <v>142</v>
      </c>
      <c r="F161" s="32">
        <v>74418</v>
      </c>
      <c r="G161" s="32" t="s">
        <v>367</v>
      </c>
      <c r="H161" s="32" t="s">
        <v>368</v>
      </c>
      <c r="I161" s="33" t="s">
        <v>371</v>
      </c>
      <c r="J161" s="33" t="s">
        <v>376</v>
      </c>
      <c r="K161" s="33" t="s">
        <v>155</v>
      </c>
      <c r="L161" s="34">
        <v>79</v>
      </c>
      <c r="M161" s="34">
        <v>20.6</v>
      </c>
      <c r="N161" s="34">
        <v>21.1</v>
      </c>
    </row>
    <row r="162" spans="1:14" ht="16.5" customHeight="1">
      <c r="A162" s="32" t="s">
        <v>138</v>
      </c>
      <c r="B162" s="32" t="s">
        <v>139</v>
      </c>
      <c r="C162" s="32" t="s">
        <v>140</v>
      </c>
      <c r="D162" s="32" t="s">
        <v>141</v>
      </c>
      <c r="E162" s="32" t="s">
        <v>142</v>
      </c>
      <c r="F162" s="32">
        <v>74418</v>
      </c>
      <c r="G162" s="32" t="s">
        <v>367</v>
      </c>
      <c r="H162" s="32" t="s">
        <v>368</v>
      </c>
      <c r="I162" s="33" t="s">
        <v>371</v>
      </c>
      <c r="J162" s="33" t="s">
        <v>377</v>
      </c>
      <c r="K162" s="33" t="s">
        <v>179</v>
      </c>
      <c r="L162" s="34">
        <v>82</v>
      </c>
      <c r="M162" s="34">
        <v>21.3</v>
      </c>
      <c r="N162" s="34">
        <v>21.8</v>
      </c>
    </row>
    <row r="163" spans="1:14" ht="16.5" customHeight="1">
      <c r="A163" s="32" t="s">
        <v>138</v>
      </c>
      <c r="B163" s="32" t="s">
        <v>139</v>
      </c>
      <c r="C163" s="32" t="s">
        <v>140</v>
      </c>
      <c r="D163" s="32" t="s">
        <v>141</v>
      </c>
      <c r="E163" s="32" t="s">
        <v>142</v>
      </c>
      <c r="F163" s="32">
        <v>74418</v>
      </c>
      <c r="G163" s="32" t="s">
        <v>367</v>
      </c>
      <c r="H163" s="32" t="s">
        <v>368</v>
      </c>
      <c r="I163" s="33" t="s">
        <v>371</v>
      </c>
      <c r="J163" s="33" t="s">
        <v>378</v>
      </c>
      <c r="K163" s="33" t="s">
        <v>164</v>
      </c>
      <c r="L163" s="34">
        <v>82</v>
      </c>
      <c r="M163" s="34">
        <v>21.3</v>
      </c>
      <c r="N163" s="34">
        <v>21.8</v>
      </c>
    </row>
    <row r="164" spans="1:14" ht="16.5" customHeight="1">
      <c r="A164" s="32" t="s">
        <v>138</v>
      </c>
      <c r="B164" s="32" t="s">
        <v>139</v>
      </c>
      <c r="C164" s="32" t="s">
        <v>140</v>
      </c>
      <c r="D164" s="32" t="s">
        <v>141</v>
      </c>
      <c r="E164" s="32" t="s">
        <v>142</v>
      </c>
      <c r="F164" s="32">
        <v>74418</v>
      </c>
      <c r="G164" s="32" t="s">
        <v>367</v>
      </c>
      <c r="H164" s="32" t="s">
        <v>368</v>
      </c>
      <c r="I164" s="33" t="s">
        <v>371</v>
      </c>
      <c r="J164" s="33" t="s">
        <v>379</v>
      </c>
      <c r="K164" s="33" t="s">
        <v>182</v>
      </c>
      <c r="L164" s="34">
        <v>82</v>
      </c>
      <c r="M164" s="34">
        <v>21.3</v>
      </c>
      <c r="N164" s="34">
        <v>21.8</v>
      </c>
    </row>
    <row r="165" spans="1:14" ht="16.5" customHeight="1">
      <c r="A165" s="32" t="s">
        <v>138</v>
      </c>
      <c r="B165" s="32" t="s">
        <v>139</v>
      </c>
      <c r="C165" s="32" t="s">
        <v>140</v>
      </c>
      <c r="D165" s="32" t="s">
        <v>141</v>
      </c>
      <c r="E165" s="32" t="s">
        <v>142</v>
      </c>
      <c r="F165" s="32">
        <v>74418</v>
      </c>
      <c r="G165" s="32" t="s">
        <v>367</v>
      </c>
      <c r="H165" s="32" t="s">
        <v>368</v>
      </c>
      <c r="I165" s="33" t="s">
        <v>371</v>
      </c>
      <c r="J165" s="33" t="s">
        <v>380</v>
      </c>
      <c r="K165" s="33" t="s">
        <v>184</v>
      </c>
      <c r="L165" s="34">
        <v>80</v>
      </c>
      <c r="M165" s="34">
        <v>20.9</v>
      </c>
      <c r="N165" s="34">
        <v>21.4</v>
      </c>
    </row>
    <row r="166" spans="1:14" ht="16.5" customHeight="1">
      <c r="A166" s="32" t="s">
        <v>138</v>
      </c>
      <c r="B166" s="32" t="s">
        <v>139</v>
      </c>
      <c r="C166" s="32" t="s">
        <v>140</v>
      </c>
      <c r="D166" s="32" t="s">
        <v>141</v>
      </c>
      <c r="E166" s="32" t="s">
        <v>142</v>
      </c>
      <c r="F166" s="32">
        <v>74418</v>
      </c>
      <c r="G166" s="32" t="s">
        <v>367</v>
      </c>
      <c r="H166" s="32" t="s">
        <v>368</v>
      </c>
      <c r="I166" s="33" t="s">
        <v>371</v>
      </c>
      <c r="J166" s="33" t="s">
        <v>381</v>
      </c>
      <c r="K166" s="33" t="s">
        <v>186</v>
      </c>
      <c r="L166" s="34">
        <v>81</v>
      </c>
      <c r="M166" s="34">
        <v>21.1</v>
      </c>
      <c r="N166" s="34">
        <v>21.6</v>
      </c>
    </row>
    <row r="167" spans="1:14" ht="16.5" customHeight="1">
      <c r="A167" s="32" t="s">
        <v>138</v>
      </c>
      <c r="B167" s="32" t="s">
        <v>139</v>
      </c>
      <c r="C167" s="32" t="s">
        <v>140</v>
      </c>
      <c r="D167" s="32" t="s">
        <v>141</v>
      </c>
      <c r="E167" s="32" t="s">
        <v>142</v>
      </c>
      <c r="F167" s="32">
        <v>74418</v>
      </c>
      <c r="G167" s="32" t="s">
        <v>367</v>
      </c>
      <c r="H167" s="32" t="s">
        <v>368</v>
      </c>
      <c r="I167" s="33" t="s">
        <v>371</v>
      </c>
      <c r="J167" s="33" t="s">
        <v>382</v>
      </c>
      <c r="K167" s="33" t="s">
        <v>188</v>
      </c>
      <c r="L167" s="34">
        <v>81</v>
      </c>
      <c r="M167" s="34">
        <v>21</v>
      </c>
      <c r="N167" s="34">
        <v>21.5</v>
      </c>
    </row>
    <row r="168" spans="1:14" ht="16.5" customHeight="1">
      <c r="A168" s="32" t="s">
        <v>138</v>
      </c>
      <c r="B168" s="32" t="s">
        <v>139</v>
      </c>
      <c r="C168" s="32" t="s">
        <v>140</v>
      </c>
      <c r="D168" s="32" t="s">
        <v>141</v>
      </c>
      <c r="E168" s="32" t="s">
        <v>142</v>
      </c>
      <c r="F168" s="32">
        <v>74418</v>
      </c>
      <c r="G168" s="32" t="s">
        <v>367</v>
      </c>
      <c r="H168" s="32" t="s">
        <v>368</v>
      </c>
      <c r="I168" s="33" t="s">
        <v>371</v>
      </c>
      <c r="J168" s="33" t="s">
        <v>383</v>
      </c>
      <c r="K168" s="33" t="s">
        <v>190</v>
      </c>
      <c r="L168" s="34">
        <v>82</v>
      </c>
      <c r="M168" s="34">
        <v>21.3</v>
      </c>
      <c r="N168" s="34">
        <v>21.8</v>
      </c>
    </row>
    <row r="169" spans="1:14" ht="16.5" customHeight="1">
      <c r="A169" s="32" t="s">
        <v>138</v>
      </c>
      <c r="B169" s="32" t="s">
        <v>139</v>
      </c>
      <c r="C169" s="32" t="s">
        <v>140</v>
      </c>
      <c r="D169" s="32" t="s">
        <v>141</v>
      </c>
      <c r="E169" s="32" t="s">
        <v>142</v>
      </c>
      <c r="F169" s="32">
        <v>74418</v>
      </c>
      <c r="G169" s="32" t="s">
        <v>367</v>
      </c>
      <c r="H169" s="32" t="s">
        <v>368</v>
      </c>
      <c r="I169" s="33" t="s">
        <v>371</v>
      </c>
      <c r="J169" s="33" t="s">
        <v>384</v>
      </c>
      <c r="K169" s="33" t="s">
        <v>210</v>
      </c>
      <c r="L169" s="34">
        <v>74</v>
      </c>
      <c r="M169" s="34">
        <v>19.3</v>
      </c>
      <c r="N169" s="34">
        <v>19.8</v>
      </c>
    </row>
    <row r="170" spans="1:14" ht="16.5" customHeight="1">
      <c r="A170" s="32" t="s">
        <v>138</v>
      </c>
      <c r="B170" s="32" t="s">
        <v>139</v>
      </c>
      <c r="C170" s="32" t="s">
        <v>140</v>
      </c>
      <c r="D170" s="32" t="s">
        <v>141</v>
      </c>
      <c r="E170" s="32" t="s">
        <v>142</v>
      </c>
      <c r="F170" s="32">
        <v>74418</v>
      </c>
      <c r="G170" s="32" t="s">
        <v>367</v>
      </c>
      <c r="H170" s="32" t="s">
        <v>368</v>
      </c>
      <c r="I170" s="33" t="s">
        <v>371</v>
      </c>
      <c r="J170" s="33" t="s">
        <v>385</v>
      </c>
      <c r="K170" s="33" t="s">
        <v>212</v>
      </c>
      <c r="L170" s="34">
        <v>82</v>
      </c>
      <c r="M170" s="34">
        <v>21.2</v>
      </c>
      <c r="N170" s="34">
        <v>21.7</v>
      </c>
    </row>
    <row r="171" spans="1:14" ht="16.5" customHeight="1">
      <c r="A171" s="32" t="s">
        <v>138</v>
      </c>
      <c r="B171" s="32" t="s">
        <v>139</v>
      </c>
      <c r="C171" s="32" t="s">
        <v>140</v>
      </c>
      <c r="D171" s="32" t="s">
        <v>141</v>
      </c>
      <c r="E171" s="32" t="s">
        <v>142</v>
      </c>
      <c r="F171" s="32">
        <v>74418</v>
      </c>
      <c r="G171" s="32" t="s">
        <v>367</v>
      </c>
      <c r="H171" s="32" t="s">
        <v>368</v>
      </c>
      <c r="I171" s="33" t="s">
        <v>371</v>
      </c>
      <c r="J171" s="33" t="s">
        <v>386</v>
      </c>
      <c r="K171" s="33" t="s">
        <v>214</v>
      </c>
      <c r="L171" s="34">
        <v>80</v>
      </c>
      <c r="M171" s="34">
        <v>20.7</v>
      </c>
      <c r="N171" s="34">
        <v>21.2</v>
      </c>
    </row>
    <row r="172" spans="1:14" ht="16.5" customHeight="1">
      <c r="A172" s="32" t="s">
        <v>138</v>
      </c>
      <c r="B172" s="32" t="s">
        <v>139</v>
      </c>
      <c r="C172" s="32" t="s">
        <v>140</v>
      </c>
      <c r="D172" s="32" t="s">
        <v>141</v>
      </c>
      <c r="E172" s="32" t="s">
        <v>142</v>
      </c>
      <c r="F172" s="32">
        <v>74418</v>
      </c>
      <c r="G172" s="32" t="s">
        <v>367</v>
      </c>
      <c r="H172" s="32" t="s">
        <v>368</v>
      </c>
      <c r="I172" s="33" t="s">
        <v>371</v>
      </c>
      <c r="J172" s="33" t="s">
        <v>387</v>
      </c>
      <c r="K172" s="33" t="s">
        <v>215</v>
      </c>
      <c r="L172" s="34">
        <v>76</v>
      </c>
      <c r="M172" s="34">
        <v>19.7</v>
      </c>
      <c r="N172" s="34">
        <v>20.2</v>
      </c>
    </row>
    <row r="173" spans="1:14" ht="16.5" customHeight="1">
      <c r="A173" s="32" t="s">
        <v>138</v>
      </c>
      <c r="B173" s="32" t="s">
        <v>388</v>
      </c>
      <c r="C173" s="32" t="s">
        <v>389</v>
      </c>
      <c r="D173" s="32" t="s">
        <v>390</v>
      </c>
      <c r="E173" s="32" t="s">
        <v>142</v>
      </c>
      <c r="F173" s="32">
        <v>82354</v>
      </c>
      <c r="G173" s="32" t="s">
        <v>391</v>
      </c>
      <c r="H173" s="32" t="s">
        <v>392</v>
      </c>
      <c r="I173" s="33" t="s">
        <v>393</v>
      </c>
      <c r="J173" s="33" t="s">
        <v>161</v>
      </c>
      <c r="K173" s="33" t="s">
        <v>153</v>
      </c>
      <c r="L173" s="34">
        <v>7</v>
      </c>
      <c r="M173" s="34">
        <v>1.9</v>
      </c>
      <c r="N173" s="34">
        <v>2.4</v>
      </c>
    </row>
    <row r="174" spans="1:14" ht="16.5" customHeight="1">
      <c r="A174" s="32" t="s">
        <v>138</v>
      </c>
      <c r="B174" s="32" t="s">
        <v>388</v>
      </c>
      <c r="C174" s="32" t="s">
        <v>389</v>
      </c>
      <c r="D174" s="32" t="s">
        <v>390</v>
      </c>
      <c r="E174" s="32" t="s">
        <v>142</v>
      </c>
      <c r="F174" s="32">
        <v>82354</v>
      </c>
      <c r="G174" s="32" t="s">
        <v>391</v>
      </c>
      <c r="H174" s="32" t="s">
        <v>392</v>
      </c>
      <c r="I174" s="33" t="s">
        <v>393</v>
      </c>
      <c r="J174" s="33" t="s">
        <v>394</v>
      </c>
      <c r="K174" s="33" t="s">
        <v>395</v>
      </c>
      <c r="L174" s="34">
        <v>3</v>
      </c>
      <c r="M174" s="34">
        <v>0.8</v>
      </c>
      <c r="N174" s="34">
        <v>1.3</v>
      </c>
    </row>
    <row r="175" spans="1:14" ht="16.5" customHeight="1">
      <c r="A175" s="32" t="s">
        <v>138</v>
      </c>
      <c r="B175" s="32" t="s">
        <v>396</v>
      </c>
      <c r="C175" s="32" t="s">
        <v>397</v>
      </c>
      <c r="D175" s="32" t="s">
        <v>398</v>
      </c>
      <c r="E175" s="32" t="s">
        <v>142</v>
      </c>
      <c r="F175" s="32">
        <v>74418</v>
      </c>
      <c r="G175" s="32" t="s">
        <v>143</v>
      </c>
      <c r="H175" s="32" t="s">
        <v>144</v>
      </c>
      <c r="I175" s="33" t="s">
        <v>399</v>
      </c>
      <c r="J175" s="33" t="s">
        <v>400</v>
      </c>
      <c r="K175" s="33" t="s">
        <v>214</v>
      </c>
      <c r="L175" s="34">
        <v>78</v>
      </c>
      <c r="M175" s="34">
        <v>20.399999999999999</v>
      </c>
      <c r="N175" s="34">
        <v>20.9</v>
      </c>
    </row>
    <row r="176" spans="1:14" ht="16.5" customHeight="1">
      <c r="A176" s="32" t="s">
        <v>138</v>
      </c>
      <c r="B176" s="32" t="s">
        <v>396</v>
      </c>
      <c r="C176" s="32" t="s">
        <v>397</v>
      </c>
      <c r="D176" s="32" t="s">
        <v>398</v>
      </c>
      <c r="E176" s="32" t="s">
        <v>142</v>
      </c>
      <c r="F176" s="32">
        <v>74418</v>
      </c>
      <c r="G176" s="32" t="s">
        <v>143</v>
      </c>
      <c r="H176" s="32" t="s">
        <v>144</v>
      </c>
      <c r="I176" s="33" t="s">
        <v>399</v>
      </c>
      <c r="J176" s="33" t="s">
        <v>401</v>
      </c>
      <c r="K176" s="33" t="s">
        <v>215</v>
      </c>
      <c r="L176" s="34">
        <v>80</v>
      </c>
      <c r="M176" s="34">
        <v>20.9</v>
      </c>
      <c r="N176" s="34">
        <v>21.4</v>
      </c>
    </row>
    <row r="177" spans="1:14" ht="16.5" customHeight="1">
      <c r="A177" s="32" t="s">
        <v>138</v>
      </c>
      <c r="B177" s="32" t="s">
        <v>396</v>
      </c>
      <c r="C177" s="32" t="s">
        <v>397</v>
      </c>
      <c r="D177" s="32" t="s">
        <v>398</v>
      </c>
      <c r="E177" s="32" t="s">
        <v>142</v>
      </c>
      <c r="F177" s="32">
        <v>74418</v>
      </c>
      <c r="G177" s="32" t="s">
        <v>143</v>
      </c>
      <c r="H177" s="32" t="s">
        <v>144</v>
      </c>
      <c r="I177" s="33" t="s">
        <v>399</v>
      </c>
      <c r="J177" s="33" t="s">
        <v>402</v>
      </c>
      <c r="K177" s="33" t="s">
        <v>264</v>
      </c>
      <c r="L177" s="34">
        <v>79</v>
      </c>
      <c r="M177" s="34">
        <v>20.6</v>
      </c>
      <c r="N177" s="34">
        <v>21.1</v>
      </c>
    </row>
    <row r="178" spans="1:14" ht="16.5" customHeight="1">
      <c r="A178" s="32" t="s">
        <v>138</v>
      </c>
      <c r="B178" s="32" t="s">
        <v>396</v>
      </c>
      <c r="C178" s="32" t="s">
        <v>397</v>
      </c>
      <c r="D178" s="32" t="s">
        <v>398</v>
      </c>
      <c r="E178" s="32" t="s">
        <v>142</v>
      </c>
      <c r="F178" s="32">
        <v>74418</v>
      </c>
      <c r="G178" s="32" t="s">
        <v>316</v>
      </c>
      <c r="H178" s="32" t="s">
        <v>317</v>
      </c>
      <c r="I178" s="33" t="s">
        <v>403</v>
      </c>
      <c r="J178" s="33" t="s">
        <v>404</v>
      </c>
      <c r="K178" s="33" t="s">
        <v>147</v>
      </c>
      <c r="L178" s="34">
        <v>62</v>
      </c>
      <c r="M178" s="34">
        <v>16.3</v>
      </c>
      <c r="N178" s="34">
        <v>16.8</v>
      </c>
    </row>
    <row r="179" spans="1:14" ht="16.5" customHeight="1">
      <c r="A179" s="32" t="s">
        <v>138</v>
      </c>
      <c r="B179" s="32" t="s">
        <v>396</v>
      </c>
      <c r="C179" s="32" t="s">
        <v>397</v>
      </c>
      <c r="D179" s="32" t="s">
        <v>398</v>
      </c>
      <c r="E179" s="32" t="s">
        <v>142</v>
      </c>
      <c r="F179" s="32">
        <v>74418</v>
      </c>
      <c r="G179" s="32" t="s">
        <v>316</v>
      </c>
      <c r="H179" s="32" t="s">
        <v>317</v>
      </c>
      <c r="I179" s="33" t="s">
        <v>403</v>
      </c>
      <c r="J179" s="33" t="s">
        <v>405</v>
      </c>
      <c r="K179" s="33" t="s">
        <v>195</v>
      </c>
      <c r="L179" s="34">
        <v>20</v>
      </c>
      <c r="M179" s="34">
        <v>5.2</v>
      </c>
      <c r="N179" s="34">
        <v>5.7</v>
      </c>
    </row>
    <row r="180" spans="1:14" ht="16.5" customHeight="1">
      <c r="A180" s="32" t="s">
        <v>138</v>
      </c>
      <c r="B180" s="32" t="s">
        <v>396</v>
      </c>
      <c r="C180" s="32" t="s">
        <v>397</v>
      </c>
      <c r="D180" s="32" t="s">
        <v>398</v>
      </c>
      <c r="E180" s="32" t="s">
        <v>142</v>
      </c>
      <c r="F180" s="32">
        <v>74418</v>
      </c>
      <c r="G180" s="32" t="s">
        <v>316</v>
      </c>
      <c r="H180" s="32" t="s">
        <v>317</v>
      </c>
      <c r="I180" s="33" t="s">
        <v>403</v>
      </c>
      <c r="J180" s="33" t="s">
        <v>406</v>
      </c>
      <c r="K180" s="33" t="s">
        <v>155</v>
      </c>
      <c r="L180" s="34">
        <v>60</v>
      </c>
      <c r="M180" s="34">
        <v>15.8</v>
      </c>
      <c r="N180" s="34">
        <v>16.3</v>
      </c>
    </row>
    <row r="181" spans="1:14" ht="16.5" customHeight="1">
      <c r="A181" s="32" t="s">
        <v>138</v>
      </c>
      <c r="B181" s="32" t="s">
        <v>396</v>
      </c>
      <c r="C181" s="32" t="s">
        <v>397</v>
      </c>
      <c r="D181" s="32" t="s">
        <v>398</v>
      </c>
      <c r="E181" s="32" t="s">
        <v>142</v>
      </c>
      <c r="F181" s="32">
        <v>74418</v>
      </c>
      <c r="G181" s="32" t="s">
        <v>316</v>
      </c>
      <c r="H181" s="32" t="s">
        <v>317</v>
      </c>
      <c r="I181" s="33" t="s">
        <v>403</v>
      </c>
      <c r="J181" s="33" t="s">
        <v>407</v>
      </c>
      <c r="K181" s="33" t="s">
        <v>408</v>
      </c>
      <c r="L181" s="34">
        <v>15</v>
      </c>
      <c r="M181" s="34">
        <v>4</v>
      </c>
      <c r="N181" s="34">
        <v>4.5</v>
      </c>
    </row>
    <row r="182" spans="1:14" ht="16.5" customHeight="1">
      <c r="K182" s="31" t="s">
        <v>409</v>
      </c>
      <c r="L182" s="35">
        <f>SUM(L3:L181)</f>
        <v>13845</v>
      </c>
      <c r="M182" s="35">
        <f>SUM(M3:M181)</f>
        <v>3607.3000000000025</v>
      </c>
      <c r="N182" s="35">
        <f>SUM(N3:N181)</f>
        <v>3696.8000000000029</v>
      </c>
    </row>
  </sheetData>
  <autoFilter ref="A2:Q2" xr:uid="{860D3D9F-CF58-486E-8A64-0FEB529576F7}"/>
  <mergeCells count="14">
    <mergeCell ref="F1:F2"/>
    <mergeCell ref="A1:A2"/>
    <mergeCell ref="B1:B2"/>
    <mergeCell ref="C1:C2"/>
    <mergeCell ref="D1:D2"/>
    <mergeCell ref="E1:E2"/>
    <mergeCell ref="M1:M2"/>
    <mergeCell ref="N1:N2"/>
    <mergeCell ref="G1:G2"/>
    <mergeCell ref="H1:H2"/>
    <mergeCell ref="I1:I2"/>
    <mergeCell ref="J1:J2"/>
    <mergeCell ref="K1:K2"/>
    <mergeCell ref="L1:L2"/>
  </mergeCells>
  <phoneticPr fontId="3" type="noConversion"/>
  <pageMargins left="0.7" right="0.7" top="0.75" bottom="0.75" header="0.3" footer="0.3"/>
  <pageSetup paperSize="9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2</vt:i4>
      </vt:variant>
    </vt:vector>
  </HeadingPairs>
  <TitlesOfParts>
    <vt:vector size="5" baseType="lpstr">
      <vt:lpstr>INVOICE</vt:lpstr>
      <vt:lpstr>PACKING</vt:lpstr>
      <vt:lpstr>179 Rolls PACKING DETAIL</vt:lpstr>
      <vt:lpstr>INVOICE!Print_Titles</vt:lpstr>
      <vt:lpstr>PACKING!Print_Titles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FK-Daisy Tsai</cp:lastModifiedBy>
  <dcterms:created xsi:type="dcterms:W3CDTF">2026-04-16T02:57:25Z</dcterms:created>
  <dcterms:modified xsi:type="dcterms:W3CDTF">2026-04-21T06:13:34Z</dcterms:modified>
</cp:coreProperties>
</file>