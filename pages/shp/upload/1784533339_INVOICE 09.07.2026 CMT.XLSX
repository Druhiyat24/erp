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7. JULI\09.07.2026\"/>
    </mc:Choice>
  </mc:AlternateContent>
  <bookViews>
    <workbookView xWindow="-120" yWindow="-120" windowWidth="20730" windowHeight="11160" activeTab="2"/>
  </bookViews>
  <sheets>
    <sheet name="Sheet1" sheetId="128" r:id="rId1"/>
    <sheet name="reff" sheetId="162" r:id="rId2"/>
    <sheet name="189" sheetId="138" r:id="rId3"/>
    <sheet name="190" sheetId="129" r:id="rId4"/>
    <sheet name="191" sheetId="133" r:id="rId5"/>
    <sheet name="192" sheetId="134" r:id="rId6"/>
    <sheet name="193" sheetId="135" r:id="rId7"/>
    <sheet name="194" sheetId="137" r:id="rId8"/>
    <sheet name="195" sheetId="141" r:id="rId9"/>
    <sheet name="196" sheetId="142" r:id="rId10"/>
    <sheet name="197" sheetId="143" r:id="rId11"/>
  </sheets>
  <externalReferences>
    <externalReference r:id="rId12"/>
    <externalReference r:id="rId13"/>
    <externalReference r:id="rId14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'189'!$B$1:$I$58</definedName>
    <definedName name="_xlnm.Print_Area" localSheetId="3">'190'!$B$1:$I$57</definedName>
    <definedName name="_xlnm.Print_Area" localSheetId="4">'191'!$B$1:$I$57</definedName>
    <definedName name="_xlnm.Print_Area" localSheetId="5">'192'!$B$1:$I$57</definedName>
    <definedName name="_xlnm.Print_Area" localSheetId="6">'193'!$B$1:$I$57</definedName>
    <definedName name="_xlnm.Print_Area" localSheetId="7">'194'!$B$1:$I$57</definedName>
    <definedName name="_xlnm.Print_Area" localSheetId="8">'195'!$B$1:$I$57</definedName>
    <definedName name="_xlnm.Print_Area" localSheetId="9">'196'!$B$1:$I$57</definedName>
    <definedName name="_xlnm.Print_Area" localSheetId="10">'197'!$B$1:$I$57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29" l="1"/>
  <c r="F35" i="138" l="1"/>
  <c r="I33" i="138"/>
  <c r="C3" i="129" l="1"/>
  <c r="F32" i="143" l="1"/>
  <c r="F32" i="135"/>
  <c r="F34" i="135" s="1"/>
  <c r="F32" i="133"/>
  <c r="F32" i="129"/>
  <c r="F32" i="141"/>
  <c r="F32" i="134" l="1"/>
  <c r="I32" i="138" l="1"/>
  <c r="I35" i="138" s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3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</calcChain>
</file>

<file path=xl/sharedStrings.xml><?xml version="1.0" encoding="utf-8"?>
<sst xmlns="http://schemas.openxmlformats.org/spreadsheetml/2006/main" count="881" uniqueCount="199">
  <si>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</si>
  <si>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</si>
  <si>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</si>
  <si>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</si>
  <si>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</si>
  <si>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</si>
  <si>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</si>
  <si>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</si>
  <si>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</si>
  <si>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</si>
  <si>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</si>
  <si>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</si>
  <si>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</si>
  <si>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</si>
  <si>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</si>
  <si>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</si>
  <si>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</si>
  <si>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</si>
  <si>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</si>
  <si>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</si>
  <si>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</si>
  <si>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</si>
  <si>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</si>
  <si>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</si>
  <si>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</si>
  <si>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</si>
  <si>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</si>
  <si>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</si>
  <si>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</si>
  <si>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</si>
  <si>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</si>
  <si>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</si>
  <si>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</si>
  <si>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</si>
  <si>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</si>
  <si>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</si>
  <si>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</si>
  <si>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</si>
  <si>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</si>
  <si>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</si>
  <si>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</si>
  <si>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</si>
  <si>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</si>
  <si>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</si>
  <si>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</si>
  <si>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</si>
  <si>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</si>
  <si>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</si>
  <si>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</si>
  <si>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</si>
  <si>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</si>
  <si>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</si>
  <si>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</si>
  <si>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</si>
  <si>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</si>
  <si>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</si>
  <si>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</si>
  <si>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</si>
  <si>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</si>
  <si>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</si>
  <si>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</si>
  <si>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</si>
  <si>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</si>
  <si>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</si>
  <si>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</si>
  <si>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</si>
  <si>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</si>
  <si>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</si>
  <si>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</si>
  <si>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</si>
  <si>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</si>
  <si>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</si>
  <si>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</si>
  <si>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</si>
  <si>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</si>
  <si>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</si>
  <si>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</si>
  <si>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</si>
  <si>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</si>
  <si>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</si>
  <si>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</si>
  <si>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</si>
  <si>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</si>
  <si>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</si>
  <si>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</si>
  <si>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</si>
  <si>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</si>
  <si>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</si>
  <si>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</si>
  <si>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</si>
  <si>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</si>
  <si>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</si>
  <si>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</si>
  <si>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</si>
  <si>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</si>
  <si>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</si>
  <si>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</si>
  <si>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</si>
  <si>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</si>
  <si>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</si>
  <si>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</si>
  <si>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</si>
  <si>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</si>
  <si>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</si>
  <si>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</si>
  <si>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</si>
  <si>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</si>
  <si>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</si>
  <si>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</si>
  <si>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</si>
  <si>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</si>
  <si>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</si>
  <si>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</si>
  <si>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</si>
  <si>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</si>
  <si>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</si>
  <si>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</si>
  <si>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</si>
  <si>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</si>
  <si>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</si>
  <si>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</si>
  <si>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</si>
  <si>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</si>
  <si>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</si>
  <si>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</si>
  <si>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</si>
  <si>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</si>
  <si>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</si>
  <si>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</si>
  <si>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</si>
  <si>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</si>
  <si>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</si>
  <si>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</si>
  <si>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</si>
  <si>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</si>
  <si>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</si>
  <si>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</si>
  <si>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</si>
  <si>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</si>
  <si>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</si>
  <si>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</si>
  <si>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</si>
  <si>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</si>
  <si>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</si>
  <si>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</si>
  <si>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</si>
  <si>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</si>
  <si>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</si>
  <si>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</si>
  <si>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</si>
  <si>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</si>
  <si>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</si>
  <si>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</si>
  <si>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</si>
  <si>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</si>
  <si>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</si>
  <si>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</si>
  <si>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</si>
  <si>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</si>
  <si>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</si>
  <si>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</si>
  <si>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</si>
  <si>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</si>
  <si>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</si>
  <si>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</si>
  <si>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</si>
  <si>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</si>
  <si>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</si>
  <si>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</si>
  <si>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</si>
  <si>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</si>
  <si>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</si>
  <si>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</si>
  <si>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</si>
  <si>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</si>
  <si>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</si>
  <si>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</si>
  <si>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00, 01</t>
  </si>
  <si>
    <t>GIRLS COTTON FIBERS, KNIT PULLOVER, WITH NO NECK CLOSURE, STITCH COUNT IS GREATER THAN 9/2CM, REACHES WAIST [100% COTTON]</t>
  </si>
  <si>
    <t>265K0051</t>
  </si>
  <si>
    <t xml:space="preserve"> 265K0075 </t>
  </si>
  <si>
    <t>SHOOTING STAR</t>
  </si>
  <si>
    <t>21</t>
  </si>
  <si>
    <t>BOYS COTTON FIBERS, KNIT SHIRT, WITH NECK CLOSURE, STITCH COUNT EQUAL OR IS GREATER THAN 10/1CM, HEM BOTTOM [60% COTTON 40% POLYESTER]</t>
  </si>
  <si>
    <t>265K0059</t>
  </si>
  <si>
    <t>WOMENS COTTON FIBERS, KNIT PULLOVER, WITH NO NECK CLOSURE, STITCH COUNT IS GREATER THAN 9/2CM, REACHES WAIST, SLEEVELESS [96% COTTON 4% SPANDEX]</t>
  </si>
  <si>
    <t>BLUSH ON YOU</t>
  </si>
  <si>
    <t>22</t>
  </si>
  <si>
    <t>265K0058</t>
  </si>
  <si>
    <t>Retail</t>
  </si>
  <si>
    <t>Online</t>
  </si>
  <si>
    <t>INK BLUE</t>
  </si>
  <si>
    <t>02</t>
  </si>
  <si>
    <t>BRIGHT WHITE</t>
  </si>
  <si>
    <t>04</t>
  </si>
  <si>
    <t>MONET BLUE</t>
  </si>
  <si>
    <t>05</t>
  </si>
  <si>
    <t>PINK LEOPARD HEART, BLACK LEOPARD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</si>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</sst>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0" sqref="I10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416363</v>
      </c>
      <c r="H2" s="57">
        <v>1</v>
      </c>
      <c r="I2" s="58" t="s">
        <v>189</v>
      </c>
    </row>
    <row r="3" spans="2:9" ht="15" x14ac:dyDescent="0.25">
      <c r="B3" s="57">
        <v>2</v>
      </c>
      <c r="C3" t="s">
        <v>179</v>
      </c>
      <c r="E3" s="57">
        <v>2</v>
      </c>
      <c r="F3">
        <v>416363</v>
      </c>
      <c r="H3" s="57">
        <v>2</v>
      </c>
      <c r="I3" s="67" t="s">
        <v>189</v>
      </c>
    </row>
    <row r="4" spans="2:9" ht="15" x14ac:dyDescent="0.25">
      <c r="B4" s="57">
        <v>3</v>
      </c>
      <c r="C4" t="s">
        <v>188</v>
      </c>
      <c r="E4" s="57">
        <v>3</v>
      </c>
      <c r="F4">
        <v>905994</v>
      </c>
      <c r="H4" s="57">
        <v>3</v>
      </c>
      <c r="I4" s="67" t="s">
        <v>189</v>
      </c>
    </row>
    <row r="5" spans="2:9" ht="15" x14ac:dyDescent="0.25">
      <c r="B5" s="57">
        <v>4</v>
      </c>
      <c r="C5" t="s">
        <v>184</v>
      </c>
      <c r="E5" s="57">
        <v>4</v>
      </c>
      <c r="F5">
        <v>906033</v>
      </c>
      <c r="H5" s="57">
        <v>4</v>
      </c>
      <c r="I5" s="67" t="s">
        <v>189</v>
      </c>
    </row>
    <row r="6" spans="2:9" ht="15" x14ac:dyDescent="0.25">
      <c r="B6" s="57">
        <v>5</v>
      </c>
      <c r="C6" t="s">
        <v>188</v>
      </c>
      <c r="E6" s="57">
        <v>5</v>
      </c>
      <c r="F6">
        <v>905994</v>
      </c>
      <c r="H6" s="57">
        <v>5</v>
      </c>
      <c r="I6" s="67" t="s">
        <v>190</v>
      </c>
    </row>
    <row r="7" spans="2:9" ht="15" x14ac:dyDescent="0.25">
      <c r="B7" s="57">
        <v>6</v>
      </c>
      <c r="C7" t="s">
        <v>184</v>
      </c>
      <c r="E7" s="57">
        <v>6</v>
      </c>
      <c r="F7">
        <v>906033</v>
      </c>
      <c r="H7" s="57">
        <v>6</v>
      </c>
      <c r="I7" s="67" t="s">
        <v>190</v>
      </c>
    </row>
    <row r="8" spans="2:9" ht="15" x14ac:dyDescent="0.25">
      <c r="B8" s="57">
        <v>7</v>
      </c>
      <c r="C8" t="s">
        <v>180</v>
      </c>
      <c r="E8" s="57">
        <v>7</v>
      </c>
      <c r="F8">
        <v>692926</v>
      </c>
      <c r="H8" s="57">
        <v>7</v>
      </c>
      <c r="I8" s="67" t="s">
        <v>190</v>
      </c>
    </row>
    <row r="9" spans="2:9" ht="15" x14ac:dyDescent="0.25">
      <c r="B9" s="57">
        <v>8</v>
      </c>
      <c r="C9" t="s">
        <v>180</v>
      </c>
      <c r="E9" s="57">
        <v>8</v>
      </c>
      <c r="F9">
        <v>692926</v>
      </c>
      <c r="H9" s="57">
        <v>8</v>
      </c>
      <c r="I9" s="67" t="s">
        <v>189</v>
      </c>
    </row>
    <row r="10" spans="2:9" ht="15" x14ac:dyDescent="0.25">
      <c r="B10" s="57">
        <v>9</v>
      </c>
      <c r="C10" t="s">
        <v>180</v>
      </c>
      <c r="E10" s="57">
        <v>9</v>
      </c>
      <c r="F10">
        <v>692926</v>
      </c>
      <c r="H10" s="57">
        <v>9</v>
      </c>
      <c r="I10" s="67" t="s">
        <v>189</v>
      </c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topLeftCell="A1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61760758</v>
      </c>
      <c r="K2" s="65">
        <v>4898</v>
      </c>
      <c r="L2" s="66">
        <v>56</v>
      </c>
      <c r="M2" s="66">
        <v>565.31899999999996</v>
      </c>
      <c r="N2" s="66">
        <v>575.11500000000001</v>
      </c>
      <c r="O2" s="66">
        <v>625.21500000000003</v>
      </c>
      <c r="P2" s="66" t="s">
        <v>54</v>
      </c>
      <c r="Q2" s="66">
        <v>3.0190000000000001</v>
      </c>
      <c r="R2" s="66" t="s">
        <v>62</v>
      </c>
    </row>
    <row r="3" spans="2:22" x14ac:dyDescent="0.2">
      <c r="B3" s="6" t="s">
        <v>53</v>
      </c>
      <c r="C3" s="63">
        <v>189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61760758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625.21500000000003</v>
      </c>
      <c r="G23" s="23">
        <f>+N2</f>
        <v>575.11500000000001</v>
      </c>
      <c r="H23" s="23">
        <f>+M2</f>
        <v>565.31899999999996</v>
      </c>
      <c r="I23" s="55">
        <f>+L2</f>
        <v>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68"/>
      <c r="E32" s="69"/>
      <c r="F32" s="68">
        <v>2625</v>
      </c>
      <c r="G32" s="69"/>
      <c r="H32" s="17">
        <v>0.9</v>
      </c>
      <c r="I32" s="18">
        <f>+H32*F32</f>
        <v>2362.5</v>
      </c>
      <c r="K32" s="46"/>
      <c r="M32" s="39"/>
    </row>
    <row r="33" spans="2:13" ht="27.75" customHeight="1" x14ac:dyDescent="0.2">
      <c r="B33" s="41" t="s">
        <v>194</v>
      </c>
      <c r="C33" s="19" t="s">
        <v>193</v>
      </c>
      <c r="D33" s="68"/>
      <c r="E33" s="69"/>
      <c r="F33" s="68">
        <v>2273</v>
      </c>
      <c r="G33" s="69"/>
      <c r="H33" s="17"/>
      <c r="I33" s="18">
        <f>+H33*F33</f>
        <v>0</v>
      </c>
      <c r="K33" s="46"/>
      <c r="M33" s="39"/>
    </row>
    <row r="34" spans="2:13" ht="21" customHeight="1" x14ac:dyDescent="0.2">
      <c r="B34" s="15" t="s">
        <v>15</v>
      </c>
      <c r="C34" s="15"/>
      <c r="D34" s="70"/>
      <c r="E34" s="71"/>
      <c r="F34" s="70"/>
      <c r="G34" s="71"/>
      <c r="H34" s="17"/>
      <c r="I34" s="61"/>
    </row>
    <row r="35" spans="2:13" ht="21.75" customHeight="1" x14ac:dyDescent="0.2">
      <c r="B35" s="15" t="s">
        <v>14</v>
      </c>
      <c r="C35" s="15"/>
      <c r="D35" s="72"/>
      <c r="E35" s="73"/>
      <c r="F35" s="68">
        <f>SUM(F32:G34)</f>
        <v>4898</v>
      </c>
      <c r="G35" s="69"/>
      <c r="H35" s="15"/>
      <c r="I35" s="14">
        <f>SUM(I32:I34)</f>
        <v>2362.5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1"/>
      <c r="F36" s="70"/>
      <c r="G36" s="71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0"/>
      <c r="E37" s="71"/>
      <c r="F37" s="70"/>
      <c r="G37" s="71"/>
      <c r="H37" s="15"/>
      <c r="I37" s="14">
        <f>+I35</f>
        <v>2362.5</v>
      </c>
    </row>
    <row r="38" spans="2:13" ht="20.25" customHeight="1" x14ac:dyDescent="0.2">
      <c r="B38" s="15" t="s">
        <v>80</v>
      </c>
      <c r="C38" s="70" t="s">
        <v>11</v>
      </c>
      <c r="D38" s="75"/>
      <c r="E38" s="75"/>
      <c r="F38" s="75"/>
      <c r="G38" s="75"/>
      <c r="H38" s="71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2362.5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4"/>
      <c r="D58" s="74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61763738</v>
      </c>
      <c r="K2" s="65">
        <v>2319</v>
      </c>
      <c r="L2" s="66">
        <v>25</v>
      </c>
      <c r="M2" s="66">
        <v>248.71199999999999</v>
      </c>
      <c r="N2" s="66">
        <v>267.26400000000001</v>
      </c>
      <c r="O2" s="66">
        <v>290.36399999999998</v>
      </c>
      <c r="P2" s="66" t="s">
        <v>54</v>
      </c>
      <c r="Q2" s="66">
        <v>1.4430000000000001</v>
      </c>
      <c r="R2" s="66" t="s">
        <v>62</v>
      </c>
    </row>
    <row r="3" spans="2:22" x14ac:dyDescent="0.2">
      <c r="B3" s="6" t="s">
        <v>53</v>
      </c>
      <c r="C3" s="63">
        <f>+'189'!C3+1</f>
        <v>190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61763738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290.36399999999998</v>
      </c>
      <c r="G23" s="23">
        <f>+N2</f>
        <v>267.26400000000001</v>
      </c>
      <c r="H23" s="23">
        <f>+M2</f>
        <v>248.71199999999999</v>
      </c>
      <c r="I23" s="48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5" t="s">
        <v>19</v>
      </c>
      <c r="E31" s="85"/>
      <c r="F31" s="85" t="s">
        <v>18</v>
      </c>
      <c r="G31" s="85"/>
      <c r="H31" s="48" t="s">
        <v>17</v>
      </c>
      <c r="I31" s="19" t="s">
        <v>16</v>
      </c>
      <c r="M31"/>
    </row>
    <row r="32" spans="2:13" ht="30.75" customHeight="1" x14ac:dyDescent="0.2">
      <c r="B32" s="41" t="s">
        <v>196</v>
      </c>
      <c r="C32" s="19" t="s">
        <v>195</v>
      </c>
      <c r="D32" s="68"/>
      <c r="E32" s="69"/>
      <c r="F32" s="68">
        <f>+K2</f>
        <v>2319</v>
      </c>
      <c r="G32" s="69"/>
      <c r="H32" s="17">
        <v>0.9</v>
      </c>
      <c r="I32" s="18">
        <f>+H32*F32</f>
        <v>2087.1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48"/>
    </row>
    <row r="34" spans="2:11" ht="21.75" customHeight="1" x14ac:dyDescent="0.2">
      <c r="B34" s="15" t="s">
        <v>14</v>
      </c>
      <c r="C34" s="15"/>
      <c r="D34" s="72"/>
      <c r="E34" s="73"/>
      <c r="F34" s="68">
        <f>SUM(F31:G33)</f>
        <v>2319</v>
      </c>
      <c r="G34" s="69"/>
      <c r="H34" s="15"/>
      <c r="I34" s="14">
        <f>SUM(I32:I33)</f>
        <v>2087.1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2087.1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2087.1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61635627</v>
      </c>
      <c r="K2" s="66">
        <v>435</v>
      </c>
      <c r="L2" s="66">
        <v>6</v>
      </c>
      <c r="M2" s="66">
        <v>29.42</v>
      </c>
      <c r="N2" s="66">
        <v>30.29</v>
      </c>
      <c r="O2" s="66">
        <v>34.090000000000003</v>
      </c>
      <c r="P2" s="66" t="s">
        <v>54</v>
      </c>
      <c r="Q2" s="66">
        <v>0.20100000000000001</v>
      </c>
      <c r="R2" s="66" t="s">
        <v>62</v>
      </c>
    </row>
    <row r="3" spans="2:22" x14ac:dyDescent="0.2">
      <c r="B3" s="6" t="s">
        <v>53</v>
      </c>
      <c r="C3" s="63">
        <f>+'190'!C3+1</f>
        <v>191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61635627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34.090000000000003</v>
      </c>
      <c r="G23" s="23">
        <f>+N2</f>
        <v>30.29</v>
      </c>
      <c r="H23" s="23">
        <f>+M2</f>
        <v>29.42</v>
      </c>
      <c r="I23" s="48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5" t="s">
        <v>19</v>
      </c>
      <c r="E31" s="85"/>
      <c r="F31" s="85" t="s">
        <v>18</v>
      </c>
      <c r="G31" s="85"/>
      <c r="H31" s="48" t="s">
        <v>17</v>
      </c>
      <c r="I31" s="19" t="s">
        <v>16</v>
      </c>
      <c r="M31"/>
    </row>
    <row r="32" spans="2:13" ht="39.75" customHeight="1" x14ac:dyDescent="0.2">
      <c r="B32" s="41" t="s">
        <v>177</v>
      </c>
      <c r="C32" s="19" t="s">
        <v>197</v>
      </c>
      <c r="D32" s="68"/>
      <c r="E32" s="69"/>
      <c r="F32" s="68">
        <f>+K2</f>
        <v>435</v>
      </c>
      <c r="G32" s="69"/>
      <c r="H32" s="17">
        <v>0.81</v>
      </c>
      <c r="I32" s="18">
        <f>+H32*F32</f>
        <v>352.35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48"/>
    </row>
    <row r="34" spans="2:11" ht="21.75" customHeight="1" x14ac:dyDescent="0.2">
      <c r="B34" s="15" t="s">
        <v>14</v>
      </c>
      <c r="C34" s="15"/>
      <c r="D34" s="72"/>
      <c r="E34" s="73"/>
      <c r="F34" s="68">
        <f>SUM(F31:G33)</f>
        <v>435</v>
      </c>
      <c r="G34" s="69"/>
      <c r="H34" s="15"/>
      <c r="I34" s="14">
        <f>SUM(I32:I33)</f>
        <v>352.35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352.35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352.35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61613705</v>
      </c>
      <c r="K2" s="65">
        <v>5080</v>
      </c>
      <c r="L2" s="66">
        <v>54</v>
      </c>
      <c r="M2" s="66">
        <v>411.93</v>
      </c>
      <c r="N2" s="66">
        <v>422.09</v>
      </c>
      <c r="O2" s="66">
        <v>468.74</v>
      </c>
      <c r="P2" s="66" t="s">
        <v>54</v>
      </c>
      <c r="Q2" s="66">
        <v>2.7679999999999998</v>
      </c>
      <c r="R2" s="66" t="s">
        <v>62</v>
      </c>
    </row>
    <row r="3" spans="2:22" x14ac:dyDescent="0.2">
      <c r="B3" s="6" t="s">
        <v>53</v>
      </c>
      <c r="C3" s="63">
        <f>+'191'!C3+1</f>
        <v>192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61613705</v>
      </c>
      <c r="C21" s="5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468.74</v>
      </c>
      <c r="G23" s="23">
        <f>+N2</f>
        <v>422.09</v>
      </c>
      <c r="H23" s="23">
        <f>+M2</f>
        <v>411.93</v>
      </c>
      <c r="I23" s="54">
        <f>+L2</f>
        <v>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197</v>
      </c>
      <c r="D32" s="68"/>
      <c r="E32" s="69"/>
      <c r="F32" s="68">
        <f>+K2</f>
        <v>5080</v>
      </c>
      <c r="G32" s="69"/>
      <c r="H32" s="17">
        <v>0.84</v>
      </c>
      <c r="I32" s="18">
        <f>+H32*F32</f>
        <v>4267.2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4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5080</v>
      </c>
      <c r="G34" s="69"/>
      <c r="H34" s="15"/>
      <c r="I34" s="14">
        <f>SUM(I32:I33)</f>
        <v>4267.2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4267.2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4267.2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61646966</v>
      </c>
      <c r="K2" s="65">
        <v>1702</v>
      </c>
      <c r="L2" s="66">
        <v>16</v>
      </c>
      <c r="M2" s="66">
        <v>125.081</v>
      </c>
      <c r="N2" s="66">
        <v>128.48500000000001</v>
      </c>
      <c r="O2" s="66">
        <v>142.08500000000001</v>
      </c>
      <c r="P2" s="66" t="s">
        <v>54</v>
      </c>
      <c r="Q2" s="66">
        <v>0.70499999999999996</v>
      </c>
      <c r="R2" s="66" t="s">
        <v>62</v>
      </c>
    </row>
    <row r="3" spans="2:22" x14ac:dyDescent="0.2">
      <c r="B3" s="6" t="s">
        <v>53</v>
      </c>
      <c r="C3" s="63">
        <f>+'192'!C3+1</f>
        <v>193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61646966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142.08500000000001</v>
      </c>
      <c r="G23" s="23">
        <f>+N2</f>
        <v>128.48500000000001</v>
      </c>
      <c r="H23" s="23">
        <f>+M2</f>
        <v>125.081</v>
      </c>
      <c r="I23" s="55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35.25" customHeight="1" x14ac:dyDescent="0.2">
      <c r="B32" s="41" t="s">
        <v>177</v>
      </c>
      <c r="C32" s="19" t="s">
        <v>197</v>
      </c>
      <c r="D32" s="68"/>
      <c r="E32" s="69"/>
      <c r="F32" s="68">
        <f>+K2</f>
        <v>1702</v>
      </c>
      <c r="G32" s="69"/>
      <c r="H32" s="17">
        <v>0.81</v>
      </c>
      <c r="I32" s="18">
        <f>+H32*F32</f>
        <v>1378.6200000000001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9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1702</v>
      </c>
      <c r="G34" s="69"/>
      <c r="H34" s="15"/>
      <c r="I34" s="14">
        <f>SUM(I32:I32)</f>
        <v>1378.6200000000001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1378.6200000000001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1378.6200000000001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61646970</v>
      </c>
      <c r="K2" s="65">
        <v>2774</v>
      </c>
      <c r="L2" s="66">
        <v>32</v>
      </c>
      <c r="M2" s="66">
        <v>232.232</v>
      </c>
      <c r="N2" s="66">
        <v>237.78</v>
      </c>
      <c r="O2" s="66">
        <v>265.68</v>
      </c>
      <c r="P2" s="66" t="s">
        <v>54</v>
      </c>
      <c r="Q2" s="66">
        <v>1.4990000000000001</v>
      </c>
      <c r="R2" s="66" t="s">
        <v>62</v>
      </c>
    </row>
    <row r="3" spans="2:22" x14ac:dyDescent="0.2">
      <c r="B3" s="6" t="s">
        <v>53</v>
      </c>
      <c r="C3" s="63">
        <f>+'193'!C3+1</f>
        <v>194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61646970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265.68</v>
      </c>
      <c r="G23" s="23">
        <f>+N2</f>
        <v>237.78</v>
      </c>
      <c r="H23" s="23">
        <f>+M2</f>
        <v>232.232</v>
      </c>
      <c r="I23" s="55">
        <f>+L2</f>
        <v>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37.5" customHeight="1" x14ac:dyDescent="0.2">
      <c r="B32" s="62" t="s">
        <v>177</v>
      </c>
      <c r="C32" s="19" t="s">
        <v>197</v>
      </c>
      <c r="D32" s="68"/>
      <c r="E32" s="69"/>
      <c r="F32" s="68">
        <f>+K2</f>
        <v>2774</v>
      </c>
      <c r="G32" s="69"/>
      <c r="H32" s="17">
        <v>0.84</v>
      </c>
      <c r="I32" s="18">
        <f>+H32*F32</f>
        <v>2330.16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5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2774</v>
      </c>
      <c r="G34" s="69"/>
      <c r="H34" s="15"/>
      <c r="I34" s="14">
        <f>SUM(I32:I33)</f>
        <v>2330.16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2330.16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2330.16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61969483</v>
      </c>
      <c r="K2" s="65">
        <v>1036</v>
      </c>
      <c r="L2" s="66">
        <v>20</v>
      </c>
      <c r="M2" s="66">
        <v>111.62</v>
      </c>
      <c r="N2" s="66">
        <v>121.98</v>
      </c>
      <c r="O2" s="66">
        <v>137.97999999999999</v>
      </c>
      <c r="P2" s="66" t="s">
        <v>54</v>
      </c>
      <c r="Q2" s="66">
        <v>0.72699999999999998</v>
      </c>
      <c r="R2" s="66" t="s">
        <v>62</v>
      </c>
    </row>
    <row r="3" spans="2:22" x14ac:dyDescent="0.2">
      <c r="B3" s="6" t="s">
        <v>53</v>
      </c>
      <c r="C3" s="63">
        <f>+'194'!C3+1</f>
        <v>195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61969483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137.97999999999999</v>
      </c>
      <c r="G23" s="23">
        <f>+N2</f>
        <v>121.98</v>
      </c>
      <c r="H23" s="23">
        <f>+M2</f>
        <v>111.62</v>
      </c>
      <c r="I23" s="55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WOMENS COTTON FIBERS, KNIT PULLOVER, WITH NO NECK CLOSURE, STITCH COUNT IS GREATER THAN 9/2CM, REACHES WAIST, SLEEVELESS [96% COTTON 4% SPANDEX]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27.75" customHeight="1" x14ac:dyDescent="0.2">
      <c r="B32" s="41" t="s">
        <v>182</v>
      </c>
      <c r="C32" s="19" t="s">
        <v>181</v>
      </c>
      <c r="D32" s="68"/>
      <c r="E32" s="69"/>
      <c r="F32" s="68">
        <f>+K2</f>
        <v>1036</v>
      </c>
      <c r="G32" s="69"/>
      <c r="H32" s="17">
        <v>0.76</v>
      </c>
      <c r="I32" s="18">
        <f>+H32*F32</f>
        <v>787.36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60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1036</v>
      </c>
      <c r="G34" s="69"/>
      <c r="H34" s="15"/>
      <c r="I34" s="14">
        <f>SUM(I32:I33)</f>
        <v>787.36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787.36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787.36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62023768</v>
      </c>
      <c r="K2" s="65">
        <v>1183</v>
      </c>
      <c r="L2" s="66">
        <v>24</v>
      </c>
      <c r="M2" s="66">
        <v>120.09</v>
      </c>
      <c r="N2" s="66">
        <v>161.495</v>
      </c>
      <c r="O2" s="66">
        <v>184.495</v>
      </c>
      <c r="P2" s="66" t="s">
        <v>54</v>
      </c>
      <c r="Q2" s="66">
        <v>1.4430000000000001</v>
      </c>
      <c r="R2" s="66" t="s">
        <v>62</v>
      </c>
    </row>
    <row r="3" spans="2:22" x14ac:dyDescent="0.2">
      <c r="B3" s="6" t="s">
        <v>53</v>
      </c>
      <c r="C3" s="63">
        <f>+'195'!C3+1</f>
        <v>196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62023768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184.495</v>
      </c>
      <c r="G23" s="23">
        <f>+N2</f>
        <v>161.495</v>
      </c>
      <c r="H23" s="23">
        <f>+M2</f>
        <v>120.09</v>
      </c>
      <c r="I23" s="55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WOMENS COTTON FIBERS, KNIT PULLOVER, WITH NO NECK CLOSURE, STITCH COUNT IS GREATER THAN 9/2CM, REACHES WAIST, SLEEVELESS [96% COTTON 4% SPANDEX]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27.75" customHeight="1" x14ac:dyDescent="0.2">
      <c r="B32" s="41" t="s">
        <v>182</v>
      </c>
      <c r="C32" s="19" t="s">
        <v>181</v>
      </c>
      <c r="D32" s="68"/>
      <c r="E32" s="69"/>
      <c r="F32" s="68">
        <f>+K2</f>
        <v>1183</v>
      </c>
      <c r="G32" s="69"/>
      <c r="H32" s="17">
        <v>0.76</v>
      </c>
      <c r="I32" s="18">
        <f>+H32*F32</f>
        <v>899.08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5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1183</v>
      </c>
      <c r="G34" s="69"/>
      <c r="H34" s="15"/>
      <c r="I34" s="14">
        <f>SUM(I32:I33)</f>
        <v>899.08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899.08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899.08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198</v>
      </c>
      <c r="C2" s="80"/>
      <c r="D2" s="80"/>
      <c r="E2" s="80"/>
      <c r="F2" s="80"/>
      <c r="G2" s="80"/>
      <c r="H2" s="80"/>
      <c r="I2" s="81"/>
      <c r="J2" s="64">
        <v>62023771</v>
      </c>
      <c r="K2" s="65">
        <v>1197</v>
      </c>
      <c r="L2" s="66">
        <v>25</v>
      </c>
      <c r="M2" s="66">
        <v>122.61</v>
      </c>
      <c r="N2" s="66">
        <v>164.505</v>
      </c>
      <c r="O2" s="66">
        <v>188.505</v>
      </c>
      <c r="P2" s="66" t="s">
        <v>54</v>
      </c>
      <c r="Q2" s="66">
        <v>1.51</v>
      </c>
      <c r="R2" s="66" t="s">
        <v>62</v>
      </c>
    </row>
    <row r="3" spans="2:22" x14ac:dyDescent="0.2">
      <c r="B3" s="6" t="s">
        <v>53</v>
      </c>
      <c r="C3" s="63">
        <f>+'196'!C3+1</f>
        <v>197</v>
      </c>
      <c r="D3" s="5"/>
      <c r="E3" s="5"/>
      <c r="F3" s="5"/>
      <c r="G3" s="5" t="s">
        <v>52</v>
      </c>
      <c r="H3" s="31">
        <v>46222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62023771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188.505</v>
      </c>
      <c r="G23" s="23">
        <f>+N2</f>
        <v>164.505</v>
      </c>
      <c r="H23" s="23">
        <f>+M2</f>
        <v>122.61</v>
      </c>
      <c r="I23" s="55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5"/>
      <c r="D26" s="75"/>
      <c r="E26" s="75"/>
      <c r="F26" s="75"/>
      <c r="G26" s="75"/>
      <c r="H26" s="75"/>
      <c r="I26" s="71"/>
    </row>
    <row r="27" spans="2:13" ht="24.75" customHeight="1" x14ac:dyDescent="0.2">
      <c r="B27" s="82" t="str">
        <f>+K4</f>
        <v>WOMENS COTTON FIBERS, KNIT PULLOVER, WITH NO NECK CLOSURE, STITCH COUNT IS GREATER THAN 9/2CM, REACHES WAIST, SLEEVELESS [96% COTTON 4% SPANDEX]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40.5" customHeight="1" x14ac:dyDescent="0.2">
      <c r="B32" s="41" t="s">
        <v>187</v>
      </c>
      <c r="C32" s="19" t="s">
        <v>186</v>
      </c>
      <c r="D32" s="68"/>
      <c r="E32" s="69"/>
      <c r="F32" s="68">
        <f>+K2</f>
        <v>1197</v>
      </c>
      <c r="G32" s="69"/>
      <c r="H32" s="17">
        <v>0.76</v>
      </c>
      <c r="I32" s="18">
        <f>+H32*F32</f>
        <v>909.72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1"/>
      <c r="F33" s="70"/>
      <c r="G33" s="71"/>
      <c r="H33" s="17"/>
      <c r="I33" s="55"/>
    </row>
    <row r="34" spans="2:11" ht="21.75" customHeight="1" x14ac:dyDescent="0.2">
      <c r="B34" s="15" t="s">
        <v>14</v>
      </c>
      <c r="C34" s="15"/>
      <c r="D34" s="72"/>
      <c r="E34" s="73"/>
      <c r="F34" s="68">
        <f>SUM(F32:G33)</f>
        <v>1197</v>
      </c>
      <c r="G34" s="69"/>
      <c r="H34" s="15"/>
      <c r="I34" s="14">
        <f>SUM(I32:I33)</f>
        <v>909.72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1"/>
      <c r="F35" s="70"/>
      <c r="G35" s="71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1"/>
      <c r="F36" s="70"/>
      <c r="G36" s="71"/>
      <c r="H36" s="15"/>
      <c r="I36" s="14">
        <f>+I34</f>
        <v>909.72</v>
      </c>
    </row>
    <row r="37" spans="2:11" ht="20.25" customHeight="1" x14ac:dyDescent="0.2">
      <c r="B37" s="15" t="s">
        <v>80</v>
      </c>
      <c r="C37" s="70" t="s">
        <v>11</v>
      </c>
      <c r="D37" s="75"/>
      <c r="E37" s="75"/>
      <c r="F37" s="75"/>
      <c r="G37" s="75"/>
      <c r="H37" s="7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909.72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reff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'189'!Print_Area</vt:lpstr>
      <vt:lpstr>'190'!Print_Area</vt:lpstr>
      <vt:lpstr>'191'!Print_Area</vt:lpstr>
      <vt:lpstr>'192'!Print_Area</vt:lpstr>
      <vt:lpstr>'193'!Print_Area</vt:lpstr>
      <vt:lpstr>'194'!Print_Area</vt:lpstr>
      <vt:lpstr>'195'!Print_Area</vt:lpstr>
      <vt:lpstr>'196'!Print_Area</vt:lpstr>
      <vt:lpstr>'197'!Print_Area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2026-07-02T01:28:20Z</cp:lastPrinted>
  <dcterms:created xsi:type="dcterms:W3CDTF">2024-04-17T09:56:05Z</dcterms:created>
  <dcterms:modified xsi:type="dcterms:W3CDTF">2026-07-13T01:58:12Z</dcterms:modified>
</cp:coreProperties>
</file>