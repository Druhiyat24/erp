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9.04.2026\"/>
    </mc:Choice>
  </mc:AlternateContent>
  <xr:revisionPtr revIDLastSave="0" documentId="13_ncr:1_{DF68CE82-A728-44DE-AF36-4200DDFC3D6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604" sheetId="135" r:id="rId3"/>
    <sheet name="605" sheetId="137" r:id="rId4"/>
    <sheet name="606" sheetId="138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'604'!$B$1:$I$57</definedName>
    <definedName name="_xlnm.Print_Area" localSheetId="3">'605'!$B$1:$I$57</definedName>
    <definedName name="_xlnm.Print_Area" localSheetId="4">'606'!$B$1:$I$56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35" l="1"/>
  <c r="F32" i="138"/>
  <c r="F32" i="135"/>
  <c r="I32" i="135" s="1"/>
  <c r="F33" i="138" l="1"/>
  <c r="H3" i="138" l="1"/>
  <c r="F32" i="137" l="1"/>
  <c r="I32" i="138" l="1"/>
  <c r="I33" i="138" s="1"/>
  <c r="F34" i="137"/>
  <c r="I32" i="137" l="1"/>
  <c r="B27" i="135" l="1"/>
  <c r="E21" i="135" l="1"/>
  <c r="E21" i="137"/>
  <c r="E21" i="138"/>
  <c r="C21" i="135"/>
  <c r="C21" i="137"/>
  <c r="C21" i="138"/>
  <c r="H52" i="135"/>
  <c r="H52" i="137"/>
  <c r="H51" i="138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5" i="138"/>
  <c r="I37" i="138" s="1"/>
  <c r="C3" i="137" l="1"/>
  <c r="C3" i="138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<sst xmlns="http://schemas.openxmlformats.org/spreadsheetml/2006/main" count="399" uniqueCount="188">
  <si>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</si>
  <si>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</si>
  <si>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</si>
  <si>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</si>
  <si>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</si>
  <si>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</si>
  <si>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</si>
  <si>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</si>
  <si>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</si>
  <si>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</si>
  <si>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</si>
  <si>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</si>
  <si>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</si>
  <si>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</si>
  <si>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</si>
  <si>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</si>
  <si>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</si>
  <si>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</si>
  <si>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</si>
  <si>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</si>
  <si>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</si>
  <si>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</si>
  <si>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</si>
  <si>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</si>
  <si>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</si>
  <si>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</si>
  <si>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</si>
  <si>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</si>
  <si>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</si>
  <si>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</si>
  <si>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</si>
  <si>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</si>
  <si>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</si>
  <si>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</si>
  <si>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</si>
  <si>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</si>
  <si>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</si>
  <si>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</si>
  <si>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</si>
  <si>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</si>
  <si>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</si>
  <si>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</si>
  <si>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</si>
  <si>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</si>
  <si>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</si>
  <si>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</si>
  <si>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</si>
  <si>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</si>
  <si>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</si>
  <si>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</si>
  <si>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</si>
  <si>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</si>
  <si>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</si>
  <si>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</si>
  <si>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</si>
  <si>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</si>
  <si>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</si>
  <si>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</si>
  <si>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</si>
  <si>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</si>
  <si>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</si>
  <si>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</si>
  <si>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</si>
  <si>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</si>
  <si>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</si>
  <si>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</si>
  <si>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</si>
  <si>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</si>
  <si>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</si>
  <si>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</si>
  <si>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</si>
  <si>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</si>
  <si>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</si>
  <si>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</si>
  <si>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</si>
  <si>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</si>
  <si>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</si>
  <si>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</si>
  <si>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</si>
  <si>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</si>
  <si>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</si>
  <si>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</si>
  <si>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</si>
  <si>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</si>
  <si>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</si>
  <si>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</si>
  <si>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</si>
  <si>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</si>
  <si>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</si>
  <si>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</si>
  <si>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</si>
  <si>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</si>
  <si>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</si>
  <si>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</si>
  <si>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</si>
  <si>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</si>
  <si>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</si>
  <si>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</si>
  <si>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</si>
  <si>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</si>
  <si>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</si>
  <si>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</si>
  <si>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</si>
  <si>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</si>
  <si>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</si>
  <si>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</si>
  <si>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</si>
  <si>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</si>
  <si>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</si>
  <si>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</si>
  <si>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</si>
  <si>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</si>
  <si>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</si>
  <si>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</si>
  <si>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</si>
  <si>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</si>
  <si>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</si>
  <si>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</si>
  <si>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</si>
  <si>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</si>
  <si>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</si>
  <si>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</si>
  <si>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</si>
  <si>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</si>
  <si>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</si>
  <si>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</si>
  <si>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</si>
  <si>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</si>
  <si>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</si>
  <si>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</si>
  <si>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</si>
  <si>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</si>
  <si>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</si>
  <si>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</si>
  <si>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</si>
  <si>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</si>
  <si>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</si>
  <si>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</si>
  <si>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</si>
  <si>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</si>
  <si>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</si>
  <si>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</si>
  <si>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</si>
  <si>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</si>
  <si>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</si>
  <si>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</si>
  <si>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</si>
  <si>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</si>
  <si>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</si>
  <si>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</si>
  <si>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</si>
  <si>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</si>
  <si>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</si>
  <si>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</si>
  <si>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</si>
  <si>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</si>
  <si>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</si>
  <si>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</si>
  <si>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</si>
  <si>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</si>
  <si>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</si>
  <si>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</si>
  <si>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</si>
  <si>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</si>
  <si>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</si>
  <si>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</si>
  <si>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</si>
  <si>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</si>
  <si>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</si>
  <si>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</si>
  <si>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</si>
  <si>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</si>
  <si>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</si>
  <si>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</si>
  <si>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</si>
  <si>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</si>
  <si>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</si>
  <si>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</si>
  <si>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</si>
  <si>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 xml:space="preserve">  </t>
  </si>
  <si>
    <t xml:space="preserve"> 265K0075 </t>
  </si>
  <si>
    <t>265K0045</t>
  </si>
  <si>
    <t>BLUSH ON YOU, SHOOTING STAR</t>
  </si>
  <si>
    <t>22, 21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</si>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</sst>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" fontId="5" fillId="3" borderId="0" xfId="0" applyNumberFormat="1" applyFont="1" applyFill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" sqref="I2"/>
    </sheetView>
  </sheetViews>
  <sheetFormatPr defaultRowHeight="12.75" x14ac:dyDescent="0.2"/>
  <sheetData>
    <row r="2" spans="2:9" ht="15" x14ac:dyDescent="0.25">
      <c r="B2" s="56">
        <v>1</v>
      </c>
      <c r="C2" t="s">
        <v>180</v>
      </c>
      <c r="E2" s="56">
        <v>1</v>
      </c>
      <c r="F2">
        <v>692926</v>
      </c>
      <c r="H2" s="56">
        <v>1</v>
      </c>
      <c r="I2" s="57" t="s">
        <v>178</v>
      </c>
    </row>
    <row r="3" spans="2:9" ht="15" x14ac:dyDescent="0.25">
      <c r="B3" s="56">
        <v>2</v>
      </c>
      <c r="C3" t="s">
        <v>181</v>
      </c>
      <c r="E3" s="56">
        <v>2</v>
      </c>
      <c r="F3">
        <v>692926</v>
      </c>
      <c r="H3" s="56">
        <v>2</v>
      </c>
      <c r="I3" s="57" t="s">
        <v>177</v>
      </c>
    </row>
    <row r="4" spans="2:9" ht="15" x14ac:dyDescent="0.25">
      <c r="B4" s="56">
        <v>3</v>
      </c>
      <c r="C4" t="s">
        <v>181</v>
      </c>
      <c r="E4" s="56">
        <v>3</v>
      </c>
      <c r="F4">
        <v>692926</v>
      </c>
      <c r="H4" s="56">
        <v>3</v>
      </c>
      <c r="I4" s="57" t="s">
        <v>178</v>
      </c>
    </row>
    <row r="5" spans="2:9" ht="15" x14ac:dyDescent="0.25">
      <c r="B5" s="56">
        <v>4</v>
      </c>
      <c r="E5" s="56">
        <v>4</v>
      </c>
      <c r="H5" s="56">
        <v>4</v>
      </c>
      <c r="I5" s="57"/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ht="15" x14ac:dyDescent="0.25">
      <c r="B7" s="56">
        <v>6</v>
      </c>
      <c r="E7" s="56">
        <v>6</v>
      </c>
      <c r="H7" s="56">
        <v>6</v>
      </c>
      <c r="I7" s="57"/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187</v>
      </c>
      <c r="C2" s="73"/>
      <c r="D2" s="73"/>
      <c r="E2" s="73"/>
      <c r="F2" s="73"/>
      <c r="G2" s="73"/>
      <c r="H2" s="73"/>
      <c r="I2" s="74"/>
      <c r="J2" s="43">
        <v>61738886</v>
      </c>
      <c r="K2" s="50">
        <v>2654</v>
      </c>
      <c r="L2" s="44">
        <v>63</v>
      </c>
      <c r="M2" s="44">
        <v>280.02999999999997</v>
      </c>
      <c r="N2" s="44">
        <v>372.92</v>
      </c>
      <c r="O2" s="44">
        <v>431.12</v>
      </c>
      <c r="P2" s="44" t="s">
        <v>54</v>
      </c>
      <c r="Q2" s="44">
        <v>3.4220000000000002</v>
      </c>
      <c r="R2" s="44" t="s">
        <v>62</v>
      </c>
    </row>
    <row r="3" spans="2:22" x14ac:dyDescent="0.2">
      <c r="B3" s="6" t="s">
        <v>53</v>
      </c>
      <c r="C3" s="59">
        <v>604</v>
      </c>
      <c r="D3" s="5"/>
      <c r="E3" s="5"/>
      <c r="F3" s="5"/>
      <c r="G3" s="5" t="s">
        <v>52</v>
      </c>
      <c r="H3" s="31">
        <v>46152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 t="s">
        <v>179</v>
      </c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61738886</v>
      </c>
      <c r="C21" s="55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431.12</v>
      </c>
      <c r="G23" s="23">
        <f>+N2</f>
        <v>372.92</v>
      </c>
      <c r="H23" s="23">
        <f>+M2</f>
        <v>280.02999999999997</v>
      </c>
      <c r="I23" s="54">
        <f>+L2</f>
        <v>63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66"/>
      <c r="D26" s="66"/>
      <c r="E26" s="66"/>
      <c r="F26" s="66"/>
      <c r="G26" s="66"/>
      <c r="H26" s="66"/>
      <c r="I26" s="65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4" customHeight="1" x14ac:dyDescent="0.2">
      <c r="B32" s="41" t="s">
        <v>183</v>
      </c>
      <c r="C32" s="19" t="s">
        <v>182</v>
      </c>
      <c r="D32" s="70"/>
      <c r="E32" s="71"/>
      <c r="F32" s="70">
        <f>+K2</f>
        <v>2654</v>
      </c>
      <c r="G32" s="71"/>
      <c r="H32" s="17">
        <v>0.76</v>
      </c>
      <c r="I32" s="18">
        <f>+H32*F32</f>
        <v>2017.04</v>
      </c>
      <c r="K32" s="48"/>
      <c r="M32" s="39"/>
    </row>
    <row r="33" spans="2:11" ht="21" customHeight="1" x14ac:dyDescent="0.2">
      <c r="B33" s="15" t="s">
        <v>15</v>
      </c>
      <c r="C33" s="15"/>
      <c r="D33" s="60"/>
      <c r="E33" s="61"/>
      <c r="F33" s="64"/>
      <c r="G33" s="65"/>
      <c r="H33" s="17"/>
      <c r="I33" s="58"/>
    </row>
    <row r="34" spans="2:11" ht="21.75" customHeight="1" x14ac:dyDescent="0.2">
      <c r="B34" s="15" t="s">
        <v>14</v>
      </c>
      <c r="C34" s="15"/>
      <c r="D34" s="64"/>
      <c r="E34" s="65"/>
      <c r="F34" s="70">
        <f>SUM(F32:G33)</f>
        <v>2654</v>
      </c>
      <c r="G34" s="71"/>
      <c r="H34" s="15"/>
      <c r="I34" s="14">
        <f>SUM(I32:I32)</f>
        <v>2017.04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2017.04</v>
      </c>
    </row>
    <row r="37" spans="2:11" ht="20.25" customHeight="1" x14ac:dyDescent="0.2">
      <c r="B37" s="15" t="s">
        <v>80</v>
      </c>
      <c r="C37" s="64" t="s">
        <v>11</v>
      </c>
      <c r="D37" s="66"/>
      <c r="E37" s="66"/>
      <c r="F37" s="66"/>
      <c r="G37" s="66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2017.04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7" t="s">
        <v>7</v>
      </c>
      <c r="C46" s="67"/>
      <c r="D46" s="6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8" t="s">
        <v>1</v>
      </c>
      <c r="D55" s="68"/>
      <c r="E55" s="5"/>
      <c r="F55" s="5"/>
      <c r="G55" s="5"/>
      <c r="H55" s="5"/>
      <c r="I55" s="4"/>
    </row>
    <row r="56" spans="2:11" x14ac:dyDescent="0.2">
      <c r="B56" s="6"/>
      <c r="C56" s="69" t="s">
        <v>0</v>
      </c>
      <c r="D56" s="6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3"/>
      <c r="D57" s="6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19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187</v>
      </c>
      <c r="C2" s="73"/>
      <c r="D2" s="73"/>
      <c r="E2" s="73"/>
      <c r="F2" s="73"/>
      <c r="G2" s="73"/>
      <c r="H2" s="73"/>
      <c r="I2" s="74"/>
      <c r="J2" s="43">
        <v>61430748</v>
      </c>
      <c r="K2" s="50">
        <v>5226</v>
      </c>
      <c r="L2" s="44">
        <v>104</v>
      </c>
      <c r="M2" s="44">
        <v>563.17999999999995</v>
      </c>
      <c r="N2" s="44">
        <v>615.44000000000005</v>
      </c>
      <c r="O2" s="44">
        <v>697.74</v>
      </c>
      <c r="P2" s="44" t="s">
        <v>54</v>
      </c>
      <c r="Q2" s="44">
        <v>3.6680000000000001</v>
      </c>
      <c r="R2" s="44" t="s">
        <v>62</v>
      </c>
    </row>
    <row r="3" spans="2:22" x14ac:dyDescent="0.2">
      <c r="B3" s="6" t="s">
        <v>53</v>
      </c>
      <c r="C3" s="59">
        <f>+'604'!C3+1</f>
        <v>605</v>
      </c>
      <c r="D3" s="5"/>
      <c r="E3" s="5"/>
      <c r="F3" s="5"/>
      <c r="G3" s="5" t="s">
        <v>52</v>
      </c>
      <c r="H3" s="31"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61430748</v>
      </c>
      <c r="C21" s="55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697.74</v>
      </c>
      <c r="G23" s="23">
        <f>+N2</f>
        <v>615.44000000000005</v>
      </c>
      <c r="H23" s="23">
        <f>+M2</f>
        <v>563.17999999999995</v>
      </c>
      <c r="I23" s="54">
        <f>+L2</f>
        <v>104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66"/>
      <c r="D26" s="66"/>
      <c r="E26" s="66"/>
      <c r="F26" s="66"/>
      <c r="G26" s="66"/>
      <c r="H26" s="66"/>
      <c r="I26" s="65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38.25" x14ac:dyDescent="0.2">
      <c r="B32" s="41" t="s">
        <v>186</v>
      </c>
      <c r="C32" s="19" t="s">
        <v>185</v>
      </c>
      <c r="D32" s="70"/>
      <c r="E32" s="71"/>
      <c r="F32" s="70">
        <f>+K2</f>
        <v>5226</v>
      </c>
      <c r="G32" s="71"/>
      <c r="H32" s="17">
        <v>0.76</v>
      </c>
      <c r="I32" s="18">
        <f>+H32*F32</f>
        <v>3971.76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4"/>
    </row>
    <row r="34" spans="2:11" ht="21.75" customHeight="1" x14ac:dyDescent="0.2">
      <c r="B34" s="15" t="s">
        <v>14</v>
      </c>
      <c r="C34" s="15"/>
      <c r="D34" s="79"/>
      <c r="E34" s="80"/>
      <c r="F34" s="70">
        <f>SUM(F32:G33)</f>
        <v>5226</v>
      </c>
      <c r="G34" s="71"/>
      <c r="H34" s="15"/>
      <c r="I34" s="14">
        <f>SUM(I32:I33)</f>
        <v>3971.76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3971.76</v>
      </c>
    </row>
    <row r="37" spans="2:11" ht="20.25" customHeight="1" x14ac:dyDescent="0.2">
      <c r="B37" s="15" t="s">
        <v>80</v>
      </c>
      <c r="C37" s="64" t="s">
        <v>11</v>
      </c>
      <c r="D37" s="66"/>
      <c r="E37" s="66"/>
      <c r="F37" s="66"/>
      <c r="G37" s="66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3971.76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7" t="s">
        <v>7</v>
      </c>
      <c r="C46" s="67"/>
      <c r="D46" s="6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8" t="s">
        <v>1</v>
      </c>
      <c r="D55" s="68"/>
      <c r="E55" s="5"/>
      <c r="F55" s="5"/>
      <c r="G55" s="5"/>
      <c r="H55" s="5"/>
      <c r="I55" s="4"/>
    </row>
    <row r="56" spans="2:11" x14ac:dyDescent="0.2">
      <c r="B56" s="6"/>
      <c r="C56" s="69" t="s">
        <v>0</v>
      </c>
      <c r="D56" s="6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3"/>
      <c r="D57" s="6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tabSelected="1" view="pageBreakPreview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187</v>
      </c>
      <c r="C2" s="73"/>
      <c r="D2" s="73"/>
      <c r="E2" s="73"/>
      <c r="F2" s="73"/>
      <c r="G2" s="73"/>
      <c r="H2" s="73"/>
      <c r="I2" s="74"/>
      <c r="J2" s="43">
        <v>61437159</v>
      </c>
      <c r="K2" s="50">
        <v>27098</v>
      </c>
      <c r="L2" s="44">
        <v>541</v>
      </c>
      <c r="M2" s="62">
        <v>2876.93</v>
      </c>
      <c r="N2" s="62">
        <v>3825.36</v>
      </c>
      <c r="O2" s="62">
        <v>4353.16</v>
      </c>
      <c r="P2" s="44" t="s">
        <v>54</v>
      </c>
      <c r="Q2" s="44">
        <v>34.085999999999999</v>
      </c>
      <c r="R2" s="44" t="s">
        <v>62</v>
      </c>
    </row>
    <row r="3" spans="2:22" x14ac:dyDescent="0.2">
      <c r="B3" s="6" t="s">
        <v>53</v>
      </c>
      <c r="C3" s="59">
        <f>+'605'!C3+1</f>
        <v>606</v>
      </c>
      <c r="D3" s="5"/>
      <c r="E3" s="5"/>
      <c r="F3" s="5"/>
      <c r="G3" s="5" t="s">
        <v>52</v>
      </c>
      <c r="H3" s="31">
        <f>+'605'!H3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61437159</v>
      </c>
      <c r="C21" s="55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4353.16</v>
      </c>
      <c r="G23" s="23">
        <f>+N2</f>
        <v>3825.36</v>
      </c>
      <c r="H23" s="23">
        <f>+M2</f>
        <v>2876.93</v>
      </c>
      <c r="I23" s="54">
        <f>+L2</f>
        <v>541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66"/>
      <c r="D26" s="66"/>
      <c r="E26" s="66"/>
      <c r="F26" s="66"/>
      <c r="G26" s="66"/>
      <c r="H26" s="66"/>
      <c r="I26" s="65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38.25" x14ac:dyDescent="0.2">
      <c r="B32" s="41" t="s">
        <v>186</v>
      </c>
      <c r="C32" s="19" t="s">
        <v>185</v>
      </c>
      <c r="D32" s="70"/>
      <c r="E32" s="71"/>
      <c r="F32" s="70">
        <f>+K2</f>
        <v>27098</v>
      </c>
      <c r="G32" s="71"/>
      <c r="H32" s="17">
        <v>0.76</v>
      </c>
      <c r="I32" s="18">
        <f>+H32*F32</f>
        <v>20594.48</v>
      </c>
      <c r="K32" s="48"/>
      <c r="M32" s="39"/>
    </row>
    <row r="33" spans="2:11" ht="21.75" customHeight="1" x14ac:dyDescent="0.2">
      <c r="B33" s="15" t="s">
        <v>14</v>
      </c>
      <c r="C33" s="15"/>
      <c r="D33" s="79"/>
      <c r="E33" s="80"/>
      <c r="F33" s="70">
        <f>SUM(F32:G32)</f>
        <v>27098</v>
      </c>
      <c r="G33" s="71"/>
      <c r="H33" s="15"/>
      <c r="I33" s="14">
        <f>SUM(I32:I32)</f>
        <v>20594.48</v>
      </c>
      <c r="J33" s="40"/>
      <c r="K33" s="40"/>
    </row>
    <row r="34" spans="2:11" ht="21.75" customHeight="1" x14ac:dyDescent="0.2">
      <c r="B34" s="16" t="s">
        <v>13</v>
      </c>
      <c r="C34" s="15"/>
      <c r="D34" s="64"/>
      <c r="E34" s="65"/>
      <c r="F34" s="64"/>
      <c r="G34" s="65"/>
      <c r="H34" s="15"/>
      <c r="I34" s="54"/>
      <c r="J34" s="40"/>
    </row>
    <row r="35" spans="2:11" ht="21.75" customHeight="1" x14ac:dyDescent="0.2">
      <c r="B35" s="16" t="s">
        <v>12</v>
      </c>
      <c r="C35" s="15"/>
      <c r="D35" s="64"/>
      <c r="E35" s="65"/>
      <c r="F35" s="64"/>
      <c r="G35" s="65"/>
      <c r="H35" s="15"/>
      <c r="I35" s="14">
        <f>+I33</f>
        <v>20594.48</v>
      </c>
    </row>
    <row r="36" spans="2:11" ht="20.25" customHeight="1" x14ac:dyDescent="0.2">
      <c r="B36" s="15" t="s">
        <v>80</v>
      </c>
      <c r="C36" s="64" t="s">
        <v>11</v>
      </c>
      <c r="D36" s="66"/>
      <c r="E36" s="66"/>
      <c r="F36" s="66"/>
      <c r="G36" s="66"/>
      <c r="H36" s="65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20594.48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67" t="s">
        <v>7</v>
      </c>
      <c r="C45" s="67"/>
      <c r="D45" s="67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265K0045</v>
      </c>
      <c r="I51" s="8"/>
      <c r="K51">
        <v>3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68" t="s">
        <v>1</v>
      </c>
      <c r="D54" s="68"/>
      <c r="E54" s="5"/>
      <c r="F54" s="5"/>
      <c r="G54" s="5"/>
      <c r="H54" s="5"/>
      <c r="I54" s="4"/>
    </row>
    <row r="55" spans="2:11" x14ac:dyDescent="0.2">
      <c r="B55" s="6"/>
      <c r="C55" s="69" t="s">
        <v>0</v>
      </c>
      <c r="D55" s="69"/>
      <c r="E55" s="5"/>
      <c r="F55" s="5"/>
      <c r="G55" s="5"/>
      <c r="H55" s="5"/>
      <c r="I55" s="4"/>
      <c r="K55">
        <v>3</v>
      </c>
    </row>
    <row r="56" spans="2:11" x14ac:dyDescent="0.2">
      <c r="B56" s="2"/>
      <c r="C56" s="63"/>
      <c r="D56" s="63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604</vt:lpstr>
      <vt:lpstr>605</vt:lpstr>
      <vt:lpstr>606</vt:lpstr>
      <vt:lpstr>'604'!Print_Area</vt:lpstr>
      <vt:lpstr>'605'!Print_Area</vt:lpstr>
      <vt:lpstr>'606'!Print_Area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2026-04-29T01:18:40Z</cp:lastPrinted>
  <dcterms:created xsi:type="dcterms:W3CDTF">2024-04-17T09:56:05Z</dcterms:created>
  <dcterms:modified xsi:type="dcterms:W3CDTF">2026-04-30T01:39:22Z</dcterms:modified>
</cp:coreProperties>
</file>