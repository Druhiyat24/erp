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2.06.2026\"/>
    </mc:Choice>
  </mc:AlternateContent>
  <xr:revisionPtr revIDLastSave="0" documentId="13_ncr:1_{B7897A99-44AC-4C23-B932-057F2D8DAD00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Sheet1" sheetId="128" r:id="rId1"/>
    <sheet name="reff" sheetId="162" r:id="rId2"/>
    <sheet name="309" sheetId="129" r:id="rId3"/>
    <sheet name="310" sheetId="133" r:id="rId4"/>
    <sheet name="311" sheetId="134" r:id="rId5"/>
    <sheet name="312" sheetId="135" r:id="rId6"/>
    <sheet name="313" sheetId="163" r:id="rId7"/>
    <sheet name="314" sheetId="164" r:id="rId8"/>
  </sheets>
  <externalReferences>
    <externalReference r:id="rId9"/>
    <externalReference r:id="rId10"/>
    <externalReference r:id="rId1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>[2]xdata!#REF!</definedName>
    <definedName name="INVOICE">[2]xdata!$B$2</definedName>
    <definedName name="_xlnm.Print_Area" localSheetId="2">'309'!$B$1:$I$58</definedName>
    <definedName name="_xlnm.Print_Area" localSheetId="3">'310'!$B$1:$I$57</definedName>
    <definedName name="_xlnm.Print_Area" localSheetId="4">'311'!$B$1:$I$58</definedName>
    <definedName name="_xlnm.Print_Area" localSheetId="5">'312'!$B$1:$I$58</definedName>
    <definedName name="_xlnm.Print_Area" localSheetId="6">'313'!$B$1:$I$57</definedName>
    <definedName name="_xlnm.Print_Area" localSheetId="7">'314'!$B$1:$I$57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5" l="1"/>
  <c r="I33" i="134"/>
  <c r="I33" i="129" l="1"/>
  <c r="F32" i="164"/>
  <c r="I32" i="164" s="1"/>
  <c r="I34" i="164" s="1"/>
  <c r="I36" i="164" s="1"/>
  <c r="I38" i="164" s="1"/>
  <c r="F32" i="163"/>
  <c r="I32" i="163" s="1"/>
  <c r="I34" i="163" s="1"/>
  <c r="I36" i="163" s="1"/>
  <c r="I38" i="163" s="1"/>
  <c r="F32" i="133"/>
  <c r="I32" i="133" s="1"/>
  <c r="H52" i="164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3" i="164"/>
  <c r="H52" i="163"/>
  <c r="F34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F35" i="134" l="1"/>
  <c r="F35" i="135"/>
  <c r="I32" i="134"/>
  <c r="I35" i="134" s="1"/>
  <c r="F34" i="133" l="1"/>
  <c r="F35" i="129" l="1"/>
  <c r="C3" i="133"/>
  <c r="H3" i="135"/>
  <c r="H3" i="134"/>
  <c r="H3" i="133"/>
  <c r="I32" i="129" l="1"/>
  <c r="I35" i="129" s="1"/>
  <c r="B27" i="135" l="1"/>
  <c r="B27" i="134"/>
  <c r="E21" i="129" l="1"/>
  <c r="E21" i="133" l="1"/>
  <c r="E21" i="135"/>
  <c r="E21" i="134"/>
  <c r="C21" i="129"/>
  <c r="C21" i="134"/>
  <c r="C21" i="135"/>
  <c r="C21" i="133"/>
  <c r="H53" i="129"/>
  <c r="H53" i="134"/>
  <c r="H53" i="135"/>
  <c r="H52" i="133"/>
  <c r="I32" i="135" l="1"/>
  <c r="I35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7" i="134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63" s="1"/>
  <c r="C3" i="164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<sst xmlns="http://schemas.openxmlformats.org/spreadsheetml/2006/main" count="645" uniqueCount="200">
  <si>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</si>
  <si>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</si>
  <si>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</si>
  <si>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</si>
  <si>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</si>
  <si>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</si>
  <si>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</si>
  <si>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</si>
  <si>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</si>
  <si>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</si>
  <si>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</si>
  <si>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</si>
  <si>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</si>
  <si>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</si>
  <si>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</si>
  <si>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</si>
  <si>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</si>
  <si>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</si>
  <si>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</si>
  <si>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</si>
  <si>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</si>
  <si>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</si>
  <si>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</si>
  <si>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</si>
  <si>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</si>
  <si>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</si>
  <si>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</si>
  <si>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</si>
  <si>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</si>
  <si>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</si>
  <si>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</si>
  <si>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</si>
  <si>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</si>
  <si>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</si>
  <si>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</si>
  <si>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</si>
  <si>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</si>
  <si>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</si>
  <si>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</si>
  <si>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</si>
  <si>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</si>
  <si>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</si>
  <si>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</si>
  <si>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</si>
  <si>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</si>
  <si>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</si>
  <si>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</si>
  <si>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</si>
  <si>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</si>
  <si>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</si>
  <si>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</si>
  <si>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</si>
  <si>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</si>
  <si>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</si>
  <si>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</si>
  <si>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</si>
  <si>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</si>
  <si>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</si>
  <si>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</si>
  <si>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</si>
  <si>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</si>
  <si>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</si>
  <si>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</si>
  <si>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</si>
  <si>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</si>
  <si>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</si>
  <si>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</si>
  <si>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</si>
  <si>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</si>
  <si>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</si>
  <si>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</si>
  <si>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</si>
  <si>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</si>
  <si>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</si>
  <si>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</si>
  <si>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</si>
  <si>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</si>
  <si>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</si>
  <si>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</si>
  <si>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</si>
  <si>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</si>
  <si>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</si>
  <si>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</si>
  <si>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</si>
  <si>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</si>
  <si>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</si>
  <si>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</si>
  <si>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</si>
  <si>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</si>
  <si>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</si>
  <si>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</si>
  <si>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</si>
  <si>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</si>
  <si>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</si>
  <si>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</si>
  <si>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</si>
  <si>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</si>
  <si>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</si>
  <si>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</si>
  <si>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</si>
  <si>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</si>
  <si>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</si>
  <si>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</si>
  <si>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</si>
  <si>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</si>
  <si>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</si>
  <si>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</si>
  <si>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</si>
  <si>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</si>
  <si>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</si>
  <si>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</si>
  <si>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</si>
  <si>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</si>
  <si>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</si>
  <si>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</si>
  <si>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</si>
  <si>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</si>
  <si>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</si>
  <si>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</si>
  <si>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</si>
  <si>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</si>
  <si>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</si>
  <si>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</si>
  <si>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</si>
  <si>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</si>
  <si>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</si>
  <si>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</si>
  <si>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</si>
  <si>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</si>
  <si>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</si>
  <si>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</si>
  <si>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</si>
  <si>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</si>
  <si>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</si>
  <si>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</si>
  <si>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</si>
  <si>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</si>
  <si>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</si>
  <si>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</si>
  <si>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</si>
  <si>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</si>
  <si>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</si>
  <si>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</si>
  <si>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</si>
  <si>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</si>
  <si>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</si>
  <si>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</si>
  <si>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</si>
  <si>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</si>
  <si>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</si>
  <si>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</si>
  <si>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</si>
  <si>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</si>
  <si>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</si>
  <si>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</si>
  <si>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</si>
  <si>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</si>
  <si>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</si>
  <si>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</si>
  <si>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</si>
  <si>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</si>
  <si>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</si>
  <si>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</si>
  <si>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</si>
  <si>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</si>
  <si>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</si>
  <si>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</si>
  <si>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</si>
  <si>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</si>
  <si>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</si>
  <si>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</si>
  <si>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</si>
  <si>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</si>
  <si>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</si>
  <si>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</si>
  <si>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</si>
  <si>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</si>
  <si>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WOMENS COTTON FIBERS, KNIT PULLOVER, WITH NO NECK CLOSURE, STITCH COUNT IS GREATER THAN 9/2CM, REACHES WAIST, SLEEVELESS [96% COTTON 4% SPANDEX]</t>
  </si>
  <si>
    <t>265K0051</t>
  </si>
  <si>
    <t>265K0052</t>
  </si>
  <si>
    <t>265K0057</t>
  </si>
  <si>
    <t xml:space="preserve"> 265K0075 </t>
  </si>
  <si>
    <t>RETAIL</t>
  </si>
  <si>
    <t>ONLINE</t>
  </si>
  <si>
    <t>BRIGHT WHITE</t>
  </si>
  <si>
    <t>04</t>
  </si>
  <si>
    <t>INK BLUE</t>
  </si>
  <si>
    <t>02</t>
  </si>
  <si>
    <t>BOYS COTTON FIBERS, KNIT SHIRT, WITH NECK CLOSURE, STITCH COUNT EQUAL OR IS GREATER THAN 10/1CM, HEM BOTTOM [60% COTTON 40% POLYESTER]</t>
  </si>
  <si>
    <t>CALLA LILY 451, INK BLUE</t>
  </si>
  <si>
    <t>00, 02</t>
  </si>
  <si>
    <t>BLACKJACK JAS, BLUSH HUE</t>
  </si>
  <si>
    <t>02, 01</t>
  </si>
  <si>
    <t>CALLA LILY 451</t>
  </si>
  <si>
    <t>00</t>
  </si>
  <si>
    <t>GIRLS COTTON FIBERS, KNIT PULLOVER, WITH NO NECK CLOSURE, STITCH COUNT IS GREATER THAN 9/2CM, REACHES WAIST [60% COTTON 40% RECYCLED POLYESTER]</t>
  </si>
  <si>
    <t>01, 02</t>
  </si>
  <si>
    <t>BLACK COFFEE, BLACK JACK 3, CALLA LILY 2, IN THE NAVY</t>
  </si>
  <si>
    <t>13, 15, 20, 16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</si>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</sst>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b/>
      <sz val="11"/>
      <color rgb="FF161618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0" xfId="0" applyFont="1"/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right" vertical="center" wrapText="1"/>
    </xf>
    <xf numFmtId="0" fontId="15" fillId="3" borderId="0" xfId="0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395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7" sqref="I7"/>
    </sheetView>
  </sheetViews>
  <sheetFormatPr defaultRowHeight="12.75" x14ac:dyDescent="0.2"/>
  <sheetData>
    <row r="2" spans="2:9" ht="15" x14ac:dyDescent="0.25">
      <c r="B2" s="57">
        <v>1</v>
      </c>
      <c r="C2" t="s">
        <v>178</v>
      </c>
      <c r="E2" s="57">
        <v>1</v>
      </c>
      <c r="F2">
        <v>416363</v>
      </c>
      <c r="H2" s="57">
        <v>1</v>
      </c>
      <c r="I2" s="63" t="s">
        <v>182</v>
      </c>
    </row>
    <row r="3" spans="2:9" ht="15" x14ac:dyDescent="0.25">
      <c r="B3" s="57">
        <v>2</v>
      </c>
      <c r="C3" t="s">
        <v>179</v>
      </c>
      <c r="E3" s="57">
        <v>2</v>
      </c>
      <c r="F3">
        <v>767468</v>
      </c>
      <c r="H3" s="57">
        <v>2</v>
      </c>
      <c r="I3" s="63" t="s">
        <v>182</v>
      </c>
    </row>
    <row r="4" spans="2:9" ht="15" x14ac:dyDescent="0.25">
      <c r="B4" s="57">
        <v>3</v>
      </c>
      <c r="C4" t="s">
        <v>180</v>
      </c>
      <c r="E4" s="57">
        <v>3</v>
      </c>
      <c r="F4">
        <v>867788</v>
      </c>
      <c r="H4" s="57">
        <v>3</v>
      </c>
      <c r="I4" s="63" t="s">
        <v>183</v>
      </c>
    </row>
    <row r="5" spans="2:9" ht="15" x14ac:dyDescent="0.25">
      <c r="B5" s="57">
        <v>4</v>
      </c>
      <c r="C5" t="s">
        <v>180</v>
      </c>
      <c r="E5" s="57">
        <v>4</v>
      </c>
      <c r="F5">
        <v>867788</v>
      </c>
      <c r="H5" s="57">
        <v>4</v>
      </c>
      <c r="I5" s="63" t="s">
        <v>183</v>
      </c>
    </row>
    <row r="6" spans="2:9" ht="15" x14ac:dyDescent="0.25">
      <c r="B6" s="57">
        <v>5</v>
      </c>
      <c r="C6" t="s">
        <v>181</v>
      </c>
      <c r="E6" s="57">
        <v>5</v>
      </c>
      <c r="F6">
        <v>692926</v>
      </c>
      <c r="H6" s="57">
        <v>5</v>
      </c>
      <c r="I6" s="63" t="s">
        <v>183</v>
      </c>
    </row>
    <row r="7" spans="2:9" ht="15" x14ac:dyDescent="0.25">
      <c r="B7" s="57">
        <v>6</v>
      </c>
      <c r="C7" t="s">
        <v>181</v>
      </c>
      <c r="E7" s="57">
        <v>6</v>
      </c>
      <c r="F7">
        <v>692926</v>
      </c>
      <c r="H7" s="57">
        <v>6</v>
      </c>
      <c r="I7" s="63" t="s">
        <v>182</v>
      </c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61717927</v>
      </c>
      <c r="K2" s="65">
        <v>4594</v>
      </c>
      <c r="L2" s="66">
        <v>57</v>
      </c>
      <c r="M2" s="66">
        <v>528.58699999999999</v>
      </c>
      <c r="N2" s="66">
        <v>537.77499999999998</v>
      </c>
      <c r="O2" s="66">
        <v>585.97500000000002</v>
      </c>
      <c r="P2" s="66" t="s">
        <v>54</v>
      </c>
      <c r="Q2" s="66">
        <v>2.8519999999999999</v>
      </c>
      <c r="R2" s="66" t="s">
        <v>62</v>
      </c>
    </row>
    <row r="3" spans="2:22" x14ac:dyDescent="0.2">
      <c r="B3" s="6" t="s">
        <v>53</v>
      </c>
      <c r="C3" s="60">
        <v>309</v>
      </c>
      <c r="D3" s="5"/>
      <c r="E3" s="5"/>
      <c r="F3" s="5"/>
      <c r="G3" s="5" t="s">
        <v>52</v>
      </c>
      <c r="H3" s="31"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61717927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585.97500000000002</v>
      </c>
      <c r="G23" s="23">
        <f>+N2</f>
        <v>537.77499999999998</v>
      </c>
      <c r="H23" s="23">
        <f>+M2</f>
        <v>528.58699999999999</v>
      </c>
      <c r="I23" s="48">
        <f>+L2</f>
        <v>57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2.25" customHeight="1" x14ac:dyDescent="0.2">
      <c r="B32" s="41" t="s">
        <v>185</v>
      </c>
      <c r="C32" s="19" t="s">
        <v>184</v>
      </c>
      <c r="D32" s="67"/>
      <c r="E32" s="68"/>
      <c r="F32" s="67">
        <v>3374</v>
      </c>
      <c r="G32" s="68"/>
      <c r="H32" s="17">
        <v>0.9</v>
      </c>
      <c r="I32" s="18">
        <f>+H32*F32</f>
        <v>3036.6</v>
      </c>
      <c r="K32" s="46"/>
      <c r="M32" s="39"/>
    </row>
    <row r="33" spans="2:13" ht="32.25" customHeight="1" x14ac:dyDescent="0.2">
      <c r="B33" s="41" t="s">
        <v>187</v>
      </c>
      <c r="C33" s="19" t="s">
        <v>186</v>
      </c>
      <c r="D33" s="67"/>
      <c r="E33" s="68"/>
      <c r="F33" s="67">
        <v>1220</v>
      </c>
      <c r="G33" s="68"/>
      <c r="H33" s="17">
        <v>0.9</v>
      </c>
      <c r="I33" s="18">
        <f>+H33*F33</f>
        <v>1098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67">
        <f>SUM(F31:G34)</f>
        <v>4594</v>
      </c>
      <c r="G35" s="68"/>
      <c r="H35" s="15"/>
      <c r="I35" s="14">
        <f>SUM(I32:I34)</f>
        <v>4134.6000000000004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4134.6000000000004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4134.6000000000004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61717886</v>
      </c>
      <c r="K2" s="65">
        <v>4413</v>
      </c>
      <c r="L2" s="66">
        <v>67</v>
      </c>
      <c r="M2" s="66">
        <v>589.20000000000005</v>
      </c>
      <c r="N2" s="66">
        <v>677.46</v>
      </c>
      <c r="O2" s="66">
        <v>737.36</v>
      </c>
      <c r="P2" s="66" t="s">
        <v>54</v>
      </c>
      <c r="Q2" s="66">
        <v>3.7240000000000002</v>
      </c>
      <c r="R2" s="66" t="s">
        <v>62</v>
      </c>
    </row>
    <row r="3" spans="2:22" x14ac:dyDescent="0.2">
      <c r="B3" s="6" t="s">
        <v>53</v>
      </c>
      <c r="C3" s="60">
        <f>+'309'!C3+1</f>
        <v>310</v>
      </c>
      <c r="D3" s="5"/>
      <c r="E3" s="5"/>
      <c r="F3" s="5"/>
      <c r="G3" s="5" t="s">
        <v>52</v>
      </c>
      <c r="H3" s="31">
        <f>+'309'!H3+0</f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61717886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737.36</v>
      </c>
      <c r="G23" s="23">
        <f>+N2</f>
        <v>677.46</v>
      </c>
      <c r="H23" s="23">
        <f>+M2</f>
        <v>589.20000000000005</v>
      </c>
      <c r="I23" s="48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9.75" customHeight="1" x14ac:dyDescent="0.2">
      <c r="B32" s="41" t="s">
        <v>190</v>
      </c>
      <c r="C32" s="19" t="s">
        <v>189</v>
      </c>
      <c r="D32" s="67"/>
      <c r="E32" s="68"/>
      <c r="F32" s="67">
        <f>+K2</f>
        <v>4413</v>
      </c>
      <c r="G32" s="68"/>
      <c r="H32" s="17">
        <v>1.05</v>
      </c>
      <c r="I32" s="18">
        <f>+H32*F32</f>
        <v>4633.6500000000005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4413</v>
      </c>
      <c r="G34" s="68"/>
      <c r="H34" s="15"/>
      <c r="I34" s="14">
        <f>SUM(I32:I33)</f>
        <v>4633.6500000000005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4633.6500000000005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4633.6500000000005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61733989</v>
      </c>
      <c r="K2" s="65">
        <v>3045</v>
      </c>
      <c r="L2" s="66">
        <v>36</v>
      </c>
      <c r="M2" s="66">
        <v>216.47</v>
      </c>
      <c r="N2" s="66">
        <v>222.56</v>
      </c>
      <c r="O2" s="66">
        <v>251.56</v>
      </c>
      <c r="P2" s="66" t="s">
        <v>54</v>
      </c>
      <c r="Q2" s="66">
        <v>1.32</v>
      </c>
      <c r="R2" s="66" t="s">
        <v>62</v>
      </c>
    </row>
    <row r="3" spans="2:22" x14ac:dyDescent="0.2">
      <c r="B3" s="6" t="s">
        <v>53</v>
      </c>
      <c r="C3" s="60">
        <f>+'310'!C3+1</f>
        <v>311</v>
      </c>
      <c r="D3" s="5"/>
      <c r="E3" s="5"/>
      <c r="F3" s="5"/>
      <c r="G3" s="5" t="s">
        <v>52</v>
      </c>
      <c r="H3" s="31">
        <f>+'309'!H3+0</f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61733989</v>
      </c>
      <c r="C21" s="53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251.56</v>
      </c>
      <c r="G23" s="23">
        <f>+N2</f>
        <v>222.56</v>
      </c>
      <c r="H23" s="23">
        <f>+M2</f>
        <v>216.47</v>
      </c>
      <c r="I23" s="54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67"/>
      <c r="E32" s="68"/>
      <c r="F32" s="67">
        <v>2176</v>
      </c>
      <c r="G32" s="68"/>
      <c r="H32" s="17">
        <v>0.71</v>
      </c>
      <c r="I32" s="18">
        <f>+H32*F32</f>
        <v>1544.96</v>
      </c>
      <c r="K32" s="46"/>
      <c r="M32" s="39"/>
    </row>
    <row r="33" spans="2:13" ht="27.75" customHeight="1" x14ac:dyDescent="0.2">
      <c r="B33" s="41" t="s">
        <v>194</v>
      </c>
      <c r="C33" s="19" t="s">
        <v>193</v>
      </c>
      <c r="D33" s="67"/>
      <c r="E33" s="68"/>
      <c r="F33" s="67">
        <v>869</v>
      </c>
      <c r="G33" s="68"/>
      <c r="H33" s="17">
        <v>0.71</v>
      </c>
      <c r="I33" s="18">
        <f>+H33*F33</f>
        <v>616.99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4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3045</v>
      </c>
      <c r="G35" s="68"/>
      <c r="H35" s="15"/>
      <c r="I35" s="14">
        <f>SUM(I32:I34)</f>
        <v>2161.9499999999998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2161.9499999999998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2161.9499999999998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topLeftCell="A26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61733993</v>
      </c>
      <c r="K2" s="65">
        <v>1515</v>
      </c>
      <c r="L2" s="66">
        <v>22</v>
      </c>
      <c r="M2" s="66">
        <v>107.675</v>
      </c>
      <c r="N2" s="66">
        <v>110.705</v>
      </c>
      <c r="O2" s="66">
        <v>127.505</v>
      </c>
      <c r="P2" s="66" t="s">
        <v>54</v>
      </c>
      <c r="Q2" s="66">
        <v>0.67100000000000004</v>
      </c>
      <c r="R2" s="66" t="s">
        <v>62</v>
      </c>
    </row>
    <row r="3" spans="2:22" x14ac:dyDescent="0.2">
      <c r="B3" s="6" t="s">
        <v>53</v>
      </c>
      <c r="C3" s="60">
        <f>+'311'!C3+1</f>
        <v>312</v>
      </c>
      <c r="D3" s="5"/>
      <c r="E3" s="5"/>
      <c r="F3" s="5"/>
      <c r="G3" s="5" t="s">
        <v>52</v>
      </c>
      <c r="H3" s="31">
        <f>+'309'!H3+0</f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61733993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127.505</v>
      </c>
      <c r="G23" s="23">
        <f>+N2</f>
        <v>110.705</v>
      </c>
      <c r="H23" s="23">
        <f>+M2</f>
        <v>107.675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33" customHeight="1" x14ac:dyDescent="0.2">
      <c r="B32" s="41" t="s">
        <v>196</v>
      </c>
      <c r="C32" s="19" t="s">
        <v>191</v>
      </c>
      <c r="D32" s="67"/>
      <c r="E32" s="68"/>
      <c r="F32" s="67">
        <v>1083</v>
      </c>
      <c r="G32" s="68"/>
      <c r="H32" s="17">
        <v>0.71</v>
      </c>
      <c r="I32" s="18">
        <f>+H32*F32</f>
        <v>768.93</v>
      </c>
      <c r="K32" s="46"/>
      <c r="M32" s="39"/>
    </row>
    <row r="33" spans="2:13" ht="33" customHeight="1" x14ac:dyDescent="0.2">
      <c r="B33" s="41" t="s">
        <v>194</v>
      </c>
      <c r="C33" s="19" t="s">
        <v>193</v>
      </c>
      <c r="D33" s="67"/>
      <c r="E33" s="68"/>
      <c r="F33" s="67">
        <v>432</v>
      </c>
      <c r="G33" s="68"/>
      <c r="H33" s="17">
        <v>0.71</v>
      </c>
      <c r="I33" s="18">
        <f>+H33*F33</f>
        <v>306.71999999999997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9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1515</v>
      </c>
      <c r="G35" s="68"/>
      <c r="H35" s="15"/>
      <c r="I35" s="14">
        <f>SUM(I32:I33)</f>
        <v>1075.6499999999999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1075.6499999999999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1075.6499999999999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4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61779095</v>
      </c>
      <c r="K2" s="65">
        <v>2400</v>
      </c>
      <c r="L2" s="66">
        <v>61</v>
      </c>
      <c r="M2" s="66">
        <v>262.41000000000003</v>
      </c>
      <c r="N2" s="66">
        <v>286.41000000000003</v>
      </c>
      <c r="O2" s="66">
        <v>332.91</v>
      </c>
      <c r="P2" s="66" t="s">
        <v>54</v>
      </c>
      <c r="Q2" s="66">
        <v>1.901</v>
      </c>
      <c r="R2" s="66" t="s">
        <v>62</v>
      </c>
    </row>
    <row r="3" spans="2:22" x14ac:dyDescent="0.2">
      <c r="B3" s="6" t="s">
        <v>53</v>
      </c>
      <c r="C3" s="60">
        <f>+'312'!C3+1</f>
        <v>313</v>
      </c>
      <c r="D3" s="5"/>
      <c r="E3" s="5"/>
      <c r="F3" s="5"/>
      <c r="G3" s="5" t="s">
        <v>52</v>
      </c>
      <c r="H3" s="31">
        <f>+'309'!H3+0</f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61779095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1" t="s">
        <v>35</v>
      </c>
      <c r="G21" s="61"/>
      <c r="H21" s="47" t="str">
        <f>IF(LEFT(G17,2)="CA","CA",IF(LEFT(G17,2)="UN","US",IF(LEFT(G17,2)="PA","PA",IF(LEFT(G17,2)="JA","JP"))))</f>
        <v>CA</v>
      </c>
      <c r="I21" s="61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332.91</v>
      </c>
      <c r="G23" s="23">
        <f>+N2</f>
        <v>286.41000000000003</v>
      </c>
      <c r="H23" s="23">
        <f>+M2</f>
        <v>262.41000000000003</v>
      </c>
      <c r="I23" s="61">
        <f>+L2</f>
        <v>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8" t="s">
        <v>19</v>
      </c>
      <c r="E31" s="78"/>
      <c r="F31" s="78" t="s">
        <v>18</v>
      </c>
      <c r="G31" s="78"/>
      <c r="H31" s="61" t="s">
        <v>17</v>
      </c>
      <c r="I31" s="19" t="s">
        <v>16</v>
      </c>
      <c r="M31"/>
    </row>
    <row r="32" spans="2:13" ht="41.25" customHeight="1" x14ac:dyDescent="0.2">
      <c r="B32" s="41" t="s">
        <v>198</v>
      </c>
      <c r="C32" s="19" t="s">
        <v>197</v>
      </c>
      <c r="D32" s="67"/>
      <c r="E32" s="68"/>
      <c r="F32" s="67">
        <f>+K2</f>
        <v>2400</v>
      </c>
      <c r="G32" s="68"/>
      <c r="H32" s="17">
        <v>0.76</v>
      </c>
      <c r="I32" s="18">
        <f>+H32*F32</f>
        <v>1824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1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2400</v>
      </c>
      <c r="G34" s="68"/>
      <c r="H34" s="15"/>
      <c r="I34" s="14">
        <f>SUM(I32:I33)</f>
        <v>1824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1824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tabSelected="1"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199</v>
      </c>
      <c r="C2" s="70"/>
      <c r="D2" s="70"/>
      <c r="E2" s="70"/>
      <c r="F2" s="70"/>
      <c r="G2" s="70"/>
      <c r="H2" s="70"/>
      <c r="I2" s="71"/>
      <c r="J2" s="64">
        <v>61782651</v>
      </c>
      <c r="K2" s="65">
        <v>3266</v>
      </c>
      <c r="L2" s="66">
        <v>92</v>
      </c>
      <c r="M2" s="66">
        <v>339.28</v>
      </c>
      <c r="N2" s="66">
        <v>453.59</v>
      </c>
      <c r="O2" s="66">
        <v>534.99</v>
      </c>
      <c r="P2" s="66" t="s">
        <v>54</v>
      </c>
      <c r="Q2" s="66">
        <v>4.3949999999999996</v>
      </c>
      <c r="R2" s="66" t="s">
        <v>62</v>
      </c>
    </row>
    <row r="3" spans="2:22" x14ac:dyDescent="0.2">
      <c r="B3" s="6" t="s">
        <v>53</v>
      </c>
      <c r="C3" s="60">
        <f>+'313'!C3+1</f>
        <v>314</v>
      </c>
      <c r="D3" s="5"/>
      <c r="E3" s="5"/>
      <c r="F3" s="5"/>
      <c r="G3" s="5" t="s">
        <v>52</v>
      </c>
      <c r="H3" s="31">
        <f>+'309'!H3+0</f>
        <v>46203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61782651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1" t="s">
        <v>35</v>
      </c>
      <c r="G21" s="61"/>
      <c r="H21" s="47" t="str">
        <f>IF(LEFT(G17,2)="CA","CA",IF(LEFT(G17,2)="UN","US",IF(LEFT(G17,2)="PA","PA",IF(LEFT(G17,2)="JA","JP"))))</f>
        <v>CA</v>
      </c>
      <c r="I21" s="61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534.99</v>
      </c>
      <c r="G23" s="23">
        <f>+N2</f>
        <v>453.59</v>
      </c>
      <c r="H23" s="23">
        <f>+M2</f>
        <v>339.28</v>
      </c>
      <c r="I23" s="61">
        <f>+L2</f>
        <v>92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8" t="s">
        <v>19</v>
      </c>
      <c r="E31" s="78"/>
      <c r="F31" s="78" t="s">
        <v>18</v>
      </c>
      <c r="G31" s="78"/>
      <c r="H31" s="61" t="s">
        <v>17</v>
      </c>
      <c r="I31" s="19" t="s">
        <v>16</v>
      </c>
      <c r="M31"/>
    </row>
    <row r="32" spans="2:13" ht="49.5" customHeight="1" x14ac:dyDescent="0.2">
      <c r="B32" s="41" t="s">
        <v>198</v>
      </c>
      <c r="C32" s="19" t="s">
        <v>197</v>
      </c>
      <c r="D32" s="67"/>
      <c r="E32" s="68"/>
      <c r="F32" s="67">
        <f>+K2</f>
        <v>3266</v>
      </c>
      <c r="G32" s="68"/>
      <c r="H32" s="17">
        <v>0.76</v>
      </c>
      <c r="I32" s="18">
        <f>+H32*F32</f>
        <v>2482.16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1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3266</v>
      </c>
      <c r="G34" s="68"/>
      <c r="H34" s="15"/>
      <c r="I34" s="14">
        <f>SUM(I32:I32)</f>
        <v>2482.16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2482.16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2482.16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reff</vt:lpstr>
      <vt:lpstr>309</vt:lpstr>
      <vt:lpstr>310</vt:lpstr>
      <vt:lpstr>311</vt:lpstr>
      <vt:lpstr>312</vt:lpstr>
      <vt:lpstr>313</vt:lpstr>
      <vt:lpstr>314</vt:lpstr>
      <vt:lpstr>'309'!Print_Area</vt:lpstr>
      <vt:lpstr>'310'!Print_Area</vt:lpstr>
      <vt:lpstr>'311'!Print_Area</vt:lpstr>
      <vt:lpstr>'312'!Print_Area</vt:lpstr>
      <vt:lpstr>'313'!Print_Area</vt:lpstr>
      <vt:lpstr>'314'!Print_Area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2026-06-22T01:35:29Z</cp:lastPrinted>
  <dcterms:created xsi:type="dcterms:W3CDTF">2024-04-17T09:56:05Z</dcterms:created>
  <dcterms:modified xsi:type="dcterms:W3CDTF">2026-06-23T02:55:16Z</dcterms:modified>
</cp:coreProperties>
</file>