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07.05.2026\MOBIL 2\"/>
    </mc:Choice>
  </mc:AlternateContent>
  <xr:revisionPtr revIDLastSave="0" documentId="13_ncr:1_{DF78ABE3-043E-4A37-BC08-B214A7FCFB9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28" r:id="rId1"/>
    <sheet name="reff" sheetId="162" r:id="rId2"/>
    <sheet name="94" sheetId="129" r:id="rId3"/>
    <sheet name="95" sheetId="133" r:id="rId4"/>
    <sheet name="96" sheetId="134" r:id="rId5"/>
    <sheet name="97" sheetId="135" r:id="rId6"/>
    <sheet name="98" sheetId="137" r:id="rId7"/>
    <sheet name="99" sheetId="138" r:id="rId8"/>
    <sheet name="100" sheetId="141" r:id="rId9"/>
    <sheet name="101" sheetId="142" r:id="rId10"/>
  </sheets>
  <externalReferences>
    <externalReference r:id="rId11"/>
    <externalReference r:id="rId12"/>
    <externalReference r:id="rId13"/>
  </externalReferences>
  <definedNames>
    <definedName name="_box2">[1]参数!$B$3</definedName>
    <definedName name="a" localSheetId="8">[2]xdata!#REF!</definedName>
    <definedName name="a" localSheetId="9">[2]xdata!#REF!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>[2]xdata!#REF!</definedName>
    <definedName name="b" localSheetId="8">[2]xdata!#REF!</definedName>
    <definedName name="b" localSheetId="9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>[2]xdata!#REF!</definedName>
    <definedName name="C_O" localSheetId="8">[2]xdata!#REF!</definedName>
    <definedName name="C_O" localSheetId="9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>[2]xdata!#REF!</definedName>
    <definedName name="CBM">[3]参数!$E$3</definedName>
    <definedName name="Dept_no" localSheetId="8">[2]xdata!#REF!</definedName>
    <definedName name="Dept_no" localSheetId="9">[2]xdata!#REF!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>[2]xdata!#REF!</definedName>
    <definedName name="Description">[3]参数!$E$1</definedName>
    <definedName name="E_L" localSheetId="8">[2]xdata!#REF!</definedName>
    <definedName name="E_L" localSheetId="9">[2]xdata!#REF!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>[2]xdata!#REF!</definedName>
    <definedName name="INVOICE">[2]xdata!$B$2</definedName>
    <definedName name="_xlnm.Print_Area" localSheetId="8">'100'!$B$1:$I$57</definedName>
    <definedName name="_xlnm.Print_Area" localSheetId="9">'101'!$B$1:$I$57</definedName>
    <definedName name="_xlnm.Print_Area" localSheetId="2">'94'!$B$1:$I$57</definedName>
    <definedName name="_xlnm.Print_Area" localSheetId="3">'95'!$B$1:$I$57</definedName>
    <definedName name="_xlnm.Print_Area" localSheetId="4">'96'!$B$1:$I$58</definedName>
    <definedName name="_xlnm.Print_Area" localSheetId="5">'97'!$B$1:$I$57</definedName>
    <definedName name="_xlnm.Print_Area" localSheetId="6">'98'!$B$1:$I$57</definedName>
    <definedName name="_xlnm.Print_Area" localSheetId="7">'99'!$B$1:$I$57</definedName>
    <definedName name="v" localSheetId="8">[2]xdata!#REF!</definedName>
    <definedName name="v" localSheetId="9">[2]xdata!#REF!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5" l="1"/>
  <c r="F34" i="135" s="1"/>
  <c r="F35" i="134"/>
  <c r="F32" i="129"/>
  <c r="F32" i="133"/>
  <c r="F32" i="138"/>
  <c r="F32" i="141"/>
  <c r="F32" i="142"/>
  <c r="F32" i="137"/>
  <c r="I33" i="134"/>
  <c r="F34" i="133" l="1"/>
  <c r="F34" i="129" l="1"/>
  <c r="F34" i="142"/>
  <c r="F34" i="138"/>
  <c r="I32" i="134"/>
  <c r="C3" i="133"/>
  <c r="F34" i="141"/>
  <c r="H3" i="142"/>
  <c r="H3" i="141"/>
  <c r="H3" i="138"/>
  <c r="H3" i="137"/>
  <c r="H3" i="135"/>
  <c r="H3" i="134"/>
  <c r="H3" i="133"/>
  <c r="I32" i="138" l="1"/>
  <c r="I34" i="138" s="1"/>
  <c r="I32" i="141"/>
  <c r="I34" i="141" s="1"/>
  <c r="F34" i="137"/>
  <c r="I32" i="129" l="1"/>
  <c r="I32" i="137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34"/>
  <c r="H52" i="141"/>
  <c r="C21" i="129"/>
  <c r="C21" i="134"/>
  <c r="C21" i="135"/>
  <c r="C21" i="137"/>
  <c r="C21" i="138"/>
  <c r="C21" i="141"/>
  <c r="C21" i="142"/>
  <c r="C21" i="133"/>
  <c r="H52" i="129"/>
  <c r="H53" i="134"/>
  <c r="H52" i="135"/>
  <c r="H52" i="137"/>
  <c r="H52" i="138"/>
  <c r="H52" i="133"/>
  <c r="I32" i="142" l="1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4" i="135" s="1"/>
  <c r="I36" i="135" s="1"/>
  <c r="I38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8" l="1"/>
  <c r="I38" i="138" s="1"/>
  <c r="I35" i="134"/>
  <c r="I37" i="134" s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</calcChain>
</file>

<file path=xl/sharedStrings.xml><?xml version="1.0" encoding="utf-8"?>
<sst xmlns="http://schemas.openxmlformats.org/spreadsheetml/2006/main" count="801" uniqueCount="200">
  <si>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</si>
  <si>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</si>
  <si>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</si>
  <si>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</si>
  <si>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</si>
  <si>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</si>
  <si>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</si>
  <si>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</si>
  <si>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</si>
  <si>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</si>
  <si>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</si>
  <si>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</si>
  <si>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</si>
  <si>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</si>
  <si>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</si>
  <si>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</si>
  <si>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</si>
  <si>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</si>
  <si>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</si>
  <si>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</si>
  <si>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</si>
  <si>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</si>
  <si>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</si>
  <si>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</si>
  <si>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</si>
  <si>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</si>
  <si>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</si>
  <si>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</si>
  <si>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</si>
  <si>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</si>
  <si>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</si>
  <si>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</si>
  <si>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</si>
  <si>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</si>
  <si>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</si>
  <si>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</si>
  <si>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</si>
  <si>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</si>
  <si>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</si>
  <si>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</si>
  <si>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</si>
  <si>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</si>
  <si>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</si>
  <si>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</si>
  <si>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</si>
  <si>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</si>
  <si>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</si>
  <si>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</si>
  <si>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</si>
  <si>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</si>
  <si>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</si>
  <si>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</si>
  <si>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</si>
  <si>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</si>
  <si>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</si>
  <si>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</si>
  <si>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</si>
  <si>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</si>
  <si>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</si>
  <si>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</si>
  <si>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</si>
  <si>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</si>
  <si>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</si>
  <si>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</si>
  <si>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</si>
  <si>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</si>
  <si>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</si>
  <si>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</si>
  <si>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</si>
  <si>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</si>
  <si>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</si>
  <si>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</si>
  <si>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</si>
  <si>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</si>
  <si>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</si>
  <si>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</si>
  <si>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</si>
  <si>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</si>
  <si>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</si>
  <si>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</si>
  <si>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</si>
  <si>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</si>
  <si>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</si>
  <si>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</si>
  <si>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</si>
  <si>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</si>
  <si>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</si>
  <si>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</si>
  <si>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</si>
  <si>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</si>
  <si>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</si>
  <si>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</si>
  <si>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</si>
  <si>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</si>
  <si>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</si>
  <si>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</si>
  <si>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</si>
  <si>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</si>
  <si>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</si>
  <si>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</si>
  <si>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</si>
  <si>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</si>
  <si>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</si>
  <si>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</si>
  <si>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</si>
  <si>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</si>
  <si>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</si>
  <si>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</si>
  <si>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</si>
  <si>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</si>
  <si>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</si>
  <si>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</si>
  <si>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</si>
  <si>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</si>
  <si>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</si>
  <si>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</si>
  <si>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</si>
  <si>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</si>
  <si>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</si>
  <si>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</si>
  <si>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</si>
  <si>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</si>
  <si>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</si>
  <si>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</si>
  <si>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</si>
  <si>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</si>
  <si>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</si>
  <si>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</si>
  <si>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</si>
  <si>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</si>
  <si>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</si>
  <si>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</si>
  <si>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</si>
  <si>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</si>
  <si>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</si>
  <si>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</si>
  <si>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</si>
  <si>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</si>
  <si>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</si>
  <si>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</si>
  <si>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</si>
  <si>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</si>
  <si>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</si>
  <si>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</si>
  <si>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</si>
  <si>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</si>
  <si>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</si>
  <si>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</si>
  <si>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</si>
  <si>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</si>
  <si>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</si>
  <si>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</si>
  <si>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</si>
  <si>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</si>
  <si>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</si>
  <si>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</si>
  <si>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</si>
  <si>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</si>
  <si>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</si>
  <si>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</si>
  <si>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</si>
  <si>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</si>
  <si>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</si>
  <si>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</si>
  <si>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</si>
  <si>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</si>
  <si>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</si>
  <si>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</si>
  <si>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</si>
  <si>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</si>
  <si>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</si>
  <si>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</si>
  <si>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</si>
  <si>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</si>
  <si>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</si>
  <si>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</si>
  <si>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</si>
  <si>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</si>
  <si>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GIRLS COTTON FIBERS, KNIT PULLOVER, WITH NO NECK CLOSURE, STITCH COUNT IS GREATER THAN 9/2CM, REACHES WAIST [60% COTTON 40% POLYESTER]</t>
  </si>
  <si>
    <t>02</t>
  </si>
  <si>
    <t>ONLINE</t>
  </si>
  <si>
    <t>RETAIL</t>
  </si>
  <si>
    <t>00, 01</t>
  </si>
  <si>
    <t>265K0030</t>
  </si>
  <si>
    <t>265K0028</t>
  </si>
  <si>
    <t>265K0032</t>
  </si>
  <si>
    <t>BLACK LEOPARD, PINK LEOPARD HEART</t>
  </si>
  <si>
    <t>HEART FLAG</t>
  </si>
  <si>
    <t>CALLA LILY 451</t>
  </si>
  <si>
    <t>GIRLS COTTON FIBERS, KNIT PULLOVER, WITH NO NECK CLOSURE, STITCH COUNT IS GREATER THAN 9/2CM, REACHES WAIST [100% COTTON]</t>
  </si>
  <si>
    <t>POLKA DOT</t>
  </si>
  <si>
    <t>01</t>
  </si>
  <si>
    <t>ICED WATER</t>
  </si>
  <si>
    <t>DUSKY LAVENDER, PRESSED FLOWER</t>
  </si>
  <si>
    <t>01, 00</t>
  </si>
  <si>
    <t>LEOPARD</t>
  </si>
  <si>
    <t>COMERCIAL INVOICE CMT</t>
  </si>
  <si>
    <t>265K0031</t>
  </si>
  <si>
    <t>265K0035</t>
  </si>
  <si>
    <t>265K0060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</si>
</sst>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tabSelected="1" workbookViewId="0">
      <selection activeCell="C2" sqref="C2:C9"/>
    </sheetView>
  </sheetViews>
  <sheetFormatPr defaultRowHeight="12.75" x14ac:dyDescent="0.2"/>
  <sheetData>
    <row r="2" spans="2:9" ht="15" x14ac:dyDescent="0.25">
      <c r="B2" s="60">
        <v>1</v>
      </c>
      <c r="C2" t="s">
        <v>197</v>
      </c>
      <c r="E2" s="60">
        <v>1</v>
      </c>
      <c r="F2">
        <v>893958</v>
      </c>
      <c r="H2" s="60">
        <v>1</v>
      </c>
      <c r="I2" s="61" t="s">
        <v>181</v>
      </c>
    </row>
    <row r="3" spans="2:9" ht="15" x14ac:dyDescent="0.25">
      <c r="B3" s="60">
        <v>2</v>
      </c>
      <c r="C3" t="s">
        <v>198</v>
      </c>
      <c r="E3" s="60">
        <v>2</v>
      </c>
      <c r="F3">
        <v>903770</v>
      </c>
      <c r="H3" s="60">
        <v>2</v>
      </c>
      <c r="I3" s="61" t="s">
        <v>181</v>
      </c>
    </row>
    <row r="4" spans="2:9" ht="15" x14ac:dyDescent="0.25">
      <c r="B4" s="60">
        <v>3</v>
      </c>
      <c r="C4" t="s">
        <v>199</v>
      </c>
      <c r="E4" s="60">
        <v>3</v>
      </c>
      <c r="F4">
        <v>905994</v>
      </c>
      <c r="H4" s="60">
        <v>3</v>
      </c>
      <c r="I4" s="61" t="s">
        <v>181</v>
      </c>
    </row>
    <row r="5" spans="2:9" ht="15" x14ac:dyDescent="0.25">
      <c r="B5" s="60">
        <v>4</v>
      </c>
      <c r="C5" t="s">
        <v>198</v>
      </c>
      <c r="E5" s="60">
        <v>4</v>
      </c>
      <c r="F5">
        <v>903770</v>
      </c>
      <c r="H5" s="60">
        <v>4</v>
      </c>
      <c r="I5" s="61" t="s">
        <v>180</v>
      </c>
    </row>
    <row r="6" spans="2:9" ht="15" x14ac:dyDescent="0.25">
      <c r="B6" s="60">
        <v>5</v>
      </c>
      <c r="C6" t="s">
        <v>184</v>
      </c>
      <c r="E6" s="60">
        <v>5</v>
      </c>
      <c r="F6">
        <v>896206</v>
      </c>
      <c r="H6" s="60">
        <v>5</v>
      </c>
      <c r="I6" s="61" t="s">
        <v>180</v>
      </c>
    </row>
    <row r="7" spans="2:9" ht="15" x14ac:dyDescent="0.25">
      <c r="B7" s="60">
        <v>6</v>
      </c>
      <c r="C7" t="s">
        <v>197</v>
      </c>
      <c r="E7" s="60">
        <v>6</v>
      </c>
      <c r="F7">
        <v>893958</v>
      </c>
      <c r="H7" s="60">
        <v>6</v>
      </c>
      <c r="I7" s="61" t="s">
        <v>180</v>
      </c>
    </row>
    <row r="8" spans="2:9" ht="15" x14ac:dyDescent="0.25">
      <c r="B8" s="60">
        <v>7</v>
      </c>
      <c r="C8" t="s">
        <v>185</v>
      </c>
      <c r="E8" s="60">
        <v>7</v>
      </c>
      <c r="F8">
        <v>893947</v>
      </c>
      <c r="H8" s="60">
        <v>7</v>
      </c>
      <c r="I8" s="61" t="s">
        <v>180</v>
      </c>
    </row>
    <row r="9" spans="2:9" ht="15" x14ac:dyDescent="0.25">
      <c r="B9" s="60">
        <v>8</v>
      </c>
      <c r="C9" t="s">
        <v>183</v>
      </c>
      <c r="E9" s="60">
        <v>8</v>
      </c>
      <c r="F9">
        <v>893957</v>
      </c>
      <c r="H9" s="60">
        <v>8</v>
      </c>
      <c r="I9" s="61" t="s">
        <v>180</v>
      </c>
    </row>
    <row r="10" spans="2:9" ht="15" x14ac:dyDescent="0.25">
      <c r="B10" s="60">
        <v>9</v>
      </c>
      <c r="E10" s="60">
        <v>9</v>
      </c>
      <c r="H10" s="60">
        <v>9</v>
      </c>
      <c r="I10" s="61"/>
    </row>
    <row r="11" spans="2:9" ht="15" x14ac:dyDescent="0.25">
      <c r="B11" s="60">
        <v>10</v>
      </c>
      <c r="E11" s="60">
        <v>10</v>
      </c>
      <c r="H11" s="60">
        <v>10</v>
      </c>
      <c r="I11" s="61"/>
    </row>
    <row r="12" spans="2:9" ht="15" x14ac:dyDescent="0.25">
      <c r="B12" s="60">
        <v>11</v>
      </c>
      <c r="E12" s="60">
        <v>11</v>
      </c>
      <c r="H12" s="60">
        <v>11</v>
      </c>
      <c r="I12" s="61"/>
    </row>
    <row r="13" spans="2:9" ht="15" x14ac:dyDescent="0.25">
      <c r="B13" s="60">
        <v>12</v>
      </c>
      <c r="E13" s="60">
        <v>12</v>
      </c>
      <c r="H13" s="60">
        <v>12</v>
      </c>
      <c r="I13" s="61"/>
    </row>
    <row r="14" spans="2:9" ht="15" x14ac:dyDescent="0.25">
      <c r="B14" s="60">
        <v>13</v>
      </c>
      <c r="E14" s="60">
        <v>13</v>
      </c>
      <c r="H14" s="60">
        <v>13</v>
      </c>
      <c r="I14" s="61"/>
    </row>
    <row r="15" spans="2:9" ht="15" x14ac:dyDescent="0.25">
      <c r="B15" s="60">
        <v>14</v>
      </c>
      <c r="E15" s="60">
        <v>14</v>
      </c>
      <c r="H15" s="60">
        <v>14</v>
      </c>
      <c r="I15" s="61"/>
    </row>
    <row r="16" spans="2:9" ht="15" x14ac:dyDescent="0.25">
      <c r="B16" s="60">
        <v>15</v>
      </c>
      <c r="E16" s="60">
        <v>15</v>
      </c>
      <c r="H16" s="60">
        <v>15</v>
      </c>
      <c r="I16" s="61"/>
    </row>
    <row r="17" spans="2:11" ht="15" x14ac:dyDescent="0.25">
      <c r="B17" s="60">
        <v>16</v>
      </c>
      <c r="E17" s="60">
        <v>16</v>
      </c>
      <c r="H17" s="60">
        <v>16</v>
      </c>
      <c r="I17" s="61"/>
    </row>
    <row r="18" spans="2:11" ht="15" x14ac:dyDescent="0.25">
      <c r="B18" s="60">
        <v>17</v>
      </c>
      <c r="E18" s="60">
        <v>17</v>
      </c>
      <c r="H18" s="60">
        <v>17</v>
      </c>
      <c r="I18" s="61"/>
    </row>
    <row r="19" spans="2:11" ht="15" x14ac:dyDescent="0.25">
      <c r="B19" s="60">
        <v>18</v>
      </c>
      <c r="E19" s="60">
        <v>18</v>
      </c>
      <c r="H19" s="60">
        <v>18</v>
      </c>
      <c r="I19" s="61"/>
    </row>
    <row r="20" spans="2:11" ht="15" x14ac:dyDescent="0.25">
      <c r="B20" s="60">
        <v>19</v>
      </c>
      <c r="E20" s="60">
        <v>19</v>
      </c>
      <c r="H20" s="60">
        <v>19</v>
      </c>
      <c r="I20" s="61"/>
    </row>
    <row r="21" spans="2:11" ht="15" x14ac:dyDescent="0.25">
      <c r="B21" s="60">
        <v>20</v>
      </c>
      <c r="E21" s="60">
        <v>20</v>
      </c>
      <c r="H21" s="60">
        <v>20</v>
      </c>
      <c r="I21" s="61"/>
    </row>
    <row r="22" spans="2:11" ht="15" x14ac:dyDescent="0.25">
      <c r="B22" s="60">
        <v>21</v>
      </c>
      <c r="E22" s="60">
        <v>21</v>
      </c>
      <c r="H22" s="60">
        <v>21</v>
      </c>
      <c r="I22" s="61"/>
      <c r="K22" t="s">
        <v>63</v>
      </c>
    </row>
    <row r="23" spans="2:11" ht="15" x14ac:dyDescent="0.25">
      <c r="B23" s="60">
        <v>22</v>
      </c>
      <c r="E23" s="60">
        <v>22</v>
      </c>
      <c r="H23" s="60">
        <v>22</v>
      </c>
      <c r="I23" s="61"/>
    </row>
    <row r="24" spans="2:11" ht="15" x14ac:dyDescent="0.25">
      <c r="B24" s="60">
        <v>23</v>
      </c>
      <c r="E24" s="60">
        <v>23</v>
      </c>
      <c r="H24" s="60">
        <v>23</v>
      </c>
      <c r="I24" s="61"/>
    </row>
    <row r="25" spans="2:11" ht="15" x14ac:dyDescent="0.25">
      <c r="B25" s="60">
        <v>24</v>
      </c>
      <c r="E25" s="60">
        <v>24</v>
      </c>
      <c r="H25" s="60">
        <v>24</v>
      </c>
      <c r="I25" s="61"/>
    </row>
    <row r="26" spans="2:11" ht="15" x14ac:dyDescent="0.25">
      <c r="B26" s="60">
        <v>25</v>
      </c>
      <c r="E26" s="60">
        <v>25</v>
      </c>
      <c r="H26" s="60">
        <v>25</v>
      </c>
      <c r="I26" s="61"/>
    </row>
    <row r="27" spans="2:11" ht="15" x14ac:dyDescent="0.25">
      <c r="B27" s="60">
        <v>26</v>
      </c>
      <c r="E27" s="60">
        <v>26</v>
      </c>
      <c r="H27" s="60">
        <v>26</v>
      </c>
      <c r="I27" s="61"/>
    </row>
    <row r="28" spans="2:11" x14ac:dyDescent="0.2">
      <c r="B28" s="60">
        <v>27</v>
      </c>
      <c r="E28" s="60">
        <v>27</v>
      </c>
      <c r="H28" s="60">
        <v>27</v>
      </c>
    </row>
    <row r="29" spans="2:11" x14ac:dyDescent="0.2">
      <c r="B29" s="60">
        <v>28</v>
      </c>
      <c r="E29" s="60">
        <v>28</v>
      </c>
      <c r="H29" s="60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topLeftCell="A21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196</v>
      </c>
      <c r="C2" s="70"/>
      <c r="D2" s="70"/>
      <c r="E2" s="70"/>
      <c r="F2" s="70"/>
      <c r="G2" s="70"/>
      <c r="H2" s="70"/>
      <c r="I2" s="71"/>
      <c r="J2" s="43">
        <v>61364834</v>
      </c>
      <c r="K2" s="50">
        <v>5879</v>
      </c>
      <c r="L2" s="44">
        <v>42</v>
      </c>
      <c r="M2" s="44">
        <v>472.60199999999998</v>
      </c>
      <c r="N2" s="44">
        <v>487.93</v>
      </c>
      <c r="O2" s="44">
        <v>526.53</v>
      </c>
      <c r="P2" s="44" t="s">
        <v>54</v>
      </c>
      <c r="Q2" s="44">
        <v>2.4159999999999999</v>
      </c>
      <c r="R2" s="44" t="s">
        <v>62</v>
      </c>
    </row>
    <row r="3" spans="2:22" x14ac:dyDescent="0.2">
      <c r="B3" s="6" t="s">
        <v>53</v>
      </c>
      <c r="C3" s="65">
        <v>94</v>
      </c>
      <c r="D3" s="5"/>
      <c r="E3" s="5"/>
      <c r="F3" s="5"/>
      <c r="G3" s="5" t="s">
        <v>52</v>
      </c>
      <c r="H3" s="31"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61364834</v>
      </c>
      <c r="C21" s="52">
        <f>VLOOKUP($K56,reff!E2:F29,2,0)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526.53</v>
      </c>
      <c r="G23" s="23">
        <f>+N2</f>
        <v>487.93</v>
      </c>
      <c r="H23" s="23">
        <f>+M2</f>
        <v>472.60199999999998</v>
      </c>
      <c r="I23" s="51">
        <f>+L2</f>
        <v>42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8" t="s">
        <v>19</v>
      </c>
      <c r="E31" s="78"/>
      <c r="F31" s="78" t="s">
        <v>18</v>
      </c>
      <c r="G31" s="78"/>
      <c r="H31" s="51" t="s">
        <v>17</v>
      </c>
      <c r="I31" s="19" t="s">
        <v>16</v>
      </c>
      <c r="M31"/>
    </row>
    <row r="32" spans="2:13" ht="30" customHeight="1" x14ac:dyDescent="0.2">
      <c r="B32" s="41" t="s">
        <v>179</v>
      </c>
      <c r="C32" s="19" t="s">
        <v>192</v>
      </c>
      <c r="D32" s="67"/>
      <c r="E32" s="68"/>
      <c r="F32" s="67">
        <f>+K2</f>
        <v>5879</v>
      </c>
      <c r="G32" s="68"/>
      <c r="H32" s="17">
        <v>0.78</v>
      </c>
      <c r="I32" s="18">
        <f>+H32*F32</f>
        <v>4585.62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1"/>
    </row>
    <row r="34" spans="2:11" ht="21.75" customHeight="1" x14ac:dyDescent="0.2">
      <c r="B34" s="15" t="s">
        <v>14</v>
      </c>
      <c r="C34" s="15"/>
      <c r="D34" s="83"/>
      <c r="E34" s="84"/>
      <c r="F34" s="67">
        <f>SUM(F31:G33)</f>
        <v>5879</v>
      </c>
      <c r="G34" s="68"/>
      <c r="H34" s="15"/>
      <c r="I34" s="14">
        <f>SUM(I32:I33)</f>
        <v>4585.62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85"/>
      <c r="G35" s="74"/>
      <c r="H35" s="15"/>
      <c r="I35" s="51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4585.62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4585.62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0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196</v>
      </c>
      <c r="C2" s="70"/>
      <c r="D2" s="70"/>
      <c r="E2" s="70"/>
      <c r="F2" s="70"/>
      <c r="G2" s="70"/>
      <c r="H2" s="70"/>
      <c r="I2" s="71"/>
      <c r="J2" s="43">
        <v>61420128</v>
      </c>
      <c r="K2" s="50">
        <v>12681</v>
      </c>
      <c r="L2" s="44">
        <v>90</v>
      </c>
      <c r="M2" s="44">
        <v>789.08</v>
      </c>
      <c r="N2" s="64">
        <v>1042.7</v>
      </c>
      <c r="O2" s="64">
        <v>1125.3499999999999</v>
      </c>
      <c r="P2" s="44" t="s">
        <v>54</v>
      </c>
      <c r="Q2" s="44">
        <v>5.1829999999999998</v>
      </c>
      <c r="R2" s="44" t="s">
        <v>62</v>
      </c>
    </row>
    <row r="3" spans="2:22" x14ac:dyDescent="0.2">
      <c r="B3" s="6" t="s">
        <v>53</v>
      </c>
      <c r="C3" s="65">
        <f>+'94'!C3+1</f>
        <v>95</v>
      </c>
      <c r="D3" s="5"/>
      <c r="E3" s="5"/>
      <c r="F3" s="5"/>
      <c r="G3" s="5" t="s">
        <v>52</v>
      </c>
      <c r="H3" s="31">
        <f>+'94'!H3+0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61420128</v>
      </c>
      <c r="C21" s="52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1125.3499999999999</v>
      </c>
      <c r="G23" s="23">
        <f>+N2</f>
        <v>1042.7</v>
      </c>
      <c r="H23" s="23">
        <f>+M2</f>
        <v>789.08</v>
      </c>
      <c r="I23" s="51">
        <f>+L2</f>
        <v>90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8" t="s">
        <v>19</v>
      </c>
      <c r="E31" s="78"/>
      <c r="F31" s="78" t="s">
        <v>18</v>
      </c>
      <c r="G31" s="78"/>
      <c r="H31" s="51" t="s">
        <v>17</v>
      </c>
      <c r="I31" s="19" t="s">
        <v>16</v>
      </c>
      <c r="M31"/>
    </row>
    <row r="32" spans="2:13" ht="35.25" customHeight="1" x14ac:dyDescent="0.2">
      <c r="B32" s="41" t="s">
        <v>182</v>
      </c>
      <c r="C32" s="19" t="s">
        <v>193</v>
      </c>
      <c r="D32" s="67"/>
      <c r="E32" s="68"/>
      <c r="F32" s="67">
        <f>+K2</f>
        <v>12681</v>
      </c>
      <c r="G32" s="68"/>
      <c r="H32" s="17">
        <v>0.81</v>
      </c>
      <c r="I32" s="18">
        <f>+H32*F32</f>
        <v>10271.61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1"/>
    </row>
    <row r="34" spans="2:11" ht="21.75" customHeight="1" x14ac:dyDescent="0.2">
      <c r="B34" s="15" t="s">
        <v>14</v>
      </c>
      <c r="C34" s="15"/>
      <c r="D34" s="83"/>
      <c r="E34" s="84"/>
      <c r="F34" s="67">
        <f>SUM(F31:G33)</f>
        <v>12681</v>
      </c>
      <c r="G34" s="68"/>
      <c r="H34" s="15"/>
      <c r="I34" s="14">
        <f>SUM(I32:I33)</f>
        <v>10271.61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85"/>
      <c r="G35" s="74"/>
      <c r="H35" s="15"/>
      <c r="I35" s="51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10271.61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10271.61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view="pageBreakPreview" topLeftCell="A25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196</v>
      </c>
      <c r="C2" s="70"/>
      <c r="D2" s="70"/>
      <c r="E2" s="70"/>
      <c r="F2" s="70"/>
      <c r="G2" s="70"/>
      <c r="H2" s="70"/>
      <c r="I2" s="71"/>
      <c r="J2" s="43">
        <v>61635634</v>
      </c>
      <c r="K2" s="50">
        <v>9657</v>
      </c>
      <c r="L2" s="44">
        <v>71</v>
      </c>
      <c r="M2" s="44">
        <v>661.65599999999995</v>
      </c>
      <c r="N2" s="44">
        <v>680.97</v>
      </c>
      <c r="O2" s="44">
        <v>744.52</v>
      </c>
      <c r="P2" s="44" t="s">
        <v>54</v>
      </c>
      <c r="Q2" s="44">
        <v>3.976</v>
      </c>
      <c r="R2" s="44" t="s">
        <v>62</v>
      </c>
    </row>
    <row r="3" spans="2:22" x14ac:dyDescent="0.2">
      <c r="B3" s="6" t="s">
        <v>53</v>
      </c>
      <c r="C3" s="65">
        <f>+'95'!C3+1</f>
        <v>96</v>
      </c>
      <c r="D3" s="5"/>
      <c r="E3" s="5"/>
      <c r="F3" s="5"/>
      <c r="G3" s="5" t="s">
        <v>52</v>
      </c>
      <c r="H3" s="31">
        <f>+'94'!H3+0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61635634</v>
      </c>
      <c r="C21" s="56">
        <f>VLOOKUP($K57,reff!E2:F29,2,0)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744.52</v>
      </c>
      <c r="G23" s="23">
        <f>+N2</f>
        <v>680.97</v>
      </c>
      <c r="H23" s="23">
        <f>+M2</f>
        <v>661.65599999999995</v>
      </c>
      <c r="I23" s="57">
        <f>+L2</f>
        <v>71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8" t="s">
        <v>19</v>
      </c>
      <c r="E31" s="78"/>
      <c r="F31" s="78" t="s">
        <v>18</v>
      </c>
      <c r="G31" s="78"/>
      <c r="H31" s="57" t="s">
        <v>17</v>
      </c>
      <c r="I31" s="19" t="s">
        <v>16</v>
      </c>
      <c r="M31"/>
    </row>
    <row r="32" spans="2:13" ht="33.75" customHeight="1" x14ac:dyDescent="0.2">
      <c r="B32" s="41" t="s">
        <v>194</v>
      </c>
      <c r="C32" s="19" t="s">
        <v>186</v>
      </c>
      <c r="D32" s="67"/>
      <c r="E32" s="68"/>
      <c r="F32" s="67">
        <v>4824</v>
      </c>
      <c r="G32" s="68"/>
      <c r="H32" s="17">
        <v>0.81</v>
      </c>
      <c r="I32" s="18">
        <f>+H32*F32</f>
        <v>3907.44</v>
      </c>
      <c r="K32" s="48"/>
      <c r="M32" s="39"/>
    </row>
    <row r="33" spans="2:13" ht="27.75" customHeight="1" x14ac:dyDescent="0.2">
      <c r="B33" s="41" t="s">
        <v>179</v>
      </c>
      <c r="C33" s="19" t="s">
        <v>195</v>
      </c>
      <c r="D33" s="67"/>
      <c r="E33" s="68"/>
      <c r="F33" s="67">
        <v>4833</v>
      </c>
      <c r="G33" s="68"/>
      <c r="H33" s="17">
        <v>0.81</v>
      </c>
      <c r="I33" s="18">
        <f>+H33*F33</f>
        <v>3914.7300000000005</v>
      </c>
      <c r="K33" s="48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57"/>
    </row>
    <row r="35" spans="2:13" ht="21.75" customHeight="1" x14ac:dyDescent="0.2">
      <c r="B35" s="15" t="s">
        <v>14</v>
      </c>
      <c r="C35" s="15"/>
      <c r="D35" s="83"/>
      <c r="E35" s="84"/>
      <c r="F35" s="67">
        <f>SUM(F32:G34)</f>
        <v>9657</v>
      </c>
      <c r="G35" s="68"/>
      <c r="H35" s="15"/>
      <c r="I35" s="14">
        <f>SUM(I32:I34)</f>
        <v>7822.17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57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7822.17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7822.17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265K0060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4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196</v>
      </c>
      <c r="C2" s="70"/>
      <c r="D2" s="70"/>
      <c r="E2" s="70"/>
      <c r="F2" s="70"/>
      <c r="G2" s="70"/>
      <c r="H2" s="70"/>
      <c r="I2" s="71"/>
      <c r="J2" s="43">
        <v>61414238</v>
      </c>
      <c r="K2" s="50">
        <v>3858</v>
      </c>
      <c r="L2" s="44">
        <v>32</v>
      </c>
      <c r="M2" s="44">
        <v>249.17</v>
      </c>
      <c r="N2" s="44">
        <v>326.33</v>
      </c>
      <c r="O2" s="44">
        <v>354.83</v>
      </c>
      <c r="P2" s="44" t="s">
        <v>54</v>
      </c>
      <c r="Q2" s="44">
        <v>1.5880000000000001</v>
      </c>
      <c r="R2" s="44" t="s">
        <v>62</v>
      </c>
    </row>
    <row r="3" spans="2:22" x14ac:dyDescent="0.2">
      <c r="B3" s="6" t="s">
        <v>53</v>
      </c>
      <c r="C3" s="65">
        <f>+'96'!C3+1</f>
        <v>97</v>
      </c>
      <c r="D3" s="5"/>
      <c r="E3" s="5"/>
      <c r="F3" s="5"/>
      <c r="G3" s="5" t="s">
        <v>52</v>
      </c>
      <c r="H3" s="31">
        <f>+'94'!H3+0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61414238</v>
      </c>
      <c r="C21" s="59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354.83</v>
      </c>
      <c r="G23" s="23">
        <f>+N2</f>
        <v>326.33</v>
      </c>
      <c r="H23" s="23">
        <f>+M2</f>
        <v>249.17</v>
      </c>
      <c r="I23" s="58">
        <f>+L2</f>
        <v>32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8" t="s">
        <v>19</v>
      </c>
      <c r="E31" s="78"/>
      <c r="F31" s="78" t="s">
        <v>18</v>
      </c>
      <c r="G31" s="78"/>
      <c r="H31" s="58" t="s">
        <v>17</v>
      </c>
      <c r="I31" s="19" t="s">
        <v>16</v>
      </c>
      <c r="M31"/>
    </row>
    <row r="32" spans="2:13" ht="27" customHeight="1" x14ac:dyDescent="0.2">
      <c r="B32" s="41" t="s">
        <v>182</v>
      </c>
      <c r="C32" s="19" t="s">
        <v>193</v>
      </c>
      <c r="D32" s="67"/>
      <c r="E32" s="68"/>
      <c r="F32" s="67">
        <f>+K2</f>
        <v>3858</v>
      </c>
      <c r="G32" s="68"/>
      <c r="H32" s="17">
        <v>0.81</v>
      </c>
      <c r="I32" s="18">
        <f>+H32*F32</f>
        <v>3124.98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2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3858</v>
      </c>
      <c r="G34" s="68"/>
      <c r="H34" s="15"/>
      <c r="I34" s="14">
        <f>SUM(I32:I32)</f>
        <v>3124.98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3124.98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3124.98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2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196</v>
      </c>
      <c r="C2" s="70"/>
      <c r="D2" s="70"/>
      <c r="E2" s="70"/>
      <c r="F2" s="70"/>
      <c r="G2" s="70"/>
      <c r="H2" s="70"/>
      <c r="I2" s="71"/>
      <c r="J2" s="43">
        <v>61365563</v>
      </c>
      <c r="K2" s="44">
        <v>824</v>
      </c>
      <c r="L2" s="44">
        <v>9</v>
      </c>
      <c r="M2" s="44">
        <v>66.977000000000004</v>
      </c>
      <c r="N2" s="44">
        <v>69.120999999999995</v>
      </c>
      <c r="O2" s="44">
        <v>76.620999999999995</v>
      </c>
      <c r="P2" s="44" t="s">
        <v>54</v>
      </c>
      <c r="Q2" s="44">
        <v>0.36899999999999999</v>
      </c>
      <c r="R2" s="44" t="s">
        <v>62</v>
      </c>
    </row>
    <row r="3" spans="2:22" x14ac:dyDescent="0.2">
      <c r="B3" s="6" t="s">
        <v>53</v>
      </c>
      <c r="C3" s="65">
        <f>+'97'!C3+1</f>
        <v>98</v>
      </c>
      <c r="D3" s="5"/>
      <c r="E3" s="5"/>
      <c r="F3" s="5"/>
      <c r="G3" s="5" t="s">
        <v>52</v>
      </c>
      <c r="H3" s="31">
        <f>+'94'!H3+0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61365563</v>
      </c>
      <c r="C21" s="59">
        <f>VLOOKUP($K56,reff!E2:F29,2,0)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76.620999999999995</v>
      </c>
      <c r="G23" s="23">
        <f>+N2</f>
        <v>69.120999999999995</v>
      </c>
      <c r="H23" s="23">
        <f>+M2</f>
        <v>66.977000000000004</v>
      </c>
      <c r="I23" s="58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8" t="s">
        <v>19</v>
      </c>
      <c r="E31" s="78"/>
      <c r="F31" s="78" t="s">
        <v>18</v>
      </c>
      <c r="G31" s="78"/>
      <c r="H31" s="58" t="s">
        <v>17</v>
      </c>
      <c r="I31" s="19" t="s">
        <v>16</v>
      </c>
      <c r="M31"/>
    </row>
    <row r="32" spans="2:13" ht="27.75" customHeight="1" x14ac:dyDescent="0.2">
      <c r="B32" s="41" t="s">
        <v>191</v>
      </c>
      <c r="C32" s="19" t="s">
        <v>190</v>
      </c>
      <c r="D32" s="67"/>
      <c r="E32" s="68"/>
      <c r="F32" s="67">
        <f>+K2</f>
        <v>824</v>
      </c>
      <c r="G32" s="68"/>
      <c r="H32" s="17">
        <v>0.81</v>
      </c>
      <c r="I32" s="18">
        <f>+H32*F32</f>
        <v>667.44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8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824</v>
      </c>
      <c r="G34" s="68"/>
      <c r="H34" s="15"/>
      <c r="I34" s="14">
        <f>SUM(I32:I33)</f>
        <v>667.44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85"/>
      <c r="G35" s="74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667.44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667.44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265K0028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8"/>
  <sheetViews>
    <sheetView view="pageBreakPreview" topLeftCell="A21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196</v>
      </c>
      <c r="C2" s="70"/>
      <c r="D2" s="70"/>
      <c r="E2" s="70"/>
      <c r="F2" s="70"/>
      <c r="G2" s="70"/>
      <c r="H2" s="70"/>
      <c r="I2" s="71"/>
      <c r="J2" s="43">
        <v>61365571</v>
      </c>
      <c r="K2" s="44">
        <v>717</v>
      </c>
      <c r="L2" s="44">
        <v>8</v>
      </c>
      <c r="M2" s="44">
        <v>58.250999999999998</v>
      </c>
      <c r="N2" s="44">
        <v>60.094999999999999</v>
      </c>
      <c r="O2" s="44">
        <v>66.694999999999993</v>
      </c>
      <c r="P2" s="44" t="s">
        <v>54</v>
      </c>
      <c r="Q2" s="44">
        <v>0.313</v>
      </c>
      <c r="R2" s="44" t="s">
        <v>62</v>
      </c>
    </row>
    <row r="3" spans="2:22" x14ac:dyDescent="0.2">
      <c r="B3" s="6" t="s">
        <v>53</v>
      </c>
      <c r="C3" s="65">
        <f>+'98'!C3+1</f>
        <v>99</v>
      </c>
      <c r="D3" s="5"/>
      <c r="E3" s="5"/>
      <c r="F3" s="5"/>
      <c r="G3" s="5" t="s">
        <v>52</v>
      </c>
      <c r="H3" s="31">
        <f>+'94'!H3+0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61365571</v>
      </c>
      <c r="C21" s="59">
        <f>VLOOKUP($K56,reff!E2:F29,2,0)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66.694999999999993</v>
      </c>
      <c r="G23" s="23">
        <f>+N2</f>
        <v>60.094999999999999</v>
      </c>
      <c r="H23" s="23">
        <f>+M2</f>
        <v>58.250999999999998</v>
      </c>
      <c r="I23" s="58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8" t="s">
        <v>19</v>
      </c>
      <c r="E31" s="78"/>
      <c r="F31" s="78" t="s">
        <v>18</v>
      </c>
      <c r="G31" s="78"/>
      <c r="H31" s="58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192</v>
      </c>
      <c r="D32" s="67"/>
      <c r="E32" s="68"/>
      <c r="F32" s="67">
        <f>+K2</f>
        <v>717</v>
      </c>
      <c r="G32" s="68"/>
      <c r="H32" s="17">
        <v>0.78</v>
      </c>
      <c r="I32" s="18">
        <f>+H32*F32</f>
        <v>559.26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67">
        <f>SUM(F32:G32)</f>
        <v>717</v>
      </c>
      <c r="G34" s="68"/>
      <c r="H34" s="15"/>
      <c r="I34" s="14">
        <f>SUM(I32:I32)</f>
        <v>559.26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85"/>
      <c r="G36" s="74"/>
      <c r="H36" s="15"/>
      <c r="I36" s="14">
        <f>+I34</f>
        <v>559.26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559.26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20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196</v>
      </c>
      <c r="C2" s="70"/>
      <c r="D2" s="70"/>
      <c r="E2" s="70"/>
      <c r="F2" s="70"/>
      <c r="G2" s="70"/>
      <c r="H2" s="70"/>
      <c r="I2" s="71"/>
      <c r="J2" s="43">
        <v>61309085</v>
      </c>
      <c r="K2" s="50">
        <v>1967</v>
      </c>
      <c r="L2" s="44">
        <v>18</v>
      </c>
      <c r="M2" s="44">
        <v>159.851</v>
      </c>
      <c r="N2" s="44">
        <v>164.905</v>
      </c>
      <c r="O2" s="44">
        <v>180.70500000000001</v>
      </c>
      <c r="P2" s="44" t="s">
        <v>54</v>
      </c>
      <c r="Q2" s="44">
        <v>0.85</v>
      </c>
      <c r="R2" s="44" t="s">
        <v>62</v>
      </c>
    </row>
    <row r="3" spans="2:22" x14ac:dyDescent="0.2">
      <c r="B3" s="6" t="s">
        <v>53</v>
      </c>
      <c r="C3" s="65">
        <f>+'99'!C3+1</f>
        <v>100</v>
      </c>
      <c r="D3" s="5"/>
      <c r="E3" s="5"/>
      <c r="F3" s="5"/>
      <c r="G3" s="5" t="s">
        <v>52</v>
      </c>
      <c r="H3" s="31">
        <f>+'94'!H3+0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61309085</v>
      </c>
      <c r="C21" s="59">
        <f>VLOOKUP($K55,reff!E2:F29,2,0)</f>
        <v>893947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180.70500000000001</v>
      </c>
      <c r="G23" s="23">
        <f>+N2</f>
        <v>164.905</v>
      </c>
      <c r="H23" s="23">
        <f>+M2</f>
        <v>159.851</v>
      </c>
      <c r="I23" s="58">
        <f>+L2</f>
        <v>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8" t="s">
        <v>19</v>
      </c>
      <c r="E31" s="78"/>
      <c r="F31" s="78" t="s">
        <v>18</v>
      </c>
      <c r="G31" s="78"/>
      <c r="H31" s="58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187</v>
      </c>
      <c r="D32" s="67"/>
      <c r="E32" s="68"/>
      <c r="F32" s="67">
        <f>+K2</f>
        <v>1967</v>
      </c>
      <c r="G32" s="68"/>
      <c r="H32" s="17">
        <v>1.1000000000000001</v>
      </c>
      <c r="I32" s="18">
        <f>+H32*F32</f>
        <v>2163.7000000000003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3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1967</v>
      </c>
      <c r="G34" s="68"/>
      <c r="H34" s="15"/>
      <c r="I34" s="14">
        <f>SUM(I32:I33)</f>
        <v>2163.7000000000003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85"/>
      <c r="G35" s="74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2163.7000000000003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2163.7000000000003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265K0032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20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196</v>
      </c>
      <c r="C2" s="70"/>
      <c r="D2" s="70"/>
      <c r="E2" s="70"/>
      <c r="F2" s="70"/>
      <c r="G2" s="70"/>
      <c r="H2" s="70"/>
      <c r="I2" s="71"/>
      <c r="J2" s="43">
        <v>61309103</v>
      </c>
      <c r="K2" s="44">
        <v>866</v>
      </c>
      <c r="L2" s="44">
        <v>8</v>
      </c>
      <c r="M2" s="44">
        <v>70.367999999999995</v>
      </c>
      <c r="N2" s="44">
        <v>72.599999999999994</v>
      </c>
      <c r="O2" s="44">
        <v>79.5</v>
      </c>
      <c r="P2" s="44" t="s">
        <v>54</v>
      </c>
      <c r="Q2" s="44">
        <v>0.36899999999999999</v>
      </c>
      <c r="R2" s="44" t="s">
        <v>62</v>
      </c>
    </row>
    <row r="3" spans="2:22" x14ac:dyDescent="0.2">
      <c r="B3" s="6" t="s">
        <v>53</v>
      </c>
      <c r="C3" s="65">
        <f>+'100'!C3+1</f>
        <v>101</v>
      </c>
      <c r="D3" s="5"/>
      <c r="E3" s="5"/>
      <c r="F3" s="5"/>
      <c r="G3" s="5" t="s">
        <v>52</v>
      </c>
      <c r="H3" s="31">
        <f>+'94'!H3+0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61309103</v>
      </c>
      <c r="C21" s="59">
        <f>VLOOKUP($K55,reff!E2:F29,2,0)</f>
        <v>893957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79.5</v>
      </c>
      <c r="G23" s="23">
        <f>+N2</f>
        <v>72.599999999999994</v>
      </c>
      <c r="H23" s="23">
        <f>+M2</f>
        <v>70.367999999999995</v>
      </c>
      <c r="I23" s="58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8" t="s">
        <v>19</v>
      </c>
      <c r="E31" s="78"/>
      <c r="F31" s="78" t="s">
        <v>18</v>
      </c>
      <c r="G31" s="78"/>
      <c r="H31" s="58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188</v>
      </c>
      <c r="D32" s="67"/>
      <c r="E32" s="68"/>
      <c r="F32" s="67">
        <f>+K2</f>
        <v>866</v>
      </c>
      <c r="G32" s="68"/>
      <c r="H32" s="17">
        <v>0.78</v>
      </c>
      <c r="I32" s="18">
        <f>+H32*F32</f>
        <v>675.48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8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866</v>
      </c>
      <c r="G34" s="68"/>
      <c r="H34" s="15"/>
      <c r="I34" s="14">
        <f>SUM(I32:I33)</f>
        <v>675.48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85"/>
      <c r="G35" s="74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675.48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675.48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265K0030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Sheet1</vt:lpstr>
      <vt:lpstr>reff</vt:lpstr>
      <vt:lpstr>94</vt:lpstr>
      <vt:lpstr>95</vt:lpstr>
      <vt:lpstr>96</vt:lpstr>
      <vt:lpstr>97</vt:lpstr>
      <vt:lpstr>98</vt:lpstr>
      <vt:lpstr>99</vt:lpstr>
      <vt:lpstr>100</vt:lpstr>
      <vt:lpstr>101</vt:lpstr>
      <vt:lpstr>'100'!Print_Area</vt:lpstr>
      <vt:lpstr>'101'!Print_Area</vt:lpstr>
      <vt:lpstr>'94'!Print_Area</vt:lpstr>
      <vt:lpstr>'95'!Print_Area</vt:lpstr>
      <vt:lpstr>'96'!Print_Area</vt:lpstr>
      <vt:lpstr>'97'!Print_Area</vt:lpstr>
      <vt:lpstr>'98'!Print_Area</vt:lpstr>
      <vt:lpstr>'99'!Print_Area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2026-05-07T01:44:10Z</cp:lastPrinted>
  <dcterms:created xsi:type="dcterms:W3CDTF">2024-04-17T09:56:05Z</dcterms:created>
  <dcterms:modified xsi:type="dcterms:W3CDTF">2026-05-07T04:24:15Z</dcterms:modified>
</cp:coreProperties>
</file>