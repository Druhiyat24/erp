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fukou-svr\Users\出口\(出口) Colleen\VN出貨115年\NIRWAN\20260425 VN to NIRWANA GRITTI\"/>
    </mc:Choice>
  </mc:AlternateContent>
  <xr:revisionPtr revIDLastSave="0" documentId="8_{CC97306C-CBDC-48A3-B493-5A60DD790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2" r:id="rId1"/>
    <sheet name="PACKING LIS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6" i="4" l="1"/>
  <c r="F46" i="4"/>
  <c r="J46" i="4"/>
  <c r="E46" i="4"/>
  <c r="E38" i="2" l="1"/>
  <c r="J36" i="2"/>
  <c r="J35" i="2"/>
  <c r="J37" i="2" l="1"/>
</calcChain>
</file>

<file path=xl/sharedStrings.xml><?xml version="1.0" encoding="utf-8"?>
<sst xmlns="http://schemas.openxmlformats.org/spreadsheetml/2006/main" count="170" uniqueCount="102">
  <si>
    <t>COMMERCIAL INVOICE</t>
  </si>
  <si>
    <t>INVOICE NO:</t>
  </si>
  <si>
    <t/>
  </si>
  <si>
    <t>DATE:</t>
  </si>
  <si>
    <t>25/APR/2026</t>
  </si>
  <si>
    <t>INVOICE OF AS DESCRIPTION</t>
  </si>
  <si>
    <t>FOR ACCOUNT OF:</t>
  </si>
  <si>
    <t>CONSIGNEE:</t>
  </si>
  <si>
    <t>Fu Kwok Knitting &amp; Garment Co., Ltd.</t>
  </si>
  <si>
    <t>PT. NIRWANA ALABARE GARMENT</t>
  </si>
  <si>
    <t>110, Nei-Huan South Road, N. E. P. Z. Kaohsiung 811, Taiwan, R. O. C.</t>
  </si>
  <si>
    <t>JL. RAYA RANCAEKEK - MAJALAYA NO.289, DESA SOLOKAN JERUK, KEC.SOLOKAN JERUK, KABUPATEN BANDUNG, JAWA BARAT 40382 INDONESIA. TAX Code: 0745 4069 2644 4000</t>
  </si>
  <si>
    <t>TEL:6222 85962076</t>
  </si>
  <si>
    <t>SAILING ON OR ABOUT:</t>
  </si>
  <si>
    <t>TO:</t>
  </si>
  <si>
    <t>DESCRIPTION OF GOOD</t>
  </si>
  <si>
    <t>KNITTED FABRIC</t>
  </si>
  <si>
    <t>QUANTITY</t>
  </si>
  <si>
    <t>UNIT PRICE</t>
  </si>
  <si>
    <t>COLOR</t>
  </si>
  <si>
    <t>ROLLS</t>
  </si>
  <si>
    <t>METER</t>
  </si>
  <si>
    <t>NET WEIGHT</t>
  </si>
  <si>
    <t>(USD/YD)</t>
  </si>
  <si>
    <t>AMOUNT</t>
  </si>
  <si>
    <t>FOC</t>
  </si>
  <si>
    <t>Container NO:</t>
  </si>
  <si>
    <t>S.C.NO:</t>
  </si>
  <si>
    <t>T2608052C1</t>
  </si>
  <si>
    <t>P.O.:</t>
  </si>
  <si>
    <t>6K060S24</t>
  </si>
  <si>
    <t>STYLE NO:</t>
  </si>
  <si>
    <t>CONTENTS:</t>
  </si>
  <si>
    <t>100% POLYESTER</t>
  </si>
  <si>
    <t>#200001 100% Polyester Lining Mesh-Warp Knit 60inch x62gsm   &lt; HS CODE: 60053790 &gt;</t>
  </si>
  <si>
    <t>White</t>
  </si>
  <si>
    <t>KGS</t>
  </si>
  <si>
    <t>USD</t>
  </si>
  <si>
    <t>Cool Grey</t>
  </si>
  <si>
    <t>Smokey Sage</t>
  </si>
  <si>
    <t>Nocturnal</t>
  </si>
  <si>
    <t>TOTAL:</t>
  </si>
  <si>
    <t>SHIPPING MARK</t>
  </si>
  <si>
    <t>P.O:</t>
  </si>
  <si>
    <t>S.C:</t>
  </si>
  <si>
    <t>STYLE:</t>
  </si>
  <si>
    <t>COLOR:</t>
  </si>
  <si>
    <t>BUY DATE:</t>
  </si>
  <si>
    <t>ITEM:</t>
  </si>
  <si>
    <t>MADE IN VIET NAM</t>
  </si>
  <si>
    <t>PACKING LIST</t>
  </si>
  <si>
    <t>ROLL NO.</t>
  </si>
  <si>
    <t>CUS_NW</t>
  </si>
  <si>
    <t>NW</t>
  </si>
  <si>
    <t>LBS</t>
  </si>
  <si>
    <t>GW</t>
  </si>
  <si>
    <t>Container No:</t>
  </si>
  <si>
    <t>DESCRIPTION:</t>
  </si>
  <si>
    <t>226407079</t>
  </si>
  <si>
    <t>1-392</t>
  </si>
  <si>
    <t>1AX</t>
  </si>
  <si>
    <t xml:space="preserve">subTot: </t>
  </si>
  <si>
    <t>226407084</t>
  </si>
  <si>
    <t>1-1</t>
  </si>
  <si>
    <t>1AY</t>
  </si>
  <si>
    <t>225402079-1</t>
  </si>
  <si>
    <t>1-3E</t>
  </si>
  <si>
    <t>63FN</t>
  </si>
  <si>
    <t>225421020-9</t>
  </si>
  <si>
    <t>1-8E</t>
  </si>
  <si>
    <t>54BM</t>
  </si>
  <si>
    <t>SAY TOTAL Q'TY</t>
  </si>
  <si>
    <t>64.2 LBS</t>
  </si>
  <si>
    <t>274.31 MTS</t>
  </si>
  <si>
    <t>T2608052C1</t>
    <phoneticPr fontId="1" type="noConversion"/>
  </si>
  <si>
    <t>6K060S24</t>
    <phoneticPr fontId="1" type="noConversion"/>
  </si>
  <si>
    <t>XM6930</t>
    <phoneticPr fontId="1" type="noConversion"/>
  </si>
  <si>
    <t>HB/PTNAG2604244</t>
    <phoneticPr fontId="1" type="noConversion"/>
  </si>
  <si>
    <t>FOB, HCM</t>
    <phoneticPr fontId="1" type="noConversion"/>
  </si>
  <si>
    <t>CS F26 0325 BUY</t>
    <phoneticPr fontId="1" type="noConversion"/>
  </si>
  <si>
    <t>FU KWOK KNITTING &amp; GARMENT CO.,LTD</t>
    <phoneticPr fontId="21" type="noConversion"/>
  </si>
  <si>
    <t>No. 110, Nanzih Dist., Kaohsiung City 811, Taiwan (R.O.C.)</t>
    <phoneticPr fontId="21" type="noConversion"/>
  </si>
  <si>
    <t>FU KWOK KNITTING &amp; GARMENT CO.,LTD</t>
    <phoneticPr fontId="1" type="noConversion"/>
  </si>
  <si>
    <t>No. 110, Nanzih Dist., Kaohsiung City 811, Taiwan (R.O.C.)</t>
    <phoneticPr fontId="1" type="noConversion"/>
  </si>
  <si>
    <t>F26-0325BUY</t>
    <phoneticPr fontId="18" type="noConversion"/>
  </si>
  <si>
    <t>#097383 20L Debossed Columbia Button 100% Polyester :63,041pcs</t>
    <phoneticPr fontId="18" type="noConversion"/>
  </si>
  <si>
    <t>#001601 20L 4H Columbia PFG 2 tone Button1 Clr CAN BE USE FOR YOUTH Outisde :8243pcs</t>
    <phoneticPr fontId="18" type="noConversion"/>
  </si>
  <si>
    <t>AM0126/AS0126/AT0126/XM6930</t>
    <phoneticPr fontId="1" type="noConversion"/>
  </si>
  <si>
    <t>6K060B21.23.24.S24</t>
    <phoneticPr fontId="18" type="noConversion"/>
  </si>
  <si>
    <t>SAY TOTAL US DOLLARS:ONE THOUSAND NINE HUNDRED FORTY EIGHT AND CENTS NINETY TWO ONLY.</t>
    <phoneticPr fontId="1" type="noConversion"/>
  </si>
  <si>
    <t xml:space="preserve">#001601 20L 4H Columbia PFG 2 tone Button1 Clr CAN BE USE FOR YOUTH Outisde  </t>
    <phoneticPr fontId="18" type="noConversion"/>
  </si>
  <si>
    <t xml:space="preserve">#097383 20L Debossed Columbia Button 100% Polyester  </t>
    <phoneticPr fontId="18" type="noConversion"/>
  </si>
  <si>
    <t>4 ROLLS+3CTNS</t>
    <phoneticPr fontId="1" type="noConversion"/>
  </si>
  <si>
    <t>300 YARDS+71,284PCS</t>
    <phoneticPr fontId="1" type="noConversion"/>
  </si>
  <si>
    <t>53.60 N.W</t>
    <phoneticPr fontId="1" type="noConversion"/>
  </si>
  <si>
    <t>57.40 G.W</t>
    <phoneticPr fontId="1" type="noConversion"/>
  </si>
  <si>
    <t>SHIP BY:</t>
    <phoneticPr fontId="1" type="noConversion"/>
  </si>
  <si>
    <r>
      <rPr>
        <b/>
        <sz val="10"/>
        <color theme="1"/>
        <rFont val="Arial"/>
        <family val="2"/>
      </rPr>
      <t>SHIPMENT OF (GOODS):</t>
    </r>
    <r>
      <rPr>
        <sz val="10"/>
        <color theme="1"/>
        <rFont val="Arial"/>
        <family val="2"/>
      </rPr>
      <t xml:space="preserve"> AS BELOW</t>
    </r>
    <phoneticPr fontId="1" type="noConversion"/>
  </si>
  <si>
    <t>KMTC XIAMEN V.2604S</t>
    <phoneticPr fontId="1" type="noConversion"/>
  </si>
  <si>
    <t>YARDS/PCS</t>
    <phoneticPr fontId="1" type="noConversion"/>
  </si>
  <si>
    <t>#200001 100% Polyester Lining Mesh-Warp Knit 60inch x62gsm   &lt; HS CODE: 60053790 &gt;</t>
    <phoneticPr fontId="1" type="noConversion"/>
  </si>
  <si>
    <t xml:space="preserve"> &lt; HS CODE:96062100 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</si>
</sst>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&quot;$&quot;#,##0_);\(&quot;$&quot;#,##0\)"/>
    <numFmt numFmtId="177" formatCode="_(* #,##0.00_);_(* \(#,##0.00\);_(* &quot;-&quot;??_);_(@_)"/>
    <numFmt numFmtId="178" formatCode="#,##0_ "/>
    <numFmt numFmtId="179" formatCode="#,##0.00_ "/>
    <numFmt numFmtId="180" formatCode="#,##0.000_ "/>
    <numFmt numFmtId="181" formatCode="0.0_ "/>
    <numFmt numFmtId="182" formatCode="0_ "/>
    <numFmt numFmtId="183" formatCode="yyyy/m/d;@"/>
    <numFmt numFmtId="184" formatCode="#,##0.0;[Red]#,##0.0"/>
    <numFmt numFmtId="185" formatCode="0.00_);[Red]\(0.00\)"/>
    <numFmt numFmtId="186" formatCode="0_ &quot;CTNS&quot;"/>
    <numFmt numFmtId="188" formatCode="#,#00_ &quot;PCS&quot;"/>
    <numFmt numFmtId="191" formatCode="00,000_ &quot;PCS&quot;"/>
    <numFmt numFmtId="192" formatCode="#,000_ &quot;PCS&quot;"/>
    <numFmt numFmtId="193" formatCode="0_ &quot;YDS&quot;"/>
    <numFmt numFmtId="194" formatCode="#,##0;[Red]#,##0"/>
  </numFmts>
  <fonts count="27">
    <font>
      <sz val="12"/>
      <color theme="1"/>
      <name val="Body Font"/>
      <family val="2"/>
    </font>
    <font>
      <sz val="12"/>
      <color indexed="8"/>
      <name val="新細明體"/>
      <family val="1"/>
    </font>
    <font>
      <sz val="10"/>
      <name val="Arial"/>
      <family val="2"/>
    </font>
    <font>
      <sz val="12"/>
      <name val="新細明體"/>
      <family val="1"/>
    </font>
    <font>
      <sz val="12"/>
      <color theme="1"/>
      <name val="新細明體"/>
      <family val="1"/>
      <scheme val="minor"/>
    </font>
    <font>
      <sz val="12"/>
      <color theme="1"/>
      <name val="新細明體"/>
      <family val="2"/>
      <scheme val="minor"/>
    </font>
    <font>
      <sz val="12"/>
      <color theme="1"/>
      <name val="Body Font"/>
      <family val="1"/>
    </font>
    <font>
      <b/>
      <sz val="12"/>
      <color theme="1"/>
      <name val="Body Font"/>
      <family val="1"/>
    </font>
    <font>
      <sz val="10"/>
      <color theme="1"/>
      <name val="Body Font"/>
      <family val="1"/>
    </font>
    <font>
      <sz val="10"/>
      <color theme="1"/>
      <name val="Body Font"/>
      <family val="2"/>
    </font>
    <font>
      <sz val="12"/>
      <color theme="1"/>
      <name val="Body Font"/>
      <family val="2"/>
    </font>
    <font>
      <b/>
      <sz val="10"/>
      <color theme="1"/>
      <name val="Body Font"/>
    </font>
    <font>
      <b/>
      <sz val="10"/>
      <color theme="1"/>
      <name val="Body Font"/>
      <family val="2"/>
    </font>
    <font>
      <b/>
      <u/>
      <sz val="10"/>
      <color theme="1"/>
      <name val="Body Font"/>
      <family val="2"/>
    </font>
    <font>
      <u/>
      <sz val="10"/>
      <color theme="1"/>
      <name val="Body Font"/>
      <family val="2"/>
    </font>
    <font>
      <b/>
      <sz val="10"/>
      <color theme="1"/>
      <name val="Arial"/>
      <family val="2"/>
    </font>
    <font>
      <b/>
      <sz val="10"/>
      <name val="Body Font"/>
      <family val="1"/>
      <charset val="136"/>
    </font>
    <font>
      <sz val="12"/>
      <name val="Body Font"/>
      <family val="1"/>
    </font>
    <font>
      <sz val="9"/>
      <name val="新細明體"/>
      <family val="1"/>
      <charset val="136"/>
    </font>
    <font>
      <sz val="10"/>
      <color theme="1"/>
      <name val="Arial"/>
      <family val="2"/>
    </font>
    <font>
      <b/>
      <sz val="14"/>
      <name val="Times New Roman"/>
      <family val="1"/>
    </font>
    <font>
      <sz val="9"/>
      <name val="新細明體"/>
      <family val="2"/>
      <charset val="136"/>
      <scheme val="minor"/>
    </font>
    <font>
      <sz val="11"/>
      <name val="Times New Roman"/>
      <family val="1"/>
    </font>
    <font>
      <b/>
      <u/>
      <sz val="10"/>
      <color theme="1"/>
      <name val="Arial"/>
      <family val="2"/>
    </font>
    <font>
      <sz val="12"/>
      <color theme="1"/>
      <name val="Arial Unicode MS"/>
      <family val="1"/>
      <charset val="136"/>
    </font>
    <font>
      <sz val="12"/>
      <color theme="1"/>
      <name val="新細明體"/>
      <family val="1"/>
      <charset val="136"/>
    </font>
    <font>
      <sz val="12"/>
      <color rgb="FFFF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8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3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1" fillId="0" borderId="0">
      <alignment vertical="center"/>
    </xf>
    <xf numFmtId="0" fontId="2" fillId="0" borderId="0"/>
    <xf numFmtId="176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</cellStyleXfs>
  <cellXfs count="173">
    <xf numFmtId="0" fontId="0" fillId="0" borderId="0" xfId="0">
      <alignment vertical="center"/>
    </xf>
    <xf numFmtId="49" fontId="6" fillId="0" borderId="0" xfId="0" applyNumberFormat="1" applyFont="1" applyAlignment="1">
      <alignment horizontal="left" vertical="center" shrinkToFit="1"/>
    </xf>
    <xf numFmtId="49" fontId="7" fillId="0" borderId="0" xfId="0" applyNumberFormat="1" applyFont="1" applyAlignment="1">
      <alignment vertical="center" shrinkToFit="1"/>
    </xf>
    <xf numFmtId="182" fontId="6" fillId="0" borderId="0" xfId="0" applyNumberFormat="1" applyFont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2" fontId="6" fillId="0" borderId="5" xfId="0" applyNumberFormat="1" applyFont="1" applyBorder="1" applyAlignment="1">
      <alignment horizontal="right" vertical="center" shrinkToFit="1"/>
    </xf>
    <xf numFmtId="182" fontId="7" fillId="0" borderId="7" xfId="0" applyNumberFormat="1" applyFont="1" applyBorder="1" applyAlignment="1">
      <alignment horizontal="right" vertical="center" shrinkToFit="1"/>
    </xf>
    <xf numFmtId="49" fontId="9" fillId="0" borderId="0" xfId="0" applyNumberFormat="1" applyFont="1" applyAlignment="1">
      <alignment horizontal="left" vertical="top" wrapText="1" shrinkToFit="1"/>
    </xf>
    <xf numFmtId="49" fontId="12" fillId="0" borderId="0" xfId="0" applyNumberFormat="1" applyFont="1" applyAlignment="1">
      <alignment horizontal="center" vertical="center" shrinkToFit="1"/>
    </xf>
    <xf numFmtId="49" fontId="12" fillId="0" borderId="0" xfId="0" applyNumberFormat="1" applyFont="1" applyAlignment="1">
      <alignment horizontal="left" vertical="center"/>
    </xf>
    <xf numFmtId="182" fontId="12" fillId="0" borderId="0" xfId="0" applyNumberFormat="1" applyFont="1" applyAlignment="1">
      <alignment horizontal="right" vertical="center" shrinkToFit="1"/>
    </xf>
    <xf numFmtId="184" fontId="12" fillId="0" borderId="0" xfId="0" applyNumberFormat="1" applyFont="1" applyAlignment="1">
      <alignment horizontal="right" vertical="center" shrinkToFit="1"/>
    </xf>
    <xf numFmtId="178" fontId="12" fillId="0" borderId="0" xfId="0" applyNumberFormat="1" applyFont="1" applyAlignment="1">
      <alignment horizontal="right" vertical="center" shrinkToFit="1"/>
    </xf>
    <xf numFmtId="179" fontId="12" fillId="0" borderId="0" xfId="0" applyNumberFormat="1" applyFont="1" applyAlignment="1">
      <alignment horizontal="right" vertical="center" shrinkToFit="1"/>
    </xf>
    <xf numFmtId="182" fontId="9" fillId="0" borderId="0" xfId="0" applyNumberFormat="1" applyFont="1" applyAlignment="1">
      <alignment horizontal="right" vertical="center" shrinkToFit="1"/>
    </xf>
    <xf numFmtId="184" fontId="9" fillId="0" borderId="0" xfId="0" applyNumberFormat="1" applyFont="1" applyAlignment="1">
      <alignment horizontal="right" vertical="center" shrinkToFit="1"/>
    </xf>
    <xf numFmtId="178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left" vertical="center"/>
    </xf>
    <xf numFmtId="179" fontId="9" fillId="0" borderId="0" xfId="0" applyNumberFormat="1" applyFont="1" applyAlignment="1">
      <alignment horizontal="right" vertical="center" shrinkToFit="1"/>
    </xf>
    <xf numFmtId="49" fontId="12" fillId="0" borderId="0" xfId="0" applyNumberFormat="1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182" fontId="9" fillId="0" borderId="2" xfId="0" applyNumberFormat="1" applyFont="1" applyBorder="1" applyAlignment="1">
      <alignment horizontal="right" vertical="center" shrinkToFit="1"/>
    </xf>
    <xf numFmtId="184" fontId="9" fillId="0" borderId="2" xfId="0" applyNumberFormat="1" applyFont="1" applyBorder="1" applyAlignment="1">
      <alignment horizontal="right" vertical="center" shrinkToFit="1"/>
    </xf>
    <xf numFmtId="178" fontId="9" fillId="0" borderId="2" xfId="0" applyNumberFormat="1" applyFont="1" applyBorder="1" applyAlignment="1">
      <alignment horizontal="right" vertical="center" shrinkToFit="1"/>
    </xf>
    <xf numFmtId="179" fontId="9" fillId="0" borderId="2" xfId="0" applyNumberFormat="1" applyFont="1" applyBorder="1" applyAlignment="1">
      <alignment horizontal="right" vertical="center" shrinkToFit="1"/>
    </xf>
    <xf numFmtId="49" fontId="13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182" fontId="14" fillId="0" borderId="0" xfId="0" applyNumberFormat="1" applyFont="1" applyAlignment="1">
      <alignment horizontal="right" vertical="center" shrinkToFit="1"/>
    </xf>
    <xf numFmtId="184" fontId="14" fillId="0" borderId="0" xfId="0" applyNumberFormat="1" applyFont="1" applyAlignment="1">
      <alignment horizontal="right" vertical="center" shrinkToFit="1"/>
    </xf>
    <xf numFmtId="178" fontId="14" fillId="0" borderId="0" xfId="0" applyNumberFormat="1" applyFont="1" applyAlignment="1">
      <alignment horizontal="right" vertical="center" shrinkToFit="1"/>
    </xf>
    <xf numFmtId="179" fontId="14" fillId="0" borderId="0" xfId="0" applyNumberFormat="1" applyFont="1" applyAlignment="1">
      <alignment horizontal="right" vertical="center" shrinkToFit="1"/>
    </xf>
    <xf numFmtId="49" fontId="12" fillId="0" borderId="6" xfId="0" applyNumberFormat="1" applyFont="1" applyBorder="1" applyAlignment="1">
      <alignment horizontal="left" vertical="center"/>
    </xf>
    <xf numFmtId="182" fontId="12" fillId="0" borderId="6" xfId="0" applyNumberFormat="1" applyFont="1" applyBorder="1" applyAlignment="1">
      <alignment horizontal="right" vertical="center" shrinkToFit="1"/>
    </xf>
    <xf numFmtId="184" fontId="12" fillId="0" borderId="6" xfId="0" applyNumberFormat="1" applyFont="1" applyBorder="1" applyAlignment="1">
      <alignment horizontal="right" vertical="center" shrinkToFit="1"/>
    </xf>
    <xf numFmtId="178" fontId="12" fillId="0" borderId="6" xfId="0" applyNumberFormat="1" applyFont="1" applyBorder="1" applyAlignment="1">
      <alignment horizontal="right" vertical="center" shrinkToFit="1"/>
    </xf>
    <xf numFmtId="179" fontId="12" fillId="0" borderId="6" xfId="0" applyNumberFormat="1" applyFont="1" applyBorder="1" applyAlignment="1">
      <alignment horizontal="right" vertical="center" shrinkToFit="1"/>
    </xf>
    <xf numFmtId="184" fontId="9" fillId="0" borderId="6" xfId="0" applyNumberFormat="1" applyFont="1" applyBorder="1" applyAlignment="1">
      <alignment horizontal="right" vertical="center" shrinkToFit="1"/>
    </xf>
    <xf numFmtId="49" fontId="9" fillId="0" borderId="8" xfId="0" applyNumberFormat="1" applyFont="1" applyBorder="1" applyAlignment="1">
      <alignment horizontal="left" vertical="center"/>
    </xf>
    <xf numFmtId="182" fontId="9" fillId="0" borderId="8" xfId="0" applyNumberFormat="1" applyFont="1" applyBorder="1" applyAlignment="1">
      <alignment horizontal="right" vertical="center" shrinkToFit="1"/>
    </xf>
    <xf numFmtId="184" fontId="9" fillId="0" borderId="8" xfId="0" applyNumberFormat="1" applyFont="1" applyBorder="1" applyAlignment="1">
      <alignment horizontal="right" vertical="center" shrinkToFit="1"/>
    </xf>
    <xf numFmtId="178" fontId="9" fillId="0" borderId="8" xfId="0" applyNumberFormat="1" applyFont="1" applyBorder="1" applyAlignment="1">
      <alignment horizontal="right" vertical="center" shrinkToFit="1"/>
    </xf>
    <xf numFmtId="179" fontId="9" fillId="0" borderId="8" xfId="0" applyNumberFormat="1" applyFont="1" applyBorder="1" applyAlignment="1">
      <alignment horizontal="right" vertical="center" shrinkToFit="1"/>
    </xf>
    <xf numFmtId="49" fontId="12" fillId="0" borderId="9" xfId="0" applyNumberFormat="1" applyFont="1" applyBorder="1" applyAlignment="1">
      <alignment horizontal="left" vertical="center"/>
    </xf>
    <xf numFmtId="182" fontId="12" fillId="0" borderId="9" xfId="0" applyNumberFormat="1" applyFont="1" applyBorder="1" applyAlignment="1">
      <alignment horizontal="right" vertical="center" shrinkToFit="1"/>
    </xf>
    <xf numFmtId="184" fontId="12" fillId="0" borderId="9" xfId="0" applyNumberFormat="1" applyFont="1" applyBorder="1" applyAlignment="1">
      <alignment horizontal="right" vertical="center" shrinkToFit="1"/>
    </xf>
    <xf numFmtId="178" fontId="12" fillId="0" borderId="9" xfId="0" applyNumberFormat="1" applyFont="1" applyBorder="1" applyAlignment="1">
      <alignment horizontal="right" vertical="center" shrinkToFit="1"/>
    </xf>
    <xf numFmtId="179" fontId="12" fillId="0" borderId="9" xfId="0" applyNumberFormat="1" applyFont="1" applyBorder="1" applyAlignment="1">
      <alignment horizontal="right" vertical="center" shrinkToFit="1"/>
    </xf>
    <xf numFmtId="182" fontId="9" fillId="0" borderId="0" xfId="0" applyNumberFormat="1" applyFont="1" applyAlignment="1">
      <alignment horizontal="right" vertical="center"/>
    </xf>
    <xf numFmtId="185" fontId="12" fillId="0" borderId="0" xfId="0" applyNumberFormat="1" applyFont="1" applyAlignment="1">
      <alignment horizontal="right" vertical="center" shrinkToFit="1"/>
    </xf>
    <xf numFmtId="181" fontId="12" fillId="0" borderId="0" xfId="0" applyNumberFormat="1" applyFont="1" applyAlignment="1">
      <alignment horizontal="right" vertical="center" shrinkToFit="1"/>
    </xf>
    <xf numFmtId="49" fontId="12" fillId="0" borderId="0" xfId="0" applyNumberFormat="1" applyFont="1" applyAlignment="1">
      <alignment horizontal="right" vertical="center" shrinkToFit="1"/>
    </xf>
    <xf numFmtId="180" fontId="12" fillId="0" borderId="0" xfId="0" applyNumberFormat="1" applyFont="1" applyAlignment="1">
      <alignment horizontal="right" vertical="center" shrinkToFit="1"/>
    </xf>
    <xf numFmtId="185" fontId="9" fillId="0" borderId="0" xfId="0" applyNumberFormat="1" applyFont="1" applyAlignment="1">
      <alignment horizontal="right" vertical="center" shrinkToFit="1"/>
    </xf>
    <xf numFmtId="181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shrinkToFit="1"/>
    </xf>
    <xf numFmtId="49" fontId="12" fillId="0" borderId="5" xfId="0" applyNumberFormat="1" applyFont="1" applyBorder="1" applyAlignment="1">
      <alignment horizontal="center" vertical="center" shrinkToFit="1"/>
    </xf>
    <xf numFmtId="49" fontId="9" fillId="0" borderId="5" xfId="0" applyNumberFormat="1" applyFont="1" applyBorder="1" applyAlignment="1">
      <alignment horizontal="left" vertical="center"/>
    </xf>
    <xf numFmtId="182" fontId="9" fillId="0" borderId="5" xfId="0" applyNumberFormat="1" applyFont="1" applyBorder="1" applyAlignment="1">
      <alignment horizontal="right" vertical="center" shrinkToFit="1"/>
    </xf>
    <xf numFmtId="185" fontId="9" fillId="0" borderId="5" xfId="0" applyNumberFormat="1" applyFont="1" applyBorder="1" applyAlignment="1">
      <alignment horizontal="right" vertical="center" shrinkToFit="1"/>
    </xf>
    <xf numFmtId="181" fontId="9" fillId="0" borderId="5" xfId="0" applyNumberFormat="1" applyFont="1" applyBorder="1" applyAlignment="1">
      <alignment horizontal="right" vertical="center" shrinkToFit="1"/>
    </xf>
    <xf numFmtId="49" fontId="9" fillId="0" borderId="5" xfId="0" applyNumberFormat="1" applyFont="1" applyBorder="1" applyAlignment="1">
      <alignment horizontal="right" vertical="center" shrinkToFit="1"/>
    </xf>
    <xf numFmtId="180" fontId="9" fillId="0" borderId="5" xfId="0" applyNumberFormat="1" applyFont="1" applyBorder="1" applyAlignment="1">
      <alignment horizontal="right" vertical="center" shrinkToFit="1"/>
    </xf>
    <xf numFmtId="179" fontId="9" fillId="0" borderId="5" xfId="0" applyNumberFormat="1" applyFont="1" applyBorder="1" applyAlignment="1">
      <alignment horizontal="right" vertical="center" shrinkToFit="1"/>
    </xf>
    <xf numFmtId="179" fontId="9" fillId="0" borderId="1" xfId="0" applyNumberFormat="1" applyFont="1" applyBorder="1" applyAlignment="1">
      <alignment horizontal="right" vertical="center" shrinkToFit="1"/>
    </xf>
    <xf numFmtId="49" fontId="12" fillId="0" borderId="3" xfId="0" applyNumberFormat="1" applyFont="1" applyBorder="1" applyAlignment="1">
      <alignment horizontal="center" vertical="center" shrinkToFit="1"/>
    </xf>
    <xf numFmtId="49" fontId="9" fillId="0" borderId="4" xfId="0" applyNumberFormat="1" applyFont="1" applyBorder="1" applyAlignment="1">
      <alignment horizontal="left" vertical="center"/>
    </xf>
    <xf numFmtId="182" fontId="9" fillId="0" borderId="1" xfId="0" applyNumberFormat="1" applyFont="1" applyBorder="1" applyAlignment="1">
      <alignment horizontal="right" vertical="center" shrinkToFit="1"/>
    </xf>
    <xf numFmtId="185" fontId="9" fillId="0" borderId="1" xfId="0" applyNumberFormat="1" applyFont="1" applyBorder="1" applyAlignment="1">
      <alignment horizontal="right" vertical="center" shrinkToFit="1"/>
    </xf>
    <xf numFmtId="49" fontId="12" fillId="0" borderId="6" xfId="0" applyNumberFormat="1" applyFont="1" applyBorder="1" applyAlignment="1">
      <alignment horizontal="center" vertical="center" shrinkToFit="1"/>
    </xf>
    <xf numFmtId="185" fontId="12" fillId="0" borderId="6" xfId="0" applyNumberFormat="1" applyFont="1" applyBorder="1" applyAlignment="1">
      <alignment horizontal="right" vertical="center" shrinkToFit="1"/>
    </xf>
    <xf numFmtId="181" fontId="12" fillId="0" borderId="6" xfId="0" applyNumberFormat="1" applyFont="1" applyBorder="1" applyAlignment="1">
      <alignment horizontal="right" vertical="center" shrinkToFit="1"/>
    </xf>
    <xf numFmtId="49" fontId="12" fillId="0" borderId="6" xfId="0" applyNumberFormat="1" applyFont="1" applyBorder="1" applyAlignment="1">
      <alignment horizontal="right" vertical="center" shrinkToFit="1"/>
    </xf>
    <xf numFmtId="180" fontId="12" fillId="0" borderId="6" xfId="0" applyNumberFormat="1" applyFont="1" applyBorder="1" applyAlignment="1">
      <alignment horizontal="right" vertical="center" shrinkToFit="1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 applyBorder="1" applyAlignment="1">
      <alignment horizontal="center" vertical="center" shrinkToFit="1"/>
    </xf>
    <xf numFmtId="49" fontId="12" fillId="0" borderId="0" xfId="0" applyNumberFormat="1" applyFont="1" applyBorder="1" applyAlignment="1">
      <alignment horizontal="left" vertical="center"/>
    </xf>
    <xf numFmtId="182" fontId="12" fillId="0" borderId="0" xfId="0" applyNumberFormat="1" applyFont="1" applyBorder="1" applyAlignment="1">
      <alignment horizontal="right" vertical="center" shrinkToFit="1"/>
    </xf>
    <xf numFmtId="185" fontId="12" fillId="0" borderId="0" xfId="0" applyNumberFormat="1" applyFont="1" applyBorder="1" applyAlignment="1">
      <alignment horizontal="right" vertical="center" shrinkToFit="1"/>
    </xf>
    <xf numFmtId="181" fontId="12" fillId="0" borderId="0" xfId="0" applyNumberFormat="1" applyFont="1" applyBorder="1" applyAlignment="1">
      <alignment horizontal="right" vertical="center" shrinkToFit="1"/>
    </xf>
    <xf numFmtId="49" fontId="12" fillId="0" borderId="0" xfId="0" applyNumberFormat="1" applyFont="1" applyBorder="1" applyAlignment="1">
      <alignment horizontal="right" vertical="center" shrinkToFit="1"/>
    </xf>
    <xf numFmtId="180" fontId="12" fillId="0" borderId="0" xfId="0" applyNumberFormat="1" applyFont="1" applyBorder="1" applyAlignment="1">
      <alignment horizontal="right" vertical="center" shrinkToFit="1"/>
    </xf>
    <xf numFmtId="179" fontId="12" fillId="0" borderId="0" xfId="0" applyNumberFormat="1" applyFont="1" applyBorder="1" applyAlignment="1">
      <alignment horizontal="right" vertical="center" shrinkToFit="1"/>
    </xf>
    <xf numFmtId="49" fontId="12" fillId="0" borderId="0" xfId="0" applyNumberFormat="1" applyFont="1" applyAlignment="1">
      <alignment horizontal="left" vertical="center" shrinkToFit="1"/>
    </xf>
    <xf numFmtId="49" fontId="9" fillId="0" borderId="0" xfId="0" applyNumberFormat="1" applyFont="1" applyAlignment="1">
      <alignment horizontal="left" vertical="center"/>
    </xf>
    <xf numFmtId="182" fontId="9" fillId="0" borderId="0" xfId="0" applyNumberFormat="1" applyFont="1" applyAlignment="1">
      <alignment horizontal="right" vertical="center" shrinkToFit="1"/>
    </xf>
    <xf numFmtId="185" fontId="9" fillId="0" borderId="0" xfId="0" applyNumberFormat="1" applyFont="1" applyAlignment="1">
      <alignment horizontal="right" vertical="center" shrinkToFit="1"/>
    </xf>
    <xf numFmtId="181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shrinkToFit="1"/>
    </xf>
    <xf numFmtId="179" fontId="9" fillId="0" borderId="0" xfId="0" applyNumberFormat="1" applyFont="1" applyAlignment="1">
      <alignment horizontal="right" vertical="center" shrinkToFit="1"/>
    </xf>
    <xf numFmtId="49" fontId="12" fillId="0" borderId="0" xfId="0" applyNumberFormat="1" applyFont="1" applyAlignment="1">
      <alignment vertical="center" shrinkToFit="1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 shrinkToFit="1"/>
    </xf>
    <xf numFmtId="49" fontId="11" fillId="0" borderId="0" xfId="0" applyNumberFormat="1" applyFont="1" applyAlignment="1">
      <alignment horizontal="center" vertical="center" shrinkToFit="1"/>
    </xf>
    <xf numFmtId="49" fontId="9" fillId="0" borderId="1" xfId="0" applyNumberFormat="1" applyFont="1" applyBorder="1" applyAlignment="1">
      <alignment horizontal="center" vertical="center" shrinkToFit="1"/>
    </xf>
    <xf numFmtId="49" fontId="9" fillId="0" borderId="0" xfId="0" applyNumberFormat="1" applyFont="1" applyAlignment="1">
      <alignment vertical="center" shrinkToFit="1"/>
    </xf>
    <xf numFmtId="49" fontId="9" fillId="0" borderId="0" xfId="0" applyNumberFormat="1" applyFont="1" applyAlignment="1">
      <alignment horizontal="left" vertical="top" wrapText="1" shrinkToFit="1"/>
    </xf>
    <xf numFmtId="178" fontId="12" fillId="0" borderId="0" xfId="0" applyNumberFormat="1" applyFont="1" applyAlignment="1">
      <alignment horizontal="right" vertical="center" shrinkToFit="1"/>
    </xf>
    <xf numFmtId="49" fontId="12" fillId="0" borderId="0" xfId="0" applyNumberFormat="1" applyFont="1" applyAlignment="1">
      <alignment horizontal="left" vertical="center"/>
    </xf>
    <xf numFmtId="184" fontId="9" fillId="0" borderId="0" xfId="0" applyNumberFormat="1" applyFont="1" applyAlignment="1">
      <alignment horizontal="right" vertical="center" shrinkToFit="1"/>
    </xf>
    <xf numFmtId="178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49" fontId="12" fillId="0" borderId="2" xfId="0" applyNumberFormat="1" applyFont="1" applyBorder="1" applyAlignment="1">
      <alignment vertical="center" shrinkToFit="1"/>
    </xf>
    <xf numFmtId="49" fontId="15" fillId="0" borderId="0" xfId="0" applyNumberFormat="1" applyFont="1" applyAlignment="1">
      <alignment horizontal="center" vertical="center" shrinkToFit="1"/>
    </xf>
    <xf numFmtId="49" fontId="16" fillId="0" borderId="0" xfId="0" applyNumberFormat="1" applyFont="1" applyAlignment="1">
      <alignment horizontal="left" vertical="center"/>
    </xf>
    <xf numFmtId="182" fontId="2" fillId="0" borderId="0" xfId="0" applyNumberFormat="1" applyFont="1" applyAlignment="1">
      <alignment horizontal="right" vertical="center" shrinkToFit="1"/>
    </xf>
    <xf numFmtId="185" fontId="2" fillId="0" borderId="0" xfId="0" applyNumberFormat="1" applyFont="1" applyAlignment="1">
      <alignment horizontal="right" vertical="center" shrinkToFit="1"/>
    </xf>
    <xf numFmtId="181" fontId="2" fillId="0" borderId="0" xfId="0" applyNumberFormat="1" applyFont="1" applyAlignment="1">
      <alignment horizontal="right" vertical="center" shrinkToFit="1"/>
    </xf>
    <xf numFmtId="49" fontId="2" fillId="0" borderId="0" xfId="0" applyNumberFormat="1" applyFont="1" applyAlignment="1">
      <alignment horizontal="right" vertical="center" shrinkToFit="1"/>
    </xf>
    <xf numFmtId="180" fontId="2" fillId="0" borderId="0" xfId="0" applyNumberFormat="1" applyFont="1" applyAlignment="1">
      <alignment horizontal="right" vertical="center" shrinkToFit="1"/>
    </xf>
    <xf numFmtId="179" fontId="2" fillId="0" borderId="0" xfId="0" applyNumberFormat="1" applyFont="1" applyAlignment="1">
      <alignment horizontal="right" vertical="center" shrinkToFit="1"/>
    </xf>
    <xf numFmtId="182" fontId="17" fillId="0" borderId="0" xfId="0" applyNumberFormat="1" applyFont="1" applyAlignment="1">
      <alignment horizontal="right" vertical="center" shrinkToFit="1"/>
    </xf>
    <xf numFmtId="49" fontId="17" fillId="0" borderId="0" xfId="0" applyNumberFormat="1" applyFont="1" applyAlignment="1">
      <alignment horizontal="left" vertical="center" shrinkToFit="1"/>
    </xf>
    <xf numFmtId="49" fontId="2" fillId="0" borderId="0" xfId="0" applyNumberFormat="1" applyFont="1" applyAlignment="1">
      <alignment horizontal="left" vertical="center"/>
    </xf>
    <xf numFmtId="186" fontId="2" fillId="0" borderId="0" xfId="0" applyNumberFormat="1" applyFont="1" applyAlignment="1">
      <alignment horizontal="right" vertical="center" shrinkToFit="1"/>
    </xf>
    <xf numFmtId="49" fontId="19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182" fontId="19" fillId="0" borderId="0" xfId="0" applyNumberFormat="1" applyFont="1" applyAlignment="1">
      <alignment horizontal="right" vertical="center" shrinkToFit="1"/>
    </xf>
    <xf numFmtId="184" fontId="19" fillId="0" borderId="0" xfId="0" applyNumberFormat="1" applyFont="1" applyAlignment="1">
      <alignment horizontal="right" vertical="center" shrinkToFit="1"/>
    </xf>
    <xf numFmtId="178" fontId="19" fillId="0" borderId="0" xfId="0" applyNumberFormat="1" applyFont="1" applyAlignment="1">
      <alignment horizontal="right" vertical="center" shrinkToFit="1"/>
    </xf>
    <xf numFmtId="179" fontId="19" fillId="0" borderId="0" xfId="0" applyNumberFormat="1" applyFont="1" applyAlignment="1">
      <alignment horizontal="right" vertical="center" shrinkToFit="1"/>
    </xf>
    <xf numFmtId="181" fontId="19" fillId="0" borderId="0" xfId="0" applyNumberFormat="1" applyFont="1" applyAlignment="1">
      <alignment horizontal="right" vertical="center" shrinkToFit="1"/>
    </xf>
    <xf numFmtId="188" fontId="2" fillId="0" borderId="0" xfId="0" applyNumberFormat="1" applyFont="1" applyAlignment="1">
      <alignment horizontal="right" vertical="center" shrinkToFit="1"/>
    </xf>
    <xf numFmtId="178" fontId="2" fillId="0" borderId="10" xfId="0" applyNumberFormat="1" applyFont="1" applyBorder="1" applyAlignment="1">
      <alignment horizontal="right" vertical="center" shrinkToFit="1"/>
    </xf>
    <xf numFmtId="178" fontId="19" fillId="0" borderId="10" xfId="0" applyNumberFormat="1" applyFont="1" applyBorder="1" applyAlignment="1">
      <alignment horizontal="right" vertical="center" shrinkToFit="1"/>
    </xf>
    <xf numFmtId="49" fontId="20" fillId="0" borderId="0" xfId="9" applyNumberFormat="1" applyFont="1" applyAlignment="1">
      <alignment horizontal="center" vertical="top" shrinkToFit="1"/>
    </xf>
    <xf numFmtId="0" fontId="0" fillId="0" borderId="0" xfId="0" applyAlignment="1">
      <alignment horizontal="center" vertical="top" shrinkToFit="1"/>
    </xf>
    <xf numFmtId="49" fontId="22" fillId="0" borderId="0" xfId="9" applyNumberFormat="1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9" fontId="13" fillId="0" borderId="0" xfId="0" applyNumberFormat="1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191" fontId="2" fillId="0" borderId="0" xfId="0" applyNumberFormat="1" applyFont="1" applyAlignment="1">
      <alignment horizontal="right" vertical="center" shrinkToFit="1"/>
    </xf>
    <xf numFmtId="193" fontId="2" fillId="0" borderId="0" xfId="0" applyNumberFormat="1" applyFont="1" applyAlignment="1">
      <alignment horizontal="right" vertical="center" shrinkToFit="1"/>
    </xf>
    <xf numFmtId="49" fontId="12" fillId="0" borderId="11" xfId="0" applyNumberFormat="1" applyFont="1" applyBorder="1" applyAlignment="1">
      <alignment horizontal="center" vertical="center" shrinkToFit="1"/>
    </xf>
    <xf numFmtId="49" fontId="12" fillId="0" borderId="11" xfId="0" applyNumberFormat="1" applyFont="1" applyBorder="1" applyAlignment="1">
      <alignment horizontal="left" vertical="center"/>
    </xf>
    <xf numFmtId="182" fontId="12" fillId="0" borderId="11" xfId="0" applyNumberFormat="1" applyFont="1" applyBorder="1" applyAlignment="1">
      <alignment horizontal="right" vertical="center" shrinkToFit="1"/>
    </xf>
    <xf numFmtId="185" fontId="12" fillId="0" borderId="11" xfId="0" applyNumberFormat="1" applyFont="1" applyBorder="1" applyAlignment="1">
      <alignment horizontal="right" vertical="center" shrinkToFit="1"/>
    </xf>
    <xf numFmtId="192" fontId="2" fillId="0" borderId="11" xfId="0" applyNumberFormat="1" applyFont="1" applyBorder="1" applyAlignment="1">
      <alignment horizontal="right" vertical="center" shrinkToFit="1"/>
    </xf>
    <xf numFmtId="179" fontId="12" fillId="0" borderId="11" xfId="0" applyNumberFormat="1" applyFont="1" applyBorder="1" applyAlignment="1">
      <alignment horizontal="right" vertical="center" shrinkToFit="1"/>
    </xf>
    <xf numFmtId="49" fontId="12" fillId="0" borderId="11" xfId="0" applyNumberFormat="1" applyFont="1" applyBorder="1" applyAlignment="1">
      <alignment horizontal="right" vertical="center" shrinkToFit="1"/>
    </xf>
    <xf numFmtId="180" fontId="12" fillId="0" borderId="11" xfId="0" applyNumberFormat="1" applyFont="1" applyBorder="1" applyAlignment="1">
      <alignment horizontal="right" vertical="center" shrinkToFit="1"/>
    </xf>
    <xf numFmtId="192" fontId="2" fillId="0" borderId="0" xfId="0" applyNumberFormat="1" applyFont="1" applyBorder="1" applyAlignment="1">
      <alignment horizontal="right" vertical="center" shrinkToFit="1"/>
    </xf>
    <xf numFmtId="182" fontId="7" fillId="0" borderId="0" xfId="0" applyNumberFormat="1" applyFont="1" applyBorder="1" applyAlignment="1">
      <alignment horizontal="right" vertical="center" shrinkToFit="1"/>
    </xf>
    <xf numFmtId="0" fontId="6" fillId="0" borderId="0" xfId="0" applyNumberFormat="1" applyFont="1" applyAlignment="1">
      <alignment horizontal="center" vertical="center" shrinkToFit="1"/>
    </xf>
    <xf numFmtId="194" fontId="12" fillId="0" borderId="9" xfId="0" applyNumberFormat="1" applyFont="1" applyBorder="1" applyAlignment="1">
      <alignment horizontal="right" vertical="center" shrinkToFit="1"/>
    </xf>
    <xf numFmtId="49" fontId="15" fillId="0" borderId="11" xfId="0" applyNumberFormat="1" applyFont="1" applyBorder="1" applyAlignment="1">
      <alignment horizontal="center" vertical="center" shrinkToFit="1"/>
    </xf>
    <xf numFmtId="182" fontId="2" fillId="0" borderId="11" xfId="0" applyNumberFormat="1" applyFont="1" applyBorder="1" applyAlignment="1">
      <alignment horizontal="right" vertical="center" shrinkToFit="1"/>
    </xf>
    <xf numFmtId="185" fontId="2" fillId="0" borderId="11" xfId="0" applyNumberFormat="1" applyFont="1" applyBorder="1" applyAlignment="1">
      <alignment horizontal="right" vertical="center" shrinkToFit="1"/>
    </xf>
    <xf numFmtId="181" fontId="2" fillId="0" borderId="11" xfId="0" applyNumberFormat="1" applyFont="1" applyBorder="1" applyAlignment="1">
      <alignment horizontal="right" vertical="center" shrinkToFit="1"/>
    </xf>
    <xf numFmtId="49" fontId="2" fillId="0" borderId="11" xfId="0" applyNumberFormat="1" applyFont="1" applyBorder="1" applyAlignment="1">
      <alignment horizontal="right" vertical="center" shrinkToFit="1"/>
    </xf>
    <xf numFmtId="49" fontId="2" fillId="0" borderId="11" xfId="0" applyNumberFormat="1" applyFont="1" applyBorder="1" applyAlignment="1">
      <alignment horizontal="left" vertical="center"/>
    </xf>
    <xf numFmtId="179" fontId="2" fillId="0" borderId="11" xfId="0" applyNumberFormat="1" applyFont="1" applyBorder="1" applyAlignment="1">
      <alignment horizontal="right" vertical="center" shrinkToFit="1"/>
    </xf>
    <xf numFmtId="0" fontId="25" fillId="0" borderId="11" xfId="0" applyFont="1" applyBorder="1" applyAlignment="1">
      <alignment vertical="center" wrapText="1"/>
    </xf>
    <xf numFmtId="49" fontId="15" fillId="0" borderId="0" xfId="0" applyNumberFormat="1" applyFont="1" applyAlignment="1">
      <alignment vertical="center" shrinkToFit="1"/>
    </xf>
    <xf numFmtId="49" fontId="19" fillId="0" borderId="0" xfId="0" applyNumberFormat="1" applyFont="1" applyAlignment="1">
      <alignment vertical="center" shrinkToFit="1"/>
    </xf>
    <xf numFmtId="49" fontId="15" fillId="0" borderId="0" xfId="0" applyNumberFormat="1" applyFont="1" applyAlignment="1">
      <alignment vertical="center" shrinkToFit="1"/>
    </xf>
    <xf numFmtId="183" fontId="15" fillId="0" borderId="0" xfId="0" applyNumberFormat="1" applyFont="1" applyAlignment="1">
      <alignment horizontal="left" vertical="center" shrinkToFit="1"/>
    </xf>
    <xf numFmtId="182" fontId="15" fillId="0" borderId="0" xfId="0" applyNumberFormat="1" applyFont="1" applyAlignment="1">
      <alignment horizontal="right" vertical="center" shrinkToFit="1"/>
    </xf>
    <xf numFmtId="182" fontId="19" fillId="0" borderId="1" xfId="0" applyNumberFormat="1" applyFont="1" applyBorder="1" applyAlignment="1">
      <alignment horizontal="right" vertical="center" shrinkToFit="1"/>
    </xf>
    <xf numFmtId="185" fontId="2" fillId="0" borderId="0" xfId="0" applyNumberFormat="1" applyFont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182" fontId="9" fillId="0" borderId="0" xfId="0" applyNumberFormat="1" applyFont="1" applyBorder="1" applyAlignment="1">
      <alignment horizontal="right" vertical="center" shrinkToFit="1"/>
    </xf>
    <xf numFmtId="184" fontId="9" fillId="0" borderId="0" xfId="0" applyNumberFormat="1" applyFont="1" applyBorder="1" applyAlignment="1">
      <alignment horizontal="right" vertical="center" shrinkToFit="1"/>
    </xf>
    <xf numFmtId="178" fontId="9" fillId="0" borderId="0" xfId="0" applyNumberFormat="1" applyFont="1" applyBorder="1" applyAlignment="1">
      <alignment horizontal="right" vertical="center" shrinkToFit="1"/>
    </xf>
    <xf numFmtId="179" fontId="9" fillId="0" borderId="0" xfId="0" applyNumberFormat="1" applyFont="1" applyBorder="1" applyAlignment="1">
      <alignment horizontal="right" vertical="center" shrinkToFit="1"/>
    </xf>
  </cellXfs>
  <cellStyles count="38">
    <cellStyle name="¤@¯ë 2" xfId="37" xr:uid="{00000000-0005-0000-0000-000000000000}"/>
    <cellStyle name="¤d¤À¦ì 2" xfId="1" xr:uid="{00000000-0005-0000-0000-000001000000}"/>
    <cellStyle name="Normal 2" xfId="2" xr:uid="{00000000-0005-0000-0000-000003000000}"/>
    <cellStyle name="Normal 3" xfId="3" xr:uid="{00000000-0005-0000-0000-000004000000}"/>
    <cellStyle name="一般" xfId="0" builtinId="0"/>
    <cellStyle name="一般 10" xfId="4" xr:uid="{00000000-0005-0000-0000-000007000000}"/>
    <cellStyle name="一般 10 2" xfId="5" xr:uid="{00000000-0005-0000-0000-000008000000}"/>
    <cellStyle name="一般 11" xfId="6" xr:uid="{00000000-0005-0000-0000-000009000000}"/>
    <cellStyle name="一般 12" xfId="7" xr:uid="{00000000-0005-0000-0000-00000A000000}"/>
    <cellStyle name="一般 15" xfId="8" xr:uid="{00000000-0005-0000-0000-00000B000000}"/>
    <cellStyle name="一般 2" xfId="9" xr:uid="{00000000-0005-0000-0000-00000C000000}"/>
    <cellStyle name="一般 2 2" xfId="10" xr:uid="{00000000-0005-0000-0000-00000D000000}"/>
    <cellStyle name="一般 2 2 2" xfId="11" xr:uid="{00000000-0005-0000-0000-00000E000000}"/>
    <cellStyle name="一般 2 2 3" xfId="12" xr:uid="{00000000-0005-0000-0000-00000F000000}"/>
    <cellStyle name="一般 3" xfId="13" xr:uid="{00000000-0005-0000-0000-000010000000}"/>
    <cellStyle name="一般 4" xfId="14" xr:uid="{00000000-0005-0000-0000-000011000000}"/>
    <cellStyle name="一般 5" xfId="15" xr:uid="{00000000-0005-0000-0000-000012000000}"/>
    <cellStyle name="一般 6" xfId="16" xr:uid="{00000000-0005-0000-0000-000013000000}"/>
    <cellStyle name="一般 7" xfId="17" xr:uid="{00000000-0005-0000-0000-000014000000}"/>
    <cellStyle name="一般 8" xfId="18" xr:uid="{00000000-0005-0000-0000-000015000000}"/>
    <cellStyle name="一般 9" xfId="19" xr:uid="{00000000-0005-0000-0000-000016000000}"/>
    <cellStyle name="千分位 10" xfId="20" xr:uid="{00000000-0005-0000-0000-000018000000}"/>
    <cellStyle name="千分位 11" xfId="21" xr:uid="{00000000-0005-0000-0000-000019000000}"/>
    <cellStyle name="千分位 12" xfId="22" xr:uid="{00000000-0005-0000-0000-00001A000000}"/>
    <cellStyle name="千分位 13" xfId="23" xr:uid="{00000000-0005-0000-0000-00001B000000}"/>
    <cellStyle name="千分位 14" xfId="24" xr:uid="{00000000-0005-0000-0000-00001C000000}"/>
    <cellStyle name="千分位 15" xfId="25" xr:uid="{00000000-0005-0000-0000-00001D000000}"/>
    <cellStyle name="千分位 16" xfId="26" xr:uid="{00000000-0005-0000-0000-00001E000000}"/>
    <cellStyle name="千分位 2" xfId="27" xr:uid="{00000000-0005-0000-0000-00001F000000}"/>
    <cellStyle name="千分位 3" xfId="28" xr:uid="{00000000-0005-0000-0000-000020000000}"/>
    <cellStyle name="千分位 4" xfId="29" xr:uid="{00000000-0005-0000-0000-000021000000}"/>
    <cellStyle name="千分位 5" xfId="30" xr:uid="{00000000-0005-0000-0000-000022000000}"/>
    <cellStyle name="千分位 6" xfId="31" xr:uid="{00000000-0005-0000-0000-000023000000}"/>
    <cellStyle name="千分位 7" xfId="32" xr:uid="{00000000-0005-0000-0000-000024000000}"/>
    <cellStyle name="千分位 8" xfId="33" xr:uid="{00000000-0005-0000-0000-000025000000}"/>
    <cellStyle name="千分位 9" xfId="34" xr:uid="{00000000-0005-0000-0000-000026000000}"/>
    <cellStyle name="千位分隔 2" xfId="35" xr:uid="{00000000-0005-0000-0000-000027000000}"/>
    <cellStyle name="常规 2" xfId="36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workbookViewId="0">
      <selection activeCell="P35" sqref="P35"/>
    </sheetView>
  </sheetViews>
  <sheetFormatPr defaultColWidth="9" defaultRowHeight="15"/>
  <cols>
    <col min="1" max="1" width="11.36328125" style="8" customWidth="1"/>
    <col min="2" max="2" width="25.453125" style="17" customWidth="1"/>
    <col min="3" max="3" width="4.36328125" style="14" customWidth="1"/>
    <col min="4" max="4" width="5.1796875" style="52" customWidth="1"/>
    <col min="5" max="5" width="8.08984375" style="14" customWidth="1"/>
    <col min="6" max="6" width="8.6328125" style="53" customWidth="1"/>
    <col min="7" max="7" width="3.6328125" style="54" customWidth="1"/>
    <col min="8" max="8" width="6.453125" style="55" customWidth="1"/>
    <col min="9" max="9" width="3.453125" style="54" customWidth="1"/>
    <col min="10" max="10" width="10" style="18" customWidth="1"/>
    <col min="11" max="11" width="5.453125" style="3" hidden="1" customWidth="1"/>
    <col min="12" max="12" width="3.90625" style="1" hidden="1" customWidth="1"/>
    <col min="13" max="13" width="9" style="1" customWidth="1"/>
    <col min="14" max="16384" width="9" style="1"/>
  </cols>
  <sheetData>
    <row r="1" spans="1:11" ht="23.25" customHeight="1">
      <c r="A1" s="128" t="s">
        <v>80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1" ht="20.399999999999999" customHeight="1">
      <c r="A2" s="130" t="s">
        <v>81</v>
      </c>
      <c r="B2" s="131"/>
      <c r="C2" s="131"/>
      <c r="D2" s="131"/>
      <c r="E2" s="131"/>
      <c r="F2" s="131"/>
      <c r="G2" s="131"/>
      <c r="H2" s="131"/>
      <c r="I2" s="131"/>
      <c r="J2" s="131"/>
      <c r="K2" s="2"/>
    </row>
    <row r="3" spans="1:11" ht="21" customHeight="1">
      <c r="A3" s="133" t="s">
        <v>0</v>
      </c>
      <c r="B3" s="133"/>
      <c r="C3" s="133"/>
      <c r="D3" s="133"/>
      <c r="E3" s="133"/>
      <c r="F3" s="133"/>
      <c r="G3" s="133"/>
      <c r="H3" s="133"/>
      <c r="I3" s="133"/>
      <c r="J3" s="133"/>
    </row>
    <row r="4" spans="1:11" ht="6.75" customHeight="1">
      <c r="B4" s="9"/>
      <c r="C4" s="10"/>
      <c r="D4" s="48"/>
      <c r="E4" s="10"/>
      <c r="F4" s="49"/>
      <c r="G4" s="50"/>
      <c r="H4" s="51"/>
      <c r="I4" s="50"/>
      <c r="J4" s="13"/>
    </row>
    <row r="5" spans="1:11">
      <c r="A5" s="8" t="s">
        <v>1</v>
      </c>
      <c r="B5" s="9" t="s">
        <v>77</v>
      </c>
      <c r="F5" s="98" t="s">
        <v>3</v>
      </c>
      <c r="G5" s="98"/>
      <c r="H5" s="83" t="s">
        <v>4</v>
      </c>
      <c r="I5" s="83"/>
      <c r="J5" s="83"/>
    </row>
    <row r="6" spans="1:11" ht="9" customHeight="1"/>
    <row r="7" spans="1:11">
      <c r="A7" s="91" t="s">
        <v>5</v>
      </c>
      <c r="B7" s="91"/>
    </row>
    <row r="8" spans="1:11">
      <c r="A8" s="91" t="s">
        <v>6</v>
      </c>
      <c r="B8" s="91"/>
      <c r="E8" s="91" t="s">
        <v>7</v>
      </c>
      <c r="F8" s="91"/>
      <c r="G8" s="91"/>
      <c r="H8" s="91"/>
      <c r="I8" s="91"/>
      <c r="J8" s="91"/>
    </row>
    <row r="9" spans="1:11">
      <c r="A9" s="91" t="s">
        <v>8</v>
      </c>
      <c r="B9" s="91"/>
      <c r="C9" s="91"/>
      <c r="D9" s="91"/>
      <c r="E9" s="91" t="s">
        <v>9</v>
      </c>
      <c r="F9" s="91"/>
      <c r="G9" s="91"/>
      <c r="H9" s="91"/>
      <c r="I9" s="91"/>
      <c r="J9" s="91"/>
    </row>
    <row r="10" spans="1:11" ht="57.75" customHeight="1">
      <c r="A10" s="97" t="s">
        <v>10</v>
      </c>
      <c r="B10" s="97"/>
      <c r="C10" s="97"/>
      <c r="D10" s="97"/>
      <c r="E10" s="97" t="s">
        <v>11</v>
      </c>
      <c r="F10" s="97"/>
      <c r="G10" s="97"/>
      <c r="H10" s="97"/>
      <c r="I10" s="97"/>
      <c r="J10" s="97"/>
    </row>
    <row r="11" spans="1:11" ht="12.75" customHeight="1">
      <c r="A11" s="96"/>
      <c r="B11" s="96"/>
      <c r="C11" s="96"/>
      <c r="D11" s="96"/>
      <c r="E11" s="96" t="s">
        <v>12</v>
      </c>
      <c r="F11" s="96"/>
      <c r="G11" s="96"/>
      <c r="H11" s="96"/>
      <c r="I11" s="96"/>
      <c r="J11" s="96"/>
    </row>
    <row r="12" spans="1:11" s="1" customFormat="1" ht="2.25" customHeight="1">
      <c r="A12" s="8"/>
      <c r="B12" s="17"/>
      <c r="C12" s="14"/>
      <c r="D12" s="52"/>
      <c r="E12" s="14"/>
      <c r="F12" s="53"/>
      <c r="G12" s="20"/>
      <c r="H12" s="55"/>
      <c r="I12" s="20"/>
      <c r="J12" s="18"/>
      <c r="K12" s="3"/>
    </row>
    <row r="13" spans="1:11" s="1" customFormat="1">
      <c r="A13" s="161" t="s">
        <v>96</v>
      </c>
      <c r="B13" s="162" t="s">
        <v>98</v>
      </c>
      <c r="C13" s="162"/>
      <c r="D13" s="162"/>
      <c r="E13" s="163" t="s">
        <v>13</v>
      </c>
      <c r="F13" s="163"/>
      <c r="G13" s="163"/>
      <c r="H13" s="164">
        <v>46144</v>
      </c>
      <c r="I13" s="164"/>
      <c r="J13" s="123"/>
      <c r="K13" s="3"/>
    </row>
    <row r="14" spans="1:11" s="1" customFormat="1">
      <c r="A14" s="162" t="s">
        <v>97</v>
      </c>
      <c r="B14" s="162"/>
      <c r="C14" s="162"/>
      <c r="D14" s="162"/>
      <c r="E14" s="165" t="s">
        <v>14</v>
      </c>
      <c r="F14" s="163" t="s">
        <v>9</v>
      </c>
      <c r="G14" s="163"/>
      <c r="H14" s="163"/>
      <c r="I14" s="163"/>
      <c r="J14" s="163"/>
      <c r="K14" s="3"/>
    </row>
    <row r="15" spans="1:11" s="1" customFormat="1" ht="6" customHeight="1" thickBot="1">
      <c r="A15" s="56"/>
      <c r="B15" s="57"/>
      <c r="C15" s="58"/>
      <c r="D15" s="59"/>
      <c r="E15" s="58"/>
      <c r="F15" s="60"/>
      <c r="G15" s="61"/>
      <c r="H15" s="62"/>
      <c r="I15" s="61"/>
      <c r="J15" s="63"/>
      <c r="K15" s="5"/>
    </row>
    <row r="16" spans="1:11" s="1" customFormat="1">
      <c r="A16" s="91" t="s">
        <v>15</v>
      </c>
      <c r="B16" s="91"/>
      <c r="C16" s="14"/>
      <c r="D16" s="52"/>
      <c r="E16" s="14"/>
      <c r="F16" s="53"/>
      <c r="G16" s="54"/>
      <c r="H16" s="55"/>
      <c r="I16" s="54"/>
      <c r="J16" s="18"/>
      <c r="K16" s="3"/>
    </row>
    <row r="17" spans="1:14" s="1" customFormat="1">
      <c r="A17" s="91" t="s">
        <v>16</v>
      </c>
      <c r="B17" s="91"/>
      <c r="C17" s="14"/>
      <c r="D17" s="52"/>
      <c r="E17" s="14"/>
      <c r="F17" s="53" t="s">
        <v>78</v>
      </c>
      <c r="G17" s="54"/>
      <c r="H17" s="55"/>
      <c r="I17" s="54"/>
      <c r="J17" s="18"/>
      <c r="K17" s="3"/>
    </row>
    <row r="18" spans="1:14" s="1" customFormat="1" ht="15" customHeight="1">
      <c r="A18" s="8"/>
      <c r="B18" s="9"/>
      <c r="C18" s="9"/>
      <c r="D18" s="95" t="s">
        <v>17</v>
      </c>
      <c r="E18" s="95"/>
      <c r="F18" s="95"/>
      <c r="G18" s="95"/>
      <c r="H18" s="95" t="s">
        <v>18</v>
      </c>
      <c r="I18" s="95"/>
      <c r="J18" s="64"/>
      <c r="K18" s="4"/>
    </row>
    <row r="19" spans="1:14" s="1" customFormat="1">
      <c r="A19" s="65"/>
      <c r="B19" s="66" t="s">
        <v>19</v>
      </c>
      <c r="C19" s="67" t="s">
        <v>20</v>
      </c>
      <c r="D19" s="68" t="s">
        <v>21</v>
      </c>
      <c r="E19" s="166" t="s">
        <v>99</v>
      </c>
      <c r="F19" s="95" t="s">
        <v>22</v>
      </c>
      <c r="G19" s="95" t="s">
        <v>23</v>
      </c>
      <c r="H19" s="95" t="s">
        <v>23</v>
      </c>
      <c r="I19" s="95"/>
      <c r="J19" s="64" t="s">
        <v>24</v>
      </c>
      <c r="K19" s="4" t="s">
        <v>25</v>
      </c>
    </row>
    <row r="20" spans="1:14" s="1" customFormat="1">
      <c r="A20" s="69" t="s">
        <v>26</v>
      </c>
      <c r="B20" s="31" t="s">
        <v>2</v>
      </c>
      <c r="C20" s="32"/>
      <c r="D20" s="70"/>
      <c r="E20" s="32"/>
      <c r="F20" s="71"/>
      <c r="G20" s="72"/>
      <c r="H20" s="73"/>
      <c r="I20" s="72"/>
      <c r="J20" s="35"/>
      <c r="K20" s="3"/>
    </row>
    <row r="21" spans="1:14" s="1" customFormat="1">
      <c r="A21" s="75"/>
      <c r="B21" s="76" t="s">
        <v>79</v>
      </c>
      <c r="C21" s="77"/>
      <c r="D21" s="78"/>
      <c r="E21" s="77"/>
      <c r="F21" s="79"/>
      <c r="G21" s="80"/>
      <c r="H21" s="81"/>
      <c r="I21" s="80"/>
      <c r="J21" s="82"/>
      <c r="K21" s="3"/>
    </row>
    <row r="22" spans="1:14" s="1" customFormat="1">
      <c r="A22" s="8" t="s">
        <v>27</v>
      </c>
      <c r="B22" s="17" t="s">
        <v>74</v>
      </c>
      <c r="C22" s="14"/>
      <c r="D22" s="52"/>
      <c r="E22" s="14"/>
      <c r="F22" s="53"/>
      <c r="G22" s="54"/>
      <c r="H22" s="55"/>
      <c r="I22" s="54"/>
      <c r="J22" s="18"/>
      <c r="K22" s="3"/>
    </row>
    <row r="23" spans="1:14" s="1" customFormat="1">
      <c r="A23" s="8" t="s">
        <v>29</v>
      </c>
      <c r="B23" s="17" t="s">
        <v>75</v>
      </c>
      <c r="C23" s="14"/>
      <c r="D23" s="52"/>
      <c r="E23" s="14"/>
      <c r="F23" s="53"/>
      <c r="G23" s="54"/>
      <c r="H23" s="55"/>
      <c r="I23" s="54"/>
      <c r="J23" s="18"/>
      <c r="K23" s="3"/>
    </row>
    <row r="24" spans="1:14" s="1" customFormat="1">
      <c r="A24" s="8" t="s">
        <v>31</v>
      </c>
      <c r="B24" s="17" t="s">
        <v>76</v>
      </c>
      <c r="C24" s="14"/>
      <c r="D24" s="52"/>
      <c r="E24" s="14"/>
      <c r="F24" s="53"/>
      <c r="G24" s="54"/>
      <c r="H24" s="55"/>
      <c r="I24" s="54"/>
      <c r="J24" s="18"/>
      <c r="K24" s="3"/>
    </row>
    <row r="25" spans="1:14" s="1" customFormat="1">
      <c r="A25" s="8" t="s">
        <v>32</v>
      </c>
      <c r="B25" s="17" t="s">
        <v>33</v>
      </c>
      <c r="C25" s="14"/>
      <c r="D25" s="52"/>
      <c r="E25" s="14"/>
      <c r="F25" s="53"/>
      <c r="G25" s="54"/>
      <c r="H25" s="55"/>
      <c r="I25" s="54"/>
      <c r="J25" s="18"/>
      <c r="K25" s="3"/>
    </row>
    <row r="26" spans="1:14" s="1" customFormat="1">
      <c r="A26" s="8"/>
      <c r="B26" s="92" t="s">
        <v>100</v>
      </c>
      <c r="C26" s="85"/>
      <c r="D26" s="86"/>
      <c r="E26" s="85"/>
      <c r="F26" s="87"/>
      <c r="G26" s="88"/>
      <c r="H26" s="89"/>
      <c r="I26" s="88"/>
      <c r="J26" s="90"/>
      <c r="K26" s="85"/>
      <c r="L26" s="93"/>
    </row>
    <row r="27" spans="1:14" s="1" customFormat="1">
      <c r="A27" s="8"/>
      <c r="B27" s="17" t="s">
        <v>35</v>
      </c>
      <c r="C27" s="14">
        <v>1</v>
      </c>
      <c r="D27" s="52">
        <v>42.06</v>
      </c>
      <c r="E27" s="140">
        <v>46</v>
      </c>
      <c r="F27" s="53">
        <v>4.7</v>
      </c>
      <c r="G27" s="54" t="s">
        <v>36</v>
      </c>
      <c r="H27" s="55">
        <v>0.46</v>
      </c>
      <c r="I27" s="54" t="s">
        <v>37</v>
      </c>
      <c r="J27" s="18">
        <v>21.16</v>
      </c>
      <c r="K27" s="3"/>
    </row>
    <row r="28" spans="1:14" s="1" customFormat="1">
      <c r="A28" s="8"/>
      <c r="B28" s="17" t="s">
        <v>38</v>
      </c>
      <c r="C28" s="14">
        <v>1</v>
      </c>
      <c r="D28" s="52">
        <v>85.95</v>
      </c>
      <c r="E28" s="140">
        <v>94</v>
      </c>
      <c r="F28" s="53">
        <v>9.1999999999999993</v>
      </c>
      <c r="G28" s="54" t="s">
        <v>36</v>
      </c>
      <c r="H28" s="55">
        <v>0.46</v>
      </c>
      <c r="I28" s="54" t="s">
        <v>37</v>
      </c>
      <c r="J28" s="18">
        <v>43.24</v>
      </c>
      <c r="K28" s="3"/>
    </row>
    <row r="29" spans="1:14" s="1" customFormat="1">
      <c r="A29" s="8"/>
      <c r="B29" s="17" t="s">
        <v>39</v>
      </c>
      <c r="C29" s="14">
        <v>1</v>
      </c>
      <c r="D29" s="52">
        <v>89.61</v>
      </c>
      <c r="E29" s="140">
        <v>98</v>
      </c>
      <c r="F29" s="53">
        <v>9.3000000000000007</v>
      </c>
      <c r="G29" s="54" t="s">
        <v>36</v>
      </c>
      <c r="H29" s="55">
        <v>3.52</v>
      </c>
      <c r="I29" s="54" t="s">
        <v>37</v>
      </c>
      <c r="J29" s="18">
        <v>344.96</v>
      </c>
      <c r="K29" s="3"/>
    </row>
    <row r="30" spans="1:14" s="1" customFormat="1">
      <c r="A30" s="8"/>
      <c r="B30" s="17" t="s">
        <v>40</v>
      </c>
      <c r="C30" s="14">
        <v>1</v>
      </c>
      <c r="D30" s="52">
        <v>56.69</v>
      </c>
      <c r="E30" s="140">
        <v>62</v>
      </c>
      <c r="F30" s="53">
        <v>5.9</v>
      </c>
      <c r="G30" s="54" t="s">
        <v>36</v>
      </c>
      <c r="H30" s="55">
        <v>5.3</v>
      </c>
      <c r="I30" s="54" t="s">
        <v>37</v>
      </c>
      <c r="J30" s="18">
        <v>328.6</v>
      </c>
      <c r="K30" s="3"/>
    </row>
    <row r="31" spans="1:14" s="1" customFormat="1">
      <c r="A31" s="106"/>
      <c r="B31" s="107"/>
      <c r="C31" s="108"/>
      <c r="D31" s="109"/>
      <c r="E31" s="108"/>
      <c r="F31" s="110"/>
      <c r="G31" s="111"/>
      <c r="H31" s="112"/>
      <c r="I31" s="111"/>
      <c r="J31" s="113"/>
      <c r="K31" s="114"/>
      <c r="L31" s="115"/>
      <c r="M31" s="115"/>
      <c r="N31" s="115"/>
    </row>
    <row r="32" spans="1:14" s="1" customFormat="1">
      <c r="A32" s="106"/>
      <c r="B32" s="116" t="s">
        <v>84</v>
      </c>
      <c r="C32" s="115"/>
      <c r="D32" s="115"/>
      <c r="E32" s="108"/>
      <c r="F32" s="110"/>
      <c r="G32" s="111"/>
      <c r="H32" s="112"/>
      <c r="I32" s="111"/>
      <c r="J32" s="113"/>
      <c r="K32" s="114"/>
      <c r="L32" s="115"/>
      <c r="M32" s="115"/>
      <c r="N32" s="115"/>
    </row>
    <row r="33" spans="1:19" s="1" customFormat="1" ht="16.2">
      <c r="A33" s="106"/>
      <c r="B33" s="135" t="s">
        <v>88</v>
      </c>
      <c r="C33" s="108"/>
      <c r="D33" s="109"/>
      <c r="E33" s="108"/>
      <c r="F33" s="110"/>
      <c r="G33" s="111"/>
      <c r="H33" s="112"/>
      <c r="I33" s="111"/>
      <c r="J33" s="113"/>
      <c r="K33" s="114"/>
      <c r="L33" s="115"/>
      <c r="M33" s="134"/>
      <c r="N33" s="135"/>
      <c r="O33" s="135"/>
      <c r="P33" s="135"/>
      <c r="Q33" s="136"/>
      <c r="R33" s="137"/>
      <c r="S33" s="138"/>
    </row>
    <row r="34" spans="1:19" s="1" customFormat="1" ht="16.2">
      <c r="A34" s="106"/>
      <c r="B34" s="116" t="s">
        <v>87</v>
      </c>
      <c r="C34" s="108"/>
      <c r="D34" s="167" t="s">
        <v>101</v>
      </c>
      <c r="E34" s="108"/>
      <c r="F34" s="110"/>
      <c r="G34" s="111"/>
      <c r="H34" s="112"/>
      <c r="I34" s="111"/>
      <c r="J34" s="113"/>
      <c r="K34" s="114"/>
      <c r="L34" s="115"/>
      <c r="M34" s="134"/>
      <c r="N34" s="135"/>
      <c r="O34" s="135"/>
      <c r="P34" s="135"/>
      <c r="Q34" s="136"/>
      <c r="R34" s="137"/>
      <c r="S34" s="138"/>
    </row>
    <row r="35" spans="1:19" s="1" customFormat="1" ht="32.4">
      <c r="A35" s="106"/>
      <c r="B35" s="136" t="s">
        <v>85</v>
      </c>
      <c r="C35" s="117">
        <v>3</v>
      </c>
      <c r="D35" s="109"/>
      <c r="E35" s="139">
        <v>63041</v>
      </c>
      <c r="F35" s="110">
        <v>26.3</v>
      </c>
      <c r="G35" s="111" t="s">
        <v>36</v>
      </c>
      <c r="H35" s="116">
        <v>1.7299999999999999E-2</v>
      </c>
      <c r="I35" s="111" t="s">
        <v>37</v>
      </c>
      <c r="J35" s="113">
        <f>E35*H35</f>
        <v>1090.6093000000001</v>
      </c>
      <c r="K35" s="114"/>
      <c r="L35" s="115"/>
      <c r="M35" s="115"/>
      <c r="N35" s="115"/>
      <c r="O35" s="118"/>
    </row>
    <row r="36" spans="1:19" s="1" customFormat="1" ht="49.2" thickBot="1">
      <c r="A36" s="153"/>
      <c r="B36" s="160" t="s">
        <v>86</v>
      </c>
      <c r="C36" s="154"/>
      <c r="D36" s="155"/>
      <c r="E36" s="145">
        <v>8243</v>
      </c>
      <c r="F36" s="156"/>
      <c r="G36" s="157"/>
      <c r="H36" s="158">
        <v>1.46E-2</v>
      </c>
      <c r="I36" s="157" t="s">
        <v>37</v>
      </c>
      <c r="J36" s="159">
        <f t="shared" ref="J36" si="0">E36*H36</f>
        <v>120.34780000000001</v>
      </c>
      <c r="K36" s="114"/>
      <c r="L36" s="115"/>
      <c r="M36" s="115"/>
      <c r="N36" s="115"/>
    </row>
    <row r="37" spans="1:19" s="1" customFormat="1" ht="16.2" thickBot="1">
      <c r="A37" s="75"/>
      <c r="B37" s="76" t="s">
        <v>41</v>
      </c>
      <c r="C37" s="77">
        <v>7</v>
      </c>
      <c r="D37" s="78">
        <v>274.31</v>
      </c>
      <c r="E37" s="140">
        <v>300</v>
      </c>
      <c r="F37" s="79">
        <v>55.4</v>
      </c>
      <c r="G37" s="80"/>
      <c r="H37" s="81"/>
      <c r="I37" s="80"/>
      <c r="J37" s="82">
        <f>SUM(J26:J36)</f>
        <v>1948.9171000000001</v>
      </c>
      <c r="K37" s="6"/>
    </row>
    <row r="38" spans="1:19" s="1" customFormat="1" ht="16.8" thickTop="1" thickBot="1">
      <c r="A38" s="141"/>
      <c r="B38" s="142"/>
      <c r="C38" s="143"/>
      <c r="D38" s="144"/>
      <c r="E38" s="145">
        <f>E35+E36</f>
        <v>71284</v>
      </c>
      <c r="F38" s="146"/>
      <c r="G38" s="147"/>
      <c r="H38" s="148"/>
      <c r="I38" s="147"/>
      <c r="J38" s="146"/>
      <c r="K38" s="6"/>
    </row>
    <row r="39" spans="1:19" s="1" customFormat="1" ht="15.6">
      <c r="A39" s="75"/>
      <c r="B39" s="76"/>
      <c r="C39" s="77"/>
      <c r="D39" s="78"/>
      <c r="E39" s="149"/>
      <c r="F39" s="82"/>
      <c r="G39" s="80"/>
      <c r="H39" s="81"/>
      <c r="I39" s="80"/>
      <c r="J39" s="82"/>
      <c r="K39" s="150"/>
    </row>
    <row r="40" spans="1:19" s="1" customFormat="1">
      <c r="A40" s="94" t="s">
        <v>89</v>
      </c>
      <c r="B40" s="84"/>
      <c r="C40" s="85"/>
      <c r="D40" s="86"/>
      <c r="E40" s="85"/>
      <c r="F40" s="87"/>
      <c r="G40" s="88"/>
      <c r="H40" s="89"/>
      <c r="I40" s="88"/>
      <c r="J40" s="90"/>
      <c r="K40" s="85"/>
    </row>
    <row r="41" spans="1:19" s="1" customFormat="1">
      <c r="A41" s="8"/>
      <c r="B41" s="17"/>
      <c r="C41" s="14"/>
      <c r="D41" s="52"/>
      <c r="E41" s="14"/>
      <c r="F41" s="53"/>
      <c r="G41" s="54"/>
      <c r="H41" s="55"/>
      <c r="I41" s="54"/>
      <c r="J41" s="18"/>
      <c r="K41" s="14"/>
    </row>
    <row r="42" spans="1:19" s="1" customFormat="1">
      <c r="A42" s="8"/>
      <c r="B42" s="17"/>
      <c r="C42" s="14"/>
      <c r="D42" s="52"/>
      <c r="E42" s="14"/>
      <c r="F42" s="53"/>
      <c r="G42" s="54"/>
      <c r="H42" s="55"/>
      <c r="I42" s="54"/>
      <c r="J42" s="18"/>
      <c r="K42" s="14"/>
    </row>
    <row r="43" spans="1:19" s="1" customFormat="1">
      <c r="A43" s="83" t="s">
        <v>42</v>
      </c>
      <c r="B43" s="84"/>
      <c r="C43" s="14"/>
      <c r="D43" s="52"/>
      <c r="E43" s="14"/>
      <c r="F43" s="53"/>
      <c r="G43" s="54"/>
      <c r="H43" s="55"/>
      <c r="I43" s="54"/>
      <c r="J43" s="18"/>
      <c r="K43" s="3"/>
    </row>
    <row r="44" spans="1:19" s="1" customFormat="1">
      <c r="A44" s="8"/>
      <c r="B44" s="17"/>
      <c r="C44" s="14"/>
      <c r="D44" s="52"/>
      <c r="E44" s="14"/>
      <c r="F44" s="53"/>
      <c r="G44" s="54"/>
      <c r="H44" s="55"/>
      <c r="I44" s="54"/>
      <c r="J44" s="18"/>
      <c r="K44" s="3"/>
    </row>
    <row r="45" spans="1:19" s="1" customFormat="1">
      <c r="A45" s="83" t="s">
        <v>9</v>
      </c>
      <c r="B45" s="84"/>
      <c r="C45" s="85"/>
      <c r="D45" s="86"/>
      <c r="E45" s="85"/>
      <c r="F45" s="87"/>
      <c r="G45" s="88"/>
      <c r="H45" s="89"/>
      <c r="I45" s="88"/>
      <c r="J45" s="90"/>
      <c r="K45" s="3"/>
    </row>
    <row r="46" spans="1:19" s="1" customFormat="1">
      <c r="A46" s="83" t="s">
        <v>43</v>
      </c>
      <c r="B46" s="84"/>
      <c r="C46" s="85"/>
      <c r="D46" s="86"/>
      <c r="E46" s="85"/>
      <c r="F46" s="87"/>
      <c r="G46" s="88"/>
      <c r="H46" s="89"/>
      <c r="I46" s="88"/>
      <c r="J46" s="90"/>
      <c r="K46" s="3"/>
    </row>
    <row r="47" spans="1:19" s="1" customFormat="1">
      <c r="A47" s="83" t="s">
        <v>44</v>
      </c>
      <c r="B47" s="84"/>
      <c r="C47" s="85"/>
      <c r="D47" s="86"/>
      <c r="E47" s="85"/>
      <c r="F47" s="87"/>
      <c r="G47" s="88"/>
      <c r="H47" s="89"/>
      <c r="I47" s="88"/>
      <c r="J47" s="90"/>
      <c r="K47" s="3"/>
    </row>
    <row r="48" spans="1:19" s="1" customFormat="1">
      <c r="A48" s="83" t="s">
        <v>45</v>
      </c>
      <c r="B48" s="84"/>
      <c r="C48" s="85"/>
      <c r="D48" s="86"/>
      <c r="E48" s="85"/>
      <c r="F48" s="87"/>
      <c r="G48" s="88"/>
      <c r="H48" s="89"/>
      <c r="I48" s="88"/>
      <c r="J48" s="90"/>
      <c r="K48" s="3"/>
    </row>
    <row r="49" spans="1:11" s="1" customFormat="1">
      <c r="A49" s="83" t="s">
        <v>46</v>
      </c>
      <c r="B49" s="84"/>
      <c r="C49" s="85"/>
      <c r="D49" s="86"/>
      <c r="E49" s="85"/>
      <c r="F49" s="87"/>
      <c r="G49" s="88"/>
      <c r="H49" s="89"/>
      <c r="I49" s="88"/>
      <c r="J49" s="90"/>
      <c r="K49" s="3"/>
    </row>
    <row r="50" spans="1:11" s="1" customFormat="1">
      <c r="A50" s="83" t="s">
        <v>47</v>
      </c>
      <c r="B50" s="84"/>
      <c r="C50" s="85"/>
      <c r="D50" s="86"/>
      <c r="E50" s="85"/>
      <c r="F50" s="87"/>
      <c r="G50" s="88"/>
      <c r="H50" s="89"/>
      <c r="I50" s="88"/>
      <c r="J50" s="90"/>
      <c r="K50" s="3"/>
    </row>
    <row r="51" spans="1:11" s="1" customFormat="1">
      <c r="A51" s="83" t="s">
        <v>48</v>
      </c>
      <c r="B51" s="84"/>
      <c r="C51" s="85"/>
      <c r="D51" s="86"/>
      <c r="E51" s="85"/>
      <c r="F51" s="87"/>
      <c r="G51" s="88"/>
      <c r="H51" s="89"/>
      <c r="I51" s="88"/>
      <c r="J51" s="90"/>
      <c r="K51" s="3"/>
    </row>
    <row r="52" spans="1:11" s="1" customFormat="1">
      <c r="A52" s="83" t="s">
        <v>49</v>
      </c>
      <c r="B52" s="84"/>
      <c r="C52" s="85"/>
      <c r="D52" s="86"/>
      <c r="E52" s="85"/>
      <c r="F52" s="87"/>
      <c r="G52" s="88"/>
      <c r="H52" s="89"/>
      <c r="I52" s="88"/>
      <c r="J52" s="90"/>
      <c r="K52" s="3"/>
    </row>
    <row r="53" spans="1:11" s="1" customFormat="1">
      <c r="A53" s="8"/>
      <c r="B53" s="17"/>
      <c r="C53" s="14"/>
      <c r="D53" s="52"/>
      <c r="E53" s="14"/>
      <c r="F53" s="53"/>
      <c r="G53" s="54"/>
      <c r="H53" s="55"/>
      <c r="I53" s="54"/>
      <c r="J53" s="18"/>
      <c r="K53" s="3"/>
    </row>
    <row r="54" spans="1:11" s="1" customFormat="1">
      <c r="A54" s="8"/>
      <c r="B54" s="17"/>
      <c r="C54" s="14"/>
      <c r="D54" s="52"/>
      <c r="E54" s="14"/>
      <c r="F54" s="53"/>
      <c r="G54" s="54"/>
      <c r="H54" s="55"/>
      <c r="I54" s="54"/>
      <c r="J54" s="18"/>
      <c r="K54" s="3"/>
    </row>
    <row r="55" spans="1:11" s="1" customFormat="1">
      <c r="A55" s="8"/>
      <c r="B55" s="17"/>
      <c r="C55" s="14"/>
      <c r="D55" s="52"/>
      <c r="E55" s="14"/>
      <c r="F55" s="53"/>
      <c r="G55" s="54"/>
      <c r="H55" s="55"/>
      <c r="I55" s="54"/>
      <c r="J55" s="18"/>
      <c r="K55" s="3"/>
    </row>
    <row r="56" spans="1:11" s="1" customFormat="1">
      <c r="A56" s="8"/>
      <c r="B56" s="17"/>
      <c r="C56" s="14"/>
      <c r="D56" s="52"/>
      <c r="E56" s="14"/>
      <c r="F56" s="53"/>
      <c r="G56" s="54"/>
      <c r="H56" s="55"/>
      <c r="I56" s="54"/>
      <c r="J56" s="18"/>
      <c r="K56" s="3"/>
    </row>
    <row r="57" spans="1:11" s="1" customFormat="1">
      <c r="A57" s="8"/>
      <c r="B57" s="17"/>
      <c r="C57" s="14"/>
      <c r="D57" s="52"/>
      <c r="E57" s="14"/>
      <c r="F57" s="53"/>
      <c r="G57" s="54"/>
      <c r="H57" s="55"/>
      <c r="I57" s="54"/>
      <c r="J57" s="18"/>
      <c r="K57" s="3"/>
    </row>
    <row r="58" spans="1:11" s="1" customFormat="1">
      <c r="A58" s="8"/>
      <c r="B58" s="17"/>
      <c r="C58" s="14"/>
      <c r="D58" s="52"/>
      <c r="E58" s="14"/>
      <c r="F58" s="53"/>
      <c r="G58" s="54"/>
      <c r="H58" s="55"/>
      <c r="I58" s="54"/>
      <c r="J58" s="18"/>
      <c r="K58" s="3"/>
    </row>
    <row r="59" spans="1:11" s="1" customFormat="1">
      <c r="A59" s="8"/>
      <c r="B59" s="17"/>
      <c r="C59" s="14"/>
      <c r="D59" s="52"/>
      <c r="E59" s="14"/>
      <c r="F59" s="53"/>
      <c r="G59" s="54"/>
      <c r="H59" s="55"/>
      <c r="I59" s="54"/>
      <c r="J59" s="18"/>
      <c r="K59" s="3"/>
    </row>
    <row r="60" spans="1:11" s="1" customFormat="1">
      <c r="A60" s="8"/>
      <c r="B60" s="17"/>
      <c r="C60" s="14"/>
      <c r="D60" s="52"/>
      <c r="E60" s="14"/>
      <c r="F60" s="53"/>
      <c r="G60" s="54"/>
      <c r="H60" s="55"/>
      <c r="I60" s="54"/>
      <c r="J60" s="18"/>
      <c r="K60" s="3"/>
    </row>
    <row r="61" spans="1:11" s="1" customFormat="1">
      <c r="A61" s="8"/>
      <c r="B61" s="17"/>
      <c r="C61" s="14"/>
      <c r="D61" s="52"/>
      <c r="E61" s="14"/>
      <c r="F61" s="53"/>
      <c r="G61" s="54"/>
      <c r="H61" s="55"/>
      <c r="I61" s="54"/>
      <c r="J61" s="18"/>
      <c r="K61" s="3"/>
    </row>
    <row r="62" spans="1:11" s="1" customFormat="1">
      <c r="A62" s="8"/>
      <c r="B62" s="17"/>
      <c r="C62" s="14"/>
      <c r="D62" s="52"/>
      <c r="E62" s="14"/>
      <c r="F62" s="53"/>
      <c r="G62" s="54"/>
      <c r="H62" s="55"/>
      <c r="I62" s="54"/>
      <c r="J62" s="18"/>
      <c r="K62" s="3"/>
    </row>
    <row r="63" spans="1:11" s="1" customFormat="1">
      <c r="A63" s="8"/>
      <c r="B63" s="17"/>
      <c r="C63" s="14"/>
      <c r="D63" s="52"/>
      <c r="E63" s="14"/>
      <c r="F63" s="53"/>
      <c r="G63" s="54"/>
      <c r="H63" s="55"/>
      <c r="I63" s="54"/>
      <c r="J63" s="18"/>
      <c r="K63" s="3"/>
    </row>
    <row r="64" spans="1:11" s="1" customFormat="1">
      <c r="A64" s="8"/>
      <c r="B64" s="17"/>
      <c r="C64" s="14"/>
      <c r="D64" s="52"/>
      <c r="E64" s="14"/>
      <c r="F64" s="53"/>
      <c r="G64" s="54"/>
      <c r="H64" s="55"/>
      <c r="I64" s="54"/>
      <c r="J64" s="18"/>
      <c r="K64" s="3"/>
    </row>
    <row r="65" spans="1:11" s="1" customFormat="1">
      <c r="A65" s="8"/>
      <c r="B65" s="17"/>
      <c r="C65" s="14"/>
      <c r="D65" s="52"/>
      <c r="E65" s="14"/>
      <c r="F65" s="53"/>
      <c r="G65" s="54"/>
      <c r="H65" s="55"/>
      <c r="I65" s="54"/>
      <c r="J65" s="18"/>
      <c r="K65" s="3"/>
    </row>
    <row r="66" spans="1:11" s="1" customFormat="1">
      <c r="A66" s="8"/>
      <c r="B66" s="17"/>
      <c r="C66" s="14"/>
      <c r="D66" s="52"/>
      <c r="E66" s="14"/>
      <c r="F66" s="53"/>
      <c r="G66" s="54"/>
      <c r="H66" s="55"/>
      <c r="I66" s="54"/>
      <c r="J66" s="18"/>
      <c r="K66" s="3"/>
    </row>
    <row r="67" spans="1:11" s="1" customFormat="1">
      <c r="A67" s="8"/>
      <c r="B67" s="17"/>
      <c r="C67" s="14"/>
      <c r="D67" s="52"/>
      <c r="E67" s="14"/>
      <c r="F67" s="53"/>
      <c r="G67" s="54"/>
      <c r="H67" s="55"/>
      <c r="I67" s="54"/>
      <c r="J67" s="18"/>
      <c r="K67" s="3"/>
    </row>
    <row r="68" spans="1:11" s="1" customFormat="1">
      <c r="A68" s="8"/>
      <c r="B68" s="17"/>
      <c r="C68" s="14"/>
      <c r="D68" s="52"/>
      <c r="E68" s="14"/>
      <c r="F68" s="53"/>
      <c r="G68" s="54"/>
      <c r="H68" s="55"/>
      <c r="I68" s="54"/>
      <c r="J68" s="18"/>
      <c r="K68" s="3"/>
    </row>
  </sheetData>
  <mergeCells count="36">
    <mergeCell ref="E9:J9"/>
    <mergeCell ref="A10:D10"/>
    <mergeCell ref="A11:D11"/>
    <mergeCell ref="E10:J10"/>
    <mergeCell ref="E11:J11"/>
    <mergeCell ref="A1:J1"/>
    <mergeCell ref="A7:B7"/>
    <mergeCell ref="A8:B8"/>
    <mergeCell ref="A9:D9"/>
    <mergeCell ref="A3:J3"/>
    <mergeCell ref="E8:J8"/>
    <mergeCell ref="H5:J5"/>
    <mergeCell ref="F5:G5"/>
    <mergeCell ref="A2:J2"/>
    <mergeCell ref="A14:D14"/>
    <mergeCell ref="B13:D13"/>
    <mergeCell ref="E13:G13"/>
    <mergeCell ref="H13:I13"/>
    <mergeCell ref="F14:J14"/>
    <mergeCell ref="A16:B16"/>
    <mergeCell ref="A17:B17"/>
    <mergeCell ref="B26:L26"/>
    <mergeCell ref="A40:K40"/>
    <mergeCell ref="F19:G19"/>
    <mergeCell ref="H18:I18"/>
    <mergeCell ref="H19:I19"/>
    <mergeCell ref="D18:G18"/>
    <mergeCell ref="A43:B43"/>
    <mergeCell ref="A45:J45"/>
    <mergeCell ref="A51:J51"/>
    <mergeCell ref="A52:J52"/>
    <mergeCell ref="A46:J46"/>
    <mergeCell ref="A47:J47"/>
    <mergeCell ref="A48:J48"/>
    <mergeCell ref="A49:J49"/>
    <mergeCell ref="A50:J50"/>
  </mergeCells>
  <phoneticPr fontId="1" type="noConversion"/>
  <printOptions horizontalCentered="1"/>
  <pageMargins left="0" right="0" top="0" bottom="0" header="0" footer="0.19685039370078741"/>
  <pageSetup paperSize="9" scale="90" orientation="portrait" r:id="rId1"/>
  <headerFooter>
    <oddFooter>&amp;CPage:&amp;P/&amp;N&amp;RPrintTime:&amp;D 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758F-53EB-48C1-A87C-A372089DEE44}">
  <dimension ref="A1:K70"/>
  <sheetViews>
    <sheetView topLeftCell="A43" workbookViewId="0">
      <selection activeCell="Q49" sqref="Q49"/>
    </sheetView>
  </sheetViews>
  <sheetFormatPr defaultColWidth="9" defaultRowHeight="15"/>
  <cols>
    <col min="1" max="1" width="14" style="9" customWidth="1"/>
    <col min="2" max="2" width="14.7265625" style="17" customWidth="1"/>
    <col min="3" max="3" width="8" style="14" customWidth="1"/>
    <col min="4" max="4" width="8" style="15" hidden="1" customWidth="1"/>
    <col min="5" max="5" width="7.453125" style="15" customWidth="1"/>
    <col min="6" max="6" width="8.453125" style="16" customWidth="1"/>
    <col min="7" max="7" width="5.453125" style="16" hidden="1" customWidth="1"/>
    <col min="8" max="8" width="10.453125" style="18" customWidth="1"/>
    <col min="9" max="10" width="6.6328125" style="15" customWidth="1"/>
    <col min="11" max="11" width="4.90625" style="16" customWidth="1"/>
    <col min="12" max="12" width="9.81640625" style="1" customWidth="1"/>
    <col min="13" max="13" width="9" style="1" customWidth="1"/>
    <col min="14" max="16384" width="9" style="1"/>
  </cols>
  <sheetData>
    <row r="1" spans="1:11" ht="23.25" customHeight="1">
      <c r="A1" s="94" t="s">
        <v>82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 ht="24" customHeight="1">
      <c r="A2" s="103" t="s">
        <v>83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21" customHeight="1">
      <c r="A3" s="132" t="s">
        <v>50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</row>
    <row r="4" spans="1:11" ht="6.75" customHeight="1">
      <c r="B4" s="9"/>
      <c r="C4" s="10"/>
      <c r="D4" s="11"/>
      <c r="E4" s="11"/>
      <c r="F4" s="12"/>
      <c r="G4" s="12"/>
      <c r="H4" s="13"/>
      <c r="I4" s="11"/>
      <c r="J4" s="11"/>
      <c r="K4" s="12"/>
    </row>
    <row r="5" spans="1:11">
      <c r="A5" s="9" t="s">
        <v>1</v>
      </c>
      <c r="B5" s="9" t="s">
        <v>77</v>
      </c>
      <c r="H5" s="13" t="s">
        <v>3</v>
      </c>
      <c r="I5" s="83" t="s">
        <v>4</v>
      </c>
      <c r="J5" s="83"/>
      <c r="K5" s="83"/>
    </row>
    <row r="6" spans="1:11" ht="9" customHeight="1"/>
    <row r="7" spans="1:11">
      <c r="A7" s="83" t="s">
        <v>5</v>
      </c>
      <c r="B7" s="83"/>
      <c r="C7" s="83"/>
    </row>
    <row r="8" spans="1:11">
      <c r="A8" s="91" t="s">
        <v>6</v>
      </c>
      <c r="B8" s="91"/>
      <c r="D8" s="14"/>
      <c r="E8" s="91" t="s">
        <v>7</v>
      </c>
      <c r="F8" s="91"/>
      <c r="G8" s="91"/>
      <c r="H8" s="91"/>
      <c r="I8" s="91"/>
      <c r="J8" s="91"/>
      <c r="K8" s="91"/>
    </row>
    <row r="9" spans="1:11">
      <c r="A9" s="91" t="s">
        <v>8</v>
      </c>
      <c r="B9" s="91"/>
      <c r="C9" s="91"/>
      <c r="D9" s="19"/>
      <c r="E9" s="91" t="s">
        <v>9</v>
      </c>
      <c r="F9" s="91"/>
      <c r="G9" s="91"/>
      <c r="H9" s="91"/>
      <c r="I9" s="91"/>
      <c r="J9" s="91"/>
      <c r="K9" s="91"/>
    </row>
    <row r="10" spans="1:11" ht="50.4" customHeight="1">
      <c r="A10" s="97" t="s">
        <v>10</v>
      </c>
      <c r="B10" s="97"/>
      <c r="C10" s="97"/>
      <c r="D10" s="7"/>
      <c r="E10" s="97" t="s">
        <v>11</v>
      </c>
      <c r="F10" s="97"/>
      <c r="G10" s="97"/>
      <c r="H10" s="97"/>
      <c r="I10" s="97"/>
      <c r="J10" s="97"/>
      <c r="K10" s="97"/>
    </row>
    <row r="11" spans="1:11" ht="14.25" customHeight="1">
      <c r="A11" s="96"/>
      <c r="B11" s="96"/>
      <c r="C11" s="96"/>
      <c r="D11" s="20"/>
      <c r="E11" s="96" t="s">
        <v>12</v>
      </c>
      <c r="F11" s="96"/>
      <c r="G11" s="96"/>
      <c r="H11" s="96"/>
      <c r="I11" s="96"/>
      <c r="J11" s="96"/>
      <c r="K11" s="96"/>
    </row>
    <row r="12" spans="1:11" s="1" customFormat="1" ht="2.25" customHeight="1">
      <c r="A12" s="9"/>
      <c r="B12" s="17"/>
      <c r="C12" s="14"/>
      <c r="D12" s="15"/>
      <c r="E12" s="15"/>
      <c r="F12" s="16"/>
      <c r="G12" s="16"/>
      <c r="H12" s="18"/>
      <c r="I12" s="15"/>
      <c r="J12" s="15"/>
      <c r="K12" s="16"/>
    </row>
    <row r="13" spans="1:11" s="1" customFormat="1">
      <c r="A13" s="161" t="s">
        <v>96</v>
      </c>
      <c r="B13" s="162" t="s">
        <v>98</v>
      </c>
      <c r="C13" s="162"/>
      <c r="D13" s="162"/>
      <c r="E13" s="163" t="s">
        <v>13</v>
      </c>
      <c r="F13" s="163"/>
      <c r="G13" s="163"/>
      <c r="H13" s="164">
        <v>46144</v>
      </c>
      <c r="I13" s="164"/>
      <c r="J13" s="123"/>
      <c r="K13" s="3"/>
    </row>
    <row r="14" spans="1:11" s="1" customFormat="1">
      <c r="A14" s="162" t="s">
        <v>97</v>
      </c>
      <c r="B14" s="162"/>
      <c r="C14" s="162"/>
      <c r="D14" s="162"/>
      <c r="E14" s="165" t="s">
        <v>14</v>
      </c>
      <c r="F14" s="163" t="s">
        <v>9</v>
      </c>
      <c r="G14" s="163"/>
      <c r="H14" s="163"/>
      <c r="I14" s="163"/>
      <c r="J14" s="163"/>
      <c r="K14" s="3"/>
    </row>
    <row r="15" spans="1:11" s="1" customFormat="1" ht="6" customHeight="1" thickBot="1">
      <c r="A15" s="9"/>
      <c r="B15" s="17"/>
      <c r="C15" s="14"/>
      <c r="D15" s="15"/>
      <c r="E15" s="15"/>
      <c r="F15" s="16"/>
      <c r="G15" s="16"/>
      <c r="H15" s="18"/>
      <c r="I15" s="15"/>
      <c r="J15" s="15"/>
      <c r="K15" s="16"/>
    </row>
    <row r="16" spans="1:11" s="1" customFormat="1">
      <c r="A16" s="105" t="s">
        <v>15</v>
      </c>
      <c r="B16" s="105"/>
      <c r="C16" s="21"/>
      <c r="D16" s="22"/>
      <c r="E16" s="22"/>
      <c r="F16" s="23"/>
      <c r="G16" s="23"/>
      <c r="H16" s="24"/>
      <c r="I16" s="22"/>
      <c r="J16" s="22"/>
      <c r="K16" s="23"/>
    </row>
    <row r="17" spans="1:11">
      <c r="A17" s="91" t="s">
        <v>16</v>
      </c>
      <c r="B17" s="91"/>
    </row>
    <row r="18" spans="1:11">
      <c r="A18" s="25"/>
      <c r="B18" s="26" t="s">
        <v>2</v>
      </c>
      <c r="C18" s="27" t="s">
        <v>51</v>
      </c>
      <c r="D18" s="28" t="s">
        <v>52</v>
      </c>
      <c r="E18" s="28" t="s">
        <v>53</v>
      </c>
      <c r="F18" s="166" t="s">
        <v>99</v>
      </c>
      <c r="G18" s="29" t="s">
        <v>25</v>
      </c>
      <c r="H18" s="30" t="s">
        <v>21</v>
      </c>
      <c r="I18" s="28" t="s">
        <v>54</v>
      </c>
      <c r="J18" s="28" t="s">
        <v>55</v>
      </c>
      <c r="K18" s="29" t="s">
        <v>20</v>
      </c>
    </row>
    <row r="19" spans="1:11">
      <c r="A19" s="31" t="s">
        <v>56</v>
      </c>
      <c r="B19" s="31" t="s">
        <v>2</v>
      </c>
      <c r="C19" s="32"/>
      <c r="D19" s="33"/>
      <c r="E19" s="33"/>
      <c r="F19" s="34"/>
      <c r="G19" s="34"/>
      <c r="H19" s="35"/>
      <c r="I19" s="33"/>
      <c r="J19" s="36"/>
    </row>
    <row r="20" spans="1:11">
      <c r="A20" s="9" t="s">
        <v>27</v>
      </c>
      <c r="B20" s="17" t="s">
        <v>28</v>
      </c>
    </row>
    <row r="21" spans="1:11">
      <c r="A21" s="9" t="s">
        <v>29</v>
      </c>
      <c r="B21" s="17" t="s">
        <v>30</v>
      </c>
    </row>
    <row r="22" spans="1:11">
      <c r="A22" s="9" t="s">
        <v>32</v>
      </c>
      <c r="B22" s="17" t="s">
        <v>33</v>
      </c>
    </row>
    <row r="23" spans="1:11">
      <c r="A23" s="9" t="s">
        <v>57</v>
      </c>
      <c r="B23" s="84" t="s">
        <v>34</v>
      </c>
      <c r="C23" s="85"/>
      <c r="D23" s="100"/>
      <c r="E23" s="100"/>
      <c r="F23" s="101"/>
      <c r="G23" s="101"/>
      <c r="H23" s="90"/>
      <c r="I23" s="100"/>
      <c r="J23" s="100"/>
      <c r="K23" s="101"/>
    </row>
    <row r="24" spans="1:11">
      <c r="A24" s="9" t="s">
        <v>46</v>
      </c>
      <c r="B24" s="9" t="s">
        <v>35</v>
      </c>
    </row>
    <row r="25" spans="1:11">
      <c r="A25" s="9" t="s">
        <v>58</v>
      </c>
      <c r="B25" s="17" t="s">
        <v>59</v>
      </c>
      <c r="C25" s="14" t="s">
        <v>60</v>
      </c>
      <c r="D25" s="15">
        <v>4.0999999999999996</v>
      </c>
      <c r="E25" s="15">
        <v>4.7</v>
      </c>
      <c r="F25" s="140">
        <v>46</v>
      </c>
      <c r="G25" s="16">
        <v>0</v>
      </c>
      <c r="H25" s="18">
        <v>42.06</v>
      </c>
      <c r="I25" s="15">
        <v>10.4</v>
      </c>
      <c r="J25" s="15">
        <v>5.2</v>
      </c>
      <c r="K25" s="16">
        <v>1</v>
      </c>
    </row>
    <row r="26" spans="1:11">
      <c r="B26" s="37" t="s">
        <v>61</v>
      </c>
      <c r="C26" s="38"/>
      <c r="D26" s="39">
        <v>4.0999999999999996</v>
      </c>
      <c r="E26" s="39">
        <v>4.7</v>
      </c>
      <c r="F26" s="140">
        <v>46</v>
      </c>
      <c r="G26" s="40">
        <v>0</v>
      </c>
      <c r="H26" s="41">
        <v>42.06</v>
      </c>
      <c r="I26" s="39">
        <v>10.4</v>
      </c>
      <c r="J26" s="39">
        <v>5.2</v>
      </c>
      <c r="K26" s="40">
        <v>1</v>
      </c>
    </row>
    <row r="27" spans="1:11">
      <c r="A27" s="9" t="s">
        <v>46</v>
      </c>
      <c r="B27" s="9" t="s">
        <v>38</v>
      </c>
    </row>
    <row r="28" spans="1:11">
      <c r="A28" s="9" t="s">
        <v>62</v>
      </c>
      <c r="B28" s="17" t="s">
        <v>63</v>
      </c>
      <c r="C28" s="14" t="s">
        <v>64</v>
      </c>
      <c r="D28" s="15">
        <v>8.4</v>
      </c>
      <c r="E28" s="15">
        <v>9.1999999999999993</v>
      </c>
      <c r="F28" s="140">
        <v>94</v>
      </c>
      <c r="G28" s="16">
        <v>0</v>
      </c>
      <c r="H28" s="18">
        <v>85.95</v>
      </c>
      <c r="I28" s="15">
        <v>20.3</v>
      </c>
      <c r="J28" s="15">
        <v>9.6999999999999993</v>
      </c>
      <c r="K28" s="16">
        <v>1</v>
      </c>
    </row>
    <row r="29" spans="1:11">
      <c r="B29" s="37" t="s">
        <v>61</v>
      </c>
      <c r="C29" s="38"/>
      <c r="D29" s="39">
        <v>8.4</v>
      </c>
      <c r="E29" s="39">
        <v>9.1999999999999993</v>
      </c>
      <c r="F29" s="140">
        <v>94</v>
      </c>
      <c r="G29" s="40">
        <v>0</v>
      </c>
      <c r="H29" s="41">
        <v>85.95</v>
      </c>
      <c r="I29" s="39">
        <v>20.3</v>
      </c>
      <c r="J29" s="39">
        <v>9.6999999999999993</v>
      </c>
      <c r="K29" s="40">
        <v>1</v>
      </c>
    </row>
    <row r="30" spans="1:11">
      <c r="A30" s="9" t="s">
        <v>46</v>
      </c>
      <c r="B30" s="9" t="s">
        <v>39</v>
      </c>
    </row>
    <row r="31" spans="1:11">
      <c r="A31" s="9" t="s">
        <v>65</v>
      </c>
      <c r="B31" s="17" t="s">
        <v>66</v>
      </c>
      <c r="C31" s="14" t="s">
        <v>67</v>
      </c>
      <c r="D31" s="15">
        <v>8.6999999999999993</v>
      </c>
      <c r="E31" s="15">
        <v>9.3000000000000007</v>
      </c>
      <c r="F31" s="140">
        <v>98</v>
      </c>
      <c r="G31" s="16">
        <v>0</v>
      </c>
      <c r="H31" s="18">
        <v>89.61</v>
      </c>
      <c r="I31" s="15">
        <v>20.5</v>
      </c>
      <c r="J31" s="15">
        <v>9.8000000000000007</v>
      </c>
      <c r="K31" s="16">
        <v>1</v>
      </c>
    </row>
    <row r="32" spans="1:11">
      <c r="B32" s="37" t="s">
        <v>61</v>
      </c>
      <c r="C32" s="38"/>
      <c r="D32" s="39">
        <v>8.6999999999999993</v>
      </c>
      <c r="E32" s="39">
        <v>9.3000000000000007</v>
      </c>
      <c r="F32" s="140">
        <v>98</v>
      </c>
      <c r="G32" s="40">
        <v>0</v>
      </c>
      <c r="H32" s="41">
        <v>89.61</v>
      </c>
      <c r="I32" s="39">
        <v>20.5</v>
      </c>
      <c r="J32" s="39">
        <v>9.8000000000000007</v>
      </c>
      <c r="K32" s="40">
        <v>1</v>
      </c>
    </row>
    <row r="33" spans="1:11" s="1" customFormat="1">
      <c r="A33" s="9" t="s">
        <v>46</v>
      </c>
      <c r="B33" s="9" t="s">
        <v>40</v>
      </c>
      <c r="C33" s="14"/>
      <c r="D33" s="15"/>
      <c r="E33" s="15"/>
      <c r="F33" s="16"/>
      <c r="G33" s="16"/>
      <c r="H33" s="18"/>
      <c r="I33" s="15"/>
      <c r="J33" s="15"/>
      <c r="K33" s="16"/>
    </row>
    <row r="34" spans="1:11" s="1" customFormat="1">
      <c r="A34" s="9" t="s">
        <v>68</v>
      </c>
      <c r="B34" s="17" t="s">
        <v>69</v>
      </c>
      <c r="C34" s="14" t="s">
        <v>70</v>
      </c>
      <c r="D34" s="15">
        <v>5.5</v>
      </c>
      <c r="E34" s="15">
        <v>5.9</v>
      </c>
      <c r="F34" s="140">
        <v>62</v>
      </c>
      <c r="G34" s="16">
        <v>0</v>
      </c>
      <c r="H34" s="18">
        <v>56.69</v>
      </c>
      <c r="I34" s="15">
        <v>13</v>
      </c>
      <c r="J34" s="15">
        <v>6.4</v>
      </c>
      <c r="K34" s="16">
        <v>1</v>
      </c>
    </row>
    <row r="35" spans="1:11" s="1" customFormat="1">
      <c r="A35" s="9"/>
      <c r="B35" s="37" t="s">
        <v>61</v>
      </c>
      <c r="C35" s="38"/>
      <c r="D35" s="39">
        <v>5.5</v>
      </c>
      <c r="E35" s="39">
        <v>5.9</v>
      </c>
      <c r="F35" s="140">
        <v>62</v>
      </c>
      <c r="G35" s="40">
        <v>0</v>
      </c>
      <c r="H35" s="41">
        <v>56.69</v>
      </c>
      <c r="I35" s="39">
        <v>13</v>
      </c>
      <c r="J35" s="39">
        <v>6.4</v>
      </c>
      <c r="K35" s="40">
        <v>1</v>
      </c>
    </row>
    <row r="36" spans="1:11" s="1" customFormat="1">
      <c r="A36" s="74"/>
      <c r="B36" s="168"/>
      <c r="C36" s="169"/>
      <c r="D36" s="170"/>
      <c r="E36" s="170"/>
      <c r="F36" s="140"/>
      <c r="G36" s="171"/>
      <c r="H36" s="172"/>
      <c r="I36" s="170"/>
      <c r="J36" s="170"/>
      <c r="K36" s="171"/>
    </row>
    <row r="37" spans="1:11" s="1" customFormat="1">
      <c r="A37" s="119"/>
      <c r="B37" s="116" t="s">
        <v>84</v>
      </c>
      <c r="C37" s="120"/>
      <c r="D37" s="121"/>
      <c r="E37" s="121"/>
      <c r="F37" s="122"/>
      <c r="G37" s="123"/>
      <c r="H37" s="121"/>
      <c r="I37" s="121"/>
      <c r="J37" s="122"/>
    </row>
    <row r="38" spans="1:11" s="1" customFormat="1" ht="16.2">
      <c r="A38" s="119"/>
      <c r="B38" s="135" t="s">
        <v>88</v>
      </c>
      <c r="C38" s="120"/>
      <c r="D38" s="121"/>
      <c r="E38" s="121"/>
      <c r="F38" s="122"/>
      <c r="G38" s="123"/>
      <c r="H38" s="121"/>
      <c r="I38" s="121"/>
      <c r="J38" s="122"/>
    </row>
    <row r="39" spans="1:11" s="1" customFormat="1">
      <c r="A39" s="119"/>
      <c r="B39" s="116" t="s">
        <v>87</v>
      </c>
      <c r="C39" s="120"/>
      <c r="D39" s="121"/>
      <c r="E39" s="121"/>
      <c r="F39" s="122"/>
      <c r="G39" s="123"/>
      <c r="H39" s="121"/>
      <c r="I39" s="121"/>
      <c r="J39" s="122"/>
    </row>
    <row r="40" spans="1:11" s="1" customFormat="1" ht="64.8">
      <c r="A40" s="119"/>
      <c r="B40" s="136" t="s">
        <v>91</v>
      </c>
      <c r="C40" s="120"/>
      <c r="D40" s="121"/>
      <c r="E40" s="124">
        <v>8.9</v>
      </c>
      <c r="F40" s="125">
        <v>21346</v>
      </c>
      <c r="G40" s="123"/>
      <c r="H40" s="121"/>
      <c r="I40" s="121"/>
      <c r="J40" s="124">
        <v>9.6</v>
      </c>
      <c r="K40" s="151">
        <v>1</v>
      </c>
    </row>
    <row r="41" spans="1:11" s="1" customFormat="1" ht="81">
      <c r="A41" s="119"/>
      <c r="B41" s="136" t="s">
        <v>90</v>
      </c>
      <c r="C41" s="120"/>
      <c r="D41" s="121"/>
      <c r="E41" s="124"/>
      <c r="F41" s="125">
        <v>4475</v>
      </c>
      <c r="G41" s="123"/>
      <c r="H41" s="121"/>
      <c r="I41" s="121"/>
      <c r="J41" s="120"/>
    </row>
    <row r="42" spans="1:11" s="1" customFormat="1" ht="64.8">
      <c r="A42" s="119"/>
      <c r="B42" s="136" t="s">
        <v>91</v>
      </c>
      <c r="C42" s="120"/>
      <c r="D42" s="121"/>
      <c r="E42" s="124">
        <v>9.4</v>
      </c>
      <c r="F42" s="125">
        <v>27944</v>
      </c>
      <c r="G42" s="123"/>
      <c r="H42" s="121"/>
      <c r="I42" s="121"/>
      <c r="J42" s="124">
        <v>10</v>
      </c>
      <c r="K42" s="151">
        <v>1</v>
      </c>
    </row>
    <row r="43" spans="1:11" s="1" customFormat="1" ht="64.8">
      <c r="A43" s="119"/>
      <c r="B43" s="136" t="s">
        <v>91</v>
      </c>
      <c r="C43" s="120"/>
      <c r="D43" s="121"/>
      <c r="E43" s="124">
        <v>6.2</v>
      </c>
      <c r="F43" s="125">
        <v>13751</v>
      </c>
      <c r="G43" s="123"/>
      <c r="H43" s="121"/>
      <c r="I43" s="121"/>
      <c r="J43" s="124">
        <v>6.7</v>
      </c>
      <c r="K43" s="151">
        <v>1</v>
      </c>
    </row>
    <row r="44" spans="1:11" s="1" customFormat="1" ht="81">
      <c r="A44" s="119"/>
      <c r="B44" s="136" t="s">
        <v>90</v>
      </c>
      <c r="C44" s="120"/>
      <c r="D44" s="121"/>
      <c r="E44" s="124"/>
      <c r="F44" s="125">
        <v>3768</v>
      </c>
      <c r="G44" s="123"/>
      <c r="H44" s="121"/>
      <c r="I44" s="121"/>
      <c r="J44" s="120"/>
    </row>
    <row r="45" spans="1:11" s="1" customFormat="1">
      <c r="A45" s="119"/>
      <c r="B45" s="118"/>
      <c r="C45" s="120"/>
      <c r="D45" s="121"/>
      <c r="E45" s="121"/>
      <c r="F45" s="126"/>
      <c r="G45" s="123"/>
      <c r="H45" s="121"/>
      <c r="I45" s="121"/>
      <c r="J45" s="127"/>
    </row>
    <row r="46" spans="1:11" s="1" customFormat="1">
      <c r="A46" s="42"/>
      <c r="B46" s="42"/>
      <c r="C46" s="43"/>
      <c r="D46" s="44"/>
      <c r="E46" s="44">
        <f>E43+E42+E40+E35+E32+E29+E26</f>
        <v>53.600000000000009</v>
      </c>
      <c r="F46" s="152">
        <f>F43+F42+F40+F35+F32+F29+F26+F41+F44</f>
        <v>71584</v>
      </c>
      <c r="G46" s="45"/>
      <c r="H46" s="46"/>
      <c r="I46" s="44"/>
      <c r="J46" s="44">
        <f>J43+J42+J40+J35+J32+J29+J26</f>
        <v>57.400000000000006</v>
      </c>
      <c r="K46" s="152">
        <f>K43+K42+K40+K35+K32+K29+K26+K41+K44</f>
        <v>7</v>
      </c>
    </row>
    <row r="47" spans="1:11" s="1" customFormat="1">
      <c r="A47" s="9"/>
      <c r="B47" s="17"/>
      <c r="C47" s="14"/>
      <c r="D47" s="15"/>
      <c r="E47" s="15"/>
      <c r="F47" s="16"/>
      <c r="G47" s="16"/>
      <c r="H47" s="18"/>
      <c r="I47" s="15"/>
      <c r="J47" s="15"/>
      <c r="K47" s="16"/>
    </row>
    <row r="48" spans="1:11" s="1" customFormat="1">
      <c r="A48" s="9" t="s">
        <v>71</v>
      </c>
      <c r="B48" s="17"/>
      <c r="C48" s="47" t="s">
        <v>92</v>
      </c>
      <c r="D48" s="15"/>
      <c r="E48" s="15"/>
      <c r="F48" s="16"/>
      <c r="G48" s="101" t="s">
        <v>94</v>
      </c>
      <c r="H48" s="90"/>
      <c r="I48" s="100" t="s">
        <v>72</v>
      </c>
      <c r="J48" s="100"/>
      <c r="K48" s="16"/>
    </row>
    <row r="49" spans="1:11" s="1" customFormat="1">
      <c r="A49" s="9"/>
      <c r="B49" s="102" t="s">
        <v>93</v>
      </c>
      <c r="C49" s="85"/>
      <c r="D49" s="15"/>
      <c r="E49" s="15"/>
      <c r="F49" s="16"/>
      <c r="G49" s="101" t="s">
        <v>95</v>
      </c>
      <c r="H49" s="90"/>
      <c r="I49" s="100" t="s">
        <v>73</v>
      </c>
      <c r="J49" s="100"/>
      <c r="K49" s="16"/>
    </row>
    <row r="51" spans="1:11" s="1" customFormat="1">
      <c r="A51" s="99" t="s">
        <v>42</v>
      </c>
      <c r="B51" s="84"/>
      <c r="C51" s="14"/>
      <c r="D51" s="15"/>
      <c r="E51" s="15"/>
      <c r="F51" s="16"/>
      <c r="G51" s="16"/>
      <c r="H51" s="18"/>
      <c r="I51" s="15"/>
      <c r="J51" s="15"/>
      <c r="K51" s="16"/>
    </row>
    <row r="53" spans="1:11" s="1" customFormat="1">
      <c r="A53" s="99" t="s">
        <v>9</v>
      </c>
      <c r="B53" s="84"/>
      <c r="C53" s="85"/>
      <c r="D53" s="100"/>
      <c r="E53" s="100"/>
      <c r="F53" s="101"/>
      <c r="G53" s="101"/>
      <c r="H53" s="90"/>
      <c r="I53" s="100"/>
      <c r="J53" s="100"/>
      <c r="K53" s="16"/>
    </row>
    <row r="54" spans="1:11" s="1" customFormat="1">
      <c r="A54" s="99" t="s">
        <v>43</v>
      </c>
      <c r="B54" s="84"/>
      <c r="C54" s="85"/>
      <c r="D54" s="100"/>
      <c r="E54" s="100"/>
      <c r="F54" s="101"/>
      <c r="G54" s="101"/>
      <c r="H54" s="90"/>
      <c r="I54" s="100"/>
      <c r="J54" s="100"/>
      <c r="K54" s="16"/>
    </row>
    <row r="55" spans="1:11" s="1" customFormat="1">
      <c r="A55" s="99" t="s">
        <v>44</v>
      </c>
      <c r="B55" s="84"/>
      <c r="C55" s="85"/>
      <c r="D55" s="100"/>
      <c r="E55" s="100"/>
      <c r="F55" s="101"/>
      <c r="G55" s="101"/>
      <c r="H55" s="90"/>
      <c r="I55" s="100"/>
      <c r="J55" s="100"/>
      <c r="K55" s="16"/>
    </row>
    <row r="56" spans="1:11" s="1" customFormat="1">
      <c r="A56" s="99" t="s">
        <v>45</v>
      </c>
      <c r="B56" s="84"/>
      <c r="C56" s="85"/>
      <c r="D56" s="100"/>
      <c r="E56" s="100"/>
      <c r="F56" s="101"/>
      <c r="G56" s="101"/>
      <c r="H56" s="90"/>
      <c r="I56" s="100"/>
      <c r="J56" s="100"/>
      <c r="K56" s="16"/>
    </row>
    <row r="57" spans="1:11" s="1" customFormat="1">
      <c r="A57" s="99" t="s">
        <v>46</v>
      </c>
      <c r="B57" s="84"/>
      <c r="C57" s="85"/>
      <c r="D57" s="100"/>
      <c r="E57" s="100"/>
      <c r="F57" s="101"/>
      <c r="G57" s="101"/>
      <c r="H57" s="90"/>
      <c r="I57" s="100"/>
      <c r="J57" s="100"/>
      <c r="K57" s="16"/>
    </row>
    <row r="58" spans="1:11" s="1" customFormat="1">
      <c r="A58" s="99" t="s">
        <v>47</v>
      </c>
      <c r="B58" s="84"/>
      <c r="C58" s="85"/>
      <c r="D58" s="100"/>
      <c r="E58" s="100"/>
      <c r="F58" s="101"/>
      <c r="G58" s="101"/>
      <c r="H58" s="90"/>
      <c r="I58" s="100"/>
      <c r="J58" s="100"/>
      <c r="K58" s="16"/>
    </row>
    <row r="59" spans="1:11" s="1" customFormat="1">
      <c r="A59" s="99" t="s">
        <v>48</v>
      </c>
      <c r="B59" s="84"/>
      <c r="C59" s="85"/>
      <c r="D59" s="100"/>
      <c r="E59" s="100"/>
      <c r="F59" s="101"/>
      <c r="G59" s="101"/>
      <c r="H59" s="90"/>
      <c r="I59" s="100"/>
      <c r="J59" s="100"/>
      <c r="K59" s="16"/>
    </row>
    <row r="60" spans="1:11" s="1" customFormat="1">
      <c r="A60" s="99" t="s">
        <v>49</v>
      </c>
      <c r="B60" s="84"/>
      <c r="C60" s="85"/>
      <c r="D60" s="100"/>
      <c r="E60" s="100"/>
      <c r="F60" s="101"/>
      <c r="G60" s="101"/>
      <c r="H60" s="90"/>
      <c r="I60" s="100"/>
      <c r="J60" s="100"/>
      <c r="K60" s="16"/>
    </row>
    <row r="61" spans="1:11" s="1" customFormat="1">
      <c r="A61" s="9"/>
      <c r="B61" s="17"/>
      <c r="C61" s="14"/>
      <c r="D61" s="15"/>
      <c r="E61" s="15"/>
      <c r="F61" s="16"/>
      <c r="G61" s="16"/>
      <c r="H61" s="18"/>
      <c r="I61" s="15"/>
      <c r="J61" s="15"/>
      <c r="K61" s="16"/>
    </row>
    <row r="62" spans="1:11" s="1" customFormat="1">
      <c r="A62" s="9"/>
      <c r="B62" s="17"/>
      <c r="C62" s="14"/>
      <c r="D62" s="15"/>
      <c r="E62" s="15"/>
      <c r="F62" s="16"/>
      <c r="G62" s="16"/>
      <c r="H62" s="18"/>
      <c r="I62" s="15"/>
      <c r="J62" s="15"/>
      <c r="K62" s="16"/>
    </row>
    <row r="63" spans="1:11" s="1" customFormat="1">
      <c r="A63" s="9"/>
      <c r="B63" s="17"/>
      <c r="C63" s="14"/>
      <c r="D63" s="15"/>
      <c r="E63" s="15"/>
      <c r="F63" s="16"/>
      <c r="G63" s="16"/>
      <c r="H63" s="18"/>
      <c r="I63" s="15"/>
      <c r="J63" s="15"/>
      <c r="K63" s="16"/>
    </row>
    <row r="64" spans="1:11" s="1" customFormat="1">
      <c r="A64" s="9"/>
      <c r="B64" s="17"/>
      <c r="C64" s="14"/>
      <c r="D64" s="15"/>
      <c r="E64" s="15"/>
      <c r="F64" s="16"/>
      <c r="G64" s="16"/>
      <c r="H64" s="18"/>
      <c r="I64" s="15"/>
      <c r="J64" s="15"/>
      <c r="K64" s="16"/>
    </row>
    <row r="65" spans="1:11" s="1" customFormat="1">
      <c r="A65" s="9"/>
      <c r="B65" s="17"/>
      <c r="C65" s="14"/>
      <c r="D65" s="15"/>
      <c r="E65" s="15"/>
      <c r="F65" s="16"/>
      <c r="G65" s="16"/>
      <c r="H65" s="18"/>
      <c r="I65" s="15"/>
      <c r="J65" s="15"/>
      <c r="K65" s="16"/>
    </row>
    <row r="66" spans="1:11" s="1" customFormat="1">
      <c r="A66" s="9"/>
      <c r="B66" s="17"/>
      <c r="C66" s="14"/>
      <c r="D66" s="15"/>
      <c r="E66" s="15"/>
      <c r="F66" s="16"/>
      <c r="G66" s="16"/>
      <c r="H66" s="18"/>
      <c r="I66" s="15"/>
      <c r="J66" s="15"/>
      <c r="K66" s="16"/>
    </row>
    <row r="67" spans="1:11" s="1" customFormat="1">
      <c r="A67" s="9"/>
      <c r="B67" s="17"/>
      <c r="C67" s="14"/>
      <c r="D67" s="15"/>
      <c r="E67" s="15"/>
      <c r="F67" s="16"/>
      <c r="G67" s="16"/>
      <c r="H67" s="18"/>
      <c r="I67" s="15"/>
      <c r="J67" s="15"/>
      <c r="K67" s="16"/>
    </row>
    <row r="68" spans="1:11" s="1" customFormat="1">
      <c r="A68" s="9"/>
      <c r="B68" s="17"/>
      <c r="C68" s="14"/>
      <c r="D68" s="15"/>
      <c r="E68" s="15"/>
      <c r="F68" s="16"/>
      <c r="G68" s="16"/>
      <c r="H68" s="18"/>
      <c r="I68" s="15"/>
      <c r="J68" s="15"/>
      <c r="K68" s="16"/>
    </row>
    <row r="69" spans="1:11" s="1" customFormat="1">
      <c r="A69" s="9"/>
      <c r="B69" s="17"/>
      <c r="C69" s="14"/>
      <c r="D69" s="15"/>
      <c r="E69" s="15"/>
      <c r="F69" s="16"/>
      <c r="G69" s="16"/>
      <c r="H69" s="18"/>
      <c r="I69" s="15"/>
      <c r="J69" s="15"/>
      <c r="K69" s="16"/>
    </row>
    <row r="70" spans="1:11" s="1" customFormat="1">
      <c r="A70" s="9"/>
      <c r="B70" s="17"/>
      <c r="C70" s="14"/>
      <c r="D70" s="15"/>
      <c r="E70" s="15"/>
      <c r="F70" s="16"/>
      <c r="G70" s="16"/>
      <c r="H70" s="18"/>
      <c r="I70" s="15"/>
      <c r="J70" s="15"/>
      <c r="K70" s="16"/>
    </row>
  </sheetData>
  <mergeCells count="35">
    <mergeCell ref="F14:J14"/>
    <mergeCell ref="A16:B16"/>
    <mergeCell ref="A17:B17"/>
    <mergeCell ref="B13:D13"/>
    <mergeCell ref="E13:G13"/>
    <mergeCell ref="H13:I13"/>
    <mergeCell ref="A14:D14"/>
    <mergeCell ref="E11:K11"/>
    <mergeCell ref="A1:K1"/>
    <mergeCell ref="A3:K3"/>
    <mergeCell ref="A8:B8"/>
    <mergeCell ref="E8:K8"/>
    <mergeCell ref="A9:C9"/>
    <mergeCell ref="E9:K9"/>
    <mergeCell ref="A7:C7"/>
    <mergeCell ref="A10:C10"/>
    <mergeCell ref="E10:K10"/>
    <mergeCell ref="A11:C11"/>
    <mergeCell ref="I5:K5"/>
    <mergeCell ref="A2:K2"/>
    <mergeCell ref="B23:K23"/>
    <mergeCell ref="G48:H48"/>
    <mergeCell ref="I48:J48"/>
    <mergeCell ref="B49:C49"/>
    <mergeCell ref="G49:H49"/>
    <mergeCell ref="I49:J49"/>
    <mergeCell ref="A57:J57"/>
    <mergeCell ref="A58:J58"/>
    <mergeCell ref="A59:J59"/>
    <mergeCell ref="A60:J60"/>
    <mergeCell ref="A51:B51"/>
    <mergeCell ref="A53:J53"/>
    <mergeCell ref="A54:J54"/>
    <mergeCell ref="A55:J55"/>
    <mergeCell ref="A56:J56"/>
  </mergeCells>
  <phoneticPr fontId="1" type="noConversion"/>
  <printOptions horizontalCentered="1"/>
  <pageMargins left="0.19685039370078741" right="0" top="0" bottom="0.39370078740157483" header="0" footer="0"/>
  <pageSetup paperSize="9" scale="90" orientation="portrait" r:id="rId1"/>
  <headerFooter>
    <oddFooter>&amp;CPage: &amp;P/&amp;N&amp;RPrint Time:&amp;D&amp;T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AROCK</dc:creator>
  <cp:lastModifiedBy>colleen Tasi</cp:lastModifiedBy>
  <cp:lastPrinted>2026-04-28T03:45:48Z</cp:lastPrinted>
  <dcterms:created xsi:type="dcterms:W3CDTF">2017-03-17T05:23:17Z</dcterms:created>
  <dcterms:modified xsi:type="dcterms:W3CDTF">2026-05-05T08:11:52Z</dcterms:modified>
</cp:coreProperties>
</file>