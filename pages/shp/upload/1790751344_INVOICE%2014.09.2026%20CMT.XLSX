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9. SEPTEMBER\14.09.2026\"/>
    </mc:Choice>
  </mc:AlternateContent>
  <xr:revisionPtr revIDLastSave="0" documentId="13_ncr:1_{A1A1E6ED-5B22-47F4-9DED-45F26F2A4815}" xr6:coauthVersionLast="47" xr6:coauthVersionMax="47" xr10:uidLastSave="{00000000-0000-0000-0000-000000000000}"/>
  <bookViews>
    <workbookView xWindow="-120" yWindow="-120" windowWidth="20730" windowHeight="11160" tabRatio="804" activeTab="4" xr2:uid="{00000000-000D-0000-FFFF-FFFF00000000}"/>
  </bookViews>
  <sheets>
    <sheet name="Sheet1" sheetId="128" r:id="rId1"/>
    <sheet name="reff" sheetId="162" r:id="rId2"/>
    <sheet name="224" sheetId="138" r:id="rId3"/>
    <sheet name="225" sheetId="129" r:id="rId4"/>
    <sheet name="226" sheetId="133" r:id="rId5"/>
    <sheet name="227" sheetId="134" r:id="rId6"/>
    <sheet name="228" sheetId="135" r:id="rId7"/>
    <sheet name="229" sheetId="137" r:id="rId8"/>
    <sheet name="230" sheetId="172" r:id="rId9"/>
    <sheet name="231" sheetId="173" r:id="rId10"/>
  </sheets>
  <externalReferences>
    <externalReference r:id="rId11"/>
    <externalReference r:id="rId12"/>
    <externalReference r:id="rId13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>[2]xdata!#REF!</definedName>
    <definedName name="INVOICE">[2]xdata!$B$2</definedName>
    <definedName name="_xlnm.Print_Area" localSheetId="2">'224'!$B$1:$I$57</definedName>
    <definedName name="_xlnm.Print_Area" localSheetId="3">'225'!$B$1:$I$57</definedName>
    <definedName name="_xlnm.Print_Area" localSheetId="4">'226'!$B$1:$I$57</definedName>
    <definedName name="_xlnm.Print_Area" localSheetId="5">'227'!$B$1:$I$57</definedName>
    <definedName name="_xlnm.Print_Area" localSheetId="6">'228'!$B$1:$I$57</definedName>
    <definedName name="_xlnm.Print_Area" localSheetId="7">'229'!$B$1:$I$57</definedName>
    <definedName name="_xlnm.Print_Area" localSheetId="8">'230'!$B$1:$I$57</definedName>
    <definedName name="_xlnm.Print_Area" localSheetId="9">'231'!$B$1:$I$57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73" l="1"/>
  <c r="I32" i="173" s="1"/>
  <c r="F32" i="134"/>
  <c r="F32" i="133"/>
  <c r="F32" i="129"/>
  <c r="F32" i="138"/>
  <c r="F32" i="172" l="1"/>
  <c r="I32" i="134"/>
  <c r="I32" i="133"/>
  <c r="F32" i="135" l="1"/>
  <c r="I32" i="135" s="1"/>
  <c r="F34" i="135" l="1"/>
  <c r="I32" i="172" l="1"/>
  <c r="F32" i="137"/>
  <c r="I32" i="129"/>
  <c r="B21" i="138"/>
  <c r="I32" i="138"/>
  <c r="F34" i="129" l="1"/>
  <c r="F34" i="133" l="1"/>
  <c r="I34" i="133"/>
  <c r="F34" i="138" l="1"/>
  <c r="I34" i="138"/>
  <c r="H52" i="173"/>
  <c r="F34" i="173"/>
  <c r="B27" i="173"/>
  <c r="I23" i="173"/>
  <c r="H23" i="173"/>
  <c r="G23" i="173"/>
  <c r="F23" i="173"/>
  <c r="E23" i="173"/>
  <c r="E21" i="173"/>
  <c r="D21" i="173"/>
  <c r="C21" i="173"/>
  <c r="B21" i="173"/>
  <c r="B15" i="173"/>
  <c r="B16" i="173" s="1"/>
  <c r="B17" i="173" s="1"/>
  <c r="B18" i="173" s="1"/>
  <c r="G14" i="173"/>
  <c r="G15" i="173" s="1"/>
  <c r="G16" i="173" s="1"/>
  <c r="G17" i="173" s="1"/>
  <c r="H21" i="173" s="1"/>
  <c r="H52" i="172"/>
  <c r="F34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4" i="129" l="1"/>
  <c r="I34" i="173"/>
  <c r="I36" i="173" s="1"/>
  <c r="I38" i="173" s="1"/>
  <c r="I34" i="172"/>
  <c r="I36" i="172" s="1"/>
  <c r="I38" i="172" s="1"/>
  <c r="I34" i="135" l="1"/>
  <c r="B27" i="135"/>
  <c r="C3" i="129" l="1"/>
  <c r="C3" i="133" l="1"/>
  <c r="F34" i="137" l="1"/>
  <c r="I32" i="137" l="1"/>
  <c r="F34" i="134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2" i="129"/>
  <c r="H52" i="134"/>
  <c r="H52" i="135"/>
  <c r="H52" i="137"/>
  <c r="H52" i="138"/>
  <c r="H52" i="133"/>
  <c r="B27" i="138" l="1"/>
  <c r="I23" i="138"/>
  <c r="H23" i="138"/>
  <c r="G23" i="138"/>
  <c r="F23" i="138"/>
  <c r="E23" i="138"/>
  <c r="D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6" i="133" l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<sst xmlns="http://schemas.openxmlformats.org/spreadsheetml/2006/main" count="799" uniqueCount="199">
  <si>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</si>
  <si>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</si>
  <si>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</si>
  <si>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</si>
  <si>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</si>
  <si>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</si>
  <si>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</si>
  <si>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</si>
  <si>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</si>
  <si>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</si>
  <si>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</si>
  <si>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</si>
  <si>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</si>
  <si>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</si>
  <si>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</si>
  <si>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</si>
  <si>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</si>
  <si>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</si>
  <si>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</si>
  <si>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</si>
  <si>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</si>
  <si>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</si>
  <si>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</si>
  <si>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</si>
  <si>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</si>
  <si>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</si>
  <si>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</si>
  <si>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</si>
  <si>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</si>
  <si>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</si>
  <si>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</si>
  <si>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</si>
  <si>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</si>
  <si>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</si>
  <si>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</si>
  <si>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</si>
  <si>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</si>
  <si>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</si>
  <si>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</si>
  <si>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</si>
  <si>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</si>
  <si>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</si>
  <si>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</si>
  <si>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</si>
  <si>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</si>
  <si>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</si>
  <si>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</si>
  <si>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</si>
  <si>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</si>
  <si>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</si>
  <si>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</si>
  <si>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</si>
  <si>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</si>
  <si>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</si>
  <si>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</si>
  <si>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</si>
  <si>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</si>
  <si>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</si>
  <si>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</si>
  <si>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</si>
  <si>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</si>
  <si>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</si>
  <si>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</si>
  <si>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</si>
  <si>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</si>
  <si>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</si>
  <si>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</si>
  <si>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</si>
  <si>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</si>
  <si>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</si>
  <si>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</si>
  <si>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</si>
  <si>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</si>
  <si>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</si>
  <si>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</si>
  <si>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</si>
  <si>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</si>
  <si>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</si>
  <si>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</si>
  <si>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</si>
  <si>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</si>
  <si>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</si>
  <si>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</si>
  <si>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</si>
  <si>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</si>
  <si>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</si>
  <si>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</si>
  <si>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</si>
  <si>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</si>
  <si>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</si>
  <si>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</si>
  <si>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</si>
  <si>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</si>
  <si>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</si>
  <si>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</si>
  <si>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</si>
  <si>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</si>
  <si>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</si>
  <si>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</si>
  <si>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</si>
  <si>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</si>
  <si>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</si>
  <si>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</si>
  <si>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</si>
  <si>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</si>
  <si>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</si>
  <si>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</si>
  <si>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</si>
  <si>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</si>
  <si>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</si>
  <si>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</si>
  <si>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</si>
  <si>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</si>
  <si>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</si>
  <si>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</si>
  <si>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</si>
  <si>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</si>
  <si>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</si>
  <si>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</si>
  <si>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</si>
  <si>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</si>
  <si>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</si>
  <si>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</si>
  <si>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</si>
  <si>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</si>
  <si>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</si>
  <si>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</si>
  <si>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</si>
  <si>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</si>
  <si>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</si>
  <si>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</si>
  <si>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</si>
  <si>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</si>
  <si>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</si>
  <si>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</si>
  <si>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</si>
  <si>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</si>
  <si>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</si>
  <si>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</si>
  <si>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</si>
  <si>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</si>
  <si>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</si>
  <si>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</si>
  <si>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</si>
  <si>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</si>
  <si>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</si>
  <si>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</si>
  <si>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</si>
  <si>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</si>
  <si>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</si>
  <si>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</si>
  <si>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</si>
  <si>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</si>
  <si>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</si>
  <si>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</si>
  <si>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</si>
  <si>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</si>
  <si>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</si>
  <si>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</si>
  <si>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</si>
  <si>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</si>
  <si>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</si>
  <si>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</si>
  <si>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</si>
  <si>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</si>
  <si>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</si>
  <si>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</si>
  <si>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</si>
  <si>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</si>
  <si>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</si>
  <si>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</si>
  <si>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</si>
  <si>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</si>
  <si>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</si>
  <si>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</si>
  <si>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</si>
  <si>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</si>
  <si>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GIRLS COTTON FIBERS, KNIT PULLOVER, WITH NO NECK CLOSURE, STITCH COUNT IS GREATER THAN 9/2CM, REACHES WAIST [100% COTTON]</t>
  </si>
  <si>
    <t>00</t>
  </si>
  <si>
    <t>CALLA LILY 451</t>
  </si>
  <si>
    <t>01</t>
  </si>
  <si>
    <t>265K0089</t>
  </si>
  <si>
    <t>265K0088</t>
  </si>
  <si>
    <t>Retail</t>
  </si>
  <si>
    <t>Online</t>
  </si>
  <si>
    <t>GIRLS COTTON FIBERS, KNIT PULLOVER, WITH NO NECK CLOSURE, STITCH COUNT IS GREATER THAN 9/2CM, REACHES WAIST [60% COTTON 40% RECYCLED POLYESTER]</t>
  </si>
  <si>
    <t>BLACK LEOPARD</t>
  </si>
  <si>
    <t>255K0079</t>
  </si>
  <si>
    <t>265K0006</t>
  </si>
  <si>
    <t>265K0103</t>
  </si>
  <si>
    <t>GIRLS COTTON FIBERS, KNIT PULLOVER, WITH NO NECK CLOSURE, STITCH COUNT IS GREATER THAN 9/2CM, REACHES WAIST [60% COTTON 40% POLYESTER]</t>
  </si>
  <si>
    <t>BLACKJACK JAS</t>
  </si>
  <si>
    <t>02</t>
  </si>
  <si>
    <t>BLACK COFFEE,
BLACK JACK 3,
IN THE NAVY,
CALLA LILY 2</t>
  </si>
  <si>
    <t>13, 15, 16, 20</t>
  </si>
  <si>
    <t>Womens Cotton Fibers, Knit Pullover, With No Neck Closure, Stitch Count Is Greater Than 9/2cm, Reaches Waist, Sleeveless [96% Cotton 4% Spandex]</t>
  </si>
  <si>
    <t>15, 20</t>
  </si>
  <si>
    <t>BLACK JACK 3,
CALLA LILY 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</si>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</sst>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9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L51"/>
  <sheetViews>
    <sheetView workbookViewId="0">
      <selection activeCell="F34" sqref="F34:G3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K29"/>
  <sheetViews>
    <sheetView workbookViewId="0">
      <selection activeCell="I9" sqref="I9"/>
    </sheetView>
  </sheetViews>
  <sheetFormatPr defaultRowHeight="12.75" x14ac:dyDescent="0.2"/>
  <sheetData>
    <row r="2" spans="2:9" ht="15" x14ac:dyDescent="0.25">
      <c r="B2" s="57">
        <v>1</v>
      </c>
      <c r="C2" t="s">
        <v>187</v>
      </c>
      <c r="E2" s="57">
        <v>1</v>
      </c>
      <c r="F2">
        <v>881293</v>
      </c>
      <c r="H2" s="57">
        <v>1</v>
      </c>
      <c r="I2" s="65" t="s">
        <v>183</v>
      </c>
    </row>
    <row r="3" spans="2:9" ht="15" x14ac:dyDescent="0.25">
      <c r="B3" s="57">
        <v>2</v>
      </c>
      <c r="C3" t="s">
        <v>188</v>
      </c>
      <c r="E3" s="57">
        <v>2</v>
      </c>
      <c r="F3">
        <v>878746</v>
      </c>
      <c r="H3" s="57">
        <v>2</v>
      </c>
      <c r="I3" s="65" t="s">
        <v>183</v>
      </c>
    </row>
    <row r="4" spans="2:9" ht="15" x14ac:dyDescent="0.25">
      <c r="B4" s="57">
        <v>3</v>
      </c>
      <c r="C4" t="s">
        <v>182</v>
      </c>
      <c r="E4" s="57">
        <v>3</v>
      </c>
      <c r="F4">
        <v>867788</v>
      </c>
      <c r="H4" s="57">
        <v>3</v>
      </c>
      <c r="I4" s="65" t="s">
        <v>184</v>
      </c>
    </row>
    <row r="5" spans="2:9" ht="15" x14ac:dyDescent="0.25">
      <c r="B5" s="57">
        <v>4</v>
      </c>
      <c r="C5" t="s">
        <v>181</v>
      </c>
      <c r="E5" s="57">
        <v>4</v>
      </c>
      <c r="F5">
        <v>905994</v>
      </c>
      <c r="H5" s="57">
        <v>4</v>
      </c>
      <c r="I5" s="65" t="s">
        <v>184</v>
      </c>
    </row>
    <row r="6" spans="2:9" ht="15" x14ac:dyDescent="0.25">
      <c r="B6" s="57">
        <v>5</v>
      </c>
      <c r="C6" t="s">
        <v>181</v>
      </c>
      <c r="E6" s="57">
        <v>5</v>
      </c>
      <c r="F6">
        <v>905994</v>
      </c>
      <c r="H6" s="57">
        <v>5</v>
      </c>
      <c r="I6" s="65" t="s">
        <v>184</v>
      </c>
    </row>
    <row r="7" spans="2:9" ht="15" x14ac:dyDescent="0.25">
      <c r="B7" s="57">
        <v>6</v>
      </c>
      <c r="C7" t="s">
        <v>182</v>
      </c>
      <c r="E7" s="57">
        <v>6</v>
      </c>
      <c r="F7">
        <v>867788</v>
      </c>
      <c r="H7" s="57">
        <v>6</v>
      </c>
      <c r="I7" s="65" t="s">
        <v>184</v>
      </c>
    </row>
    <row r="8" spans="2:9" ht="15" x14ac:dyDescent="0.25">
      <c r="B8" s="57">
        <v>7</v>
      </c>
      <c r="C8" t="s">
        <v>189</v>
      </c>
      <c r="E8" s="57">
        <v>7</v>
      </c>
      <c r="F8">
        <v>692926</v>
      </c>
      <c r="H8" s="57">
        <v>7</v>
      </c>
      <c r="I8" s="65" t="s">
        <v>183</v>
      </c>
    </row>
    <row r="9" spans="2:9" ht="15" x14ac:dyDescent="0.25">
      <c r="B9" s="57">
        <v>8</v>
      </c>
      <c r="C9" t="s">
        <v>189</v>
      </c>
      <c r="E9" s="57">
        <v>8</v>
      </c>
      <c r="F9">
        <v>692926</v>
      </c>
      <c r="H9" s="57">
        <v>8</v>
      </c>
      <c r="I9" s="65" t="s">
        <v>184</v>
      </c>
    </row>
    <row r="10" spans="2:9" ht="15" x14ac:dyDescent="0.25">
      <c r="B10" s="57">
        <v>9</v>
      </c>
      <c r="E10" s="57">
        <v>9</v>
      </c>
      <c r="H10" s="57">
        <v>9</v>
      </c>
      <c r="I10" s="65"/>
    </row>
    <row r="11" spans="2:9" ht="15" x14ac:dyDescent="0.25">
      <c r="B11" s="57">
        <v>10</v>
      </c>
      <c r="E11" s="57">
        <v>10</v>
      </c>
      <c r="H11" s="57">
        <v>10</v>
      </c>
      <c r="I11" s="65"/>
    </row>
    <row r="12" spans="2:9" ht="15" x14ac:dyDescent="0.25">
      <c r="B12" s="57">
        <v>11</v>
      </c>
      <c r="E12" s="57">
        <v>11</v>
      </c>
      <c r="H12" s="57">
        <v>11</v>
      </c>
      <c r="I12" s="65"/>
    </row>
    <row r="13" spans="2:9" ht="15" x14ac:dyDescent="0.25">
      <c r="B13" s="57">
        <v>12</v>
      </c>
      <c r="E13" s="57">
        <v>12</v>
      </c>
      <c r="H13" s="57">
        <v>12</v>
      </c>
      <c r="I13" s="65"/>
    </row>
    <row r="14" spans="2:9" ht="15" x14ac:dyDescent="0.25">
      <c r="B14" s="57">
        <v>13</v>
      </c>
      <c r="E14" s="57">
        <v>13</v>
      </c>
      <c r="H14" s="57">
        <v>13</v>
      </c>
      <c r="I14" s="65"/>
    </row>
    <row r="15" spans="2:9" ht="15" x14ac:dyDescent="0.25">
      <c r="B15" s="57">
        <v>14</v>
      </c>
      <c r="E15" s="57">
        <v>14</v>
      </c>
      <c r="H15" s="57">
        <v>14</v>
      </c>
      <c r="I15" s="65"/>
    </row>
    <row r="16" spans="2:9" ht="15" x14ac:dyDescent="0.25">
      <c r="B16" s="57">
        <v>15</v>
      </c>
      <c r="E16" s="57">
        <v>15</v>
      </c>
      <c r="H16" s="57">
        <v>15</v>
      </c>
      <c r="I16" s="65"/>
    </row>
    <row r="17" spans="2:11" ht="15" x14ac:dyDescent="0.25">
      <c r="B17" s="57">
        <v>16</v>
      </c>
      <c r="E17" s="57">
        <v>16</v>
      </c>
      <c r="H17" s="57">
        <v>16</v>
      </c>
      <c r="I17" s="65"/>
    </row>
    <row r="18" spans="2:11" ht="15" x14ac:dyDescent="0.25">
      <c r="B18" s="57">
        <v>17</v>
      </c>
      <c r="E18" s="57">
        <v>17</v>
      </c>
      <c r="H18" s="57">
        <v>17</v>
      </c>
      <c r="I18" s="65"/>
    </row>
    <row r="19" spans="2:11" ht="15" x14ac:dyDescent="0.25">
      <c r="B19" s="57">
        <v>18</v>
      </c>
      <c r="E19" s="57">
        <v>18</v>
      </c>
      <c r="H19" s="57">
        <v>18</v>
      </c>
      <c r="I19" s="65"/>
    </row>
    <row r="20" spans="2:11" ht="15" x14ac:dyDescent="0.25">
      <c r="B20" s="57">
        <v>19</v>
      </c>
      <c r="E20" s="57">
        <v>19</v>
      </c>
      <c r="H20" s="57">
        <v>19</v>
      </c>
      <c r="I20" s="65"/>
    </row>
    <row r="21" spans="2:11" ht="15" x14ac:dyDescent="0.25">
      <c r="B21" s="57">
        <v>20</v>
      </c>
      <c r="E21" s="57">
        <v>20</v>
      </c>
      <c r="H21" s="57">
        <v>20</v>
      </c>
      <c r="I21" s="65"/>
    </row>
    <row r="22" spans="2:11" ht="15" x14ac:dyDescent="0.25">
      <c r="B22" s="57">
        <v>21</v>
      </c>
      <c r="E22" s="57">
        <v>21</v>
      </c>
      <c r="H22" s="57">
        <v>21</v>
      </c>
      <c r="I22" s="65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198</v>
      </c>
      <c r="C2" s="81"/>
      <c r="D2" s="81"/>
      <c r="E2" s="81"/>
      <c r="F2" s="81"/>
      <c r="G2" s="81"/>
      <c r="H2" s="81"/>
      <c r="I2" s="82"/>
      <c r="J2" s="62">
        <v>62388691</v>
      </c>
      <c r="K2" s="63">
        <v>4390</v>
      </c>
      <c r="L2" s="64">
        <v>27</v>
      </c>
      <c r="M2" s="64">
        <v>346.28</v>
      </c>
      <c r="N2" s="64">
        <v>355.06</v>
      </c>
      <c r="O2" s="64">
        <v>382.06</v>
      </c>
      <c r="P2" s="64" t="s">
        <v>54</v>
      </c>
      <c r="Q2" s="64">
        <v>1.8120000000000001</v>
      </c>
      <c r="R2" s="64" t="s">
        <v>62</v>
      </c>
    </row>
    <row r="3" spans="2:22" x14ac:dyDescent="0.2">
      <c r="B3" s="6" t="s">
        <v>53</v>
      </c>
      <c r="C3" s="68">
        <v>224</v>
      </c>
      <c r="D3" s="5"/>
      <c r="E3" s="5"/>
      <c r="F3" s="5"/>
      <c r="G3" s="5" t="s">
        <v>52</v>
      </c>
      <c r="H3" s="31">
        <v>46287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62388691</v>
      </c>
      <c r="C21" s="56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382.06</v>
      </c>
      <c r="G23" s="23">
        <f>+N2</f>
        <v>355.06</v>
      </c>
      <c r="H23" s="23">
        <f>+M2</f>
        <v>346.28</v>
      </c>
      <c r="I23" s="55">
        <f>+L2</f>
        <v>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6" t="s">
        <v>19</v>
      </c>
      <c r="E31" s="86"/>
      <c r="F31" s="86" t="s">
        <v>18</v>
      </c>
      <c r="G31" s="86"/>
      <c r="H31" s="55" t="s">
        <v>17</v>
      </c>
      <c r="I31" s="19" t="s">
        <v>16</v>
      </c>
      <c r="M31"/>
    </row>
    <row r="32" spans="2:13" ht="24.75" customHeight="1" x14ac:dyDescent="0.2">
      <c r="B32" s="41" t="s">
        <v>178</v>
      </c>
      <c r="C32" s="19" t="s">
        <v>179</v>
      </c>
      <c r="D32" s="73"/>
      <c r="E32" s="74"/>
      <c r="F32" s="73">
        <f>+K2</f>
        <v>4390</v>
      </c>
      <c r="G32" s="74"/>
      <c r="H32" s="17">
        <v>0.57999999999999996</v>
      </c>
      <c r="I32" s="18">
        <f>+H32*F32</f>
        <v>2546.1999999999998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0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4390</v>
      </c>
      <c r="G34" s="74"/>
      <c r="H34" s="15"/>
      <c r="I34" s="14">
        <f>SUM(I32:I33)</f>
        <v>2546.1999999999998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2546.1999999999998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2546.1999999999998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V58"/>
  <sheetViews>
    <sheetView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198</v>
      </c>
      <c r="C2" s="81"/>
      <c r="D2" s="81"/>
      <c r="E2" s="81"/>
      <c r="F2" s="81"/>
      <c r="G2" s="81"/>
      <c r="H2" s="81"/>
      <c r="I2" s="82"/>
      <c r="J2" s="62">
        <v>62388676</v>
      </c>
      <c r="K2" s="63">
        <v>2110</v>
      </c>
      <c r="L2" s="64">
        <v>13</v>
      </c>
      <c r="M2" s="64">
        <v>163.97</v>
      </c>
      <c r="N2" s="64">
        <v>168.19</v>
      </c>
      <c r="O2" s="64">
        <v>181.19</v>
      </c>
      <c r="P2" s="64" t="s">
        <v>54</v>
      </c>
      <c r="Q2" s="64">
        <v>0.872</v>
      </c>
      <c r="R2" s="64" t="s">
        <v>62</v>
      </c>
    </row>
    <row r="3" spans="2:22" x14ac:dyDescent="0.2">
      <c r="B3" s="6" t="s">
        <v>53</v>
      </c>
      <c r="C3" s="68">
        <f>+'224'!C3+1</f>
        <v>225</v>
      </c>
      <c r="D3" s="5"/>
      <c r="E3" s="5"/>
      <c r="F3" s="5"/>
      <c r="G3" s="5" t="s">
        <v>52</v>
      </c>
      <c r="H3" s="31">
        <v>46287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62388676</v>
      </c>
      <c r="C21" s="49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181.19</v>
      </c>
      <c r="G23" s="23">
        <f>+N2</f>
        <v>168.19</v>
      </c>
      <c r="H23" s="23">
        <f>+M2</f>
        <v>163.97</v>
      </c>
      <c r="I23" s="48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6" t="s">
        <v>19</v>
      </c>
      <c r="E31" s="86"/>
      <c r="F31" s="86" t="s">
        <v>18</v>
      </c>
      <c r="G31" s="86"/>
      <c r="H31" s="48" t="s">
        <v>17</v>
      </c>
      <c r="I31" s="19" t="s">
        <v>16</v>
      </c>
      <c r="M31"/>
    </row>
    <row r="32" spans="2:13" ht="24.95" customHeight="1" x14ac:dyDescent="0.2">
      <c r="B32" s="41" t="s">
        <v>192</v>
      </c>
      <c r="C32" s="19" t="s">
        <v>191</v>
      </c>
      <c r="D32" s="73"/>
      <c r="E32" s="74"/>
      <c r="F32" s="73">
        <f>+K2</f>
        <v>2110</v>
      </c>
      <c r="G32" s="74"/>
      <c r="H32" s="17">
        <v>0.57999999999999996</v>
      </c>
      <c r="I32" s="18">
        <f>+H32*F32</f>
        <v>1223.8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48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2110</v>
      </c>
      <c r="G34" s="74"/>
      <c r="H34" s="15"/>
      <c r="I34" s="14">
        <f>SUM(I32:I33)</f>
        <v>1223.8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1223.8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1223.8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V58"/>
  <sheetViews>
    <sheetView tabSelected="1"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198</v>
      </c>
      <c r="C2" s="81"/>
      <c r="D2" s="81"/>
      <c r="E2" s="81"/>
      <c r="F2" s="81"/>
      <c r="G2" s="81"/>
      <c r="H2" s="81"/>
      <c r="I2" s="82"/>
      <c r="J2" s="62">
        <v>61996940</v>
      </c>
      <c r="K2" s="64">
        <v>402</v>
      </c>
      <c r="L2" s="64">
        <v>5</v>
      </c>
      <c r="M2" s="64">
        <v>27.196000000000002</v>
      </c>
      <c r="N2" s="64">
        <v>28</v>
      </c>
      <c r="O2" s="64">
        <v>31.9</v>
      </c>
      <c r="P2" s="64" t="s">
        <v>54</v>
      </c>
      <c r="Q2" s="64">
        <v>0.16800000000000001</v>
      </c>
      <c r="R2" s="64" t="s">
        <v>62</v>
      </c>
    </row>
    <row r="3" spans="2:22" x14ac:dyDescent="0.2">
      <c r="B3" s="6" t="s">
        <v>53</v>
      </c>
      <c r="C3" s="68">
        <f>+'225'!C3+1</f>
        <v>226</v>
      </c>
      <c r="D3" s="5"/>
      <c r="E3" s="5"/>
      <c r="F3" s="5"/>
      <c r="G3" s="5" t="s">
        <v>52</v>
      </c>
      <c r="H3" s="31">
        <v>46287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61996940</v>
      </c>
      <c r="C21" s="49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31.9</v>
      </c>
      <c r="G23" s="23">
        <f>+N2</f>
        <v>28</v>
      </c>
      <c r="H23" s="23">
        <f>+M2</f>
        <v>27.196000000000002</v>
      </c>
      <c r="I23" s="48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[60% COTTON 40% RECYCLED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6" t="s">
        <v>19</v>
      </c>
      <c r="E31" s="86"/>
      <c r="F31" s="86" t="s">
        <v>18</v>
      </c>
      <c r="G31" s="86"/>
      <c r="H31" s="48" t="s">
        <v>17</v>
      </c>
      <c r="I31" s="19" t="s">
        <v>16</v>
      </c>
      <c r="M31"/>
    </row>
    <row r="32" spans="2:13" ht="24" customHeight="1" x14ac:dyDescent="0.2">
      <c r="B32" s="41" t="s">
        <v>178</v>
      </c>
      <c r="C32" s="19" t="s">
        <v>179</v>
      </c>
      <c r="D32" s="73"/>
      <c r="E32" s="74"/>
      <c r="F32" s="73">
        <f>+K2</f>
        <v>402</v>
      </c>
      <c r="G32" s="74"/>
      <c r="H32" s="17">
        <v>0.71</v>
      </c>
      <c r="I32" s="18">
        <f>+H32*F32</f>
        <v>285.41999999999996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48"/>
    </row>
    <row r="34" spans="2:11" ht="21.75" customHeight="1" x14ac:dyDescent="0.2">
      <c r="B34" s="15" t="s">
        <v>14</v>
      </c>
      <c r="C34" s="15"/>
      <c r="D34" s="71"/>
      <c r="E34" s="72"/>
      <c r="F34" s="73">
        <f>SUM(F31:G33)</f>
        <v>402</v>
      </c>
      <c r="G34" s="74"/>
      <c r="H34" s="15"/>
      <c r="I34" s="14">
        <f>SUM(I32:I33)</f>
        <v>285.41999999999996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285.41999999999996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285.41999999999996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198</v>
      </c>
      <c r="C2" s="81"/>
      <c r="D2" s="81"/>
      <c r="E2" s="81"/>
      <c r="F2" s="81"/>
      <c r="G2" s="81"/>
      <c r="H2" s="81"/>
      <c r="I2" s="82"/>
      <c r="J2" s="62">
        <v>61996917</v>
      </c>
      <c r="K2" s="64">
        <v>438</v>
      </c>
      <c r="L2" s="64">
        <v>5</v>
      </c>
      <c r="M2" s="64">
        <v>32.503999999999998</v>
      </c>
      <c r="N2" s="64">
        <v>33.380000000000003</v>
      </c>
      <c r="O2" s="64">
        <v>37.479999999999997</v>
      </c>
      <c r="P2" s="64" t="s">
        <v>54</v>
      </c>
      <c r="Q2" s="64">
        <v>0.19</v>
      </c>
      <c r="R2" s="64" t="s">
        <v>62</v>
      </c>
    </row>
    <row r="3" spans="2:22" x14ac:dyDescent="0.2">
      <c r="B3" s="6" t="s">
        <v>53</v>
      </c>
      <c r="C3" s="68">
        <f>+'226'!C3+1</f>
        <v>227</v>
      </c>
      <c r="D3" s="5"/>
      <c r="E3" s="5"/>
      <c r="F3" s="5"/>
      <c r="G3" s="5" t="s">
        <v>52</v>
      </c>
      <c r="H3" s="31">
        <v>46287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61996917</v>
      </c>
      <c r="C21" s="53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37.479999999999997</v>
      </c>
      <c r="G23" s="23">
        <f>+N2</f>
        <v>33.380000000000003</v>
      </c>
      <c r="H23" s="23">
        <f>+M2</f>
        <v>32.503999999999998</v>
      </c>
      <c r="I23" s="54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[100% COTTON]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6" t="s">
        <v>19</v>
      </c>
      <c r="E31" s="86"/>
      <c r="F31" s="86" t="s">
        <v>18</v>
      </c>
      <c r="G31" s="86"/>
      <c r="H31" s="54" t="s">
        <v>17</v>
      </c>
      <c r="I31" s="19" t="s">
        <v>16</v>
      </c>
      <c r="M31"/>
    </row>
    <row r="32" spans="2:13" ht="24.75" customHeight="1" x14ac:dyDescent="0.2">
      <c r="B32" s="41" t="s">
        <v>180</v>
      </c>
      <c r="C32" s="19" t="s">
        <v>186</v>
      </c>
      <c r="D32" s="73"/>
      <c r="E32" s="74"/>
      <c r="F32" s="73">
        <f>+K2</f>
        <v>438</v>
      </c>
      <c r="G32" s="74"/>
      <c r="H32" s="17">
        <v>0.81</v>
      </c>
      <c r="I32" s="18">
        <f>+H32*F32</f>
        <v>354.78000000000003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54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438</v>
      </c>
      <c r="G34" s="74"/>
      <c r="H34" s="15"/>
      <c r="I34" s="14">
        <f>SUM(I32:I33)</f>
        <v>354.78000000000003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354.78000000000003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354.78000000000003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B1:V58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198</v>
      </c>
      <c r="C2" s="81"/>
      <c r="D2" s="81"/>
      <c r="E2" s="81"/>
      <c r="F2" s="81"/>
      <c r="G2" s="81"/>
      <c r="H2" s="81"/>
      <c r="I2" s="82"/>
      <c r="J2" s="62">
        <v>61996926</v>
      </c>
      <c r="K2" s="64">
        <v>219</v>
      </c>
      <c r="L2" s="64">
        <v>2</v>
      </c>
      <c r="M2" s="64">
        <v>16.262</v>
      </c>
      <c r="N2" s="64">
        <v>16.7</v>
      </c>
      <c r="O2" s="64">
        <v>18.399999999999999</v>
      </c>
      <c r="P2" s="64" t="s">
        <v>54</v>
      </c>
      <c r="Q2" s="64">
        <v>8.8999999999999996E-2</v>
      </c>
      <c r="R2" s="64" t="s">
        <v>62</v>
      </c>
    </row>
    <row r="3" spans="2:22" x14ac:dyDescent="0.2">
      <c r="B3" s="6" t="s">
        <v>53</v>
      </c>
      <c r="C3" s="68">
        <f>+'227'!C3+1</f>
        <v>228</v>
      </c>
      <c r="D3" s="5"/>
      <c r="E3" s="5"/>
      <c r="F3" s="5"/>
      <c r="G3" s="5" t="s">
        <v>52</v>
      </c>
      <c r="H3" s="31">
        <v>46287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61996926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18.399999999999999</v>
      </c>
      <c r="G23" s="23">
        <f>+N2</f>
        <v>16.7</v>
      </c>
      <c r="H23" s="23">
        <f>+M2</f>
        <v>16.262</v>
      </c>
      <c r="I23" s="55">
        <f>+L2</f>
        <v>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[100% COTTON]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6" t="s">
        <v>19</v>
      </c>
      <c r="E31" s="86"/>
      <c r="F31" s="86" t="s">
        <v>18</v>
      </c>
      <c r="G31" s="86"/>
      <c r="H31" s="55" t="s">
        <v>17</v>
      </c>
      <c r="I31" s="19" t="s">
        <v>16</v>
      </c>
      <c r="M31"/>
    </row>
    <row r="32" spans="2:13" ht="24.75" customHeight="1" x14ac:dyDescent="0.2">
      <c r="B32" s="41" t="s">
        <v>180</v>
      </c>
      <c r="C32" s="19" t="s">
        <v>186</v>
      </c>
      <c r="D32" s="73"/>
      <c r="E32" s="74"/>
      <c r="F32" s="73">
        <f>+K2</f>
        <v>219</v>
      </c>
      <c r="G32" s="74"/>
      <c r="H32" s="17">
        <v>0.81</v>
      </c>
      <c r="I32" s="18">
        <f>+H32*F32</f>
        <v>177.39000000000001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59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219</v>
      </c>
      <c r="G34" s="74"/>
      <c r="H34" s="15"/>
      <c r="I34" s="14">
        <f>SUM(I32:I32)</f>
        <v>177.39000000000001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177.39000000000001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177.39000000000001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D32:E32"/>
    <mergeCell ref="F32:G32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198</v>
      </c>
      <c r="C2" s="81"/>
      <c r="D2" s="81"/>
      <c r="E2" s="81"/>
      <c r="F2" s="81"/>
      <c r="G2" s="81"/>
      <c r="H2" s="81"/>
      <c r="I2" s="82"/>
      <c r="J2" s="62">
        <v>61996942</v>
      </c>
      <c r="K2" s="64">
        <v>201</v>
      </c>
      <c r="L2" s="64">
        <v>3</v>
      </c>
      <c r="M2" s="64">
        <v>13.613</v>
      </c>
      <c r="N2" s="64">
        <v>14.015000000000001</v>
      </c>
      <c r="O2" s="64">
        <v>16.315000000000001</v>
      </c>
      <c r="P2" s="64" t="s">
        <v>54</v>
      </c>
      <c r="Q2" s="64">
        <v>8.8999999999999996E-2</v>
      </c>
      <c r="R2" s="64" t="s">
        <v>62</v>
      </c>
    </row>
    <row r="3" spans="2:22" x14ac:dyDescent="0.2">
      <c r="B3" s="6" t="s">
        <v>53</v>
      </c>
      <c r="C3" s="68">
        <f>+'228'!C3+1</f>
        <v>229</v>
      </c>
      <c r="D3" s="5"/>
      <c r="E3" s="5"/>
      <c r="F3" s="5"/>
      <c r="G3" s="5" t="s">
        <v>52</v>
      </c>
      <c r="H3" s="31">
        <v>46287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61996942</v>
      </c>
      <c r="C21" s="56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16.315000000000001</v>
      </c>
      <c r="G23" s="23">
        <f>+N2</f>
        <v>14.015000000000001</v>
      </c>
      <c r="H23" s="23">
        <f>+M2</f>
        <v>13.613</v>
      </c>
      <c r="I23" s="55">
        <f>+L2</f>
        <v>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[60% COTTON 40% RECYCLED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6" t="s">
        <v>19</v>
      </c>
      <c r="E31" s="86"/>
      <c r="F31" s="86" t="s">
        <v>18</v>
      </c>
      <c r="G31" s="86"/>
      <c r="H31" s="55" t="s">
        <v>17</v>
      </c>
      <c r="I31" s="19" t="s">
        <v>16</v>
      </c>
      <c r="M31"/>
    </row>
    <row r="32" spans="2:13" ht="27" customHeight="1" x14ac:dyDescent="0.2">
      <c r="B32" s="61" t="s">
        <v>180</v>
      </c>
      <c r="C32" s="19" t="s">
        <v>186</v>
      </c>
      <c r="D32" s="73"/>
      <c r="E32" s="74"/>
      <c r="F32" s="73">
        <f>+K2</f>
        <v>201</v>
      </c>
      <c r="G32" s="74"/>
      <c r="H32" s="17">
        <v>0.71</v>
      </c>
      <c r="I32" s="18">
        <f>+H32*F32</f>
        <v>142.70999999999998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55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201</v>
      </c>
      <c r="G34" s="74"/>
      <c r="H34" s="15"/>
      <c r="I34" s="14">
        <f>SUM(I32:I33)</f>
        <v>142.70999999999998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142.70999999999998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142.70999999999998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198</v>
      </c>
      <c r="C2" s="81"/>
      <c r="D2" s="81"/>
      <c r="E2" s="81"/>
      <c r="F2" s="81"/>
      <c r="G2" s="81"/>
      <c r="H2" s="81"/>
      <c r="I2" s="82"/>
      <c r="J2" s="62">
        <v>62190647</v>
      </c>
      <c r="K2" s="63">
        <v>4715</v>
      </c>
      <c r="L2" s="64">
        <v>112</v>
      </c>
      <c r="M2" s="64">
        <v>479.82499999999999</v>
      </c>
      <c r="N2" s="64">
        <v>644.85</v>
      </c>
      <c r="O2" s="64">
        <v>747.85</v>
      </c>
      <c r="P2" s="64" t="s">
        <v>54</v>
      </c>
      <c r="Q2" s="64">
        <v>6.0049999999999999</v>
      </c>
      <c r="R2" s="64" t="s">
        <v>62</v>
      </c>
    </row>
    <row r="3" spans="2:22" x14ac:dyDescent="0.2">
      <c r="B3" s="6" t="s">
        <v>53</v>
      </c>
      <c r="C3" s="68">
        <f>+'229'!C3+1</f>
        <v>230</v>
      </c>
      <c r="D3" s="5"/>
      <c r="E3" s="5"/>
      <c r="F3" s="5"/>
      <c r="G3" s="5" t="s">
        <v>52</v>
      </c>
      <c r="H3" s="31">
        <v>46287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62190647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6" t="s">
        <v>35</v>
      </c>
      <c r="G21" s="66"/>
      <c r="H21" s="47" t="str">
        <f>IF(LEFT(G17,2)="CA","CA",IF(LEFT(G17,2)="UN","US",IF(LEFT(G17,2)="PA","PA",IF(LEFT(G17,2)="JA","JP"))))</f>
        <v>CA</v>
      </c>
      <c r="I21" s="66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747.85</v>
      </c>
      <c r="G23" s="23">
        <f>+N2</f>
        <v>644.85</v>
      </c>
      <c r="H23" s="23">
        <f>+M2</f>
        <v>479.82499999999999</v>
      </c>
      <c r="I23" s="66">
        <f>+L2</f>
        <v>112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Womens Cotton Fibers, Knit Pullover, With No Neck Closure, Stitch Count Is Greater Than 9/2cm, Reaches Waist, Sleeveless [96% Cotton 4% Spandex]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6" t="s">
        <v>19</v>
      </c>
      <c r="E31" s="86"/>
      <c r="F31" s="86" t="s">
        <v>18</v>
      </c>
      <c r="G31" s="86"/>
      <c r="H31" s="66" t="s">
        <v>17</v>
      </c>
      <c r="I31" s="19" t="s">
        <v>16</v>
      </c>
      <c r="M31"/>
    </row>
    <row r="32" spans="2:13" ht="59.25" customHeight="1" x14ac:dyDescent="0.2">
      <c r="B32" s="41" t="s">
        <v>194</v>
      </c>
      <c r="C32" s="19" t="s">
        <v>193</v>
      </c>
      <c r="D32" s="73"/>
      <c r="E32" s="74"/>
      <c r="F32" s="73">
        <f>+K2</f>
        <v>4715</v>
      </c>
      <c r="G32" s="74"/>
      <c r="H32" s="17">
        <v>0.76</v>
      </c>
      <c r="I32" s="18">
        <f>+H32*F32</f>
        <v>3583.4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6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4715</v>
      </c>
      <c r="G34" s="74"/>
      <c r="H34" s="15"/>
      <c r="I34" s="14">
        <f>SUM(I32:I33)</f>
        <v>3583.4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66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3583.4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3583.4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198</v>
      </c>
      <c r="C2" s="81"/>
      <c r="D2" s="81"/>
      <c r="E2" s="81"/>
      <c r="F2" s="81"/>
      <c r="G2" s="81"/>
      <c r="H2" s="81"/>
      <c r="I2" s="82"/>
      <c r="J2" s="62">
        <v>62191447</v>
      </c>
      <c r="K2" s="63">
        <v>1610</v>
      </c>
      <c r="L2" s="64">
        <v>36</v>
      </c>
      <c r="M2" s="64">
        <v>176.33500000000001</v>
      </c>
      <c r="N2" s="64">
        <v>192.435</v>
      </c>
      <c r="O2" s="64">
        <v>219.73500000000001</v>
      </c>
      <c r="P2" s="64" t="s">
        <v>54</v>
      </c>
      <c r="Q2" s="64">
        <v>1.0960000000000001</v>
      </c>
      <c r="R2" s="64" t="s">
        <v>62</v>
      </c>
    </row>
    <row r="3" spans="2:22" x14ac:dyDescent="0.2">
      <c r="B3" s="6" t="s">
        <v>53</v>
      </c>
      <c r="C3" s="68">
        <f>+'230'!C3+1</f>
        <v>231</v>
      </c>
      <c r="D3" s="5"/>
      <c r="E3" s="5"/>
      <c r="F3" s="5"/>
      <c r="G3" s="5" t="s">
        <v>52</v>
      </c>
      <c r="H3" s="31">
        <v>46287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62191447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CA</v>
      </c>
      <c r="I21" s="66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219.73500000000001</v>
      </c>
      <c r="G23" s="23">
        <f>+N2</f>
        <v>192.435</v>
      </c>
      <c r="H23" s="23">
        <f>+M2</f>
        <v>176.33500000000001</v>
      </c>
      <c r="I23" s="66">
        <f>+L2</f>
        <v>36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Womens Cotton Fibers, Knit Pullover, With No Neck Closure, Stitch Count Is Greater Than 9/2cm, Reaches Waist, Sleeveless [96% Cotton 4% Spandex]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6" t="s">
        <v>19</v>
      </c>
      <c r="E31" s="86"/>
      <c r="F31" s="86" t="s">
        <v>18</v>
      </c>
      <c r="G31" s="86"/>
      <c r="H31" s="66" t="s">
        <v>17</v>
      </c>
      <c r="I31" s="19" t="s">
        <v>16</v>
      </c>
      <c r="M31"/>
    </row>
    <row r="32" spans="2:13" ht="33.75" customHeight="1" x14ac:dyDescent="0.2">
      <c r="B32" s="41" t="s">
        <v>196</v>
      </c>
      <c r="C32" s="19" t="s">
        <v>197</v>
      </c>
      <c r="D32" s="73"/>
      <c r="E32" s="74"/>
      <c r="F32" s="73">
        <f>+K2</f>
        <v>1610</v>
      </c>
      <c r="G32" s="74"/>
      <c r="H32" s="17">
        <v>0.76</v>
      </c>
      <c r="I32" s="18">
        <f>+H32*F32</f>
        <v>1223.5999999999999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6"/>
    </row>
    <row r="34" spans="2:11" ht="21.75" customHeight="1" x14ac:dyDescent="0.2">
      <c r="B34" s="15" t="s">
        <v>14</v>
      </c>
      <c r="C34" s="15"/>
      <c r="D34" s="71"/>
      <c r="E34" s="72"/>
      <c r="F34" s="73">
        <f>SUM(F31:G33)</f>
        <v>1610</v>
      </c>
      <c r="G34" s="74"/>
      <c r="H34" s="15"/>
      <c r="I34" s="14">
        <f>SUM(I32:I33)</f>
        <v>1223.5999999999999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66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1223.5999999999999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1223.5999999999999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 s="20">
        <v>8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Sheet1</vt:lpstr>
      <vt:lpstr>reff</vt:lpstr>
      <vt:lpstr>224</vt:lpstr>
      <vt:lpstr>225</vt:lpstr>
      <vt:lpstr>226</vt:lpstr>
      <vt:lpstr>227</vt:lpstr>
      <vt:lpstr>228</vt:lpstr>
      <vt:lpstr>229</vt:lpstr>
      <vt:lpstr>230</vt:lpstr>
      <vt:lpstr>231</vt:lpstr>
      <vt:lpstr>'224'!Print_Area</vt:lpstr>
      <vt:lpstr>'225'!Print_Area</vt:lpstr>
      <vt:lpstr>'226'!Print_Area</vt:lpstr>
      <vt:lpstr>'227'!Print_Area</vt:lpstr>
      <vt:lpstr>'228'!Print_Area</vt:lpstr>
      <vt:lpstr>'229'!Print_Area</vt:lpstr>
      <vt:lpstr>'230'!Print_Area</vt:lpstr>
      <vt:lpstr>'231'!Print_Area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2026-09-29T07:30:03Z</cp:lastPrinted>
  <dcterms:created xsi:type="dcterms:W3CDTF">2024-04-17T09:56:05Z</dcterms:created>
  <dcterms:modified xsi:type="dcterms:W3CDTF">2026-09-29T07:30:11Z</dcterms:modified>
</cp:coreProperties>
</file>