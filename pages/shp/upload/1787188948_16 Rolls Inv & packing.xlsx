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要發出布文件\8 月2026 年\16 Rolls 空運.1150810 TWN to Nirwana (遠東, Eclat, New Wide)\"/>
    </mc:Choice>
  </mc:AlternateContent>
  <xr:revisionPtr revIDLastSave="0" documentId="13_ncr:1_{BEE7E487-3146-4FE8-895A-66CC709F77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VOICE" sheetId="4" r:id="rId1"/>
    <sheet name="PACKING" sheetId="5" r:id="rId2"/>
  </sheets>
  <definedNames>
    <definedName name="_xlnm.Print_Titles" localSheetId="0">INVOICE!$15:$15</definedName>
    <definedName name="_xlnm.Print_Titles" localSheetId="1">PACKING!$16:$16</definedName>
  </definedNames>
  <calcPr calcId="181029"/>
</workbook>
</file>

<file path=xl/calcChain.xml><?xml version="1.0" encoding="utf-8"?>
<calcChain xmlns="http://schemas.openxmlformats.org/spreadsheetml/2006/main">
  <c r="P64" i="5" l="1"/>
  <c r="M64" i="5"/>
  <c r="K60" i="4"/>
  <c r="P59" i="4"/>
  <c r="P58" i="4"/>
  <c r="P45" i="4"/>
  <c r="P46" i="4"/>
  <c r="P47" i="4"/>
  <c r="P48" i="4"/>
  <c r="P44" i="4"/>
  <c r="P60" i="4" s="1"/>
</calcChain>
</file>

<file path=xl/sharedStrings.xml><?xml version="1.0" encoding="utf-8"?>
<sst xmlns="http://schemas.openxmlformats.org/spreadsheetml/2006/main" count="325" uniqueCount="152">
  <si>
    <t>Amount</t>
  </si>
  <si>
    <t>Unit Price</t>
    <phoneticPr fontId="8" type="noConversion"/>
  </si>
  <si>
    <t>Quantity</t>
  </si>
  <si>
    <t>Description of Goods</t>
    <phoneticPr fontId="8" type="noConversion"/>
  </si>
  <si>
    <t>Marks &amp; Nos.</t>
    <phoneticPr fontId="9" type="noConversion"/>
  </si>
  <si>
    <t xml:space="preserve">to </t>
    <phoneticPr fontId="9" type="noConversion"/>
  </si>
  <si>
    <t xml:space="preserve">From </t>
    <phoneticPr fontId="8" type="noConversion"/>
  </si>
  <si>
    <t xml:space="preserve">sailing on or about </t>
    <phoneticPr fontId="8" type="noConversion"/>
  </si>
  <si>
    <t xml:space="preserve">Per </t>
    <phoneticPr fontId="8" type="noConversion"/>
  </si>
  <si>
    <t xml:space="preserve">Shipped by </t>
    <phoneticPr fontId="8" type="noConversion"/>
  </si>
  <si>
    <t xml:space="preserve">INVOICE of </t>
    <phoneticPr fontId="8" type="noConversion"/>
  </si>
  <si>
    <t xml:space="preserve">Dated: </t>
    <phoneticPr fontId="8" type="noConversion"/>
  </si>
  <si>
    <t xml:space="preserve">No. </t>
    <phoneticPr fontId="8" type="noConversion"/>
  </si>
  <si>
    <t>INVOICE</t>
    <phoneticPr fontId="8" type="noConversion"/>
  </si>
  <si>
    <t>AUG.10,2026</t>
  </si>
  <si>
    <t>BY AIR</t>
  </si>
  <si>
    <t>TAOYUAN AIRPORT,TAIWAN</t>
  </si>
  <si>
    <t>JAKARTA,INDONESIA</t>
  </si>
  <si>
    <t>----------</t>
  </si>
  <si>
    <t>KNITTED FABRIC 100% POLYESTER</t>
  </si>
  <si>
    <t>HS CODE: 600632</t>
  </si>
  <si>
    <t xml:space="preserve">#074418 + knit + Piece Dye + </t>
  </si>
  <si>
    <t>Synthetic fiber + 100% Polyester</t>
  </si>
  <si>
    <t>60 IN * 180 g/m2</t>
  </si>
  <si>
    <t>ORDER NO.: 26K7058900 (27CS74418A2)</t>
  </si>
  <si>
    <t>---------------------</t>
  </si>
  <si>
    <t>FEPO: 7K060B78S90</t>
  </si>
  <si>
    <t>STYLE: AM0126</t>
  </si>
  <si>
    <t>PO#P12607000787</t>
  </si>
  <si>
    <t>COLOR DABA2 DARK BANANA</t>
  </si>
  <si>
    <t xml:space="preserve"> YDS</t>
  </si>
  <si>
    <t>USD</t>
  </si>
  <si>
    <t>COLOR DOBL1 DOCKSIDE BLUE</t>
  </si>
  <si>
    <t>COLOR NORE1 NOCTURNAL RED</t>
  </si>
  <si>
    <t>vvv</t>
  </si>
  <si>
    <t>vvvv</t>
  </si>
  <si>
    <t>vvvvvv</t>
  </si>
  <si>
    <t>MARKS &amp; NOS.:</t>
  </si>
  <si>
    <t xml:space="preserve">  NIRWANA</t>
  </si>
  <si>
    <t xml:space="preserve"> (IN DIA.)</t>
  </si>
  <si>
    <t>INDONESIA</t>
  </si>
  <si>
    <t>MADE IN TAIWAN</t>
  </si>
  <si>
    <t xml:space="preserve">ORDER#  </t>
  </si>
  <si>
    <t xml:space="preserve">ITEM#  </t>
  </si>
  <si>
    <t>COLOR:</t>
  </si>
  <si>
    <t>LOT.:</t>
  </si>
  <si>
    <t>R/NO.:</t>
  </si>
  <si>
    <t>QTY:</t>
  </si>
  <si>
    <t>N.W.:          KGS</t>
  </si>
  <si>
    <t>G.W.:          KGS</t>
  </si>
  <si>
    <t>Measurement</t>
    <phoneticPr fontId="8" type="noConversion"/>
  </si>
  <si>
    <t>Gross Weight</t>
    <phoneticPr fontId="8" type="noConversion"/>
  </si>
  <si>
    <t>Net Weight</t>
    <phoneticPr fontId="8" type="noConversion"/>
  </si>
  <si>
    <t>Qrantity</t>
  </si>
  <si>
    <t>Description</t>
  </si>
  <si>
    <t>Packing No.</t>
  </si>
  <si>
    <t>Per S.S.</t>
    <phoneticPr fontId="8" type="noConversion"/>
  </si>
  <si>
    <t>MARKS &amp; NOS:</t>
    <phoneticPr fontId="9" type="noConversion"/>
  </si>
  <si>
    <t xml:space="preserve">PACKING LIST of </t>
    <phoneticPr fontId="8" type="noConversion"/>
  </si>
  <si>
    <t>No.</t>
    <phoneticPr fontId="8" type="noConversion"/>
  </si>
  <si>
    <t>PACKING LIST</t>
    <phoneticPr fontId="8" type="noConversion"/>
  </si>
  <si>
    <t>Dated:AUG.10,2026</t>
    <phoneticPr fontId="3" type="noConversion"/>
  </si>
  <si>
    <t>A1</t>
  </si>
  <si>
    <t xml:space="preserve"> KGS</t>
  </si>
  <si>
    <t>B1</t>
  </si>
  <si>
    <t>---------------------------------------------------------------------------------------------</t>
  </si>
  <si>
    <t xml:space="preserve"> ROLLS</t>
  </si>
  <si>
    <t>v</t>
  </si>
  <si>
    <t>vvvvv</t>
  </si>
  <si>
    <r>
      <rPr>
        <b/>
        <sz val="10"/>
        <rFont val="細明體"/>
        <family val="3"/>
        <charset val="136"/>
      </rPr>
      <t>CONSIGNEE :</t>
    </r>
    <r>
      <rPr>
        <sz val="10"/>
        <rFont val="細明體"/>
        <family val="3"/>
        <charset val="136"/>
      </rPr>
      <t xml:space="preserve">  PT.NIRWANA ALABARE GARMENT</t>
    </r>
    <phoneticPr fontId="3" type="noConversion"/>
  </si>
  <si>
    <t xml:space="preserve">JL. RAYA RANCAEKEK - MAJALAYA NO.289, DESA SOLOKAN JERUK, KEC.SOLOKAN JERUK, KABUPATEN BANDUNG,
</t>
    <phoneticPr fontId="3" type="noConversion"/>
  </si>
  <si>
    <t xml:space="preserve">JAWA BARAT 40382 INDONESIA 6222-85962076
ATTN: CINHUI/NINA
NPWP CODE: 0745 4069 2644 4000
</t>
    <phoneticPr fontId="3" type="noConversion"/>
  </si>
  <si>
    <t xml:space="preserve">FU KWOK KNITTING &amp; GARMENT CO., LTD. </t>
    <phoneticPr fontId="3" type="noConversion"/>
  </si>
  <si>
    <t xml:space="preserve">NO. 110, NANZI DIST., KAOHSIUNG CITY,  TAIWAN </t>
    <phoneticPr fontId="3" type="noConversion"/>
  </si>
  <si>
    <t xml:space="preserve">                                                               TEL: 07-3611980    FAX: 07-3635087</t>
    <phoneticPr fontId="3" type="noConversion"/>
  </si>
  <si>
    <t>FKA1150810</t>
    <phoneticPr fontId="3" type="noConversion"/>
  </si>
  <si>
    <t xml:space="preserve">16 Rolls </t>
    <phoneticPr fontId="3" type="noConversion"/>
  </si>
  <si>
    <t xml:space="preserve">BR0237  </t>
    <phoneticPr fontId="3" type="noConversion"/>
  </si>
  <si>
    <t>AUG.11,2026</t>
    <phoneticPr fontId="3" type="noConversion"/>
  </si>
  <si>
    <t>CIF JAKARTA, INDONESIA</t>
    <phoneticPr fontId="3" type="noConversion"/>
  </si>
  <si>
    <t>CS F27 0709 BUY SMS</t>
    <phoneticPr fontId="3" type="noConversion"/>
  </si>
  <si>
    <t>AUG.11 ,2026</t>
    <phoneticPr fontId="3" type="noConversion"/>
  </si>
  <si>
    <t>COUNTRY OF ORIGIN: TAIWAN</t>
  </si>
  <si>
    <t>KNITTED FABRIC</t>
  </si>
  <si>
    <t>S/C NO.NW2607104</t>
  </si>
  <si>
    <t>PO#P12607000699/712/715</t>
  </si>
  <si>
    <t>#137111</t>
  </si>
  <si>
    <t>83% POLYESTER,17% ELASTANE</t>
  </si>
  <si>
    <t>53.00 IN * 200.00 g/m2 * 253.16 g/yard</t>
  </si>
  <si>
    <t>COLOR:MIDNIGHT BROWN</t>
  </si>
  <si>
    <t>YDS</t>
  </si>
  <si>
    <t>COLOR:MIDNIGHT DUSK</t>
  </si>
  <si>
    <t>COLOR:MYSTERY</t>
  </si>
  <si>
    <t>COLOR:SEA SALT</t>
  </si>
  <si>
    <t>COLOR:TOMATO RED</t>
  </si>
  <si>
    <t xml:space="preserve">132127 + knit + Piece Dye + Synthetic fiber + </t>
  </si>
  <si>
    <t>70% Nylon, 30% Elastane + 52 IN * 219 g/m2</t>
  </si>
  <si>
    <t>PO:7K060A23S90</t>
  </si>
  <si>
    <t>ITEM:RT2410083 132127</t>
  </si>
  <si>
    <t>52/275/219 width:52"</t>
  </si>
  <si>
    <t>KNITTED FABRIC (HS CODE# 6004.10)</t>
    <phoneticPr fontId="3" type="noConversion"/>
  </si>
  <si>
    <t>COLOR:GOLD LEAF</t>
  </si>
  <si>
    <t>COLOR: MYSTERY</t>
  </si>
  <si>
    <t>vvvvvvvv</t>
    <phoneticPr fontId="3" type="noConversion"/>
  </si>
  <si>
    <t xml:space="preserve">SAY TOTAL U.S. DOLLARS THREE THOUSAND TWO HUNDRED SIXTY SIX </t>
    <phoneticPr fontId="3" type="noConversion"/>
  </si>
  <si>
    <t xml:space="preserve">     AND CENTS EIGHTY THREE ONLY.</t>
    <phoneticPr fontId="3" type="noConversion"/>
  </si>
  <si>
    <t>MARKS &amp; NOS.</t>
  </si>
  <si>
    <t>NIRWANA</t>
  </si>
  <si>
    <t>(IN DIA.)</t>
  </si>
  <si>
    <t>PT NIRWANA ALABARE</t>
  </si>
  <si>
    <t>P.O :</t>
  </si>
  <si>
    <t>STYLE :</t>
  </si>
  <si>
    <t>COLOR :</t>
  </si>
  <si>
    <t>ITEM/PDM :</t>
  </si>
  <si>
    <t>ROLL.:</t>
  </si>
  <si>
    <t>QTY.:</t>
  </si>
  <si>
    <t>N.W.:</t>
  </si>
  <si>
    <t>G.W.:</t>
  </si>
  <si>
    <t>BUY DATE:</t>
  </si>
  <si>
    <t>IN DIA.</t>
  </si>
  <si>
    <t>P.O.</t>
  </si>
  <si>
    <t>STYLE</t>
  </si>
  <si>
    <t>COLOR</t>
  </si>
  <si>
    <t>132127</t>
  </si>
  <si>
    <t>QTY</t>
  </si>
  <si>
    <t>N.W.</t>
  </si>
  <si>
    <t>G.W.</t>
  </si>
  <si>
    <t>F27 SMS 0709 BUY</t>
  </si>
  <si>
    <t xml:space="preserve"> </t>
    <phoneticPr fontId="3" type="noConversion"/>
  </si>
  <si>
    <t>FA001</t>
  </si>
  <si>
    <t>LOT NO.N1</t>
  </si>
  <si>
    <t>FA002</t>
  </si>
  <si>
    <t>- DO -</t>
  </si>
  <si>
    <t>FA003</t>
  </si>
  <si>
    <t>FB001</t>
  </si>
  <si>
    <t>LOT NO.F1</t>
  </si>
  <si>
    <t>FC003</t>
  </si>
  <si>
    <t>LOT NO.Q1</t>
  </si>
  <si>
    <t>FC004</t>
  </si>
  <si>
    <t>E013</t>
  </si>
  <si>
    <t>LOT NO.25</t>
  </si>
  <si>
    <t>FE001</t>
  </si>
  <si>
    <t>LOT NO.S1</t>
  </si>
  <si>
    <t>FE002</t>
  </si>
  <si>
    <t>FE003</t>
  </si>
  <si>
    <t>LOT NO.1-1</t>
  </si>
  <si>
    <t>PU1</t>
  </si>
  <si>
    <t>PU2</t>
  </si>
  <si>
    <t>SAY TOTALSIXTEEN  (16 ) ROLLS ONLY.</t>
    <phoneticPr fontId="3" type="noConversion"/>
  </si>
  <si>
    <t>C2</t>
    <phoneticPr fontId="3" type="noConversion"/>
  </si>
  <si>
    <t>C1</t>
    <phoneticPr fontId="3" type="noConversion"/>
  </si>
  <si>
    <t xml:space="preserve">  16 Rolls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</si>
</sst>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#,##0.00_ "/>
    <numFmt numFmtId="178" formatCode="#,##0.00_);[Red]\(#,##0.00\)"/>
  </numFmts>
  <fonts count="24">
    <font>
      <sz val="12"/>
      <color theme="1"/>
      <name val="新細明體"/>
      <family val="2"/>
      <charset val="136"/>
      <scheme val="minor"/>
    </font>
    <font>
      <sz val="12"/>
      <name val="新細明體"/>
      <charset val="136"/>
    </font>
    <font>
      <sz val="10"/>
      <name val="細明體"/>
      <family val="3"/>
      <charset val="136"/>
    </font>
    <font>
      <sz val="9"/>
      <name val="新細明體"/>
      <family val="2"/>
      <charset val="136"/>
      <scheme val="minor"/>
    </font>
    <font>
      <u/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新細明體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sz val="11"/>
      <name val="Times New Roman"/>
      <family val="1"/>
    </font>
    <font>
      <b/>
      <u val="double"/>
      <sz val="10"/>
      <name val="細明體"/>
      <family val="3"/>
      <charset val="136"/>
    </font>
    <font>
      <sz val="14"/>
      <name val="細明體"/>
      <family val="3"/>
      <charset val="136"/>
    </font>
    <font>
      <b/>
      <u/>
      <sz val="14"/>
      <name val="Times New Roman"/>
      <family val="1"/>
    </font>
    <font>
      <b/>
      <sz val="14"/>
      <name val="Times New Roman"/>
      <family val="1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u/>
      <sz val="11"/>
      <name val="Times New Roman"/>
      <family val="1"/>
    </font>
    <font>
      <b/>
      <sz val="10"/>
      <name val="細明體"/>
      <family val="3"/>
      <charset val="136"/>
    </font>
    <font>
      <u/>
      <sz val="10"/>
      <name val="SimSun"/>
      <charset val="134"/>
    </font>
    <font>
      <sz val="10"/>
      <name val="SimSun"/>
      <charset val="134"/>
    </font>
    <font>
      <sz val="9"/>
      <name val="SimSun"/>
      <charset val="134"/>
    </font>
    <font>
      <u/>
      <sz val="9"/>
      <name val="SimSun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6" fillId="0" borderId="0"/>
  </cellStyleXfs>
  <cellXfs count="90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10" fillId="0" borderId="0" xfId="1" applyNumberFormat="1" applyFont="1" applyAlignment="1">
      <alignment horizontal="left" vertical="top"/>
    </xf>
    <xf numFmtId="0" fontId="10" fillId="0" borderId="6" xfId="1" applyFont="1" applyBorder="1" applyAlignment="1">
      <alignment horizontal="right" vertical="top"/>
    </xf>
    <xf numFmtId="49" fontId="2" fillId="0" borderId="0" xfId="1" applyNumberFormat="1" applyFont="1" applyAlignment="1">
      <alignment horizontal="left" vertical="top" wrapText="1"/>
    </xf>
    <xf numFmtId="49" fontId="11" fillId="0" borderId="0" xfId="1" applyNumberFormat="1" applyFont="1" applyAlignment="1">
      <alignment horizontal="left" vertical="top"/>
    </xf>
    <xf numFmtId="49" fontId="12" fillId="0" borderId="0" xfId="1" applyNumberFormat="1" applyFont="1" applyAlignment="1">
      <alignment horizontal="left" vertical="top"/>
    </xf>
    <xf numFmtId="49" fontId="15" fillId="0" borderId="0" xfId="1" applyNumberFormat="1" applyFont="1" applyAlignment="1">
      <alignment horizontal="left" vertical="top"/>
    </xf>
    <xf numFmtId="49" fontId="2" fillId="0" borderId="0" xfId="1" applyNumberFormat="1" applyFont="1" applyAlignment="1">
      <alignment horizontal="right" vertical="top"/>
    </xf>
    <xf numFmtId="49" fontId="2" fillId="0" borderId="0" xfId="2" applyNumberFormat="1" applyFont="1" applyAlignment="1">
      <alignment horizontal="left" vertical="top"/>
    </xf>
    <xf numFmtId="49" fontId="2" fillId="0" borderId="7" xfId="2" applyNumberFormat="1" applyFont="1" applyBorder="1" applyAlignment="1">
      <alignment horizontal="left" vertical="top"/>
    </xf>
    <xf numFmtId="49" fontId="10" fillId="0" borderId="0" xfId="2" applyNumberFormat="1" applyFont="1" applyAlignment="1">
      <alignment horizontal="right" vertical="top"/>
    </xf>
    <xf numFmtId="49" fontId="10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49" fontId="11" fillId="0" borderId="0" xfId="2" applyNumberFormat="1" applyFont="1" applyAlignment="1">
      <alignment horizontal="left" vertical="top"/>
    </xf>
    <xf numFmtId="49" fontId="15" fillId="0" borderId="0" xfId="2" applyNumberFormat="1" applyFont="1" applyAlignment="1">
      <alignment horizontal="left" vertical="top"/>
    </xf>
    <xf numFmtId="49" fontId="4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right" vertical="top"/>
    </xf>
    <xf numFmtId="49" fontId="6" fillId="0" borderId="2" xfId="1" applyNumberFormat="1" applyFont="1" applyBorder="1" applyAlignment="1">
      <alignment horizontal="center" vertical="top"/>
    </xf>
    <xf numFmtId="0" fontId="1" fillId="0" borderId="1" xfId="1" applyBorder="1" applyAlignment="1">
      <alignment horizontal="center" vertical="top"/>
    </xf>
    <xf numFmtId="49" fontId="10" fillId="0" borderId="0" xfId="1" applyNumberFormat="1" applyFont="1" applyAlignment="1">
      <alignment horizontal="left" vertical="top"/>
    </xf>
    <xf numFmtId="49" fontId="2" fillId="0" borderId="4" xfId="1" applyNumberFormat="1" applyFont="1" applyBorder="1" applyAlignment="1">
      <alignment horizontal="left" vertical="top" shrinkToFit="1"/>
    </xf>
    <xf numFmtId="0" fontId="2" fillId="0" borderId="4" xfId="1" applyFont="1" applyBorder="1" applyAlignment="1">
      <alignment horizontal="left" vertical="top" shrinkToFit="1"/>
    </xf>
    <xf numFmtId="0" fontId="10" fillId="0" borderId="0" xfId="1" applyFont="1" applyAlignment="1">
      <alignment horizontal="left" vertical="top"/>
    </xf>
    <xf numFmtId="49" fontId="2" fillId="0" borderId="0" xfId="1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49" fontId="2" fillId="0" borderId="5" xfId="1" applyNumberFormat="1" applyFont="1" applyBorder="1" applyAlignment="1">
      <alignment horizontal="left" vertical="top" shrinkToFit="1"/>
    </xf>
    <xf numFmtId="0" fontId="2" fillId="0" borderId="5" xfId="1" applyFont="1" applyBorder="1" applyAlignment="1">
      <alignment horizontal="left" vertical="top" shrinkToFit="1"/>
    </xf>
    <xf numFmtId="49" fontId="2" fillId="0" borderId="0" xfId="1" applyNumberFormat="1" applyFont="1" applyAlignment="1">
      <alignment horizontal="left" vertical="top" shrinkToFit="1"/>
    </xf>
    <xf numFmtId="0" fontId="2" fillId="0" borderId="0" xfId="1" applyFont="1" applyAlignment="1">
      <alignment horizontal="left" vertical="top" shrinkToFit="1"/>
    </xf>
    <xf numFmtId="0" fontId="1" fillId="0" borderId="0" xfId="1" applyAlignment="1">
      <alignment horizontal="left" vertical="top" shrinkToFit="1"/>
    </xf>
    <xf numFmtId="0" fontId="6" fillId="0" borderId="1" xfId="1" applyFont="1" applyBorder="1" applyAlignment="1">
      <alignment horizontal="center" vertical="top"/>
    </xf>
    <xf numFmtId="49" fontId="6" fillId="0" borderId="3" xfId="1" applyNumberFormat="1" applyFont="1" applyBorder="1" applyAlignment="1">
      <alignment horizontal="center" vertical="top"/>
    </xf>
    <xf numFmtId="0" fontId="7" fillId="0" borderId="3" xfId="1" applyFont="1" applyBorder="1" applyAlignment="1">
      <alignment horizontal="center" vertical="top"/>
    </xf>
    <xf numFmtId="49" fontId="6" fillId="0" borderId="1" xfId="1" applyNumberFormat="1" applyFont="1" applyBorder="1" applyAlignment="1">
      <alignment horizontal="center" vertical="top"/>
    </xf>
    <xf numFmtId="0" fontId="1" fillId="0" borderId="3" xfId="1" applyBorder="1" applyAlignment="1">
      <alignment horizontal="center" vertical="top"/>
    </xf>
    <xf numFmtId="49" fontId="14" fillId="0" borderId="0" xfId="1" applyNumberFormat="1" applyFont="1" applyAlignment="1">
      <alignment horizontal="center" vertical="top" shrinkToFit="1"/>
    </xf>
    <xf numFmtId="49" fontId="10" fillId="0" borderId="0" xfId="1" applyNumberFormat="1" applyFont="1" applyAlignment="1">
      <alignment horizontal="center" vertical="top" wrapText="1"/>
    </xf>
    <xf numFmtId="49" fontId="13" fillId="0" borderId="0" xfId="1" applyNumberFormat="1" applyFont="1" applyAlignment="1">
      <alignment horizontal="center" vertical="top"/>
    </xf>
    <xf numFmtId="49" fontId="5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49" fontId="10" fillId="0" borderId="0" xfId="1" applyNumberFormat="1" applyFont="1" applyAlignment="1">
      <alignment horizontal="right" vertical="top"/>
    </xf>
    <xf numFmtId="0" fontId="10" fillId="0" borderId="0" xfId="1" applyFont="1" applyAlignment="1">
      <alignment horizontal="right" vertical="top"/>
    </xf>
    <xf numFmtId="49" fontId="13" fillId="0" borderId="0" xfId="2" applyNumberFormat="1" applyFont="1" applyAlignment="1">
      <alignment horizontal="center" vertical="top" wrapText="1"/>
    </xf>
    <xf numFmtId="49" fontId="2" fillId="0" borderId="5" xfId="2" applyNumberFormat="1" applyFont="1" applyBorder="1" applyAlignment="1">
      <alignment horizontal="left" vertical="top" shrinkToFit="1"/>
    </xf>
    <xf numFmtId="0" fontId="2" fillId="0" borderId="5" xfId="2" applyFont="1" applyBorder="1" applyAlignment="1">
      <alignment horizontal="left" vertical="top" shrinkToFit="1"/>
    </xf>
    <xf numFmtId="49" fontId="10" fillId="0" borderId="0" xfId="2" applyNumberFormat="1" applyFont="1" applyAlignment="1">
      <alignment horizontal="left" vertical="top"/>
    </xf>
    <xf numFmtId="49" fontId="2" fillId="0" borderId="0" xfId="2" applyNumberFormat="1" applyFont="1" applyAlignment="1">
      <alignment horizontal="left" vertical="top"/>
    </xf>
    <xf numFmtId="49" fontId="5" fillId="0" borderId="0" xfId="2" applyNumberFormat="1" applyFont="1" applyAlignment="1">
      <alignment horizontal="left" vertical="top"/>
    </xf>
    <xf numFmtId="0" fontId="16" fillId="0" borderId="0" xfId="2" applyAlignment="1">
      <alignment horizontal="left" vertical="top"/>
    </xf>
    <xf numFmtId="49" fontId="18" fillId="0" borderId="0" xfId="2" applyNumberFormat="1" applyFont="1" applyAlignment="1">
      <alignment horizontal="left" vertical="top"/>
    </xf>
    <xf numFmtId="49" fontId="6" fillId="0" borderId="2" xfId="2" applyNumberFormat="1" applyFont="1" applyBorder="1" applyAlignment="1">
      <alignment horizontal="center" vertical="top"/>
    </xf>
    <xf numFmtId="49" fontId="6" fillId="0" borderId="1" xfId="2" applyNumberFormat="1" applyFont="1" applyBorder="1" applyAlignment="1">
      <alignment horizontal="center" vertical="top"/>
    </xf>
    <xf numFmtId="49" fontId="5" fillId="0" borderId="1" xfId="2" applyNumberFormat="1" applyFont="1" applyBorder="1" applyAlignment="1">
      <alignment horizontal="center" vertical="top"/>
    </xf>
    <xf numFmtId="0" fontId="8" fillId="0" borderId="0" xfId="2" applyFont="1" applyAlignment="1">
      <alignment horizontal="left" vertical="top" wrapText="1"/>
    </xf>
    <xf numFmtId="0" fontId="8" fillId="0" borderId="7" xfId="2" applyFont="1" applyBorder="1" applyAlignment="1">
      <alignment horizontal="left" vertical="top" wrapText="1"/>
    </xf>
    <xf numFmtId="49" fontId="6" fillId="0" borderId="3" xfId="2" applyNumberFormat="1" applyFont="1" applyBorder="1" applyAlignment="1">
      <alignment horizontal="center" vertical="top"/>
    </xf>
    <xf numFmtId="0" fontId="5" fillId="0" borderId="1" xfId="2" applyFont="1" applyBorder="1" applyAlignment="1">
      <alignment horizontal="center" vertical="top"/>
    </xf>
    <xf numFmtId="0" fontId="5" fillId="0" borderId="3" xfId="2" applyFont="1" applyBorder="1" applyAlignment="1">
      <alignment horizontal="center" vertical="top"/>
    </xf>
    <xf numFmtId="0" fontId="16" fillId="0" borderId="5" xfId="2" applyBorder="1" applyAlignment="1">
      <alignment horizontal="left" vertical="top" shrinkToFit="1"/>
    </xf>
    <xf numFmtId="0" fontId="6" fillId="0" borderId="2" xfId="2" applyFont="1" applyBorder="1" applyAlignment="1">
      <alignment horizontal="center" vertical="top"/>
    </xf>
    <xf numFmtId="0" fontId="17" fillId="0" borderId="1" xfId="2" applyFont="1" applyBorder="1" applyAlignment="1">
      <alignment horizontal="center" vertical="top"/>
    </xf>
    <xf numFmtId="0" fontId="17" fillId="0" borderId="3" xfId="2" applyFont="1" applyBorder="1" applyAlignment="1">
      <alignment horizontal="center" vertical="top"/>
    </xf>
    <xf numFmtId="0" fontId="10" fillId="0" borderId="0" xfId="2" applyFont="1" applyAlignment="1">
      <alignment horizontal="left" vertical="top"/>
    </xf>
    <xf numFmtId="49" fontId="10" fillId="0" borderId="0" xfId="1" applyNumberFormat="1" applyFont="1" applyAlignment="1">
      <alignment vertical="top" wrapText="1"/>
    </xf>
    <xf numFmtId="49" fontId="10" fillId="0" borderId="0" xfId="1" applyNumberFormat="1" applyFont="1" applyAlignment="1">
      <alignment vertical="top" wrapText="1"/>
    </xf>
    <xf numFmtId="0" fontId="2" fillId="0" borderId="0" xfId="1" applyNumberFormat="1" applyFont="1" applyAlignment="1">
      <alignment horizontal="right" vertical="top"/>
    </xf>
    <xf numFmtId="0" fontId="21" fillId="0" borderId="0" xfId="0" applyFont="1" applyAlignment="1"/>
    <xf numFmtId="49" fontId="21" fillId="0" borderId="0" xfId="0" applyNumberFormat="1" applyFont="1" applyAlignment="1">
      <alignment horizontal="right"/>
    </xf>
    <xf numFmtId="49" fontId="21" fillId="0" borderId="0" xfId="0" applyNumberFormat="1" applyFont="1" applyAlignment="1"/>
    <xf numFmtId="49" fontId="20" fillId="0" borderId="0" xfId="1" applyNumberFormat="1" applyFont="1"/>
    <xf numFmtId="0" fontId="1" fillId="0" borderId="0" xfId="1"/>
    <xf numFmtId="49" fontId="21" fillId="0" borderId="0" xfId="1" applyNumberFormat="1" applyFont="1"/>
    <xf numFmtId="0" fontId="16" fillId="0" borderId="0" xfId="1" applyFont="1"/>
    <xf numFmtId="49" fontId="21" fillId="0" borderId="8" xfId="1" applyNumberFormat="1" applyFont="1" applyBorder="1"/>
    <xf numFmtId="0" fontId="16" fillId="0" borderId="8" xfId="1" applyFont="1" applyBorder="1"/>
    <xf numFmtId="49" fontId="2" fillId="0" borderId="8" xfId="1" applyNumberFormat="1" applyFont="1" applyBorder="1" applyAlignment="1">
      <alignment horizontal="left" vertical="top"/>
    </xf>
    <xf numFmtId="0" fontId="2" fillId="0" borderId="8" xfId="1" applyNumberFormat="1" applyFont="1" applyBorder="1" applyAlignment="1">
      <alignment horizontal="right" vertical="top"/>
    </xf>
    <xf numFmtId="177" fontId="2" fillId="0" borderId="0" xfId="1" applyNumberFormat="1" applyFont="1" applyAlignment="1">
      <alignment horizontal="right" vertical="top"/>
    </xf>
    <xf numFmtId="0" fontId="2" fillId="0" borderId="0" xfId="2" applyNumberFormat="1" applyFont="1" applyAlignment="1">
      <alignment horizontal="right" vertical="top"/>
    </xf>
    <xf numFmtId="178" fontId="2" fillId="0" borderId="0" xfId="2" applyNumberFormat="1" applyFont="1" applyAlignment="1">
      <alignment horizontal="right" vertical="top"/>
    </xf>
    <xf numFmtId="178" fontId="2" fillId="0" borderId="0" xfId="2" applyNumberFormat="1" applyFont="1" applyAlignment="1">
      <alignment horizontal="left" vertical="top"/>
    </xf>
    <xf numFmtId="177" fontId="2" fillId="0" borderId="0" xfId="2" applyNumberFormat="1" applyFont="1" applyAlignment="1">
      <alignment horizontal="right" vertical="top"/>
    </xf>
    <xf numFmtId="49" fontId="22" fillId="0" borderId="0" xfId="0" applyNumberFormat="1" applyFont="1" applyAlignment="1"/>
    <xf numFmtId="49" fontId="23" fillId="0" borderId="0" xfId="1" applyNumberFormat="1" applyFont="1" applyAlignment="1">
      <alignment vertical="center"/>
    </xf>
    <xf numFmtId="49" fontId="22" fillId="0" borderId="0" xfId="1" applyNumberFormat="1" applyFont="1" applyAlignment="1">
      <alignment vertical="center"/>
    </xf>
  </cellXfs>
  <cellStyles count="3">
    <cellStyle name="一般" xfId="0" builtinId="0"/>
    <cellStyle name="一般 2" xfId="1" xr:uid="{00000000-0005-0000-0000-000001000000}"/>
    <cellStyle name="一般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8"/>
  <sheetViews>
    <sheetView tabSelected="1" topLeftCell="A69" workbookViewId="0">
      <selection activeCell="F110" sqref="F110"/>
    </sheetView>
  </sheetViews>
  <sheetFormatPr defaultRowHeight="14.25"/>
  <cols>
    <col min="1" max="5" width="4.125" style="1" customWidth="1"/>
    <col min="6" max="6" width="5.625" style="1" customWidth="1"/>
    <col min="7" max="7" width="7.625" style="1" customWidth="1"/>
    <col min="8" max="9" width="7.125" style="1" customWidth="1"/>
    <col min="10" max="10" width="5.625" style="1" customWidth="1"/>
    <col min="11" max="11" width="11.625" style="1" customWidth="1"/>
    <col min="12" max="13" width="4.125" style="1" customWidth="1"/>
    <col min="14" max="14" width="8.625" style="1" customWidth="1"/>
    <col min="15" max="15" width="4.125" style="1" customWidth="1"/>
    <col min="16" max="16" width="11.625" style="1" customWidth="1"/>
    <col min="17" max="16384" width="9" style="1"/>
  </cols>
  <sheetData>
    <row r="1" spans="1:16" s="10" customFormat="1" ht="19.5">
      <c r="A1" s="40" t="s">
        <v>72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s="6" customFormat="1" ht="15">
      <c r="A2" s="41" t="s">
        <v>73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</row>
    <row r="3" spans="1:16" s="6" customFormat="1" ht="15" customHeight="1">
      <c r="A3" s="69" t="s">
        <v>74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16" s="6" customFormat="1" ht="15" customHeight="1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</row>
    <row r="5" spans="1:16" s="10" customFormat="1" ht="19.5">
      <c r="A5" s="42" t="s">
        <v>13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</row>
    <row r="6" spans="1:1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ht="16.5">
      <c r="A7" s="6" t="s">
        <v>12</v>
      </c>
      <c r="B7" s="32" t="s">
        <v>75</v>
      </c>
      <c r="C7" s="33"/>
      <c r="D7" s="33"/>
      <c r="E7" s="33"/>
      <c r="F7" s="33"/>
      <c r="G7" s="34"/>
      <c r="L7" s="45" t="s">
        <v>11</v>
      </c>
      <c r="M7" s="46"/>
      <c r="N7" s="30" t="s">
        <v>14</v>
      </c>
      <c r="O7" s="30"/>
      <c r="P7" s="31"/>
    </row>
    <row r="8" spans="1:16" ht="15.75">
      <c r="A8" s="43" t="s">
        <v>10</v>
      </c>
      <c r="B8" s="43"/>
      <c r="C8" s="43"/>
      <c r="D8" s="44"/>
      <c r="E8" s="31" t="s">
        <v>76</v>
      </c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</row>
    <row r="9" spans="1:16" ht="16.5">
      <c r="A9" s="28" t="s">
        <v>69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8"/>
      <c r="P9" s="8"/>
    </row>
    <row r="10" spans="1:16" ht="16.5">
      <c r="A10" s="28" t="s">
        <v>70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16" ht="16.5">
      <c r="A11" s="28" t="s">
        <v>71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spans="1:16" ht="15">
      <c r="A12" s="24" t="s">
        <v>9</v>
      </c>
      <c r="B12" s="24"/>
      <c r="C12" s="24"/>
      <c r="D12" s="25" t="s">
        <v>77</v>
      </c>
      <c r="E12" s="25"/>
      <c r="F12" s="25"/>
      <c r="G12" s="25"/>
      <c r="H12" s="25"/>
      <c r="I12" s="26"/>
      <c r="J12" s="7" t="s">
        <v>8</v>
      </c>
      <c r="K12" s="25" t="s">
        <v>15</v>
      </c>
      <c r="L12" s="26"/>
      <c r="M12" s="26"/>
      <c r="N12" s="26"/>
      <c r="O12" s="26"/>
      <c r="P12" s="26"/>
    </row>
    <row r="13" spans="1:16" ht="15">
      <c r="A13" s="24" t="s">
        <v>7</v>
      </c>
      <c r="B13" s="24"/>
      <c r="C13" s="24"/>
      <c r="D13" s="27"/>
      <c r="E13" s="26" t="s">
        <v>78</v>
      </c>
      <c r="F13" s="26"/>
      <c r="G13" s="26"/>
      <c r="H13" s="5" t="s">
        <v>6</v>
      </c>
      <c r="I13" s="31" t="s">
        <v>16</v>
      </c>
      <c r="J13" s="31"/>
      <c r="K13" s="31"/>
      <c r="L13" s="4" t="s">
        <v>5</v>
      </c>
      <c r="M13" s="26" t="s">
        <v>17</v>
      </c>
      <c r="N13" s="26"/>
      <c r="O13" s="26"/>
      <c r="P13" s="26"/>
    </row>
    <row r="14" spans="1:16" ht="15" thickBot="1"/>
    <row r="15" spans="1:16" s="3" customFormat="1" ht="17.25" thickTop="1">
      <c r="A15" s="38" t="s">
        <v>4</v>
      </c>
      <c r="B15" s="23"/>
      <c r="C15" s="23"/>
      <c r="D15" s="39"/>
      <c r="E15" s="22" t="s">
        <v>3</v>
      </c>
      <c r="F15" s="23"/>
      <c r="G15" s="23"/>
      <c r="H15" s="23"/>
      <c r="I15" s="23"/>
      <c r="J15" s="23"/>
      <c r="K15" s="22" t="s">
        <v>2</v>
      </c>
      <c r="L15" s="36"/>
      <c r="M15" s="35" t="s">
        <v>1</v>
      </c>
      <c r="N15" s="37"/>
      <c r="O15" s="22" t="s">
        <v>0</v>
      </c>
      <c r="P15" s="35"/>
    </row>
    <row r="16" spans="1:16">
      <c r="N16" s="1" t="s">
        <v>79</v>
      </c>
    </row>
    <row r="17" spans="1:16">
      <c r="E17" s="1" t="s">
        <v>80</v>
      </c>
      <c r="N17" s="1" t="s">
        <v>18</v>
      </c>
    </row>
    <row r="18" spans="1:16">
      <c r="E18" s="1" t="s">
        <v>19</v>
      </c>
    </row>
    <row r="19" spans="1:16">
      <c r="E19" s="1" t="s">
        <v>20</v>
      </c>
    </row>
    <row r="20" spans="1:16">
      <c r="E20" s="1" t="s">
        <v>21</v>
      </c>
    </row>
    <row r="21" spans="1:16">
      <c r="E21" s="1" t="s">
        <v>22</v>
      </c>
    </row>
    <row r="22" spans="1:16">
      <c r="E22" s="1" t="s">
        <v>23</v>
      </c>
    </row>
    <row r="23" spans="1:16">
      <c r="A23" s="2"/>
      <c r="B23" s="2"/>
      <c r="E23" s="1" t="s">
        <v>24</v>
      </c>
    </row>
    <row r="24" spans="1:16" ht="16.5">
      <c r="E24" s="11" t="s">
        <v>25</v>
      </c>
    </row>
    <row r="25" spans="1:16">
      <c r="E25" s="1" t="s">
        <v>26</v>
      </c>
    </row>
    <row r="26" spans="1:16">
      <c r="E26" s="1" t="s">
        <v>27</v>
      </c>
    </row>
    <row r="27" spans="1:16">
      <c r="E27" s="2" t="s">
        <v>28</v>
      </c>
    </row>
    <row r="28" spans="1:16">
      <c r="E28" s="1" t="s">
        <v>29</v>
      </c>
      <c r="K28" s="70">
        <v>28</v>
      </c>
      <c r="L28" s="1" t="s">
        <v>30</v>
      </c>
      <c r="M28" s="12" t="s">
        <v>31</v>
      </c>
      <c r="N28" s="70">
        <v>1.73</v>
      </c>
      <c r="O28" s="12" t="s">
        <v>31</v>
      </c>
      <c r="P28" s="70">
        <v>48.44</v>
      </c>
    </row>
    <row r="29" spans="1:16">
      <c r="E29" s="1" t="s">
        <v>29</v>
      </c>
      <c r="K29" s="70">
        <v>49</v>
      </c>
      <c r="L29" s="1" t="s">
        <v>30</v>
      </c>
      <c r="N29" s="70">
        <v>1.73</v>
      </c>
      <c r="P29" s="70">
        <v>84.77</v>
      </c>
    </row>
    <row r="30" spans="1:16">
      <c r="E30" s="1" t="s">
        <v>32</v>
      </c>
      <c r="K30" s="70">
        <v>69</v>
      </c>
      <c r="L30" s="1" t="s">
        <v>30</v>
      </c>
      <c r="N30" s="70">
        <v>1.73</v>
      </c>
      <c r="P30" s="70">
        <v>119.37</v>
      </c>
    </row>
    <row r="31" spans="1:16">
      <c r="E31" s="1" t="s">
        <v>32</v>
      </c>
      <c r="K31" s="70">
        <v>4</v>
      </c>
      <c r="L31" s="1" t="s">
        <v>30</v>
      </c>
      <c r="N31" s="70">
        <v>1.73</v>
      </c>
      <c r="P31" s="70">
        <v>6.92</v>
      </c>
    </row>
    <row r="32" spans="1:16">
      <c r="E32" s="1" t="s">
        <v>33</v>
      </c>
      <c r="K32" s="70">
        <v>82</v>
      </c>
      <c r="L32" s="1" t="s">
        <v>30</v>
      </c>
      <c r="N32" s="70">
        <v>1.73</v>
      </c>
      <c r="P32" s="70">
        <v>141.86000000000001</v>
      </c>
    </row>
    <row r="33" spans="5:16">
      <c r="E33" s="1" t="s">
        <v>33</v>
      </c>
      <c r="K33" s="70">
        <v>71</v>
      </c>
      <c r="L33" s="1" t="s">
        <v>30</v>
      </c>
      <c r="N33" s="70">
        <v>1.73</v>
      </c>
      <c r="P33" s="70">
        <v>122.83</v>
      </c>
    </row>
    <row r="34" spans="5:16">
      <c r="K34" s="70"/>
      <c r="N34" s="70"/>
      <c r="P34" s="70"/>
    </row>
    <row r="35" spans="5:16" s="71" customFormat="1" ht="12">
      <c r="E35" s="73" t="s">
        <v>82</v>
      </c>
      <c r="H35" s="72"/>
      <c r="I35" s="73"/>
      <c r="J35" s="72"/>
      <c r="K35" s="72"/>
    </row>
    <row r="36" spans="5:16" s="71" customFormat="1" ht="12">
      <c r="E36" s="73" t="s">
        <v>83</v>
      </c>
      <c r="H36" s="72"/>
      <c r="I36" s="73"/>
      <c r="J36" s="72"/>
      <c r="K36" s="72"/>
    </row>
    <row r="37" spans="5:16">
      <c r="E37" s="1" t="s">
        <v>20</v>
      </c>
    </row>
    <row r="38" spans="5:16" s="71" customFormat="1" ht="12">
      <c r="E38" s="73" t="s">
        <v>84</v>
      </c>
      <c r="H38" s="72"/>
      <c r="I38" s="73"/>
      <c r="J38" s="72"/>
      <c r="K38" s="72"/>
    </row>
    <row r="39" spans="5:16" s="71" customFormat="1" ht="12">
      <c r="E39" s="73" t="s">
        <v>85</v>
      </c>
      <c r="H39" s="72"/>
      <c r="I39" s="73"/>
      <c r="J39" s="72"/>
      <c r="K39" s="72"/>
    </row>
    <row r="40" spans="5:16" s="71" customFormat="1" ht="12">
      <c r="E40" s="73" t="s">
        <v>86</v>
      </c>
      <c r="H40" s="72"/>
      <c r="I40" s="73"/>
      <c r="J40" s="72"/>
      <c r="K40" s="72"/>
    </row>
    <row r="41" spans="5:16" s="71" customFormat="1" ht="12">
      <c r="E41" s="73" t="s">
        <v>87</v>
      </c>
      <c r="H41" s="72"/>
      <c r="I41" s="73"/>
      <c r="J41" s="72"/>
      <c r="K41" s="72"/>
    </row>
    <row r="42" spans="5:16" s="71" customFormat="1" ht="12">
      <c r="E42" s="73" t="s">
        <v>88</v>
      </c>
      <c r="H42" s="72"/>
      <c r="I42" s="73"/>
      <c r="J42" s="72"/>
      <c r="K42" s="72"/>
    </row>
    <row r="43" spans="5:16" s="71" customFormat="1" ht="12">
      <c r="E43" s="73"/>
      <c r="H43" s="72"/>
      <c r="I43" s="73"/>
      <c r="J43" s="72"/>
      <c r="K43" s="72"/>
    </row>
    <row r="44" spans="5:16">
      <c r="E44" s="73" t="s">
        <v>89</v>
      </c>
      <c r="F44" s="71"/>
      <c r="K44" s="70">
        <v>178</v>
      </c>
      <c r="L44" s="1" t="s">
        <v>30</v>
      </c>
      <c r="M44" s="12" t="s">
        <v>31</v>
      </c>
      <c r="N44" s="70">
        <v>4.12</v>
      </c>
      <c r="O44" s="12" t="s">
        <v>31</v>
      </c>
      <c r="P44" s="70">
        <f>K44*N44</f>
        <v>733.36</v>
      </c>
    </row>
    <row r="45" spans="5:16">
      <c r="E45" s="73" t="s">
        <v>91</v>
      </c>
      <c r="F45" s="71"/>
      <c r="K45" s="70">
        <v>36</v>
      </c>
      <c r="L45" s="1" t="s">
        <v>30</v>
      </c>
      <c r="N45" s="70">
        <v>4.12</v>
      </c>
      <c r="P45" s="70">
        <f t="shared" ref="P45:P48" si="0">K45*N45</f>
        <v>148.32</v>
      </c>
    </row>
    <row r="46" spans="5:16">
      <c r="E46" s="73" t="s">
        <v>92</v>
      </c>
      <c r="F46" s="71"/>
      <c r="K46" s="70">
        <v>118</v>
      </c>
      <c r="L46" s="1" t="s">
        <v>30</v>
      </c>
      <c r="N46" s="70">
        <v>4.12</v>
      </c>
      <c r="P46" s="70">
        <f t="shared" si="0"/>
        <v>486.16</v>
      </c>
    </row>
    <row r="47" spans="5:16">
      <c r="E47" s="73" t="s">
        <v>93</v>
      </c>
      <c r="F47" s="71"/>
      <c r="K47" s="70">
        <v>67</v>
      </c>
      <c r="L47" s="1" t="s">
        <v>30</v>
      </c>
      <c r="N47" s="70">
        <v>4.12</v>
      </c>
      <c r="P47" s="70">
        <f t="shared" si="0"/>
        <v>276.04000000000002</v>
      </c>
    </row>
    <row r="48" spans="5:16">
      <c r="E48" s="73" t="s">
        <v>94</v>
      </c>
      <c r="F48" s="71"/>
      <c r="K48" s="70">
        <v>159</v>
      </c>
      <c r="L48" s="1" t="s">
        <v>30</v>
      </c>
      <c r="N48" s="70">
        <v>4.12</v>
      </c>
      <c r="P48" s="70">
        <f t="shared" si="0"/>
        <v>655.08000000000004</v>
      </c>
    </row>
    <row r="49" spans="5:16" ht="16.5">
      <c r="K49" s="11"/>
    </row>
    <row r="50" spans="5:16" ht="16.5">
      <c r="K50" s="11"/>
    </row>
    <row r="51" spans="5:16" s="71" customFormat="1" ht="16.5">
      <c r="E51" s="76" t="s">
        <v>100</v>
      </c>
      <c r="F51" s="77"/>
      <c r="G51" s="77"/>
      <c r="H51" s="77"/>
      <c r="I51" s="77"/>
      <c r="J51" s="72"/>
      <c r="K51" s="72"/>
    </row>
    <row r="52" spans="5:16" s="71" customFormat="1" ht="16.5">
      <c r="E52" s="76" t="s">
        <v>95</v>
      </c>
      <c r="F52" s="77"/>
      <c r="G52" s="77"/>
      <c r="H52" s="77"/>
      <c r="I52" s="77"/>
      <c r="J52" s="72"/>
      <c r="K52" s="72"/>
    </row>
    <row r="53" spans="5:16" ht="16.5">
      <c r="E53" s="76" t="s">
        <v>96</v>
      </c>
      <c r="F53" s="77"/>
      <c r="G53" s="77"/>
      <c r="H53" s="77"/>
      <c r="I53" s="77"/>
    </row>
    <row r="54" spans="5:16" s="71" customFormat="1" ht="16.5">
      <c r="E54" s="76" t="s">
        <v>97</v>
      </c>
      <c r="F54" s="77"/>
      <c r="G54" s="77"/>
      <c r="H54" s="77"/>
      <c r="I54" s="77"/>
      <c r="J54" s="72"/>
      <c r="K54" s="72"/>
    </row>
    <row r="55" spans="5:16" s="71" customFormat="1" ht="16.5">
      <c r="E55" s="76" t="s">
        <v>98</v>
      </c>
      <c r="F55" s="77"/>
      <c r="G55" s="77"/>
      <c r="H55" s="77"/>
      <c r="I55" s="77"/>
      <c r="J55" s="72"/>
      <c r="K55" s="72"/>
    </row>
    <row r="56" spans="5:16" s="71" customFormat="1" ht="16.5">
      <c r="E56" s="76" t="s">
        <v>99</v>
      </c>
      <c r="F56" s="77"/>
      <c r="G56" s="77"/>
      <c r="H56" s="77"/>
      <c r="I56" s="77"/>
      <c r="J56" s="72"/>
      <c r="K56" s="72"/>
    </row>
    <row r="57" spans="5:16" s="71" customFormat="1" ht="12">
      <c r="E57" s="73"/>
      <c r="H57" s="72"/>
      <c r="I57" s="73"/>
      <c r="J57" s="72"/>
      <c r="K57" s="72"/>
    </row>
    <row r="58" spans="5:16" ht="16.5">
      <c r="E58" s="76" t="s">
        <v>101</v>
      </c>
      <c r="F58" s="75"/>
      <c r="K58" s="70">
        <v>40</v>
      </c>
      <c r="L58" s="1" t="s">
        <v>30</v>
      </c>
      <c r="M58" s="12" t="s">
        <v>31</v>
      </c>
      <c r="N58" s="70">
        <v>7.52</v>
      </c>
      <c r="O58" s="12" t="s">
        <v>31</v>
      </c>
      <c r="P58" s="82">
        <f>K58*N58</f>
        <v>300.79999999999995</v>
      </c>
    </row>
    <row r="59" spans="5:16" ht="16.5">
      <c r="E59" s="78" t="s">
        <v>102</v>
      </c>
      <c r="F59" s="79"/>
      <c r="G59" s="80"/>
      <c r="H59" s="80"/>
      <c r="I59" s="80"/>
      <c r="J59" s="80"/>
      <c r="K59" s="81">
        <v>19</v>
      </c>
      <c r="L59" s="80" t="s">
        <v>30</v>
      </c>
      <c r="M59" s="80"/>
      <c r="N59" s="81">
        <v>7.52</v>
      </c>
      <c r="O59" s="80"/>
      <c r="P59" s="81">
        <f t="shared" ref="P59" si="1">K59*N59</f>
        <v>142.88</v>
      </c>
    </row>
    <row r="60" spans="5:16">
      <c r="K60" s="70">
        <f>SUM(K28:K59)</f>
        <v>920</v>
      </c>
      <c r="L60" s="1" t="s">
        <v>30</v>
      </c>
      <c r="O60" s="12" t="s">
        <v>31</v>
      </c>
      <c r="P60" s="70">
        <f>SUM(P28:P59)</f>
        <v>3266.83</v>
      </c>
    </row>
    <row r="61" spans="5:16">
      <c r="K61" s="12" t="s">
        <v>34</v>
      </c>
      <c r="L61" s="1" t="s">
        <v>35</v>
      </c>
      <c r="O61" s="12" t="s">
        <v>34</v>
      </c>
      <c r="P61" s="12" t="s">
        <v>103</v>
      </c>
    </row>
    <row r="62" spans="5:16">
      <c r="E62" s="1" t="s">
        <v>104</v>
      </c>
    </row>
    <row r="63" spans="5:16">
      <c r="E63" s="1" t="s">
        <v>105</v>
      </c>
    </row>
    <row r="65" spans="5:6">
      <c r="E65" s="2" t="s">
        <v>37</v>
      </c>
    </row>
    <row r="66" spans="5:6">
      <c r="E66" s="1" t="s">
        <v>38</v>
      </c>
    </row>
    <row r="67" spans="5:6">
      <c r="E67" s="1" t="s">
        <v>39</v>
      </c>
    </row>
    <row r="68" spans="5:6">
      <c r="E68" s="1" t="s">
        <v>40</v>
      </c>
    </row>
    <row r="69" spans="5:6">
      <c r="E69" s="1" t="s">
        <v>41</v>
      </c>
    </row>
    <row r="70" spans="5:6">
      <c r="E70" s="1" t="s">
        <v>42</v>
      </c>
    </row>
    <row r="71" spans="5:6">
      <c r="E71" s="1" t="s">
        <v>43</v>
      </c>
    </row>
    <row r="72" spans="5:6">
      <c r="E72" s="1" t="s">
        <v>44</v>
      </c>
    </row>
    <row r="73" spans="5:6">
      <c r="E73" s="1" t="s">
        <v>45</v>
      </c>
    </row>
    <row r="74" spans="5:6">
      <c r="E74" s="1" t="s">
        <v>46</v>
      </c>
    </row>
    <row r="75" spans="5:6">
      <c r="E75" s="1" t="s">
        <v>47</v>
      </c>
    </row>
    <row r="76" spans="5:6">
      <c r="E76" s="1" t="s">
        <v>48</v>
      </c>
    </row>
    <row r="77" spans="5:6">
      <c r="E77" s="1" t="s">
        <v>49</v>
      </c>
    </row>
    <row r="80" spans="5:6">
      <c r="E80" s="71" t="s">
        <v>106</v>
      </c>
      <c r="F80" s="71"/>
    </row>
    <row r="81" spans="5:7">
      <c r="E81" s="73" t="s">
        <v>107</v>
      </c>
      <c r="F81" s="71"/>
    </row>
    <row r="82" spans="5:7">
      <c r="E82" s="73" t="s">
        <v>108</v>
      </c>
      <c r="F82" s="71"/>
    </row>
    <row r="83" spans="5:7">
      <c r="E83" s="73" t="s">
        <v>109</v>
      </c>
      <c r="F83" s="71"/>
    </row>
    <row r="84" spans="5:7">
      <c r="E84" s="73" t="s">
        <v>110</v>
      </c>
      <c r="F84" s="71"/>
    </row>
    <row r="85" spans="5:7">
      <c r="E85" s="73" t="s">
        <v>111</v>
      </c>
      <c r="F85" s="71"/>
    </row>
    <row r="86" spans="5:7">
      <c r="E86" s="73" t="s">
        <v>112</v>
      </c>
      <c r="F86" s="71"/>
    </row>
    <row r="87" spans="5:7">
      <c r="E87" s="73" t="s">
        <v>113</v>
      </c>
      <c r="F87" s="71"/>
    </row>
    <row r="88" spans="5:7">
      <c r="E88" s="73" t="s">
        <v>114</v>
      </c>
      <c r="F88" s="71"/>
    </row>
    <row r="89" spans="5:7">
      <c r="E89" s="73" t="s">
        <v>115</v>
      </c>
      <c r="F89" s="71"/>
    </row>
    <row r="90" spans="5:7">
      <c r="E90" s="73" t="s">
        <v>116</v>
      </c>
      <c r="F90" s="71"/>
    </row>
    <row r="91" spans="5:7">
      <c r="E91" s="73" t="s">
        <v>117</v>
      </c>
      <c r="F91" s="71"/>
    </row>
    <row r="92" spans="5:7">
      <c r="E92" s="73" t="s">
        <v>118</v>
      </c>
      <c r="F92" s="71"/>
    </row>
    <row r="93" spans="5:7">
      <c r="E93" s="73" t="s">
        <v>41</v>
      </c>
      <c r="F93" s="71"/>
    </row>
    <row r="96" spans="5:7" ht="16.5">
      <c r="E96" s="76" t="s">
        <v>107</v>
      </c>
      <c r="F96"/>
      <c r="G96"/>
    </row>
    <row r="97" spans="5:7" ht="16.5">
      <c r="E97" s="76" t="s">
        <v>119</v>
      </c>
      <c r="F97"/>
      <c r="G97"/>
    </row>
    <row r="98" spans="5:7" ht="16.5">
      <c r="E98" s="76" t="s">
        <v>109</v>
      </c>
      <c r="F98"/>
      <c r="G98"/>
    </row>
    <row r="99" spans="5:7" ht="16.5">
      <c r="E99" s="76" t="s">
        <v>120</v>
      </c>
      <c r="F99"/>
      <c r="G99"/>
    </row>
    <row r="100" spans="5:7" ht="16.5">
      <c r="E100" s="76" t="s">
        <v>121</v>
      </c>
      <c r="F100"/>
      <c r="G100"/>
    </row>
    <row r="101" spans="5:7" ht="16.5">
      <c r="E101" s="76" t="s">
        <v>122</v>
      </c>
      <c r="F101" s="75"/>
      <c r="G101" s="75"/>
    </row>
    <row r="102" spans="5:7" ht="16.5">
      <c r="E102" s="76" t="s">
        <v>123</v>
      </c>
      <c r="F102" s="75"/>
      <c r="G102" s="75"/>
    </row>
    <row r="103" spans="5:7" ht="16.5">
      <c r="E103" s="76" t="s">
        <v>114</v>
      </c>
      <c r="F103" s="75"/>
      <c r="G103" s="75"/>
    </row>
    <row r="104" spans="5:7" ht="16.5">
      <c r="E104" s="76" t="s">
        <v>124</v>
      </c>
      <c r="F104" s="75"/>
      <c r="G104" s="75"/>
    </row>
    <row r="105" spans="5:7" ht="16.5">
      <c r="E105" s="76" t="s">
        <v>125</v>
      </c>
      <c r="F105" s="75"/>
      <c r="G105" s="75"/>
    </row>
    <row r="106" spans="5:7" ht="16.5">
      <c r="E106" s="76" t="s">
        <v>126</v>
      </c>
      <c r="F106" s="75"/>
      <c r="G106" s="75"/>
    </row>
    <row r="107" spans="5:7" ht="16.5">
      <c r="E107" s="76" t="s">
        <v>127</v>
      </c>
      <c r="F107" s="75"/>
      <c r="G107" s="75"/>
    </row>
    <row r="108" spans="5:7" ht="16.5">
      <c r="E108" s="76" t="s">
        <v>41</v>
      </c>
      <c r="F108" s="75"/>
      <c r="G108" s="75"/>
    </row>
  </sheetData>
  <mergeCells count="24">
    <mergeCell ref="A1:P1"/>
    <mergeCell ref="A2:P2"/>
    <mergeCell ref="A5:P5"/>
    <mergeCell ref="A3:P3"/>
    <mergeCell ref="B7:G7"/>
    <mergeCell ref="E8:P8"/>
    <mergeCell ref="O15:P15"/>
    <mergeCell ref="K12:P12"/>
    <mergeCell ref="K15:L15"/>
    <mergeCell ref="I13:K13"/>
    <mergeCell ref="M15:N15"/>
    <mergeCell ref="M13:P13"/>
    <mergeCell ref="A15:D15"/>
    <mergeCell ref="A8:D8"/>
    <mergeCell ref="L7:M7"/>
    <mergeCell ref="N7:P7"/>
    <mergeCell ref="A9:N9"/>
    <mergeCell ref="A10:P10"/>
    <mergeCell ref="A11:P11"/>
    <mergeCell ref="E15:J15"/>
    <mergeCell ref="A12:C12"/>
    <mergeCell ref="D12:I12"/>
    <mergeCell ref="A13:D13"/>
    <mergeCell ref="E13:G13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Roman,標準"PAGE&amp;"新細明體,標準":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0"/>
  <sheetViews>
    <sheetView workbookViewId="0">
      <selection activeCell="A9" sqref="A9:N9"/>
    </sheetView>
  </sheetViews>
  <sheetFormatPr defaultRowHeight="14.25"/>
  <cols>
    <col min="1" max="1" width="7.875" style="13" customWidth="1"/>
    <col min="2" max="2" width="4.125" style="13" customWidth="1"/>
    <col min="3" max="3" width="3.125" style="13" customWidth="1"/>
    <col min="4" max="4" width="10.125" style="13" customWidth="1"/>
    <col min="5" max="5" width="4.125" style="13" customWidth="1"/>
    <col min="6" max="6" width="6.625" style="13" customWidth="1"/>
    <col min="7" max="7" width="4.125" style="13" customWidth="1"/>
    <col min="8" max="8" width="6.625" style="13" customWidth="1"/>
    <col min="9" max="9" width="1.625" style="13" customWidth="1"/>
    <col min="10" max="10" width="8.125" style="13" customWidth="1"/>
    <col min="11" max="11" width="4.125" style="13" customWidth="1"/>
    <col min="12" max="12" width="1.625" style="13" customWidth="1"/>
    <col min="13" max="13" width="8.125" style="13" customWidth="1"/>
    <col min="14" max="14" width="4.125" style="13" customWidth="1"/>
    <col min="15" max="15" width="1.625" style="13" customWidth="1"/>
    <col min="16" max="16" width="8.125" style="13" customWidth="1"/>
    <col min="17" max="17" width="4.125" style="13" customWidth="1"/>
    <col min="18" max="18" width="1.625" style="13" customWidth="1"/>
    <col min="19" max="19" width="8.125" style="13" customWidth="1"/>
    <col min="20" max="20" width="4.125" style="13" customWidth="1"/>
    <col min="21" max="16384" width="9" style="13"/>
  </cols>
  <sheetData>
    <row r="1" spans="1:20" s="10" customFormat="1" ht="19.5">
      <c r="A1" s="40" t="s">
        <v>72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2" spans="1:20" s="6" customFormat="1" ht="15" customHeight="1">
      <c r="A2" s="41" t="s">
        <v>73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</row>
    <row r="3" spans="1:20" s="6" customFormat="1" ht="15" customHeight="1">
      <c r="A3" s="69" t="s">
        <v>74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20" s="6" customFormat="1" ht="15" customHeight="1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</row>
    <row r="5" spans="1:20" ht="18.75">
      <c r="A5" s="47" t="s">
        <v>60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</row>
    <row r="6" spans="1:20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ht="16.5">
      <c r="A7" s="16" t="s">
        <v>59</v>
      </c>
      <c r="B7" s="48" t="s">
        <v>75</v>
      </c>
      <c r="C7" s="49"/>
      <c r="D7" s="49"/>
      <c r="E7" s="49"/>
      <c r="F7" s="49"/>
      <c r="N7" s="50" t="s">
        <v>61</v>
      </c>
      <c r="O7" s="51"/>
      <c r="P7" s="29"/>
      <c r="Q7" s="29"/>
      <c r="R7" s="29"/>
      <c r="S7" s="29"/>
      <c r="T7" s="29"/>
    </row>
    <row r="8" spans="1:20" ht="16.5">
      <c r="A8" s="52" t="s">
        <v>58</v>
      </c>
      <c r="B8" s="53"/>
      <c r="C8" s="53"/>
      <c r="D8" s="53"/>
      <c r="E8" s="49" t="s">
        <v>151</v>
      </c>
      <c r="F8" s="49"/>
      <c r="G8" s="49"/>
      <c r="H8" s="49"/>
      <c r="I8" s="49"/>
      <c r="J8" s="49"/>
      <c r="K8" s="49"/>
      <c r="L8" s="49"/>
      <c r="M8" s="49"/>
      <c r="N8" s="54" t="s">
        <v>57</v>
      </c>
      <c r="O8" s="53"/>
      <c r="P8" s="53"/>
      <c r="Q8" s="53"/>
      <c r="R8" s="53"/>
      <c r="S8" s="53"/>
      <c r="T8" s="53"/>
    </row>
    <row r="9" spans="1:20" ht="16.5">
      <c r="A9" s="28" t="s">
        <v>69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8"/>
      <c r="P9" s="8"/>
      <c r="Q9" s="17"/>
      <c r="R9" s="17"/>
      <c r="S9" s="17"/>
      <c r="T9" s="17"/>
    </row>
    <row r="10" spans="1:20" ht="16.5">
      <c r="A10" s="28" t="s">
        <v>70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17"/>
      <c r="R10" s="17"/>
      <c r="S10" s="17"/>
      <c r="T10" s="17"/>
    </row>
    <row r="11" spans="1:20" ht="16.5">
      <c r="A11" s="28" t="s">
        <v>71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17"/>
      <c r="R11" s="17"/>
      <c r="S11" s="17"/>
      <c r="T11" s="17"/>
    </row>
    <row r="12" spans="1:20" ht="16.5">
      <c r="A12" s="50" t="s">
        <v>56</v>
      </c>
      <c r="B12" s="53"/>
      <c r="C12" s="49" t="s">
        <v>15</v>
      </c>
      <c r="D12" s="49"/>
      <c r="E12" s="49"/>
      <c r="F12" s="49"/>
      <c r="G12" s="49"/>
      <c r="H12" s="63"/>
      <c r="I12" s="63"/>
      <c r="J12" s="63"/>
      <c r="K12" s="63"/>
      <c r="L12" s="63"/>
      <c r="M12" s="63"/>
      <c r="N12" s="58"/>
      <c r="O12" s="58"/>
      <c r="P12" s="58"/>
      <c r="Q12" s="58"/>
      <c r="R12" s="58"/>
      <c r="S12" s="58"/>
      <c r="T12" s="58"/>
    </row>
    <row r="13" spans="1:20" ht="16.5">
      <c r="A13" s="50" t="s">
        <v>7</v>
      </c>
      <c r="B13" s="53"/>
      <c r="C13" s="53"/>
      <c r="D13" s="53"/>
      <c r="E13" s="49" t="s">
        <v>81</v>
      </c>
      <c r="F13" s="63"/>
      <c r="G13" s="63"/>
      <c r="H13" s="63"/>
      <c r="I13" s="63"/>
      <c r="J13" s="63"/>
      <c r="K13" s="63"/>
      <c r="L13" s="63"/>
      <c r="M13" s="63"/>
      <c r="N13" s="58"/>
      <c r="O13" s="58"/>
      <c r="P13" s="58"/>
      <c r="Q13" s="58"/>
      <c r="R13" s="58"/>
      <c r="S13" s="58"/>
      <c r="T13" s="58"/>
    </row>
    <row r="14" spans="1:20" ht="15">
      <c r="A14" s="50" t="s">
        <v>6</v>
      </c>
      <c r="B14" s="67"/>
      <c r="C14" s="48" t="s">
        <v>16</v>
      </c>
      <c r="D14" s="49"/>
      <c r="E14" s="49"/>
      <c r="F14" s="49"/>
      <c r="G14" s="15" t="s">
        <v>5</v>
      </c>
      <c r="H14" s="49" t="s">
        <v>17</v>
      </c>
      <c r="I14" s="49"/>
      <c r="J14" s="49"/>
      <c r="K14" s="49"/>
      <c r="L14" s="49"/>
      <c r="M14" s="49"/>
      <c r="N14" s="58"/>
      <c r="O14" s="58"/>
      <c r="P14" s="58"/>
      <c r="Q14" s="58"/>
      <c r="R14" s="58"/>
      <c r="S14" s="58"/>
      <c r="T14" s="58"/>
    </row>
    <row r="15" spans="1:20" ht="15" thickBot="1">
      <c r="L15" s="14"/>
      <c r="M15" s="14"/>
      <c r="N15" s="59"/>
      <c r="O15" s="59"/>
      <c r="P15" s="59"/>
      <c r="Q15" s="59"/>
      <c r="R15" s="59"/>
      <c r="S15" s="59"/>
      <c r="T15" s="59"/>
    </row>
    <row r="16" spans="1:20" ht="17.25" thickTop="1">
      <c r="A16" s="56" t="s">
        <v>55</v>
      </c>
      <c r="B16" s="61"/>
      <c r="C16" s="62"/>
      <c r="D16" s="55" t="s">
        <v>54</v>
      </c>
      <c r="E16" s="61"/>
      <c r="F16" s="61"/>
      <c r="G16" s="61"/>
      <c r="H16" s="62"/>
      <c r="I16" s="55" t="s">
        <v>53</v>
      </c>
      <c r="J16" s="56"/>
      <c r="K16" s="60"/>
      <c r="L16" s="55" t="s">
        <v>52</v>
      </c>
      <c r="M16" s="65"/>
      <c r="N16" s="66"/>
      <c r="O16" s="64" t="s">
        <v>51</v>
      </c>
      <c r="P16" s="65"/>
      <c r="Q16" s="66"/>
      <c r="R16" s="55" t="s">
        <v>50</v>
      </c>
      <c r="S16" s="56"/>
      <c r="T16" s="57"/>
    </row>
    <row r="17" spans="1:18" ht="19.5" customHeight="1">
      <c r="D17" s="13" t="s">
        <v>19</v>
      </c>
    </row>
    <row r="18" spans="1:18" ht="19.5" customHeight="1">
      <c r="D18" s="13" t="s">
        <v>20</v>
      </c>
    </row>
    <row r="19" spans="1:18" ht="19.5" customHeight="1">
      <c r="D19" s="13" t="s">
        <v>21</v>
      </c>
    </row>
    <row r="20" spans="1:18" ht="19.5" customHeight="1">
      <c r="D20" s="13" t="s">
        <v>22</v>
      </c>
    </row>
    <row r="21" spans="1:18" ht="19.5" customHeight="1">
      <c r="D21" s="13" t="s">
        <v>23</v>
      </c>
    </row>
    <row r="22" spans="1:18" ht="19.5" customHeight="1">
      <c r="D22" s="13" t="s">
        <v>24</v>
      </c>
    </row>
    <row r="23" spans="1:18" ht="19.5" customHeight="1">
      <c r="D23" s="19" t="s">
        <v>25</v>
      </c>
    </row>
    <row r="24" spans="1:18" ht="19.5" customHeight="1">
      <c r="D24" s="13" t="s">
        <v>26</v>
      </c>
    </row>
    <row r="25" spans="1:18" ht="19.5" customHeight="1">
      <c r="D25" s="13" t="s">
        <v>27</v>
      </c>
    </row>
    <row r="26" spans="1:18" ht="19.5" customHeight="1">
      <c r="D26" s="20" t="s">
        <v>28</v>
      </c>
    </row>
    <row r="27" spans="1:18" ht="19.5" customHeight="1">
      <c r="A27" s="13" t="s">
        <v>62</v>
      </c>
      <c r="D27" s="13" t="s">
        <v>29</v>
      </c>
      <c r="J27" s="83">
        <v>77</v>
      </c>
      <c r="K27" s="13" t="s">
        <v>30</v>
      </c>
      <c r="M27" s="86">
        <v>19.899999999999999</v>
      </c>
      <c r="N27" s="13" t="s">
        <v>63</v>
      </c>
      <c r="P27" s="84">
        <v>20.100000000000001</v>
      </c>
      <c r="Q27" s="13" t="s">
        <v>63</v>
      </c>
    </row>
    <row r="28" spans="1:18" ht="19.5" customHeight="1">
      <c r="A28" s="13" t="s">
        <v>64</v>
      </c>
      <c r="D28" s="13" t="s">
        <v>32</v>
      </c>
      <c r="J28" s="83">
        <v>73</v>
      </c>
      <c r="K28" s="13" t="s">
        <v>30</v>
      </c>
      <c r="M28" s="86">
        <v>19.100000000000001</v>
      </c>
      <c r="N28" s="13" t="s">
        <v>63</v>
      </c>
      <c r="P28" s="84">
        <v>19.3</v>
      </c>
      <c r="Q28" s="13" t="s">
        <v>63</v>
      </c>
    </row>
    <row r="29" spans="1:18" ht="19.5" customHeight="1">
      <c r="A29" s="13" t="s">
        <v>150</v>
      </c>
      <c r="D29" s="13" t="s">
        <v>33</v>
      </c>
      <c r="J29" s="83">
        <v>74</v>
      </c>
      <c r="K29" s="13" t="s">
        <v>30</v>
      </c>
      <c r="M29" s="86">
        <v>19.7</v>
      </c>
      <c r="N29" s="13" t="s">
        <v>63</v>
      </c>
      <c r="P29" s="84">
        <v>19.899999999999999</v>
      </c>
      <c r="Q29" s="13" t="s">
        <v>63</v>
      </c>
    </row>
    <row r="30" spans="1:18" ht="19.5" customHeight="1">
      <c r="A30" s="13" t="s">
        <v>149</v>
      </c>
      <c r="D30" s="13" t="s">
        <v>33</v>
      </c>
      <c r="J30" s="83">
        <v>79</v>
      </c>
      <c r="K30" s="13" t="s">
        <v>30</v>
      </c>
      <c r="M30" s="86">
        <v>21</v>
      </c>
      <c r="N30" s="13" t="s">
        <v>63</v>
      </c>
      <c r="P30" s="84">
        <v>21.2</v>
      </c>
      <c r="Q30" s="13" t="s">
        <v>63</v>
      </c>
    </row>
    <row r="31" spans="1:18" s="87" customFormat="1" ht="19.5" customHeight="1">
      <c r="A31" s="13"/>
      <c r="B31" s="13" t="s">
        <v>82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18" s="87" customFormat="1" ht="19.5" customHeight="1">
      <c r="A32" s="13"/>
      <c r="B32" s="13" t="s">
        <v>83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1:28" s="87" customFormat="1" ht="19.5" customHeight="1">
      <c r="A33" s="13"/>
      <c r="B33" s="13" t="s">
        <v>84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1:28" s="87" customFormat="1" ht="19.5" customHeight="1">
      <c r="A34" s="13"/>
      <c r="B34" s="13" t="s">
        <v>85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1:28" s="87" customFormat="1" ht="19.5" customHeight="1">
      <c r="A35" s="13"/>
      <c r="B35" s="13" t="s">
        <v>86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1:28" s="87" customFormat="1" ht="19.5" customHeight="1">
      <c r="A36" s="13"/>
      <c r="B36" s="13" t="s">
        <v>87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1:28" s="87" customFormat="1" ht="19.5" customHeight="1">
      <c r="A37" s="13"/>
      <c r="B37" s="13" t="s">
        <v>88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1:28" s="87" customFormat="1" ht="19.5" customHeight="1">
      <c r="A38" s="13" t="s">
        <v>129</v>
      </c>
      <c r="B38" s="13" t="s">
        <v>89</v>
      </c>
      <c r="C38" s="13"/>
      <c r="D38" s="13"/>
      <c r="E38" s="13"/>
      <c r="F38" s="13"/>
      <c r="G38" s="13"/>
      <c r="H38" s="13"/>
      <c r="I38" s="13"/>
      <c r="J38" s="21">
        <v>73</v>
      </c>
      <c r="K38" s="13" t="s">
        <v>90</v>
      </c>
      <c r="L38" s="13"/>
      <c r="M38" s="86">
        <v>18.600000000000001</v>
      </c>
      <c r="N38" s="13" t="s">
        <v>63</v>
      </c>
      <c r="O38" s="13"/>
      <c r="P38" s="84">
        <v>19.100000000000001</v>
      </c>
      <c r="Q38" s="13" t="s">
        <v>63</v>
      </c>
      <c r="W38" s="13"/>
      <c r="X38" s="13"/>
      <c r="Y38" s="13"/>
      <c r="Z38" s="13"/>
      <c r="AA38" s="13"/>
      <c r="AB38" s="13"/>
    </row>
    <row r="39" spans="1:28" s="87" customFormat="1" ht="19.5" customHeight="1">
      <c r="A39" s="13"/>
      <c r="B39" s="13" t="s">
        <v>130</v>
      </c>
      <c r="C39" s="13"/>
      <c r="D39" s="13"/>
      <c r="E39" s="13"/>
      <c r="F39" s="13"/>
      <c r="G39" s="13"/>
      <c r="H39" s="13"/>
      <c r="I39" s="13"/>
      <c r="J39" s="21"/>
      <c r="K39" s="13"/>
      <c r="L39" s="13"/>
      <c r="M39" s="86"/>
      <c r="N39" s="13"/>
      <c r="O39" s="13"/>
      <c r="P39" s="84"/>
      <c r="Q39" s="13"/>
      <c r="W39" s="13"/>
      <c r="X39" s="13"/>
      <c r="Y39" s="13"/>
      <c r="Z39" s="13"/>
      <c r="AA39" s="13"/>
      <c r="AB39" s="13"/>
    </row>
    <row r="40" spans="1:28" s="87" customFormat="1" ht="19.5" customHeight="1">
      <c r="A40" s="13" t="s">
        <v>131</v>
      </c>
      <c r="B40" s="13" t="s">
        <v>132</v>
      </c>
      <c r="C40" s="13"/>
      <c r="D40" s="13"/>
      <c r="E40" s="13"/>
      <c r="F40" s="13"/>
      <c r="G40" s="13"/>
      <c r="H40" s="13"/>
      <c r="I40" s="13"/>
      <c r="J40" s="21">
        <v>33</v>
      </c>
      <c r="K40" s="13" t="s">
        <v>90</v>
      </c>
      <c r="L40" s="13"/>
      <c r="M40" s="86">
        <v>8.3000000000000007</v>
      </c>
      <c r="N40" s="13" t="s">
        <v>63</v>
      </c>
      <c r="O40" s="13"/>
      <c r="P40" s="84">
        <v>8.8000000000000007</v>
      </c>
      <c r="Q40" s="13" t="s">
        <v>63</v>
      </c>
      <c r="W40" s="13"/>
      <c r="X40" s="13"/>
      <c r="Y40" s="13"/>
      <c r="Z40" s="13"/>
      <c r="AA40" s="13"/>
      <c r="AB40" s="13"/>
    </row>
    <row r="41" spans="1:28" s="87" customFormat="1" ht="19.5" customHeight="1">
      <c r="A41" s="13" t="s">
        <v>133</v>
      </c>
      <c r="B41" s="13" t="s">
        <v>132</v>
      </c>
      <c r="C41" s="13"/>
      <c r="D41" s="13"/>
      <c r="E41" s="13"/>
      <c r="F41" s="13"/>
      <c r="G41" s="13"/>
      <c r="H41" s="13"/>
      <c r="I41" s="13"/>
      <c r="J41" s="21">
        <v>72</v>
      </c>
      <c r="K41" s="13" t="s">
        <v>90</v>
      </c>
      <c r="L41" s="13"/>
      <c r="M41" s="86">
        <v>17.5</v>
      </c>
      <c r="N41" s="13" t="s">
        <v>63</v>
      </c>
      <c r="O41" s="13"/>
      <c r="P41" s="84">
        <v>18.5</v>
      </c>
      <c r="Q41" s="13" t="s">
        <v>63</v>
      </c>
      <c r="W41" s="13"/>
      <c r="X41" s="13"/>
      <c r="Y41" s="13"/>
      <c r="Z41" s="13"/>
      <c r="AA41" s="13"/>
      <c r="AB41" s="13"/>
    </row>
    <row r="42" spans="1:28" s="87" customFormat="1" ht="19.5" customHeight="1">
      <c r="A42" s="13" t="s">
        <v>134</v>
      </c>
      <c r="B42" s="13" t="s">
        <v>91</v>
      </c>
      <c r="C42" s="13"/>
      <c r="D42" s="13"/>
      <c r="E42" s="13"/>
      <c r="F42" s="13"/>
      <c r="G42" s="13"/>
      <c r="H42" s="13"/>
      <c r="I42" s="13"/>
      <c r="J42" s="21">
        <v>36</v>
      </c>
      <c r="K42" s="13" t="s">
        <v>90</v>
      </c>
      <c r="L42" s="13"/>
      <c r="M42" s="86">
        <v>9.1</v>
      </c>
      <c r="N42" s="13" t="s">
        <v>63</v>
      </c>
      <c r="O42" s="13"/>
      <c r="P42" s="84">
        <v>9.6</v>
      </c>
      <c r="Q42" s="13" t="s">
        <v>63</v>
      </c>
      <c r="W42" s="13"/>
      <c r="X42" s="13"/>
      <c r="Y42" s="13"/>
      <c r="Z42" s="13"/>
      <c r="AA42" s="13"/>
      <c r="AB42" s="13"/>
    </row>
    <row r="43" spans="1:28" s="87" customFormat="1" ht="19.5" customHeight="1">
      <c r="A43" s="13"/>
      <c r="B43" s="13" t="s">
        <v>135</v>
      </c>
      <c r="C43" s="13"/>
      <c r="D43" s="13"/>
      <c r="E43" s="13"/>
      <c r="F43" s="13"/>
      <c r="G43" s="13"/>
      <c r="H43" s="13"/>
      <c r="I43" s="13"/>
      <c r="J43" s="21"/>
      <c r="K43" s="13"/>
      <c r="L43" s="13"/>
      <c r="M43" s="86"/>
      <c r="N43" s="13"/>
      <c r="O43" s="13"/>
      <c r="P43" s="84"/>
      <c r="Q43" s="13"/>
      <c r="W43" s="13"/>
      <c r="X43" s="13"/>
      <c r="Y43" s="13"/>
      <c r="Z43" s="13"/>
      <c r="AA43" s="13"/>
      <c r="AB43" s="13"/>
    </row>
    <row r="44" spans="1:28" s="87" customFormat="1" ht="19.5" customHeight="1">
      <c r="A44" s="13" t="s">
        <v>136</v>
      </c>
      <c r="B44" s="13" t="s">
        <v>92</v>
      </c>
      <c r="C44" s="13"/>
      <c r="D44" s="13"/>
      <c r="E44" s="13"/>
      <c r="F44" s="13"/>
      <c r="G44" s="13"/>
      <c r="H44" s="13"/>
      <c r="I44" s="13"/>
      <c r="J44" s="21">
        <v>46</v>
      </c>
      <c r="K44" s="13" t="s">
        <v>90</v>
      </c>
      <c r="L44" s="13"/>
      <c r="M44" s="86">
        <v>11.6</v>
      </c>
      <c r="N44" s="13" t="s">
        <v>63</v>
      </c>
      <c r="O44" s="13"/>
      <c r="P44" s="84">
        <v>12.1</v>
      </c>
      <c r="Q44" s="13" t="s">
        <v>63</v>
      </c>
      <c r="W44" s="13"/>
      <c r="X44" s="13"/>
      <c r="Y44" s="13"/>
      <c r="Z44" s="13"/>
      <c r="AA44" s="13"/>
      <c r="AB44" s="13"/>
    </row>
    <row r="45" spans="1:28" s="87" customFormat="1" ht="19.5" customHeight="1">
      <c r="A45" s="13"/>
      <c r="B45" s="13" t="s">
        <v>137</v>
      </c>
      <c r="C45" s="13"/>
      <c r="D45" s="13"/>
      <c r="E45" s="13"/>
      <c r="F45" s="13"/>
      <c r="G45" s="13"/>
      <c r="H45" s="13"/>
      <c r="I45" s="13"/>
      <c r="J45" s="21"/>
      <c r="K45" s="13"/>
      <c r="L45" s="13"/>
      <c r="M45" s="86"/>
      <c r="N45" s="13"/>
      <c r="O45" s="13"/>
      <c r="P45" s="84"/>
      <c r="Q45" s="13"/>
      <c r="W45" s="13"/>
      <c r="X45" s="13"/>
      <c r="Y45" s="13"/>
      <c r="Z45" s="13"/>
      <c r="AA45" s="13"/>
      <c r="AB45" s="13"/>
    </row>
    <row r="46" spans="1:28" s="87" customFormat="1" ht="19.5" customHeight="1">
      <c r="A46" s="13" t="s">
        <v>138</v>
      </c>
      <c r="B46" s="13" t="s">
        <v>132</v>
      </c>
      <c r="C46" s="13"/>
      <c r="D46" s="13"/>
      <c r="E46" s="13"/>
      <c r="F46" s="13"/>
      <c r="G46" s="13"/>
      <c r="H46" s="13"/>
      <c r="I46" s="13"/>
      <c r="J46" s="21">
        <v>72</v>
      </c>
      <c r="K46" s="13" t="s">
        <v>90</v>
      </c>
      <c r="L46" s="13"/>
      <c r="M46" s="86">
        <v>17.399999999999999</v>
      </c>
      <c r="N46" s="13" t="s">
        <v>63</v>
      </c>
      <c r="O46" s="13"/>
      <c r="P46" s="84">
        <v>17.899999999999999</v>
      </c>
      <c r="Q46" s="13" t="s">
        <v>63</v>
      </c>
      <c r="W46" s="13"/>
      <c r="X46" s="13"/>
      <c r="Y46" s="13"/>
      <c r="Z46" s="13"/>
      <c r="AA46" s="13"/>
      <c r="AB46" s="13"/>
    </row>
    <row r="47" spans="1:28" s="87" customFormat="1" ht="19.5" customHeight="1">
      <c r="A47" s="13" t="s">
        <v>139</v>
      </c>
      <c r="B47" s="13" t="s">
        <v>93</v>
      </c>
      <c r="C47" s="13"/>
      <c r="D47" s="13"/>
      <c r="E47" s="13"/>
      <c r="F47" s="13"/>
      <c r="G47" s="13"/>
      <c r="H47" s="13"/>
      <c r="I47" s="13"/>
      <c r="J47" s="21">
        <v>67</v>
      </c>
      <c r="K47" s="13" t="s">
        <v>90</v>
      </c>
      <c r="L47" s="13"/>
      <c r="M47" s="86">
        <v>17</v>
      </c>
      <c r="N47" s="13" t="s">
        <v>63</v>
      </c>
      <c r="O47" s="13"/>
      <c r="P47" s="84">
        <v>17.5</v>
      </c>
      <c r="Q47" s="13" t="s">
        <v>63</v>
      </c>
      <c r="W47" s="13"/>
      <c r="X47" s="13"/>
      <c r="Y47" s="13"/>
      <c r="Z47" s="13"/>
      <c r="AA47" s="13"/>
      <c r="AB47" s="13"/>
    </row>
    <row r="48" spans="1:28" s="87" customFormat="1" ht="19.5" customHeight="1">
      <c r="A48" s="13"/>
      <c r="B48" s="13" t="s">
        <v>140</v>
      </c>
      <c r="C48" s="13"/>
      <c r="D48" s="13"/>
      <c r="E48" s="13"/>
      <c r="F48" s="13"/>
      <c r="G48" s="13"/>
      <c r="H48" s="13"/>
      <c r="I48" s="13"/>
      <c r="J48" s="21"/>
      <c r="K48" s="13"/>
      <c r="L48" s="13"/>
      <c r="M48" s="86"/>
      <c r="N48" s="13"/>
      <c r="O48" s="13"/>
      <c r="P48" s="84"/>
      <c r="Q48" s="13"/>
      <c r="W48" s="13"/>
      <c r="X48" s="13"/>
      <c r="Y48" s="13"/>
      <c r="Z48" s="13"/>
      <c r="AA48" s="13"/>
      <c r="AB48" s="13"/>
    </row>
    <row r="49" spans="1:28" s="87" customFormat="1" ht="19.5" customHeight="1">
      <c r="A49" s="13" t="s">
        <v>141</v>
      </c>
      <c r="B49" s="13" t="s">
        <v>94</v>
      </c>
      <c r="C49" s="13"/>
      <c r="D49" s="13"/>
      <c r="E49" s="13"/>
      <c r="F49" s="13"/>
      <c r="G49" s="13"/>
      <c r="H49" s="13"/>
      <c r="I49" s="13"/>
      <c r="J49" s="21">
        <v>73</v>
      </c>
      <c r="K49" s="13" t="s">
        <v>90</v>
      </c>
      <c r="L49" s="13"/>
      <c r="M49" s="86">
        <v>18.100000000000001</v>
      </c>
      <c r="N49" s="13" t="s">
        <v>63</v>
      </c>
      <c r="O49" s="13"/>
      <c r="P49" s="84">
        <v>18.600000000000001</v>
      </c>
      <c r="Q49" s="13" t="s">
        <v>63</v>
      </c>
      <c r="W49" s="13"/>
      <c r="X49" s="13"/>
      <c r="Y49" s="13"/>
      <c r="Z49" s="13"/>
      <c r="AA49" s="13"/>
      <c r="AB49" s="13"/>
    </row>
    <row r="50" spans="1:28" s="87" customFormat="1" ht="19.5" customHeight="1">
      <c r="A50" s="13"/>
      <c r="B50" s="13" t="s">
        <v>142</v>
      </c>
      <c r="C50" s="13"/>
      <c r="D50" s="13"/>
      <c r="E50" s="13"/>
      <c r="F50" s="13"/>
      <c r="G50" s="13"/>
      <c r="H50" s="13"/>
      <c r="I50" s="13"/>
      <c r="J50" s="21"/>
      <c r="K50" s="13"/>
      <c r="L50" s="13"/>
      <c r="M50" s="86"/>
      <c r="N50" s="13"/>
      <c r="O50" s="13"/>
      <c r="P50" s="84"/>
      <c r="Q50" s="13"/>
      <c r="W50" s="13"/>
      <c r="X50" s="13"/>
      <c r="Y50" s="13"/>
      <c r="Z50" s="13"/>
      <c r="AA50" s="13"/>
      <c r="AB50" s="13"/>
    </row>
    <row r="51" spans="1:28" s="87" customFormat="1" ht="19.5" customHeight="1">
      <c r="A51" s="13" t="s">
        <v>143</v>
      </c>
      <c r="B51" s="13" t="s">
        <v>132</v>
      </c>
      <c r="C51" s="13"/>
      <c r="D51" s="13"/>
      <c r="E51" s="13"/>
      <c r="F51" s="13"/>
      <c r="G51" s="13"/>
      <c r="H51" s="13"/>
      <c r="I51" s="13"/>
      <c r="J51" s="21">
        <v>70</v>
      </c>
      <c r="K51" s="13" t="s">
        <v>90</v>
      </c>
      <c r="L51" s="13"/>
      <c r="M51" s="86">
        <v>17.5</v>
      </c>
      <c r="N51" s="13" t="s">
        <v>63</v>
      </c>
      <c r="O51" s="13"/>
      <c r="P51" s="84">
        <v>18</v>
      </c>
      <c r="Q51" s="13" t="s">
        <v>63</v>
      </c>
      <c r="W51" s="13"/>
      <c r="X51" s="13"/>
      <c r="Y51" s="13"/>
      <c r="Z51" s="13"/>
      <c r="AA51" s="13"/>
      <c r="AB51" s="13"/>
    </row>
    <row r="52" spans="1:28" s="87" customFormat="1" ht="19.5" customHeight="1">
      <c r="A52" s="13" t="s">
        <v>144</v>
      </c>
      <c r="B52" s="13" t="s">
        <v>132</v>
      </c>
      <c r="C52" s="13"/>
      <c r="D52" s="13"/>
      <c r="E52" s="13"/>
      <c r="F52" s="13"/>
      <c r="G52" s="13"/>
      <c r="H52" s="13"/>
      <c r="I52" s="13"/>
      <c r="J52" s="21">
        <v>16</v>
      </c>
      <c r="K52" s="13" t="s">
        <v>90</v>
      </c>
      <c r="L52" s="13"/>
      <c r="M52" s="86">
        <v>4.0999999999999996</v>
      </c>
      <c r="N52" s="13" t="s">
        <v>63</v>
      </c>
      <c r="O52" s="13"/>
      <c r="P52" s="84">
        <v>4.5999999999999996</v>
      </c>
      <c r="Q52" s="13" t="s">
        <v>63</v>
      </c>
      <c r="W52" s="13"/>
      <c r="X52" s="13"/>
      <c r="Y52" s="13"/>
      <c r="Z52" s="13"/>
      <c r="AA52" s="13"/>
      <c r="AB52" s="13"/>
    </row>
    <row r="53" spans="1:28" s="87" customFormat="1" ht="19.5" customHeight="1">
      <c r="A53" s="13"/>
      <c r="B53" s="13"/>
      <c r="C53" s="13"/>
      <c r="D53" s="13"/>
      <c r="E53" s="13"/>
      <c r="F53" s="13"/>
      <c r="G53" s="13"/>
      <c r="H53" s="13"/>
      <c r="I53" s="13"/>
      <c r="J53" s="21"/>
      <c r="K53" s="13"/>
      <c r="L53" s="13"/>
      <c r="M53" s="86"/>
      <c r="N53" s="13"/>
      <c r="O53" s="13"/>
      <c r="P53" s="84"/>
      <c r="Q53" s="13"/>
      <c r="W53" s="13"/>
      <c r="X53" s="13"/>
      <c r="Y53" s="13"/>
      <c r="Z53" s="13"/>
      <c r="AA53" s="13"/>
      <c r="AB53" s="13"/>
    </row>
    <row r="54" spans="1:28" ht="19.5" customHeight="1">
      <c r="D54" s="74" t="s">
        <v>95</v>
      </c>
      <c r="E54" s="75"/>
      <c r="F54" s="75"/>
      <c r="G54" s="75"/>
      <c r="H54" s="75"/>
    </row>
    <row r="55" spans="1:28" ht="19.5" customHeight="1">
      <c r="D55" s="74" t="s">
        <v>96</v>
      </c>
      <c r="E55" s="75"/>
      <c r="F55" s="75"/>
      <c r="G55" s="75"/>
      <c r="H55" s="75"/>
    </row>
    <row r="56" spans="1:28" ht="19.5" customHeight="1">
      <c r="D56" s="74" t="s">
        <v>97</v>
      </c>
      <c r="E56" s="75"/>
      <c r="F56" s="75"/>
      <c r="G56" s="75"/>
      <c r="H56" s="75"/>
    </row>
    <row r="57" spans="1:28" ht="19.5" customHeight="1">
      <c r="D57" s="74" t="s">
        <v>98</v>
      </c>
      <c r="E57" s="75"/>
      <c r="F57" s="75"/>
      <c r="G57" s="75"/>
      <c r="H57" s="75"/>
    </row>
    <row r="58" spans="1:28" ht="19.5" customHeight="1">
      <c r="D58" s="74" t="s">
        <v>99</v>
      </c>
      <c r="E58" s="75"/>
      <c r="F58" s="75"/>
      <c r="G58" s="75"/>
      <c r="H58" s="75"/>
    </row>
    <row r="59" spans="1:28" ht="19.5" customHeight="1">
      <c r="D59" s="74"/>
      <c r="E59" s="75"/>
      <c r="F59" s="75"/>
      <c r="G59" s="75"/>
      <c r="H59" s="75"/>
    </row>
    <row r="60" spans="1:28" ht="19.5" customHeight="1">
      <c r="A60" s="13" t="s">
        <v>128</v>
      </c>
      <c r="D60" s="88" t="s">
        <v>145</v>
      </c>
      <c r="E60" s="89"/>
      <c r="J60" s="83"/>
      <c r="M60" s="86"/>
      <c r="P60" s="84"/>
    </row>
    <row r="61" spans="1:28" ht="19.5" customHeight="1">
      <c r="A61" s="89" t="s">
        <v>146</v>
      </c>
      <c r="D61" s="89" t="s">
        <v>101</v>
      </c>
      <c r="E61" s="89"/>
      <c r="J61" s="83">
        <v>40</v>
      </c>
      <c r="K61" s="13" t="s">
        <v>30</v>
      </c>
      <c r="M61" s="86">
        <v>11.3</v>
      </c>
      <c r="N61" s="13" t="s">
        <v>63</v>
      </c>
      <c r="P61" s="84">
        <v>11.8</v>
      </c>
      <c r="Q61" s="13" t="s">
        <v>63</v>
      </c>
    </row>
    <row r="62" spans="1:28" ht="19.5" customHeight="1">
      <c r="A62" s="89" t="s">
        <v>147</v>
      </c>
      <c r="D62" s="89" t="s">
        <v>102</v>
      </c>
      <c r="E62" s="89"/>
      <c r="J62" s="83">
        <v>19</v>
      </c>
      <c r="K62" s="13" t="s">
        <v>30</v>
      </c>
      <c r="M62" s="86">
        <v>5.5</v>
      </c>
      <c r="N62" s="13" t="s">
        <v>63</v>
      </c>
      <c r="P62" s="84">
        <v>6</v>
      </c>
      <c r="Q62" s="13" t="s">
        <v>63</v>
      </c>
    </row>
    <row r="63" spans="1:28" ht="16.5">
      <c r="A63" s="19" t="s">
        <v>65</v>
      </c>
      <c r="P63" s="85"/>
    </row>
    <row r="64" spans="1:28">
      <c r="A64" s="83">
        <v>16</v>
      </c>
      <c r="B64" s="13" t="s">
        <v>66</v>
      </c>
      <c r="J64" s="83">
        <v>920</v>
      </c>
      <c r="K64" s="13" t="s">
        <v>30</v>
      </c>
      <c r="M64" s="86">
        <f>SUM(M27:M63)</f>
        <v>235.70000000000002</v>
      </c>
      <c r="N64" s="13" t="s">
        <v>63</v>
      </c>
      <c r="P64" s="84">
        <f>SUM(P27:P63)</f>
        <v>243</v>
      </c>
      <c r="Q64" s="13" t="s">
        <v>63</v>
      </c>
    </row>
    <row r="65" spans="1:17">
      <c r="A65" s="21" t="s">
        <v>67</v>
      </c>
      <c r="B65" s="13" t="s">
        <v>36</v>
      </c>
      <c r="J65" s="21" t="s">
        <v>34</v>
      </c>
      <c r="K65" s="13" t="s">
        <v>35</v>
      </c>
      <c r="M65" s="21" t="s">
        <v>68</v>
      </c>
      <c r="N65" s="13" t="s">
        <v>35</v>
      </c>
      <c r="P65" s="21" t="s">
        <v>68</v>
      </c>
      <c r="Q65" s="13" t="s">
        <v>35</v>
      </c>
    </row>
    <row r="66" spans="1:17">
      <c r="D66" s="13" t="s">
        <v>148</v>
      </c>
    </row>
    <row r="67" spans="1:17">
      <c r="A67" s="13" t="s">
        <v>37</v>
      </c>
    </row>
    <row r="68" spans="1:17">
      <c r="A68" s="13" t="s">
        <v>38</v>
      </c>
    </row>
    <row r="69" spans="1:17">
      <c r="A69" s="13" t="s">
        <v>39</v>
      </c>
    </row>
    <row r="70" spans="1:17">
      <c r="A70" s="13" t="s">
        <v>40</v>
      </c>
    </row>
    <row r="71" spans="1:17">
      <c r="A71" s="13" t="s">
        <v>41</v>
      </c>
    </row>
    <row r="72" spans="1:17">
      <c r="A72" s="13" t="s">
        <v>42</v>
      </c>
    </row>
    <row r="73" spans="1:17">
      <c r="A73" s="13" t="s">
        <v>43</v>
      </c>
    </row>
    <row r="74" spans="1:17">
      <c r="A74" s="13" t="s">
        <v>44</v>
      </c>
    </row>
    <row r="75" spans="1:17">
      <c r="A75" s="13" t="s">
        <v>45</v>
      </c>
    </row>
    <row r="76" spans="1:17">
      <c r="A76" s="13" t="s">
        <v>46</v>
      </c>
    </row>
    <row r="77" spans="1:17">
      <c r="A77" s="13" t="s">
        <v>47</v>
      </c>
    </row>
    <row r="78" spans="1:17">
      <c r="A78" s="13" t="s">
        <v>48</v>
      </c>
    </row>
    <row r="79" spans="1:17">
      <c r="A79" s="13" t="s">
        <v>49</v>
      </c>
    </row>
    <row r="82" spans="1:4">
      <c r="A82" s="71" t="s">
        <v>128</v>
      </c>
      <c r="B82" s="71"/>
      <c r="C82" s="1"/>
      <c r="D82" s="1"/>
    </row>
    <row r="83" spans="1:4">
      <c r="A83" s="73" t="s">
        <v>107</v>
      </c>
      <c r="B83" s="71"/>
      <c r="C83" s="1"/>
      <c r="D83" s="1"/>
    </row>
    <row r="84" spans="1:4">
      <c r="A84" s="73" t="s">
        <v>108</v>
      </c>
      <c r="B84" s="71"/>
      <c r="C84" s="1"/>
      <c r="D84" s="1"/>
    </row>
    <row r="85" spans="1:4">
      <c r="A85" s="73" t="s">
        <v>109</v>
      </c>
      <c r="B85" s="71"/>
      <c r="C85" s="1"/>
      <c r="D85" s="1"/>
    </row>
    <row r="86" spans="1:4">
      <c r="A86" s="73" t="s">
        <v>110</v>
      </c>
      <c r="B86" s="71"/>
      <c r="C86" s="1"/>
      <c r="D86" s="1"/>
    </row>
    <row r="87" spans="1:4">
      <c r="A87" s="73" t="s">
        <v>111</v>
      </c>
      <c r="B87" s="71"/>
      <c r="C87" s="1"/>
      <c r="D87" s="1"/>
    </row>
    <row r="88" spans="1:4">
      <c r="A88" s="73" t="s">
        <v>112</v>
      </c>
      <c r="B88" s="71"/>
      <c r="C88" s="1"/>
      <c r="D88" s="1"/>
    </row>
    <row r="89" spans="1:4">
      <c r="A89" s="73" t="s">
        <v>113</v>
      </c>
      <c r="B89" s="71"/>
      <c r="C89" s="1"/>
      <c r="D89" s="1"/>
    </row>
    <row r="90" spans="1:4">
      <c r="A90" s="73" t="s">
        <v>114</v>
      </c>
      <c r="B90" s="71"/>
      <c r="C90" s="1"/>
      <c r="D90" s="1"/>
    </row>
    <row r="91" spans="1:4">
      <c r="A91" s="73" t="s">
        <v>115</v>
      </c>
      <c r="B91" s="71"/>
      <c r="C91" s="1"/>
      <c r="D91" s="1"/>
    </row>
    <row r="92" spans="1:4">
      <c r="A92" s="73" t="s">
        <v>116</v>
      </c>
      <c r="B92" s="71"/>
      <c r="C92" s="1"/>
      <c r="D92" s="1"/>
    </row>
    <row r="93" spans="1:4">
      <c r="A93" s="73" t="s">
        <v>117</v>
      </c>
      <c r="B93" s="71"/>
      <c r="C93" s="1"/>
      <c r="D93" s="1"/>
    </row>
    <row r="94" spans="1:4">
      <c r="A94" s="73" t="s">
        <v>118</v>
      </c>
      <c r="B94" s="71"/>
      <c r="C94" s="1"/>
      <c r="D94" s="1"/>
    </row>
    <row r="95" spans="1:4">
      <c r="A95" s="73" t="s">
        <v>41</v>
      </c>
      <c r="B95" s="7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 ht="16.5">
      <c r="A98" s="76" t="s">
        <v>107</v>
      </c>
      <c r="B98"/>
      <c r="C98"/>
      <c r="D98" s="1"/>
    </row>
    <row r="99" spans="1:4" ht="16.5">
      <c r="A99" s="76" t="s">
        <v>119</v>
      </c>
      <c r="B99"/>
      <c r="C99"/>
      <c r="D99" s="1"/>
    </row>
    <row r="100" spans="1:4" ht="16.5">
      <c r="A100" s="76" t="s">
        <v>109</v>
      </c>
      <c r="B100"/>
      <c r="C100"/>
      <c r="D100" s="1"/>
    </row>
    <row r="101" spans="1:4" ht="16.5">
      <c r="A101" s="76" t="s">
        <v>120</v>
      </c>
      <c r="B101"/>
      <c r="C101"/>
      <c r="D101" s="1"/>
    </row>
    <row r="102" spans="1:4" ht="16.5">
      <c r="A102" s="76" t="s">
        <v>121</v>
      </c>
      <c r="B102"/>
      <c r="C102"/>
      <c r="D102" s="1"/>
    </row>
    <row r="103" spans="1:4" ht="16.5">
      <c r="A103" s="76" t="s">
        <v>122</v>
      </c>
      <c r="B103" s="75"/>
      <c r="C103" s="75"/>
      <c r="D103" s="1"/>
    </row>
    <row r="104" spans="1:4" ht="16.5">
      <c r="A104" s="76" t="s">
        <v>123</v>
      </c>
      <c r="B104" s="75"/>
      <c r="C104" s="75"/>
      <c r="D104" s="1"/>
    </row>
    <row r="105" spans="1:4" ht="16.5">
      <c r="A105" s="76" t="s">
        <v>114</v>
      </c>
      <c r="B105" s="75"/>
      <c r="C105" s="75"/>
      <c r="D105" s="1"/>
    </row>
    <row r="106" spans="1:4" ht="16.5">
      <c r="A106" s="76" t="s">
        <v>124</v>
      </c>
      <c r="B106" s="75"/>
      <c r="C106" s="75"/>
      <c r="D106" s="1"/>
    </row>
    <row r="107" spans="1:4" ht="16.5">
      <c r="A107" s="76" t="s">
        <v>125</v>
      </c>
      <c r="B107" s="75"/>
      <c r="C107" s="75"/>
      <c r="D107" s="1"/>
    </row>
    <row r="108" spans="1:4" ht="16.5">
      <c r="A108" s="76" t="s">
        <v>126</v>
      </c>
      <c r="B108" s="75"/>
      <c r="C108" s="75"/>
      <c r="D108" s="1"/>
    </row>
    <row r="109" spans="1:4" ht="16.5">
      <c r="A109" s="76" t="s">
        <v>127</v>
      </c>
      <c r="B109" s="75"/>
      <c r="C109" s="75"/>
      <c r="D109" s="1"/>
    </row>
    <row r="110" spans="1:4" ht="16.5">
      <c r="A110" s="76" t="s">
        <v>41</v>
      </c>
      <c r="B110" s="75"/>
      <c r="C110" s="75"/>
      <c r="D110" s="1"/>
    </row>
  </sheetData>
  <mergeCells count="26">
    <mergeCell ref="A9:N9"/>
    <mergeCell ref="A10:P10"/>
    <mergeCell ref="A11:P11"/>
    <mergeCell ref="A13:D13"/>
    <mergeCell ref="E13:M13"/>
    <mergeCell ref="C12:M12"/>
    <mergeCell ref="A12:B12"/>
    <mergeCell ref="R16:T16"/>
    <mergeCell ref="N12:T15"/>
    <mergeCell ref="I16:K16"/>
    <mergeCell ref="H14:M14"/>
    <mergeCell ref="D16:H16"/>
    <mergeCell ref="O16:Q16"/>
    <mergeCell ref="L16:N16"/>
    <mergeCell ref="C14:F14"/>
    <mergeCell ref="A16:C16"/>
    <mergeCell ref="A14:B14"/>
    <mergeCell ref="A8:D8"/>
    <mergeCell ref="E8:M8"/>
    <mergeCell ref="N8:T8"/>
    <mergeCell ref="A1:T1"/>
    <mergeCell ref="A5:T5"/>
    <mergeCell ref="A2:T2"/>
    <mergeCell ref="B7:F7"/>
    <mergeCell ref="N7:T7"/>
    <mergeCell ref="A3:P3"/>
  </mergeCells>
  <phoneticPr fontId="3" type="noConversion"/>
  <printOptions horizontalCentered="1"/>
  <pageMargins left="0.19685039370078741" right="0.19685039370078741" top="0.39370078740157483" bottom="0.39370078740157483" header="0" footer="0"/>
  <pageSetup paperSize="9" orientation="portrait" horizontalDpi="180" verticalDpi="180" r:id="rId1"/>
  <headerFooter alignWithMargins="0">
    <oddFooter>&amp;C&amp;"Times New Roman,標準"PAGE: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INVOICE</vt:lpstr>
      <vt:lpstr>PACKING</vt:lpstr>
      <vt:lpstr>INVOICE!Print_Titles</vt:lpstr>
      <vt:lpstr>PACKING!Print_Titles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FK-Daisy Tsai</cp:lastModifiedBy>
  <cp:lastPrinted>2026-08-11T01:27:21Z</cp:lastPrinted>
  <dcterms:created xsi:type="dcterms:W3CDTF">2026-08-07T07:43:45Z</dcterms:created>
  <dcterms:modified xsi:type="dcterms:W3CDTF">2026-08-11T01:48:07Z</dcterms:modified>
</cp:coreProperties>
</file>