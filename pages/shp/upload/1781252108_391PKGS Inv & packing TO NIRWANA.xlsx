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5 月2026年\1150508 TWN to Nirwans(May 16) 有換船 遠東, 新光, 立泰 391 PKGS\"/>
    </mc:Choice>
  </mc:AlternateContent>
  <xr:revisionPtr revIDLastSave="0" documentId="13_ncr:1_{FCD2F2A8-AB3B-4571-B3A7-0697B64A9E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324 Rolls details" sheetId="6" r:id="rId3"/>
    <sheet name="8 rolls details" sheetId="7" r:id="rId4"/>
  </sheets>
  <definedNames>
    <definedName name="_xlnm._FilterDatabase" localSheetId="2" hidden="1">'324 Rolls details'!$A$1:$N$326</definedName>
    <definedName name="_xlnm.Print_Titles" localSheetId="0">INVOICE!$16:$16</definedName>
    <definedName name="_xlnm.Print_Titles" localSheetId="1">PACKING!$17:$17</definedName>
  </definedNames>
  <calcPr calcId="181029"/>
</workbook>
</file>

<file path=xl/calcChain.xml><?xml version="1.0" encoding="utf-8"?>
<calcChain xmlns="http://schemas.openxmlformats.org/spreadsheetml/2006/main">
  <c r="J191" i="5" l="1"/>
  <c r="K140" i="4"/>
  <c r="P10" i="7"/>
  <c r="O10" i="7"/>
  <c r="N10" i="7"/>
  <c r="L327" i="6" l="1"/>
  <c r="M191" i="5"/>
  <c r="P191" i="5"/>
  <c r="J182" i="5"/>
  <c r="O182" i="5" s="1"/>
  <c r="J178" i="5"/>
  <c r="O178" i="5" s="1"/>
  <c r="K131" i="4"/>
  <c r="P131" i="4" s="1"/>
  <c r="K127" i="4"/>
  <c r="P127" i="4" s="1"/>
  <c r="J188" i="5"/>
  <c r="J187" i="5"/>
  <c r="J192" i="5" s="1"/>
  <c r="K137" i="4"/>
  <c r="P137" i="4" s="1"/>
  <c r="K136" i="4"/>
  <c r="P136" i="4" s="1"/>
  <c r="P76" i="4"/>
  <c r="P140" i="4" s="1"/>
  <c r="K141" i="4" l="1"/>
</calcChain>
</file>

<file path=xl/sharedStrings.xml><?xml version="1.0" encoding="utf-8"?>
<sst xmlns="http://schemas.openxmlformats.org/spreadsheetml/2006/main" count="4033" uniqueCount="671">
  <si>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</si>
  <si>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</si>
  <si>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</si>
  <si>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</si>
  <si>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</si>
  <si>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</si>
  <si>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</si>
  <si>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</si>
  <si>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</si>
  <si>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</si>
  <si>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</si>
  <si>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</si>
  <si>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</si>
  <si>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</si>
  <si>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TTUY26051046</t>
  </si>
  <si>
    <t>FU KWOK KNITTING &amp; GARMENT CO.,LTD</t>
  </si>
  <si>
    <t>No. 110, Nanzih Dist., Kaohsiung City 811, Taiwan (R.O.C.)</t>
  </si>
  <si>
    <t>EVER BLINK V.1191-082B</t>
  </si>
  <si>
    <t>KAOHSIUNG,TAIWAN</t>
  </si>
  <si>
    <t>JAKARTA,INDONESIA</t>
  </si>
  <si>
    <t>MAY.17,2026</t>
  </si>
  <si>
    <t>FOB TAIWAN</t>
  </si>
  <si>
    <t>----------</t>
  </si>
  <si>
    <t>KNITTED FABRIC 100% POLYESTER</t>
  </si>
  <si>
    <t xml:space="preserve">#074418 + knit + Piece Dye + </t>
  </si>
  <si>
    <t>Synthetic fiber + 100% Polyester</t>
  </si>
  <si>
    <t>+ 60 IN * 180 g/m2</t>
  </si>
  <si>
    <t>ORDER NO.: 26K3083600 (26CF74418B3)</t>
  </si>
  <si>
    <t>---------------------</t>
  </si>
  <si>
    <t>FEPO: 6K060B21,B23,B24,XM6930</t>
  </si>
  <si>
    <t>STYLE: AM,AS,AT0126,XM6930</t>
  </si>
  <si>
    <t>PO#FK-NIRWANA-CSF26-0325BUY</t>
  </si>
  <si>
    <t>COLOR ANFO1 Ancient Fossil</t>
  </si>
  <si>
    <t xml:space="preserve"> YDS</t>
  </si>
  <si>
    <t>USD</t>
  </si>
  <si>
    <t>COLOR BLA1 BLACK</t>
  </si>
  <si>
    <t>COLOR COGR1 COOL GREY</t>
  </si>
  <si>
    <t>COLOR CONA2 COLLEGIATE NAVY</t>
  </si>
  <si>
    <t>COLOR NOC1 NOCTURNAL</t>
  </si>
  <si>
    <t>COLOR RADA1 RAINY DAY</t>
  </si>
  <si>
    <t>COLOR REOX1 RED OXIDE</t>
  </si>
  <si>
    <t>COLOR SMSA1 SMOKEY SAGE</t>
  </si>
  <si>
    <t>COLOR STGR1 STONE GREEN</t>
  </si>
  <si>
    <t>COLOR WHI1 WHITE</t>
  </si>
  <si>
    <t>-----------------------------------------</t>
  </si>
  <si>
    <t>vvvvvv</t>
  </si>
  <si>
    <t>vvvv</t>
  </si>
  <si>
    <t>vvv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</si>
  <si>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</si>
  <si>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</si>
  <si>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</si>
  <si>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</si>
  <si>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</si>
  <si>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</si>
  <si>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</si>
  <si>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</si>
  <si>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</si>
  <si>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</si>
  <si>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</si>
  <si>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</si>
  <si>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A001-A002,B001-</t>
  </si>
  <si>
    <t xml:space="preserve"> KGS</t>
  </si>
  <si>
    <t>B005</t>
  </si>
  <si>
    <t>F001-F014,F018-</t>
  </si>
  <si>
    <t>F026,F028-F046,</t>
  </si>
  <si>
    <t>E001-E058</t>
  </si>
  <si>
    <t>A001-A021</t>
  </si>
  <si>
    <t>G001-G002,G005-</t>
  </si>
  <si>
    <t>G010,E001-E022,</t>
  </si>
  <si>
    <t>F001-F017,G051-</t>
  </si>
  <si>
    <t>G070</t>
  </si>
  <si>
    <t>D001-D004,D001-</t>
  </si>
  <si>
    <t>D005</t>
  </si>
  <si>
    <t>H001-H004,G001-</t>
  </si>
  <si>
    <t>G002</t>
  </si>
  <si>
    <t>I001-I005,H001-</t>
  </si>
  <si>
    <t>H015</t>
  </si>
  <si>
    <t>A003-A004,I01-</t>
  </si>
  <si>
    <t>I012</t>
  </si>
  <si>
    <t>J001-J017</t>
  </si>
  <si>
    <t>G001-G011,C001-</t>
  </si>
  <si>
    <t>C005,C007-C009,</t>
  </si>
  <si>
    <t>C019-C041,C001-</t>
  </si>
  <si>
    <t>C014,C016-C021,</t>
  </si>
  <si>
    <t>C043</t>
  </si>
  <si>
    <t>---------------------------------------------------------------------------------------------</t>
  </si>
  <si>
    <t>MARKS &amp; NOS.:</t>
  </si>
  <si>
    <t>FK/NIRWANA</t>
  </si>
  <si>
    <t>PO#</t>
  </si>
  <si>
    <t>STYLE#</t>
  </si>
  <si>
    <t>ITEM:</t>
  </si>
  <si>
    <t>CONTENT:</t>
  </si>
  <si>
    <t>R/NO:</t>
  </si>
  <si>
    <t>MADE IN TAIWAN</t>
  </si>
  <si>
    <t xml:space="preserve">For account and risk of Messrs. 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</si>
  <si>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</si>
  <si>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</si>
  <si>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</si>
  <si>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t>CSF26-0325BUY</t>
    <phoneticPr fontId="3" type="noConversion"/>
  </si>
  <si>
    <t>WOVEN FABRIC</t>
    <phoneticPr fontId="8" type="noConversion"/>
  </si>
  <si>
    <t>Beyong Yoga FA26</t>
    <phoneticPr fontId="8" type="noConversion"/>
  </si>
  <si>
    <t>HS CODE:5407.69</t>
  </si>
  <si>
    <t>CONSTRUCTION:</t>
  </si>
  <si>
    <t>POLYESTER 86%</t>
  </si>
  <si>
    <t>ELASTANE 14%</t>
  </si>
  <si>
    <t>P/D WOVEN NOT PRINTED, NO</t>
  </si>
  <si>
    <t>IMPREGNATED, COATED WITH ANY</t>
  </si>
  <si>
    <t>MATERIAL, WIDTH: 55"/56</t>
  </si>
  <si>
    <t>WEIGHT: 124GM/M2</t>
  </si>
  <si>
    <t>FINISH: WICKING</t>
  </si>
  <si>
    <t>PI#3311-2603160011</t>
  </si>
  <si>
    <t>PO#5WBDYA31A01</t>
  </si>
  <si>
    <t>XSS-P0217-962</t>
  </si>
  <si>
    <t>YRD</t>
  </si>
  <si>
    <t>XSS-P0217 NOCTURNAL NAVY</t>
  </si>
  <si>
    <t>19-4010TCX</t>
  </si>
  <si>
    <t>XSS-P0217-834</t>
  </si>
  <si>
    <t>XSS-P0217 GRAPHITE 19-0201</t>
  </si>
  <si>
    <t>TCX</t>
  </si>
  <si>
    <t>PI#3311-2603300008</t>
    <phoneticPr fontId="8" type="noConversion"/>
  </si>
  <si>
    <t>PO#6KBDYB11/B12</t>
    <phoneticPr fontId="8" type="noConversion"/>
  </si>
  <si>
    <t>STYLE#NN5174D/NN5175D</t>
    <phoneticPr fontId="8" type="noConversion"/>
  </si>
  <si>
    <t>KNIT FABRIC</t>
  </si>
  <si>
    <t>HS CODE:6006.32</t>
    <phoneticPr fontId="8" type="noConversion"/>
  </si>
  <si>
    <t>POLYESTER 78%</t>
  </si>
  <si>
    <t>ELASTANE 22% P/D WEFT KNIT</t>
  </si>
  <si>
    <t>NOT PRINTED NO IMPREGNATED,</t>
  </si>
  <si>
    <t>COATED WITH ANY</t>
  </si>
  <si>
    <t>MATERIAL,WIDTH: 60"/62"</t>
  </si>
  <si>
    <t>ELASTANE 22%</t>
  </si>
  <si>
    <t>WEIGHT: 257GM/M2</t>
  </si>
  <si>
    <t>MP-P0851-9</t>
  </si>
  <si>
    <t>MP-P0851 Col. Nocturnal Navy</t>
  </si>
  <si>
    <t>ELASTANE 22% P/D WEFT KNIT NOT</t>
  </si>
  <si>
    <t>PRINTED NO IMPREGNATED,</t>
  </si>
  <si>
    <t>MP-P0798-92</t>
  </si>
  <si>
    <t>MP-P0851 Col. Graphite</t>
  </si>
  <si>
    <t>PO#5WBDYA31A01</t>
    <phoneticPr fontId="8" type="noConversion"/>
  </si>
  <si>
    <t>S2</t>
  </si>
  <si>
    <t>KGS</t>
  </si>
  <si>
    <t>S3</t>
  </si>
  <si>
    <t>S1</t>
  </si>
  <si>
    <t>PI#3311-2603160011 / 3311-2603300008</t>
    <phoneticPr fontId="8" type="noConversion"/>
  </si>
  <si>
    <t>PO#5WBDYA31A01 / 6KBDYB11/B12</t>
    <phoneticPr fontId="8" type="noConversion"/>
  </si>
  <si>
    <t>1-1R</t>
  </si>
  <si>
    <t>1-1</t>
  </si>
  <si>
    <t>POLYESTER 78% ELASTANE</t>
  </si>
  <si>
    <t>22% P/D WEFT KNIT NOT</t>
  </si>
  <si>
    <t>1-1A</t>
  </si>
  <si>
    <t>------------</t>
  </si>
  <si>
    <t>---</t>
  </si>
  <si>
    <t>vvvvvvvvvvvv</t>
  </si>
  <si>
    <t>F26-0325BUY</t>
    <phoneticPr fontId="8" type="noConversion"/>
  </si>
  <si>
    <t>HEAT TRANSFER LOGO</t>
    <phoneticPr fontId="8" type="noConversion"/>
  </si>
  <si>
    <t>PCS</t>
    <phoneticPr fontId="8" type="noConversion"/>
  </si>
  <si>
    <t>AM0126/AS0126/AT0126/XM6930-6K060B21.23.24.S24</t>
    <phoneticPr fontId="8" type="noConversion"/>
  </si>
  <si>
    <t>HS CODE. 4908</t>
    <phoneticPr fontId="3" type="noConversion"/>
  </si>
  <si>
    <t xml:space="preserve">#036635 HEAT TRANSFER LOGO  </t>
    <phoneticPr fontId="8" type="noConversion"/>
  </si>
  <si>
    <t xml:space="preserve">#053348 Omni-Wick HT 100%PVC  </t>
    <phoneticPr fontId="8" type="noConversion"/>
  </si>
  <si>
    <t>WOVEN TAPE</t>
    <phoneticPr fontId="8" type="noConversion"/>
  </si>
  <si>
    <t>PATTERN WEBBING TAPE</t>
    <phoneticPr fontId="8" type="noConversion"/>
  </si>
  <si>
    <t>AM0126/AS0126/AT0126-6K060B21.23.24</t>
    <phoneticPr fontId="8" type="noConversion"/>
  </si>
  <si>
    <t xml:space="preserve">#036729 10MM Compass Blue stripe stretch Woven tape </t>
    <phoneticPr fontId="8" type="noConversion"/>
  </si>
  <si>
    <t xml:space="preserve">#033416 3/8" PATTERN WEBBING TAPE </t>
    <phoneticPr fontId="8" type="noConversion"/>
  </si>
  <si>
    <t>YDS</t>
    <phoneticPr fontId="8" type="noConversion"/>
  </si>
  <si>
    <t>XM6930-6K060BS24</t>
    <phoneticPr fontId="8" type="noConversion"/>
  </si>
  <si>
    <t>1-4</t>
    <phoneticPr fontId="3" type="noConversion"/>
  </si>
  <si>
    <t>NIRWANA</t>
    <phoneticPr fontId="8" type="noConversion"/>
  </si>
  <si>
    <t>(DIA)</t>
    <phoneticPr fontId="8" type="noConversion"/>
  </si>
  <si>
    <t>INDONESIA</t>
    <phoneticPr fontId="8" type="noConversion"/>
  </si>
  <si>
    <t>MADE IN TAIWAN</t>
    <phoneticPr fontId="8" type="noConversion"/>
  </si>
  <si>
    <t>ORDER#</t>
    <phoneticPr fontId="8" type="noConversion"/>
  </si>
  <si>
    <t>COLOR</t>
    <phoneticPr fontId="8" type="noConversion"/>
  </si>
  <si>
    <t>LOTNO.:</t>
    <phoneticPr fontId="8" type="noConversion"/>
  </si>
  <si>
    <t>R/NO.</t>
    <phoneticPr fontId="8" type="noConversion"/>
  </si>
  <si>
    <t>Q'TY:</t>
    <phoneticPr fontId="8" type="noConversion"/>
  </si>
  <si>
    <t>N.W.: KGS</t>
    <phoneticPr fontId="8" type="noConversion"/>
  </si>
  <si>
    <t>G.W.: KGS</t>
    <phoneticPr fontId="8" type="noConversion"/>
  </si>
  <si>
    <t>FK/NIRWANA</t>
    <phoneticPr fontId="8" type="noConversion"/>
  </si>
  <si>
    <t>(INDIA)</t>
    <phoneticPr fontId="8" type="noConversion"/>
  </si>
  <si>
    <t>PO.53101</t>
    <phoneticPr fontId="8" type="noConversion"/>
  </si>
  <si>
    <t>STYLE.NN5174D</t>
    <phoneticPr fontId="8" type="noConversion"/>
  </si>
  <si>
    <t>ITEM#</t>
    <phoneticPr fontId="8" type="noConversion"/>
  </si>
  <si>
    <t>CONTENT#</t>
    <phoneticPr fontId="8" type="noConversion"/>
  </si>
  <si>
    <t>R/NO.1-23.1-30</t>
    <phoneticPr fontId="8" type="noConversion"/>
  </si>
  <si>
    <t>PT. NIRWANA ALABARE GARMENT</t>
    <phoneticPr fontId="8" type="noConversion"/>
  </si>
  <si>
    <t>COLUMBIA</t>
    <phoneticPr fontId="8" type="noConversion"/>
  </si>
  <si>
    <t>BUY</t>
    <phoneticPr fontId="8" type="noConversion"/>
  </si>
  <si>
    <t>PO#</t>
    <phoneticPr fontId="8" type="noConversion"/>
  </si>
  <si>
    <t>C/NO.</t>
    <phoneticPr fontId="8" type="noConversion"/>
  </si>
  <si>
    <t>PT,NIRWANA</t>
    <phoneticPr fontId="8" type="noConversion"/>
  </si>
  <si>
    <t>ITEM</t>
  </si>
  <si>
    <t>ITEM</t>
    <phoneticPr fontId="8" type="noConversion"/>
  </si>
  <si>
    <t>COLOR:</t>
    <phoneticPr fontId="8" type="noConversion"/>
  </si>
  <si>
    <t>C/NO.1-5</t>
    <phoneticPr fontId="8" type="noConversion"/>
  </si>
  <si>
    <r>
      <rPr>
        <sz val="11"/>
        <rFont val="細明體"/>
        <family val="3"/>
        <charset val="136"/>
      </rPr>
      <t>收貨人</t>
    </r>
  </si>
  <si>
    <r>
      <rPr>
        <sz val="11"/>
        <rFont val="細明體"/>
        <family val="3"/>
        <charset val="136"/>
      </rPr>
      <t>發貨單號</t>
    </r>
    <phoneticPr fontId="26" type="noConversion"/>
  </si>
  <si>
    <r>
      <rPr>
        <sz val="11"/>
        <rFont val="細明體"/>
        <family val="3"/>
        <charset val="136"/>
      </rPr>
      <t>出庫訂單號</t>
    </r>
    <phoneticPr fontId="26" type="noConversion"/>
  </si>
  <si>
    <t>PI NUMBER</t>
    <phoneticPr fontId="26" type="noConversion"/>
  </si>
  <si>
    <t>PO NUMBER</t>
    <phoneticPr fontId="9" type="noConversion"/>
  </si>
  <si>
    <r>
      <rPr>
        <sz val="11"/>
        <rFont val="細明體"/>
        <family val="3"/>
        <charset val="136"/>
      </rPr>
      <t>颜色</t>
    </r>
  </si>
  <si>
    <r>
      <rPr>
        <sz val="11"/>
        <rFont val="細明體"/>
        <family val="3"/>
        <charset val="136"/>
      </rPr>
      <t>顏色英文名稱</t>
    </r>
    <phoneticPr fontId="26" type="noConversion"/>
  </si>
  <si>
    <t>LOT NUMBER</t>
    <phoneticPr fontId="9" type="noConversion"/>
  </si>
  <si>
    <r>
      <rPr>
        <sz val="11"/>
        <rFont val="細明體"/>
        <family val="3"/>
        <charset val="136"/>
      </rPr>
      <t>序號</t>
    </r>
  </si>
  <si>
    <t>ROLL NUMBER</t>
    <phoneticPr fontId="9" type="noConversion"/>
  </si>
  <si>
    <t>QTY(y)</t>
    <phoneticPr fontId="26" type="noConversion"/>
  </si>
  <si>
    <t>Net Weight(kg)</t>
    <phoneticPr fontId="9" type="noConversion"/>
  </si>
  <si>
    <t>Gross Weight(kg)</t>
    <phoneticPr fontId="9" type="noConversion"/>
  </si>
  <si>
    <t>PT.NIRWANA ALABARE</t>
  </si>
  <si>
    <t>D26K441900</t>
  </si>
  <si>
    <t>26CF74418B3</t>
  </si>
  <si>
    <t>26K3083600A1</t>
  </si>
  <si>
    <t>FK-NIRWANA-CSF26-0325BUY</t>
  </si>
  <si>
    <r>
      <rPr>
        <sz val="11"/>
        <color indexed="8"/>
        <rFont val="細明體"/>
        <family val="3"/>
        <charset val="136"/>
      </rPr>
      <t>考古棕</t>
    </r>
  </si>
  <si>
    <t>Ancient Fossil</t>
  </si>
  <si>
    <t>AN-23</t>
  </si>
  <si>
    <t>A001</t>
  </si>
  <si>
    <t>001</t>
  </si>
  <si>
    <t>A002</t>
  </si>
  <si>
    <t>002</t>
  </si>
  <si>
    <t>AN-24</t>
  </si>
  <si>
    <t>B001</t>
  </si>
  <si>
    <t>B002</t>
  </si>
  <si>
    <t>B003</t>
  </si>
  <si>
    <t>003</t>
  </si>
  <si>
    <t>B004</t>
  </si>
  <si>
    <t>004</t>
  </si>
  <si>
    <t>005</t>
  </si>
  <si>
    <r>
      <rPr>
        <sz val="11"/>
        <color indexed="8"/>
        <rFont val="細明體"/>
        <family val="3"/>
        <charset val="136"/>
      </rPr>
      <t>黑</t>
    </r>
  </si>
  <si>
    <t>Black</t>
  </si>
  <si>
    <t>BL-73</t>
  </si>
  <si>
    <t>F036</t>
  </si>
  <si>
    <t>036</t>
  </si>
  <si>
    <t>F037</t>
  </si>
  <si>
    <t>037</t>
  </si>
  <si>
    <t>F038</t>
  </si>
  <si>
    <t>038</t>
  </si>
  <si>
    <t>F039</t>
  </si>
  <si>
    <t>039</t>
  </si>
  <si>
    <t>F040</t>
  </si>
  <si>
    <t>040</t>
  </si>
  <si>
    <t>F041</t>
  </si>
  <si>
    <t>041</t>
  </si>
  <si>
    <t>F042</t>
  </si>
  <si>
    <t>042</t>
  </si>
  <si>
    <t>F043</t>
  </si>
  <si>
    <t>043</t>
  </si>
  <si>
    <t>F044</t>
  </si>
  <si>
    <t>044</t>
  </si>
  <si>
    <t>F045</t>
  </si>
  <si>
    <t>045</t>
  </si>
  <si>
    <t>F046</t>
  </si>
  <si>
    <t>046</t>
  </si>
  <si>
    <t>BL-74</t>
  </si>
  <si>
    <t>F001</t>
  </si>
  <si>
    <t>F002</t>
  </si>
  <si>
    <t>F003</t>
  </si>
  <si>
    <t>F004</t>
  </si>
  <si>
    <t>F005</t>
  </si>
  <si>
    <t>F006</t>
  </si>
  <si>
    <t>006</t>
  </si>
  <si>
    <t>F007</t>
  </si>
  <si>
    <t>007</t>
  </si>
  <si>
    <t>F008</t>
  </si>
  <si>
    <t>008</t>
  </si>
  <si>
    <t>F009</t>
  </si>
  <si>
    <t>009</t>
  </si>
  <si>
    <t>F010</t>
  </si>
  <si>
    <t>010</t>
  </si>
  <si>
    <t>F011</t>
  </si>
  <si>
    <t>011</t>
  </si>
  <si>
    <t>F012</t>
  </si>
  <si>
    <t>012</t>
  </si>
  <si>
    <t>F013</t>
  </si>
  <si>
    <t>013</t>
  </si>
  <si>
    <t>F014</t>
  </si>
  <si>
    <t>014</t>
  </si>
  <si>
    <t>F018</t>
  </si>
  <si>
    <t>018</t>
  </si>
  <si>
    <t>F019</t>
  </si>
  <si>
    <t>019</t>
  </si>
  <si>
    <t>F020</t>
  </si>
  <si>
    <t>020</t>
  </si>
  <si>
    <t>F021</t>
  </si>
  <si>
    <t>021</t>
  </si>
  <si>
    <t>F022</t>
  </si>
  <si>
    <t>022</t>
  </si>
  <si>
    <t>F023</t>
  </si>
  <si>
    <t>023</t>
  </si>
  <si>
    <t>F024</t>
  </si>
  <si>
    <t>024</t>
  </si>
  <si>
    <t>F025</t>
  </si>
  <si>
    <t>025</t>
  </si>
  <si>
    <t>F026</t>
  </si>
  <si>
    <t>026</t>
  </si>
  <si>
    <t>F028</t>
  </si>
  <si>
    <t>028</t>
  </si>
  <si>
    <t>F029</t>
  </si>
  <si>
    <t>029</t>
  </si>
  <si>
    <t>F030</t>
  </si>
  <si>
    <t>030</t>
  </si>
  <si>
    <t>F031</t>
  </si>
  <si>
    <t>031</t>
  </si>
  <si>
    <t>F032</t>
  </si>
  <si>
    <t>032</t>
  </si>
  <si>
    <t>F033</t>
  </si>
  <si>
    <t>033</t>
  </si>
  <si>
    <t>F034</t>
  </si>
  <si>
    <t>034</t>
  </si>
  <si>
    <t>F035</t>
  </si>
  <si>
    <t>035</t>
  </si>
  <si>
    <t>BL-75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</si>
  <si>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</si>
  <si>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</si>
  <si>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</si>
  <si>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</si>
  <si>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</si>
  <si>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</si>
  <si>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</si>
  <si>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</si>
  <si>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</si>
  <si>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</si>
  <si>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</si>
  <si>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</si>
  <si>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</si>
  <si>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</si>
  <si>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</si>
  <si>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</si>
  <si>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</si>
  <si>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047</t>
  </si>
  <si>
    <t>E048</t>
  </si>
  <si>
    <t>048</t>
  </si>
  <si>
    <t>E049</t>
  </si>
  <si>
    <t>049</t>
  </si>
  <si>
    <t>E050</t>
  </si>
  <si>
    <t>050</t>
  </si>
  <si>
    <t>E051</t>
  </si>
  <si>
    <t>051</t>
  </si>
  <si>
    <t>E052</t>
  </si>
  <si>
    <t>052</t>
  </si>
  <si>
    <t>E053</t>
  </si>
  <si>
    <t>053</t>
  </si>
  <si>
    <t>E054</t>
  </si>
  <si>
    <t>054</t>
  </si>
  <si>
    <t>E055</t>
  </si>
  <si>
    <t>055</t>
  </si>
  <si>
    <t>E056</t>
  </si>
  <si>
    <t>056</t>
  </si>
  <si>
    <t>E057</t>
  </si>
  <si>
    <t>057</t>
  </si>
  <si>
    <t>E058</t>
  </si>
  <si>
    <t>058</t>
  </si>
  <si>
    <t>BL-76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</si>
  <si>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</si>
  <si>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</si>
  <si>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</si>
  <si>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</si>
  <si>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</si>
  <si>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</si>
  <si>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</si>
  <si>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</si>
  <si>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</si>
  <si>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</si>
  <si>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</si>
  <si>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</si>
  <si>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</si>
  <si>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</si>
  <si>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</si>
  <si>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015</t>
  </si>
  <si>
    <t>E016</t>
  </si>
  <si>
    <t>016</t>
  </si>
  <si>
    <t>E017</t>
  </si>
  <si>
    <t>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</si>
  <si>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</si>
  <si>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</si>
  <si>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</si>
  <si>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</si>
  <si>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</si>
  <si>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</si>
  <si>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</si>
  <si>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</si>
  <si>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</si>
  <si>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</si>
  <si>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027</t>
  </si>
  <si>
    <t>E028</t>
  </si>
  <si>
    <t>E029</t>
  </si>
  <si>
    <t>E030</t>
  </si>
  <si>
    <r>
      <rPr>
        <sz val="11"/>
        <color indexed="8"/>
        <rFont val="細明體"/>
        <family val="3"/>
        <charset val="136"/>
      </rPr>
      <t>冷灰</t>
    </r>
  </si>
  <si>
    <t>Cool Grey</t>
  </si>
  <si>
    <t>CO-33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</si>
  <si>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</si>
  <si>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</si>
  <si>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</si>
  <si>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</si>
  <si>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</si>
  <si>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</si>
  <si>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</si>
  <si>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</si>
  <si>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</si>
  <si>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</si>
  <si>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</si>
  <si>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</si>
  <si>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</si>
  <si>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</si>
  <si>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</si>
  <si>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</si>
  <si>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</si>
  <si>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</si>
  <si>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</si>
  <si>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</si>
  <si>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</si>
  <si>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r>
      <rPr>
        <sz val="11"/>
        <color indexed="8"/>
        <rFont val="細明體"/>
        <family val="3"/>
        <charset val="136"/>
      </rPr>
      <t>學士藍</t>
    </r>
  </si>
  <si>
    <t>Collegiate Navy</t>
  </si>
  <si>
    <t>CN-65</t>
  </si>
  <si>
    <t>G001</t>
  </si>
  <si>
    <t>G005</t>
  </si>
  <si>
    <t>G006</t>
  </si>
  <si>
    <t>G007</t>
  </si>
  <si>
    <t>G008</t>
  </si>
  <si>
    <t>G009</t>
  </si>
  <si>
    <t>G010</t>
  </si>
  <si>
    <t>G102</t>
  </si>
  <si>
    <t>102</t>
  </si>
  <si>
    <t>CN-68</t>
  </si>
  <si>
    <t>F015</t>
  </si>
  <si>
    <t>F016</t>
  </si>
  <si>
    <t>CN-69</t>
  </si>
  <si>
    <t>RCN-68</t>
  </si>
  <si>
    <t>F017</t>
  </si>
  <si>
    <t>TCN-67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</si>
  <si>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</si>
  <si>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</si>
  <si>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</si>
  <si>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</si>
  <si>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</si>
  <si>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</si>
  <si>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</si>
  <si>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</si>
  <si>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</si>
  <si>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059</t>
  </si>
  <si>
    <t>G060</t>
  </si>
  <si>
    <t>060</t>
  </si>
  <si>
    <t>G061</t>
  </si>
  <si>
    <t>061</t>
  </si>
  <si>
    <t>G062</t>
  </si>
  <si>
    <t>062</t>
  </si>
  <si>
    <t>G063</t>
  </si>
  <si>
    <t>063</t>
  </si>
  <si>
    <t>G064</t>
  </si>
  <si>
    <t>064</t>
  </si>
  <si>
    <t>G065</t>
  </si>
  <si>
    <t>065</t>
  </si>
  <si>
    <t>G066</t>
  </si>
  <si>
    <t>066</t>
  </si>
  <si>
    <t>G067</t>
  </si>
  <si>
    <t>067</t>
  </si>
  <si>
    <t>G068</t>
  </si>
  <si>
    <t>068</t>
  </si>
  <si>
    <t>G069</t>
  </si>
  <si>
    <t>069</t>
  </si>
  <si>
    <t>070</t>
  </si>
  <si>
    <r>
      <rPr>
        <sz val="11"/>
        <color indexed="8"/>
        <rFont val="細明體"/>
        <family val="3"/>
        <charset val="136"/>
      </rPr>
      <t>深夜藍</t>
    </r>
  </si>
  <si>
    <t>Nocturnal</t>
  </si>
  <si>
    <t>NO-6</t>
  </si>
  <si>
    <t>D001</t>
  </si>
  <si>
    <t>D002</t>
  </si>
  <si>
    <t>D003</t>
  </si>
  <si>
    <t>D004</t>
  </si>
  <si>
    <t>NO-7</t>
  </si>
  <si>
    <t>D01</t>
  </si>
  <si>
    <t>D02</t>
  </si>
  <si>
    <t>D03</t>
  </si>
  <si>
    <t>D04</t>
  </si>
  <si>
    <t>D05</t>
  </si>
  <si>
    <r>
      <rPr>
        <sz val="11"/>
        <color indexed="8"/>
        <rFont val="細明體"/>
        <family val="3"/>
        <charset val="136"/>
      </rPr>
      <t>降雨藍</t>
    </r>
  </si>
  <si>
    <t>Rainy Day</t>
  </si>
  <si>
    <t>IN-14</t>
  </si>
  <si>
    <t>H00001</t>
  </si>
  <si>
    <t>H00002</t>
  </si>
  <si>
    <t>H00003</t>
  </si>
  <si>
    <t>H00004</t>
  </si>
  <si>
    <t>IN-15</t>
  </si>
  <si>
    <t>G00001</t>
  </si>
  <si>
    <t>G00002</t>
  </si>
  <si>
    <r>
      <rPr>
        <sz val="11"/>
        <color indexed="8"/>
        <rFont val="細明體"/>
        <family val="3"/>
        <charset val="136"/>
      </rPr>
      <t>氧化紅</t>
    </r>
  </si>
  <si>
    <t>Red Oxide</t>
  </si>
  <si>
    <t>EO-16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</si>
  <si>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</si>
  <si>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</si>
  <si>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</si>
  <si>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</si>
  <si>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</si>
  <si>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</si>
  <si>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</si>
  <si>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</si>
  <si>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</si>
  <si>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</si>
  <si>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</si>
  <si>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</si>
  <si>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</si>
  <si>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</si>
  <si>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</si>
  <si>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I0001</t>
  </si>
  <si>
    <t>I0002</t>
  </si>
  <si>
    <t>I0003</t>
  </si>
  <si>
    <t>I0004</t>
  </si>
  <si>
    <t>I0005</t>
  </si>
  <si>
    <r>
      <rPr>
        <sz val="11"/>
        <color indexed="8"/>
        <rFont val="細明體"/>
        <family val="3"/>
        <charset val="136"/>
      </rPr>
      <t>淺霧綠</t>
    </r>
  </si>
  <si>
    <t>Smokey Sage</t>
  </si>
  <si>
    <t>SM-4</t>
  </si>
  <si>
    <t>A0003</t>
  </si>
  <si>
    <t>A0004</t>
  </si>
  <si>
    <t>SM-6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</si>
  <si>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</si>
  <si>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</si>
  <si>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</si>
  <si>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</si>
  <si>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</si>
  <si>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</si>
  <si>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</si>
  <si>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</si>
  <si>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</si>
  <si>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</si>
  <si>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</si>
  <si>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</si>
  <si>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r>
      <rPr>
        <sz val="11"/>
        <color indexed="8"/>
        <rFont val="細明體"/>
        <family val="3"/>
        <charset val="136"/>
      </rPr>
      <t>墓石綠</t>
    </r>
  </si>
  <si>
    <t>Stone Green</t>
  </si>
  <si>
    <t>SG-37</t>
  </si>
  <si>
    <t>J0001</t>
  </si>
  <si>
    <t>J0002</t>
  </si>
  <si>
    <t>J0003</t>
  </si>
  <si>
    <t>J0004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</si>
  <si>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</si>
  <si>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</si>
  <si>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</si>
  <si>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</si>
  <si>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</si>
  <si>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</si>
  <si>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</si>
  <si>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</si>
  <si>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</si>
  <si>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J0014</t>
  </si>
  <si>
    <t>J0015</t>
  </si>
  <si>
    <t>J0016</t>
  </si>
  <si>
    <t>J0017</t>
  </si>
  <si>
    <r>
      <rPr>
        <sz val="11"/>
        <color indexed="8"/>
        <rFont val="細明體"/>
        <family val="3"/>
        <charset val="136"/>
      </rPr>
      <t>白</t>
    </r>
  </si>
  <si>
    <t>White</t>
  </si>
  <si>
    <t>TWH-39</t>
  </si>
  <si>
    <t>C0043</t>
  </si>
  <si>
    <t>WH-34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</si>
  <si>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</si>
  <si>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</si>
  <si>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</si>
  <si>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</si>
  <si>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</si>
  <si>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</si>
  <si>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</si>
  <si>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</si>
  <si>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</si>
  <si>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</si>
  <si>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</si>
  <si>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WH-38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</si>
  <si>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</si>
  <si>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</si>
  <si>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</si>
  <si>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</si>
  <si>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</si>
  <si>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</si>
  <si>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</si>
  <si>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</si>
  <si>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WH-39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</si>
  <si>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</si>
  <si>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</si>
  <si>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</si>
  <si>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</si>
  <si>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</si>
  <si>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</si>
  <si>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</si>
  <si>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</si>
  <si>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</si>
  <si>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</si>
  <si>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</si>
  <si>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</si>
  <si>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</si>
  <si>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</si>
  <si>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</si>
  <si>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</si>
  <si>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</si>
  <si>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</si>
  <si>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</si>
  <si>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</si>
  <si>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</si>
  <si>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</si>
  <si>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</si>
  <si>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WH-40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</si>
  <si>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</si>
  <si>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</si>
  <si>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</si>
  <si>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</si>
  <si>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</si>
  <si>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</si>
  <si>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</si>
  <si>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</si>
  <si>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</si>
  <si>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</si>
  <si>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</si>
  <si>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</si>
  <si>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</si>
  <si>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</si>
  <si>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</si>
  <si>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</si>
  <si>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</si>
  <si>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</si>
  <si>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</si>
  <si>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</si>
  <si>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324 Rolls</t>
    <phoneticPr fontId="9" type="noConversion"/>
  </si>
  <si>
    <t>YDS</t>
    <phoneticPr fontId="9" type="noConversion"/>
  </si>
  <si>
    <t>FU KWOK KNITTING &amp; GARMENT CO., LTD.</t>
    <phoneticPr fontId="8" type="noConversion"/>
  </si>
  <si>
    <t xml:space="preserve">11, NEI-HUAN SOUTH ROAD, N.E.P.Z. KAOHSIUNG TAIWAN </t>
    <phoneticPr fontId="8" type="noConversion"/>
  </si>
  <si>
    <t>FU KWOK KNITTING &amp; GARMENT CO., LTD</t>
    <phoneticPr fontId="3" type="noConversion"/>
  </si>
  <si>
    <t xml:space="preserve">11, NEI-HUAN SOUTH ROAD, N.E.P.Z. KAOHSIUNG TAIWAN </t>
    <phoneticPr fontId="3" type="noConversion"/>
  </si>
  <si>
    <t>收貨人</t>
  </si>
  <si>
    <t>發貨單號</t>
    <phoneticPr fontId="26" type="noConversion"/>
  </si>
  <si>
    <t>出庫訂單號</t>
    <phoneticPr fontId="26" type="noConversion"/>
  </si>
  <si>
    <t>PI#</t>
    <phoneticPr fontId="26" type="noConversion"/>
  </si>
  <si>
    <t>BUYDER</t>
    <phoneticPr fontId="26" type="noConversion"/>
  </si>
  <si>
    <t>客户PO#</t>
  </si>
  <si>
    <t>颜色</t>
    <phoneticPr fontId="9" type="noConversion"/>
  </si>
  <si>
    <t>COLOR CODE</t>
    <phoneticPr fontId="26" type="noConversion"/>
  </si>
  <si>
    <t>COLOR</t>
    <phoneticPr fontId="26" type="noConversion"/>
  </si>
  <si>
    <t>LOT#</t>
    <phoneticPr fontId="9" type="noConversion"/>
  </si>
  <si>
    <t>序號</t>
    <phoneticPr fontId="9" type="noConversion"/>
  </si>
  <si>
    <t>Roll#</t>
    <phoneticPr fontId="9" type="noConversion"/>
  </si>
  <si>
    <t>QTY(YD)</t>
    <phoneticPr fontId="26" type="noConversion"/>
  </si>
  <si>
    <t>N.W. (KGS)</t>
    <phoneticPr fontId="9" type="noConversion"/>
  </si>
  <si>
    <t>G.W.(KGS)</t>
    <phoneticPr fontId="9" type="noConversion"/>
  </si>
  <si>
    <t>FOC</t>
    <phoneticPr fontId="26" type="noConversion"/>
  </si>
  <si>
    <t>D26K382700</t>
  </si>
  <si>
    <t>F6SD6204BK1</t>
  </si>
  <si>
    <t>26K3049100A1</t>
  </si>
  <si>
    <t>BEYOND YOGA</t>
  </si>
  <si>
    <t>5WBDYA31A01</t>
  </si>
  <si>
    <t>PE3P0067-AA01AT</t>
  </si>
  <si>
    <t>石墨灰</t>
  </si>
  <si>
    <t>GRAPHITE</t>
  </si>
  <si>
    <t>900011</t>
  </si>
  <si>
    <t>Z0001</t>
  </si>
  <si>
    <t>Z0002</t>
  </si>
  <si>
    <t>Z0003</t>
  </si>
  <si>
    <t>Z0004</t>
  </si>
  <si>
    <t>Z0005</t>
  </si>
  <si>
    <t>900012</t>
  </si>
  <si>
    <t>Z0006</t>
  </si>
  <si>
    <t>Z0007</t>
  </si>
  <si>
    <t>901</t>
  </si>
  <si>
    <t>午夜藍</t>
  </si>
  <si>
    <t>NOCTURNAL NAVY</t>
  </si>
  <si>
    <t>000010</t>
  </si>
  <si>
    <t>Z1001</t>
  </si>
  <si>
    <t>601</t>
  </si>
  <si>
    <t xml:space="preserve"> 8 Rolls</t>
    <phoneticPr fontId="9" type="noConversion"/>
  </si>
  <si>
    <t>IM#PE3P0067-AA01AT</t>
  </si>
  <si>
    <t>100% POLYESTER W:61" WT:125G/M2</t>
  </si>
  <si>
    <t>ORDER NO.: 26K3049100 (F6SD6204BK1)</t>
  </si>
  <si>
    <t>PO#5WBDYA31A01   STYLE# NN5174D</t>
    <phoneticPr fontId="3" type="noConversion"/>
  </si>
  <si>
    <t>COLOR GRAPHITE GRAPHITE</t>
  </si>
  <si>
    <t>COLOR NOCTURNAL NAVY NOCTURNAL NAVY</t>
  </si>
  <si>
    <t>Z0001-Z0007</t>
  </si>
  <si>
    <t xml:space="preserve">--------------------------------------------------------------------------------- </t>
    <phoneticPr fontId="3" type="noConversion"/>
  </si>
  <si>
    <t>391PKGS(385 ROLLS+6CTNS)</t>
    <phoneticPr fontId="3" type="noConversion"/>
  </si>
  <si>
    <t xml:space="preserve"> 391 Pkgs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</si>
</sst>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-* #,##0_-;\-* #,##0_-;_-* &quot;-&quot;??_-;_-@_-"/>
    <numFmt numFmtId="177" formatCode="#,##0.00;[Red]#,##0.00"/>
    <numFmt numFmtId="178" formatCode="#,##0.00_ "/>
    <numFmt numFmtId="179" formatCode="#,##0.00_);[Red]\(#,##0.00\)"/>
  </numFmts>
  <fonts count="3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細明體"/>
      <family val="3"/>
      <charset val="136"/>
    </font>
    <font>
      <sz val="12"/>
      <color indexed="8"/>
      <name val="新細明體"/>
      <family val="1"/>
      <charset val="136"/>
    </font>
    <font>
      <sz val="11"/>
      <color indexed="8"/>
      <name val="Calibri"/>
      <family val="2"/>
    </font>
    <font>
      <sz val="11"/>
      <color indexed="8"/>
      <name val="細明體"/>
      <family val="3"/>
      <charset val="136"/>
    </font>
    <font>
      <sz val="10"/>
      <name val="微軟正黑體"/>
      <family val="2"/>
      <charset val="136"/>
    </font>
    <font>
      <sz val="12"/>
      <color indexed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  <xf numFmtId="43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/>
  </cellStyleXfs>
  <cellXfs count="12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/>
    </xf>
    <xf numFmtId="0" fontId="2" fillId="0" borderId="0" xfId="0" applyFont="1" applyAlignme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4" fontId="2" fillId="0" borderId="0" xfId="1" applyNumberFormat="1" applyFont="1" applyAlignment="1">
      <alignment horizontal="righ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4" fontId="2" fillId="0" borderId="0" xfId="2" applyNumberFormat="1" applyFont="1" applyAlignment="1">
      <alignment horizontal="right" vertical="top"/>
    </xf>
    <xf numFmtId="49" fontId="2" fillId="0" borderId="0" xfId="0" applyNumberFormat="1" applyFont="1" applyAlignment="1">
      <alignment horizontal="right"/>
    </xf>
    <xf numFmtId="49" fontId="2" fillId="0" borderId="0" xfId="0" quotePrefix="1" applyNumberFormat="1" applyFont="1" applyAlignment="1">
      <alignment horizontal="right"/>
    </xf>
    <xf numFmtId="43" fontId="2" fillId="0" borderId="0" xfId="4" applyFont="1" applyAlignment="1">
      <alignment horizontal="right"/>
    </xf>
    <xf numFmtId="176" fontId="2" fillId="0" borderId="0" xfId="4" applyNumberFormat="1" applyFont="1" applyAlignment="1">
      <alignment horizontal="right"/>
    </xf>
    <xf numFmtId="43" fontId="2" fillId="0" borderId="0" xfId="4" applyFont="1" applyAlignment="1">
      <alignment horizontal="left"/>
    </xf>
    <xf numFmtId="176" fontId="2" fillId="0" borderId="0" xfId="4" applyNumberFormat="1" applyFont="1" applyAlignment="1">
      <alignment horizontal="left"/>
    </xf>
    <xf numFmtId="49" fontId="2" fillId="0" borderId="8" xfId="1" applyNumberFormat="1" applyFont="1" applyBorder="1" applyAlignment="1">
      <alignment horizontal="left" vertical="top"/>
    </xf>
    <xf numFmtId="49" fontId="2" fillId="0" borderId="8" xfId="0" applyNumberFormat="1" applyFont="1" applyBorder="1" applyAlignment="1">
      <alignment horizontal="left"/>
    </xf>
    <xf numFmtId="49" fontId="2" fillId="0" borderId="0" xfId="1" applyNumberFormat="1" applyFont="1" applyAlignment="1">
      <alignment horizontal="center" vertical="top"/>
    </xf>
    <xf numFmtId="49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49" fontId="2" fillId="0" borderId="8" xfId="2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right"/>
    </xf>
    <xf numFmtId="0" fontId="24" fillId="0" borderId="0" xfId="6" applyFont="1" applyAlignment="1">
      <alignment horizontal="left"/>
    </xf>
    <xf numFmtId="0" fontId="27" fillId="0" borderId="9" xfId="6" applyFont="1" applyBorder="1" applyAlignment="1">
      <alignment horizontal="left" vertical="center"/>
    </xf>
    <xf numFmtId="49" fontId="27" fillId="0" borderId="9" xfId="6" applyNumberFormat="1" applyFont="1" applyBorder="1" applyAlignment="1">
      <alignment horizontal="left" vertical="center"/>
    </xf>
    <xf numFmtId="177" fontId="24" fillId="0" borderId="9" xfId="6" applyNumberFormat="1" applyFont="1" applyBorder="1" applyAlignment="1">
      <alignment horizontal="left" vertical="center"/>
    </xf>
    <xf numFmtId="177" fontId="27" fillId="0" borderId="9" xfId="6" applyNumberFormat="1" applyFont="1" applyBorder="1" applyAlignment="1">
      <alignment horizontal="left" vertical="center"/>
    </xf>
    <xf numFmtId="177" fontId="24" fillId="0" borderId="0" xfId="6" applyNumberFormat="1" applyFont="1" applyAlignment="1">
      <alignment horizontal="left"/>
    </xf>
    <xf numFmtId="0" fontId="0" fillId="2" borderId="9" xfId="5" applyNumberFormat="1" applyFont="1" applyFill="1" applyBorder="1" applyAlignment="1" applyProtection="1">
      <alignment horizontal="center" vertical="center"/>
    </xf>
    <xf numFmtId="0" fontId="29" fillId="2" borderId="9" xfId="5" applyNumberFormat="1" applyFont="1" applyFill="1" applyBorder="1" applyAlignment="1" applyProtection="1">
      <alignment horizontal="center" vertical="center"/>
    </xf>
    <xf numFmtId="0" fontId="23" fillId="0" borderId="0" xfId="6"/>
    <xf numFmtId="0" fontId="30" fillId="0" borderId="9" xfId="6" applyFont="1" applyBorder="1" applyAlignment="1">
      <alignment vertical="center"/>
    </xf>
    <xf numFmtId="49" fontId="30" fillId="0" borderId="9" xfId="6" applyNumberFormat="1" applyFont="1" applyBorder="1" applyAlignment="1">
      <alignment vertical="center"/>
    </xf>
    <xf numFmtId="177" fontId="30" fillId="0" borderId="9" xfId="6" applyNumberFormat="1" applyFont="1" applyBorder="1" applyAlignment="1">
      <alignment horizontal="right" vertical="center"/>
    </xf>
    <xf numFmtId="0" fontId="30" fillId="0" borderId="9" xfId="6" applyFont="1" applyBorder="1" applyAlignment="1">
      <alignment horizontal="right" vertical="center"/>
    </xf>
    <xf numFmtId="49" fontId="30" fillId="0" borderId="12" xfId="6" applyNumberFormat="1" applyFont="1" applyBorder="1" applyAlignment="1">
      <alignment vertical="center"/>
    </xf>
    <xf numFmtId="177" fontId="23" fillId="0" borderId="0" xfId="6" applyNumberFormat="1"/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left" vertical="top"/>
    </xf>
    <xf numFmtId="0" fontId="2" fillId="0" borderId="5" xfId="1" applyFont="1" applyBorder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1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2" fillId="0" borderId="0" xfId="0" quotePrefix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4" fillId="2" borderId="9" xfId="6" applyFont="1" applyFill="1" applyBorder="1" applyAlignment="1">
      <alignment horizontal="left" vertical="center"/>
    </xf>
    <xf numFmtId="0" fontId="24" fillId="2" borderId="10" xfId="6" applyFont="1" applyFill="1" applyBorder="1" applyAlignment="1">
      <alignment horizontal="left" vertical="center"/>
    </xf>
    <xf numFmtId="0" fontId="24" fillId="2" borderId="11" xfId="6" applyFont="1" applyFill="1" applyBorder="1" applyAlignment="1">
      <alignment horizontal="left" vertical="center"/>
    </xf>
  </cellXfs>
  <cellStyles count="7">
    <cellStyle name="一般" xfId="0" builtinId="0"/>
    <cellStyle name="一般 2" xfId="1" xr:uid="{00000000-0005-0000-0000-000001000000}"/>
    <cellStyle name="一般 2 2" xfId="3" xr:uid="{00000000-0005-0000-0000-000002000000}"/>
    <cellStyle name="一般 2 3" xfId="6" xr:uid="{93027DF7-8C96-4F2A-BC18-B706CE3ADF4B}"/>
    <cellStyle name="一般 3" xfId="2" xr:uid="{00000000-0005-0000-0000-000003000000}"/>
    <cellStyle name="千分位" xfId="4" builtinId="3"/>
    <cellStyle name="警告文字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5"/>
  <sheetViews>
    <sheetView tabSelected="1" topLeftCell="A118" workbookViewId="0">
      <selection activeCell="A8" sqref="A8:F8"/>
    </sheetView>
  </sheetViews>
  <sheetFormatPr defaultColWidth="9"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2" width="6" style="1" customWidth="1"/>
    <col min="13" max="13" width="4.375" style="1" customWidth="1"/>
    <col min="14" max="14" width="8.625" style="1" customWidth="1"/>
    <col min="15" max="15" width="4.125" style="1" customWidth="1"/>
    <col min="16" max="16" width="13.25" style="1" customWidth="1"/>
    <col min="17" max="16384" width="9" style="1"/>
  </cols>
  <sheetData>
    <row r="1" spans="1:16" s="9" customFormat="1" ht="19.5">
      <c r="A1" s="88" t="s">
        <v>617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s="6" customFormat="1" ht="15">
      <c r="A2" s="89" t="s">
        <v>618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s="6" customFormat="1" ht="15">
      <c r="A3" s="86"/>
      <c r="B3" s="86"/>
      <c r="C3" s="86"/>
      <c r="D3" s="86"/>
      <c r="E3" s="86"/>
      <c r="F3" s="86"/>
      <c r="G3" s="86"/>
      <c r="H3" s="86"/>
      <c r="I3" s="86"/>
      <c r="J3" s="87"/>
      <c r="K3" s="87"/>
      <c r="L3" s="87"/>
      <c r="M3" s="87"/>
      <c r="N3" s="87"/>
      <c r="O3" s="87"/>
      <c r="P3" s="87"/>
    </row>
    <row r="4" spans="1:16" s="9" customFormat="1" ht="19.5">
      <c r="A4" s="90" t="s">
        <v>13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83" t="s">
        <v>14</v>
      </c>
      <c r="C6" s="84"/>
      <c r="D6" s="84"/>
      <c r="E6" s="84"/>
      <c r="F6" s="84"/>
      <c r="G6" s="85"/>
      <c r="L6" s="93" t="s">
        <v>11</v>
      </c>
      <c r="M6" s="94"/>
      <c r="N6" s="95"/>
      <c r="O6" s="95"/>
      <c r="P6" s="66"/>
    </row>
    <row r="7" spans="1:16" ht="15.75">
      <c r="A7" s="96" t="s">
        <v>10</v>
      </c>
      <c r="B7" s="96"/>
      <c r="C7" s="96"/>
      <c r="D7" s="97"/>
      <c r="E7" s="66" t="s">
        <v>670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1:16" ht="15">
      <c r="A8" s="74" t="s">
        <v>94</v>
      </c>
      <c r="B8" s="74"/>
      <c r="C8" s="74"/>
      <c r="D8" s="74"/>
      <c r="E8" s="74"/>
      <c r="F8" s="74"/>
      <c r="G8" s="71" t="s">
        <v>15</v>
      </c>
      <c r="H8" s="71"/>
      <c r="I8" s="72"/>
      <c r="J8" s="72"/>
      <c r="K8" s="72"/>
      <c r="L8" s="72"/>
      <c r="M8" s="72"/>
      <c r="N8" s="72"/>
      <c r="O8" s="72"/>
      <c r="P8" s="72"/>
    </row>
    <row r="9" spans="1:16">
      <c r="A9" s="73" t="s">
        <v>16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 ht="16.5">
      <c r="A10" s="75" t="s">
        <v>95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21"/>
      <c r="P10" s="21"/>
    </row>
    <row r="11" spans="1:16" ht="16.5">
      <c r="A11" s="75" t="s">
        <v>96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</row>
    <row r="12" spans="1:16" ht="16.5">
      <c r="A12" s="75" t="s">
        <v>97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</row>
    <row r="13" spans="1:16" ht="15">
      <c r="A13" s="77" t="s">
        <v>9</v>
      </c>
      <c r="B13" s="77"/>
      <c r="C13" s="77"/>
      <c r="D13" s="69"/>
      <c r="E13" s="69"/>
      <c r="F13" s="69"/>
      <c r="G13" s="69"/>
      <c r="H13" s="69"/>
      <c r="I13" s="70"/>
      <c r="J13" s="7" t="s">
        <v>8</v>
      </c>
      <c r="K13" s="69" t="s">
        <v>17</v>
      </c>
      <c r="L13" s="70"/>
      <c r="M13" s="70"/>
      <c r="N13" s="70"/>
      <c r="O13" s="70"/>
      <c r="P13" s="70"/>
    </row>
    <row r="14" spans="1:16" ht="15">
      <c r="A14" s="77" t="s">
        <v>7</v>
      </c>
      <c r="B14" s="77"/>
      <c r="C14" s="77"/>
      <c r="D14" s="78"/>
      <c r="E14" s="70" t="s">
        <v>20</v>
      </c>
      <c r="F14" s="70"/>
      <c r="G14" s="70"/>
      <c r="H14" s="5" t="s">
        <v>6</v>
      </c>
      <c r="I14" s="66" t="s">
        <v>18</v>
      </c>
      <c r="J14" s="66"/>
      <c r="K14" s="66"/>
      <c r="L14" s="4" t="s">
        <v>5</v>
      </c>
      <c r="M14" s="70" t="s">
        <v>19</v>
      </c>
      <c r="N14" s="70"/>
      <c r="O14" s="70"/>
      <c r="P14" s="70"/>
    </row>
    <row r="15" spans="1:16" ht="15" thickBot="1"/>
    <row r="16" spans="1:16" s="3" customFormat="1" ht="17.25" thickTop="1">
      <c r="A16" s="79" t="s">
        <v>4</v>
      </c>
      <c r="B16" s="80"/>
      <c r="C16" s="80"/>
      <c r="D16" s="81"/>
      <c r="E16" s="67" t="s">
        <v>3</v>
      </c>
      <c r="F16" s="80"/>
      <c r="G16" s="80"/>
      <c r="H16" s="80"/>
      <c r="I16" s="80"/>
      <c r="J16" s="80"/>
      <c r="K16" s="67" t="s">
        <v>2</v>
      </c>
      <c r="L16" s="91"/>
      <c r="M16" s="68" t="s">
        <v>1</v>
      </c>
      <c r="N16" s="92"/>
      <c r="O16" s="67" t="s">
        <v>0</v>
      </c>
      <c r="P16" s="68"/>
    </row>
    <row r="17" spans="1:16">
      <c r="N17" s="1" t="s">
        <v>21</v>
      </c>
    </row>
    <row r="18" spans="1:16">
      <c r="E18" s="2" t="s">
        <v>98</v>
      </c>
      <c r="N18" s="1" t="s">
        <v>22</v>
      </c>
    </row>
    <row r="19" spans="1:16">
      <c r="E19" s="1" t="s">
        <v>23</v>
      </c>
    </row>
    <row r="20" spans="1:16">
      <c r="E20" s="1" t="s">
        <v>24</v>
      </c>
    </row>
    <row r="21" spans="1:16">
      <c r="E21" s="1" t="s">
        <v>25</v>
      </c>
    </row>
    <row r="22" spans="1:16">
      <c r="E22" s="1" t="s">
        <v>26</v>
      </c>
    </row>
    <row r="23" spans="1:16">
      <c r="E23" s="1" t="s">
        <v>27</v>
      </c>
    </row>
    <row r="24" spans="1:16" ht="16.5">
      <c r="A24" s="2"/>
      <c r="B24" s="2"/>
      <c r="E24" s="10" t="s">
        <v>28</v>
      </c>
    </row>
    <row r="25" spans="1:16">
      <c r="E25" s="1" t="s">
        <v>29</v>
      </c>
    </row>
    <row r="26" spans="1:16">
      <c r="E26" s="1" t="s">
        <v>30</v>
      </c>
    </row>
    <row r="28" spans="1:16">
      <c r="E28" s="1" t="s">
        <v>32</v>
      </c>
      <c r="K28" s="29">
        <v>474</v>
      </c>
      <c r="L28" s="1" t="s">
        <v>33</v>
      </c>
      <c r="M28" s="11" t="s">
        <v>34</v>
      </c>
      <c r="N28" s="29">
        <v>1.7</v>
      </c>
      <c r="O28" s="11" t="s">
        <v>34</v>
      </c>
      <c r="P28" s="29">
        <v>805.8</v>
      </c>
    </row>
    <row r="29" spans="1:16">
      <c r="E29" s="1" t="s">
        <v>32</v>
      </c>
      <c r="K29" s="29">
        <v>79</v>
      </c>
      <c r="L29" s="1" t="s">
        <v>33</v>
      </c>
      <c r="N29" s="29">
        <v>1.7</v>
      </c>
      <c r="P29" s="29">
        <v>134.30000000000001</v>
      </c>
    </row>
    <row r="30" spans="1:16">
      <c r="E30" s="1" t="s">
        <v>35</v>
      </c>
      <c r="K30" s="30">
        <v>8161</v>
      </c>
      <c r="L30" s="1" t="s">
        <v>33</v>
      </c>
      <c r="N30" s="29">
        <v>1.7</v>
      </c>
      <c r="P30" s="31">
        <v>13873.7</v>
      </c>
    </row>
    <row r="31" spans="1:16">
      <c r="E31" s="1" t="s">
        <v>35</v>
      </c>
      <c r="K31" s="29">
        <v>64</v>
      </c>
      <c r="L31" s="1" t="s">
        <v>33</v>
      </c>
      <c r="N31" s="29">
        <v>1.7</v>
      </c>
      <c r="P31" s="29">
        <v>108.8</v>
      </c>
    </row>
    <row r="32" spans="1:16">
      <c r="E32" s="1" t="s">
        <v>36</v>
      </c>
      <c r="K32" s="30">
        <v>1685</v>
      </c>
      <c r="L32" s="1" t="s">
        <v>33</v>
      </c>
      <c r="N32" s="29">
        <v>1.7</v>
      </c>
      <c r="P32" s="31">
        <v>2864.5</v>
      </c>
    </row>
    <row r="33" spans="5:16">
      <c r="E33" s="1" t="s">
        <v>36</v>
      </c>
      <c r="K33" s="29">
        <v>29</v>
      </c>
      <c r="L33" s="1" t="s">
        <v>33</v>
      </c>
      <c r="N33" s="29">
        <v>1.7</v>
      </c>
      <c r="P33" s="29">
        <v>49.3</v>
      </c>
    </row>
    <row r="34" spans="5:16">
      <c r="E34" s="1" t="s">
        <v>37</v>
      </c>
      <c r="K34" s="30">
        <v>5383</v>
      </c>
      <c r="L34" s="1" t="s">
        <v>33</v>
      </c>
      <c r="N34" s="29">
        <v>1.7</v>
      </c>
      <c r="P34" s="31">
        <v>9151.1</v>
      </c>
    </row>
    <row r="35" spans="5:16">
      <c r="E35" s="1" t="s">
        <v>37</v>
      </c>
      <c r="K35" s="29">
        <v>19</v>
      </c>
      <c r="L35" s="1" t="s">
        <v>33</v>
      </c>
      <c r="N35" s="29">
        <v>1.7</v>
      </c>
      <c r="P35" s="29">
        <v>32.299999999999997</v>
      </c>
    </row>
    <row r="36" spans="5:16">
      <c r="E36" s="1" t="s">
        <v>38</v>
      </c>
      <c r="K36" s="29">
        <v>584</v>
      </c>
      <c r="L36" s="1" t="s">
        <v>33</v>
      </c>
      <c r="N36" s="29">
        <v>1.7</v>
      </c>
      <c r="P36" s="29">
        <v>992.8</v>
      </c>
    </row>
    <row r="37" spans="5:16">
      <c r="E37" s="1" t="s">
        <v>38</v>
      </c>
      <c r="K37" s="29">
        <v>126</v>
      </c>
      <c r="L37" s="1" t="s">
        <v>33</v>
      </c>
      <c r="N37" s="29">
        <v>1.7</v>
      </c>
      <c r="P37" s="29">
        <v>214.2</v>
      </c>
    </row>
    <row r="38" spans="5:16">
      <c r="E38" s="1" t="s">
        <v>39</v>
      </c>
      <c r="K38" s="29">
        <v>445</v>
      </c>
      <c r="L38" s="1" t="s">
        <v>33</v>
      </c>
      <c r="N38" s="29">
        <v>1.7</v>
      </c>
      <c r="P38" s="29">
        <v>756.5</v>
      </c>
    </row>
    <row r="39" spans="5:16">
      <c r="E39" s="1" t="s">
        <v>39</v>
      </c>
      <c r="K39" s="29">
        <v>28</v>
      </c>
      <c r="L39" s="1" t="s">
        <v>33</v>
      </c>
      <c r="N39" s="29">
        <v>1.7</v>
      </c>
      <c r="P39" s="29">
        <v>47.6</v>
      </c>
    </row>
    <row r="40" spans="5:16">
      <c r="E40" s="1" t="s">
        <v>40</v>
      </c>
      <c r="K40" s="30">
        <v>1465</v>
      </c>
      <c r="L40" s="1" t="s">
        <v>33</v>
      </c>
      <c r="N40" s="29">
        <v>1.7</v>
      </c>
      <c r="P40" s="31">
        <v>2490.5</v>
      </c>
    </row>
    <row r="41" spans="5:16">
      <c r="E41" s="1" t="s">
        <v>40</v>
      </c>
      <c r="K41" s="29">
        <v>65</v>
      </c>
      <c r="L41" s="1" t="s">
        <v>33</v>
      </c>
      <c r="N41" s="29">
        <v>1.7</v>
      </c>
      <c r="P41" s="29">
        <v>110.5</v>
      </c>
    </row>
    <row r="42" spans="5:16">
      <c r="E42" s="1" t="s">
        <v>41</v>
      </c>
      <c r="K42" s="29">
        <v>936</v>
      </c>
      <c r="L42" s="1" t="s">
        <v>33</v>
      </c>
      <c r="N42" s="29">
        <v>1.7</v>
      </c>
      <c r="P42" s="31">
        <v>1591.2</v>
      </c>
    </row>
    <row r="43" spans="5:16">
      <c r="E43" s="1" t="s">
        <v>41</v>
      </c>
      <c r="K43" s="29">
        <v>67</v>
      </c>
      <c r="L43" s="1" t="s">
        <v>33</v>
      </c>
      <c r="N43" s="29">
        <v>1.7</v>
      </c>
      <c r="P43" s="29">
        <v>113.9</v>
      </c>
    </row>
    <row r="44" spans="5:16">
      <c r="E44" s="1" t="s">
        <v>42</v>
      </c>
      <c r="K44" s="30">
        <v>1295</v>
      </c>
      <c r="L44" s="1" t="s">
        <v>33</v>
      </c>
      <c r="N44" s="29">
        <v>1.7</v>
      </c>
      <c r="P44" s="31">
        <v>2201.5</v>
      </c>
    </row>
    <row r="45" spans="5:16">
      <c r="E45" s="1" t="s">
        <v>42</v>
      </c>
      <c r="K45" s="29">
        <v>81</v>
      </c>
      <c r="L45" s="1" t="s">
        <v>33</v>
      </c>
      <c r="N45" s="29">
        <v>1.7</v>
      </c>
      <c r="P45" s="29">
        <v>137.69999999999999</v>
      </c>
    </row>
    <row r="46" spans="5:16">
      <c r="E46" s="1" t="s">
        <v>43</v>
      </c>
      <c r="K46" s="30">
        <v>4977</v>
      </c>
      <c r="L46" s="1" t="s">
        <v>33</v>
      </c>
      <c r="N46" s="29">
        <v>1.7</v>
      </c>
      <c r="P46" s="31">
        <v>8460.9</v>
      </c>
    </row>
    <row r="47" spans="5:16">
      <c r="E47" s="1" t="s">
        <v>43</v>
      </c>
      <c r="K47" s="29">
        <v>101</v>
      </c>
      <c r="L47" s="1" t="s">
        <v>33</v>
      </c>
      <c r="N47" s="29">
        <v>1.7</v>
      </c>
      <c r="P47" s="29">
        <v>171.7</v>
      </c>
    </row>
    <row r="48" spans="5:16" ht="16.5">
      <c r="K48" s="10" t="s">
        <v>44</v>
      </c>
    </row>
    <row r="51" spans="5:7">
      <c r="E51" s="22" t="s">
        <v>99</v>
      </c>
      <c r="F51" s="22"/>
      <c r="G51" s="22"/>
    </row>
    <row r="52" spans="5:7">
      <c r="E52" s="22" t="s">
        <v>100</v>
      </c>
      <c r="F52" s="22"/>
      <c r="G52" s="22"/>
    </row>
    <row r="53" spans="5:7">
      <c r="E53" s="23" t="s">
        <v>101</v>
      </c>
      <c r="F53" s="23"/>
      <c r="G53" s="23"/>
    </row>
    <row r="54" spans="5:7">
      <c r="E54" s="24" t="s">
        <v>102</v>
      </c>
      <c r="F54" s="24"/>
      <c r="G54" s="24"/>
    </row>
    <row r="55" spans="5:7">
      <c r="E55" s="24" t="s">
        <v>103</v>
      </c>
      <c r="F55" s="24"/>
      <c r="G55" s="24"/>
    </row>
    <row r="56" spans="5:7">
      <c r="E56" s="24" t="s">
        <v>104</v>
      </c>
      <c r="F56" s="24"/>
      <c r="G56" s="24"/>
    </row>
    <row r="57" spans="5:7">
      <c r="E57" s="24" t="s">
        <v>105</v>
      </c>
      <c r="F57" s="24"/>
      <c r="G57" s="24"/>
    </row>
    <row r="58" spans="5:7">
      <c r="E58" s="24" t="s">
        <v>106</v>
      </c>
      <c r="F58" s="24"/>
      <c r="G58" s="24"/>
    </row>
    <row r="59" spans="5:7">
      <c r="E59" s="24" t="s">
        <v>107</v>
      </c>
      <c r="F59" s="24"/>
      <c r="G59" s="24"/>
    </row>
    <row r="60" spans="5:7">
      <c r="E60" s="24" t="s">
        <v>91</v>
      </c>
      <c r="F60" s="24"/>
      <c r="G60" s="24"/>
    </row>
    <row r="61" spans="5:7">
      <c r="E61" s="24" t="s">
        <v>103</v>
      </c>
      <c r="F61" s="24"/>
      <c r="G61" s="24"/>
    </row>
    <row r="62" spans="5:7">
      <c r="E62" s="24" t="s">
        <v>104</v>
      </c>
      <c r="F62" s="24"/>
      <c r="G62" s="24"/>
    </row>
    <row r="63" spans="5:7">
      <c r="E63" s="24" t="s">
        <v>108</v>
      </c>
      <c r="F63" s="24"/>
      <c r="G63" s="24"/>
    </row>
    <row r="64" spans="5:7">
      <c r="E64" s="24" t="s">
        <v>109</v>
      </c>
      <c r="F64" s="24"/>
      <c r="G64" s="24"/>
    </row>
    <row r="65" spans="5:16">
      <c r="E65" s="22" t="s">
        <v>110</v>
      </c>
      <c r="F65" s="24"/>
      <c r="G65" s="24"/>
    </row>
    <row r="66" spans="5:16">
      <c r="E66" s="22" t="s">
        <v>111</v>
      </c>
      <c r="F66" s="24"/>
      <c r="G66" s="24"/>
      <c r="H66" s="25"/>
      <c r="I66" s="26"/>
      <c r="J66" s="23"/>
      <c r="K66" s="26"/>
      <c r="L66" s="25"/>
      <c r="M66" s="26"/>
      <c r="N66" s="25"/>
    </row>
    <row r="67" spans="5:16">
      <c r="E67" s="24" t="s">
        <v>112</v>
      </c>
      <c r="F67" s="24"/>
      <c r="G67" s="24"/>
      <c r="K67" s="25">
        <v>641</v>
      </c>
      <c r="L67" s="26" t="s">
        <v>113</v>
      </c>
      <c r="M67" s="11" t="s">
        <v>34</v>
      </c>
      <c r="N67" s="25">
        <v>3.1</v>
      </c>
      <c r="O67" s="26" t="s">
        <v>34</v>
      </c>
      <c r="P67" s="27">
        <v>1987.1</v>
      </c>
    </row>
    <row r="68" spans="5:16">
      <c r="E68" s="24" t="s">
        <v>114</v>
      </c>
      <c r="F68" s="24"/>
      <c r="G68" s="24"/>
      <c r="K68" s="25"/>
      <c r="L68" s="26"/>
      <c r="N68" s="25"/>
      <c r="O68" s="26"/>
      <c r="P68" s="25"/>
    </row>
    <row r="69" spans="5:16">
      <c r="E69" s="24" t="s">
        <v>115</v>
      </c>
      <c r="F69" s="24"/>
      <c r="G69" s="24"/>
      <c r="K69" s="25"/>
      <c r="L69" s="26"/>
      <c r="N69" s="25"/>
      <c r="O69" s="26"/>
      <c r="P69" s="25"/>
    </row>
    <row r="70" spans="5:16">
      <c r="E70" s="24" t="s">
        <v>116</v>
      </c>
      <c r="F70" s="24"/>
      <c r="G70" s="24"/>
      <c r="K70" s="28">
        <v>1491</v>
      </c>
      <c r="L70" s="26" t="s">
        <v>113</v>
      </c>
      <c r="N70" s="25">
        <v>3.1</v>
      </c>
      <c r="O70" s="26" t="s">
        <v>34</v>
      </c>
      <c r="P70" s="27">
        <v>4622.1000000000004</v>
      </c>
    </row>
    <row r="71" spans="5:16">
      <c r="E71" s="24" t="s">
        <v>117</v>
      </c>
      <c r="F71" s="24"/>
      <c r="G71" s="24"/>
      <c r="H71" s="25"/>
      <c r="I71" s="26"/>
      <c r="J71" s="23"/>
      <c r="K71" s="26"/>
      <c r="L71" s="25"/>
      <c r="M71" s="26"/>
      <c r="N71" s="25"/>
    </row>
    <row r="72" spans="5:16">
      <c r="E72" s="24" t="s">
        <v>118</v>
      </c>
      <c r="F72" s="24"/>
      <c r="G72" s="24"/>
      <c r="H72" s="25"/>
      <c r="I72" s="26"/>
      <c r="J72" s="23"/>
      <c r="K72" s="26"/>
      <c r="L72" s="25"/>
      <c r="M72" s="26"/>
      <c r="N72" s="25"/>
    </row>
    <row r="73" spans="5:16">
      <c r="E73" s="22" t="s">
        <v>119</v>
      </c>
      <c r="F73" s="24"/>
      <c r="G73" s="24"/>
      <c r="H73" s="25"/>
      <c r="I73" s="26"/>
      <c r="J73" s="23"/>
      <c r="K73" s="26"/>
      <c r="L73" s="25"/>
      <c r="M73" s="26"/>
      <c r="N73" s="25"/>
    </row>
    <row r="74" spans="5:16">
      <c r="E74" s="22" t="s">
        <v>120</v>
      </c>
      <c r="F74" s="24"/>
      <c r="G74" s="24"/>
      <c r="H74" s="25"/>
      <c r="I74" s="26"/>
      <c r="J74" s="23"/>
      <c r="K74" s="26"/>
      <c r="L74" s="25"/>
      <c r="M74" s="26"/>
      <c r="N74" s="25"/>
    </row>
    <row r="75" spans="5:16">
      <c r="E75" s="22" t="s">
        <v>121</v>
      </c>
      <c r="F75" s="24"/>
      <c r="G75" s="24"/>
      <c r="H75" s="25"/>
      <c r="I75" s="26"/>
      <c r="J75" s="23"/>
      <c r="K75" s="26"/>
      <c r="L75" s="25"/>
      <c r="M75" s="26"/>
      <c r="N75" s="25"/>
    </row>
    <row r="76" spans="5:16">
      <c r="E76" s="24" t="s">
        <v>116</v>
      </c>
      <c r="F76" s="24"/>
      <c r="G76" s="24"/>
      <c r="K76" s="28">
        <v>7</v>
      </c>
      <c r="L76" s="26" t="s">
        <v>113</v>
      </c>
      <c r="M76" s="26"/>
      <c r="N76" s="25">
        <v>3.1</v>
      </c>
      <c r="O76" s="26" t="s">
        <v>34</v>
      </c>
      <c r="P76" s="27">
        <f>K76*N76</f>
        <v>21.7</v>
      </c>
    </row>
    <row r="77" spans="5:16">
      <c r="E77" s="24" t="s">
        <v>117</v>
      </c>
      <c r="F77" s="24"/>
      <c r="G77" s="24"/>
      <c r="H77" s="25"/>
      <c r="I77" s="26"/>
      <c r="J77" s="23"/>
      <c r="K77" s="26"/>
      <c r="L77" s="25"/>
      <c r="M77" s="26"/>
      <c r="N77" s="25"/>
    </row>
    <row r="78" spans="5:16">
      <c r="E78" s="24" t="s">
        <v>118</v>
      </c>
      <c r="F78" s="24"/>
      <c r="G78" s="24"/>
      <c r="H78" s="25"/>
      <c r="I78" s="26"/>
      <c r="J78" s="23"/>
      <c r="K78" s="26"/>
      <c r="L78" s="25"/>
      <c r="M78" s="26"/>
      <c r="N78" s="25"/>
    </row>
    <row r="80" spans="5:16">
      <c r="E80" s="22" t="s">
        <v>122</v>
      </c>
      <c r="F80" s="22"/>
      <c r="G80" s="22"/>
      <c r="H80" s="25"/>
      <c r="I80" s="26"/>
      <c r="J80" s="23"/>
      <c r="K80" s="26"/>
      <c r="L80" s="25"/>
      <c r="M80" s="26"/>
      <c r="N80" s="25"/>
    </row>
    <row r="81" spans="5:16">
      <c r="E81" s="24" t="s">
        <v>123</v>
      </c>
      <c r="F81" s="24"/>
      <c r="G81" s="24"/>
      <c r="H81" s="25"/>
      <c r="I81" s="26"/>
      <c r="J81" s="23"/>
      <c r="K81" s="26"/>
      <c r="L81" s="25"/>
      <c r="M81" s="26"/>
      <c r="N81" s="25"/>
    </row>
    <row r="82" spans="5:16">
      <c r="E82" s="24" t="s">
        <v>102</v>
      </c>
      <c r="F82" s="24"/>
      <c r="G82" s="24"/>
      <c r="H82" s="25"/>
      <c r="I82" s="26"/>
      <c r="J82" s="23"/>
      <c r="K82" s="26"/>
      <c r="L82" s="25"/>
      <c r="M82" s="26"/>
      <c r="N82" s="25"/>
    </row>
    <row r="83" spans="5:16">
      <c r="E83" s="24" t="s">
        <v>124</v>
      </c>
      <c r="F83" s="24"/>
      <c r="G83" s="24"/>
      <c r="H83" s="25"/>
      <c r="I83" s="26"/>
      <c r="J83" s="23"/>
      <c r="K83" s="26"/>
      <c r="L83" s="25"/>
      <c r="M83" s="26"/>
      <c r="N83" s="25"/>
    </row>
    <row r="84" spans="5:16">
      <c r="E84" s="24" t="s">
        <v>125</v>
      </c>
      <c r="F84" s="24"/>
      <c r="G84" s="24"/>
      <c r="H84" s="25"/>
      <c r="I84" s="26"/>
      <c r="J84" s="23"/>
      <c r="K84" s="26"/>
      <c r="L84" s="25"/>
      <c r="M84" s="26"/>
      <c r="N84" s="25"/>
    </row>
    <row r="85" spans="5:16">
      <c r="E85" s="24" t="s">
        <v>126</v>
      </c>
      <c r="F85" s="24"/>
      <c r="G85" s="24"/>
      <c r="H85" s="25"/>
      <c r="I85" s="26"/>
      <c r="J85" s="23"/>
      <c r="K85" s="26"/>
      <c r="L85" s="25"/>
      <c r="M85" s="26"/>
      <c r="N85" s="25"/>
    </row>
    <row r="86" spans="5:16">
      <c r="E86" s="24" t="s">
        <v>127</v>
      </c>
      <c r="F86" s="24"/>
      <c r="G86" s="24"/>
      <c r="H86" s="25"/>
      <c r="I86" s="26"/>
      <c r="J86" s="23"/>
      <c r="K86" s="26"/>
      <c r="L86" s="25"/>
      <c r="M86" s="26"/>
      <c r="N86" s="25"/>
    </row>
    <row r="87" spans="5:16">
      <c r="E87" s="24" t="s">
        <v>128</v>
      </c>
      <c r="F87" s="24"/>
      <c r="G87" s="24"/>
      <c r="H87" s="25"/>
      <c r="I87" s="26"/>
      <c r="J87" s="23"/>
      <c r="K87" s="26"/>
      <c r="L87" s="25"/>
      <c r="M87" s="26"/>
      <c r="N87" s="25"/>
    </row>
    <row r="88" spans="5:16">
      <c r="E88" s="24" t="s">
        <v>91</v>
      </c>
      <c r="F88" s="24"/>
      <c r="G88" s="24"/>
      <c r="H88" s="25"/>
      <c r="I88" s="26"/>
      <c r="J88" s="23"/>
      <c r="K88" s="26"/>
      <c r="L88" s="25"/>
      <c r="M88" s="26"/>
      <c r="N88" s="25"/>
    </row>
    <row r="89" spans="5:16">
      <c r="E89" s="24" t="s">
        <v>124</v>
      </c>
      <c r="F89" s="24"/>
      <c r="G89" s="24"/>
      <c r="H89" s="25"/>
      <c r="I89" s="26"/>
      <c r="J89" s="23"/>
      <c r="K89" s="26"/>
      <c r="L89" s="25"/>
      <c r="M89" s="26"/>
      <c r="N89" s="25"/>
    </row>
    <row r="90" spans="5:16">
      <c r="E90" s="24" t="s">
        <v>129</v>
      </c>
      <c r="F90" s="24"/>
      <c r="G90" s="24"/>
      <c r="H90" s="25"/>
      <c r="I90" s="26"/>
      <c r="J90" s="23"/>
      <c r="K90" s="26"/>
      <c r="L90" s="25"/>
      <c r="M90" s="26"/>
      <c r="N90" s="25"/>
    </row>
    <row r="91" spans="5:16">
      <c r="E91" s="24" t="s">
        <v>130</v>
      </c>
      <c r="F91" s="24"/>
      <c r="G91" s="24"/>
      <c r="H91" s="25"/>
      <c r="I91" s="26"/>
      <c r="J91" s="23"/>
      <c r="K91" s="26"/>
      <c r="L91" s="25"/>
      <c r="M91" s="26"/>
      <c r="N91" s="25"/>
    </row>
    <row r="92" spans="5:16">
      <c r="E92" s="24" t="s">
        <v>109</v>
      </c>
      <c r="F92" s="24"/>
      <c r="G92" s="24"/>
      <c r="H92" s="25"/>
      <c r="I92" s="26"/>
      <c r="J92" s="23"/>
      <c r="K92" s="26"/>
      <c r="L92" s="25"/>
      <c r="M92" s="26"/>
      <c r="N92" s="25"/>
    </row>
    <row r="93" spans="5:16">
      <c r="E93" s="22" t="s">
        <v>110</v>
      </c>
      <c r="F93" s="24"/>
      <c r="G93" s="24"/>
      <c r="H93" s="25"/>
      <c r="I93" s="26"/>
      <c r="J93" s="23"/>
      <c r="K93" s="26"/>
      <c r="L93" s="25"/>
      <c r="M93" s="26"/>
      <c r="N93" s="25"/>
    </row>
    <row r="94" spans="5:16">
      <c r="E94" s="22" t="s">
        <v>111</v>
      </c>
      <c r="F94" s="24"/>
      <c r="G94" s="24"/>
      <c r="H94" s="25"/>
      <c r="I94" s="26"/>
      <c r="J94" s="23"/>
      <c r="K94" s="26"/>
      <c r="L94" s="25"/>
      <c r="M94" s="26"/>
      <c r="N94" s="25"/>
    </row>
    <row r="95" spans="5:16">
      <c r="E95" s="24" t="s">
        <v>131</v>
      </c>
      <c r="F95" s="24"/>
      <c r="G95" s="24"/>
      <c r="K95" s="25">
        <v>400</v>
      </c>
      <c r="L95" s="26" t="s">
        <v>113</v>
      </c>
      <c r="M95" s="26"/>
      <c r="N95" s="25">
        <v>4.95</v>
      </c>
      <c r="O95" s="26" t="s">
        <v>34</v>
      </c>
      <c r="P95" s="27">
        <v>1980</v>
      </c>
    </row>
    <row r="96" spans="5:16">
      <c r="E96" s="24" t="s">
        <v>132</v>
      </c>
      <c r="F96" s="24"/>
      <c r="G96" s="24"/>
      <c r="H96" s="25"/>
      <c r="I96" s="26"/>
      <c r="J96" s="23"/>
      <c r="K96" s="26"/>
      <c r="L96" s="25"/>
      <c r="M96" s="26"/>
      <c r="N96" s="25"/>
    </row>
    <row r="97" spans="5:16">
      <c r="E97" s="82"/>
      <c r="F97" s="82"/>
      <c r="G97" s="82"/>
      <c r="H97" s="25"/>
      <c r="I97" s="26"/>
      <c r="J97" s="23"/>
      <c r="K97" s="26"/>
      <c r="L97" s="25"/>
      <c r="M97" s="26"/>
      <c r="N97" s="25"/>
    </row>
    <row r="98" spans="5:16">
      <c r="E98" s="24" t="s">
        <v>102</v>
      </c>
      <c r="F98" s="24"/>
      <c r="G98" s="24"/>
      <c r="H98" s="25"/>
      <c r="I98" s="26"/>
      <c r="J98" s="23"/>
      <c r="K98" s="26"/>
      <c r="L98" s="25"/>
      <c r="M98" s="26"/>
      <c r="N98" s="25"/>
    </row>
    <row r="99" spans="5:16">
      <c r="E99" s="24" t="s">
        <v>124</v>
      </c>
      <c r="F99" s="24"/>
      <c r="G99" s="24"/>
      <c r="H99" s="25"/>
      <c r="I99" s="26"/>
      <c r="J99" s="23"/>
      <c r="K99" s="26"/>
      <c r="L99" s="25"/>
      <c r="M99" s="26"/>
      <c r="N99" s="25"/>
    </row>
    <row r="100" spans="5:16">
      <c r="E100" s="24" t="s">
        <v>133</v>
      </c>
      <c r="F100" s="24"/>
      <c r="G100" s="24"/>
      <c r="H100" s="25"/>
      <c r="I100" s="26"/>
      <c r="J100" s="23"/>
      <c r="K100" s="26"/>
      <c r="L100" s="25"/>
      <c r="M100" s="26"/>
      <c r="N100" s="25"/>
    </row>
    <row r="101" spans="5:16">
      <c r="E101" s="24" t="s">
        <v>134</v>
      </c>
      <c r="F101" s="24"/>
      <c r="G101" s="24"/>
      <c r="H101" s="25"/>
      <c r="I101" s="26"/>
      <c r="J101" s="23"/>
      <c r="K101" s="26"/>
      <c r="L101" s="25"/>
      <c r="M101" s="26"/>
      <c r="N101" s="25"/>
    </row>
    <row r="102" spans="5:16">
      <c r="E102" s="24" t="s">
        <v>127</v>
      </c>
      <c r="F102" s="24"/>
      <c r="G102" s="24"/>
      <c r="H102" s="25"/>
      <c r="I102" s="26"/>
      <c r="J102" s="23"/>
      <c r="K102" s="26"/>
      <c r="L102" s="25"/>
      <c r="M102" s="26"/>
      <c r="N102" s="25"/>
    </row>
    <row r="103" spans="5:16">
      <c r="E103" s="24" t="s">
        <v>128</v>
      </c>
      <c r="F103" s="24"/>
      <c r="G103" s="24"/>
      <c r="H103" s="25"/>
      <c r="I103" s="26"/>
      <c r="J103" s="23"/>
      <c r="K103" s="26"/>
      <c r="L103" s="25"/>
      <c r="M103" s="26"/>
      <c r="N103" s="25"/>
    </row>
    <row r="104" spans="5:16">
      <c r="E104" s="24" t="s">
        <v>91</v>
      </c>
      <c r="F104" s="24"/>
      <c r="G104" s="24"/>
      <c r="H104" s="25"/>
      <c r="I104" s="26"/>
      <c r="J104" s="23"/>
      <c r="K104" s="26"/>
      <c r="L104" s="25"/>
      <c r="M104" s="26"/>
      <c r="N104" s="25"/>
    </row>
    <row r="105" spans="5:16">
      <c r="E105" s="24" t="s">
        <v>124</v>
      </c>
      <c r="F105" s="24"/>
      <c r="G105" s="24"/>
      <c r="H105" s="25"/>
      <c r="I105" s="26"/>
      <c r="J105" s="23"/>
      <c r="K105" s="26"/>
      <c r="L105" s="25"/>
      <c r="M105" s="26"/>
      <c r="N105" s="25"/>
    </row>
    <row r="106" spans="5:16">
      <c r="E106" s="24" t="s">
        <v>129</v>
      </c>
      <c r="F106" s="24"/>
      <c r="G106" s="24"/>
      <c r="H106" s="25"/>
      <c r="I106" s="26"/>
      <c r="J106" s="23"/>
      <c r="K106" s="26"/>
      <c r="L106" s="25"/>
      <c r="M106" s="26"/>
      <c r="N106" s="25"/>
    </row>
    <row r="107" spans="5:16">
      <c r="E107" s="24" t="s">
        <v>130</v>
      </c>
      <c r="F107" s="24"/>
      <c r="G107" s="24"/>
      <c r="H107" s="25"/>
      <c r="I107" s="26"/>
      <c r="J107" s="23"/>
      <c r="K107" s="26"/>
      <c r="L107" s="25"/>
      <c r="M107" s="26"/>
      <c r="N107" s="25"/>
    </row>
    <row r="108" spans="5:16">
      <c r="E108" s="24" t="s">
        <v>109</v>
      </c>
      <c r="F108" s="24"/>
      <c r="G108" s="24"/>
      <c r="H108" s="25"/>
      <c r="I108" s="26"/>
      <c r="J108" s="23"/>
      <c r="K108" s="26"/>
      <c r="L108" s="25"/>
      <c r="M108" s="26"/>
      <c r="N108" s="25"/>
    </row>
    <row r="109" spans="5:16">
      <c r="E109" s="22" t="s">
        <v>110</v>
      </c>
      <c r="F109" s="24"/>
      <c r="G109" s="24"/>
      <c r="H109" s="25"/>
      <c r="I109" s="26"/>
      <c r="J109" s="23"/>
      <c r="K109" s="26"/>
      <c r="L109" s="25"/>
      <c r="M109" s="26"/>
      <c r="N109" s="25"/>
    </row>
    <row r="110" spans="5:16">
      <c r="E110" s="22" t="s">
        <v>111</v>
      </c>
      <c r="F110" s="24"/>
      <c r="G110" s="24"/>
      <c r="H110" s="25"/>
      <c r="I110" s="26"/>
      <c r="J110" s="23"/>
      <c r="K110" s="26"/>
      <c r="L110" s="25"/>
      <c r="M110" s="26"/>
      <c r="N110" s="25"/>
    </row>
    <row r="111" spans="5:16">
      <c r="E111" s="24" t="s">
        <v>135</v>
      </c>
      <c r="F111" s="24"/>
      <c r="G111" s="24"/>
      <c r="K111" s="25">
        <v>888</v>
      </c>
      <c r="L111" s="26" t="s">
        <v>113</v>
      </c>
      <c r="M111" s="26"/>
      <c r="N111" s="25">
        <v>4.75</v>
      </c>
      <c r="O111" s="26" t="s">
        <v>34</v>
      </c>
      <c r="P111" s="27">
        <v>4218</v>
      </c>
    </row>
    <row r="112" spans="5:16">
      <c r="E112" s="24" t="s">
        <v>136</v>
      </c>
      <c r="F112" s="24"/>
      <c r="G112" s="24"/>
      <c r="H112" s="25"/>
      <c r="I112" s="26"/>
      <c r="J112" s="23"/>
      <c r="K112" s="26"/>
      <c r="L112" s="25"/>
      <c r="M112" s="26"/>
      <c r="N112" s="25"/>
    </row>
    <row r="113" spans="5:16">
      <c r="E113" s="24"/>
      <c r="F113" s="24"/>
      <c r="G113" s="24"/>
      <c r="H113" s="25"/>
      <c r="I113" s="26"/>
      <c r="J113" s="23"/>
      <c r="K113" s="26"/>
      <c r="L113" s="25"/>
      <c r="M113" s="26"/>
      <c r="N113" s="25"/>
    </row>
    <row r="114" spans="5:16">
      <c r="E114" s="1" t="s">
        <v>23</v>
      </c>
    </row>
    <row r="115" spans="5:16">
      <c r="E115" s="1" t="s">
        <v>661</v>
      </c>
    </row>
    <row r="116" spans="5:16">
      <c r="E116" s="1" t="s">
        <v>662</v>
      </c>
    </row>
    <row r="117" spans="5:16">
      <c r="E117" s="1" t="s">
        <v>663</v>
      </c>
    </row>
    <row r="118" spans="5:16" ht="16.5">
      <c r="E118" s="10" t="s">
        <v>28</v>
      </c>
    </row>
    <row r="119" spans="5:16">
      <c r="E119" s="2" t="s">
        <v>664</v>
      </c>
    </row>
    <row r="120" spans="5:16">
      <c r="E120" s="1" t="s">
        <v>665</v>
      </c>
      <c r="K120" s="29">
        <v>454</v>
      </c>
      <c r="L120" s="1" t="s">
        <v>33</v>
      </c>
      <c r="M120" s="11" t="s">
        <v>34</v>
      </c>
      <c r="N120" s="63">
        <v>2.2000000000000002</v>
      </c>
      <c r="O120" s="11" t="s">
        <v>34</v>
      </c>
      <c r="P120" s="64">
        <v>998.8</v>
      </c>
    </row>
    <row r="121" spans="5:16">
      <c r="E121" s="1" t="s">
        <v>666</v>
      </c>
      <c r="K121" s="29">
        <v>74</v>
      </c>
      <c r="L121" s="1" t="s">
        <v>33</v>
      </c>
      <c r="N121" s="63">
        <v>2.2000000000000002</v>
      </c>
      <c r="P121" s="64">
        <v>162.80000000000001</v>
      </c>
    </row>
    <row r="122" spans="5:16" ht="16.5">
      <c r="K122" s="10" t="s">
        <v>44</v>
      </c>
      <c r="P122" s="65"/>
    </row>
    <row r="123" spans="5:16"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5:16">
      <c r="E124" s="24" t="s">
        <v>152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5:16">
      <c r="E125" s="24" t="s">
        <v>161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5:16">
      <c r="E126" s="24" t="s">
        <v>159</v>
      </c>
      <c r="F126" s="24"/>
      <c r="G126" s="24"/>
      <c r="H126" s="24"/>
      <c r="I126" s="24"/>
      <c r="J126" s="24"/>
      <c r="K126" s="24"/>
      <c r="L126" s="24"/>
      <c r="M126" s="24"/>
      <c r="N126" s="35"/>
      <c r="O126" s="24"/>
      <c r="P126" s="24"/>
    </row>
    <row r="127" spans="5:16">
      <c r="E127" s="24" t="s">
        <v>162</v>
      </c>
      <c r="F127" s="24"/>
      <c r="G127" s="24"/>
      <c r="H127" s="24"/>
      <c r="I127" s="24"/>
      <c r="J127" s="24"/>
      <c r="K127" s="38">
        <f>14636+316+319</f>
        <v>15271</v>
      </c>
      <c r="L127" s="24" t="s">
        <v>164</v>
      </c>
      <c r="M127" s="24"/>
      <c r="N127" s="35">
        <v>0.24</v>
      </c>
      <c r="O127" s="24"/>
      <c r="P127" s="39">
        <f>K127*N127</f>
        <v>3665.04</v>
      </c>
    </row>
    <row r="128" spans="5:16">
      <c r="E128" s="24"/>
      <c r="F128" s="24"/>
      <c r="G128" s="24"/>
      <c r="H128" s="24"/>
      <c r="I128" s="24"/>
      <c r="J128" s="24"/>
      <c r="K128" s="38"/>
      <c r="L128" s="24"/>
      <c r="M128" s="24"/>
      <c r="N128" s="35"/>
      <c r="O128" s="24"/>
      <c r="P128" s="39"/>
    </row>
    <row r="129" spans="1:16">
      <c r="E129" s="24" t="s">
        <v>165</v>
      </c>
      <c r="F129" s="24"/>
      <c r="G129" s="24"/>
      <c r="H129" s="24"/>
      <c r="I129" s="24"/>
      <c r="J129" s="24"/>
      <c r="K129" s="38"/>
      <c r="L129" s="24"/>
      <c r="M129" s="24"/>
      <c r="N129" s="35"/>
      <c r="O129" s="24"/>
      <c r="P129" s="39"/>
    </row>
    <row r="130" spans="1:16">
      <c r="E130" s="24" t="s">
        <v>160</v>
      </c>
      <c r="F130" s="24"/>
      <c r="G130" s="24"/>
      <c r="H130" s="24"/>
      <c r="I130" s="24"/>
      <c r="J130" s="24"/>
      <c r="K130" s="38"/>
      <c r="L130" s="24"/>
      <c r="M130" s="24"/>
      <c r="N130" s="35"/>
      <c r="O130" s="24"/>
      <c r="P130" s="39"/>
    </row>
    <row r="131" spans="1:16">
      <c r="E131" s="24" t="s">
        <v>163</v>
      </c>
      <c r="F131" s="24"/>
      <c r="G131" s="24"/>
      <c r="H131" s="24"/>
      <c r="I131" s="24"/>
      <c r="J131" s="24"/>
      <c r="K131" s="38">
        <f>911+376+948+579</f>
        <v>2814</v>
      </c>
      <c r="L131" s="24" t="s">
        <v>164</v>
      </c>
      <c r="M131" s="24"/>
      <c r="N131" s="35">
        <v>7.6999999999999999E-2</v>
      </c>
      <c r="O131" s="24"/>
      <c r="P131" s="39">
        <f>K131*N131</f>
        <v>216.678</v>
      </c>
    </row>
    <row r="132" spans="1:16">
      <c r="E132" s="24"/>
      <c r="F132" s="24"/>
      <c r="G132" s="24"/>
      <c r="H132" s="24"/>
      <c r="I132" s="24"/>
      <c r="J132" s="24"/>
      <c r="K132" s="38"/>
      <c r="L132" s="24"/>
      <c r="M132" s="24"/>
      <c r="N132" s="24"/>
      <c r="O132" s="24"/>
      <c r="P132" s="39"/>
    </row>
    <row r="133" spans="1:16">
      <c r="E133" s="24" t="s">
        <v>152</v>
      </c>
      <c r="G133" s="24"/>
      <c r="H133" s="24" t="s">
        <v>156</v>
      </c>
      <c r="I133" s="24"/>
      <c r="J133" s="24"/>
      <c r="K133" s="24"/>
      <c r="L133" s="24"/>
      <c r="M133" s="24"/>
      <c r="N133" s="24"/>
      <c r="O133" s="24"/>
      <c r="P133" s="24"/>
    </row>
    <row r="134" spans="1:16">
      <c r="E134" s="24" t="s">
        <v>155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>
      <c r="E135" s="24" t="s">
        <v>153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>
      <c r="E136" s="24" t="s">
        <v>157</v>
      </c>
      <c r="F136" s="24"/>
      <c r="G136" s="24"/>
      <c r="H136" s="24"/>
      <c r="I136" s="24"/>
      <c r="J136" s="24"/>
      <c r="K136" s="40">
        <f>20282+392+382+2755</f>
        <v>23811</v>
      </c>
      <c r="L136" s="24" t="s">
        <v>154</v>
      </c>
      <c r="M136" s="24"/>
      <c r="N136" s="35">
        <v>0.09</v>
      </c>
      <c r="O136" s="24" t="s">
        <v>34</v>
      </c>
      <c r="P136" s="37">
        <f>K136*N136</f>
        <v>2142.9899999999998</v>
      </c>
    </row>
    <row r="137" spans="1:16">
      <c r="E137" s="24" t="s">
        <v>158</v>
      </c>
      <c r="F137" s="24"/>
      <c r="G137" s="24"/>
      <c r="H137" s="24"/>
      <c r="I137" s="24"/>
      <c r="J137" s="24"/>
      <c r="K137" s="40">
        <f>19544+1512</f>
        <v>21056</v>
      </c>
      <c r="L137" s="24" t="s">
        <v>154</v>
      </c>
      <c r="M137" s="24"/>
      <c r="N137" s="35">
        <v>4.5999999999999999E-2</v>
      </c>
      <c r="O137" s="24" t="s">
        <v>34</v>
      </c>
      <c r="P137" s="37">
        <f>K137*N137</f>
        <v>968.57600000000002</v>
      </c>
    </row>
    <row r="138" spans="1:16"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" thickBot="1">
      <c r="A139" s="41"/>
      <c r="B139" s="41"/>
      <c r="C139" s="41"/>
      <c r="D139" s="41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</row>
    <row r="140" spans="1:16">
      <c r="A140" s="24" t="s">
        <v>669</v>
      </c>
      <c r="K140" s="30">
        <f>SUM(K28:K133)</f>
        <v>48104</v>
      </c>
      <c r="L140" s="1" t="s">
        <v>33</v>
      </c>
      <c r="O140" s="11" t="s">
        <v>34</v>
      </c>
      <c r="P140" s="31">
        <f>SUM(P28:P139)</f>
        <v>65292.583999999995</v>
      </c>
    </row>
    <row r="141" spans="1:16">
      <c r="K141" s="30">
        <f>K136+K137</f>
        <v>44867</v>
      </c>
      <c r="L141" s="43" t="s">
        <v>154</v>
      </c>
      <c r="O141" s="11"/>
      <c r="P141" s="31"/>
    </row>
    <row r="142" spans="1:16">
      <c r="A142" s="12" t="s">
        <v>86</v>
      </c>
      <c r="K142" s="11" t="s">
        <v>45</v>
      </c>
      <c r="L142" s="1" t="s">
        <v>46</v>
      </c>
    </row>
    <row r="143" spans="1:16">
      <c r="A143" s="12" t="s">
        <v>87</v>
      </c>
    </row>
    <row r="144" spans="1:16">
      <c r="A144" s="12" t="s">
        <v>88</v>
      </c>
    </row>
    <row r="145" spans="1:1">
      <c r="A145" s="12" t="s">
        <v>89</v>
      </c>
    </row>
    <row r="146" spans="1:1">
      <c r="A146" s="12" t="s">
        <v>90</v>
      </c>
    </row>
    <row r="147" spans="1:1">
      <c r="A147" s="12" t="s">
        <v>91</v>
      </c>
    </row>
    <row r="148" spans="1:1">
      <c r="A148" s="12" t="s">
        <v>92</v>
      </c>
    </row>
    <row r="149" spans="1:1">
      <c r="A149" s="12" t="s">
        <v>93</v>
      </c>
    </row>
    <row r="151" spans="1:1">
      <c r="A151" s="1" t="s">
        <v>167</v>
      </c>
    </row>
    <row r="152" spans="1:1">
      <c r="A152" s="1" t="s">
        <v>168</v>
      </c>
    </row>
    <row r="153" spans="1:1">
      <c r="A153" s="1" t="s">
        <v>169</v>
      </c>
    </row>
    <row r="154" spans="1:1">
      <c r="A154" s="1" t="s">
        <v>170</v>
      </c>
    </row>
    <row r="155" spans="1:1">
      <c r="A155" s="1" t="s">
        <v>171</v>
      </c>
    </row>
    <row r="156" spans="1:1">
      <c r="A156" s="1" t="s">
        <v>172</v>
      </c>
    </row>
    <row r="157" spans="1:1">
      <c r="A157" s="1" t="s">
        <v>173</v>
      </c>
    </row>
    <row r="158" spans="1:1">
      <c r="A158" s="1" t="s">
        <v>174</v>
      </c>
    </row>
    <row r="159" spans="1:1">
      <c r="A159" s="1" t="s">
        <v>175</v>
      </c>
    </row>
    <row r="160" spans="1:1">
      <c r="A160" s="1" t="s">
        <v>176</v>
      </c>
    </row>
    <row r="161" spans="1:1">
      <c r="A161" s="1" t="s">
        <v>177</v>
      </c>
    </row>
    <row r="163" spans="1:1">
      <c r="A163" s="1" t="s">
        <v>178</v>
      </c>
    </row>
    <row r="164" spans="1:1">
      <c r="A164" s="1" t="s">
        <v>179</v>
      </c>
    </row>
    <row r="165" spans="1:1">
      <c r="A165" s="1" t="s">
        <v>180</v>
      </c>
    </row>
    <row r="166" spans="1:1">
      <c r="A166" s="1" t="s">
        <v>181</v>
      </c>
    </row>
    <row r="167" spans="1:1">
      <c r="A167" s="1" t="s">
        <v>182</v>
      </c>
    </row>
    <row r="168" spans="1:1">
      <c r="A168" s="1" t="s">
        <v>183</v>
      </c>
    </row>
    <row r="169" spans="1:1">
      <c r="A169" s="1" t="s">
        <v>184</v>
      </c>
    </row>
    <row r="170" spans="1:1">
      <c r="A170" s="1" t="s">
        <v>170</v>
      </c>
    </row>
    <row r="172" spans="1:1">
      <c r="A172" s="1" t="s">
        <v>185</v>
      </c>
    </row>
    <row r="173" spans="1:1">
      <c r="A173" s="1" t="s">
        <v>186</v>
      </c>
    </row>
    <row r="174" spans="1:1">
      <c r="A174" s="1" t="s">
        <v>187</v>
      </c>
    </row>
    <row r="175" spans="1:1">
      <c r="A175" s="1" t="s">
        <v>188</v>
      </c>
    </row>
    <row r="176" spans="1:1">
      <c r="A176" s="1" t="s">
        <v>170</v>
      </c>
    </row>
    <row r="177" spans="1:1">
      <c r="A177" s="1" t="s">
        <v>189</v>
      </c>
    </row>
    <row r="179" spans="1:1">
      <c r="A179" s="1" t="s">
        <v>190</v>
      </c>
    </row>
    <row r="180" spans="1:1">
      <c r="A180" s="1" t="s">
        <v>188</v>
      </c>
    </row>
    <row r="181" spans="1:1">
      <c r="A181" s="1" t="s">
        <v>192</v>
      </c>
    </row>
    <row r="182" spans="1:1">
      <c r="A182" s="1" t="s">
        <v>193</v>
      </c>
    </row>
    <row r="183" spans="1:1">
      <c r="A183" s="1" t="s">
        <v>175</v>
      </c>
    </row>
    <row r="184" spans="1:1">
      <c r="A184" s="1" t="s">
        <v>194</v>
      </c>
    </row>
    <row r="185" spans="1:1">
      <c r="A185" s="1" t="s">
        <v>170</v>
      </c>
    </row>
  </sheetData>
  <mergeCells count="29">
    <mergeCell ref="E97:G97"/>
    <mergeCell ref="B6:G6"/>
    <mergeCell ref="A3:I3"/>
    <mergeCell ref="J3:P3"/>
    <mergeCell ref="A1:P1"/>
    <mergeCell ref="A2:P2"/>
    <mergeCell ref="A4:P4"/>
    <mergeCell ref="K16:L16"/>
    <mergeCell ref="I14:K14"/>
    <mergeCell ref="M16:N16"/>
    <mergeCell ref="M14:P14"/>
    <mergeCell ref="L6:M6"/>
    <mergeCell ref="N6:P6"/>
    <mergeCell ref="A7:D7"/>
    <mergeCell ref="E16:J16"/>
    <mergeCell ref="A13:C13"/>
    <mergeCell ref="E7:P7"/>
    <mergeCell ref="O16:P16"/>
    <mergeCell ref="K13:P13"/>
    <mergeCell ref="G8:P8"/>
    <mergeCell ref="A9:P9"/>
    <mergeCell ref="A8:F8"/>
    <mergeCell ref="A11:P11"/>
    <mergeCell ref="A12:P12"/>
    <mergeCell ref="D13:I13"/>
    <mergeCell ref="A14:D14"/>
    <mergeCell ref="E14:G14"/>
    <mergeCell ref="A16:D16"/>
    <mergeCell ref="A10:N10"/>
  </mergeCells>
  <phoneticPr fontId="8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3"/>
  <sheetViews>
    <sheetView topLeftCell="A174" workbookViewId="0">
      <selection activeCell="J191" sqref="J191:J192"/>
    </sheetView>
  </sheetViews>
  <sheetFormatPr defaultColWidth="9" defaultRowHeight="14.25"/>
  <cols>
    <col min="1" max="2" width="4.125" style="12" customWidth="1"/>
    <col min="3" max="3" width="3.1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10.5" style="12" customWidth="1"/>
    <col min="11" max="11" width="4.125" style="12" customWidth="1"/>
    <col min="12" max="12" width="1.625" style="12" customWidth="1"/>
    <col min="13" max="13" width="9" style="12" customWidth="1"/>
    <col min="14" max="14" width="4.125" style="12" customWidth="1"/>
    <col min="15" max="15" width="1.625" style="12" customWidth="1"/>
    <col min="16" max="16" width="9.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98" t="s">
        <v>619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</row>
    <row r="2" spans="1:20" ht="15">
      <c r="A2" s="103" t="s">
        <v>620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 ht="15">
      <c r="A3" s="105"/>
      <c r="B3" s="105"/>
      <c r="C3" s="105"/>
      <c r="D3" s="105"/>
      <c r="E3" s="105"/>
      <c r="F3" s="105"/>
      <c r="G3" s="105"/>
      <c r="H3" s="105"/>
      <c r="I3" s="105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18.75">
      <c r="A4" s="100" t="s">
        <v>59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5">
      <c r="A6" s="15" t="s">
        <v>58</v>
      </c>
      <c r="B6" s="101" t="s">
        <v>14</v>
      </c>
      <c r="C6" s="102"/>
      <c r="D6" s="102"/>
      <c r="E6" s="102"/>
      <c r="F6" s="102"/>
      <c r="N6" s="106" t="s">
        <v>57</v>
      </c>
      <c r="O6" s="107"/>
      <c r="P6" s="101"/>
      <c r="Q6" s="101"/>
      <c r="R6" s="101"/>
      <c r="S6" s="101"/>
      <c r="T6" s="102"/>
    </row>
    <row r="7" spans="1:20" ht="16.5">
      <c r="A7" s="108" t="s">
        <v>56</v>
      </c>
      <c r="B7" s="109"/>
      <c r="C7" s="109"/>
      <c r="D7" s="109"/>
      <c r="E7" s="102"/>
      <c r="F7" s="102"/>
      <c r="G7" s="102"/>
      <c r="H7" s="102"/>
      <c r="I7" s="102"/>
      <c r="J7" s="102"/>
      <c r="K7" s="102"/>
      <c r="L7" s="102"/>
      <c r="M7" s="102"/>
      <c r="N7" s="114" t="s">
        <v>55</v>
      </c>
      <c r="O7" s="109"/>
      <c r="P7" s="109"/>
      <c r="Q7" s="109"/>
      <c r="R7" s="109"/>
      <c r="S7" s="109"/>
      <c r="T7" s="109"/>
    </row>
    <row r="8" spans="1:20" ht="16.5">
      <c r="A8" s="74" t="s">
        <v>94</v>
      </c>
      <c r="B8" s="74"/>
      <c r="C8" s="74"/>
      <c r="D8" s="74"/>
      <c r="E8" s="74"/>
      <c r="F8" s="74"/>
      <c r="G8" s="71" t="s">
        <v>15</v>
      </c>
      <c r="H8" s="71"/>
      <c r="I8" s="72"/>
      <c r="J8" s="72"/>
      <c r="K8" s="72"/>
      <c r="L8" s="72"/>
      <c r="M8" s="72"/>
      <c r="N8" s="72"/>
      <c r="O8" s="72"/>
      <c r="P8" s="72"/>
      <c r="Q8" s="16"/>
      <c r="R8" s="16"/>
      <c r="S8" s="16"/>
      <c r="T8" s="16"/>
    </row>
    <row r="9" spans="1:20" ht="16.5">
      <c r="A9" s="73" t="s">
        <v>16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16"/>
      <c r="R9" s="16"/>
      <c r="S9" s="16"/>
      <c r="T9" s="16"/>
    </row>
    <row r="10" spans="1:20" ht="16.5">
      <c r="A10" s="75" t="s">
        <v>95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21"/>
      <c r="P10" s="21"/>
      <c r="Q10" s="16"/>
      <c r="R10" s="16"/>
      <c r="S10" s="16"/>
      <c r="T10" s="16"/>
    </row>
    <row r="11" spans="1:20" ht="16.5">
      <c r="A11" s="75" t="s">
        <v>96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16"/>
      <c r="R11" s="16"/>
      <c r="S11" s="16"/>
      <c r="T11" s="16"/>
    </row>
    <row r="12" spans="1:20" ht="16.5">
      <c r="A12" s="75" t="s">
        <v>97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16"/>
      <c r="R12" s="16"/>
      <c r="S12" s="16"/>
      <c r="T12" s="16"/>
    </row>
    <row r="13" spans="1:20" ht="16.5">
      <c r="A13" s="106" t="s">
        <v>54</v>
      </c>
      <c r="B13" s="109"/>
      <c r="C13" s="102" t="s">
        <v>17</v>
      </c>
      <c r="D13" s="102"/>
      <c r="E13" s="102"/>
      <c r="F13" s="102"/>
      <c r="G13" s="102"/>
      <c r="H13" s="120"/>
      <c r="I13" s="120"/>
      <c r="J13" s="120"/>
      <c r="K13" s="120"/>
      <c r="L13" s="120"/>
      <c r="M13" s="120"/>
      <c r="N13" s="117"/>
      <c r="O13" s="117"/>
      <c r="P13" s="117"/>
      <c r="Q13" s="117"/>
      <c r="R13" s="117"/>
      <c r="S13" s="117"/>
      <c r="T13" s="117"/>
    </row>
    <row r="14" spans="1:20" ht="16.5">
      <c r="A14" s="106" t="s">
        <v>7</v>
      </c>
      <c r="B14" s="109"/>
      <c r="C14" s="109"/>
      <c r="D14" s="109"/>
      <c r="E14" s="102"/>
      <c r="F14" s="120"/>
      <c r="G14" s="120"/>
      <c r="H14" s="120"/>
      <c r="I14" s="120"/>
      <c r="J14" s="120"/>
      <c r="K14" s="120"/>
      <c r="L14" s="120"/>
      <c r="M14" s="120"/>
      <c r="N14" s="117"/>
      <c r="O14" s="117"/>
      <c r="P14" s="117"/>
      <c r="Q14" s="117"/>
      <c r="R14" s="117"/>
      <c r="S14" s="117"/>
      <c r="T14" s="117"/>
    </row>
    <row r="15" spans="1:20" ht="15">
      <c r="A15" s="106" t="s">
        <v>6</v>
      </c>
      <c r="B15" s="113"/>
      <c r="C15" s="101" t="s">
        <v>18</v>
      </c>
      <c r="D15" s="102"/>
      <c r="E15" s="102"/>
      <c r="F15" s="102"/>
      <c r="G15" s="14" t="s">
        <v>5</v>
      </c>
      <c r="H15" s="102" t="s">
        <v>19</v>
      </c>
      <c r="I15" s="102"/>
      <c r="J15" s="102"/>
      <c r="K15" s="102"/>
      <c r="L15" s="102"/>
      <c r="M15" s="102"/>
      <c r="N15" s="117"/>
      <c r="O15" s="117"/>
      <c r="P15" s="117"/>
      <c r="Q15" s="117"/>
      <c r="R15" s="117"/>
      <c r="S15" s="117"/>
      <c r="T15" s="117"/>
    </row>
    <row r="16" spans="1:20" ht="15" thickBot="1">
      <c r="L16" s="13"/>
      <c r="M16" s="13"/>
      <c r="N16" s="118"/>
      <c r="O16" s="118"/>
      <c r="P16" s="118"/>
      <c r="Q16" s="118"/>
      <c r="R16" s="118"/>
      <c r="S16" s="118"/>
      <c r="T16" s="118"/>
    </row>
    <row r="17" spans="1:20" ht="17.25" thickTop="1">
      <c r="A17" s="110" t="s">
        <v>53</v>
      </c>
      <c r="B17" s="111"/>
      <c r="C17" s="112"/>
      <c r="D17" s="115" t="s">
        <v>52</v>
      </c>
      <c r="E17" s="111"/>
      <c r="F17" s="111"/>
      <c r="G17" s="111"/>
      <c r="H17" s="112"/>
      <c r="I17" s="115" t="s">
        <v>51</v>
      </c>
      <c r="J17" s="110"/>
      <c r="K17" s="119"/>
      <c r="L17" s="115" t="s">
        <v>50</v>
      </c>
      <c r="M17" s="122"/>
      <c r="N17" s="123"/>
      <c r="O17" s="121" t="s">
        <v>49</v>
      </c>
      <c r="P17" s="122"/>
      <c r="Q17" s="123"/>
      <c r="R17" s="115" t="s">
        <v>48</v>
      </c>
      <c r="S17" s="110"/>
      <c r="T17" s="116"/>
    </row>
    <row r="18" spans="1:20">
      <c r="D18" s="12" t="s">
        <v>23</v>
      </c>
    </row>
    <row r="19" spans="1:20">
      <c r="D19" s="12" t="s">
        <v>24</v>
      </c>
    </row>
    <row r="20" spans="1:20">
      <c r="D20" s="12" t="s">
        <v>25</v>
      </c>
    </row>
    <row r="21" spans="1:20">
      <c r="D21" s="12" t="s">
        <v>26</v>
      </c>
    </row>
    <row r="22" spans="1:20">
      <c r="D22" s="12" t="s">
        <v>27</v>
      </c>
    </row>
    <row r="23" spans="1:20" ht="16.5">
      <c r="D23" s="18" t="s">
        <v>28</v>
      </c>
    </row>
    <row r="24" spans="1:20">
      <c r="D24" s="12" t="s">
        <v>29</v>
      </c>
    </row>
    <row r="25" spans="1:20">
      <c r="D25" s="12" t="s">
        <v>30</v>
      </c>
    </row>
    <row r="26" spans="1:20">
      <c r="D26" s="19" t="s">
        <v>31</v>
      </c>
    </row>
    <row r="27" spans="1:20">
      <c r="A27" s="12" t="s">
        <v>60</v>
      </c>
      <c r="D27" s="12" t="s">
        <v>32</v>
      </c>
      <c r="J27" s="32">
        <v>553</v>
      </c>
      <c r="K27" s="12" t="s">
        <v>33</v>
      </c>
      <c r="M27" s="32">
        <v>144</v>
      </c>
      <c r="N27" s="12" t="s">
        <v>61</v>
      </c>
      <c r="P27" s="32">
        <v>145.4</v>
      </c>
      <c r="Q27" s="12" t="s">
        <v>61</v>
      </c>
    </row>
    <row r="28" spans="1:20">
      <c r="A28" s="12" t="s">
        <v>62</v>
      </c>
    </row>
    <row r="29" spans="1:20">
      <c r="A29" s="12" t="s">
        <v>63</v>
      </c>
      <c r="D29" s="12" t="s">
        <v>35</v>
      </c>
      <c r="J29" s="33">
        <v>8225</v>
      </c>
      <c r="K29" s="12" t="s">
        <v>33</v>
      </c>
      <c r="M29" s="34">
        <v>2144.3000000000002</v>
      </c>
      <c r="N29" s="12" t="s">
        <v>61</v>
      </c>
      <c r="P29" s="34">
        <v>2164.3000000000002</v>
      </c>
      <c r="Q29" s="12" t="s">
        <v>61</v>
      </c>
    </row>
    <row r="30" spans="1:20">
      <c r="A30" s="12" t="s">
        <v>64</v>
      </c>
    </row>
    <row r="31" spans="1:20">
      <c r="A31" s="12" t="s">
        <v>65</v>
      </c>
    </row>
    <row r="32" spans="1:20">
      <c r="A32" s="12" t="s">
        <v>66</v>
      </c>
      <c r="D32" s="12" t="s">
        <v>36</v>
      </c>
      <c r="J32" s="33">
        <v>1714</v>
      </c>
      <c r="K32" s="12" t="s">
        <v>33</v>
      </c>
      <c r="M32" s="32">
        <v>445.5</v>
      </c>
      <c r="N32" s="12" t="s">
        <v>61</v>
      </c>
      <c r="P32" s="32">
        <v>449.7</v>
      </c>
      <c r="Q32" s="12" t="s">
        <v>61</v>
      </c>
    </row>
    <row r="33" spans="1:17">
      <c r="A33" s="12" t="s">
        <v>67</v>
      </c>
      <c r="D33" s="12" t="s">
        <v>37</v>
      </c>
      <c r="J33" s="33">
        <v>5402</v>
      </c>
      <c r="K33" s="12" t="s">
        <v>33</v>
      </c>
      <c r="M33" s="34">
        <v>1408.2</v>
      </c>
      <c r="N33" s="12" t="s">
        <v>61</v>
      </c>
      <c r="P33" s="34">
        <v>1421.6</v>
      </c>
      <c r="Q33" s="12" t="s">
        <v>61</v>
      </c>
    </row>
    <row r="34" spans="1:17">
      <c r="A34" s="12" t="s">
        <v>68</v>
      </c>
    </row>
    <row r="35" spans="1:17">
      <c r="A35" s="12" t="s">
        <v>69</v>
      </c>
    </row>
    <row r="36" spans="1:17">
      <c r="A36" s="12" t="s">
        <v>70</v>
      </c>
    </row>
    <row r="37" spans="1:17">
      <c r="A37" s="12" t="s">
        <v>71</v>
      </c>
      <c r="D37" s="12" t="s">
        <v>38</v>
      </c>
      <c r="J37" s="32">
        <v>710</v>
      </c>
      <c r="K37" s="12" t="s">
        <v>33</v>
      </c>
      <c r="M37" s="32">
        <v>186.3</v>
      </c>
      <c r="N37" s="12" t="s">
        <v>61</v>
      </c>
      <c r="P37" s="32">
        <v>188.1</v>
      </c>
      <c r="Q37" s="12" t="s">
        <v>61</v>
      </c>
    </row>
    <row r="38" spans="1:17">
      <c r="A38" s="12" t="s">
        <v>72</v>
      </c>
    </row>
    <row r="39" spans="1:17">
      <c r="A39" s="12" t="s">
        <v>73</v>
      </c>
      <c r="D39" s="12" t="s">
        <v>39</v>
      </c>
      <c r="J39" s="32">
        <v>473</v>
      </c>
      <c r="K39" s="12" t="s">
        <v>33</v>
      </c>
      <c r="M39" s="32">
        <v>122.7</v>
      </c>
      <c r="N39" s="12" t="s">
        <v>61</v>
      </c>
      <c r="P39" s="32">
        <v>123.9</v>
      </c>
      <c r="Q39" s="12" t="s">
        <v>61</v>
      </c>
    </row>
    <row r="40" spans="1:17">
      <c r="A40" s="12" t="s">
        <v>74</v>
      </c>
    </row>
    <row r="41" spans="1:17">
      <c r="A41" s="12" t="s">
        <v>75</v>
      </c>
      <c r="D41" s="12" t="s">
        <v>40</v>
      </c>
      <c r="J41" s="33">
        <v>1530</v>
      </c>
      <c r="K41" s="12" t="s">
        <v>33</v>
      </c>
      <c r="M41" s="32">
        <v>399.3</v>
      </c>
      <c r="N41" s="12" t="s">
        <v>61</v>
      </c>
      <c r="P41" s="32">
        <v>403.3</v>
      </c>
      <c r="Q41" s="12" t="s">
        <v>61</v>
      </c>
    </row>
    <row r="42" spans="1:17">
      <c r="A42" s="12" t="s">
        <v>76</v>
      </c>
    </row>
    <row r="43" spans="1:17">
      <c r="A43" s="12" t="s">
        <v>77</v>
      </c>
      <c r="D43" s="12" t="s">
        <v>41</v>
      </c>
      <c r="J43" s="33">
        <v>1003</v>
      </c>
      <c r="K43" s="12" t="s">
        <v>33</v>
      </c>
      <c r="M43" s="32">
        <v>262.60000000000002</v>
      </c>
      <c r="N43" s="12" t="s">
        <v>61</v>
      </c>
      <c r="P43" s="32">
        <v>265.39999999999998</v>
      </c>
      <c r="Q43" s="12" t="s">
        <v>61</v>
      </c>
    </row>
    <row r="44" spans="1:17">
      <c r="A44" s="12" t="s">
        <v>78</v>
      </c>
    </row>
    <row r="45" spans="1:17">
      <c r="A45" s="12" t="s">
        <v>79</v>
      </c>
      <c r="D45" s="12" t="s">
        <v>42</v>
      </c>
      <c r="J45" s="33">
        <v>1376</v>
      </c>
      <c r="K45" s="12" t="s">
        <v>33</v>
      </c>
      <c r="M45" s="32">
        <v>357.9</v>
      </c>
      <c r="N45" s="12" t="s">
        <v>61</v>
      </c>
      <c r="P45" s="32">
        <v>361.3</v>
      </c>
      <c r="Q45" s="12" t="s">
        <v>61</v>
      </c>
    </row>
    <row r="46" spans="1:17">
      <c r="A46" s="12" t="s">
        <v>80</v>
      </c>
      <c r="D46" s="12" t="s">
        <v>43</v>
      </c>
      <c r="J46" s="33">
        <v>5078</v>
      </c>
      <c r="K46" s="12" t="s">
        <v>33</v>
      </c>
      <c r="M46" s="34">
        <v>1321.5</v>
      </c>
      <c r="N46" s="12" t="s">
        <v>61</v>
      </c>
      <c r="P46" s="34">
        <v>1334.1</v>
      </c>
      <c r="Q46" s="12" t="s">
        <v>61</v>
      </c>
    </row>
    <row r="47" spans="1:17">
      <c r="A47" s="12" t="s">
        <v>81</v>
      </c>
    </row>
    <row r="48" spans="1:17">
      <c r="A48" s="12" t="s">
        <v>82</v>
      </c>
    </row>
    <row r="49" spans="1:16">
      <c r="A49" s="12" t="s">
        <v>83</v>
      </c>
    </row>
    <row r="50" spans="1:16">
      <c r="A50" s="12" t="s">
        <v>84</v>
      </c>
    </row>
    <row r="51" spans="1:16" ht="16.5">
      <c r="A51" s="18" t="s">
        <v>85</v>
      </c>
    </row>
    <row r="54" spans="1:16">
      <c r="A54" s="20"/>
      <c r="J54" s="20"/>
      <c r="M54" s="20"/>
      <c r="P54" s="20"/>
    </row>
    <row r="55" spans="1:16">
      <c r="A55" s="20"/>
      <c r="D55" s="24" t="s">
        <v>99</v>
      </c>
      <c r="J55" s="20"/>
      <c r="M55" s="20"/>
      <c r="P55" s="20"/>
    </row>
    <row r="56" spans="1:16">
      <c r="A56" s="20"/>
      <c r="D56" s="24" t="s">
        <v>102</v>
      </c>
      <c r="J56" s="20"/>
      <c r="M56" s="20"/>
      <c r="P56" s="20"/>
    </row>
    <row r="57" spans="1:16">
      <c r="A57" s="20"/>
      <c r="D57" s="24" t="s">
        <v>103</v>
      </c>
      <c r="J57" s="20"/>
      <c r="M57" s="20"/>
      <c r="P57" s="20"/>
    </row>
    <row r="58" spans="1:16">
      <c r="A58" s="20"/>
      <c r="D58" s="24" t="s">
        <v>104</v>
      </c>
      <c r="J58" s="20"/>
      <c r="M58" s="20"/>
      <c r="P58" s="20"/>
    </row>
    <row r="59" spans="1:16">
      <c r="A59" s="20"/>
      <c r="D59" s="24" t="s">
        <v>105</v>
      </c>
      <c r="J59" s="20"/>
      <c r="M59" s="20"/>
      <c r="P59" s="20"/>
    </row>
    <row r="60" spans="1:16">
      <c r="A60" s="20"/>
      <c r="D60" s="24" t="s">
        <v>106</v>
      </c>
      <c r="J60" s="20"/>
      <c r="M60" s="20"/>
      <c r="P60" s="20"/>
    </row>
    <row r="61" spans="1:16">
      <c r="A61" s="20"/>
      <c r="D61" s="24" t="s">
        <v>107</v>
      </c>
      <c r="J61" s="20"/>
      <c r="M61" s="20"/>
      <c r="P61" s="20"/>
    </row>
    <row r="62" spans="1:16">
      <c r="A62" s="20"/>
      <c r="D62" s="24" t="s">
        <v>91</v>
      </c>
      <c r="J62" s="20"/>
      <c r="M62" s="20"/>
      <c r="P62" s="20"/>
    </row>
    <row r="63" spans="1:16">
      <c r="A63" s="20"/>
      <c r="D63" s="24" t="s">
        <v>103</v>
      </c>
      <c r="J63" s="20"/>
      <c r="M63" s="20"/>
      <c r="P63" s="20"/>
    </row>
    <row r="64" spans="1:16">
      <c r="A64" s="20"/>
      <c r="D64" s="24" t="s">
        <v>104</v>
      </c>
      <c r="J64" s="20"/>
      <c r="M64" s="20"/>
      <c r="P64" s="20"/>
    </row>
    <row r="65" spans="1:17">
      <c r="A65" s="20"/>
      <c r="D65" s="24" t="s">
        <v>108</v>
      </c>
      <c r="J65" s="20"/>
      <c r="M65" s="20"/>
      <c r="P65" s="20"/>
    </row>
    <row r="66" spans="1:17">
      <c r="A66" s="20"/>
      <c r="D66" s="24" t="s">
        <v>109</v>
      </c>
      <c r="J66" s="20"/>
      <c r="M66" s="20"/>
      <c r="P66" s="20"/>
    </row>
    <row r="67" spans="1:17">
      <c r="A67" s="20"/>
      <c r="D67" s="22" t="s">
        <v>110</v>
      </c>
      <c r="J67" s="20"/>
      <c r="M67" s="20"/>
      <c r="P67" s="20"/>
    </row>
    <row r="68" spans="1:17">
      <c r="A68" s="20"/>
      <c r="D68" s="22" t="s">
        <v>137</v>
      </c>
      <c r="J68" s="20"/>
      <c r="M68" s="20"/>
      <c r="P68" s="20"/>
    </row>
    <row r="69" spans="1:17">
      <c r="A69" s="20"/>
      <c r="D69" s="24" t="s">
        <v>112</v>
      </c>
      <c r="J69" s="20"/>
      <c r="M69" s="20"/>
      <c r="P69" s="20"/>
    </row>
    <row r="70" spans="1:17">
      <c r="A70" s="20"/>
      <c r="D70" s="24" t="s">
        <v>114</v>
      </c>
      <c r="J70" s="20"/>
      <c r="M70" s="20"/>
      <c r="P70" s="20"/>
    </row>
    <row r="71" spans="1:17">
      <c r="A71" s="20"/>
      <c r="D71" s="24" t="s">
        <v>115</v>
      </c>
      <c r="J71" s="20"/>
      <c r="M71" s="20"/>
      <c r="P71" s="20"/>
    </row>
    <row r="72" spans="1:17">
      <c r="A72" s="124">
        <v>16</v>
      </c>
      <c r="B72" s="125"/>
      <c r="C72" s="35"/>
      <c r="D72" s="24" t="s">
        <v>138</v>
      </c>
      <c r="E72" s="24"/>
      <c r="F72" s="24"/>
      <c r="G72" s="26"/>
      <c r="J72" s="25">
        <v>63</v>
      </c>
      <c r="K72" s="26" t="s">
        <v>113</v>
      </c>
      <c r="M72" s="25">
        <v>10.3</v>
      </c>
      <c r="N72" s="26" t="s">
        <v>139</v>
      </c>
      <c r="P72" s="25">
        <v>10.6</v>
      </c>
      <c r="Q72" s="26" t="s">
        <v>139</v>
      </c>
    </row>
    <row r="73" spans="1:17">
      <c r="A73" s="124">
        <v>17</v>
      </c>
      <c r="B73" s="125"/>
      <c r="C73" s="35"/>
      <c r="D73" s="24" t="s">
        <v>138</v>
      </c>
      <c r="E73" s="24"/>
      <c r="F73" s="24"/>
      <c r="G73" s="26"/>
      <c r="J73" s="25">
        <v>52</v>
      </c>
      <c r="K73" s="26" t="s">
        <v>113</v>
      </c>
      <c r="M73" s="25">
        <v>8.5</v>
      </c>
      <c r="N73" s="26" t="s">
        <v>139</v>
      </c>
      <c r="P73" s="25">
        <v>8.8000000000000007</v>
      </c>
      <c r="Q73" s="26" t="s">
        <v>139</v>
      </c>
    </row>
    <row r="74" spans="1:17">
      <c r="A74" s="124">
        <v>18</v>
      </c>
      <c r="B74" s="125"/>
      <c r="C74" s="35"/>
      <c r="D74" s="24" t="s">
        <v>138</v>
      </c>
      <c r="E74" s="24"/>
      <c r="F74" s="24"/>
      <c r="G74" s="26"/>
      <c r="J74" s="25">
        <v>25</v>
      </c>
      <c r="K74" s="26" t="s">
        <v>113</v>
      </c>
      <c r="M74" s="25">
        <v>4.0999999999999996</v>
      </c>
      <c r="N74" s="26" t="s">
        <v>139</v>
      </c>
      <c r="P74" s="25">
        <v>4.4000000000000004</v>
      </c>
      <c r="Q74" s="26" t="s">
        <v>139</v>
      </c>
    </row>
    <row r="75" spans="1:17">
      <c r="A75" s="124">
        <v>19</v>
      </c>
      <c r="B75" s="125"/>
      <c r="C75" s="35"/>
      <c r="D75" s="24" t="s">
        <v>140</v>
      </c>
      <c r="E75" s="24"/>
      <c r="F75" s="24"/>
      <c r="G75" s="26"/>
      <c r="J75" s="25">
        <v>139</v>
      </c>
      <c r="K75" s="26" t="s">
        <v>113</v>
      </c>
      <c r="M75" s="25">
        <v>23.13</v>
      </c>
      <c r="N75" s="26" t="s">
        <v>139</v>
      </c>
      <c r="P75" s="25">
        <v>23.43</v>
      </c>
      <c r="Q75" s="26" t="s">
        <v>139</v>
      </c>
    </row>
    <row r="76" spans="1:17">
      <c r="A76" s="124">
        <v>20</v>
      </c>
      <c r="B76" s="125"/>
      <c r="C76" s="35"/>
      <c r="D76" s="24" t="s">
        <v>138</v>
      </c>
      <c r="E76" s="24"/>
      <c r="F76" s="24"/>
      <c r="G76" s="26"/>
      <c r="J76" s="25">
        <v>48</v>
      </c>
      <c r="K76" s="26" t="s">
        <v>113</v>
      </c>
      <c r="M76" s="25">
        <v>7.84</v>
      </c>
      <c r="N76" s="26" t="s">
        <v>139</v>
      </c>
      <c r="P76" s="25">
        <v>8.14</v>
      </c>
      <c r="Q76" s="26" t="s">
        <v>139</v>
      </c>
    </row>
    <row r="77" spans="1:17">
      <c r="A77" s="124">
        <v>21</v>
      </c>
      <c r="B77" s="125"/>
      <c r="C77" s="35"/>
      <c r="D77" s="24" t="s">
        <v>141</v>
      </c>
      <c r="E77" s="24"/>
      <c r="F77" s="24"/>
      <c r="G77" s="26"/>
      <c r="J77" s="25">
        <v>118</v>
      </c>
      <c r="K77" s="26" t="s">
        <v>113</v>
      </c>
      <c r="M77" s="25">
        <v>20.100000000000001</v>
      </c>
      <c r="N77" s="26" t="s">
        <v>139</v>
      </c>
      <c r="P77" s="25">
        <v>20.399999999999999</v>
      </c>
      <c r="Q77" s="26" t="s">
        <v>139</v>
      </c>
    </row>
    <row r="78" spans="1:17">
      <c r="A78" s="124">
        <v>22</v>
      </c>
      <c r="B78" s="125"/>
      <c r="C78" s="35"/>
      <c r="D78" s="24" t="s">
        <v>141</v>
      </c>
      <c r="E78" s="24"/>
      <c r="F78" s="24"/>
      <c r="G78" s="26"/>
      <c r="J78" s="25">
        <v>60</v>
      </c>
      <c r="K78" s="26" t="s">
        <v>113</v>
      </c>
      <c r="M78" s="25">
        <v>10.1</v>
      </c>
      <c r="N78" s="26" t="s">
        <v>139</v>
      </c>
      <c r="P78" s="25">
        <v>10.4</v>
      </c>
      <c r="Q78" s="26" t="s">
        <v>139</v>
      </c>
    </row>
    <row r="79" spans="1:17">
      <c r="A79" s="124">
        <v>23</v>
      </c>
      <c r="B79" s="125"/>
      <c r="C79" s="35"/>
      <c r="D79" s="24" t="s">
        <v>141</v>
      </c>
      <c r="E79" s="24"/>
      <c r="F79" s="24"/>
      <c r="G79" s="26"/>
      <c r="J79" s="25">
        <v>136</v>
      </c>
      <c r="K79" s="26" t="s">
        <v>113</v>
      </c>
      <c r="M79" s="25">
        <v>23</v>
      </c>
      <c r="N79" s="26" t="s">
        <v>139</v>
      </c>
      <c r="P79" s="25">
        <v>23.3</v>
      </c>
      <c r="Q79" s="26" t="s">
        <v>139</v>
      </c>
    </row>
    <row r="80" spans="1:17">
      <c r="A80" s="36"/>
      <c r="B80" s="35"/>
      <c r="C80" s="35"/>
      <c r="D80" s="24"/>
      <c r="E80" s="24"/>
      <c r="F80" s="24"/>
      <c r="G80" s="26"/>
      <c r="H80" s="25"/>
      <c r="I80" s="26"/>
      <c r="J80" s="25"/>
      <c r="K80" s="26"/>
      <c r="L80" s="25"/>
      <c r="M80" s="26"/>
      <c r="P80" s="20"/>
    </row>
    <row r="81" spans="1:17">
      <c r="A81" s="36"/>
      <c r="B81" s="35"/>
      <c r="C81" s="35"/>
      <c r="D81" s="24" t="s">
        <v>142</v>
      </c>
      <c r="E81" s="24"/>
      <c r="F81" s="24"/>
      <c r="G81" s="26"/>
      <c r="H81" s="25"/>
      <c r="I81" s="26"/>
      <c r="J81" s="25"/>
      <c r="K81" s="26"/>
      <c r="L81" s="25"/>
      <c r="M81" s="26"/>
      <c r="P81" s="20"/>
    </row>
    <row r="82" spans="1:17">
      <c r="A82" s="36"/>
      <c r="B82" s="35"/>
      <c r="C82" s="35"/>
      <c r="D82" s="24" t="s">
        <v>143</v>
      </c>
      <c r="E82" s="24"/>
      <c r="F82" s="24"/>
      <c r="G82" s="26"/>
      <c r="H82" s="25"/>
      <c r="I82" s="26"/>
      <c r="J82" s="25"/>
      <c r="K82" s="26"/>
      <c r="L82" s="25"/>
      <c r="M82" s="26"/>
      <c r="P82" s="20"/>
    </row>
    <row r="83" spans="1:17">
      <c r="A83" s="125"/>
      <c r="B83" s="125"/>
      <c r="C83" s="35"/>
      <c r="D83" s="24" t="s">
        <v>116</v>
      </c>
      <c r="E83" s="24"/>
      <c r="F83" s="24"/>
      <c r="G83" s="26"/>
      <c r="H83" s="25"/>
      <c r="I83" s="26"/>
      <c r="J83" s="25"/>
      <c r="K83" s="26"/>
      <c r="L83" s="25"/>
      <c r="M83" s="26"/>
      <c r="P83" s="20"/>
    </row>
    <row r="84" spans="1:17">
      <c r="A84" s="125"/>
      <c r="B84" s="125"/>
      <c r="C84" s="35"/>
      <c r="D84" s="24" t="s">
        <v>117</v>
      </c>
      <c r="E84" s="24"/>
      <c r="F84" s="24"/>
      <c r="G84" s="26"/>
      <c r="H84" s="25"/>
      <c r="I84" s="26"/>
      <c r="J84" s="25"/>
      <c r="K84" s="26"/>
      <c r="L84" s="25"/>
      <c r="M84" s="26"/>
      <c r="P84" s="20"/>
    </row>
    <row r="85" spans="1:17">
      <c r="A85" s="125"/>
      <c r="B85" s="125"/>
      <c r="C85" s="35"/>
      <c r="D85" s="24" t="s">
        <v>118</v>
      </c>
      <c r="E85" s="24"/>
      <c r="F85" s="24"/>
      <c r="G85" s="26"/>
      <c r="H85" s="25"/>
      <c r="I85" s="26"/>
      <c r="J85" s="25"/>
      <c r="K85" s="26"/>
      <c r="L85" s="25"/>
      <c r="M85" s="26"/>
      <c r="P85" s="20"/>
    </row>
    <row r="86" spans="1:17">
      <c r="A86" s="125"/>
      <c r="B86" s="125"/>
      <c r="C86" s="35"/>
      <c r="D86" s="24" t="s">
        <v>122</v>
      </c>
      <c r="E86" s="24"/>
      <c r="F86" s="24"/>
      <c r="G86" s="26"/>
      <c r="H86" s="25"/>
      <c r="I86" s="26"/>
      <c r="J86" s="25"/>
      <c r="K86" s="26"/>
      <c r="L86" s="25"/>
      <c r="M86" s="26"/>
      <c r="P86" s="20"/>
    </row>
    <row r="87" spans="1:17">
      <c r="A87" s="124">
        <v>1</v>
      </c>
      <c r="B87" s="125"/>
      <c r="C87" s="35"/>
      <c r="D87" s="24" t="s">
        <v>138</v>
      </c>
      <c r="E87" s="24"/>
      <c r="F87" s="24"/>
      <c r="G87" s="26"/>
      <c r="J87" s="25">
        <v>142</v>
      </c>
      <c r="K87" s="26" t="s">
        <v>113</v>
      </c>
      <c r="M87" s="25">
        <v>22.7</v>
      </c>
      <c r="N87" s="26" t="s">
        <v>139</v>
      </c>
      <c r="P87" s="25">
        <v>23</v>
      </c>
      <c r="Q87" s="26" t="s">
        <v>139</v>
      </c>
    </row>
    <row r="88" spans="1:17">
      <c r="A88" s="124">
        <v>2</v>
      </c>
      <c r="B88" s="125"/>
      <c r="C88" s="35"/>
      <c r="D88" s="24" t="s">
        <v>141</v>
      </c>
      <c r="E88" s="24"/>
      <c r="F88" s="24"/>
      <c r="G88" s="26"/>
      <c r="J88" s="25">
        <v>135</v>
      </c>
      <c r="K88" s="26" t="s">
        <v>113</v>
      </c>
      <c r="M88" s="25">
        <v>22.5</v>
      </c>
      <c r="N88" s="26" t="s">
        <v>139</v>
      </c>
      <c r="P88" s="25">
        <v>22.8</v>
      </c>
      <c r="Q88" s="26" t="s">
        <v>139</v>
      </c>
    </row>
    <row r="89" spans="1:17">
      <c r="A89" s="124">
        <v>3</v>
      </c>
      <c r="B89" s="125"/>
      <c r="C89" s="35"/>
      <c r="D89" s="24" t="s">
        <v>141</v>
      </c>
      <c r="E89" s="24"/>
      <c r="F89" s="24"/>
      <c r="G89" s="26"/>
      <c r="J89" s="25">
        <v>56</v>
      </c>
      <c r="K89" s="26" t="s">
        <v>113</v>
      </c>
      <c r="M89" s="25">
        <v>9.4</v>
      </c>
      <c r="N89" s="26" t="s">
        <v>139</v>
      </c>
      <c r="P89" s="25">
        <v>9.6999999999999993</v>
      </c>
      <c r="Q89" s="26" t="s">
        <v>139</v>
      </c>
    </row>
    <row r="90" spans="1:17">
      <c r="A90" s="124">
        <v>4</v>
      </c>
      <c r="B90" s="125"/>
      <c r="C90" s="35"/>
      <c r="D90" s="24" t="s">
        <v>138</v>
      </c>
      <c r="E90" s="24"/>
      <c r="F90" s="24"/>
      <c r="G90" s="26"/>
      <c r="J90" s="25">
        <v>130</v>
      </c>
      <c r="K90" s="26" t="s">
        <v>113</v>
      </c>
      <c r="M90" s="25">
        <v>21.8</v>
      </c>
      <c r="N90" s="26" t="s">
        <v>139</v>
      </c>
      <c r="P90" s="25">
        <v>22.1</v>
      </c>
      <c r="Q90" s="26" t="s">
        <v>139</v>
      </c>
    </row>
    <row r="91" spans="1:17">
      <c r="A91" s="124">
        <v>5</v>
      </c>
      <c r="B91" s="125"/>
      <c r="C91" s="35"/>
      <c r="D91" s="24" t="s">
        <v>138</v>
      </c>
      <c r="E91" s="24"/>
      <c r="F91" s="24"/>
      <c r="G91" s="26"/>
      <c r="J91" s="25">
        <v>130</v>
      </c>
      <c r="K91" s="26" t="s">
        <v>113</v>
      </c>
      <c r="M91" s="25">
        <v>21.8</v>
      </c>
      <c r="N91" s="26" t="s">
        <v>139</v>
      </c>
      <c r="P91" s="25">
        <v>22.1</v>
      </c>
      <c r="Q91" s="26" t="s">
        <v>139</v>
      </c>
    </row>
    <row r="92" spans="1:17">
      <c r="A92" s="124">
        <v>6</v>
      </c>
      <c r="B92" s="125"/>
      <c r="C92" s="35"/>
      <c r="D92" s="24" t="s">
        <v>141</v>
      </c>
      <c r="E92" s="24"/>
      <c r="F92" s="24"/>
      <c r="G92" s="26"/>
      <c r="J92" s="25">
        <v>72</v>
      </c>
      <c r="K92" s="26" t="s">
        <v>113</v>
      </c>
      <c r="M92" s="25">
        <v>12.1</v>
      </c>
      <c r="N92" s="26" t="s">
        <v>139</v>
      </c>
      <c r="P92" s="25">
        <v>12.4</v>
      </c>
      <c r="Q92" s="26" t="s">
        <v>139</v>
      </c>
    </row>
    <row r="93" spans="1:17">
      <c r="A93" s="124">
        <v>7</v>
      </c>
      <c r="B93" s="125"/>
      <c r="C93" s="35"/>
      <c r="D93" s="24" t="s">
        <v>138</v>
      </c>
      <c r="E93" s="24"/>
      <c r="F93" s="24"/>
      <c r="G93" s="26"/>
      <c r="J93" s="25">
        <v>124</v>
      </c>
      <c r="K93" s="26" t="s">
        <v>113</v>
      </c>
      <c r="M93" s="25">
        <v>20.8</v>
      </c>
      <c r="N93" s="26" t="s">
        <v>139</v>
      </c>
      <c r="P93" s="25">
        <v>21.1</v>
      </c>
      <c r="Q93" s="26" t="s">
        <v>139</v>
      </c>
    </row>
    <row r="94" spans="1:17">
      <c r="A94" s="124">
        <v>8</v>
      </c>
      <c r="B94" s="125"/>
      <c r="C94" s="35"/>
      <c r="D94" s="24" t="s">
        <v>141</v>
      </c>
      <c r="E94" s="24"/>
      <c r="F94" s="24"/>
      <c r="G94" s="26"/>
      <c r="J94" s="25">
        <v>58</v>
      </c>
      <c r="K94" s="26" t="s">
        <v>113</v>
      </c>
      <c r="M94" s="25">
        <v>9.6999999999999993</v>
      </c>
      <c r="N94" s="26" t="s">
        <v>139</v>
      </c>
      <c r="P94" s="25">
        <v>10</v>
      </c>
      <c r="Q94" s="26" t="s">
        <v>139</v>
      </c>
    </row>
    <row r="95" spans="1:17">
      <c r="A95" s="124">
        <v>9</v>
      </c>
      <c r="B95" s="125"/>
      <c r="C95" s="35"/>
      <c r="D95" s="24" t="s">
        <v>141</v>
      </c>
      <c r="E95" s="24"/>
      <c r="F95" s="24"/>
      <c r="G95" s="26"/>
      <c r="J95" s="25">
        <v>84</v>
      </c>
      <c r="K95" s="26" t="s">
        <v>113</v>
      </c>
      <c r="M95" s="25">
        <v>14.1</v>
      </c>
      <c r="N95" s="26" t="s">
        <v>139</v>
      </c>
      <c r="P95" s="25">
        <v>14.4</v>
      </c>
      <c r="Q95" s="26" t="s">
        <v>139</v>
      </c>
    </row>
    <row r="96" spans="1:17">
      <c r="A96" s="124">
        <v>10</v>
      </c>
      <c r="B96" s="125"/>
      <c r="C96" s="35"/>
      <c r="D96" s="24" t="s">
        <v>141</v>
      </c>
      <c r="E96" s="24"/>
      <c r="F96" s="24"/>
      <c r="G96" s="26"/>
      <c r="J96" s="25">
        <v>116</v>
      </c>
      <c r="K96" s="26" t="s">
        <v>113</v>
      </c>
      <c r="M96" s="25">
        <v>19.399999999999999</v>
      </c>
      <c r="N96" s="26" t="s">
        <v>139</v>
      </c>
      <c r="P96" s="25">
        <v>19.7</v>
      </c>
      <c r="Q96" s="26" t="s">
        <v>139</v>
      </c>
    </row>
    <row r="97" spans="1:17">
      <c r="A97" s="124">
        <v>11</v>
      </c>
      <c r="B97" s="125"/>
      <c r="C97" s="35"/>
      <c r="D97" s="24" t="s">
        <v>141</v>
      </c>
      <c r="E97" s="24"/>
      <c r="F97" s="24"/>
      <c r="G97" s="26"/>
      <c r="J97" s="25">
        <v>63</v>
      </c>
      <c r="K97" s="26" t="s">
        <v>113</v>
      </c>
      <c r="M97" s="25">
        <v>10.5</v>
      </c>
      <c r="N97" s="26" t="s">
        <v>139</v>
      </c>
      <c r="P97" s="25">
        <v>10.8</v>
      </c>
      <c r="Q97" s="26" t="s">
        <v>139</v>
      </c>
    </row>
    <row r="98" spans="1:17">
      <c r="A98" s="124">
        <v>12</v>
      </c>
      <c r="B98" s="125"/>
      <c r="C98" s="35"/>
      <c r="D98" s="24" t="s">
        <v>141</v>
      </c>
      <c r="E98" s="24"/>
      <c r="F98" s="24"/>
      <c r="G98" s="26"/>
      <c r="J98" s="25">
        <v>133</v>
      </c>
      <c r="K98" s="26" t="s">
        <v>113</v>
      </c>
      <c r="M98" s="25">
        <v>22.2</v>
      </c>
      <c r="N98" s="26" t="s">
        <v>139</v>
      </c>
      <c r="P98" s="25">
        <v>22.5</v>
      </c>
      <c r="Q98" s="26" t="s">
        <v>139</v>
      </c>
    </row>
    <row r="99" spans="1:17">
      <c r="A99" s="124">
        <v>13</v>
      </c>
      <c r="B99" s="125"/>
      <c r="C99" s="35"/>
      <c r="D99" s="24" t="s">
        <v>141</v>
      </c>
      <c r="E99" s="24"/>
      <c r="F99" s="24"/>
      <c r="G99" s="26"/>
      <c r="J99" s="25">
        <v>75</v>
      </c>
      <c r="K99" s="26" t="s">
        <v>113</v>
      </c>
      <c r="M99" s="25">
        <v>12.5</v>
      </c>
      <c r="N99" s="26" t="s">
        <v>139</v>
      </c>
      <c r="P99" s="25">
        <v>12.8</v>
      </c>
      <c r="Q99" s="26" t="s">
        <v>139</v>
      </c>
    </row>
    <row r="100" spans="1:17">
      <c r="A100" s="124">
        <v>14</v>
      </c>
      <c r="B100" s="125"/>
      <c r="C100" s="35"/>
      <c r="D100" s="24" t="s">
        <v>141</v>
      </c>
      <c r="E100" s="24"/>
      <c r="F100" s="24"/>
      <c r="G100" s="26"/>
      <c r="J100" s="25">
        <v>118</v>
      </c>
      <c r="K100" s="26" t="s">
        <v>113</v>
      </c>
      <c r="M100" s="25">
        <v>19.600000000000001</v>
      </c>
      <c r="N100" s="26" t="s">
        <v>139</v>
      </c>
      <c r="P100" s="25">
        <v>19.899999999999999</v>
      </c>
      <c r="Q100" s="26" t="s">
        <v>139</v>
      </c>
    </row>
    <row r="101" spans="1:17">
      <c r="A101" s="124">
        <v>15</v>
      </c>
      <c r="B101" s="125"/>
      <c r="C101" s="35"/>
      <c r="D101" s="24" t="s">
        <v>141</v>
      </c>
      <c r="E101" s="24"/>
      <c r="F101" s="24"/>
      <c r="G101" s="26"/>
      <c r="J101" s="25">
        <v>62</v>
      </c>
      <c r="K101" s="26" t="s">
        <v>113</v>
      </c>
      <c r="M101" s="25">
        <v>10.3</v>
      </c>
      <c r="N101" s="26" t="s">
        <v>139</v>
      </c>
      <c r="P101" s="25">
        <v>10.6</v>
      </c>
      <c r="Q101" s="26" t="s">
        <v>139</v>
      </c>
    </row>
    <row r="102" spans="1:17">
      <c r="A102" s="125"/>
      <c r="B102" s="125"/>
      <c r="C102" s="35"/>
      <c r="D102" s="24"/>
      <c r="E102" s="24"/>
      <c r="F102" s="24"/>
      <c r="G102" s="26"/>
      <c r="H102" s="25"/>
      <c r="I102" s="26"/>
      <c r="J102" s="25"/>
      <c r="K102" s="26"/>
      <c r="L102" s="25"/>
      <c r="M102" s="26"/>
    </row>
    <row r="103" spans="1:17">
      <c r="A103" s="125"/>
      <c r="B103" s="125"/>
      <c r="C103" s="35"/>
      <c r="D103" s="24" t="s">
        <v>102</v>
      </c>
      <c r="E103" s="24"/>
      <c r="F103" s="24"/>
      <c r="G103" s="26"/>
      <c r="H103" s="25"/>
      <c r="I103" s="26"/>
      <c r="J103" s="25"/>
      <c r="K103" s="26"/>
      <c r="L103" s="25"/>
      <c r="M103" s="26"/>
    </row>
    <row r="104" spans="1:17">
      <c r="A104" s="125"/>
      <c r="B104" s="125"/>
      <c r="C104" s="35"/>
      <c r="D104" s="24" t="s">
        <v>124</v>
      </c>
      <c r="E104" s="24"/>
      <c r="F104" s="24"/>
      <c r="G104" s="26"/>
      <c r="H104" s="25"/>
      <c r="I104" s="26"/>
      <c r="J104" s="25"/>
      <c r="K104" s="26"/>
      <c r="L104" s="25"/>
      <c r="M104" s="26"/>
    </row>
    <row r="105" spans="1:17">
      <c r="A105" s="125"/>
      <c r="B105" s="125"/>
      <c r="C105" s="35"/>
      <c r="D105" s="24" t="s">
        <v>125</v>
      </c>
      <c r="E105" s="24"/>
      <c r="F105" s="24"/>
      <c r="G105" s="26"/>
      <c r="H105" s="25"/>
      <c r="I105" s="26"/>
      <c r="J105" s="25"/>
      <c r="K105" s="26"/>
      <c r="L105" s="25"/>
      <c r="M105" s="26"/>
    </row>
    <row r="106" spans="1:17">
      <c r="A106" s="125"/>
      <c r="B106" s="125"/>
      <c r="C106" s="35"/>
      <c r="D106" s="24" t="s">
        <v>126</v>
      </c>
      <c r="E106" s="24"/>
      <c r="F106" s="24"/>
      <c r="G106" s="26"/>
      <c r="H106" s="25"/>
      <c r="I106" s="26"/>
      <c r="J106" s="25"/>
      <c r="K106" s="26"/>
      <c r="L106" s="25"/>
      <c r="M106" s="26"/>
    </row>
    <row r="107" spans="1:17">
      <c r="A107" s="125"/>
      <c r="B107" s="125"/>
      <c r="C107" s="35"/>
      <c r="D107" s="24" t="s">
        <v>127</v>
      </c>
      <c r="E107" s="24"/>
      <c r="F107" s="24"/>
      <c r="G107" s="26"/>
      <c r="H107" s="25"/>
      <c r="I107" s="26"/>
      <c r="J107" s="25"/>
      <c r="K107" s="26"/>
      <c r="L107" s="25"/>
      <c r="M107" s="26"/>
    </row>
    <row r="108" spans="1:17">
      <c r="A108" s="125"/>
      <c r="B108" s="125"/>
      <c r="C108" s="35"/>
      <c r="D108" s="24" t="s">
        <v>128</v>
      </c>
      <c r="E108" s="24"/>
      <c r="F108" s="24"/>
      <c r="G108" s="26"/>
      <c r="H108" s="25"/>
      <c r="I108" s="26"/>
      <c r="J108" s="25"/>
      <c r="K108" s="26"/>
      <c r="L108" s="25"/>
      <c r="M108" s="26"/>
    </row>
    <row r="109" spans="1:17">
      <c r="A109" s="125"/>
      <c r="B109" s="125"/>
      <c r="C109" s="35"/>
      <c r="D109" s="24" t="s">
        <v>91</v>
      </c>
      <c r="E109" s="24"/>
      <c r="F109" s="24"/>
      <c r="G109" s="26"/>
      <c r="H109" s="25"/>
      <c r="I109" s="26"/>
      <c r="J109" s="25"/>
      <c r="K109" s="26"/>
      <c r="L109" s="25"/>
      <c r="M109" s="26"/>
    </row>
    <row r="110" spans="1:17">
      <c r="A110" s="125"/>
      <c r="B110" s="125"/>
      <c r="C110" s="35"/>
      <c r="D110" s="24" t="s">
        <v>124</v>
      </c>
      <c r="E110" s="24"/>
      <c r="F110" s="24"/>
      <c r="G110" s="26"/>
      <c r="H110" s="25"/>
      <c r="I110" s="26"/>
      <c r="J110" s="25"/>
      <c r="K110" s="26"/>
      <c r="L110" s="25"/>
      <c r="M110" s="26"/>
    </row>
    <row r="111" spans="1:17">
      <c r="A111" s="125"/>
      <c r="B111" s="125"/>
      <c r="C111" s="35"/>
      <c r="D111" s="24" t="s">
        <v>129</v>
      </c>
      <c r="E111" s="24"/>
      <c r="F111" s="24"/>
      <c r="G111" s="26"/>
      <c r="H111" s="25"/>
      <c r="I111" s="26"/>
      <c r="J111" s="25"/>
      <c r="K111" s="26"/>
      <c r="L111" s="25"/>
      <c r="M111" s="26"/>
    </row>
    <row r="112" spans="1:17">
      <c r="A112" s="125"/>
      <c r="B112" s="125"/>
      <c r="C112" s="35"/>
      <c r="D112" s="24" t="s">
        <v>130</v>
      </c>
      <c r="E112" s="24"/>
      <c r="F112" s="24"/>
      <c r="G112" s="26"/>
      <c r="H112" s="25"/>
      <c r="I112" s="26"/>
      <c r="J112" s="25"/>
      <c r="K112" s="26"/>
      <c r="L112" s="25"/>
      <c r="M112" s="26"/>
    </row>
    <row r="113" spans="1:17">
      <c r="A113" s="125"/>
      <c r="B113" s="125"/>
      <c r="C113" s="35"/>
      <c r="D113" s="24" t="s">
        <v>109</v>
      </c>
      <c r="E113" s="24"/>
      <c r="F113" s="24"/>
      <c r="G113" s="26"/>
      <c r="H113" s="25"/>
      <c r="I113" s="26"/>
      <c r="J113" s="25"/>
      <c r="K113" s="26"/>
      <c r="L113" s="25"/>
      <c r="M113" s="26"/>
    </row>
    <row r="114" spans="1:17">
      <c r="A114" s="125"/>
      <c r="B114" s="125"/>
      <c r="C114" s="35"/>
      <c r="D114" s="22" t="s">
        <v>110</v>
      </c>
      <c r="E114" s="24"/>
      <c r="F114" s="24"/>
      <c r="G114" s="26"/>
      <c r="H114" s="25"/>
      <c r="I114" s="26"/>
      <c r="J114" s="25"/>
      <c r="K114" s="26"/>
      <c r="L114" s="25"/>
      <c r="M114" s="26"/>
    </row>
    <row r="115" spans="1:17">
      <c r="A115" s="125"/>
      <c r="B115" s="125"/>
      <c r="C115" s="35"/>
      <c r="D115" s="22" t="s">
        <v>111</v>
      </c>
      <c r="E115" s="24"/>
      <c r="F115" s="24"/>
      <c r="G115" s="26"/>
      <c r="H115" s="25"/>
      <c r="I115" s="26"/>
      <c r="J115" s="25"/>
      <c r="K115" s="26"/>
      <c r="L115" s="25"/>
      <c r="M115" s="26"/>
    </row>
    <row r="116" spans="1:17">
      <c r="A116" s="125"/>
      <c r="B116" s="125"/>
      <c r="C116" s="35"/>
      <c r="D116" s="24" t="s">
        <v>131</v>
      </c>
      <c r="E116" s="24"/>
      <c r="F116" s="24"/>
      <c r="G116" s="26"/>
      <c r="H116" s="25"/>
      <c r="I116" s="26"/>
      <c r="J116" s="25"/>
      <c r="K116" s="26"/>
      <c r="L116" s="25"/>
      <c r="M116" s="26"/>
    </row>
    <row r="117" spans="1:17">
      <c r="A117" s="125"/>
      <c r="B117" s="125"/>
      <c r="C117" s="35"/>
      <c r="D117" s="24" t="s">
        <v>132</v>
      </c>
      <c r="E117" s="24"/>
      <c r="F117" s="24"/>
      <c r="G117" s="26"/>
      <c r="H117" s="25"/>
      <c r="I117" s="26"/>
      <c r="J117" s="25"/>
      <c r="K117" s="26"/>
      <c r="L117" s="25"/>
      <c r="M117" s="26"/>
    </row>
    <row r="118" spans="1:17">
      <c r="A118" s="124">
        <v>1</v>
      </c>
      <c r="B118" s="125"/>
      <c r="C118" s="35"/>
      <c r="D118" s="24" t="s">
        <v>144</v>
      </c>
      <c r="E118" s="24"/>
      <c r="F118" s="24"/>
      <c r="G118" s="26"/>
      <c r="J118" s="25">
        <v>42</v>
      </c>
      <c r="K118" s="26" t="s">
        <v>113</v>
      </c>
      <c r="M118" s="25">
        <v>15.7</v>
      </c>
      <c r="N118" s="26" t="s">
        <v>139</v>
      </c>
      <c r="P118" s="25">
        <v>16</v>
      </c>
      <c r="Q118" s="26" t="s">
        <v>139</v>
      </c>
    </row>
    <row r="119" spans="1:17">
      <c r="A119" s="124">
        <v>2</v>
      </c>
      <c r="B119" s="125"/>
      <c r="C119" s="35"/>
      <c r="D119" s="24" t="s">
        <v>144</v>
      </c>
      <c r="E119" s="24"/>
      <c r="F119" s="24"/>
      <c r="G119" s="26"/>
      <c r="J119" s="25">
        <v>21</v>
      </c>
      <c r="K119" s="26" t="s">
        <v>113</v>
      </c>
      <c r="M119" s="25">
        <v>7.7</v>
      </c>
      <c r="N119" s="26" t="s">
        <v>139</v>
      </c>
      <c r="P119" s="25">
        <v>8</v>
      </c>
      <c r="Q119" s="26" t="s">
        <v>139</v>
      </c>
    </row>
    <row r="120" spans="1:17">
      <c r="A120" s="124">
        <v>3</v>
      </c>
      <c r="B120" s="125"/>
      <c r="C120" s="35"/>
      <c r="D120" s="24" t="s">
        <v>145</v>
      </c>
      <c r="E120" s="24"/>
      <c r="F120" s="24"/>
      <c r="G120" s="26"/>
      <c r="J120" s="25">
        <v>19</v>
      </c>
      <c r="K120" s="26" t="s">
        <v>113</v>
      </c>
      <c r="M120" s="25">
        <v>7.1</v>
      </c>
      <c r="N120" s="26" t="s">
        <v>139</v>
      </c>
      <c r="P120" s="25">
        <v>7.4</v>
      </c>
      <c r="Q120" s="26" t="s">
        <v>139</v>
      </c>
    </row>
    <row r="121" spans="1:17">
      <c r="A121" s="124">
        <v>4</v>
      </c>
      <c r="B121" s="125"/>
      <c r="C121" s="35"/>
      <c r="D121" s="24" t="s">
        <v>145</v>
      </c>
      <c r="E121" s="24"/>
      <c r="F121" s="24"/>
      <c r="G121" s="26"/>
      <c r="J121" s="25">
        <v>43</v>
      </c>
      <c r="K121" s="26" t="s">
        <v>113</v>
      </c>
      <c r="M121" s="25">
        <v>15.8</v>
      </c>
      <c r="N121" s="26" t="s">
        <v>139</v>
      </c>
      <c r="P121" s="25">
        <v>16.100000000000001</v>
      </c>
      <c r="Q121" s="26" t="s">
        <v>139</v>
      </c>
    </row>
    <row r="122" spans="1:17">
      <c r="A122" s="124">
        <v>5</v>
      </c>
      <c r="B122" s="125"/>
      <c r="C122" s="35"/>
      <c r="D122" s="24" t="s">
        <v>145</v>
      </c>
      <c r="E122" s="24"/>
      <c r="F122" s="24"/>
      <c r="G122" s="26"/>
      <c r="J122" s="25">
        <v>70</v>
      </c>
      <c r="K122" s="26" t="s">
        <v>113</v>
      </c>
      <c r="M122" s="25">
        <v>26</v>
      </c>
      <c r="N122" s="26" t="s">
        <v>139</v>
      </c>
      <c r="P122" s="25">
        <v>26.3</v>
      </c>
      <c r="Q122" s="26" t="s">
        <v>139</v>
      </c>
    </row>
    <row r="123" spans="1:17">
      <c r="A123" s="124">
        <v>6</v>
      </c>
      <c r="B123" s="125"/>
      <c r="C123" s="35"/>
      <c r="D123" s="24" t="s">
        <v>145</v>
      </c>
      <c r="E123" s="24"/>
      <c r="F123" s="24"/>
      <c r="G123" s="26"/>
      <c r="J123" s="25">
        <v>57</v>
      </c>
      <c r="K123" s="26" t="s">
        <v>113</v>
      </c>
      <c r="M123" s="25">
        <v>20.9</v>
      </c>
      <c r="N123" s="26" t="s">
        <v>139</v>
      </c>
      <c r="P123" s="25">
        <v>21.2</v>
      </c>
      <c r="Q123" s="26" t="s">
        <v>139</v>
      </c>
    </row>
    <row r="124" spans="1:17">
      <c r="A124" s="124">
        <v>7</v>
      </c>
      <c r="B124" s="125"/>
      <c r="C124" s="35"/>
      <c r="D124" s="24" t="s">
        <v>145</v>
      </c>
      <c r="E124" s="24"/>
      <c r="F124" s="24"/>
      <c r="G124" s="26"/>
      <c r="J124" s="25">
        <v>47</v>
      </c>
      <c r="K124" s="26" t="s">
        <v>113</v>
      </c>
      <c r="M124" s="25">
        <v>17.2</v>
      </c>
      <c r="N124" s="26" t="s">
        <v>139</v>
      </c>
      <c r="P124" s="25">
        <v>17.5</v>
      </c>
      <c r="Q124" s="26" t="s">
        <v>139</v>
      </c>
    </row>
    <row r="125" spans="1:17">
      <c r="A125" s="124">
        <v>8</v>
      </c>
      <c r="B125" s="125"/>
      <c r="C125" s="35"/>
      <c r="D125" s="24" t="s">
        <v>145</v>
      </c>
      <c r="E125" s="24"/>
      <c r="F125" s="24"/>
      <c r="G125" s="26"/>
      <c r="J125" s="25">
        <v>45</v>
      </c>
      <c r="K125" s="26" t="s">
        <v>113</v>
      </c>
      <c r="M125" s="25">
        <v>16.5</v>
      </c>
      <c r="N125" s="26" t="s">
        <v>139</v>
      </c>
      <c r="P125" s="25">
        <v>16.8</v>
      </c>
      <c r="Q125" s="26" t="s">
        <v>139</v>
      </c>
    </row>
    <row r="126" spans="1:17">
      <c r="A126" s="124">
        <v>9</v>
      </c>
      <c r="B126" s="125"/>
      <c r="C126" s="35"/>
      <c r="D126" s="24" t="s">
        <v>145</v>
      </c>
      <c r="E126" s="24"/>
      <c r="F126" s="24"/>
      <c r="G126" s="26"/>
      <c r="J126" s="25">
        <v>45</v>
      </c>
      <c r="K126" s="26" t="s">
        <v>113</v>
      </c>
      <c r="M126" s="25">
        <v>16.5</v>
      </c>
      <c r="N126" s="26" t="s">
        <v>139</v>
      </c>
      <c r="P126" s="25">
        <v>16.8</v>
      </c>
      <c r="Q126" s="26" t="s">
        <v>139</v>
      </c>
    </row>
    <row r="127" spans="1:17">
      <c r="A127" s="124">
        <v>10</v>
      </c>
      <c r="B127" s="125"/>
      <c r="C127" s="35"/>
      <c r="D127" s="24" t="s">
        <v>145</v>
      </c>
      <c r="E127" s="24"/>
      <c r="F127" s="24"/>
      <c r="G127" s="26"/>
      <c r="J127" s="25">
        <v>11</v>
      </c>
      <c r="K127" s="26" t="s">
        <v>113</v>
      </c>
      <c r="M127" s="25">
        <v>4</v>
      </c>
      <c r="N127" s="26" t="s">
        <v>139</v>
      </c>
      <c r="P127" s="25">
        <v>4.3</v>
      </c>
      <c r="Q127" s="26" t="s">
        <v>139</v>
      </c>
    </row>
    <row r="128" spans="1:17">
      <c r="A128" s="125"/>
      <c r="B128" s="125"/>
      <c r="C128" s="35"/>
      <c r="D128" s="24"/>
      <c r="E128" s="24"/>
      <c r="F128" s="24"/>
      <c r="G128" s="26"/>
      <c r="H128" s="25"/>
      <c r="I128" s="26"/>
      <c r="J128" s="25"/>
      <c r="K128" s="26"/>
      <c r="L128" s="25"/>
      <c r="M128" s="26"/>
    </row>
    <row r="129" spans="1:17">
      <c r="A129" s="125"/>
      <c r="B129" s="125"/>
      <c r="C129" s="35"/>
      <c r="D129" s="24" t="s">
        <v>102</v>
      </c>
      <c r="E129" s="24"/>
      <c r="F129" s="24"/>
      <c r="G129" s="26"/>
      <c r="H129" s="25"/>
      <c r="I129" s="26"/>
      <c r="J129" s="25"/>
      <c r="K129" s="26"/>
      <c r="L129" s="25"/>
      <c r="M129" s="26"/>
    </row>
    <row r="130" spans="1:17">
      <c r="A130" s="125"/>
      <c r="B130" s="125"/>
      <c r="C130" s="35"/>
      <c r="D130" s="24" t="s">
        <v>146</v>
      </c>
      <c r="E130" s="24"/>
      <c r="F130" s="24"/>
      <c r="G130" s="26"/>
      <c r="H130" s="25"/>
      <c r="I130" s="26"/>
      <c r="J130" s="25"/>
      <c r="K130" s="26"/>
      <c r="L130" s="25"/>
      <c r="M130" s="26"/>
    </row>
    <row r="131" spans="1:17">
      <c r="A131" s="125"/>
      <c r="B131" s="125"/>
      <c r="C131" s="35"/>
      <c r="D131" s="24" t="s">
        <v>147</v>
      </c>
      <c r="E131" s="24"/>
      <c r="F131" s="24"/>
      <c r="G131" s="26"/>
      <c r="H131" s="25"/>
      <c r="I131" s="26"/>
      <c r="J131" s="25"/>
      <c r="K131" s="26"/>
      <c r="L131" s="25"/>
      <c r="M131" s="26"/>
    </row>
    <row r="132" spans="1:17">
      <c r="A132" s="125"/>
      <c r="B132" s="125"/>
      <c r="C132" s="35"/>
      <c r="D132" s="24" t="s">
        <v>134</v>
      </c>
      <c r="E132" s="24"/>
      <c r="F132" s="24"/>
      <c r="G132" s="26"/>
      <c r="H132" s="25"/>
      <c r="I132" s="26"/>
      <c r="J132" s="25"/>
      <c r="K132" s="26"/>
      <c r="L132" s="25"/>
      <c r="M132" s="26"/>
    </row>
    <row r="133" spans="1:17">
      <c r="A133" s="125"/>
      <c r="B133" s="125"/>
      <c r="C133" s="35"/>
      <c r="D133" s="24" t="s">
        <v>127</v>
      </c>
      <c r="E133" s="24"/>
      <c r="F133" s="24"/>
      <c r="G133" s="26"/>
      <c r="H133" s="25"/>
      <c r="I133" s="26"/>
      <c r="J133" s="25"/>
      <c r="K133" s="26"/>
      <c r="L133" s="25"/>
      <c r="M133" s="26"/>
    </row>
    <row r="134" spans="1:17">
      <c r="A134" s="125"/>
      <c r="B134" s="125"/>
      <c r="C134" s="35"/>
      <c r="D134" s="24" t="s">
        <v>128</v>
      </c>
      <c r="E134" s="24"/>
      <c r="F134" s="24"/>
      <c r="G134" s="26"/>
      <c r="H134" s="25"/>
      <c r="I134" s="26"/>
      <c r="J134" s="25"/>
      <c r="K134" s="26"/>
      <c r="L134" s="25"/>
      <c r="M134" s="26"/>
    </row>
    <row r="135" spans="1:17">
      <c r="A135" s="125"/>
      <c r="B135" s="125"/>
      <c r="C135" s="35"/>
      <c r="D135" s="24" t="s">
        <v>91</v>
      </c>
      <c r="E135" s="24"/>
      <c r="F135" s="24"/>
      <c r="G135" s="26"/>
      <c r="H135" s="25"/>
      <c r="I135" s="26"/>
      <c r="J135" s="25"/>
      <c r="K135" s="26"/>
      <c r="L135" s="25"/>
      <c r="M135" s="26"/>
    </row>
    <row r="136" spans="1:17">
      <c r="A136" s="125"/>
      <c r="B136" s="125"/>
      <c r="C136" s="35"/>
      <c r="D136" s="24" t="s">
        <v>124</v>
      </c>
      <c r="E136" s="24"/>
      <c r="F136" s="24"/>
      <c r="G136" s="26"/>
      <c r="H136" s="25"/>
      <c r="I136" s="26"/>
      <c r="J136" s="25"/>
      <c r="K136" s="26"/>
      <c r="L136" s="25"/>
      <c r="M136" s="26"/>
    </row>
    <row r="137" spans="1:17">
      <c r="A137" s="125"/>
      <c r="B137" s="125"/>
      <c r="C137" s="35"/>
      <c r="D137" s="24" t="s">
        <v>129</v>
      </c>
      <c r="E137" s="24"/>
      <c r="F137" s="24"/>
      <c r="G137" s="26"/>
      <c r="H137" s="25"/>
      <c r="I137" s="26"/>
      <c r="J137" s="25"/>
      <c r="K137" s="26"/>
      <c r="L137" s="25"/>
      <c r="M137" s="26"/>
    </row>
    <row r="138" spans="1:17">
      <c r="A138" s="125"/>
      <c r="B138" s="125"/>
      <c r="C138" s="35"/>
      <c r="D138" s="24" t="s">
        <v>130</v>
      </c>
      <c r="E138" s="24"/>
      <c r="F138" s="24"/>
      <c r="G138" s="26"/>
      <c r="H138" s="25"/>
      <c r="I138" s="26"/>
      <c r="J138" s="25"/>
      <c r="K138" s="26"/>
      <c r="L138" s="25"/>
      <c r="M138" s="26"/>
    </row>
    <row r="139" spans="1:17">
      <c r="A139" s="125"/>
      <c r="B139" s="125"/>
      <c r="C139" s="35"/>
      <c r="D139" s="24" t="s">
        <v>109</v>
      </c>
      <c r="E139" s="24"/>
      <c r="F139" s="24"/>
      <c r="G139" s="26"/>
      <c r="H139" s="25"/>
      <c r="I139" s="26"/>
      <c r="J139" s="25"/>
      <c r="K139" s="26"/>
      <c r="L139" s="25"/>
      <c r="M139" s="26"/>
    </row>
    <row r="140" spans="1:17">
      <c r="A140" s="125"/>
      <c r="B140" s="125"/>
      <c r="C140" s="35"/>
      <c r="D140" s="22" t="s">
        <v>110</v>
      </c>
      <c r="E140" s="24"/>
      <c r="F140" s="24"/>
      <c r="G140" s="26"/>
      <c r="H140" s="25"/>
      <c r="I140" s="26"/>
      <c r="J140" s="25"/>
      <c r="K140" s="26"/>
      <c r="L140" s="25"/>
      <c r="M140" s="26"/>
    </row>
    <row r="141" spans="1:17">
      <c r="A141" s="125"/>
      <c r="B141" s="125"/>
      <c r="C141" s="35"/>
      <c r="D141" s="22" t="s">
        <v>111</v>
      </c>
      <c r="E141" s="24"/>
      <c r="F141" s="24"/>
      <c r="G141" s="26"/>
      <c r="H141" s="25"/>
      <c r="I141" s="26"/>
      <c r="J141" s="25"/>
      <c r="K141" s="26"/>
      <c r="L141" s="25"/>
      <c r="M141" s="26"/>
    </row>
    <row r="142" spans="1:17">
      <c r="A142" s="125"/>
      <c r="B142" s="125"/>
      <c r="C142" s="35"/>
      <c r="D142" s="24" t="s">
        <v>135</v>
      </c>
      <c r="E142" s="24"/>
      <c r="F142" s="24"/>
      <c r="G142" s="26"/>
      <c r="H142" s="25"/>
      <c r="I142" s="26"/>
      <c r="J142" s="25"/>
      <c r="K142" s="26"/>
      <c r="L142" s="25"/>
      <c r="M142" s="26"/>
    </row>
    <row r="143" spans="1:17">
      <c r="A143" s="125"/>
      <c r="B143" s="125"/>
      <c r="C143" s="35"/>
      <c r="D143" s="24" t="s">
        <v>136</v>
      </c>
      <c r="E143" s="24"/>
      <c r="F143" s="24"/>
      <c r="G143" s="26"/>
      <c r="H143" s="25"/>
      <c r="I143" s="26"/>
      <c r="J143" s="25"/>
      <c r="K143" s="26"/>
      <c r="L143" s="25"/>
      <c r="M143" s="26"/>
    </row>
    <row r="144" spans="1:17">
      <c r="A144" s="124">
        <v>11</v>
      </c>
      <c r="B144" s="125"/>
      <c r="C144" s="35"/>
      <c r="D144" s="24" t="s">
        <v>148</v>
      </c>
      <c r="E144" s="24"/>
      <c r="F144" s="24"/>
      <c r="G144" s="26"/>
      <c r="J144" s="25">
        <v>36</v>
      </c>
      <c r="K144" s="26" t="s">
        <v>113</v>
      </c>
      <c r="M144" s="25">
        <v>13.4</v>
      </c>
      <c r="N144" s="26" t="s">
        <v>139</v>
      </c>
      <c r="P144" s="25">
        <v>13.7</v>
      </c>
      <c r="Q144" s="26" t="s">
        <v>139</v>
      </c>
    </row>
    <row r="145" spans="1:17">
      <c r="A145" s="124">
        <v>12</v>
      </c>
      <c r="B145" s="125"/>
      <c r="C145" s="35"/>
      <c r="D145" s="24" t="s">
        <v>145</v>
      </c>
      <c r="E145" s="24"/>
      <c r="F145" s="24"/>
      <c r="G145" s="26"/>
      <c r="J145" s="25">
        <v>45</v>
      </c>
      <c r="K145" s="26" t="s">
        <v>113</v>
      </c>
      <c r="M145" s="25">
        <v>16.5</v>
      </c>
      <c r="N145" s="26" t="s">
        <v>139</v>
      </c>
      <c r="P145" s="25">
        <v>16.8</v>
      </c>
      <c r="Q145" s="26" t="s">
        <v>139</v>
      </c>
    </row>
    <row r="146" spans="1:17">
      <c r="A146" s="124">
        <v>13</v>
      </c>
      <c r="B146" s="125"/>
      <c r="C146" s="35"/>
      <c r="D146" s="24" t="s">
        <v>145</v>
      </c>
      <c r="E146" s="24"/>
      <c r="F146" s="24"/>
      <c r="G146" s="26"/>
      <c r="J146" s="25">
        <v>47</v>
      </c>
      <c r="K146" s="26" t="s">
        <v>113</v>
      </c>
      <c r="M146" s="25">
        <v>17.3</v>
      </c>
      <c r="N146" s="26" t="s">
        <v>139</v>
      </c>
      <c r="P146" s="25">
        <v>17.600000000000001</v>
      </c>
      <c r="Q146" s="26" t="s">
        <v>139</v>
      </c>
    </row>
    <row r="147" spans="1:17">
      <c r="A147" s="124">
        <v>14</v>
      </c>
      <c r="B147" s="125"/>
      <c r="C147" s="35"/>
      <c r="D147" s="24" t="s">
        <v>145</v>
      </c>
      <c r="E147" s="24"/>
      <c r="F147" s="24"/>
      <c r="G147" s="26"/>
      <c r="J147" s="25">
        <v>49</v>
      </c>
      <c r="K147" s="26" t="s">
        <v>113</v>
      </c>
      <c r="M147" s="25">
        <v>18.3</v>
      </c>
      <c r="N147" s="26" t="s">
        <v>139</v>
      </c>
      <c r="P147" s="25">
        <v>18.600000000000001</v>
      </c>
      <c r="Q147" s="26" t="s">
        <v>139</v>
      </c>
    </row>
    <row r="148" spans="1:17">
      <c r="A148" s="124">
        <v>15</v>
      </c>
      <c r="B148" s="125"/>
      <c r="C148" s="35"/>
      <c r="D148" s="24" t="s">
        <v>145</v>
      </c>
      <c r="E148" s="24"/>
      <c r="F148" s="24"/>
      <c r="G148" s="26"/>
      <c r="J148" s="25">
        <v>49</v>
      </c>
      <c r="K148" s="26" t="s">
        <v>113</v>
      </c>
      <c r="M148" s="25">
        <v>18.2</v>
      </c>
      <c r="N148" s="26" t="s">
        <v>139</v>
      </c>
      <c r="P148" s="25">
        <v>18.5</v>
      </c>
      <c r="Q148" s="26" t="s">
        <v>139</v>
      </c>
    </row>
    <row r="149" spans="1:17">
      <c r="A149" s="124">
        <v>16</v>
      </c>
      <c r="B149" s="125"/>
      <c r="C149" s="35"/>
      <c r="D149" s="24" t="s">
        <v>145</v>
      </c>
      <c r="E149" s="24"/>
      <c r="F149" s="24"/>
      <c r="G149" s="26"/>
      <c r="J149" s="25">
        <v>50</v>
      </c>
      <c r="K149" s="26" t="s">
        <v>113</v>
      </c>
      <c r="M149" s="25">
        <v>18.600000000000001</v>
      </c>
      <c r="N149" s="26" t="s">
        <v>139</v>
      </c>
      <c r="P149" s="25">
        <v>18.899999999999999</v>
      </c>
      <c r="Q149" s="26" t="s">
        <v>139</v>
      </c>
    </row>
    <row r="150" spans="1:17">
      <c r="A150" s="124">
        <v>17</v>
      </c>
      <c r="B150" s="125"/>
      <c r="C150" s="35"/>
      <c r="D150" s="24" t="s">
        <v>145</v>
      </c>
      <c r="E150" s="24"/>
      <c r="F150" s="24"/>
      <c r="G150" s="26"/>
      <c r="J150" s="25">
        <v>50</v>
      </c>
      <c r="K150" s="26" t="s">
        <v>113</v>
      </c>
      <c r="M150" s="25">
        <v>18.600000000000001</v>
      </c>
      <c r="N150" s="26" t="s">
        <v>139</v>
      </c>
      <c r="P150" s="25">
        <v>18.899999999999999</v>
      </c>
      <c r="Q150" s="26" t="s">
        <v>139</v>
      </c>
    </row>
    <row r="151" spans="1:17">
      <c r="A151" s="124">
        <v>18</v>
      </c>
      <c r="B151" s="125"/>
      <c r="C151" s="35"/>
      <c r="D151" s="24" t="s">
        <v>145</v>
      </c>
      <c r="E151" s="24"/>
      <c r="F151" s="24"/>
      <c r="G151" s="26"/>
      <c r="J151" s="25">
        <v>49</v>
      </c>
      <c r="K151" s="26" t="s">
        <v>113</v>
      </c>
      <c r="M151" s="25">
        <v>18.2</v>
      </c>
      <c r="N151" s="26" t="s">
        <v>139</v>
      </c>
      <c r="P151" s="25">
        <v>18.5</v>
      </c>
      <c r="Q151" s="26" t="s">
        <v>139</v>
      </c>
    </row>
    <row r="152" spans="1:17">
      <c r="A152" s="124">
        <v>19</v>
      </c>
      <c r="B152" s="125"/>
      <c r="C152" s="35"/>
      <c r="D152" s="24" t="s">
        <v>145</v>
      </c>
      <c r="E152" s="24"/>
      <c r="F152" s="24"/>
      <c r="G152" s="26"/>
      <c r="J152" s="25">
        <v>26</v>
      </c>
      <c r="K152" s="26" t="s">
        <v>113</v>
      </c>
      <c r="M152" s="25">
        <v>9.5</v>
      </c>
      <c r="N152" s="26" t="s">
        <v>139</v>
      </c>
      <c r="P152" s="25">
        <v>9.8000000000000007</v>
      </c>
      <c r="Q152" s="26" t="s">
        <v>139</v>
      </c>
    </row>
    <row r="153" spans="1:17">
      <c r="A153" s="124">
        <v>20</v>
      </c>
      <c r="B153" s="125"/>
      <c r="C153" s="35"/>
      <c r="D153" s="24" t="s">
        <v>145</v>
      </c>
      <c r="E153" s="24"/>
      <c r="F153" s="24"/>
      <c r="G153" s="26"/>
      <c r="J153" s="25">
        <v>51</v>
      </c>
      <c r="K153" s="26" t="s">
        <v>113</v>
      </c>
      <c r="M153" s="25">
        <v>18.7</v>
      </c>
      <c r="N153" s="26" t="s">
        <v>139</v>
      </c>
      <c r="P153" s="25">
        <v>19</v>
      </c>
      <c r="Q153" s="26" t="s">
        <v>139</v>
      </c>
    </row>
    <row r="154" spans="1:17">
      <c r="A154" s="124">
        <v>21</v>
      </c>
      <c r="B154" s="125"/>
      <c r="C154" s="35"/>
      <c r="D154" s="24" t="s">
        <v>145</v>
      </c>
      <c r="E154" s="24"/>
      <c r="F154" s="24"/>
      <c r="G154" s="26"/>
      <c r="J154" s="25">
        <v>49</v>
      </c>
      <c r="K154" s="26" t="s">
        <v>113</v>
      </c>
      <c r="M154" s="25">
        <v>18.3</v>
      </c>
      <c r="N154" s="26" t="s">
        <v>139</v>
      </c>
      <c r="P154" s="25">
        <v>18.600000000000001</v>
      </c>
      <c r="Q154" s="26" t="s">
        <v>139</v>
      </c>
    </row>
    <row r="155" spans="1:17">
      <c r="A155" s="124">
        <v>22</v>
      </c>
      <c r="B155" s="125"/>
      <c r="C155" s="35"/>
      <c r="D155" s="24" t="s">
        <v>145</v>
      </c>
      <c r="E155" s="24"/>
      <c r="F155" s="24"/>
      <c r="G155" s="26"/>
      <c r="J155" s="25">
        <v>31</v>
      </c>
      <c r="K155" s="26" t="s">
        <v>113</v>
      </c>
      <c r="M155" s="25">
        <v>11.5</v>
      </c>
      <c r="N155" s="26" t="s">
        <v>139</v>
      </c>
      <c r="P155" s="25">
        <v>11.8</v>
      </c>
      <c r="Q155" s="26" t="s">
        <v>139</v>
      </c>
    </row>
    <row r="156" spans="1:17">
      <c r="A156" s="124">
        <v>23</v>
      </c>
      <c r="B156" s="125"/>
      <c r="C156" s="35"/>
      <c r="D156" s="24" t="s">
        <v>145</v>
      </c>
      <c r="E156" s="24"/>
      <c r="F156" s="24"/>
      <c r="G156" s="26"/>
      <c r="J156" s="25">
        <v>30</v>
      </c>
      <c r="K156" s="26" t="s">
        <v>113</v>
      </c>
      <c r="M156" s="25">
        <v>11.1</v>
      </c>
      <c r="N156" s="26" t="s">
        <v>139</v>
      </c>
      <c r="P156" s="25">
        <v>11.4</v>
      </c>
      <c r="Q156" s="26" t="s">
        <v>139</v>
      </c>
    </row>
    <row r="157" spans="1:17">
      <c r="A157" s="124">
        <v>24</v>
      </c>
      <c r="B157" s="125"/>
      <c r="C157" s="35"/>
      <c r="D157" s="24" t="s">
        <v>145</v>
      </c>
      <c r="E157" s="24"/>
      <c r="F157" s="24"/>
      <c r="G157" s="26"/>
      <c r="J157" s="25">
        <v>46</v>
      </c>
      <c r="K157" s="26" t="s">
        <v>113</v>
      </c>
      <c r="M157" s="25">
        <v>17</v>
      </c>
      <c r="N157" s="26" t="s">
        <v>139</v>
      </c>
      <c r="P157" s="25">
        <v>17.3</v>
      </c>
      <c r="Q157" s="26" t="s">
        <v>139</v>
      </c>
    </row>
    <row r="158" spans="1:17">
      <c r="A158" s="124">
        <v>25</v>
      </c>
      <c r="B158" s="125"/>
      <c r="C158" s="35"/>
      <c r="D158" s="24" t="s">
        <v>145</v>
      </c>
      <c r="E158" s="24"/>
      <c r="F158" s="24"/>
      <c r="G158" s="26"/>
      <c r="J158" s="25">
        <v>49</v>
      </c>
      <c r="K158" s="26" t="s">
        <v>113</v>
      </c>
      <c r="M158" s="25">
        <v>18</v>
      </c>
      <c r="N158" s="26" t="s">
        <v>139</v>
      </c>
      <c r="P158" s="25">
        <v>18.3</v>
      </c>
      <c r="Q158" s="26" t="s">
        <v>139</v>
      </c>
    </row>
    <row r="159" spans="1:17">
      <c r="A159" s="124">
        <v>26</v>
      </c>
      <c r="B159" s="125"/>
      <c r="C159" s="35"/>
      <c r="D159" s="24" t="s">
        <v>145</v>
      </c>
      <c r="E159" s="24"/>
      <c r="F159" s="24"/>
      <c r="G159" s="26"/>
      <c r="J159" s="25">
        <v>50</v>
      </c>
      <c r="K159" s="26" t="s">
        <v>113</v>
      </c>
      <c r="M159" s="25">
        <v>18.600000000000001</v>
      </c>
      <c r="N159" s="26" t="s">
        <v>139</v>
      </c>
      <c r="P159" s="25">
        <v>18.899999999999999</v>
      </c>
      <c r="Q159" s="26" t="s">
        <v>139</v>
      </c>
    </row>
    <row r="160" spans="1:17">
      <c r="A160" s="124">
        <v>27</v>
      </c>
      <c r="B160" s="125"/>
      <c r="C160" s="35"/>
      <c r="D160" s="24" t="s">
        <v>145</v>
      </c>
      <c r="E160" s="24"/>
      <c r="F160" s="24"/>
      <c r="G160" s="26"/>
      <c r="J160" s="25">
        <v>50</v>
      </c>
      <c r="K160" s="26" t="s">
        <v>113</v>
      </c>
      <c r="M160" s="25">
        <v>18.5</v>
      </c>
      <c r="N160" s="26" t="s">
        <v>139</v>
      </c>
      <c r="P160" s="25">
        <v>18.8</v>
      </c>
      <c r="Q160" s="26" t="s">
        <v>139</v>
      </c>
    </row>
    <row r="161" spans="1:17">
      <c r="A161" s="124">
        <v>28</v>
      </c>
      <c r="B161" s="125"/>
      <c r="C161" s="35"/>
      <c r="D161" s="24" t="s">
        <v>145</v>
      </c>
      <c r="E161" s="24"/>
      <c r="F161" s="24"/>
      <c r="G161" s="26"/>
      <c r="J161" s="25">
        <v>43</v>
      </c>
      <c r="K161" s="26" t="s">
        <v>113</v>
      </c>
      <c r="M161" s="25">
        <v>16</v>
      </c>
      <c r="N161" s="26" t="s">
        <v>139</v>
      </c>
      <c r="P161" s="25">
        <v>16.3</v>
      </c>
      <c r="Q161" s="26" t="s">
        <v>139</v>
      </c>
    </row>
    <row r="162" spans="1:17">
      <c r="A162" s="124">
        <v>29</v>
      </c>
      <c r="B162" s="125"/>
      <c r="C162" s="35"/>
      <c r="D162" s="24" t="s">
        <v>145</v>
      </c>
      <c r="E162" s="24"/>
      <c r="F162" s="24"/>
      <c r="G162" s="26"/>
      <c r="J162" s="25">
        <v>39</v>
      </c>
      <c r="K162" s="26" t="s">
        <v>113</v>
      </c>
      <c r="M162" s="25">
        <v>14.4</v>
      </c>
      <c r="N162" s="26" t="s">
        <v>139</v>
      </c>
      <c r="P162" s="25">
        <v>14.7</v>
      </c>
      <c r="Q162" s="26" t="s">
        <v>139</v>
      </c>
    </row>
    <row r="163" spans="1:17">
      <c r="A163" s="124">
        <v>30</v>
      </c>
      <c r="B163" s="125"/>
      <c r="C163" s="35"/>
      <c r="D163" s="24" t="s">
        <v>145</v>
      </c>
      <c r="E163" s="24"/>
      <c r="F163" s="24"/>
      <c r="G163" s="26"/>
      <c r="J163" s="25">
        <v>49</v>
      </c>
      <c r="K163" s="26" t="s">
        <v>113</v>
      </c>
      <c r="M163" s="25">
        <v>18.100000000000001</v>
      </c>
      <c r="N163" s="26" t="s">
        <v>139</v>
      </c>
      <c r="P163" s="25">
        <v>18.399999999999999</v>
      </c>
      <c r="Q163" s="26" t="s">
        <v>139</v>
      </c>
    </row>
    <row r="164" spans="1:17">
      <c r="A164" s="125" t="s">
        <v>149</v>
      </c>
      <c r="B164" s="125"/>
      <c r="C164" s="35"/>
      <c r="D164" s="24"/>
      <c r="E164" s="24"/>
      <c r="F164" s="24"/>
      <c r="G164" s="26"/>
      <c r="J164" s="25" t="s">
        <v>149</v>
      </c>
      <c r="K164" s="26" t="s">
        <v>150</v>
      </c>
      <c r="M164" s="25" t="s">
        <v>149</v>
      </c>
      <c r="N164" s="26" t="s">
        <v>150</v>
      </c>
      <c r="P164" s="25" t="s">
        <v>149</v>
      </c>
      <c r="Q164" s="26" t="s">
        <v>150</v>
      </c>
    </row>
    <row r="165" spans="1:17">
      <c r="D165" s="12" t="s">
        <v>23</v>
      </c>
    </row>
    <row r="166" spans="1:17">
      <c r="D166" s="12" t="s">
        <v>661</v>
      </c>
    </row>
    <row r="167" spans="1:17">
      <c r="D167" s="12" t="s">
        <v>662</v>
      </c>
    </row>
    <row r="168" spans="1:17">
      <c r="D168" s="12" t="s">
        <v>663</v>
      </c>
    </row>
    <row r="169" spans="1:17" ht="16.5">
      <c r="D169" s="18" t="s">
        <v>28</v>
      </c>
    </row>
    <row r="170" spans="1:17">
      <c r="D170" s="19" t="s">
        <v>111</v>
      </c>
    </row>
    <row r="171" spans="1:17">
      <c r="A171" s="12" t="s">
        <v>667</v>
      </c>
      <c r="D171" s="12" t="s">
        <v>665</v>
      </c>
      <c r="J171" s="32">
        <v>454</v>
      </c>
      <c r="K171" s="12" t="s">
        <v>33</v>
      </c>
      <c r="M171" s="32">
        <v>82.7</v>
      </c>
      <c r="N171" s="12" t="s">
        <v>61</v>
      </c>
      <c r="P171" s="32">
        <v>86.2</v>
      </c>
      <c r="Q171" s="12" t="s">
        <v>61</v>
      </c>
    </row>
    <row r="172" spans="1:17">
      <c r="A172" s="12" t="s">
        <v>658</v>
      </c>
      <c r="D172" s="12" t="s">
        <v>666</v>
      </c>
      <c r="J172" s="32">
        <v>74</v>
      </c>
      <c r="K172" s="12" t="s">
        <v>33</v>
      </c>
      <c r="M172" s="32">
        <v>13.2</v>
      </c>
      <c r="N172" s="12" t="s">
        <v>61</v>
      </c>
      <c r="P172" s="32">
        <v>13.7</v>
      </c>
      <c r="Q172" s="12" t="s">
        <v>61</v>
      </c>
    </row>
    <row r="173" spans="1:17" ht="16.5">
      <c r="A173" s="18" t="s">
        <v>668</v>
      </c>
    </row>
    <row r="174" spans="1:17">
      <c r="A174" s="35"/>
      <c r="B174" s="35"/>
      <c r="C174" s="35"/>
      <c r="D174" s="24"/>
      <c r="E174" s="24"/>
      <c r="F174" s="24"/>
      <c r="G174" s="26"/>
      <c r="J174" s="25"/>
      <c r="K174" s="26"/>
      <c r="M174" s="25"/>
      <c r="N174" s="26"/>
      <c r="P174" s="25"/>
      <c r="Q174" s="26"/>
    </row>
    <row r="175" spans="1:17">
      <c r="A175" s="35"/>
      <c r="B175" s="35"/>
      <c r="C175" s="35"/>
      <c r="D175" s="24" t="s">
        <v>152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5"/>
      <c r="Q175" s="26"/>
    </row>
    <row r="176" spans="1:17">
      <c r="A176" s="35"/>
      <c r="B176" s="35"/>
      <c r="C176" s="35"/>
      <c r="D176" s="24" t="s">
        <v>161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5"/>
      <c r="Q176" s="26"/>
    </row>
    <row r="177" spans="1:18">
      <c r="A177" s="35"/>
      <c r="B177" s="35"/>
      <c r="C177" s="35"/>
      <c r="D177" s="24" t="s">
        <v>159</v>
      </c>
      <c r="E177" s="24"/>
      <c r="F177" s="24"/>
      <c r="G177" s="24"/>
      <c r="H177" s="24"/>
      <c r="I177" s="24"/>
      <c r="J177" s="24"/>
      <c r="K177" s="24"/>
      <c r="L177" s="24"/>
      <c r="M177" s="35"/>
      <c r="N177" s="24"/>
      <c r="O177" s="24"/>
      <c r="P177" s="25"/>
      <c r="Q177" s="26"/>
    </row>
    <row r="178" spans="1:18">
      <c r="A178" s="35"/>
      <c r="B178" s="35" t="s">
        <v>166</v>
      </c>
      <c r="C178" s="35"/>
      <c r="D178" s="24" t="s">
        <v>162</v>
      </c>
      <c r="E178" s="24"/>
      <c r="F178" s="24"/>
      <c r="G178" s="24"/>
      <c r="H178" s="24"/>
      <c r="I178" s="24"/>
      <c r="J178" s="38">
        <f>14636+316+319</f>
        <v>15271</v>
      </c>
      <c r="K178" s="24" t="s">
        <v>164</v>
      </c>
      <c r="L178" s="24"/>
      <c r="M178" s="25">
        <v>62.8</v>
      </c>
      <c r="N178" s="25" t="s">
        <v>139</v>
      </c>
      <c r="O178" s="39">
        <f>J178*M178</f>
        <v>959018.79999999993</v>
      </c>
      <c r="P178" s="25">
        <v>72.3</v>
      </c>
      <c r="Q178" s="25" t="s">
        <v>139</v>
      </c>
    </row>
    <row r="179" spans="1:18">
      <c r="A179" s="35"/>
      <c r="B179" s="35"/>
      <c r="C179" s="35"/>
      <c r="D179" s="24"/>
      <c r="E179" s="24"/>
      <c r="F179" s="24"/>
      <c r="G179" s="24"/>
      <c r="H179" s="24"/>
      <c r="I179" s="24"/>
      <c r="J179" s="38"/>
      <c r="K179" s="24"/>
      <c r="L179" s="24"/>
      <c r="M179" s="35"/>
      <c r="N179" s="24"/>
      <c r="O179" s="39"/>
      <c r="P179" s="25"/>
      <c r="Q179" s="26"/>
    </row>
    <row r="180" spans="1:18">
      <c r="A180" s="35"/>
      <c r="B180" s="25">
        <v>5</v>
      </c>
      <c r="C180" s="35"/>
      <c r="D180" s="24" t="s">
        <v>165</v>
      </c>
      <c r="E180" s="24"/>
      <c r="F180" s="24"/>
      <c r="G180" s="24"/>
      <c r="H180" s="24"/>
      <c r="I180" s="24"/>
      <c r="J180" s="38"/>
      <c r="K180" s="24"/>
      <c r="L180" s="24"/>
      <c r="M180" s="35"/>
      <c r="N180" s="24"/>
      <c r="O180" s="39"/>
      <c r="P180" s="25"/>
      <c r="Q180" s="26"/>
    </row>
    <row r="181" spans="1:18">
      <c r="A181" s="35"/>
      <c r="B181" s="35"/>
      <c r="C181" s="35"/>
      <c r="D181" s="24" t="s">
        <v>160</v>
      </c>
      <c r="E181" s="24"/>
      <c r="F181" s="24"/>
      <c r="G181" s="24"/>
      <c r="H181" s="24"/>
      <c r="I181" s="24"/>
      <c r="J181" s="38"/>
      <c r="K181" s="24"/>
      <c r="L181" s="24"/>
      <c r="M181" s="35"/>
      <c r="N181" s="24"/>
      <c r="O181" s="39"/>
      <c r="P181" s="25"/>
      <c r="Q181" s="26"/>
    </row>
    <row r="182" spans="1:18">
      <c r="A182" s="35"/>
      <c r="B182" s="35"/>
      <c r="C182" s="35"/>
      <c r="D182" s="24" t="s">
        <v>163</v>
      </c>
      <c r="E182" s="24"/>
      <c r="F182" s="24"/>
      <c r="G182" s="24"/>
      <c r="H182" s="24"/>
      <c r="I182" s="24"/>
      <c r="J182" s="38">
        <f>911+376+948+579</f>
        <v>2814</v>
      </c>
      <c r="K182" s="24" t="s">
        <v>164</v>
      </c>
      <c r="L182" s="24"/>
      <c r="M182" s="25">
        <v>7.5</v>
      </c>
      <c r="N182" s="25" t="s">
        <v>139</v>
      </c>
      <c r="O182" s="39">
        <f>J182*M182</f>
        <v>21105</v>
      </c>
      <c r="P182" s="25">
        <v>8.5</v>
      </c>
      <c r="Q182" s="25" t="s">
        <v>139</v>
      </c>
    </row>
    <row r="183" spans="1:18">
      <c r="A183" s="35"/>
      <c r="B183" s="35"/>
      <c r="C183" s="35"/>
      <c r="D183" s="24"/>
      <c r="E183" s="24"/>
      <c r="F183" s="24"/>
      <c r="G183" s="24"/>
      <c r="H183" s="24"/>
      <c r="I183" s="24"/>
      <c r="J183" s="38"/>
      <c r="K183" s="24"/>
      <c r="L183" s="24"/>
      <c r="M183" s="25"/>
      <c r="N183" s="25"/>
      <c r="O183" s="39"/>
      <c r="P183" s="25"/>
      <c r="Q183" s="25"/>
    </row>
    <row r="184" spans="1:18">
      <c r="A184" s="35"/>
      <c r="B184" s="25">
        <v>1</v>
      </c>
      <c r="C184" s="35"/>
      <c r="D184" s="26" t="s">
        <v>152</v>
      </c>
      <c r="E184" s="25"/>
      <c r="F184" s="25"/>
      <c r="G184" s="25" t="s">
        <v>156</v>
      </c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</row>
    <row r="185" spans="1:18">
      <c r="A185" s="35"/>
      <c r="B185" s="35"/>
      <c r="C185" s="35"/>
      <c r="D185" s="26" t="s">
        <v>155</v>
      </c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</row>
    <row r="186" spans="1:18">
      <c r="A186" s="35"/>
      <c r="B186" s="35"/>
      <c r="C186" s="35"/>
      <c r="D186" s="26" t="s">
        <v>153</v>
      </c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spans="1:18">
      <c r="A187" s="35"/>
      <c r="B187" s="35"/>
      <c r="C187" s="35"/>
      <c r="D187" s="26" t="s">
        <v>157</v>
      </c>
      <c r="E187" s="25"/>
      <c r="F187" s="25"/>
      <c r="G187" s="25"/>
      <c r="H187" s="25"/>
      <c r="I187" s="25"/>
      <c r="J187" s="38">
        <f>20282+392+382+2755</f>
        <v>23811</v>
      </c>
      <c r="K187" s="25" t="s">
        <v>154</v>
      </c>
      <c r="L187" s="25"/>
      <c r="M187" s="25">
        <v>12.26</v>
      </c>
      <c r="N187" s="25" t="s">
        <v>139</v>
      </c>
      <c r="O187" s="25"/>
      <c r="P187" s="25">
        <v>12.85</v>
      </c>
      <c r="Q187" s="25" t="s">
        <v>139</v>
      </c>
      <c r="R187" s="25"/>
    </row>
    <row r="188" spans="1:18">
      <c r="A188" s="35"/>
      <c r="B188" s="35"/>
      <c r="C188" s="35"/>
      <c r="D188" s="26" t="s">
        <v>158</v>
      </c>
      <c r="E188" s="25"/>
      <c r="F188" s="25"/>
      <c r="G188" s="25"/>
      <c r="H188" s="25"/>
      <c r="I188" s="25"/>
      <c r="J188" s="38">
        <f>19544+1512</f>
        <v>21056</v>
      </c>
      <c r="K188" s="25" t="s">
        <v>154</v>
      </c>
      <c r="L188" s="25"/>
      <c r="M188" s="25"/>
      <c r="N188" s="25"/>
      <c r="O188" s="25"/>
      <c r="P188" s="25"/>
      <c r="Q188" s="25"/>
      <c r="R188" s="25"/>
    </row>
    <row r="189" spans="1:18">
      <c r="A189" s="35"/>
      <c r="B189" s="35"/>
      <c r="C189" s="35"/>
      <c r="D189" s="24"/>
      <c r="E189" s="24"/>
      <c r="F189" s="24"/>
      <c r="G189" s="25"/>
      <c r="H189" s="26"/>
      <c r="I189" s="23"/>
      <c r="J189" s="26"/>
      <c r="K189" s="25"/>
      <c r="M189" s="25"/>
      <c r="N189" s="26"/>
      <c r="P189" s="25"/>
      <c r="Q189" s="26"/>
    </row>
    <row r="190" spans="1:18" ht="15" thickBot="1">
      <c r="A190" s="44"/>
      <c r="B190" s="44"/>
      <c r="C190" s="44"/>
      <c r="D190" s="42"/>
      <c r="E190" s="42"/>
      <c r="F190" s="42"/>
      <c r="G190" s="45"/>
      <c r="H190" s="46"/>
      <c r="I190" s="46"/>
      <c r="J190" s="47"/>
      <c r="K190" s="45"/>
      <c r="L190" s="46"/>
      <c r="M190" s="47"/>
      <c r="N190" s="45"/>
      <c r="O190" s="46"/>
      <c r="P190" s="47"/>
      <c r="Q190" s="45"/>
    </row>
    <row r="191" spans="1:18">
      <c r="A191" s="24" t="s">
        <v>669</v>
      </c>
      <c r="B191" s="24"/>
      <c r="C191" s="35"/>
      <c r="D191" s="24"/>
      <c r="E191" s="24"/>
      <c r="F191" s="24"/>
      <c r="G191" s="26"/>
      <c r="J191" s="30">
        <f>SUM(J27:J183)</f>
        <v>48104</v>
      </c>
      <c r="K191" s="1" t="s">
        <v>33</v>
      </c>
      <c r="M191" s="27">
        <f>SUM(M27:M190)</f>
        <v>7803.430000000003</v>
      </c>
      <c r="N191" s="26" t="s">
        <v>139</v>
      </c>
      <c r="P191" s="27">
        <f>SUM(P27:P190)</f>
        <v>7899.2200000000021</v>
      </c>
      <c r="Q191" s="26" t="s">
        <v>139</v>
      </c>
    </row>
    <row r="192" spans="1:18">
      <c r="A192" s="125" t="s">
        <v>151</v>
      </c>
      <c r="B192" s="125"/>
      <c r="C192" s="35"/>
      <c r="D192" s="24"/>
      <c r="E192" s="24"/>
      <c r="J192" s="30">
        <f>J187+J188</f>
        <v>44867</v>
      </c>
      <c r="K192" s="43" t="s">
        <v>154</v>
      </c>
    </row>
    <row r="193" spans="8:13">
      <c r="H193" s="24"/>
      <c r="I193" s="26"/>
      <c r="J193" s="25" t="s">
        <v>151</v>
      </c>
      <c r="K193" s="26" t="s">
        <v>47</v>
      </c>
      <c r="L193" s="25" t="s">
        <v>151</v>
      </c>
      <c r="M193" s="26" t="s">
        <v>47</v>
      </c>
    </row>
  </sheetData>
  <mergeCells count="122">
    <mergeCell ref="A192:B192"/>
    <mergeCell ref="A160:B160"/>
    <mergeCell ref="A161:B161"/>
    <mergeCell ref="A162:B162"/>
    <mergeCell ref="A163:B163"/>
    <mergeCell ref="A164:B164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77:B77"/>
    <mergeCell ref="A78:B78"/>
    <mergeCell ref="A79:B79"/>
    <mergeCell ref="A83:B83"/>
    <mergeCell ref="A84:B84"/>
    <mergeCell ref="A72:B72"/>
    <mergeCell ref="A73:B73"/>
    <mergeCell ref="A74:B74"/>
    <mergeCell ref="A75:B75"/>
    <mergeCell ref="A76:B76"/>
    <mergeCell ref="A10:N10"/>
    <mergeCell ref="G8:P8"/>
    <mergeCell ref="A9:P9"/>
    <mergeCell ref="A8:F8"/>
    <mergeCell ref="A17:C17"/>
    <mergeCell ref="A15:B15"/>
    <mergeCell ref="A11:P11"/>
    <mergeCell ref="N7:T7"/>
    <mergeCell ref="R17:T17"/>
    <mergeCell ref="N13:T16"/>
    <mergeCell ref="I17:K17"/>
    <mergeCell ref="H15:M15"/>
    <mergeCell ref="D17:H17"/>
    <mergeCell ref="A12:P12"/>
    <mergeCell ref="A14:D14"/>
    <mergeCell ref="E14:M14"/>
    <mergeCell ref="C13:M13"/>
    <mergeCell ref="A13:B13"/>
    <mergeCell ref="O17:Q17"/>
    <mergeCell ref="L17:N17"/>
    <mergeCell ref="C15:F15"/>
    <mergeCell ref="A1:T1"/>
    <mergeCell ref="A4:T4"/>
    <mergeCell ref="P6:T6"/>
    <mergeCell ref="A2:T2"/>
    <mergeCell ref="J3:T3"/>
    <mergeCell ref="B6:F6"/>
    <mergeCell ref="A3:I3"/>
    <mergeCell ref="N6:O6"/>
    <mergeCell ref="A7:D7"/>
    <mergeCell ref="E7:M7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57EF-EA4D-44B1-A718-5B0FA597B96D}">
  <sheetPr>
    <pageSetUpPr autoPageBreaks="0"/>
  </sheetPr>
  <dimension ref="A1:N328"/>
  <sheetViews>
    <sheetView topLeftCell="A307" workbookViewId="0">
      <selection activeCell="K328" sqref="K328"/>
    </sheetView>
  </sheetViews>
  <sheetFormatPr defaultColWidth="9.125" defaultRowHeight="16.5" customHeight="1"/>
  <cols>
    <col min="1" max="1" width="26.5" style="48" customWidth="1"/>
    <col min="2" max="2" width="15" style="48" customWidth="1"/>
    <col min="3" max="4" width="16.375" style="48" customWidth="1"/>
    <col min="5" max="5" width="31.5" style="48" bestFit="1" customWidth="1"/>
    <col min="6" max="7" width="13.5" style="48" customWidth="1"/>
    <col min="8" max="8" width="20" style="48" bestFit="1" customWidth="1"/>
    <col min="9" max="9" width="12.5" style="48" customWidth="1"/>
    <col min="10" max="10" width="7" style="48" customWidth="1"/>
    <col min="11" max="11" width="14.625" style="48" customWidth="1"/>
    <col min="12" max="12" width="12.5" style="48" customWidth="1"/>
    <col min="13" max="13" width="16" style="48" customWidth="1"/>
    <col min="14" max="14" width="18" style="48" customWidth="1"/>
    <col min="15" max="15" width="9" style="48" customWidth="1"/>
    <col min="16" max="256" width="9.125" style="48"/>
    <col min="257" max="257" width="26.5" style="48" customWidth="1"/>
    <col min="258" max="258" width="15" style="48" customWidth="1"/>
    <col min="259" max="260" width="16.375" style="48" customWidth="1"/>
    <col min="261" max="261" width="31.5" style="48" bestFit="1" customWidth="1"/>
    <col min="262" max="263" width="13.5" style="48" customWidth="1"/>
    <col min="264" max="264" width="20" style="48" bestFit="1" customWidth="1"/>
    <col min="265" max="265" width="12.5" style="48" customWidth="1"/>
    <col min="266" max="266" width="7" style="48" customWidth="1"/>
    <col min="267" max="267" width="14.625" style="48" customWidth="1"/>
    <col min="268" max="268" width="12.5" style="48" customWidth="1"/>
    <col min="269" max="269" width="16" style="48" customWidth="1"/>
    <col min="270" max="270" width="18" style="48" customWidth="1"/>
    <col min="271" max="271" width="9" style="48" customWidth="1"/>
    <col min="272" max="512" width="9.125" style="48"/>
    <col min="513" max="513" width="26.5" style="48" customWidth="1"/>
    <col min="514" max="514" width="15" style="48" customWidth="1"/>
    <col min="515" max="516" width="16.375" style="48" customWidth="1"/>
    <col min="517" max="517" width="31.5" style="48" bestFit="1" customWidth="1"/>
    <col min="518" max="519" width="13.5" style="48" customWidth="1"/>
    <col min="520" max="520" width="20" style="48" bestFit="1" customWidth="1"/>
    <col min="521" max="521" width="12.5" style="48" customWidth="1"/>
    <col min="522" max="522" width="7" style="48" customWidth="1"/>
    <col min="523" max="523" width="14.625" style="48" customWidth="1"/>
    <col min="524" max="524" width="12.5" style="48" customWidth="1"/>
    <col min="525" max="525" width="16" style="48" customWidth="1"/>
    <col min="526" max="526" width="18" style="48" customWidth="1"/>
    <col min="527" max="527" width="9" style="48" customWidth="1"/>
    <col min="528" max="768" width="9.125" style="48"/>
    <col min="769" max="769" width="26.5" style="48" customWidth="1"/>
    <col min="770" max="770" width="15" style="48" customWidth="1"/>
    <col min="771" max="772" width="16.375" style="48" customWidth="1"/>
    <col min="773" max="773" width="31.5" style="48" bestFit="1" customWidth="1"/>
    <col min="774" max="775" width="13.5" style="48" customWidth="1"/>
    <col min="776" max="776" width="20" style="48" bestFit="1" customWidth="1"/>
    <col min="777" max="777" width="12.5" style="48" customWidth="1"/>
    <col min="778" max="778" width="7" style="48" customWidth="1"/>
    <col min="779" max="779" width="14.625" style="48" customWidth="1"/>
    <col min="780" max="780" width="12.5" style="48" customWidth="1"/>
    <col min="781" max="781" width="16" style="48" customWidth="1"/>
    <col min="782" max="782" width="18" style="48" customWidth="1"/>
    <col min="783" max="783" width="9" style="48" customWidth="1"/>
    <col min="784" max="1024" width="9.125" style="48"/>
    <col min="1025" max="1025" width="26.5" style="48" customWidth="1"/>
    <col min="1026" max="1026" width="15" style="48" customWidth="1"/>
    <col min="1027" max="1028" width="16.375" style="48" customWidth="1"/>
    <col min="1029" max="1029" width="31.5" style="48" bestFit="1" customWidth="1"/>
    <col min="1030" max="1031" width="13.5" style="48" customWidth="1"/>
    <col min="1032" max="1032" width="20" style="48" bestFit="1" customWidth="1"/>
    <col min="1033" max="1033" width="12.5" style="48" customWidth="1"/>
    <col min="1034" max="1034" width="7" style="48" customWidth="1"/>
    <col min="1035" max="1035" width="14.625" style="48" customWidth="1"/>
    <col min="1036" max="1036" width="12.5" style="48" customWidth="1"/>
    <col min="1037" max="1037" width="16" style="48" customWidth="1"/>
    <col min="1038" max="1038" width="18" style="48" customWidth="1"/>
    <col min="1039" max="1039" width="9" style="48" customWidth="1"/>
    <col min="1040" max="1280" width="9.125" style="48"/>
    <col min="1281" max="1281" width="26.5" style="48" customWidth="1"/>
    <col min="1282" max="1282" width="15" style="48" customWidth="1"/>
    <col min="1283" max="1284" width="16.375" style="48" customWidth="1"/>
    <col min="1285" max="1285" width="31.5" style="48" bestFit="1" customWidth="1"/>
    <col min="1286" max="1287" width="13.5" style="48" customWidth="1"/>
    <col min="1288" max="1288" width="20" style="48" bestFit="1" customWidth="1"/>
    <col min="1289" max="1289" width="12.5" style="48" customWidth="1"/>
    <col min="1290" max="1290" width="7" style="48" customWidth="1"/>
    <col min="1291" max="1291" width="14.625" style="48" customWidth="1"/>
    <col min="1292" max="1292" width="12.5" style="48" customWidth="1"/>
    <col min="1293" max="1293" width="16" style="48" customWidth="1"/>
    <col min="1294" max="1294" width="18" style="48" customWidth="1"/>
    <col min="1295" max="1295" width="9" style="48" customWidth="1"/>
    <col min="1296" max="1536" width="9.125" style="48"/>
    <col min="1537" max="1537" width="26.5" style="48" customWidth="1"/>
    <col min="1538" max="1538" width="15" style="48" customWidth="1"/>
    <col min="1539" max="1540" width="16.375" style="48" customWidth="1"/>
    <col min="1541" max="1541" width="31.5" style="48" bestFit="1" customWidth="1"/>
    <col min="1542" max="1543" width="13.5" style="48" customWidth="1"/>
    <col min="1544" max="1544" width="20" style="48" bestFit="1" customWidth="1"/>
    <col min="1545" max="1545" width="12.5" style="48" customWidth="1"/>
    <col min="1546" max="1546" width="7" style="48" customWidth="1"/>
    <col min="1547" max="1547" width="14.625" style="48" customWidth="1"/>
    <col min="1548" max="1548" width="12.5" style="48" customWidth="1"/>
    <col min="1549" max="1549" width="16" style="48" customWidth="1"/>
    <col min="1550" max="1550" width="18" style="48" customWidth="1"/>
    <col min="1551" max="1551" width="9" style="48" customWidth="1"/>
    <col min="1552" max="1792" width="9.125" style="48"/>
    <col min="1793" max="1793" width="26.5" style="48" customWidth="1"/>
    <col min="1794" max="1794" width="15" style="48" customWidth="1"/>
    <col min="1795" max="1796" width="16.375" style="48" customWidth="1"/>
    <col min="1797" max="1797" width="31.5" style="48" bestFit="1" customWidth="1"/>
    <col min="1798" max="1799" width="13.5" style="48" customWidth="1"/>
    <col min="1800" max="1800" width="20" style="48" bestFit="1" customWidth="1"/>
    <col min="1801" max="1801" width="12.5" style="48" customWidth="1"/>
    <col min="1802" max="1802" width="7" style="48" customWidth="1"/>
    <col min="1803" max="1803" width="14.625" style="48" customWidth="1"/>
    <col min="1804" max="1804" width="12.5" style="48" customWidth="1"/>
    <col min="1805" max="1805" width="16" style="48" customWidth="1"/>
    <col min="1806" max="1806" width="18" style="48" customWidth="1"/>
    <col min="1807" max="1807" width="9" style="48" customWidth="1"/>
    <col min="1808" max="2048" width="9.125" style="48"/>
    <col min="2049" max="2049" width="26.5" style="48" customWidth="1"/>
    <col min="2050" max="2050" width="15" style="48" customWidth="1"/>
    <col min="2051" max="2052" width="16.375" style="48" customWidth="1"/>
    <col min="2053" max="2053" width="31.5" style="48" bestFit="1" customWidth="1"/>
    <col min="2054" max="2055" width="13.5" style="48" customWidth="1"/>
    <col min="2056" max="2056" width="20" style="48" bestFit="1" customWidth="1"/>
    <col min="2057" max="2057" width="12.5" style="48" customWidth="1"/>
    <col min="2058" max="2058" width="7" style="48" customWidth="1"/>
    <col min="2059" max="2059" width="14.625" style="48" customWidth="1"/>
    <col min="2060" max="2060" width="12.5" style="48" customWidth="1"/>
    <col min="2061" max="2061" width="16" style="48" customWidth="1"/>
    <col min="2062" max="2062" width="18" style="48" customWidth="1"/>
    <col min="2063" max="2063" width="9" style="48" customWidth="1"/>
    <col min="2064" max="2304" width="9.125" style="48"/>
    <col min="2305" max="2305" width="26.5" style="48" customWidth="1"/>
    <col min="2306" max="2306" width="15" style="48" customWidth="1"/>
    <col min="2307" max="2308" width="16.375" style="48" customWidth="1"/>
    <col min="2309" max="2309" width="31.5" style="48" bestFit="1" customWidth="1"/>
    <col min="2310" max="2311" width="13.5" style="48" customWidth="1"/>
    <col min="2312" max="2312" width="20" style="48" bestFit="1" customWidth="1"/>
    <col min="2313" max="2313" width="12.5" style="48" customWidth="1"/>
    <col min="2314" max="2314" width="7" style="48" customWidth="1"/>
    <col min="2315" max="2315" width="14.625" style="48" customWidth="1"/>
    <col min="2316" max="2316" width="12.5" style="48" customWidth="1"/>
    <col min="2317" max="2317" width="16" style="48" customWidth="1"/>
    <col min="2318" max="2318" width="18" style="48" customWidth="1"/>
    <col min="2319" max="2319" width="9" style="48" customWidth="1"/>
    <col min="2320" max="2560" width="9.125" style="48"/>
    <col min="2561" max="2561" width="26.5" style="48" customWidth="1"/>
    <col min="2562" max="2562" width="15" style="48" customWidth="1"/>
    <col min="2563" max="2564" width="16.375" style="48" customWidth="1"/>
    <col min="2565" max="2565" width="31.5" style="48" bestFit="1" customWidth="1"/>
    <col min="2566" max="2567" width="13.5" style="48" customWidth="1"/>
    <col min="2568" max="2568" width="20" style="48" bestFit="1" customWidth="1"/>
    <col min="2569" max="2569" width="12.5" style="48" customWidth="1"/>
    <col min="2570" max="2570" width="7" style="48" customWidth="1"/>
    <col min="2571" max="2571" width="14.625" style="48" customWidth="1"/>
    <col min="2572" max="2572" width="12.5" style="48" customWidth="1"/>
    <col min="2573" max="2573" width="16" style="48" customWidth="1"/>
    <col min="2574" max="2574" width="18" style="48" customWidth="1"/>
    <col min="2575" max="2575" width="9" style="48" customWidth="1"/>
    <col min="2576" max="2816" width="9.125" style="48"/>
    <col min="2817" max="2817" width="26.5" style="48" customWidth="1"/>
    <col min="2818" max="2818" width="15" style="48" customWidth="1"/>
    <col min="2819" max="2820" width="16.375" style="48" customWidth="1"/>
    <col min="2821" max="2821" width="31.5" style="48" bestFit="1" customWidth="1"/>
    <col min="2822" max="2823" width="13.5" style="48" customWidth="1"/>
    <col min="2824" max="2824" width="20" style="48" bestFit="1" customWidth="1"/>
    <col min="2825" max="2825" width="12.5" style="48" customWidth="1"/>
    <col min="2826" max="2826" width="7" style="48" customWidth="1"/>
    <col min="2827" max="2827" width="14.625" style="48" customWidth="1"/>
    <col min="2828" max="2828" width="12.5" style="48" customWidth="1"/>
    <col min="2829" max="2829" width="16" style="48" customWidth="1"/>
    <col min="2830" max="2830" width="18" style="48" customWidth="1"/>
    <col min="2831" max="2831" width="9" style="48" customWidth="1"/>
    <col min="2832" max="3072" width="9.125" style="48"/>
    <col min="3073" max="3073" width="26.5" style="48" customWidth="1"/>
    <col min="3074" max="3074" width="15" style="48" customWidth="1"/>
    <col min="3075" max="3076" width="16.375" style="48" customWidth="1"/>
    <col min="3077" max="3077" width="31.5" style="48" bestFit="1" customWidth="1"/>
    <col min="3078" max="3079" width="13.5" style="48" customWidth="1"/>
    <col min="3080" max="3080" width="20" style="48" bestFit="1" customWidth="1"/>
    <col min="3081" max="3081" width="12.5" style="48" customWidth="1"/>
    <col min="3082" max="3082" width="7" style="48" customWidth="1"/>
    <col min="3083" max="3083" width="14.625" style="48" customWidth="1"/>
    <col min="3084" max="3084" width="12.5" style="48" customWidth="1"/>
    <col min="3085" max="3085" width="16" style="48" customWidth="1"/>
    <col min="3086" max="3086" width="18" style="48" customWidth="1"/>
    <col min="3087" max="3087" width="9" style="48" customWidth="1"/>
    <col min="3088" max="3328" width="9.125" style="48"/>
    <col min="3329" max="3329" width="26.5" style="48" customWidth="1"/>
    <col min="3330" max="3330" width="15" style="48" customWidth="1"/>
    <col min="3331" max="3332" width="16.375" style="48" customWidth="1"/>
    <col min="3333" max="3333" width="31.5" style="48" bestFit="1" customWidth="1"/>
    <col min="3334" max="3335" width="13.5" style="48" customWidth="1"/>
    <col min="3336" max="3336" width="20" style="48" bestFit="1" customWidth="1"/>
    <col min="3337" max="3337" width="12.5" style="48" customWidth="1"/>
    <col min="3338" max="3338" width="7" style="48" customWidth="1"/>
    <col min="3339" max="3339" width="14.625" style="48" customWidth="1"/>
    <col min="3340" max="3340" width="12.5" style="48" customWidth="1"/>
    <col min="3341" max="3341" width="16" style="48" customWidth="1"/>
    <col min="3342" max="3342" width="18" style="48" customWidth="1"/>
    <col min="3343" max="3343" width="9" style="48" customWidth="1"/>
    <col min="3344" max="3584" width="9.125" style="48"/>
    <col min="3585" max="3585" width="26.5" style="48" customWidth="1"/>
    <col min="3586" max="3586" width="15" style="48" customWidth="1"/>
    <col min="3587" max="3588" width="16.375" style="48" customWidth="1"/>
    <col min="3589" max="3589" width="31.5" style="48" bestFit="1" customWidth="1"/>
    <col min="3590" max="3591" width="13.5" style="48" customWidth="1"/>
    <col min="3592" max="3592" width="20" style="48" bestFit="1" customWidth="1"/>
    <col min="3593" max="3593" width="12.5" style="48" customWidth="1"/>
    <col min="3594" max="3594" width="7" style="48" customWidth="1"/>
    <col min="3595" max="3595" width="14.625" style="48" customWidth="1"/>
    <col min="3596" max="3596" width="12.5" style="48" customWidth="1"/>
    <col min="3597" max="3597" width="16" style="48" customWidth="1"/>
    <col min="3598" max="3598" width="18" style="48" customWidth="1"/>
    <col min="3599" max="3599" width="9" style="48" customWidth="1"/>
    <col min="3600" max="3840" width="9.125" style="48"/>
    <col min="3841" max="3841" width="26.5" style="48" customWidth="1"/>
    <col min="3842" max="3842" width="15" style="48" customWidth="1"/>
    <col min="3843" max="3844" width="16.375" style="48" customWidth="1"/>
    <col min="3845" max="3845" width="31.5" style="48" bestFit="1" customWidth="1"/>
    <col min="3846" max="3847" width="13.5" style="48" customWidth="1"/>
    <col min="3848" max="3848" width="20" style="48" bestFit="1" customWidth="1"/>
    <col min="3849" max="3849" width="12.5" style="48" customWidth="1"/>
    <col min="3850" max="3850" width="7" style="48" customWidth="1"/>
    <col min="3851" max="3851" width="14.625" style="48" customWidth="1"/>
    <col min="3852" max="3852" width="12.5" style="48" customWidth="1"/>
    <col min="3853" max="3853" width="16" style="48" customWidth="1"/>
    <col min="3854" max="3854" width="18" style="48" customWidth="1"/>
    <col min="3855" max="3855" width="9" style="48" customWidth="1"/>
    <col min="3856" max="4096" width="9.125" style="48"/>
    <col min="4097" max="4097" width="26.5" style="48" customWidth="1"/>
    <col min="4098" max="4098" width="15" style="48" customWidth="1"/>
    <col min="4099" max="4100" width="16.375" style="48" customWidth="1"/>
    <col min="4101" max="4101" width="31.5" style="48" bestFit="1" customWidth="1"/>
    <col min="4102" max="4103" width="13.5" style="48" customWidth="1"/>
    <col min="4104" max="4104" width="20" style="48" bestFit="1" customWidth="1"/>
    <col min="4105" max="4105" width="12.5" style="48" customWidth="1"/>
    <col min="4106" max="4106" width="7" style="48" customWidth="1"/>
    <col min="4107" max="4107" width="14.625" style="48" customWidth="1"/>
    <col min="4108" max="4108" width="12.5" style="48" customWidth="1"/>
    <col min="4109" max="4109" width="16" style="48" customWidth="1"/>
    <col min="4110" max="4110" width="18" style="48" customWidth="1"/>
    <col min="4111" max="4111" width="9" style="48" customWidth="1"/>
    <col min="4112" max="4352" width="9.125" style="48"/>
    <col min="4353" max="4353" width="26.5" style="48" customWidth="1"/>
    <col min="4354" max="4354" width="15" style="48" customWidth="1"/>
    <col min="4355" max="4356" width="16.375" style="48" customWidth="1"/>
    <col min="4357" max="4357" width="31.5" style="48" bestFit="1" customWidth="1"/>
    <col min="4358" max="4359" width="13.5" style="48" customWidth="1"/>
    <col min="4360" max="4360" width="20" style="48" bestFit="1" customWidth="1"/>
    <col min="4361" max="4361" width="12.5" style="48" customWidth="1"/>
    <col min="4362" max="4362" width="7" style="48" customWidth="1"/>
    <col min="4363" max="4363" width="14.625" style="48" customWidth="1"/>
    <col min="4364" max="4364" width="12.5" style="48" customWidth="1"/>
    <col min="4365" max="4365" width="16" style="48" customWidth="1"/>
    <col min="4366" max="4366" width="18" style="48" customWidth="1"/>
    <col min="4367" max="4367" width="9" style="48" customWidth="1"/>
    <col min="4368" max="4608" width="9.125" style="48"/>
    <col min="4609" max="4609" width="26.5" style="48" customWidth="1"/>
    <col min="4610" max="4610" width="15" style="48" customWidth="1"/>
    <col min="4611" max="4612" width="16.375" style="48" customWidth="1"/>
    <col min="4613" max="4613" width="31.5" style="48" bestFit="1" customWidth="1"/>
    <col min="4614" max="4615" width="13.5" style="48" customWidth="1"/>
    <col min="4616" max="4616" width="20" style="48" bestFit="1" customWidth="1"/>
    <col min="4617" max="4617" width="12.5" style="48" customWidth="1"/>
    <col min="4618" max="4618" width="7" style="48" customWidth="1"/>
    <col min="4619" max="4619" width="14.625" style="48" customWidth="1"/>
    <col min="4620" max="4620" width="12.5" style="48" customWidth="1"/>
    <col min="4621" max="4621" width="16" style="48" customWidth="1"/>
    <col min="4622" max="4622" width="18" style="48" customWidth="1"/>
    <col min="4623" max="4623" width="9" style="48" customWidth="1"/>
    <col min="4624" max="4864" width="9.125" style="48"/>
    <col min="4865" max="4865" width="26.5" style="48" customWidth="1"/>
    <col min="4866" max="4866" width="15" style="48" customWidth="1"/>
    <col min="4867" max="4868" width="16.375" style="48" customWidth="1"/>
    <col min="4869" max="4869" width="31.5" style="48" bestFit="1" customWidth="1"/>
    <col min="4870" max="4871" width="13.5" style="48" customWidth="1"/>
    <col min="4872" max="4872" width="20" style="48" bestFit="1" customWidth="1"/>
    <col min="4873" max="4873" width="12.5" style="48" customWidth="1"/>
    <col min="4874" max="4874" width="7" style="48" customWidth="1"/>
    <col min="4875" max="4875" width="14.625" style="48" customWidth="1"/>
    <col min="4876" max="4876" width="12.5" style="48" customWidth="1"/>
    <col min="4877" max="4877" width="16" style="48" customWidth="1"/>
    <col min="4878" max="4878" width="18" style="48" customWidth="1"/>
    <col min="4879" max="4879" width="9" style="48" customWidth="1"/>
    <col min="4880" max="5120" width="9.125" style="48"/>
    <col min="5121" max="5121" width="26.5" style="48" customWidth="1"/>
    <col min="5122" max="5122" width="15" style="48" customWidth="1"/>
    <col min="5123" max="5124" width="16.375" style="48" customWidth="1"/>
    <col min="5125" max="5125" width="31.5" style="48" bestFit="1" customWidth="1"/>
    <col min="5126" max="5127" width="13.5" style="48" customWidth="1"/>
    <col min="5128" max="5128" width="20" style="48" bestFit="1" customWidth="1"/>
    <col min="5129" max="5129" width="12.5" style="48" customWidth="1"/>
    <col min="5130" max="5130" width="7" style="48" customWidth="1"/>
    <col min="5131" max="5131" width="14.625" style="48" customWidth="1"/>
    <col min="5132" max="5132" width="12.5" style="48" customWidth="1"/>
    <col min="5133" max="5133" width="16" style="48" customWidth="1"/>
    <col min="5134" max="5134" width="18" style="48" customWidth="1"/>
    <col min="5135" max="5135" width="9" style="48" customWidth="1"/>
    <col min="5136" max="5376" width="9.125" style="48"/>
    <col min="5377" max="5377" width="26.5" style="48" customWidth="1"/>
    <col min="5378" max="5378" width="15" style="48" customWidth="1"/>
    <col min="5379" max="5380" width="16.375" style="48" customWidth="1"/>
    <col min="5381" max="5381" width="31.5" style="48" bestFit="1" customWidth="1"/>
    <col min="5382" max="5383" width="13.5" style="48" customWidth="1"/>
    <col min="5384" max="5384" width="20" style="48" bestFit="1" customWidth="1"/>
    <col min="5385" max="5385" width="12.5" style="48" customWidth="1"/>
    <col min="5386" max="5386" width="7" style="48" customWidth="1"/>
    <col min="5387" max="5387" width="14.625" style="48" customWidth="1"/>
    <col min="5388" max="5388" width="12.5" style="48" customWidth="1"/>
    <col min="5389" max="5389" width="16" style="48" customWidth="1"/>
    <col min="5390" max="5390" width="18" style="48" customWidth="1"/>
    <col min="5391" max="5391" width="9" style="48" customWidth="1"/>
    <col min="5392" max="5632" width="9.125" style="48"/>
    <col min="5633" max="5633" width="26.5" style="48" customWidth="1"/>
    <col min="5634" max="5634" width="15" style="48" customWidth="1"/>
    <col min="5635" max="5636" width="16.375" style="48" customWidth="1"/>
    <col min="5637" max="5637" width="31.5" style="48" bestFit="1" customWidth="1"/>
    <col min="5638" max="5639" width="13.5" style="48" customWidth="1"/>
    <col min="5640" max="5640" width="20" style="48" bestFit="1" customWidth="1"/>
    <col min="5641" max="5641" width="12.5" style="48" customWidth="1"/>
    <col min="5642" max="5642" width="7" style="48" customWidth="1"/>
    <col min="5643" max="5643" width="14.625" style="48" customWidth="1"/>
    <col min="5644" max="5644" width="12.5" style="48" customWidth="1"/>
    <col min="5645" max="5645" width="16" style="48" customWidth="1"/>
    <col min="5646" max="5646" width="18" style="48" customWidth="1"/>
    <col min="5647" max="5647" width="9" style="48" customWidth="1"/>
    <col min="5648" max="5888" width="9.125" style="48"/>
    <col min="5889" max="5889" width="26.5" style="48" customWidth="1"/>
    <col min="5890" max="5890" width="15" style="48" customWidth="1"/>
    <col min="5891" max="5892" width="16.375" style="48" customWidth="1"/>
    <col min="5893" max="5893" width="31.5" style="48" bestFit="1" customWidth="1"/>
    <col min="5894" max="5895" width="13.5" style="48" customWidth="1"/>
    <col min="5896" max="5896" width="20" style="48" bestFit="1" customWidth="1"/>
    <col min="5897" max="5897" width="12.5" style="48" customWidth="1"/>
    <col min="5898" max="5898" width="7" style="48" customWidth="1"/>
    <col min="5899" max="5899" width="14.625" style="48" customWidth="1"/>
    <col min="5900" max="5900" width="12.5" style="48" customWidth="1"/>
    <col min="5901" max="5901" width="16" style="48" customWidth="1"/>
    <col min="5902" max="5902" width="18" style="48" customWidth="1"/>
    <col min="5903" max="5903" width="9" style="48" customWidth="1"/>
    <col min="5904" max="6144" width="9.125" style="48"/>
    <col min="6145" max="6145" width="26.5" style="48" customWidth="1"/>
    <col min="6146" max="6146" width="15" style="48" customWidth="1"/>
    <col min="6147" max="6148" width="16.375" style="48" customWidth="1"/>
    <col min="6149" max="6149" width="31.5" style="48" bestFit="1" customWidth="1"/>
    <col min="6150" max="6151" width="13.5" style="48" customWidth="1"/>
    <col min="6152" max="6152" width="20" style="48" bestFit="1" customWidth="1"/>
    <col min="6153" max="6153" width="12.5" style="48" customWidth="1"/>
    <col min="6154" max="6154" width="7" style="48" customWidth="1"/>
    <col min="6155" max="6155" width="14.625" style="48" customWidth="1"/>
    <col min="6156" max="6156" width="12.5" style="48" customWidth="1"/>
    <col min="6157" max="6157" width="16" style="48" customWidth="1"/>
    <col min="6158" max="6158" width="18" style="48" customWidth="1"/>
    <col min="6159" max="6159" width="9" style="48" customWidth="1"/>
    <col min="6160" max="6400" width="9.125" style="48"/>
    <col min="6401" max="6401" width="26.5" style="48" customWidth="1"/>
    <col min="6402" max="6402" width="15" style="48" customWidth="1"/>
    <col min="6403" max="6404" width="16.375" style="48" customWidth="1"/>
    <col min="6405" max="6405" width="31.5" style="48" bestFit="1" customWidth="1"/>
    <col min="6406" max="6407" width="13.5" style="48" customWidth="1"/>
    <col min="6408" max="6408" width="20" style="48" bestFit="1" customWidth="1"/>
    <col min="6409" max="6409" width="12.5" style="48" customWidth="1"/>
    <col min="6410" max="6410" width="7" style="48" customWidth="1"/>
    <col min="6411" max="6411" width="14.625" style="48" customWidth="1"/>
    <col min="6412" max="6412" width="12.5" style="48" customWidth="1"/>
    <col min="6413" max="6413" width="16" style="48" customWidth="1"/>
    <col min="6414" max="6414" width="18" style="48" customWidth="1"/>
    <col min="6415" max="6415" width="9" style="48" customWidth="1"/>
    <col min="6416" max="6656" width="9.125" style="48"/>
    <col min="6657" max="6657" width="26.5" style="48" customWidth="1"/>
    <col min="6658" max="6658" width="15" style="48" customWidth="1"/>
    <col min="6659" max="6660" width="16.375" style="48" customWidth="1"/>
    <col min="6661" max="6661" width="31.5" style="48" bestFit="1" customWidth="1"/>
    <col min="6662" max="6663" width="13.5" style="48" customWidth="1"/>
    <col min="6664" max="6664" width="20" style="48" bestFit="1" customWidth="1"/>
    <col min="6665" max="6665" width="12.5" style="48" customWidth="1"/>
    <col min="6666" max="6666" width="7" style="48" customWidth="1"/>
    <col min="6667" max="6667" width="14.625" style="48" customWidth="1"/>
    <col min="6668" max="6668" width="12.5" style="48" customWidth="1"/>
    <col min="6669" max="6669" width="16" style="48" customWidth="1"/>
    <col min="6670" max="6670" width="18" style="48" customWidth="1"/>
    <col min="6671" max="6671" width="9" style="48" customWidth="1"/>
    <col min="6672" max="6912" width="9.125" style="48"/>
    <col min="6913" max="6913" width="26.5" style="48" customWidth="1"/>
    <col min="6914" max="6914" width="15" style="48" customWidth="1"/>
    <col min="6915" max="6916" width="16.375" style="48" customWidth="1"/>
    <col min="6917" max="6917" width="31.5" style="48" bestFit="1" customWidth="1"/>
    <col min="6918" max="6919" width="13.5" style="48" customWidth="1"/>
    <col min="6920" max="6920" width="20" style="48" bestFit="1" customWidth="1"/>
    <col min="6921" max="6921" width="12.5" style="48" customWidth="1"/>
    <col min="6922" max="6922" width="7" style="48" customWidth="1"/>
    <col min="6923" max="6923" width="14.625" style="48" customWidth="1"/>
    <col min="6924" max="6924" width="12.5" style="48" customWidth="1"/>
    <col min="6925" max="6925" width="16" style="48" customWidth="1"/>
    <col min="6926" max="6926" width="18" style="48" customWidth="1"/>
    <col min="6927" max="6927" width="9" style="48" customWidth="1"/>
    <col min="6928" max="7168" width="9.125" style="48"/>
    <col min="7169" max="7169" width="26.5" style="48" customWidth="1"/>
    <col min="7170" max="7170" width="15" style="48" customWidth="1"/>
    <col min="7171" max="7172" width="16.375" style="48" customWidth="1"/>
    <col min="7173" max="7173" width="31.5" style="48" bestFit="1" customWidth="1"/>
    <col min="7174" max="7175" width="13.5" style="48" customWidth="1"/>
    <col min="7176" max="7176" width="20" style="48" bestFit="1" customWidth="1"/>
    <col min="7177" max="7177" width="12.5" style="48" customWidth="1"/>
    <col min="7178" max="7178" width="7" style="48" customWidth="1"/>
    <col min="7179" max="7179" width="14.625" style="48" customWidth="1"/>
    <col min="7180" max="7180" width="12.5" style="48" customWidth="1"/>
    <col min="7181" max="7181" width="16" style="48" customWidth="1"/>
    <col min="7182" max="7182" width="18" style="48" customWidth="1"/>
    <col min="7183" max="7183" width="9" style="48" customWidth="1"/>
    <col min="7184" max="7424" width="9.125" style="48"/>
    <col min="7425" max="7425" width="26.5" style="48" customWidth="1"/>
    <col min="7426" max="7426" width="15" style="48" customWidth="1"/>
    <col min="7427" max="7428" width="16.375" style="48" customWidth="1"/>
    <col min="7429" max="7429" width="31.5" style="48" bestFit="1" customWidth="1"/>
    <col min="7430" max="7431" width="13.5" style="48" customWidth="1"/>
    <col min="7432" max="7432" width="20" style="48" bestFit="1" customWidth="1"/>
    <col min="7433" max="7433" width="12.5" style="48" customWidth="1"/>
    <col min="7434" max="7434" width="7" style="48" customWidth="1"/>
    <col min="7435" max="7435" width="14.625" style="48" customWidth="1"/>
    <col min="7436" max="7436" width="12.5" style="48" customWidth="1"/>
    <col min="7437" max="7437" width="16" style="48" customWidth="1"/>
    <col min="7438" max="7438" width="18" style="48" customWidth="1"/>
    <col min="7439" max="7439" width="9" style="48" customWidth="1"/>
    <col min="7440" max="7680" width="9.125" style="48"/>
    <col min="7681" max="7681" width="26.5" style="48" customWidth="1"/>
    <col min="7682" max="7682" width="15" style="48" customWidth="1"/>
    <col min="7683" max="7684" width="16.375" style="48" customWidth="1"/>
    <col min="7685" max="7685" width="31.5" style="48" bestFit="1" customWidth="1"/>
    <col min="7686" max="7687" width="13.5" style="48" customWidth="1"/>
    <col min="7688" max="7688" width="20" style="48" bestFit="1" customWidth="1"/>
    <col min="7689" max="7689" width="12.5" style="48" customWidth="1"/>
    <col min="7690" max="7690" width="7" style="48" customWidth="1"/>
    <col min="7691" max="7691" width="14.625" style="48" customWidth="1"/>
    <col min="7692" max="7692" width="12.5" style="48" customWidth="1"/>
    <col min="7693" max="7693" width="16" style="48" customWidth="1"/>
    <col min="7694" max="7694" width="18" style="48" customWidth="1"/>
    <col min="7695" max="7695" width="9" style="48" customWidth="1"/>
    <col min="7696" max="7936" width="9.125" style="48"/>
    <col min="7937" max="7937" width="26.5" style="48" customWidth="1"/>
    <col min="7938" max="7938" width="15" style="48" customWidth="1"/>
    <col min="7939" max="7940" width="16.375" style="48" customWidth="1"/>
    <col min="7941" max="7941" width="31.5" style="48" bestFit="1" customWidth="1"/>
    <col min="7942" max="7943" width="13.5" style="48" customWidth="1"/>
    <col min="7944" max="7944" width="20" style="48" bestFit="1" customWidth="1"/>
    <col min="7945" max="7945" width="12.5" style="48" customWidth="1"/>
    <col min="7946" max="7946" width="7" style="48" customWidth="1"/>
    <col min="7947" max="7947" width="14.625" style="48" customWidth="1"/>
    <col min="7948" max="7948" width="12.5" style="48" customWidth="1"/>
    <col min="7949" max="7949" width="16" style="48" customWidth="1"/>
    <col min="7950" max="7950" width="18" style="48" customWidth="1"/>
    <col min="7951" max="7951" width="9" style="48" customWidth="1"/>
    <col min="7952" max="8192" width="9.125" style="48"/>
    <col min="8193" max="8193" width="26.5" style="48" customWidth="1"/>
    <col min="8194" max="8194" width="15" style="48" customWidth="1"/>
    <col min="8195" max="8196" width="16.375" style="48" customWidth="1"/>
    <col min="8197" max="8197" width="31.5" style="48" bestFit="1" customWidth="1"/>
    <col min="8198" max="8199" width="13.5" style="48" customWidth="1"/>
    <col min="8200" max="8200" width="20" style="48" bestFit="1" customWidth="1"/>
    <col min="8201" max="8201" width="12.5" style="48" customWidth="1"/>
    <col min="8202" max="8202" width="7" style="48" customWidth="1"/>
    <col min="8203" max="8203" width="14.625" style="48" customWidth="1"/>
    <col min="8204" max="8204" width="12.5" style="48" customWidth="1"/>
    <col min="8205" max="8205" width="16" style="48" customWidth="1"/>
    <col min="8206" max="8206" width="18" style="48" customWidth="1"/>
    <col min="8207" max="8207" width="9" style="48" customWidth="1"/>
    <col min="8208" max="8448" width="9.125" style="48"/>
    <col min="8449" max="8449" width="26.5" style="48" customWidth="1"/>
    <col min="8450" max="8450" width="15" style="48" customWidth="1"/>
    <col min="8451" max="8452" width="16.375" style="48" customWidth="1"/>
    <col min="8453" max="8453" width="31.5" style="48" bestFit="1" customWidth="1"/>
    <col min="8454" max="8455" width="13.5" style="48" customWidth="1"/>
    <col min="8456" max="8456" width="20" style="48" bestFit="1" customWidth="1"/>
    <col min="8457" max="8457" width="12.5" style="48" customWidth="1"/>
    <col min="8458" max="8458" width="7" style="48" customWidth="1"/>
    <col min="8459" max="8459" width="14.625" style="48" customWidth="1"/>
    <col min="8460" max="8460" width="12.5" style="48" customWidth="1"/>
    <col min="8461" max="8461" width="16" style="48" customWidth="1"/>
    <col min="8462" max="8462" width="18" style="48" customWidth="1"/>
    <col min="8463" max="8463" width="9" style="48" customWidth="1"/>
    <col min="8464" max="8704" width="9.125" style="48"/>
    <col min="8705" max="8705" width="26.5" style="48" customWidth="1"/>
    <col min="8706" max="8706" width="15" style="48" customWidth="1"/>
    <col min="8707" max="8708" width="16.375" style="48" customWidth="1"/>
    <col min="8709" max="8709" width="31.5" style="48" bestFit="1" customWidth="1"/>
    <col min="8710" max="8711" width="13.5" style="48" customWidth="1"/>
    <col min="8712" max="8712" width="20" style="48" bestFit="1" customWidth="1"/>
    <col min="8713" max="8713" width="12.5" style="48" customWidth="1"/>
    <col min="8714" max="8714" width="7" style="48" customWidth="1"/>
    <col min="8715" max="8715" width="14.625" style="48" customWidth="1"/>
    <col min="8716" max="8716" width="12.5" style="48" customWidth="1"/>
    <col min="8717" max="8717" width="16" style="48" customWidth="1"/>
    <col min="8718" max="8718" width="18" style="48" customWidth="1"/>
    <col min="8719" max="8719" width="9" style="48" customWidth="1"/>
    <col min="8720" max="8960" width="9.125" style="48"/>
    <col min="8961" max="8961" width="26.5" style="48" customWidth="1"/>
    <col min="8962" max="8962" width="15" style="48" customWidth="1"/>
    <col min="8963" max="8964" width="16.375" style="48" customWidth="1"/>
    <col min="8965" max="8965" width="31.5" style="48" bestFit="1" customWidth="1"/>
    <col min="8966" max="8967" width="13.5" style="48" customWidth="1"/>
    <col min="8968" max="8968" width="20" style="48" bestFit="1" customWidth="1"/>
    <col min="8969" max="8969" width="12.5" style="48" customWidth="1"/>
    <col min="8970" max="8970" width="7" style="48" customWidth="1"/>
    <col min="8971" max="8971" width="14.625" style="48" customWidth="1"/>
    <col min="8972" max="8972" width="12.5" style="48" customWidth="1"/>
    <col min="8973" max="8973" width="16" style="48" customWidth="1"/>
    <col min="8974" max="8974" width="18" style="48" customWidth="1"/>
    <col min="8975" max="8975" width="9" style="48" customWidth="1"/>
    <col min="8976" max="9216" width="9.125" style="48"/>
    <col min="9217" max="9217" width="26.5" style="48" customWidth="1"/>
    <col min="9218" max="9218" width="15" style="48" customWidth="1"/>
    <col min="9219" max="9220" width="16.375" style="48" customWidth="1"/>
    <col min="9221" max="9221" width="31.5" style="48" bestFit="1" customWidth="1"/>
    <col min="9222" max="9223" width="13.5" style="48" customWidth="1"/>
    <col min="9224" max="9224" width="20" style="48" bestFit="1" customWidth="1"/>
    <col min="9225" max="9225" width="12.5" style="48" customWidth="1"/>
    <col min="9226" max="9226" width="7" style="48" customWidth="1"/>
    <col min="9227" max="9227" width="14.625" style="48" customWidth="1"/>
    <col min="9228" max="9228" width="12.5" style="48" customWidth="1"/>
    <col min="9229" max="9229" width="16" style="48" customWidth="1"/>
    <col min="9230" max="9230" width="18" style="48" customWidth="1"/>
    <col min="9231" max="9231" width="9" style="48" customWidth="1"/>
    <col min="9232" max="9472" width="9.125" style="48"/>
    <col min="9473" max="9473" width="26.5" style="48" customWidth="1"/>
    <col min="9474" max="9474" width="15" style="48" customWidth="1"/>
    <col min="9475" max="9476" width="16.375" style="48" customWidth="1"/>
    <col min="9477" max="9477" width="31.5" style="48" bestFit="1" customWidth="1"/>
    <col min="9478" max="9479" width="13.5" style="48" customWidth="1"/>
    <col min="9480" max="9480" width="20" style="48" bestFit="1" customWidth="1"/>
    <col min="9481" max="9481" width="12.5" style="48" customWidth="1"/>
    <col min="9482" max="9482" width="7" style="48" customWidth="1"/>
    <col min="9483" max="9483" width="14.625" style="48" customWidth="1"/>
    <col min="9484" max="9484" width="12.5" style="48" customWidth="1"/>
    <col min="9485" max="9485" width="16" style="48" customWidth="1"/>
    <col min="9486" max="9486" width="18" style="48" customWidth="1"/>
    <col min="9487" max="9487" width="9" style="48" customWidth="1"/>
    <col min="9488" max="9728" width="9.125" style="48"/>
    <col min="9729" max="9729" width="26.5" style="48" customWidth="1"/>
    <col min="9730" max="9730" width="15" style="48" customWidth="1"/>
    <col min="9731" max="9732" width="16.375" style="48" customWidth="1"/>
    <col min="9733" max="9733" width="31.5" style="48" bestFit="1" customWidth="1"/>
    <col min="9734" max="9735" width="13.5" style="48" customWidth="1"/>
    <col min="9736" max="9736" width="20" style="48" bestFit="1" customWidth="1"/>
    <col min="9737" max="9737" width="12.5" style="48" customWidth="1"/>
    <col min="9738" max="9738" width="7" style="48" customWidth="1"/>
    <col min="9739" max="9739" width="14.625" style="48" customWidth="1"/>
    <col min="9740" max="9740" width="12.5" style="48" customWidth="1"/>
    <col min="9741" max="9741" width="16" style="48" customWidth="1"/>
    <col min="9742" max="9742" width="18" style="48" customWidth="1"/>
    <col min="9743" max="9743" width="9" style="48" customWidth="1"/>
    <col min="9744" max="9984" width="9.125" style="48"/>
    <col min="9985" max="9985" width="26.5" style="48" customWidth="1"/>
    <col min="9986" max="9986" width="15" style="48" customWidth="1"/>
    <col min="9987" max="9988" width="16.375" style="48" customWidth="1"/>
    <col min="9989" max="9989" width="31.5" style="48" bestFit="1" customWidth="1"/>
    <col min="9990" max="9991" width="13.5" style="48" customWidth="1"/>
    <col min="9992" max="9992" width="20" style="48" bestFit="1" customWidth="1"/>
    <col min="9993" max="9993" width="12.5" style="48" customWidth="1"/>
    <col min="9994" max="9994" width="7" style="48" customWidth="1"/>
    <col min="9995" max="9995" width="14.625" style="48" customWidth="1"/>
    <col min="9996" max="9996" width="12.5" style="48" customWidth="1"/>
    <col min="9997" max="9997" width="16" style="48" customWidth="1"/>
    <col min="9998" max="9998" width="18" style="48" customWidth="1"/>
    <col min="9999" max="9999" width="9" style="48" customWidth="1"/>
    <col min="10000" max="10240" width="9.125" style="48"/>
    <col min="10241" max="10241" width="26.5" style="48" customWidth="1"/>
    <col min="10242" max="10242" width="15" style="48" customWidth="1"/>
    <col min="10243" max="10244" width="16.375" style="48" customWidth="1"/>
    <col min="10245" max="10245" width="31.5" style="48" bestFit="1" customWidth="1"/>
    <col min="10246" max="10247" width="13.5" style="48" customWidth="1"/>
    <col min="10248" max="10248" width="20" style="48" bestFit="1" customWidth="1"/>
    <col min="10249" max="10249" width="12.5" style="48" customWidth="1"/>
    <col min="10250" max="10250" width="7" style="48" customWidth="1"/>
    <col min="10251" max="10251" width="14.625" style="48" customWidth="1"/>
    <col min="10252" max="10252" width="12.5" style="48" customWidth="1"/>
    <col min="10253" max="10253" width="16" style="48" customWidth="1"/>
    <col min="10254" max="10254" width="18" style="48" customWidth="1"/>
    <col min="10255" max="10255" width="9" style="48" customWidth="1"/>
    <col min="10256" max="10496" width="9.125" style="48"/>
    <col min="10497" max="10497" width="26.5" style="48" customWidth="1"/>
    <col min="10498" max="10498" width="15" style="48" customWidth="1"/>
    <col min="10499" max="10500" width="16.375" style="48" customWidth="1"/>
    <col min="10501" max="10501" width="31.5" style="48" bestFit="1" customWidth="1"/>
    <col min="10502" max="10503" width="13.5" style="48" customWidth="1"/>
    <col min="10504" max="10504" width="20" style="48" bestFit="1" customWidth="1"/>
    <col min="10505" max="10505" width="12.5" style="48" customWidth="1"/>
    <col min="10506" max="10506" width="7" style="48" customWidth="1"/>
    <col min="10507" max="10507" width="14.625" style="48" customWidth="1"/>
    <col min="10508" max="10508" width="12.5" style="48" customWidth="1"/>
    <col min="10509" max="10509" width="16" style="48" customWidth="1"/>
    <col min="10510" max="10510" width="18" style="48" customWidth="1"/>
    <col min="10511" max="10511" width="9" style="48" customWidth="1"/>
    <col min="10512" max="10752" width="9.125" style="48"/>
    <col min="10753" max="10753" width="26.5" style="48" customWidth="1"/>
    <col min="10754" max="10754" width="15" style="48" customWidth="1"/>
    <col min="10755" max="10756" width="16.375" style="48" customWidth="1"/>
    <col min="10757" max="10757" width="31.5" style="48" bestFit="1" customWidth="1"/>
    <col min="10758" max="10759" width="13.5" style="48" customWidth="1"/>
    <col min="10760" max="10760" width="20" style="48" bestFit="1" customWidth="1"/>
    <col min="10761" max="10761" width="12.5" style="48" customWidth="1"/>
    <col min="10762" max="10762" width="7" style="48" customWidth="1"/>
    <col min="10763" max="10763" width="14.625" style="48" customWidth="1"/>
    <col min="10764" max="10764" width="12.5" style="48" customWidth="1"/>
    <col min="10765" max="10765" width="16" style="48" customWidth="1"/>
    <col min="10766" max="10766" width="18" style="48" customWidth="1"/>
    <col min="10767" max="10767" width="9" style="48" customWidth="1"/>
    <col min="10768" max="11008" width="9.125" style="48"/>
    <col min="11009" max="11009" width="26.5" style="48" customWidth="1"/>
    <col min="11010" max="11010" width="15" style="48" customWidth="1"/>
    <col min="11011" max="11012" width="16.375" style="48" customWidth="1"/>
    <col min="11013" max="11013" width="31.5" style="48" bestFit="1" customWidth="1"/>
    <col min="11014" max="11015" width="13.5" style="48" customWidth="1"/>
    <col min="11016" max="11016" width="20" style="48" bestFit="1" customWidth="1"/>
    <col min="11017" max="11017" width="12.5" style="48" customWidth="1"/>
    <col min="11018" max="11018" width="7" style="48" customWidth="1"/>
    <col min="11019" max="11019" width="14.625" style="48" customWidth="1"/>
    <col min="11020" max="11020" width="12.5" style="48" customWidth="1"/>
    <col min="11021" max="11021" width="16" style="48" customWidth="1"/>
    <col min="11022" max="11022" width="18" style="48" customWidth="1"/>
    <col min="11023" max="11023" width="9" style="48" customWidth="1"/>
    <col min="11024" max="11264" width="9.125" style="48"/>
    <col min="11265" max="11265" width="26.5" style="48" customWidth="1"/>
    <col min="11266" max="11266" width="15" style="48" customWidth="1"/>
    <col min="11267" max="11268" width="16.375" style="48" customWidth="1"/>
    <col min="11269" max="11269" width="31.5" style="48" bestFit="1" customWidth="1"/>
    <col min="11270" max="11271" width="13.5" style="48" customWidth="1"/>
    <col min="11272" max="11272" width="20" style="48" bestFit="1" customWidth="1"/>
    <col min="11273" max="11273" width="12.5" style="48" customWidth="1"/>
    <col min="11274" max="11274" width="7" style="48" customWidth="1"/>
    <col min="11275" max="11275" width="14.625" style="48" customWidth="1"/>
    <col min="11276" max="11276" width="12.5" style="48" customWidth="1"/>
    <col min="11277" max="11277" width="16" style="48" customWidth="1"/>
    <col min="11278" max="11278" width="18" style="48" customWidth="1"/>
    <col min="11279" max="11279" width="9" style="48" customWidth="1"/>
    <col min="11280" max="11520" width="9.125" style="48"/>
    <col min="11521" max="11521" width="26.5" style="48" customWidth="1"/>
    <col min="11522" max="11522" width="15" style="48" customWidth="1"/>
    <col min="11523" max="11524" width="16.375" style="48" customWidth="1"/>
    <col min="11525" max="11525" width="31.5" style="48" bestFit="1" customWidth="1"/>
    <col min="11526" max="11527" width="13.5" style="48" customWidth="1"/>
    <col min="11528" max="11528" width="20" style="48" bestFit="1" customWidth="1"/>
    <col min="11529" max="11529" width="12.5" style="48" customWidth="1"/>
    <col min="11530" max="11530" width="7" style="48" customWidth="1"/>
    <col min="11531" max="11531" width="14.625" style="48" customWidth="1"/>
    <col min="11532" max="11532" width="12.5" style="48" customWidth="1"/>
    <col min="11533" max="11533" width="16" style="48" customWidth="1"/>
    <col min="11534" max="11534" width="18" style="48" customWidth="1"/>
    <col min="11535" max="11535" width="9" style="48" customWidth="1"/>
    <col min="11536" max="11776" width="9.125" style="48"/>
    <col min="11777" max="11777" width="26.5" style="48" customWidth="1"/>
    <col min="11778" max="11778" width="15" style="48" customWidth="1"/>
    <col min="11779" max="11780" width="16.375" style="48" customWidth="1"/>
    <col min="11781" max="11781" width="31.5" style="48" bestFit="1" customWidth="1"/>
    <col min="11782" max="11783" width="13.5" style="48" customWidth="1"/>
    <col min="11784" max="11784" width="20" style="48" bestFit="1" customWidth="1"/>
    <col min="11785" max="11785" width="12.5" style="48" customWidth="1"/>
    <col min="11786" max="11786" width="7" style="48" customWidth="1"/>
    <col min="11787" max="11787" width="14.625" style="48" customWidth="1"/>
    <col min="11788" max="11788" width="12.5" style="48" customWidth="1"/>
    <col min="11789" max="11789" width="16" style="48" customWidth="1"/>
    <col min="11790" max="11790" width="18" style="48" customWidth="1"/>
    <col min="11791" max="11791" width="9" style="48" customWidth="1"/>
    <col min="11792" max="12032" width="9.125" style="48"/>
    <col min="12033" max="12033" width="26.5" style="48" customWidth="1"/>
    <col min="12034" max="12034" width="15" style="48" customWidth="1"/>
    <col min="12035" max="12036" width="16.375" style="48" customWidth="1"/>
    <col min="12037" max="12037" width="31.5" style="48" bestFit="1" customWidth="1"/>
    <col min="12038" max="12039" width="13.5" style="48" customWidth="1"/>
    <col min="12040" max="12040" width="20" style="48" bestFit="1" customWidth="1"/>
    <col min="12041" max="12041" width="12.5" style="48" customWidth="1"/>
    <col min="12042" max="12042" width="7" style="48" customWidth="1"/>
    <col min="12043" max="12043" width="14.625" style="48" customWidth="1"/>
    <col min="12044" max="12044" width="12.5" style="48" customWidth="1"/>
    <col min="12045" max="12045" width="16" style="48" customWidth="1"/>
    <col min="12046" max="12046" width="18" style="48" customWidth="1"/>
    <col min="12047" max="12047" width="9" style="48" customWidth="1"/>
    <col min="12048" max="12288" width="9.125" style="48"/>
    <col min="12289" max="12289" width="26.5" style="48" customWidth="1"/>
    <col min="12290" max="12290" width="15" style="48" customWidth="1"/>
    <col min="12291" max="12292" width="16.375" style="48" customWidth="1"/>
    <col min="12293" max="12293" width="31.5" style="48" bestFit="1" customWidth="1"/>
    <col min="12294" max="12295" width="13.5" style="48" customWidth="1"/>
    <col min="12296" max="12296" width="20" style="48" bestFit="1" customWidth="1"/>
    <col min="12297" max="12297" width="12.5" style="48" customWidth="1"/>
    <col min="12298" max="12298" width="7" style="48" customWidth="1"/>
    <col min="12299" max="12299" width="14.625" style="48" customWidth="1"/>
    <col min="12300" max="12300" width="12.5" style="48" customWidth="1"/>
    <col min="12301" max="12301" width="16" style="48" customWidth="1"/>
    <col min="12302" max="12302" width="18" style="48" customWidth="1"/>
    <col min="12303" max="12303" width="9" style="48" customWidth="1"/>
    <col min="12304" max="12544" width="9.125" style="48"/>
    <col min="12545" max="12545" width="26.5" style="48" customWidth="1"/>
    <col min="12546" max="12546" width="15" style="48" customWidth="1"/>
    <col min="12547" max="12548" width="16.375" style="48" customWidth="1"/>
    <col min="12549" max="12549" width="31.5" style="48" bestFit="1" customWidth="1"/>
    <col min="12550" max="12551" width="13.5" style="48" customWidth="1"/>
    <col min="12552" max="12552" width="20" style="48" bestFit="1" customWidth="1"/>
    <col min="12553" max="12553" width="12.5" style="48" customWidth="1"/>
    <col min="12554" max="12554" width="7" style="48" customWidth="1"/>
    <col min="12555" max="12555" width="14.625" style="48" customWidth="1"/>
    <col min="12556" max="12556" width="12.5" style="48" customWidth="1"/>
    <col min="12557" max="12557" width="16" style="48" customWidth="1"/>
    <col min="12558" max="12558" width="18" style="48" customWidth="1"/>
    <col min="12559" max="12559" width="9" style="48" customWidth="1"/>
    <col min="12560" max="12800" width="9.125" style="48"/>
    <col min="12801" max="12801" width="26.5" style="48" customWidth="1"/>
    <col min="12802" max="12802" width="15" style="48" customWidth="1"/>
    <col min="12803" max="12804" width="16.375" style="48" customWidth="1"/>
    <col min="12805" max="12805" width="31.5" style="48" bestFit="1" customWidth="1"/>
    <col min="12806" max="12807" width="13.5" style="48" customWidth="1"/>
    <col min="12808" max="12808" width="20" style="48" bestFit="1" customWidth="1"/>
    <col min="12809" max="12809" width="12.5" style="48" customWidth="1"/>
    <col min="12810" max="12810" width="7" style="48" customWidth="1"/>
    <col min="12811" max="12811" width="14.625" style="48" customWidth="1"/>
    <col min="12812" max="12812" width="12.5" style="48" customWidth="1"/>
    <col min="12813" max="12813" width="16" style="48" customWidth="1"/>
    <col min="12814" max="12814" width="18" style="48" customWidth="1"/>
    <col min="12815" max="12815" width="9" style="48" customWidth="1"/>
    <col min="12816" max="13056" width="9.125" style="48"/>
    <col min="13057" max="13057" width="26.5" style="48" customWidth="1"/>
    <col min="13058" max="13058" width="15" style="48" customWidth="1"/>
    <col min="13059" max="13060" width="16.375" style="48" customWidth="1"/>
    <col min="13061" max="13061" width="31.5" style="48" bestFit="1" customWidth="1"/>
    <col min="13062" max="13063" width="13.5" style="48" customWidth="1"/>
    <col min="13064" max="13064" width="20" style="48" bestFit="1" customWidth="1"/>
    <col min="13065" max="13065" width="12.5" style="48" customWidth="1"/>
    <col min="13066" max="13066" width="7" style="48" customWidth="1"/>
    <col min="13067" max="13067" width="14.625" style="48" customWidth="1"/>
    <col min="13068" max="13068" width="12.5" style="48" customWidth="1"/>
    <col min="13069" max="13069" width="16" style="48" customWidth="1"/>
    <col min="13070" max="13070" width="18" style="48" customWidth="1"/>
    <col min="13071" max="13071" width="9" style="48" customWidth="1"/>
    <col min="13072" max="13312" width="9.125" style="48"/>
    <col min="13313" max="13313" width="26.5" style="48" customWidth="1"/>
    <col min="13314" max="13314" width="15" style="48" customWidth="1"/>
    <col min="13315" max="13316" width="16.375" style="48" customWidth="1"/>
    <col min="13317" max="13317" width="31.5" style="48" bestFit="1" customWidth="1"/>
    <col min="13318" max="13319" width="13.5" style="48" customWidth="1"/>
    <col min="13320" max="13320" width="20" style="48" bestFit="1" customWidth="1"/>
    <col min="13321" max="13321" width="12.5" style="48" customWidth="1"/>
    <col min="13322" max="13322" width="7" style="48" customWidth="1"/>
    <col min="13323" max="13323" width="14.625" style="48" customWidth="1"/>
    <col min="13324" max="13324" width="12.5" style="48" customWidth="1"/>
    <col min="13325" max="13325" width="16" style="48" customWidth="1"/>
    <col min="13326" max="13326" width="18" style="48" customWidth="1"/>
    <col min="13327" max="13327" width="9" style="48" customWidth="1"/>
    <col min="13328" max="13568" width="9.125" style="48"/>
    <col min="13569" max="13569" width="26.5" style="48" customWidth="1"/>
    <col min="13570" max="13570" width="15" style="48" customWidth="1"/>
    <col min="13571" max="13572" width="16.375" style="48" customWidth="1"/>
    <col min="13573" max="13573" width="31.5" style="48" bestFit="1" customWidth="1"/>
    <col min="13574" max="13575" width="13.5" style="48" customWidth="1"/>
    <col min="13576" max="13576" width="20" style="48" bestFit="1" customWidth="1"/>
    <col min="13577" max="13577" width="12.5" style="48" customWidth="1"/>
    <col min="13578" max="13578" width="7" style="48" customWidth="1"/>
    <col min="13579" max="13579" width="14.625" style="48" customWidth="1"/>
    <col min="13580" max="13580" width="12.5" style="48" customWidth="1"/>
    <col min="13581" max="13581" width="16" style="48" customWidth="1"/>
    <col min="13582" max="13582" width="18" style="48" customWidth="1"/>
    <col min="13583" max="13583" width="9" style="48" customWidth="1"/>
    <col min="13584" max="13824" width="9.125" style="48"/>
    <col min="13825" max="13825" width="26.5" style="48" customWidth="1"/>
    <col min="13826" max="13826" width="15" style="48" customWidth="1"/>
    <col min="13827" max="13828" width="16.375" style="48" customWidth="1"/>
    <col min="13829" max="13829" width="31.5" style="48" bestFit="1" customWidth="1"/>
    <col min="13830" max="13831" width="13.5" style="48" customWidth="1"/>
    <col min="13832" max="13832" width="20" style="48" bestFit="1" customWidth="1"/>
    <col min="13833" max="13833" width="12.5" style="48" customWidth="1"/>
    <col min="13834" max="13834" width="7" style="48" customWidth="1"/>
    <col min="13835" max="13835" width="14.625" style="48" customWidth="1"/>
    <col min="13836" max="13836" width="12.5" style="48" customWidth="1"/>
    <col min="13837" max="13837" width="16" style="48" customWidth="1"/>
    <col min="13838" max="13838" width="18" style="48" customWidth="1"/>
    <col min="13839" max="13839" width="9" style="48" customWidth="1"/>
    <col min="13840" max="14080" width="9.125" style="48"/>
    <col min="14081" max="14081" width="26.5" style="48" customWidth="1"/>
    <col min="14082" max="14082" width="15" style="48" customWidth="1"/>
    <col min="14083" max="14084" width="16.375" style="48" customWidth="1"/>
    <col min="14085" max="14085" width="31.5" style="48" bestFit="1" customWidth="1"/>
    <col min="14086" max="14087" width="13.5" style="48" customWidth="1"/>
    <col min="14088" max="14088" width="20" style="48" bestFit="1" customWidth="1"/>
    <col min="14089" max="14089" width="12.5" style="48" customWidth="1"/>
    <col min="14090" max="14090" width="7" style="48" customWidth="1"/>
    <col min="14091" max="14091" width="14.625" style="48" customWidth="1"/>
    <col min="14092" max="14092" width="12.5" style="48" customWidth="1"/>
    <col min="14093" max="14093" width="16" style="48" customWidth="1"/>
    <col min="14094" max="14094" width="18" style="48" customWidth="1"/>
    <col min="14095" max="14095" width="9" style="48" customWidth="1"/>
    <col min="14096" max="14336" width="9.125" style="48"/>
    <col min="14337" max="14337" width="26.5" style="48" customWidth="1"/>
    <col min="14338" max="14338" width="15" style="48" customWidth="1"/>
    <col min="14339" max="14340" width="16.375" style="48" customWidth="1"/>
    <col min="14341" max="14341" width="31.5" style="48" bestFit="1" customWidth="1"/>
    <col min="14342" max="14343" width="13.5" style="48" customWidth="1"/>
    <col min="14344" max="14344" width="20" style="48" bestFit="1" customWidth="1"/>
    <col min="14345" max="14345" width="12.5" style="48" customWidth="1"/>
    <col min="14346" max="14346" width="7" style="48" customWidth="1"/>
    <col min="14347" max="14347" width="14.625" style="48" customWidth="1"/>
    <col min="14348" max="14348" width="12.5" style="48" customWidth="1"/>
    <col min="14349" max="14349" width="16" style="48" customWidth="1"/>
    <col min="14350" max="14350" width="18" style="48" customWidth="1"/>
    <col min="14351" max="14351" width="9" style="48" customWidth="1"/>
    <col min="14352" max="14592" width="9.125" style="48"/>
    <col min="14593" max="14593" width="26.5" style="48" customWidth="1"/>
    <col min="14594" max="14594" width="15" style="48" customWidth="1"/>
    <col min="14595" max="14596" width="16.375" style="48" customWidth="1"/>
    <col min="14597" max="14597" width="31.5" style="48" bestFit="1" customWidth="1"/>
    <col min="14598" max="14599" width="13.5" style="48" customWidth="1"/>
    <col min="14600" max="14600" width="20" style="48" bestFit="1" customWidth="1"/>
    <col min="14601" max="14601" width="12.5" style="48" customWidth="1"/>
    <col min="14602" max="14602" width="7" style="48" customWidth="1"/>
    <col min="14603" max="14603" width="14.625" style="48" customWidth="1"/>
    <col min="14604" max="14604" width="12.5" style="48" customWidth="1"/>
    <col min="14605" max="14605" width="16" style="48" customWidth="1"/>
    <col min="14606" max="14606" width="18" style="48" customWidth="1"/>
    <col min="14607" max="14607" width="9" style="48" customWidth="1"/>
    <col min="14608" max="14848" width="9.125" style="48"/>
    <col min="14849" max="14849" width="26.5" style="48" customWidth="1"/>
    <col min="14850" max="14850" width="15" style="48" customWidth="1"/>
    <col min="14851" max="14852" width="16.375" style="48" customWidth="1"/>
    <col min="14853" max="14853" width="31.5" style="48" bestFit="1" customWidth="1"/>
    <col min="14854" max="14855" width="13.5" style="48" customWidth="1"/>
    <col min="14856" max="14856" width="20" style="48" bestFit="1" customWidth="1"/>
    <col min="14857" max="14857" width="12.5" style="48" customWidth="1"/>
    <col min="14858" max="14858" width="7" style="48" customWidth="1"/>
    <col min="14859" max="14859" width="14.625" style="48" customWidth="1"/>
    <col min="14860" max="14860" width="12.5" style="48" customWidth="1"/>
    <col min="14861" max="14861" width="16" style="48" customWidth="1"/>
    <col min="14862" max="14862" width="18" style="48" customWidth="1"/>
    <col min="14863" max="14863" width="9" style="48" customWidth="1"/>
    <col min="14864" max="15104" width="9.125" style="48"/>
    <col min="15105" max="15105" width="26.5" style="48" customWidth="1"/>
    <col min="15106" max="15106" width="15" style="48" customWidth="1"/>
    <col min="15107" max="15108" width="16.375" style="48" customWidth="1"/>
    <col min="15109" max="15109" width="31.5" style="48" bestFit="1" customWidth="1"/>
    <col min="15110" max="15111" width="13.5" style="48" customWidth="1"/>
    <col min="15112" max="15112" width="20" style="48" bestFit="1" customWidth="1"/>
    <col min="15113" max="15113" width="12.5" style="48" customWidth="1"/>
    <col min="15114" max="15114" width="7" style="48" customWidth="1"/>
    <col min="15115" max="15115" width="14.625" style="48" customWidth="1"/>
    <col min="15116" max="15116" width="12.5" style="48" customWidth="1"/>
    <col min="15117" max="15117" width="16" style="48" customWidth="1"/>
    <col min="15118" max="15118" width="18" style="48" customWidth="1"/>
    <col min="15119" max="15119" width="9" style="48" customWidth="1"/>
    <col min="15120" max="15360" width="9.125" style="48"/>
    <col min="15361" max="15361" width="26.5" style="48" customWidth="1"/>
    <col min="15362" max="15362" width="15" style="48" customWidth="1"/>
    <col min="15363" max="15364" width="16.375" style="48" customWidth="1"/>
    <col min="15365" max="15365" width="31.5" style="48" bestFit="1" customWidth="1"/>
    <col min="15366" max="15367" width="13.5" style="48" customWidth="1"/>
    <col min="15368" max="15368" width="20" style="48" bestFit="1" customWidth="1"/>
    <col min="15369" max="15369" width="12.5" style="48" customWidth="1"/>
    <col min="15370" max="15370" width="7" style="48" customWidth="1"/>
    <col min="15371" max="15371" width="14.625" style="48" customWidth="1"/>
    <col min="15372" max="15372" width="12.5" style="48" customWidth="1"/>
    <col min="15373" max="15373" width="16" style="48" customWidth="1"/>
    <col min="15374" max="15374" width="18" style="48" customWidth="1"/>
    <col min="15375" max="15375" width="9" style="48" customWidth="1"/>
    <col min="15376" max="15616" width="9.125" style="48"/>
    <col min="15617" max="15617" width="26.5" style="48" customWidth="1"/>
    <col min="15618" max="15618" width="15" style="48" customWidth="1"/>
    <col min="15619" max="15620" width="16.375" style="48" customWidth="1"/>
    <col min="15621" max="15621" width="31.5" style="48" bestFit="1" customWidth="1"/>
    <col min="15622" max="15623" width="13.5" style="48" customWidth="1"/>
    <col min="15624" max="15624" width="20" style="48" bestFit="1" customWidth="1"/>
    <col min="15625" max="15625" width="12.5" style="48" customWidth="1"/>
    <col min="15626" max="15626" width="7" style="48" customWidth="1"/>
    <col min="15627" max="15627" width="14.625" style="48" customWidth="1"/>
    <col min="15628" max="15628" width="12.5" style="48" customWidth="1"/>
    <col min="15629" max="15629" width="16" style="48" customWidth="1"/>
    <col min="15630" max="15630" width="18" style="48" customWidth="1"/>
    <col min="15631" max="15631" width="9" style="48" customWidth="1"/>
    <col min="15632" max="15872" width="9.125" style="48"/>
    <col min="15873" max="15873" width="26.5" style="48" customWidth="1"/>
    <col min="15874" max="15874" width="15" style="48" customWidth="1"/>
    <col min="15875" max="15876" width="16.375" style="48" customWidth="1"/>
    <col min="15877" max="15877" width="31.5" style="48" bestFit="1" customWidth="1"/>
    <col min="15878" max="15879" width="13.5" style="48" customWidth="1"/>
    <col min="15880" max="15880" width="20" style="48" bestFit="1" customWidth="1"/>
    <col min="15881" max="15881" width="12.5" style="48" customWidth="1"/>
    <col min="15882" max="15882" width="7" style="48" customWidth="1"/>
    <col min="15883" max="15883" width="14.625" style="48" customWidth="1"/>
    <col min="15884" max="15884" width="12.5" style="48" customWidth="1"/>
    <col min="15885" max="15885" width="16" style="48" customWidth="1"/>
    <col min="15886" max="15886" width="18" style="48" customWidth="1"/>
    <col min="15887" max="15887" width="9" style="48" customWidth="1"/>
    <col min="15888" max="16128" width="9.125" style="48"/>
    <col min="16129" max="16129" width="26.5" style="48" customWidth="1"/>
    <col min="16130" max="16130" width="15" style="48" customWidth="1"/>
    <col min="16131" max="16132" width="16.375" style="48" customWidth="1"/>
    <col min="16133" max="16133" width="31.5" style="48" bestFit="1" customWidth="1"/>
    <col min="16134" max="16135" width="13.5" style="48" customWidth="1"/>
    <col min="16136" max="16136" width="20" style="48" bestFit="1" customWidth="1"/>
    <col min="16137" max="16137" width="12.5" style="48" customWidth="1"/>
    <col min="16138" max="16138" width="7" style="48" customWidth="1"/>
    <col min="16139" max="16139" width="14.625" style="48" customWidth="1"/>
    <col min="16140" max="16140" width="12.5" style="48" customWidth="1"/>
    <col min="16141" max="16141" width="16" style="48" customWidth="1"/>
    <col min="16142" max="16142" width="18" style="48" customWidth="1"/>
    <col min="16143" max="16143" width="9" style="48" customWidth="1"/>
    <col min="16144" max="16384" width="9.125" style="48"/>
  </cols>
  <sheetData>
    <row r="1" spans="1:14" ht="16.5" customHeight="1">
      <c r="A1" s="126" t="s">
        <v>195</v>
      </c>
      <c r="B1" s="126" t="s">
        <v>196</v>
      </c>
      <c r="C1" s="126" t="s">
        <v>197</v>
      </c>
      <c r="D1" s="127" t="s">
        <v>198</v>
      </c>
      <c r="E1" s="126" t="s">
        <v>199</v>
      </c>
      <c r="F1" s="126" t="s">
        <v>191</v>
      </c>
      <c r="G1" s="126" t="s">
        <v>200</v>
      </c>
      <c r="H1" s="126" t="s">
        <v>201</v>
      </c>
      <c r="I1" s="126" t="s">
        <v>202</v>
      </c>
      <c r="J1" s="126" t="s">
        <v>203</v>
      </c>
      <c r="K1" s="126" t="s">
        <v>204</v>
      </c>
      <c r="L1" s="127" t="s">
        <v>205</v>
      </c>
      <c r="M1" s="127" t="s">
        <v>206</v>
      </c>
      <c r="N1" s="126" t="s">
        <v>207</v>
      </c>
    </row>
    <row r="2" spans="1:14" ht="15.75" customHeight="1">
      <c r="A2" s="126"/>
      <c r="B2" s="126"/>
      <c r="C2" s="126"/>
      <c r="D2" s="128"/>
      <c r="E2" s="126"/>
      <c r="F2" s="126"/>
      <c r="G2" s="126"/>
      <c r="H2" s="126"/>
      <c r="I2" s="126"/>
      <c r="J2" s="126"/>
      <c r="K2" s="126"/>
      <c r="L2" s="128"/>
      <c r="M2" s="128"/>
      <c r="N2" s="126"/>
    </row>
    <row r="3" spans="1:14" ht="16.5" customHeight="1">
      <c r="A3" s="49" t="s">
        <v>208</v>
      </c>
      <c r="B3" s="49" t="s">
        <v>209</v>
      </c>
      <c r="C3" s="49" t="s">
        <v>210</v>
      </c>
      <c r="D3" s="49" t="s">
        <v>211</v>
      </c>
      <c r="E3" s="49" t="s">
        <v>212</v>
      </c>
      <c r="F3" s="49">
        <v>74418</v>
      </c>
      <c r="G3" s="49" t="s">
        <v>213</v>
      </c>
      <c r="H3" s="49" t="s">
        <v>214</v>
      </c>
      <c r="I3" s="50" t="s">
        <v>215</v>
      </c>
      <c r="J3" s="50" t="s">
        <v>216</v>
      </c>
      <c r="K3" s="50" t="s">
        <v>217</v>
      </c>
      <c r="L3" s="51">
        <v>74</v>
      </c>
      <c r="M3" s="52">
        <v>19.5</v>
      </c>
      <c r="N3" s="52">
        <v>20</v>
      </c>
    </row>
    <row r="4" spans="1:14" ht="16.5" customHeight="1">
      <c r="A4" s="49" t="s">
        <v>208</v>
      </c>
      <c r="B4" s="49" t="s">
        <v>209</v>
      </c>
      <c r="C4" s="49" t="s">
        <v>210</v>
      </c>
      <c r="D4" s="49" t="s">
        <v>211</v>
      </c>
      <c r="E4" s="49" t="s">
        <v>212</v>
      </c>
      <c r="F4" s="49">
        <v>74418</v>
      </c>
      <c r="G4" s="49" t="s">
        <v>213</v>
      </c>
      <c r="H4" s="49" t="s">
        <v>214</v>
      </c>
      <c r="I4" s="50" t="s">
        <v>215</v>
      </c>
      <c r="J4" s="50" t="s">
        <v>218</v>
      </c>
      <c r="K4" s="50" t="s">
        <v>219</v>
      </c>
      <c r="L4" s="51">
        <v>76</v>
      </c>
      <c r="M4" s="52">
        <v>20.100000000000001</v>
      </c>
      <c r="N4" s="52">
        <v>20.6</v>
      </c>
    </row>
    <row r="5" spans="1:14" ht="16.5" customHeight="1">
      <c r="A5" s="49" t="s">
        <v>208</v>
      </c>
      <c r="B5" s="49" t="s">
        <v>209</v>
      </c>
      <c r="C5" s="49" t="s">
        <v>210</v>
      </c>
      <c r="D5" s="49" t="s">
        <v>211</v>
      </c>
      <c r="E5" s="49" t="s">
        <v>212</v>
      </c>
      <c r="F5" s="49">
        <v>74418</v>
      </c>
      <c r="G5" s="49" t="s">
        <v>213</v>
      </c>
      <c r="H5" s="49" t="s">
        <v>214</v>
      </c>
      <c r="I5" s="50" t="s">
        <v>220</v>
      </c>
      <c r="J5" s="50" t="s">
        <v>221</v>
      </c>
      <c r="K5" s="50" t="s">
        <v>217</v>
      </c>
      <c r="L5" s="51">
        <v>83</v>
      </c>
      <c r="M5" s="52">
        <v>21.5</v>
      </c>
      <c r="N5" s="52">
        <v>22</v>
      </c>
    </row>
    <row r="6" spans="1:14" ht="16.5" customHeight="1">
      <c r="A6" s="49" t="s">
        <v>208</v>
      </c>
      <c r="B6" s="49" t="s">
        <v>209</v>
      </c>
      <c r="C6" s="49" t="s">
        <v>210</v>
      </c>
      <c r="D6" s="49" t="s">
        <v>211</v>
      </c>
      <c r="E6" s="49" t="s">
        <v>212</v>
      </c>
      <c r="F6" s="49">
        <v>74418</v>
      </c>
      <c r="G6" s="49" t="s">
        <v>213</v>
      </c>
      <c r="H6" s="49" t="s">
        <v>214</v>
      </c>
      <c r="I6" s="50" t="s">
        <v>220</v>
      </c>
      <c r="J6" s="50" t="s">
        <v>222</v>
      </c>
      <c r="K6" s="50" t="s">
        <v>219</v>
      </c>
      <c r="L6" s="51">
        <v>81</v>
      </c>
      <c r="M6" s="52">
        <v>21.1</v>
      </c>
      <c r="N6" s="52">
        <v>21.6</v>
      </c>
    </row>
    <row r="7" spans="1:14" ht="16.5" customHeight="1">
      <c r="A7" s="49" t="s">
        <v>208</v>
      </c>
      <c r="B7" s="49" t="s">
        <v>209</v>
      </c>
      <c r="C7" s="49" t="s">
        <v>210</v>
      </c>
      <c r="D7" s="49" t="s">
        <v>211</v>
      </c>
      <c r="E7" s="49" t="s">
        <v>212</v>
      </c>
      <c r="F7" s="49">
        <v>74418</v>
      </c>
      <c r="G7" s="49" t="s">
        <v>213</v>
      </c>
      <c r="H7" s="49" t="s">
        <v>214</v>
      </c>
      <c r="I7" s="50" t="s">
        <v>220</v>
      </c>
      <c r="J7" s="50" t="s">
        <v>223</v>
      </c>
      <c r="K7" s="50" t="s">
        <v>224</v>
      </c>
      <c r="L7" s="51">
        <v>83</v>
      </c>
      <c r="M7" s="52">
        <v>21.4</v>
      </c>
      <c r="N7" s="52">
        <v>21.9</v>
      </c>
    </row>
    <row r="8" spans="1:14" ht="16.5" customHeight="1">
      <c r="A8" s="49" t="s">
        <v>208</v>
      </c>
      <c r="B8" s="49" t="s">
        <v>209</v>
      </c>
      <c r="C8" s="49" t="s">
        <v>210</v>
      </c>
      <c r="D8" s="49" t="s">
        <v>211</v>
      </c>
      <c r="E8" s="49" t="s">
        <v>212</v>
      </c>
      <c r="F8" s="49">
        <v>74418</v>
      </c>
      <c r="G8" s="49" t="s">
        <v>213</v>
      </c>
      <c r="H8" s="49" t="s">
        <v>214</v>
      </c>
      <c r="I8" s="50" t="s">
        <v>220</v>
      </c>
      <c r="J8" s="50" t="s">
        <v>225</v>
      </c>
      <c r="K8" s="50" t="s">
        <v>226</v>
      </c>
      <c r="L8" s="51">
        <v>75</v>
      </c>
      <c r="M8" s="52">
        <v>19.5</v>
      </c>
      <c r="N8" s="52">
        <v>20</v>
      </c>
    </row>
    <row r="9" spans="1:14" ht="16.5" customHeight="1">
      <c r="A9" s="49" t="s">
        <v>208</v>
      </c>
      <c r="B9" s="49" t="s">
        <v>209</v>
      </c>
      <c r="C9" s="49" t="s">
        <v>210</v>
      </c>
      <c r="D9" s="49" t="s">
        <v>211</v>
      </c>
      <c r="E9" s="49" t="s">
        <v>212</v>
      </c>
      <c r="F9" s="49">
        <v>74418</v>
      </c>
      <c r="G9" s="49" t="s">
        <v>213</v>
      </c>
      <c r="H9" s="49" t="s">
        <v>214</v>
      </c>
      <c r="I9" s="50" t="s">
        <v>220</v>
      </c>
      <c r="J9" s="50" t="s">
        <v>62</v>
      </c>
      <c r="K9" s="50" t="s">
        <v>227</v>
      </c>
      <c r="L9" s="51">
        <v>81</v>
      </c>
      <c r="M9" s="52">
        <v>20.9</v>
      </c>
      <c r="N9" s="52">
        <v>21.4</v>
      </c>
    </row>
    <row r="10" spans="1:14" ht="16.5" customHeight="1">
      <c r="A10" s="49" t="s">
        <v>208</v>
      </c>
      <c r="B10" s="49" t="s">
        <v>209</v>
      </c>
      <c r="C10" s="49" t="s">
        <v>210</v>
      </c>
      <c r="D10" s="49" t="s">
        <v>211</v>
      </c>
      <c r="E10" s="49" t="s">
        <v>212</v>
      </c>
      <c r="F10" s="49">
        <v>74418</v>
      </c>
      <c r="G10" s="49" t="s">
        <v>228</v>
      </c>
      <c r="H10" s="49" t="s">
        <v>229</v>
      </c>
      <c r="I10" s="50" t="s">
        <v>230</v>
      </c>
      <c r="J10" s="50" t="s">
        <v>231</v>
      </c>
      <c r="K10" s="50" t="s">
        <v>232</v>
      </c>
      <c r="L10" s="51">
        <v>84</v>
      </c>
      <c r="M10" s="52">
        <v>21.8</v>
      </c>
      <c r="N10" s="52">
        <v>22.3</v>
      </c>
    </row>
    <row r="11" spans="1:14" ht="16.5" customHeight="1">
      <c r="A11" s="49" t="s">
        <v>208</v>
      </c>
      <c r="B11" s="49" t="s">
        <v>209</v>
      </c>
      <c r="C11" s="49" t="s">
        <v>210</v>
      </c>
      <c r="D11" s="49" t="s">
        <v>211</v>
      </c>
      <c r="E11" s="49" t="s">
        <v>212</v>
      </c>
      <c r="F11" s="49">
        <v>74418</v>
      </c>
      <c r="G11" s="49" t="s">
        <v>228</v>
      </c>
      <c r="H11" s="49" t="s">
        <v>229</v>
      </c>
      <c r="I11" s="50" t="s">
        <v>230</v>
      </c>
      <c r="J11" s="50" t="s">
        <v>233</v>
      </c>
      <c r="K11" s="50" t="s">
        <v>234</v>
      </c>
      <c r="L11" s="51">
        <v>84</v>
      </c>
      <c r="M11" s="52">
        <v>21.6</v>
      </c>
      <c r="N11" s="52">
        <v>22.1</v>
      </c>
    </row>
    <row r="12" spans="1:14" ht="16.5" customHeight="1">
      <c r="A12" s="49" t="s">
        <v>208</v>
      </c>
      <c r="B12" s="49" t="s">
        <v>209</v>
      </c>
      <c r="C12" s="49" t="s">
        <v>210</v>
      </c>
      <c r="D12" s="49" t="s">
        <v>211</v>
      </c>
      <c r="E12" s="49" t="s">
        <v>212</v>
      </c>
      <c r="F12" s="49">
        <v>74418</v>
      </c>
      <c r="G12" s="49" t="s">
        <v>228</v>
      </c>
      <c r="H12" s="49" t="s">
        <v>229</v>
      </c>
      <c r="I12" s="50" t="s">
        <v>230</v>
      </c>
      <c r="J12" s="50" t="s">
        <v>235</v>
      </c>
      <c r="K12" s="50" t="s">
        <v>236</v>
      </c>
      <c r="L12" s="51">
        <v>83</v>
      </c>
      <c r="M12" s="52">
        <v>21.6</v>
      </c>
      <c r="N12" s="52">
        <v>22.1</v>
      </c>
    </row>
    <row r="13" spans="1:14" ht="16.5" customHeight="1">
      <c r="A13" s="49" t="s">
        <v>208</v>
      </c>
      <c r="B13" s="49" t="s">
        <v>209</v>
      </c>
      <c r="C13" s="49" t="s">
        <v>210</v>
      </c>
      <c r="D13" s="49" t="s">
        <v>211</v>
      </c>
      <c r="E13" s="49" t="s">
        <v>212</v>
      </c>
      <c r="F13" s="49">
        <v>74418</v>
      </c>
      <c r="G13" s="49" t="s">
        <v>228</v>
      </c>
      <c r="H13" s="49" t="s">
        <v>229</v>
      </c>
      <c r="I13" s="50" t="s">
        <v>230</v>
      </c>
      <c r="J13" s="50" t="s">
        <v>237</v>
      </c>
      <c r="K13" s="50" t="s">
        <v>238</v>
      </c>
      <c r="L13" s="51">
        <v>83</v>
      </c>
      <c r="M13" s="52">
        <v>21.7</v>
      </c>
      <c r="N13" s="52">
        <v>22.2</v>
      </c>
    </row>
    <row r="14" spans="1:14" ht="16.5" customHeight="1">
      <c r="A14" s="49" t="s">
        <v>208</v>
      </c>
      <c r="B14" s="49" t="s">
        <v>209</v>
      </c>
      <c r="C14" s="49" t="s">
        <v>210</v>
      </c>
      <c r="D14" s="49" t="s">
        <v>211</v>
      </c>
      <c r="E14" s="49" t="s">
        <v>212</v>
      </c>
      <c r="F14" s="49">
        <v>74418</v>
      </c>
      <c r="G14" s="49" t="s">
        <v>228</v>
      </c>
      <c r="H14" s="49" t="s">
        <v>229</v>
      </c>
      <c r="I14" s="50" t="s">
        <v>230</v>
      </c>
      <c r="J14" s="50" t="s">
        <v>239</v>
      </c>
      <c r="K14" s="50" t="s">
        <v>240</v>
      </c>
      <c r="L14" s="51">
        <v>81</v>
      </c>
      <c r="M14" s="52">
        <v>21</v>
      </c>
      <c r="N14" s="52">
        <v>21.5</v>
      </c>
    </row>
    <row r="15" spans="1:14" ht="16.5" customHeight="1">
      <c r="A15" s="49" t="s">
        <v>208</v>
      </c>
      <c r="B15" s="49" t="s">
        <v>209</v>
      </c>
      <c r="C15" s="49" t="s">
        <v>210</v>
      </c>
      <c r="D15" s="49" t="s">
        <v>211</v>
      </c>
      <c r="E15" s="49" t="s">
        <v>212</v>
      </c>
      <c r="F15" s="49">
        <v>74418</v>
      </c>
      <c r="G15" s="49" t="s">
        <v>228</v>
      </c>
      <c r="H15" s="49" t="s">
        <v>229</v>
      </c>
      <c r="I15" s="50" t="s">
        <v>230</v>
      </c>
      <c r="J15" s="50" t="s">
        <v>241</v>
      </c>
      <c r="K15" s="50" t="s">
        <v>242</v>
      </c>
      <c r="L15" s="51">
        <v>83</v>
      </c>
      <c r="M15" s="52">
        <v>21.5</v>
      </c>
      <c r="N15" s="52">
        <v>22</v>
      </c>
    </row>
    <row r="16" spans="1:14" ht="16.5" customHeight="1">
      <c r="A16" s="49" t="s">
        <v>208</v>
      </c>
      <c r="B16" s="49" t="s">
        <v>209</v>
      </c>
      <c r="C16" s="49" t="s">
        <v>210</v>
      </c>
      <c r="D16" s="49" t="s">
        <v>211</v>
      </c>
      <c r="E16" s="49" t="s">
        <v>212</v>
      </c>
      <c r="F16" s="49">
        <v>74418</v>
      </c>
      <c r="G16" s="49" t="s">
        <v>228</v>
      </c>
      <c r="H16" s="49" t="s">
        <v>229</v>
      </c>
      <c r="I16" s="50" t="s">
        <v>230</v>
      </c>
      <c r="J16" s="50" t="s">
        <v>243</v>
      </c>
      <c r="K16" s="50" t="s">
        <v>244</v>
      </c>
      <c r="L16" s="51">
        <v>83</v>
      </c>
      <c r="M16" s="52">
        <v>21.7</v>
      </c>
      <c r="N16" s="52">
        <v>22.2</v>
      </c>
    </row>
    <row r="17" spans="1:14" ht="16.5" customHeight="1">
      <c r="A17" s="49" t="s">
        <v>208</v>
      </c>
      <c r="B17" s="49" t="s">
        <v>209</v>
      </c>
      <c r="C17" s="49" t="s">
        <v>210</v>
      </c>
      <c r="D17" s="49" t="s">
        <v>211</v>
      </c>
      <c r="E17" s="49" t="s">
        <v>212</v>
      </c>
      <c r="F17" s="49">
        <v>74418</v>
      </c>
      <c r="G17" s="49" t="s">
        <v>228</v>
      </c>
      <c r="H17" s="49" t="s">
        <v>229</v>
      </c>
      <c r="I17" s="50" t="s">
        <v>230</v>
      </c>
      <c r="J17" s="50" t="s">
        <v>245</v>
      </c>
      <c r="K17" s="50" t="s">
        <v>246</v>
      </c>
      <c r="L17" s="51">
        <v>84</v>
      </c>
      <c r="M17" s="52">
        <v>21.7</v>
      </c>
      <c r="N17" s="52">
        <v>22.2</v>
      </c>
    </row>
    <row r="18" spans="1:14" ht="16.5" customHeight="1">
      <c r="A18" s="49" t="s">
        <v>208</v>
      </c>
      <c r="B18" s="49" t="s">
        <v>209</v>
      </c>
      <c r="C18" s="49" t="s">
        <v>210</v>
      </c>
      <c r="D18" s="49" t="s">
        <v>211</v>
      </c>
      <c r="E18" s="49" t="s">
        <v>212</v>
      </c>
      <c r="F18" s="49">
        <v>74418</v>
      </c>
      <c r="G18" s="49" t="s">
        <v>228</v>
      </c>
      <c r="H18" s="49" t="s">
        <v>229</v>
      </c>
      <c r="I18" s="50" t="s">
        <v>230</v>
      </c>
      <c r="J18" s="50" t="s">
        <v>247</v>
      </c>
      <c r="K18" s="50" t="s">
        <v>248</v>
      </c>
      <c r="L18" s="51">
        <v>83</v>
      </c>
      <c r="M18" s="52">
        <v>21.5</v>
      </c>
      <c r="N18" s="52">
        <v>22</v>
      </c>
    </row>
    <row r="19" spans="1:14" ht="16.5" customHeight="1">
      <c r="A19" s="49" t="s">
        <v>208</v>
      </c>
      <c r="B19" s="49" t="s">
        <v>209</v>
      </c>
      <c r="C19" s="49" t="s">
        <v>210</v>
      </c>
      <c r="D19" s="49" t="s">
        <v>211</v>
      </c>
      <c r="E19" s="49" t="s">
        <v>212</v>
      </c>
      <c r="F19" s="49">
        <v>74418</v>
      </c>
      <c r="G19" s="49" t="s">
        <v>228</v>
      </c>
      <c r="H19" s="49" t="s">
        <v>229</v>
      </c>
      <c r="I19" s="50" t="s">
        <v>230</v>
      </c>
      <c r="J19" s="50" t="s">
        <v>249</v>
      </c>
      <c r="K19" s="50" t="s">
        <v>250</v>
      </c>
      <c r="L19" s="51">
        <v>83</v>
      </c>
      <c r="M19" s="52">
        <v>21.7</v>
      </c>
      <c r="N19" s="52">
        <v>22.2</v>
      </c>
    </row>
    <row r="20" spans="1:14" ht="16.5" customHeight="1">
      <c r="A20" s="49" t="s">
        <v>208</v>
      </c>
      <c r="B20" s="49" t="s">
        <v>209</v>
      </c>
      <c r="C20" s="49" t="s">
        <v>210</v>
      </c>
      <c r="D20" s="49" t="s">
        <v>211</v>
      </c>
      <c r="E20" s="49" t="s">
        <v>212</v>
      </c>
      <c r="F20" s="49">
        <v>74418</v>
      </c>
      <c r="G20" s="49" t="s">
        <v>228</v>
      </c>
      <c r="H20" s="49" t="s">
        <v>229</v>
      </c>
      <c r="I20" s="50" t="s">
        <v>230</v>
      </c>
      <c r="J20" s="50" t="s">
        <v>251</v>
      </c>
      <c r="K20" s="50" t="s">
        <v>252</v>
      </c>
      <c r="L20" s="51">
        <v>78</v>
      </c>
      <c r="M20" s="52">
        <v>20.2</v>
      </c>
      <c r="N20" s="52">
        <v>20.7</v>
      </c>
    </row>
    <row r="21" spans="1:14" ht="16.5" customHeight="1">
      <c r="A21" s="49" t="s">
        <v>208</v>
      </c>
      <c r="B21" s="49" t="s">
        <v>209</v>
      </c>
      <c r="C21" s="49" t="s">
        <v>210</v>
      </c>
      <c r="D21" s="49" t="s">
        <v>211</v>
      </c>
      <c r="E21" s="49" t="s">
        <v>212</v>
      </c>
      <c r="F21" s="49">
        <v>74418</v>
      </c>
      <c r="G21" s="49" t="s">
        <v>228</v>
      </c>
      <c r="H21" s="49" t="s">
        <v>229</v>
      </c>
      <c r="I21" s="50" t="s">
        <v>253</v>
      </c>
      <c r="J21" s="50" t="s">
        <v>254</v>
      </c>
      <c r="K21" s="50" t="s">
        <v>217</v>
      </c>
      <c r="L21" s="51">
        <v>83</v>
      </c>
      <c r="M21" s="52">
        <v>21.5</v>
      </c>
      <c r="N21" s="52">
        <v>22</v>
      </c>
    </row>
    <row r="22" spans="1:14" ht="16.5" customHeight="1">
      <c r="A22" s="49" t="s">
        <v>208</v>
      </c>
      <c r="B22" s="49" t="s">
        <v>209</v>
      </c>
      <c r="C22" s="49" t="s">
        <v>210</v>
      </c>
      <c r="D22" s="49" t="s">
        <v>211</v>
      </c>
      <c r="E22" s="49" t="s">
        <v>212</v>
      </c>
      <c r="F22" s="49">
        <v>74418</v>
      </c>
      <c r="G22" s="49" t="s">
        <v>228</v>
      </c>
      <c r="H22" s="49" t="s">
        <v>229</v>
      </c>
      <c r="I22" s="50" t="s">
        <v>253</v>
      </c>
      <c r="J22" s="50" t="s">
        <v>255</v>
      </c>
      <c r="K22" s="50" t="s">
        <v>219</v>
      </c>
      <c r="L22" s="51">
        <v>83</v>
      </c>
      <c r="M22" s="52">
        <v>21.5</v>
      </c>
      <c r="N22" s="52">
        <v>22</v>
      </c>
    </row>
    <row r="23" spans="1:14" ht="16.5" customHeight="1">
      <c r="A23" s="49" t="s">
        <v>208</v>
      </c>
      <c r="B23" s="49" t="s">
        <v>209</v>
      </c>
      <c r="C23" s="49" t="s">
        <v>210</v>
      </c>
      <c r="D23" s="49" t="s">
        <v>211</v>
      </c>
      <c r="E23" s="49" t="s">
        <v>212</v>
      </c>
      <c r="F23" s="49">
        <v>74418</v>
      </c>
      <c r="G23" s="49" t="s">
        <v>228</v>
      </c>
      <c r="H23" s="49" t="s">
        <v>229</v>
      </c>
      <c r="I23" s="50" t="s">
        <v>253</v>
      </c>
      <c r="J23" s="50" t="s">
        <v>256</v>
      </c>
      <c r="K23" s="50" t="s">
        <v>224</v>
      </c>
      <c r="L23" s="51">
        <v>83</v>
      </c>
      <c r="M23" s="52">
        <v>21.6</v>
      </c>
      <c r="N23" s="52">
        <v>22.1</v>
      </c>
    </row>
    <row r="24" spans="1:14" ht="16.5" customHeight="1">
      <c r="A24" s="49" t="s">
        <v>208</v>
      </c>
      <c r="B24" s="49" t="s">
        <v>209</v>
      </c>
      <c r="C24" s="49" t="s">
        <v>210</v>
      </c>
      <c r="D24" s="49" t="s">
        <v>211</v>
      </c>
      <c r="E24" s="49" t="s">
        <v>212</v>
      </c>
      <c r="F24" s="49">
        <v>74418</v>
      </c>
      <c r="G24" s="49" t="s">
        <v>228</v>
      </c>
      <c r="H24" s="49" t="s">
        <v>229</v>
      </c>
      <c r="I24" s="50" t="s">
        <v>253</v>
      </c>
      <c r="J24" s="50" t="s">
        <v>257</v>
      </c>
      <c r="K24" s="50" t="s">
        <v>226</v>
      </c>
      <c r="L24" s="51">
        <v>83</v>
      </c>
      <c r="M24" s="52">
        <v>21.6</v>
      </c>
      <c r="N24" s="52">
        <v>22.1</v>
      </c>
    </row>
    <row r="25" spans="1:14" ht="16.5" customHeight="1">
      <c r="A25" s="49" t="s">
        <v>208</v>
      </c>
      <c r="B25" s="49" t="s">
        <v>209</v>
      </c>
      <c r="C25" s="49" t="s">
        <v>210</v>
      </c>
      <c r="D25" s="49" t="s">
        <v>211</v>
      </c>
      <c r="E25" s="49" t="s">
        <v>212</v>
      </c>
      <c r="F25" s="49">
        <v>74418</v>
      </c>
      <c r="G25" s="49" t="s">
        <v>228</v>
      </c>
      <c r="H25" s="49" t="s">
        <v>229</v>
      </c>
      <c r="I25" s="50" t="s">
        <v>253</v>
      </c>
      <c r="J25" s="50" t="s">
        <v>258</v>
      </c>
      <c r="K25" s="50" t="s">
        <v>227</v>
      </c>
      <c r="L25" s="51">
        <v>83</v>
      </c>
      <c r="M25" s="52">
        <v>21.6</v>
      </c>
      <c r="N25" s="52">
        <v>22.1</v>
      </c>
    </row>
    <row r="26" spans="1:14" ht="16.5" customHeight="1">
      <c r="A26" s="49" t="s">
        <v>208</v>
      </c>
      <c r="B26" s="49" t="s">
        <v>209</v>
      </c>
      <c r="C26" s="49" t="s">
        <v>210</v>
      </c>
      <c r="D26" s="49" t="s">
        <v>211</v>
      </c>
      <c r="E26" s="49" t="s">
        <v>212</v>
      </c>
      <c r="F26" s="49">
        <v>74418</v>
      </c>
      <c r="G26" s="49" t="s">
        <v>228</v>
      </c>
      <c r="H26" s="49" t="s">
        <v>229</v>
      </c>
      <c r="I26" s="50" t="s">
        <v>253</v>
      </c>
      <c r="J26" s="50" t="s">
        <v>259</v>
      </c>
      <c r="K26" s="50" t="s">
        <v>260</v>
      </c>
      <c r="L26" s="51">
        <v>83</v>
      </c>
      <c r="M26" s="52">
        <v>21.5</v>
      </c>
      <c r="N26" s="52">
        <v>22</v>
      </c>
    </row>
    <row r="27" spans="1:14" ht="16.5" customHeight="1">
      <c r="A27" s="49" t="s">
        <v>208</v>
      </c>
      <c r="B27" s="49" t="s">
        <v>209</v>
      </c>
      <c r="C27" s="49" t="s">
        <v>210</v>
      </c>
      <c r="D27" s="49" t="s">
        <v>211</v>
      </c>
      <c r="E27" s="49" t="s">
        <v>212</v>
      </c>
      <c r="F27" s="49">
        <v>74418</v>
      </c>
      <c r="G27" s="49" t="s">
        <v>228</v>
      </c>
      <c r="H27" s="49" t="s">
        <v>229</v>
      </c>
      <c r="I27" s="50" t="s">
        <v>253</v>
      </c>
      <c r="J27" s="50" t="s">
        <v>261</v>
      </c>
      <c r="K27" s="50" t="s">
        <v>262</v>
      </c>
      <c r="L27" s="51">
        <v>83</v>
      </c>
      <c r="M27" s="52">
        <v>21.5</v>
      </c>
      <c r="N27" s="52">
        <v>22</v>
      </c>
    </row>
    <row r="28" spans="1:14" ht="16.5" customHeight="1">
      <c r="A28" s="49" t="s">
        <v>208</v>
      </c>
      <c r="B28" s="49" t="s">
        <v>209</v>
      </c>
      <c r="C28" s="49" t="s">
        <v>210</v>
      </c>
      <c r="D28" s="49" t="s">
        <v>211</v>
      </c>
      <c r="E28" s="49" t="s">
        <v>212</v>
      </c>
      <c r="F28" s="49">
        <v>74418</v>
      </c>
      <c r="G28" s="49" t="s">
        <v>228</v>
      </c>
      <c r="H28" s="49" t="s">
        <v>229</v>
      </c>
      <c r="I28" s="50" t="s">
        <v>253</v>
      </c>
      <c r="J28" s="50" t="s">
        <v>263</v>
      </c>
      <c r="K28" s="50" t="s">
        <v>264</v>
      </c>
      <c r="L28" s="51">
        <v>83</v>
      </c>
      <c r="M28" s="52">
        <v>21.6</v>
      </c>
      <c r="N28" s="52">
        <v>22.1</v>
      </c>
    </row>
    <row r="29" spans="1:14" ht="16.5" customHeight="1">
      <c r="A29" s="49" t="s">
        <v>208</v>
      </c>
      <c r="B29" s="49" t="s">
        <v>209</v>
      </c>
      <c r="C29" s="49" t="s">
        <v>210</v>
      </c>
      <c r="D29" s="49" t="s">
        <v>211</v>
      </c>
      <c r="E29" s="49" t="s">
        <v>212</v>
      </c>
      <c r="F29" s="49">
        <v>74418</v>
      </c>
      <c r="G29" s="49" t="s">
        <v>228</v>
      </c>
      <c r="H29" s="49" t="s">
        <v>229</v>
      </c>
      <c r="I29" s="50" t="s">
        <v>253</v>
      </c>
      <c r="J29" s="50" t="s">
        <v>265</v>
      </c>
      <c r="K29" s="50" t="s">
        <v>266</v>
      </c>
      <c r="L29" s="51">
        <v>83</v>
      </c>
      <c r="M29" s="52">
        <v>21.6</v>
      </c>
      <c r="N29" s="52">
        <v>22.1</v>
      </c>
    </row>
    <row r="30" spans="1:14" ht="16.5" customHeight="1">
      <c r="A30" s="49" t="s">
        <v>208</v>
      </c>
      <c r="B30" s="49" t="s">
        <v>209</v>
      </c>
      <c r="C30" s="49" t="s">
        <v>210</v>
      </c>
      <c r="D30" s="49" t="s">
        <v>211</v>
      </c>
      <c r="E30" s="49" t="s">
        <v>212</v>
      </c>
      <c r="F30" s="49">
        <v>74418</v>
      </c>
      <c r="G30" s="49" t="s">
        <v>228</v>
      </c>
      <c r="H30" s="49" t="s">
        <v>229</v>
      </c>
      <c r="I30" s="50" t="s">
        <v>253</v>
      </c>
      <c r="J30" s="50" t="s">
        <v>267</v>
      </c>
      <c r="K30" s="50" t="s">
        <v>268</v>
      </c>
      <c r="L30" s="51">
        <v>82</v>
      </c>
      <c r="M30" s="52">
        <v>21.3</v>
      </c>
      <c r="N30" s="52">
        <v>21.8</v>
      </c>
    </row>
    <row r="31" spans="1:14" ht="16.5" customHeight="1">
      <c r="A31" s="49" t="s">
        <v>208</v>
      </c>
      <c r="B31" s="49" t="s">
        <v>209</v>
      </c>
      <c r="C31" s="49" t="s">
        <v>210</v>
      </c>
      <c r="D31" s="49" t="s">
        <v>211</v>
      </c>
      <c r="E31" s="49" t="s">
        <v>212</v>
      </c>
      <c r="F31" s="49">
        <v>74418</v>
      </c>
      <c r="G31" s="49" t="s">
        <v>228</v>
      </c>
      <c r="H31" s="49" t="s">
        <v>229</v>
      </c>
      <c r="I31" s="50" t="s">
        <v>253</v>
      </c>
      <c r="J31" s="50" t="s">
        <v>269</v>
      </c>
      <c r="K31" s="50" t="s">
        <v>270</v>
      </c>
      <c r="L31" s="51">
        <v>83</v>
      </c>
      <c r="M31" s="52">
        <v>21.5</v>
      </c>
      <c r="N31" s="52">
        <v>22</v>
      </c>
    </row>
    <row r="32" spans="1:14" ht="16.5" customHeight="1">
      <c r="A32" s="49" t="s">
        <v>208</v>
      </c>
      <c r="B32" s="49" t="s">
        <v>209</v>
      </c>
      <c r="C32" s="49" t="s">
        <v>210</v>
      </c>
      <c r="D32" s="49" t="s">
        <v>211</v>
      </c>
      <c r="E32" s="49" t="s">
        <v>212</v>
      </c>
      <c r="F32" s="49">
        <v>74418</v>
      </c>
      <c r="G32" s="49" t="s">
        <v>228</v>
      </c>
      <c r="H32" s="49" t="s">
        <v>229</v>
      </c>
      <c r="I32" s="50" t="s">
        <v>253</v>
      </c>
      <c r="J32" s="50" t="s">
        <v>271</v>
      </c>
      <c r="K32" s="50" t="s">
        <v>272</v>
      </c>
      <c r="L32" s="51">
        <v>82</v>
      </c>
      <c r="M32" s="52">
        <v>21.4</v>
      </c>
      <c r="N32" s="52">
        <v>21.9</v>
      </c>
    </row>
    <row r="33" spans="1:14" ht="16.5" customHeight="1">
      <c r="A33" s="49" t="s">
        <v>208</v>
      </c>
      <c r="B33" s="49" t="s">
        <v>209</v>
      </c>
      <c r="C33" s="49" t="s">
        <v>210</v>
      </c>
      <c r="D33" s="49" t="s">
        <v>211</v>
      </c>
      <c r="E33" s="49" t="s">
        <v>212</v>
      </c>
      <c r="F33" s="49">
        <v>74418</v>
      </c>
      <c r="G33" s="49" t="s">
        <v>228</v>
      </c>
      <c r="H33" s="49" t="s">
        <v>229</v>
      </c>
      <c r="I33" s="50" t="s">
        <v>253</v>
      </c>
      <c r="J33" s="50" t="s">
        <v>273</v>
      </c>
      <c r="K33" s="50" t="s">
        <v>274</v>
      </c>
      <c r="L33" s="51">
        <v>83</v>
      </c>
      <c r="M33" s="52">
        <v>21.6</v>
      </c>
      <c r="N33" s="52">
        <v>22.1</v>
      </c>
    </row>
    <row r="34" spans="1:14" ht="16.5" customHeight="1">
      <c r="A34" s="49" t="s">
        <v>208</v>
      </c>
      <c r="B34" s="49" t="s">
        <v>209</v>
      </c>
      <c r="C34" s="49" t="s">
        <v>210</v>
      </c>
      <c r="D34" s="49" t="s">
        <v>211</v>
      </c>
      <c r="E34" s="49" t="s">
        <v>212</v>
      </c>
      <c r="F34" s="49">
        <v>74418</v>
      </c>
      <c r="G34" s="49" t="s">
        <v>228</v>
      </c>
      <c r="H34" s="49" t="s">
        <v>229</v>
      </c>
      <c r="I34" s="50" t="s">
        <v>253</v>
      </c>
      <c r="J34" s="50" t="s">
        <v>275</v>
      </c>
      <c r="K34" s="50" t="s">
        <v>276</v>
      </c>
      <c r="L34" s="51">
        <v>83</v>
      </c>
      <c r="M34" s="52">
        <v>21.6</v>
      </c>
      <c r="N34" s="52">
        <v>22.1</v>
      </c>
    </row>
    <row r="35" spans="1:14" ht="16.5" customHeight="1">
      <c r="A35" s="49" t="s">
        <v>208</v>
      </c>
      <c r="B35" s="49" t="s">
        <v>209</v>
      </c>
      <c r="C35" s="49" t="s">
        <v>210</v>
      </c>
      <c r="D35" s="49" t="s">
        <v>211</v>
      </c>
      <c r="E35" s="49" t="s">
        <v>212</v>
      </c>
      <c r="F35" s="49">
        <v>74418</v>
      </c>
      <c r="G35" s="49" t="s">
        <v>228</v>
      </c>
      <c r="H35" s="49" t="s">
        <v>229</v>
      </c>
      <c r="I35" s="50" t="s">
        <v>253</v>
      </c>
      <c r="J35" s="50" t="s">
        <v>277</v>
      </c>
      <c r="K35" s="50" t="s">
        <v>278</v>
      </c>
      <c r="L35" s="51">
        <v>83</v>
      </c>
      <c r="M35" s="52">
        <v>21.6</v>
      </c>
      <c r="N35" s="52">
        <v>22.1</v>
      </c>
    </row>
    <row r="36" spans="1:14" ht="16.5" customHeight="1">
      <c r="A36" s="49" t="s">
        <v>208</v>
      </c>
      <c r="B36" s="49" t="s">
        <v>209</v>
      </c>
      <c r="C36" s="49" t="s">
        <v>210</v>
      </c>
      <c r="D36" s="49" t="s">
        <v>211</v>
      </c>
      <c r="E36" s="49" t="s">
        <v>212</v>
      </c>
      <c r="F36" s="49">
        <v>74418</v>
      </c>
      <c r="G36" s="49" t="s">
        <v>228</v>
      </c>
      <c r="H36" s="49" t="s">
        <v>229</v>
      </c>
      <c r="I36" s="50" t="s">
        <v>253</v>
      </c>
      <c r="J36" s="50" t="s">
        <v>279</v>
      </c>
      <c r="K36" s="50" t="s">
        <v>280</v>
      </c>
      <c r="L36" s="51">
        <v>83</v>
      </c>
      <c r="M36" s="52">
        <v>21.6</v>
      </c>
      <c r="N36" s="52">
        <v>22.1</v>
      </c>
    </row>
    <row r="37" spans="1:14" ht="16.5" customHeight="1">
      <c r="A37" s="49" t="s">
        <v>208</v>
      </c>
      <c r="B37" s="49" t="s">
        <v>209</v>
      </c>
      <c r="C37" s="49" t="s">
        <v>210</v>
      </c>
      <c r="D37" s="49" t="s">
        <v>211</v>
      </c>
      <c r="E37" s="49" t="s">
        <v>212</v>
      </c>
      <c r="F37" s="49">
        <v>74418</v>
      </c>
      <c r="G37" s="49" t="s">
        <v>228</v>
      </c>
      <c r="H37" s="49" t="s">
        <v>229</v>
      </c>
      <c r="I37" s="50" t="s">
        <v>253</v>
      </c>
      <c r="J37" s="50" t="s">
        <v>281</v>
      </c>
      <c r="K37" s="50" t="s">
        <v>282</v>
      </c>
      <c r="L37" s="51">
        <v>83</v>
      </c>
      <c r="M37" s="52">
        <v>21.6</v>
      </c>
      <c r="N37" s="52">
        <v>22.1</v>
      </c>
    </row>
    <row r="38" spans="1:14" ht="16.5" customHeight="1">
      <c r="A38" s="49" t="s">
        <v>208</v>
      </c>
      <c r="B38" s="49" t="s">
        <v>209</v>
      </c>
      <c r="C38" s="49" t="s">
        <v>210</v>
      </c>
      <c r="D38" s="49" t="s">
        <v>211</v>
      </c>
      <c r="E38" s="49" t="s">
        <v>212</v>
      </c>
      <c r="F38" s="49">
        <v>74418</v>
      </c>
      <c r="G38" s="49" t="s">
        <v>228</v>
      </c>
      <c r="H38" s="49" t="s">
        <v>229</v>
      </c>
      <c r="I38" s="50" t="s">
        <v>253</v>
      </c>
      <c r="J38" s="50" t="s">
        <v>283</v>
      </c>
      <c r="K38" s="50" t="s">
        <v>284</v>
      </c>
      <c r="L38" s="51">
        <v>83</v>
      </c>
      <c r="M38" s="52">
        <v>21.5</v>
      </c>
      <c r="N38" s="52">
        <v>22</v>
      </c>
    </row>
    <row r="39" spans="1:14" ht="16.5" customHeight="1">
      <c r="A39" s="49" t="s">
        <v>208</v>
      </c>
      <c r="B39" s="49" t="s">
        <v>209</v>
      </c>
      <c r="C39" s="49" t="s">
        <v>210</v>
      </c>
      <c r="D39" s="49" t="s">
        <v>211</v>
      </c>
      <c r="E39" s="49" t="s">
        <v>212</v>
      </c>
      <c r="F39" s="49">
        <v>74418</v>
      </c>
      <c r="G39" s="49" t="s">
        <v>228</v>
      </c>
      <c r="H39" s="49" t="s">
        <v>229</v>
      </c>
      <c r="I39" s="50" t="s">
        <v>253</v>
      </c>
      <c r="J39" s="50" t="s">
        <v>285</v>
      </c>
      <c r="K39" s="50" t="s">
        <v>286</v>
      </c>
      <c r="L39" s="51">
        <v>83</v>
      </c>
      <c r="M39" s="52">
        <v>21.6</v>
      </c>
      <c r="N39" s="52">
        <v>22.1</v>
      </c>
    </row>
    <row r="40" spans="1:14" ht="16.5" customHeight="1">
      <c r="A40" s="49" t="s">
        <v>208</v>
      </c>
      <c r="B40" s="49" t="s">
        <v>209</v>
      </c>
      <c r="C40" s="49" t="s">
        <v>210</v>
      </c>
      <c r="D40" s="49" t="s">
        <v>211</v>
      </c>
      <c r="E40" s="49" t="s">
        <v>212</v>
      </c>
      <c r="F40" s="49">
        <v>74418</v>
      </c>
      <c r="G40" s="49" t="s">
        <v>228</v>
      </c>
      <c r="H40" s="49" t="s">
        <v>229</v>
      </c>
      <c r="I40" s="50" t="s">
        <v>253</v>
      </c>
      <c r="J40" s="50" t="s">
        <v>287</v>
      </c>
      <c r="K40" s="50" t="s">
        <v>288</v>
      </c>
      <c r="L40" s="51">
        <v>83</v>
      </c>
      <c r="M40" s="52">
        <v>21.5</v>
      </c>
      <c r="N40" s="52">
        <v>22</v>
      </c>
    </row>
    <row r="41" spans="1:14" ht="16.5" customHeight="1">
      <c r="A41" s="49" t="s">
        <v>208</v>
      </c>
      <c r="B41" s="49" t="s">
        <v>209</v>
      </c>
      <c r="C41" s="49" t="s">
        <v>210</v>
      </c>
      <c r="D41" s="49" t="s">
        <v>211</v>
      </c>
      <c r="E41" s="49" t="s">
        <v>212</v>
      </c>
      <c r="F41" s="49">
        <v>74418</v>
      </c>
      <c r="G41" s="49" t="s">
        <v>228</v>
      </c>
      <c r="H41" s="49" t="s">
        <v>229</v>
      </c>
      <c r="I41" s="50" t="s">
        <v>253</v>
      </c>
      <c r="J41" s="50" t="s">
        <v>289</v>
      </c>
      <c r="K41" s="50" t="s">
        <v>290</v>
      </c>
      <c r="L41" s="51">
        <v>83</v>
      </c>
      <c r="M41" s="52">
        <v>21.6</v>
      </c>
      <c r="N41" s="52">
        <v>22.1</v>
      </c>
    </row>
    <row r="42" spans="1:14" ht="16.5" customHeight="1">
      <c r="A42" s="49" t="s">
        <v>208</v>
      </c>
      <c r="B42" s="49" t="s">
        <v>209</v>
      </c>
      <c r="C42" s="49" t="s">
        <v>210</v>
      </c>
      <c r="D42" s="49" t="s">
        <v>211</v>
      </c>
      <c r="E42" s="49" t="s">
        <v>212</v>
      </c>
      <c r="F42" s="49">
        <v>74418</v>
      </c>
      <c r="G42" s="49" t="s">
        <v>228</v>
      </c>
      <c r="H42" s="49" t="s">
        <v>229</v>
      </c>
      <c r="I42" s="50" t="s">
        <v>253</v>
      </c>
      <c r="J42" s="50" t="s">
        <v>291</v>
      </c>
      <c r="K42" s="50" t="s">
        <v>292</v>
      </c>
      <c r="L42" s="51">
        <v>83</v>
      </c>
      <c r="M42" s="52">
        <v>21.7</v>
      </c>
      <c r="N42" s="52">
        <v>22.2</v>
      </c>
    </row>
    <row r="43" spans="1:14" ht="16.5" customHeight="1">
      <c r="A43" s="49" t="s">
        <v>208</v>
      </c>
      <c r="B43" s="49" t="s">
        <v>209</v>
      </c>
      <c r="C43" s="49" t="s">
        <v>210</v>
      </c>
      <c r="D43" s="49" t="s">
        <v>211</v>
      </c>
      <c r="E43" s="49" t="s">
        <v>212</v>
      </c>
      <c r="F43" s="49">
        <v>74418</v>
      </c>
      <c r="G43" s="49" t="s">
        <v>228</v>
      </c>
      <c r="H43" s="49" t="s">
        <v>229</v>
      </c>
      <c r="I43" s="50" t="s">
        <v>253</v>
      </c>
      <c r="J43" s="50" t="s">
        <v>293</v>
      </c>
      <c r="K43" s="50" t="s">
        <v>294</v>
      </c>
      <c r="L43" s="51">
        <v>83</v>
      </c>
      <c r="M43" s="52">
        <v>21.5</v>
      </c>
      <c r="N43" s="52">
        <v>22</v>
      </c>
    </row>
    <row r="44" spans="1:14" ht="16.5" customHeight="1">
      <c r="A44" s="49" t="s">
        <v>208</v>
      </c>
      <c r="B44" s="49" t="s">
        <v>209</v>
      </c>
      <c r="C44" s="49" t="s">
        <v>210</v>
      </c>
      <c r="D44" s="49" t="s">
        <v>211</v>
      </c>
      <c r="E44" s="49" t="s">
        <v>212</v>
      </c>
      <c r="F44" s="49">
        <v>74418</v>
      </c>
      <c r="G44" s="49" t="s">
        <v>228</v>
      </c>
      <c r="H44" s="49" t="s">
        <v>229</v>
      </c>
      <c r="I44" s="50" t="s">
        <v>253</v>
      </c>
      <c r="J44" s="50" t="s">
        <v>295</v>
      </c>
      <c r="K44" s="50" t="s">
        <v>296</v>
      </c>
      <c r="L44" s="51">
        <v>83</v>
      </c>
      <c r="M44" s="52">
        <v>21.6</v>
      </c>
      <c r="N44" s="52">
        <v>22.1</v>
      </c>
    </row>
    <row r="45" spans="1:14" ht="16.5" customHeight="1">
      <c r="A45" s="49" t="s">
        <v>208</v>
      </c>
      <c r="B45" s="49" t="s">
        <v>209</v>
      </c>
      <c r="C45" s="49" t="s">
        <v>210</v>
      </c>
      <c r="D45" s="49" t="s">
        <v>211</v>
      </c>
      <c r="E45" s="49" t="s">
        <v>212</v>
      </c>
      <c r="F45" s="49">
        <v>74418</v>
      </c>
      <c r="G45" s="49" t="s">
        <v>228</v>
      </c>
      <c r="H45" s="49" t="s">
        <v>229</v>
      </c>
      <c r="I45" s="50" t="s">
        <v>253</v>
      </c>
      <c r="J45" s="50" t="s">
        <v>297</v>
      </c>
      <c r="K45" s="50" t="s">
        <v>298</v>
      </c>
      <c r="L45" s="51">
        <v>83</v>
      </c>
      <c r="M45" s="52">
        <v>21.6</v>
      </c>
      <c r="N45" s="52">
        <v>22.1</v>
      </c>
    </row>
    <row r="46" spans="1:14" ht="16.5" customHeight="1">
      <c r="A46" s="49" t="s">
        <v>208</v>
      </c>
      <c r="B46" s="49" t="s">
        <v>209</v>
      </c>
      <c r="C46" s="49" t="s">
        <v>210</v>
      </c>
      <c r="D46" s="49" t="s">
        <v>211</v>
      </c>
      <c r="E46" s="49" t="s">
        <v>212</v>
      </c>
      <c r="F46" s="49">
        <v>74418</v>
      </c>
      <c r="G46" s="49" t="s">
        <v>228</v>
      </c>
      <c r="H46" s="49" t="s">
        <v>229</v>
      </c>
      <c r="I46" s="50" t="s">
        <v>253</v>
      </c>
      <c r="J46" s="50" t="s">
        <v>299</v>
      </c>
      <c r="K46" s="50" t="s">
        <v>300</v>
      </c>
      <c r="L46" s="51">
        <v>82</v>
      </c>
      <c r="M46" s="52">
        <v>21.3</v>
      </c>
      <c r="N46" s="52">
        <v>21.8</v>
      </c>
    </row>
    <row r="47" spans="1:14" ht="16.5" customHeight="1">
      <c r="A47" s="49" t="s">
        <v>208</v>
      </c>
      <c r="B47" s="49" t="s">
        <v>209</v>
      </c>
      <c r="C47" s="49" t="s">
        <v>210</v>
      </c>
      <c r="D47" s="49" t="s">
        <v>211</v>
      </c>
      <c r="E47" s="49" t="s">
        <v>212</v>
      </c>
      <c r="F47" s="49">
        <v>74418</v>
      </c>
      <c r="G47" s="49" t="s">
        <v>228</v>
      </c>
      <c r="H47" s="49" t="s">
        <v>229</v>
      </c>
      <c r="I47" s="50" t="s">
        <v>253</v>
      </c>
      <c r="J47" s="50" t="s">
        <v>301</v>
      </c>
      <c r="K47" s="50" t="s">
        <v>302</v>
      </c>
      <c r="L47" s="51">
        <v>83</v>
      </c>
      <c r="M47" s="52">
        <v>21.5</v>
      </c>
      <c r="N47" s="52">
        <v>22</v>
      </c>
    </row>
    <row r="48" spans="1:14" ht="16.5" customHeight="1">
      <c r="A48" s="49" t="s">
        <v>208</v>
      </c>
      <c r="B48" s="49" t="s">
        <v>209</v>
      </c>
      <c r="C48" s="49" t="s">
        <v>210</v>
      </c>
      <c r="D48" s="49" t="s">
        <v>211</v>
      </c>
      <c r="E48" s="49" t="s">
        <v>212</v>
      </c>
      <c r="F48" s="49">
        <v>74418</v>
      </c>
      <c r="G48" s="49" t="s">
        <v>228</v>
      </c>
      <c r="H48" s="49" t="s">
        <v>229</v>
      </c>
      <c r="I48" s="50" t="s">
        <v>253</v>
      </c>
      <c r="J48" s="50" t="s">
        <v>303</v>
      </c>
      <c r="K48" s="50" t="s">
        <v>304</v>
      </c>
      <c r="L48" s="51">
        <v>83</v>
      </c>
      <c r="M48" s="52">
        <v>21.6</v>
      </c>
      <c r="N48" s="52">
        <v>22.1</v>
      </c>
    </row>
    <row r="49" spans="1:14" ht="16.5" customHeight="1">
      <c r="A49" s="49" t="s">
        <v>208</v>
      </c>
      <c r="B49" s="49" t="s">
        <v>209</v>
      </c>
      <c r="C49" s="49" t="s">
        <v>210</v>
      </c>
      <c r="D49" s="49" t="s">
        <v>211</v>
      </c>
      <c r="E49" s="49" t="s">
        <v>212</v>
      </c>
      <c r="F49" s="49">
        <v>74418</v>
      </c>
      <c r="G49" s="49" t="s">
        <v>228</v>
      </c>
      <c r="H49" s="49" t="s">
        <v>229</v>
      </c>
      <c r="I49" s="50" t="s">
        <v>253</v>
      </c>
      <c r="J49" s="50" t="s">
        <v>305</v>
      </c>
      <c r="K49" s="50" t="s">
        <v>306</v>
      </c>
      <c r="L49" s="51">
        <v>83</v>
      </c>
      <c r="M49" s="52">
        <v>21.6</v>
      </c>
      <c r="N49" s="52">
        <v>22.1</v>
      </c>
    </row>
    <row r="50" spans="1:14" ht="16.5" customHeight="1">
      <c r="A50" s="49" t="s">
        <v>208</v>
      </c>
      <c r="B50" s="49" t="s">
        <v>209</v>
      </c>
      <c r="C50" s="49" t="s">
        <v>210</v>
      </c>
      <c r="D50" s="49" t="s">
        <v>211</v>
      </c>
      <c r="E50" s="49" t="s">
        <v>212</v>
      </c>
      <c r="F50" s="49">
        <v>74418</v>
      </c>
      <c r="G50" s="49" t="s">
        <v>228</v>
      </c>
      <c r="H50" s="49" t="s">
        <v>229</v>
      </c>
      <c r="I50" s="50" t="s">
        <v>253</v>
      </c>
      <c r="J50" s="50" t="s">
        <v>307</v>
      </c>
      <c r="K50" s="50" t="s">
        <v>308</v>
      </c>
      <c r="L50" s="51">
        <v>83</v>
      </c>
      <c r="M50" s="52">
        <v>21.7</v>
      </c>
      <c r="N50" s="52">
        <v>22.2</v>
      </c>
    </row>
    <row r="51" spans="1:14" ht="16.5" customHeight="1">
      <c r="A51" s="49" t="s">
        <v>208</v>
      </c>
      <c r="B51" s="49" t="s">
        <v>209</v>
      </c>
      <c r="C51" s="49" t="s">
        <v>210</v>
      </c>
      <c r="D51" s="49" t="s">
        <v>211</v>
      </c>
      <c r="E51" s="49" t="s">
        <v>212</v>
      </c>
      <c r="F51" s="49">
        <v>74418</v>
      </c>
      <c r="G51" s="49" t="s">
        <v>228</v>
      </c>
      <c r="H51" s="49" t="s">
        <v>229</v>
      </c>
      <c r="I51" s="50" t="s">
        <v>253</v>
      </c>
      <c r="J51" s="50" t="s">
        <v>309</v>
      </c>
      <c r="K51" s="50" t="s">
        <v>310</v>
      </c>
      <c r="L51" s="51">
        <v>83</v>
      </c>
      <c r="M51" s="52">
        <v>21.6</v>
      </c>
      <c r="N51" s="52">
        <v>22.1</v>
      </c>
    </row>
    <row r="52" spans="1:14" ht="16.5" customHeight="1">
      <c r="A52" s="49" t="s">
        <v>208</v>
      </c>
      <c r="B52" s="49" t="s">
        <v>209</v>
      </c>
      <c r="C52" s="49" t="s">
        <v>210</v>
      </c>
      <c r="D52" s="49" t="s">
        <v>211</v>
      </c>
      <c r="E52" s="49" t="s">
        <v>212</v>
      </c>
      <c r="F52" s="49">
        <v>74418</v>
      </c>
      <c r="G52" s="49" t="s">
        <v>228</v>
      </c>
      <c r="H52" s="49" t="s">
        <v>229</v>
      </c>
      <c r="I52" s="50" t="s">
        <v>311</v>
      </c>
      <c r="J52" s="50" t="s">
        <v>312</v>
      </c>
      <c r="K52" s="50" t="s">
        <v>302</v>
      </c>
      <c r="L52" s="51">
        <v>81</v>
      </c>
      <c r="M52" s="52">
        <v>21.4</v>
      </c>
      <c r="N52" s="52">
        <v>21.9</v>
      </c>
    </row>
    <row r="53" spans="1:14" ht="16.5" customHeight="1">
      <c r="A53" s="49" t="s">
        <v>208</v>
      </c>
      <c r="B53" s="49" t="s">
        <v>209</v>
      </c>
      <c r="C53" s="49" t="s">
        <v>210</v>
      </c>
      <c r="D53" s="49" t="s">
        <v>211</v>
      </c>
      <c r="E53" s="49" t="s">
        <v>212</v>
      </c>
      <c r="F53" s="49">
        <v>74418</v>
      </c>
      <c r="G53" s="49" t="s">
        <v>228</v>
      </c>
      <c r="H53" s="49" t="s">
        <v>229</v>
      </c>
      <c r="I53" s="50" t="s">
        <v>311</v>
      </c>
      <c r="J53" s="50" t="s">
        <v>313</v>
      </c>
      <c r="K53" s="50" t="s">
        <v>304</v>
      </c>
      <c r="L53" s="51">
        <v>82</v>
      </c>
      <c r="M53" s="52">
        <v>21.6</v>
      </c>
      <c r="N53" s="52">
        <v>22.1</v>
      </c>
    </row>
    <row r="54" spans="1:14" ht="16.5" customHeight="1">
      <c r="A54" s="49" t="s">
        <v>208</v>
      </c>
      <c r="B54" s="49" t="s">
        <v>209</v>
      </c>
      <c r="C54" s="49" t="s">
        <v>210</v>
      </c>
      <c r="D54" s="49" t="s">
        <v>211</v>
      </c>
      <c r="E54" s="49" t="s">
        <v>212</v>
      </c>
      <c r="F54" s="49">
        <v>74418</v>
      </c>
      <c r="G54" s="49" t="s">
        <v>228</v>
      </c>
      <c r="H54" s="49" t="s">
        <v>229</v>
      </c>
      <c r="I54" s="50" t="s">
        <v>311</v>
      </c>
      <c r="J54" s="50" t="s">
        <v>314</v>
      </c>
      <c r="K54" s="50" t="s">
        <v>306</v>
      </c>
      <c r="L54" s="51">
        <v>82</v>
      </c>
      <c r="M54" s="52">
        <v>21.6</v>
      </c>
      <c r="N54" s="52">
        <v>22.1</v>
      </c>
    </row>
    <row r="55" spans="1:14" ht="16.5" customHeight="1">
      <c r="A55" s="49" t="s">
        <v>208</v>
      </c>
      <c r="B55" s="49" t="s">
        <v>209</v>
      </c>
      <c r="C55" s="49" t="s">
        <v>210</v>
      </c>
      <c r="D55" s="49" t="s">
        <v>211</v>
      </c>
      <c r="E55" s="49" t="s">
        <v>212</v>
      </c>
      <c r="F55" s="49">
        <v>74418</v>
      </c>
      <c r="G55" s="49" t="s">
        <v>228</v>
      </c>
      <c r="H55" s="49" t="s">
        <v>229</v>
      </c>
      <c r="I55" s="50" t="s">
        <v>311</v>
      </c>
      <c r="J55" s="50" t="s">
        <v>315</v>
      </c>
      <c r="K55" s="50" t="s">
        <v>308</v>
      </c>
      <c r="L55" s="51">
        <v>82</v>
      </c>
      <c r="M55" s="52">
        <v>21.6</v>
      </c>
      <c r="N55" s="52">
        <v>22.1</v>
      </c>
    </row>
    <row r="56" spans="1:14" ht="16.5" customHeight="1">
      <c r="A56" s="49" t="s">
        <v>208</v>
      </c>
      <c r="B56" s="49" t="s">
        <v>209</v>
      </c>
      <c r="C56" s="49" t="s">
        <v>210</v>
      </c>
      <c r="D56" s="49" t="s">
        <v>211</v>
      </c>
      <c r="E56" s="49" t="s">
        <v>212</v>
      </c>
      <c r="F56" s="49">
        <v>74418</v>
      </c>
      <c r="G56" s="49" t="s">
        <v>228</v>
      </c>
      <c r="H56" s="49" t="s">
        <v>229</v>
      </c>
      <c r="I56" s="50" t="s">
        <v>311</v>
      </c>
      <c r="J56" s="50" t="s">
        <v>316</v>
      </c>
      <c r="K56" s="50" t="s">
        <v>310</v>
      </c>
      <c r="L56" s="51">
        <v>82</v>
      </c>
      <c r="M56" s="52">
        <v>21.6</v>
      </c>
      <c r="N56" s="52">
        <v>22.1</v>
      </c>
    </row>
    <row r="57" spans="1:14" ht="16.5" customHeight="1">
      <c r="A57" s="49" t="s">
        <v>208</v>
      </c>
      <c r="B57" s="49" t="s">
        <v>209</v>
      </c>
      <c r="C57" s="49" t="s">
        <v>210</v>
      </c>
      <c r="D57" s="49" t="s">
        <v>211</v>
      </c>
      <c r="E57" s="49" t="s">
        <v>212</v>
      </c>
      <c r="F57" s="49">
        <v>74418</v>
      </c>
      <c r="G57" s="49" t="s">
        <v>228</v>
      </c>
      <c r="H57" s="49" t="s">
        <v>229</v>
      </c>
      <c r="I57" s="50" t="s">
        <v>311</v>
      </c>
      <c r="J57" s="50" t="s">
        <v>317</v>
      </c>
      <c r="K57" s="50" t="s">
        <v>232</v>
      </c>
      <c r="L57" s="51">
        <v>82</v>
      </c>
      <c r="M57" s="52">
        <v>21.5</v>
      </c>
      <c r="N57" s="52">
        <v>22</v>
      </c>
    </row>
    <row r="58" spans="1:14" ht="16.5" customHeight="1">
      <c r="A58" s="49" t="s">
        <v>208</v>
      </c>
      <c r="B58" s="49" t="s">
        <v>209</v>
      </c>
      <c r="C58" s="49" t="s">
        <v>210</v>
      </c>
      <c r="D58" s="49" t="s">
        <v>211</v>
      </c>
      <c r="E58" s="49" t="s">
        <v>212</v>
      </c>
      <c r="F58" s="49">
        <v>74418</v>
      </c>
      <c r="G58" s="49" t="s">
        <v>228</v>
      </c>
      <c r="H58" s="49" t="s">
        <v>229</v>
      </c>
      <c r="I58" s="50" t="s">
        <v>311</v>
      </c>
      <c r="J58" s="50" t="s">
        <v>318</v>
      </c>
      <c r="K58" s="50" t="s">
        <v>234</v>
      </c>
      <c r="L58" s="51">
        <v>82</v>
      </c>
      <c r="M58" s="52">
        <v>21.5</v>
      </c>
      <c r="N58" s="52">
        <v>22</v>
      </c>
    </row>
    <row r="59" spans="1:14" ht="16.5" customHeight="1">
      <c r="A59" s="49" t="s">
        <v>208</v>
      </c>
      <c r="B59" s="49" t="s">
        <v>209</v>
      </c>
      <c r="C59" s="49" t="s">
        <v>210</v>
      </c>
      <c r="D59" s="49" t="s">
        <v>211</v>
      </c>
      <c r="E59" s="49" t="s">
        <v>212</v>
      </c>
      <c r="F59" s="49">
        <v>74418</v>
      </c>
      <c r="G59" s="49" t="s">
        <v>228</v>
      </c>
      <c r="H59" s="49" t="s">
        <v>229</v>
      </c>
      <c r="I59" s="50" t="s">
        <v>311</v>
      </c>
      <c r="J59" s="50" t="s">
        <v>319</v>
      </c>
      <c r="K59" s="50" t="s">
        <v>236</v>
      </c>
      <c r="L59" s="51">
        <v>82</v>
      </c>
      <c r="M59" s="52">
        <v>21.6</v>
      </c>
      <c r="N59" s="52">
        <v>22.1</v>
      </c>
    </row>
    <row r="60" spans="1:14" ht="16.5" customHeight="1">
      <c r="A60" s="49" t="s">
        <v>208</v>
      </c>
      <c r="B60" s="49" t="s">
        <v>209</v>
      </c>
      <c r="C60" s="49" t="s">
        <v>210</v>
      </c>
      <c r="D60" s="49" t="s">
        <v>211</v>
      </c>
      <c r="E60" s="49" t="s">
        <v>212</v>
      </c>
      <c r="F60" s="49">
        <v>74418</v>
      </c>
      <c r="G60" s="49" t="s">
        <v>228</v>
      </c>
      <c r="H60" s="49" t="s">
        <v>229</v>
      </c>
      <c r="I60" s="50" t="s">
        <v>311</v>
      </c>
      <c r="J60" s="50" t="s">
        <v>320</v>
      </c>
      <c r="K60" s="50" t="s">
        <v>238</v>
      </c>
      <c r="L60" s="51">
        <v>82</v>
      </c>
      <c r="M60" s="52">
        <v>21.5</v>
      </c>
      <c r="N60" s="52">
        <v>22</v>
      </c>
    </row>
    <row r="61" spans="1:14" ht="16.5" customHeight="1">
      <c r="A61" s="49" t="s">
        <v>208</v>
      </c>
      <c r="B61" s="49" t="s">
        <v>209</v>
      </c>
      <c r="C61" s="49" t="s">
        <v>210</v>
      </c>
      <c r="D61" s="49" t="s">
        <v>211</v>
      </c>
      <c r="E61" s="49" t="s">
        <v>212</v>
      </c>
      <c r="F61" s="49">
        <v>74418</v>
      </c>
      <c r="G61" s="49" t="s">
        <v>228</v>
      </c>
      <c r="H61" s="49" t="s">
        <v>229</v>
      </c>
      <c r="I61" s="50" t="s">
        <v>311</v>
      </c>
      <c r="J61" s="50" t="s">
        <v>321</v>
      </c>
      <c r="K61" s="50" t="s">
        <v>240</v>
      </c>
      <c r="L61" s="51">
        <v>81</v>
      </c>
      <c r="M61" s="52">
        <v>21.4</v>
      </c>
      <c r="N61" s="52">
        <v>21.9</v>
      </c>
    </row>
    <row r="62" spans="1:14" ht="16.5" customHeight="1">
      <c r="A62" s="49" t="s">
        <v>208</v>
      </c>
      <c r="B62" s="49" t="s">
        <v>209</v>
      </c>
      <c r="C62" s="49" t="s">
        <v>210</v>
      </c>
      <c r="D62" s="49" t="s">
        <v>211</v>
      </c>
      <c r="E62" s="49" t="s">
        <v>212</v>
      </c>
      <c r="F62" s="49">
        <v>74418</v>
      </c>
      <c r="G62" s="49" t="s">
        <v>228</v>
      </c>
      <c r="H62" s="49" t="s">
        <v>229</v>
      </c>
      <c r="I62" s="50" t="s">
        <v>311</v>
      </c>
      <c r="J62" s="50" t="s">
        <v>322</v>
      </c>
      <c r="K62" s="50" t="s">
        <v>242</v>
      </c>
      <c r="L62" s="51">
        <v>82</v>
      </c>
      <c r="M62" s="52">
        <v>21.5</v>
      </c>
      <c r="N62" s="52">
        <v>22</v>
      </c>
    </row>
    <row r="63" spans="1:14" ht="16.5" customHeight="1">
      <c r="A63" s="49" t="s">
        <v>208</v>
      </c>
      <c r="B63" s="49" t="s">
        <v>209</v>
      </c>
      <c r="C63" s="49" t="s">
        <v>210</v>
      </c>
      <c r="D63" s="49" t="s">
        <v>211</v>
      </c>
      <c r="E63" s="49" t="s">
        <v>212</v>
      </c>
      <c r="F63" s="49">
        <v>74418</v>
      </c>
      <c r="G63" s="49" t="s">
        <v>228</v>
      </c>
      <c r="H63" s="49" t="s">
        <v>229</v>
      </c>
      <c r="I63" s="50" t="s">
        <v>311</v>
      </c>
      <c r="J63" s="50" t="s">
        <v>323</v>
      </c>
      <c r="K63" s="50" t="s">
        <v>244</v>
      </c>
      <c r="L63" s="51">
        <v>81</v>
      </c>
      <c r="M63" s="52">
        <v>21.3</v>
      </c>
      <c r="N63" s="52">
        <v>21.8</v>
      </c>
    </row>
    <row r="64" spans="1:14" ht="16.5" customHeight="1">
      <c r="A64" s="49" t="s">
        <v>208</v>
      </c>
      <c r="B64" s="49" t="s">
        <v>209</v>
      </c>
      <c r="C64" s="49" t="s">
        <v>210</v>
      </c>
      <c r="D64" s="49" t="s">
        <v>211</v>
      </c>
      <c r="E64" s="49" t="s">
        <v>212</v>
      </c>
      <c r="F64" s="49">
        <v>74418</v>
      </c>
      <c r="G64" s="49" t="s">
        <v>228</v>
      </c>
      <c r="H64" s="49" t="s">
        <v>229</v>
      </c>
      <c r="I64" s="50" t="s">
        <v>311</v>
      </c>
      <c r="J64" s="50" t="s">
        <v>324</v>
      </c>
      <c r="K64" s="50" t="s">
        <v>246</v>
      </c>
      <c r="L64" s="51">
        <v>81</v>
      </c>
      <c r="M64" s="52">
        <v>21.2</v>
      </c>
      <c r="N64" s="52">
        <v>21.7</v>
      </c>
    </row>
    <row r="65" spans="1:14" ht="16.5" customHeight="1">
      <c r="A65" s="49" t="s">
        <v>208</v>
      </c>
      <c r="B65" s="49" t="s">
        <v>209</v>
      </c>
      <c r="C65" s="49" t="s">
        <v>210</v>
      </c>
      <c r="D65" s="49" t="s">
        <v>211</v>
      </c>
      <c r="E65" s="49" t="s">
        <v>212</v>
      </c>
      <c r="F65" s="49">
        <v>74418</v>
      </c>
      <c r="G65" s="49" t="s">
        <v>228</v>
      </c>
      <c r="H65" s="49" t="s">
        <v>229</v>
      </c>
      <c r="I65" s="50" t="s">
        <v>311</v>
      </c>
      <c r="J65" s="50" t="s">
        <v>325</v>
      </c>
      <c r="K65" s="50" t="s">
        <v>248</v>
      </c>
      <c r="L65" s="51">
        <v>81</v>
      </c>
      <c r="M65" s="52">
        <v>21.2</v>
      </c>
      <c r="N65" s="52">
        <v>21.7</v>
      </c>
    </row>
    <row r="66" spans="1:14" ht="16.5" customHeight="1">
      <c r="A66" s="49" t="s">
        <v>208</v>
      </c>
      <c r="B66" s="49" t="s">
        <v>209</v>
      </c>
      <c r="C66" s="49" t="s">
        <v>210</v>
      </c>
      <c r="D66" s="49" t="s">
        <v>211</v>
      </c>
      <c r="E66" s="49" t="s">
        <v>212</v>
      </c>
      <c r="F66" s="49">
        <v>74418</v>
      </c>
      <c r="G66" s="49" t="s">
        <v>228</v>
      </c>
      <c r="H66" s="49" t="s">
        <v>229</v>
      </c>
      <c r="I66" s="50" t="s">
        <v>311</v>
      </c>
      <c r="J66" s="50" t="s">
        <v>326</v>
      </c>
      <c r="K66" s="50" t="s">
        <v>250</v>
      </c>
      <c r="L66" s="51">
        <v>82</v>
      </c>
      <c r="M66" s="52">
        <v>21.5</v>
      </c>
      <c r="N66" s="52">
        <v>22</v>
      </c>
    </row>
    <row r="67" spans="1:14" ht="16.5" customHeight="1">
      <c r="A67" s="49" t="s">
        <v>208</v>
      </c>
      <c r="B67" s="49" t="s">
        <v>209</v>
      </c>
      <c r="C67" s="49" t="s">
        <v>210</v>
      </c>
      <c r="D67" s="49" t="s">
        <v>211</v>
      </c>
      <c r="E67" s="49" t="s">
        <v>212</v>
      </c>
      <c r="F67" s="49">
        <v>74418</v>
      </c>
      <c r="G67" s="49" t="s">
        <v>228</v>
      </c>
      <c r="H67" s="49" t="s">
        <v>229</v>
      </c>
      <c r="I67" s="50" t="s">
        <v>311</v>
      </c>
      <c r="J67" s="50" t="s">
        <v>327</v>
      </c>
      <c r="K67" s="50" t="s">
        <v>252</v>
      </c>
      <c r="L67" s="51">
        <v>82</v>
      </c>
      <c r="M67" s="52">
        <v>21.6</v>
      </c>
      <c r="N67" s="52">
        <v>22.1</v>
      </c>
    </row>
    <row r="68" spans="1:14" ht="16.5" customHeight="1">
      <c r="A68" s="49" t="s">
        <v>208</v>
      </c>
      <c r="B68" s="49" t="s">
        <v>209</v>
      </c>
      <c r="C68" s="49" t="s">
        <v>210</v>
      </c>
      <c r="D68" s="49" t="s">
        <v>211</v>
      </c>
      <c r="E68" s="49" t="s">
        <v>212</v>
      </c>
      <c r="F68" s="49">
        <v>74418</v>
      </c>
      <c r="G68" s="49" t="s">
        <v>228</v>
      </c>
      <c r="H68" s="49" t="s">
        <v>229</v>
      </c>
      <c r="I68" s="50" t="s">
        <v>311</v>
      </c>
      <c r="J68" s="50" t="s">
        <v>328</v>
      </c>
      <c r="K68" s="50" t="s">
        <v>329</v>
      </c>
      <c r="L68" s="51">
        <v>84</v>
      </c>
      <c r="M68" s="52">
        <v>22.2</v>
      </c>
      <c r="N68" s="52">
        <v>22.7</v>
      </c>
    </row>
    <row r="69" spans="1:14" ht="16.5" customHeight="1">
      <c r="A69" s="49" t="s">
        <v>208</v>
      </c>
      <c r="B69" s="49" t="s">
        <v>209</v>
      </c>
      <c r="C69" s="49" t="s">
        <v>210</v>
      </c>
      <c r="D69" s="49" t="s">
        <v>211</v>
      </c>
      <c r="E69" s="49" t="s">
        <v>212</v>
      </c>
      <c r="F69" s="49">
        <v>74418</v>
      </c>
      <c r="G69" s="49" t="s">
        <v>228</v>
      </c>
      <c r="H69" s="49" t="s">
        <v>229</v>
      </c>
      <c r="I69" s="50" t="s">
        <v>311</v>
      </c>
      <c r="J69" s="50" t="s">
        <v>330</v>
      </c>
      <c r="K69" s="50" t="s">
        <v>331</v>
      </c>
      <c r="L69" s="51">
        <v>81</v>
      </c>
      <c r="M69" s="52">
        <v>21.4</v>
      </c>
      <c r="N69" s="52">
        <v>21.9</v>
      </c>
    </row>
    <row r="70" spans="1:14" ht="16.5" customHeight="1">
      <c r="A70" s="49" t="s">
        <v>208</v>
      </c>
      <c r="B70" s="49" t="s">
        <v>209</v>
      </c>
      <c r="C70" s="49" t="s">
        <v>210</v>
      </c>
      <c r="D70" s="49" t="s">
        <v>211</v>
      </c>
      <c r="E70" s="49" t="s">
        <v>212</v>
      </c>
      <c r="F70" s="49">
        <v>74418</v>
      </c>
      <c r="G70" s="49" t="s">
        <v>228</v>
      </c>
      <c r="H70" s="49" t="s">
        <v>229</v>
      </c>
      <c r="I70" s="50" t="s">
        <v>311</v>
      </c>
      <c r="J70" s="50" t="s">
        <v>332</v>
      </c>
      <c r="K70" s="50" t="s">
        <v>333</v>
      </c>
      <c r="L70" s="51">
        <v>83</v>
      </c>
      <c r="M70" s="52">
        <v>21.5</v>
      </c>
      <c r="N70" s="52">
        <v>22</v>
      </c>
    </row>
    <row r="71" spans="1:14" ht="16.5" customHeight="1">
      <c r="A71" s="49" t="s">
        <v>208</v>
      </c>
      <c r="B71" s="49" t="s">
        <v>209</v>
      </c>
      <c r="C71" s="49" t="s">
        <v>210</v>
      </c>
      <c r="D71" s="49" t="s">
        <v>211</v>
      </c>
      <c r="E71" s="49" t="s">
        <v>212</v>
      </c>
      <c r="F71" s="49">
        <v>74418</v>
      </c>
      <c r="G71" s="49" t="s">
        <v>228</v>
      </c>
      <c r="H71" s="49" t="s">
        <v>229</v>
      </c>
      <c r="I71" s="50" t="s">
        <v>311</v>
      </c>
      <c r="J71" s="50" t="s">
        <v>334</v>
      </c>
      <c r="K71" s="50" t="s">
        <v>335</v>
      </c>
      <c r="L71" s="51">
        <v>82</v>
      </c>
      <c r="M71" s="52">
        <v>21.6</v>
      </c>
      <c r="N71" s="52">
        <v>22.1</v>
      </c>
    </row>
    <row r="72" spans="1:14" ht="16.5" customHeight="1">
      <c r="A72" s="49" t="s">
        <v>208</v>
      </c>
      <c r="B72" s="49" t="s">
        <v>209</v>
      </c>
      <c r="C72" s="49" t="s">
        <v>210</v>
      </c>
      <c r="D72" s="49" t="s">
        <v>211</v>
      </c>
      <c r="E72" s="49" t="s">
        <v>212</v>
      </c>
      <c r="F72" s="49">
        <v>74418</v>
      </c>
      <c r="G72" s="49" t="s">
        <v>228</v>
      </c>
      <c r="H72" s="49" t="s">
        <v>229</v>
      </c>
      <c r="I72" s="50" t="s">
        <v>311</v>
      </c>
      <c r="J72" s="50" t="s">
        <v>336</v>
      </c>
      <c r="K72" s="50" t="s">
        <v>337</v>
      </c>
      <c r="L72" s="51">
        <v>80</v>
      </c>
      <c r="M72" s="52">
        <v>21.1</v>
      </c>
      <c r="N72" s="52">
        <v>21.6</v>
      </c>
    </row>
    <row r="73" spans="1:14" ht="16.5" customHeight="1">
      <c r="A73" s="49" t="s">
        <v>208</v>
      </c>
      <c r="B73" s="49" t="s">
        <v>209</v>
      </c>
      <c r="C73" s="49" t="s">
        <v>210</v>
      </c>
      <c r="D73" s="49" t="s">
        <v>211</v>
      </c>
      <c r="E73" s="49" t="s">
        <v>212</v>
      </c>
      <c r="F73" s="49">
        <v>74418</v>
      </c>
      <c r="G73" s="49" t="s">
        <v>228</v>
      </c>
      <c r="H73" s="49" t="s">
        <v>229</v>
      </c>
      <c r="I73" s="50" t="s">
        <v>311</v>
      </c>
      <c r="J73" s="50" t="s">
        <v>338</v>
      </c>
      <c r="K73" s="50" t="s">
        <v>339</v>
      </c>
      <c r="L73" s="51">
        <v>82</v>
      </c>
      <c r="M73" s="52">
        <v>21.5</v>
      </c>
      <c r="N73" s="52">
        <v>22</v>
      </c>
    </row>
    <row r="74" spans="1:14" ht="16.5" customHeight="1">
      <c r="A74" s="49" t="s">
        <v>208</v>
      </c>
      <c r="B74" s="49" t="s">
        <v>209</v>
      </c>
      <c r="C74" s="49" t="s">
        <v>210</v>
      </c>
      <c r="D74" s="49" t="s">
        <v>211</v>
      </c>
      <c r="E74" s="49" t="s">
        <v>212</v>
      </c>
      <c r="F74" s="49">
        <v>74418</v>
      </c>
      <c r="G74" s="49" t="s">
        <v>228</v>
      </c>
      <c r="H74" s="49" t="s">
        <v>229</v>
      </c>
      <c r="I74" s="50" t="s">
        <v>311</v>
      </c>
      <c r="J74" s="50" t="s">
        <v>340</v>
      </c>
      <c r="K74" s="50" t="s">
        <v>341</v>
      </c>
      <c r="L74" s="51">
        <v>82</v>
      </c>
      <c r="M74" s="52">
        <v>21.6</v>
      </c>
      <c r="N74" s="52">
        <v>22.1</v>
      </c>
    </row>
    <row r="75" spans="1:14" ht="16.5" customHeight="1">
      <c r="A75" s="49" t="s">
        <v>208</v>
      </c>
      <c r="B75" s="49" t="s">
        <v>209</v>
      </c>
      <c r="C75" s="49" t="s">
        <v>210</v>
      </c>
      <c r="D75" s="49" t="s">
        <v>211</v>
      </c>
      <c r="E75" s="49" t="s">
        <v>212</v>
      </c>
      <c r="F75" s="49">
        <v>74418</v>
      </c>
      <c r="G75" s="49" t="s">
        <v>228</v>
      </c>
      <c r="H75" s="49" t="s">
        <v>229</v>
      </c>
      <c r="I75" s="50" t="s">
        <v>311</v>
      </c>
      <c r="J75" s="50" t="s">
        <v>342</v>
      </c>
      <c r="K75" s="50" t="s">
        <v>343</v>
      </c>
      <c r="L75" s="51">
        <v>81</v>
      </c>
      <c r="M75" s="52">
        <v>21.4</v>
      </c>
      <c r="N75" s="52">
        <v>21.9</v>
      </c>
    </row>
    <row r="76" spans="1:14" ht="16.5" customHeight="1">
      <c r="A76" s="49" t="s">
        <v>208</v>
      </c>
      <c r="B76" s="49" t="s">
        <v>209</v>
      </c>
      <c r="C76" s="49" t="s">
        <v>210</v>
      </c>
      <c r="D76" s="49" t="s">
        <v>211</v>
      </c>
      <c r="E76" s="49" t="s">
        <v>212</v>
      </c>
      <c r="F76" s="49">
        <v>74418</v>
      </c>
      <c r="G76" s="49" t="s">
        <v>228</v>
      </c>
      <c r="H76" s="49" t="s">
        <v>229</v>
      </c>
      <c r="I76" s="50" t="s">
        <v>311</v>
      </c>
      <c r="J76" s="50" t="s">
        <v>344</v>
      </c>
      <c r="K76" s="50" t="s">
        <v>345</v>
      </c>
      <c r="L76" s="51">
        <v>79</v>
      </c>
      <c r="M76" s="52">
        <v>20.7</v>
      </c>
      <c r="N76" s="52">
        <v>21.2</v>
      </c>
    </row>
    <row r="77" spans="1:14" ht="16.5" customHeight="1">
      <c r="A77" s="49" t="s">
        <v>208</v>
      </c>
      <c r="B77" s="49" t="s">
        <v>209</v>
      </c>
      <c r="C77" s="49" t="s">
        <v>210</v>
      </c>
      <c r="D77" s="49" t="s">
        <v>211</v>
      </c>
      <c r="E77" s="49" t="s">
        <v>212</v>
      </c>
      <c r="F77" s="49">
        <v>74418</v>
      </c>
      <c r="G77" s="49" t="s">
        <v>228</v>
      </c>
      <c r="H77" s="49" t="s">
        <v>229</v>
      </c>
      <c r="I77" s="50" t="s">
        <v>311</v>
      </c>
      <c r="J77" s="50" t="s">
        <v>346</v>
      </c>
      <c r="K77" s="50" t="s">
        <v>347</v>
      </c>
      <c r="L77" s="51">
        <v>82</v>
      </c>
      <c r="M77" s="52">
        <v>21.6</v>
      </c>
      <c r="N77" s="52">
        <v>22.1</v>
      </c>
    </row>
    <row r="78" spans="1:14" ht="16.5" customHeight="1">
      <c r="A78" s="49" t="s">
        <v>208</v>
      </c>
      <c r="B78" s="49" t="s">
        <v>209</v>
      </c>
      <c r="C78" s="49" t="s">
        <v>210</v>
      </c>
      <c r="D78" s="49" t="s">
        <v>211</v>
      </c>
      <c r="E78" s="49" t="s">
        <v>212</v>
      </c>
      <c r="F78" s="49">
        <v>74418</v>
      </c>
      <c r="G78" s="49" t="s">
        <v>228</v>
      </c>
      <c r="H78" s="49" t="s">
        <v>229</v>
      </c>
      <c r="I78" s="50" t="s">
        <v>311</v>
      </c>
      <c r="J78" s="50" t="s">
        <v>348</v>
      </c>
      <c r="K78" s="50" t="s">
        <v>349</v>
      </c>
      <c r="L78" s="51">
        <v>82</v>
      </c>
      <c r="M78" s="52">
        <v>21.5</v>
      </c>
      <c r="N78" s="52">
        <v>22</v>
      </c>
    </row>
    <row r="79" spans="1:14" ht="16.5" customHeight="1">
      <c r="A79" s="49" t="s">
        <v>208</v>
      </c>
      <c r="B79" s="49" t="s">
        <v>209</v>
      </c>
      <c r="C79" s="49" t="s">
        <v>210</v>
      </c>
      <c r="D79" s="49" t="s">
        <v>211</v>
      </c>
      <c r="E79" s="49" t="s">
        <v>212</v>
      </c>
      <c r="F79" s="49">
        <v>74418</v>
      </c>
      <c r="G79" s="49" t="s">
        <v>228</v>
      </c>
      <c r="H79" s="49" t="s">
        <v>229</v>
      </c>
      <c r="I79" s="50" t="s">
        <v>311</v>
      </c>
      <c r="J79" s="50" t="s">
        <v>350</v>
      </c>
      <c r="K79" s="50" t="s">
        <v>351</v>
      </c>
      <c r="L79" s="51">
        <v>82</v>
      </c>
      <c r="M79" s="52">
        <v>21.6</v>
      </c>
      <c r="N79" s="52">
        <v>22.1</v>
      </c>
    </row>
    <row r="80" spans="1:14" ht="16.5" customHeight="1">
      <c r="A80" s="49" t="s">
        <v>208</v>
      </c>
      <c r="B80" s="49" t="s">
        <v>209</v>
      </c>
      <c r="C80" s="49" t="s">
        <v>210</v>
      </c>
      <c r="D80" s="49" t="s">
        <v>211</v>
      </c>
      <c r="E80" s="49" t="s">
        <v>212</v>
      </c>
      <c r="F80" s="49">
        <v>74418</v>
      </c>
      <c r="G80" s="49" t="s">
        <v>228</v>
      </c>
      <c r="H80" s="49" t="s">
        <v>229</v>
      </c>
      <c r="I80" s="50" t="s">
        <v>352</v>
      </c>
      <c r="J80" s="50" t="s">
        <v>353</v>
      </c>
      <c r="K80" s="50" t="s">
        <v>217</v>
      </c>
      <c r="L80" s="51">
        <v>82</v>
      </c>
      <c r="M80" s="52">
        <v>21.3</v>
      </c>
      <c r="N80" s="52">
        <v>21.8</v>
      </c>
    </row>
    <row r="81" spans="1:14" ht="16.5" customHeight="1">
      <c r="A81" s="49" t="s">
        <v>208</v>
      </c>
      <c r="B81" s="49" t="s">
        <v>209</v>
      </c>
      <c r="C81" s="49" t="s">
        <v>210</v>
      </c>
      <c r="D81" s="49" t="s">
        <v>211</v>
      </c>
      <c r="E81" s="49" t="s">
        <v>212</v>
      </c>
      <c r="F81" s="49">
        <v>74418</v>
      </c>
      <c r="G81" s="49" t="s">
        <v>228</v>
      </c>
      <c r="H81" s="49" t="s">
        <v>229</v>
      </c>
      <c r="I81" s="50" t="s">
        <v>352</v>
      </c>
      <c r="J81" s="50" t="s">
        <v>354</v>
      </c>
      <c r="K81" s="50" t="s">
        <v>219</v>
      </c>
      <c r="L81" s="51">
        <v>83</v>
      </c>
      <c r="M81" s="52">
        <v>21.5</v>
      </c>
      <c r="N81" s="52">
        <v>22</v>
      </c>
    </row>
    <row r="82" spans="1:14" ht="16.5" customHeight="1">
      <c r="A82" s="49" t="s">
        <v>208</v>
      </c>
      <c r="B82" s="49" t="s">
        <v>209</v>
      </c>
      <c r="C82" s="49" t="s">
        <v>210</v>
      </c>
      <c r="D82" s="49" t="s">
        <v>211</v>
      </c>
      <c r="E82" s="49" t="s">
        <v>212</v>
      </c>
      <c r="F82" s="49">
        <v>74418</v>
      </c>
      <c r="G82" s="49" t="s">
        <v>228</v>
      </c>
      <c r="H82" s="49" t="s">
        <v>229</v>
      </c>
      <c r="I82" s="50" t="s">
        <v>352</v>
      </c>
      <c r="J82" s="50" t="s">
        <v>355</v>
      </c>
      <c r="K82" s="50" t="s">
        <v>224</v>
      </c>
      <c r="L82" s="51">
        <v>83</v>
      </c>
      <c r="M82" s="52">
        <v>21.6</v>
      </c>
      <c r="N82" s="52">
        <v>22.1</v>
      </c>
    </row>
    <row r="83" spans="1:14" ht="16.5" customHeight="1">
      <c r="A83" s="49" t="s">
        <v>208</v>
      </c>
      <c r="B83" s="49" t="s">
        <v>209</v>
      </c>
      <c r="C83" s="49" t="s">
        <v>210</v>
      </c>
      <c r="D83" s="49" t="s">
        <v>211</v>
      </c>
      <c r="E83" s="49" t="s">
        <v>212</v>
      </c>
      <c r="F83" s="49">
        <v>74418</v>
      </c>
      <c r="G83" s="49" t="s">
        <v>228</v>
      </c>
      <c r="H83" s="49" t="s">
        <v>229</v>
      </c>
      <c r="I83" s="50" t="s">
        <v>352</v>
      </c>
      <c r="J83" s="50" t="s">
        <v>356</v>
      </c>
      <c r="K83" s="50" t="s">
        <v>226</v>
      </c>
      <c r="L83" s="51">
        <v>80</v>
      </c>
      <c r="M83" s="52">
        <v>20.9</v>
      </c>
      <c r="N83" s="52">
        <v>21.4</v>
      </c>
    </row>
    <row r="84" spans="1:14" ht="16.5" customHeight="1">
      <c r="A84" s="49" t="s">
        <v>208</v>
      </c>
      <c r="B84" s="49" t="s">
        <v>209</v>
      </c>
      <c r="C84" s="49" t="s">
        <v>210</v>
      </c>
      <c r="D84" s="49" t="s">
        <v>211</v>
      </c>
      <c r="E84" s="49" t="s">
        <v>212</v>
      </c>
      <c r="F84" s="49">
        <v>74418</v>
      </c>
      <c r="G84" s="49" t="s">
        <v>228</v>
      </c>
      <c r="H84" s="49" t="s">
        <v>229</v>
      </c>
      <c r="I84" s="50" t="s">
        <v>352</v>
      </c>
      <c r="J84" s="50" t="s">
        <v>357</v>
      </c>
      <c r="K84" s="50" t="s">
        <v>227</v>
      </c>
      <c r="L84" s="51">
        <v>82</v>
      </c>
      <c r="M84" s="52">
        <v>21.2</v>
      </c>
      <c r="N84" s="52">
        <v>21.7</v>
      </c>
    </row>
    <row r="85" spans="1:14" ht="16.5" customHeight="1">
      <c r="A85" s="49" t="s">
        <v>208</v>
      </c>
      <c r="B85" s="49" t="s">
        <v>209</v>
      </c>
      <c r="C85" s="49" t="s">
        <v>210</v>
      </c>
      <c r="D85" s="49" t="s">
        <v>211</v>
      </c>
      <c r="E85" s="49" t="s">
        <v>212</v>
      </c>
      <c r="F85" s="49">
        <v>74418</v>
      </c>
      <c r="G85" s="49" t="s">
        <v>228</v>
      </c>
      <c r="H85" s="49" t="s">
        <v>229</v>
      </c>
      <c r="I85" s="50" t="s">
        <v>352</v>
      </c>
      <c r="J85" s="50" t="s">
        <v>358</v>
      </c>
      <c r="K85" s="50" t="s">
        <v>260</v>
      </c>
      <c r="L85" s="51">
        <v>70</v>
      </c>
      <c r="M85" s="52">
        <v>18.3</v>
      </c>
      <c r="N85" s="52">
        <v>18.8</v>
      </c>
    </row>
    <row r="86" spans="1:14" ht="16.5" customHeight="1">
      <c r="A86" s="49" t="s">
        <v>208</v>
      </c>
      <c r="B86" s="49" t="s">
        <v>209</v>
      </c>
      <c r="C86" s="49" t="s">
        <v>210</v>
      </c>
      <c r="D86" s="49" t="s">
        <v>211</v>
      </c>
      <c r="E86" s="49" t="s">
        <v>212</v>
      </c>
      <c r="F86" s="49">
        <v>74418</v>
      </c>
      <c r="G86" s="49" t="s">
        <v>228</v>
      </c>
      <c r="H86" s="49" t="s">
        <v>229</v>
      </c>
      <c r="I86" s="50" t="s">
        <v>352</v>
      </c>
      <c r="J86" s="50" t="s">
        <v>359</v>
      </c>
      <c r="K86" s="50" t="s">
        <v>262</v>
      </c>
      <c r="L86" s="51">
        <v>81</v>
      </c>
      <c r="M86" s="52">
        <v>21.1</v>
      </c>
      <c r="N86" s="52">
        <v>21.6</v>
      </c>
    </row>
    <row r="87" spans="1:14" ht="16.5" customHeight="1">
      <c r="A87" s="49" t="s">
        <v>208</v>
      </c>
      <c r="B87" s="49" t="s">
        <v>209</v>
      </c>
      <c r="C87" s="49" t="s">
        <v>210</v>
      </c>
      <c r="D87" s="49" t="s">
        <v>211</v>
      </c>
      <c r="E87" s="49" t="s">
        <v>212</v>
      </c>
      <c r="F87" s="49">
        <v>74418</v>
      </c>
      <c r="G87" s="49" t="s">
        <v>228</v>
      </c>
      <c r="H87" s="49" t="s">
        <v>229</v>
      </c>
      <c r="I87" s="50" t="s">
        <v>352</v>
      </c>
      <c r="J87" s="50" t="s">
        <v>360</v>
      </c>
      <c r="K87" s="50" t="s">
        <v>264</v>
      </c>
      <c r="L87" s="51">
        <v>83</v>
      </c>
      <c r="M87" s="52">
        <v>21.5</v>
      </c>
      <c r="N87" s="52">
        <v>22</v>
      </c>
    </row>
    <row r="88" spans="1:14" ht="16.5" customHeight="1">
      <c r="A88" s="49" t="s">
        <v>208</v>
      </c>
      <c r="B88" s="49" t="s">
        <v>209</v>
      </c>
      <c r="C88" s="49" t="s">
        <v>210</v>
      </c>
      <c r="D88" s="49" t="s">
        <v>211</v>
      </c>
      <c r="E88" s="49" t="s">
        <v>212</v>
      </c>
      <c r="F88" s="49">
        <v>74418</v>
      </c>
      <c r="G88" s="49" t="s">
        <v>228</v>
      </c>
      <c r="H88" s="49" t="s">
        <v>229</v>
      </c>
      <c r="I88" s="50" t="s">
        <v>352</v>
      </c>
      <c r="J88" s="50" t="s">
        <v>361</v>
      </c>
      <c r="K88" s="50" t="s">
        <v>266</v>
      </c>
      <c r="L88" s="51">
        <v>82</v>
      </c>
      <c r="M88" s="52">
        <v>21.3</v>
      </c>
      <c r="N88" s="52">
        <v>21.8</v>
      </c>
    </row>
    <row r="89" spans="1:14" ht="16.5" customHeight="1">
      <c r="A89" s="49" t="s">
        <v>208</v>
      </c>
      <c r="B89" s="49" t="s">
        <v>209</v>
      </c>
      <c r="C89" s="49" t="s">
        <v>210</v>
      </c>
      <c r="D89" s="49" t="s">
        <v>211</v>
      </c>
      <c r="E89" s="49" t="s">
        <v>212</v>
      </c>
      <c r="F89" s="49">
        <v>74418</v>
      </c>
      <c r="G89" s="49" t="s">
        <v>228</v>
      </c>
      <c r="H89" s="49" t="s">
        <v>229</v>
      </c>
      <c r="I89" s="50" t="s">
        <v>352</v>
      </c>
      <c r="J89" s="50" t="s">
        <v>362</v>
      </c>
      <c r="K89" s="50" t="s">
        <v>268</v>
      </c>
      <c r="L89" s="51">
        <v>82</v>
      </c>
      <c r="M89" s="52">
        <v>21.2</v>
      </c>
      <c r="N89" s="52">
        <v>21.7</v>
      </c>
    </row>
    <row r="90" spans="1:14" ht="16.5" customHeight="1">
      <c r="A90" s="49" t="s">
        <v>208</v>
      </c>
      <c r="B90" s="49" t="s">
        <v>209</v>
      </c>
      <c r="C90" s="49" t="s">
        <v>210</v>
      </c>
      <c r="D90" s="49" t="s">
        <v>211</v>
      </c>
      <c r="E90" s="49" t="s">
        <v>212</v>
      </c>
      <c r="F90" s="49">
        <v>74418</v>
      </c>
      <c r="G90" s="49" t="s">
        <v>228</v>
      </c>
      <c r="H90" s="49" t="s">
        <v>229</v>
      </c>
      <c r="I90" s="50" t="s">
        <v>352</v>
      </c>
      <c r="J90" s="50" t="s">
        <v>363</v>
      </c>
      <c r="K90" s="50" t="s">
        <v>270</v>
      </c>
      <c r="L90" s="51">
        <v>82</v>
      </c>
      <c r="M90" s="52">
        <v>21.3</v>
      </c>
      <c r="N90" s="52">
        <v>21.8</v>
      </c>
    </row>
    <row r="91" spans="1:14" ht="16.5" customHeight="1">
      <c r="A91" s="49" t="s">
        <v>208</v>
      </c>
      <c r="B91" s="49" t="s">
        <v>209</v>
      </c>
      <c r="C91" s="49" t="s">
        <v>210</v>
      </c>
      <c r="D91" s="49" t="s">
        <v>211</v>
      </c>
      <c r="E91" s="49" t="s">
        <v>212</v>
      </c>
      <c r="F91" s="49">
        <v>74418</v>
      </c>
      <c r="G91" s="49" t="s">
        <v>228</v>
      </c>
      <c r="H91" s="49" t="s">
        <v>229</v>
      </c>
      <c r="I91" s="50" t="s">
        <v>352</v>
      </c>
      <c r="J91" s="50" t="s">
        <v>364</v>
      </c>
      <c r="K91" s="50" t="s">
        <v>272</v>
      </c>
      <c r="L91" s="51">
        <v>82</v>
      </c>
      <c r="M91" s="52">
        <v>21.4</v>
      </c>
      <c r="N91" s="52">
        <v>21.9</v>
      </c>
    </row>
    <row r="92" spans="1:14" ht="16.5" customHeight="1">
      <c r="A92" s="49" t="s">
        <v>208</v>
      </c>
      <c r="B92" s="49" t="s">
        <v>209</v>
      </c>
      <c r="C92" s="49" t="s">
        <v>210</v>
      </c>
      <c r="D92" s="49" t="s">
        <v>211</v>
      </c>
      <c r="E92" s="49" t="s">
        <v>212</v>
      </c>
      <c r="F92" s="49">
        <v>74418</v>
      </c>
      <c r="G92" s="49" t="s">
        <v>228</v>
      </c>
      <c r="H92" s="49" t="s">
        <v>229</v>
      </c>
      <c r="I92" s="50" t="s">
        <v>352</v>
      </c>
      <c r="J92" s="50" t="s">
        <v>365</v>
      </c>
      <c r="K92" s="50" t="s">
        <v>274</v>
      </c>
      <c r="L92" s="51">
        <v>83</v>
      </c>
      <c r="M92" s="52">
        <v>21.5</v>
      </c>
      <c r="N92" s="52">
        <v>22</v>
      </c>
    </row>
    <row r="93" spans="1:14" ht="16.5" customHeight="1">
      <c r="A93" s="49" t="s">
        <v>208</v>
      </c>
      <c r="B93" s="49" t="s">
        <v>209</v>
      </c>
      <c r="C93" s="49" t="s">
        <v>210</v>
      </c>
      <c r="D93" s="49" t="s">
        <v>211</v>
      </c>
      <c r="E93" s="49" t="s">
        <v>212</v>
      </c>
      <c r="F93" s="49">
        <v>74418</v>
      </c>
      <c r="G93" s="49" t="s">
        <v>228</v>
      </c>
      <c r="H93" s="49" t="s">
        <v>229</v>
      </c>
      <c r="I93" s="50" t="s">
        <v>352</v>
      </c>
      <c r="J93" s="50" t="s">
        <v>366</v>
      </c>
      <c r="K93" s="50" t="s">
        <v>276</v>
      </c>
      <c r="L93" s="51">
        <v>82</v>
      </c>
      <c r="M93" s="52">
        <v>21.3</v>
      </c>
      <c r="N93" s="52">
        <v>21.8</v>
      </c>
    </row>
    <row r="94" spans="1:14" ht="16.5" customHeight="1">
      <c r="A94" s="49" t="s">
        <v>208</v>
      </c>
      <c r="B94" s="49" t="s">
        <v>209</v>
      </c>
      <c r="C94" s="49" t="s">
        <v>210</v>
      </c>
      <c r="D94" s="49" t="s">
        <v>211</v>
      </c>
      <c r="E94" s="49" t="s">
        <v>212</v>
      </c>
      <c r="F94" s="49">
        <v>74418</v>
      </c>
      <c r="G94" s="49" t="s">
        <v>228</v>
      </c>
      <c r="H94" s="49" t="s">
        <v>229</v>
      </c>
      <c r="I94" s="50" t="s">
        <v>352</v>
      </c>
      <c r="J94" s="50" t="s">
        <v>367</v>
      </c>
      <c r="K94" s="50" t="s">
        <v>368</v>
      </c>
      <c r="L94" s="51">
        <v>83</v>
      </c>
      <c r="M94" s="52">
        <v>21.6</v>
      </c>
      <c r="N94" s="52">
        <v>22.1</v>
      </c>
    </row>
    <row r="95" spans="1:14" ht="16.5" customHeight="1">
      <c r="A95" s="49" t="s">
        <v>208</v>
      </c>
      <c r="B95" s="49" t="s">
        <v>209</v>
      </c>
      <c r="C95" s="49" t="s">
        <v>210</v>
      </c>
      <c r="D95" s="49" t="s">
        <v>211</v>
      </c>
      <c r="E95" s="49" t="s">
        <v>212</v>
      </c>
      <c r="F95" s="49">
        <v>74418</v>
      </c>
      <c r="G95" s="49" t="s">
        <v>228</v>
      </c>
      <c r="H95" s="49" t="s">
        <v>229</v>
      </c>
      <c r="I95" s="50" t="s">
        <v>352</v>
      </c>
      <c r="J95" s="50" t="s">
        <v>369</v>
      </c>
      <c r="K95" s="50" t="s">
        <v>370</v>
      </c>
      <c r="L95" s="51">
        <v>83</v>
      </c>
      <c r="M95" s="52">
        <v>21.5</v>
      </c>
      <c r="N95" s="52">
        <v>22</v>
      </c>
    </row>
    <row r="96" spans="1:14" ht="16.5" customHeight="1">
      <c r="A96" s="49" t="s">
        <v>208</v>
      </c>
      <c r="B96" s="49" t="s">
        <v>209</v>
      </c>
      <c r="C96" s="49" t="s">
        <v>210</v>
      </c>
      <c r="D96" s="49" t="s">
        <v>211</v>
      </c>
      <c r="E96" s="49" t="s">
        <v>212</v>
      </c>
      <c r="F96" s="49">
        <v>74418</v>
      </c>
      <c r="G96" s="49" t="s">
        <v>228</v>
      </c>
      <c r="H96" s="49" t="s">
        <v>229</v>
      </c>
      <c r="I96" s="50" t="s">
        <v>352</v>
      </c>
      <c r="J96" s="50" t="s">
        <v>371</v>
      </c>
      <c r="K96" s="50" t="s">
        <v>372</v>
      </c>
      <c r="L96" s="51">
        <v>83</v>
      </c>
      <c r="M96" s="52">
        <v>21.6</v>
      </c>
      <c r="N96" s="52">
        <v>22.1</v>
      </c>
    </row>
    <row r="97" spans="1:14" ht="16.5" customHeight="1">
      <c r="A97" s="49" t="s">
        <v>208</v>
      </c>
      <c r="B97" s="49" t="s">
        <v>209</v>
      </c>
      <c r="C97" s="49" t="s">
        <v>210</v>
      </c>
      <c r="D97" s="49" t="s">
        <v>211</v>
      </c>
      <c r="E97" s="49" t="s">
        <v>212</v>
      </c>
      <c r="F97" s="49">
        <v>74418</v>
      </c>
      <c r="G97" s="49" t="s">
        <v>228</v>
      </c>
      <c r="H97" s="49" t="s">
        <v>229</v>
      </c>
      <c r="I97" s="50" t="s">
        <v>352</v>
      </c>
      <c r="J97" s="50" t="s">
        <v>373</v>
      </c>
      <c r="K97" s="50" t="s">
        <v>278</v>
      </c>
      <c r="L97" s="51">
        <v>82</v>
      </c>
      <c r="M97" s="52">
        <v>21.3</v>
      </c>
      <c r="N97" s="52">
        <v>21.8</v>
      </c>
    </row>
    <row r="98" spans="1:14" ht="16.5" customHeight="1">
      <c r="A98" s="49" t="s">
        <v>208</v>
      </c>
      <c r="B98" s="49" t="s">
        <v>209</v>
      </c>
      <c r="C98" s="49" t="s">
        <v>210</v>
      </c>
      <c r="D98" s="49" t="s">
        <v>211</v>
      </c>
      <c r="E98" s="49" t="s">
        <v>212</v>
      </c>
      <c r="F98" s="49">
        <v>74418</v>
      </c>
      <c r="G98" s="49" t="s">
        <v>228</v>
      </c>
      <c r="H98" s="49" t="s">
        <v>229</v>
      </c>
      <c r="I98" s="50" t="s">
        <v>352</v>
      </c>
      <c r="J98" s="50" t="s">
        <v>374</v>
      </c>
      <c r="K98" s="50" t="s">
        <v>280</v>
      </c>
      <c r="L98" s="51">
        <v>83</v>
      </c>
      <c r="M98" s="52">
        <v>21.5</v>
      </c>
      <c r="N98" s="52">
        <v>22</v>
      </c>
    </row>
    <row r="99" spans="1:14" ht="16.5" customHeight="1">
      <c r="A99" s="49" t="s">
        <v>208</v>
      </c>
      <c r="B99" s="49" t="s">
        <v>209</v>
      </c>
      <c r="C99" s="49" t="s">
        <v>210</v>
      </c>
      <c r="D99" s="49" t="s">
        <v>211</v>
      </c>
      <c r="E99" s="49" t="s">
        <v>212</v>
      </c>
      <c r="F99" s="49">
        <v>74418</v>
      </c>
      <c r="G99" s="49" t="s">
        <v>228</v>
      </c>
      <c r="H99" s="49" t="s">
        <v>229</v>
      </c>
      <c r="I99" s="50" t="s">
        <v>352</v>
      </c>
      <c r="J99" s="50" t="s">
        <v>375</v>
      </c>
      <c r="K99" s="50" t="s">
        <v>282</v>
      </c>
      <c r="L99" s="51">
        <v>83</v>
      </c>
      <c r="M99" s="52">
        <v>21.6</v>
      </c>
      <c r="N99" s="52">
        <v>22.1</v>
      </c>
    </row>
    <row r="100" spans="1:14" ht="16.5" customHeight="1">
      <c r="A100" s="49" t="s">
        <v>208</v>
      </c>
      <c r="B100" s="49" t="s">
        <v>209</v>
      </c>
      <c r="C100" s="49" t="s">
        <v>210</v>
      </c>
      <c r="D100" s="49" t="s">
        <v>211</v>
      </c>
      <c r="E100" s="49" t="s">
        <v>212</v>
      </c>
      <c r="F100" s="49">
        <v>74418</v>
      </c>
      <c r="G100" s="49" t="s">
        <v>228</v>
      </c>
      <c r="H100" s="49" t="s">
        <v>229</v>
      </c>
      <c r="I100" s="50" t="s">
        <v>352</v>
      </c>
      <c r="J100" s="50" t="s">
        <v>376</v>
      </c>
      <c r="K100" s="50" t="s">
        <v>284</v>
      </c>
      <c r="L100" s="51">
        <v>83</v>
      </c>
      <c r="M100" s="52">
        <v>21.6</v>
      </c>
      <c r="N100" s="52">
        <v>22.1</v>
      </c>
    </row>
    <row r="101" spans="1:14" ht="16.5" customHeight="1">
      <c r="A101" s="49" t="s">
        <v>208</v>
      </c>
      <c r="B101" s="49" t="s">
        <v>209</v>
      </c>
      <c r="C101" s="49" t="s">
        <v>210</v>
      </c>
      <c r="D101" s="49" t="s">
        <v>211</v>
      </c>
      <c r="E101" s="49" t="s">
        <v>212</v>
      </c>
      <c r="F101" s="49">
        <v>74418</v>
      </c>
      <c r="G101" s="49" t="s">
        <v>228</v>
      </c>
      <c r="H101" s="49" t="s">
        <v>229</v>
      </c>
      <c r="I101" s="50" t="s">
        <v>352</v>
      </c>
      <c r="J101" s="50" t="s">
        <v>377</v>
      </c>
      <c r="K101" s="50" t="s">
        <v>286</v>
      </c>
      <c r="L101" s="51">
        <v>81</v>
      </c>
      <c r="M101" s="52">
        <v>21</v>
      </c>
      <c r="N101" s="52">
        <v>21.5</v>
      </c>
    </row>
    <row r="102" spans="1:14" ht="16.5" customHeight="1">
      <c r="A102" s="49" t="s">
        <v>208</v>
      </c>
      <c r="B102" s="49" t="s">
        <v>209</v>
      </c>
      <c r="C102" s="49" t="s">
        <v>210</v>
      </c>
      <c r="D102" s="49" t="s">
        <v>211</v>
      </c>
      <c r="E102" s="49" t="s">
        <v>212</v>
      </c>
      <c r="F102" s="49">
        <v>74418</v>
      </c>
      <c r="G102" s="49" t="s">
        <v>228</v>
      </c>
      <c r="H102" s="49" t="s">
        <v>229</v>
      </c>
      <c r="I102" s="50" t="s">
        <v>352</v>
      </c>
      <c r="J102" s="50" t="s">
        <v>378</v>
      </c>
      <c r="K102" s="50" t="s">
        <v>288</v>
      </c>
      <c r="L102" s="51">
        <v>83</v>
      </c>
      <c r="M102" s="52">
        <v>21.6</v>
      </c>
      <c r="N102" s="52">
        <v>22.1</v>
      </c>
    </row>
    <row r="103" spans="1:14" ht="16.5" customHeight="1">
      <c r="A103" s="49" t="s">
        <v>208</v>
      </c>
      <c r="B103" s="49" t="s">
        <v>209</v>
      </c>
      <c r="C103" s="49" t="s">
        <v>210</v>
      </c>
      <c r="D103" s="49" t="s">
        <v>211</v>
      </c>
      <c r="E103" s="49" t="s">
        <v>212</v>
      </c>
      <c r="F103" s="49">
        <v>74418</v>
      </c>
      <c r="G103" s="49" t="s">
        <v>228</v>
      </c>
      <c r="H103" s="49" t="s">
        <v>229</v>
      </c>
      <c r="I103" s="50" t="s">
        <v>352</v>
      </c>
      <c r="J103" s="50" t="s">
        <v>379</v>
      </c>
      <c r="K103" s="50" t="s">
        <v>290</v>
      </c>
      <c r="L103" s="51">
        <v>83</v>
      </c>
      <c r="M103" s="52">
        <v>21.5</v>
      </c>
      <c r="N103" s="52">
        <v>22</v>
      </c>
    </row>
    <row r="104" spans="1:14" ht="16.5" customHeight="1">
      <c r="A104" s="49" t="s">
        <v>208</v>
      </c>
      <c r="B104" s="49" t="s">
        <v>209</v>
      </c>
      <c r="C104" s="49" t="s">
        <v>210</v>
      </c>
      <c r="D104" s="49" t="s">
        <v>211</v>
      </c>
      <c r="E104" s="49" t="s">
        <v>212</v>
      </c>
      <c r="F104" s="49">
        <v>74418</v>
      </c>
      <c r="G104" s="49" t="s">
        <v>228</v>
      </c>
      <c r="H104" s="49" t="s">
        <v>229</v>
      </c>
      <c r="I104" s="50" t="s">
        <v>352</v>
      </c>
      <c r="J104" s="50" t="s">
        <v>380</v>
      </c>
      <c r="K104" s="50" t="s">
        <v>292</v>
      </c>
      <c r="L104" s="51">
        <v>82</v>
      </c>
      <c r="M104" s="52">
        <v>21.5</v>
      </c>
      <c r="N104" s="52">
        <v>22</v>
      </c>
    </row>
    <row r="105" spans="1:14" ht="16.5" customHeight="1">
      <c r="A105" s="49" t="s">
        <v>208</v>
      </c>
      <c r="B105" s="49" t="s">
        <v>209</v>
      </c>
      <c r="C105" s="49" t="s">
        <v>210</v>
      </c>
      <c r="D105" s="49" t="s">
        <v>211</v>
      </c>
      <c r="E105" s="49" t="s">
        <v>212</v>
      </c>
      <c r="F105" s="49">
        <v>74418</v>
      </c>
      <c r="G105" s="49" t="s">
        <v>228</v>
      </c>
      <c r="H105" s="49" t="s">
        <v>229</v>
      </c>
      <c r="I105" s="50" t="s">
        <v>352</v>
      </c>
      <c r="J105" s="50" t="s">
        <v>381</v>
      </c>
      <c r="K105" s="50" t="s">
        <v>294</v>
      </c>
      <c r="L105" s="51">
        <v>83</v>
      </c>
      <c r="M105" s="52">
        <v>21.5</v>
      </c>
      <c r="N105" s="52">
        <v>22</v>
      </c>
    </row>
    <row r="106" spans="1:14" ht="16.5" customHeight="1">
      <c r="A106" s="49" t="s">
        <v>208</v>
      </c>
      <c r="B106" s="49" t="s">
        <v>209</v>
      </c>
      <c r="C106" s="49" t="s">
        <v>210</v>
      </c>
      <c r="D106" s="49" t="s">
        <v>211</v>
      </c>
      <c r="E106" s="49" t="s">
        <v>212</v>
      </c>
      <c r="F106" s="49">
        <v>74418</v>
      </c>
      <c r="G106" s="49" t="s">
        <v>228</v>
      </c>
      <c r="H106" s="49" t="s">
        <v>229</v>
      </c>
      <c r="I106" s="50" t="s">
        <v>352</v>
      </c>
      <c r="J106" s="50" t="s">
        <v>382</v>
      </c>
      <c r="K106" s="50" t="s">
        <v>383</v>
      </c>
      <c r="L106" s="51">
        <v>83</v>
      </c>
      <c r="M106" s="52">
        <v>21.6</v>
      </c>
      <c r="N106" s="52">
        <v>22.1</v>
      </c>
    </row>
    <row r="107" spans="1:14" ht="16.5" customHeight="1">
      <c r="A107" s="49" t="s">
        <v>208</v>
      </c>
      <c r="B107" s="49" t="s">
        <v>209</v>
      </c>
      <c r="C107" s="49" t="s">
        <v>210</v>
      </c>
      <c r="D107" s="49" t="s">
        <v>211</v>
      </c>
      <c r="E107" s="49" t="s">
        <v>212</v>
      </c>
      <c r="F107" s="49">
        <v>74418</v>
      </c>
      <c r="G107" s="49" t="s">
        <v>228</v>
      </c>
      <c r="H107" s="49" t="s">
        <v>229</v>
      </c>
      <c r="I107" s="50" t="s">
        <v>352</v>
      </c>
      <c r="J107" s="50" t="s">
        <v>384</v>
      </c>
      <c r="K107" s="50" t="s">
        <v>296</v>
      </c>
      <c r="L107" s="51">
        <v>82</v>
      </c>
      <c r="M107" s="52">
        <v>21.3</v>
      </c>
      <c r="N107" s="52">
        <v>21.8</v>
      </c>
    </row>
    <row r="108" spans="1:14" ht="16.5" customHeight="1">
      <c r="A108" s="49" t="s">
        <v>208</v>
      </c>
      <c r="B108" s="49" t="s">
        <v>209</v>
      </c>
      <c r="C108" s="49" t="s">
        <v>210</v>
      </c>
      <c r="D108" s="49" t="s">
        <v>211</v>
      </c>
      <c r="E108" s="49" t="s">
        <v>212</v>
      </c>
      <c r="F108" s="49">
        <v>74418</v>
      </c>
      <c r="G108" s="49" t="s">
        <v>228</v>
      </c>
      <c r="H108" s="49" t="s">
        <v>229</v>
      </c>
      <c r="I108" s="50" t="s">
        <v>352</v>
      </c>
      <c r="J108" s="50" t="s">
        <v>385</v>
      </c>
      <c r="K108" s="50" t="s">
        <v>298</v>
      </c>
      <c r="L108" s="51">
        <v>82</v>
      </c>
      <c r="M108" s="52">
        <v>21.3</v>
      </c>
      <c r="N108" s="52">
        <v>21.8</v>
      </c>
    </row>
    <row r="109" spans="1:14" ht="16.5" customHeight="1">
      <c r="A109" s="49" t="s">
        <v>208</v>
      </c>
      <c r="B109" s="49" t="s">
        <v>209</v>
      </c>
      <c r="C109" s="49" t="s">
        <v>210</v>
      </c>
      <c r="D109" s="49" t="s">
        <v>211</v>
      </c>
      <c r="E109" s="49" t="s">
        <v>212</v>
      </c>
      <c r="F109" s="49">
        <v>74418</v>
      </c>
      <c r="G109" s="49" t="s">
        <v>228</v>
      </c>
      <c r="H109" s="49" t="s">
        <v>229</v>
      </c>
      <c r="I109" s="50" t="s">
        <v>352</v>
      </c>
      <c r="J109" s="50" t="s">
        <v>386</v>
      </c>
      <c r="K109" s="50" t="s">
        <v>300</v>
      </c>
      <c r="L109" s="51">
        <v>83</v>
      </c>
      <c r="M109" s="52">
        <v>21.5</v>
      </c>
      <c r="N109" s="52">
        <v>22</v>
      </c>
    </row>
    <row r="110" spans="1:14" ht="16.5" customHeight="1">
      <c r="A110" s="49" t="s">
        <v>208</v>
      </c>
      <c r="B110" s="49" t="s">
        <v>209</v>
      </c>
      <c r="C110" s="49" t="s">
        <v>210</v>
      </c>
      <c r="D110" s="49" t="s">
        <v>211</v>
      </c>
      <c r="E110" s="49" t="s">
        <v>212</v>
      </c>
      <c r="F110" s="49">
        <v>74418</v>
      </c>
      <c r="G110" s="49" t="s">
        <v>387</v>
      </c>
      <c r="H110" s="49" t="s">
        <v>388</v>
      </c>
      <c r="I110" s="50" t="s">
        <v>389</v>
      </c>
      <c r="J110" s="50" t="s">
        <v>390</v>
      </c>
      <c r="K110" s="50" t="s">
        <v>217</v>
      </c>
      <c r="L110" s="51">
        <v>80</v>
      </c>
      <c r="M110" s="52">
        <v>20.8</v>
      </c>
      <c r="N110" s="52">
        <v>21.3</v>
      </c>
    </row>
    <row r="111" spans="1:14" ht="16.5" customHeight="1">
      <c r="A111" s="49" t="s">
        <v>208</v>
      </c>
      <c r="B111" s="49" t="s">
        <v>209</v>
      </c>
      <c r="C111" s="49" t="s">
        <v>210</v>
      </c>
      <c r="D111" s="49" t="s">
        <v>211</v>
      </c>
      <c r="E111" s="49" t="s">
        <v>212</v>
      </c>
      <c r="F111" s="49">
        <v>74418</v>
      </c>
      <c r="G111" s="49" t="s">
        <v>387</v>
      </c>
      <c r="H111" s="49" t="s">
        <v>388</v>
      </c>
      <c r="I111" s="50" t="s">
        <v>389</v>
      </c>
      <c r="J111" s="50" t="s">
        <v>391</v>
      </c>
      <c r="K111" s="50" t="s">
        <v>219</v>
      </c>
      <c r="L111" s="51">
        <v>82</v>
      </c>
      <c r="M111" s="52">
        <v>21.4</v>
      </c>
      <c r="N111" s="52">
        <v>21.9</v>
      </c>
    </row>
    <row r="112" spans="1:14" ht="16.5" customHeight="1">
      <c r="A112" s="49" t="s">
        <v>208</v>
      </c>
      <c r="B112" s="49" t="s">
        <v>209</v>
      </c>
      <c r="C112" s="49" t="s">
        <v>210</v>
      </c>
      <c r="D112" s="49" t="s">
        <v>211</v>
      </c>
      <c r="E112" s="49" t="s">
        <v>212</v>
      </c>
      <c r="F112" s="49">
        <v>74418</v>
      </c>
      <c r="G112" s="49" t="s">
        <v>387</v>
      </c>
      <c r="H112" s="49" t="s">
        <v>388</v>
      </c>
      <c r="I112" s="50" t="s">
        <v>389</v>
      </c>
      <c r="J112" s="50" t="s">
        <v>392</v>
      </c>
      <c r="K112" s="50" t="s">
        <v>224</v>
      </c>
      <c r="L112" s="51">
        <v>82</v>
      </c>
      <c r="M112" s="52">
        <v>21.3</v>
      </c>
      <c r="N112" s="52">
        <v>21.8</v>
      </c>
    </row>
    <row r="113" spans="1:14" ht="16.5" customHeight="1">
      <c r="A113" s="49" t="s">
        <v>208</v>
      </c>
      <c r="B113" s="49" t="s">
        <v>209</v>
      </c>
      <c r="C113" s="49" t="s">
        <v>210</v>
      </c>
      <c r="D113" s="49" t="s">
        <v>211</v>
      </c>
      <c r="E113" s="49" t="s">
        <v>212</v>
      </c>
      <c r="F113" s="49">
        <v>74418</v>
      </c>
      <c r="G113" s="49" t="s">
        <v>387</v>
      </c>
      <c r="H113" s="49" t="s">
        <v>388</v>
      </c>
      <c r="I113" s="50" t="s">
        <v>389</v>
      </c>
      <c r="J113" s="50" t="s">
        <v>393</v>
      </c>
      <c r="K113" s="50" t="s">
        <v>226</v>
      </c>
      <c r="L113" s="51">
        <v>82</v>
      </c>
      <c r="M113" s="52">
        <v>21.3</v>
      </c>
      <c r="N113" s="52">
        <v>21.8</v>
      </c>
    </row>
    <row r="114" spans="1:14" ht="16.5" customHeight="1">
      <c r="A114" s="49" t="s">
        <v>208</v>
      </c>
      <c r="B114" s="49" t="s">
        <v>209</v>
      </c>
      <c r="C114" s="49" t="s">
        <v>210</v>
      </c>
      <c r="D114" s="49" t="s">
        <v>211</v>
      </c>
      <c r="E114" s="49" t="s">
        <v>212</v>
      </c>
      <c r="F114" s="49">
        <v>74418</v>
      </c>
      <c r="G114" s="49" t="s">
        <v>387</v>
      </c>
      <c r="H114" s="49" t="s">
        <v>388</v>
      </c>
      <c r="I114" s="50" t="s">
        <v>389</v>
      </c>
      <c r="J114" s="50" t="s">
        <v>394</v>
      </c>
      <c r="K114" s="50" t="s">
        <v>227</v>
      </c>
      <c r="L114" s="51">
        <v>82</v>
      </c>
      <c r="M114" s="52">
        <v>21.3</v>
      </c>
      <c r="N114" s="52">
        <v>21.8</v>
      </c>
    </row>
    <row r="115" spans="1:14" ht="16.5" customHeight="1">
      <c r="A115" s="49" t="s">
        <v>208</v>
      </c>
      <c r="B115" s="49" t="s">
        <v>209</v>
      </c>
      <c r="C115" s="49" t="s">
        <v>210</v>
      </c>
      <c r="D115" s="49" t="s">
        <v>211</v>
      </c>
      <c r="E115" s="49" t="s">
        <v>212</v>
      </c>
      <c r="F115" s="49">
        <v>74418</v>
      </c>
      <c r="G115" s="49" t="s">
        <v>387</v>
      </c>
      <c r="H115" s="49" t="s">
        <v>388</v>
      </c>
      <c r="I115" s="50" t="s">
        <v>389</v>
      </c>
      <c r="J115" s="50" t="s">
        <v>395</v>
      </c>
      <c r="K115" s="50" t="s">
        <v>260</v>
      </c>
      <c r="L115" s="51">
        <v>81</v>
      </c>
      <c r="M115" s="52">
        <v>21.1</v>
      </c>
      <c r="N115" s="52">
        <v>21.6</v>
      </c>
    </row>
    <row r="116" spans="1:14" ht="16.5" customHeight="1">
      <c r="A116" s="49" t="s">
        <v>208</v>
      </c>
      <c r="B116" s="49" t="s">
        <v>209</v>
      </c>
      <c r="C116" s="49" t="s">
        <v>210</v>
      </c>
      <c r="D116" s="49" t="s">
        <v>211</v>
      </c>
      <c r="E116" s="49" t="s">
        <v>212</v>
      </c>
      <c r="F116" s="49">
        <v>74418</v>
      </c>
      <c r="G116" s="49" t="s">
        <v>387</v>
      </c>
      <c r="H116" s="49" t="s">
        <v>388</v>
      </c>
      <c r="I116" s="50" t="s">
        <v>389</v>
      </c>
      <c r="J116" s="50" t="s">
        <v>396</v>
      </c>
      <c r="K116" s="50" t="s">
        <v>262</v>
      </c>
      <c r="L116" s="51">
        <v>81</v>
      </c>
      <c r="M116" s="52">
        <v>21.1</v>
      </c>
      <c r="N116" s="52">
        <v>21.6</v>
      </c>
    </row>
    <row r="117" spans="1:14" ht="16.5" customHeight="1">
      <c r="A117" s="49" t="s">
        <v>208</v>
      </c>
      <c r="B117" s="49" t="s">
        <v>209</v>
      </c>
      <c r="C117" s="49" t="s">
        <v>210</v>
      </c>
      <c r="D117" s="49" t="s">
        <v>211</v>
      </c>
      <c r="E117" s="49" t="s">
        <v>212</v>
      </c>
      <c r="F117" s="49">
        <v>74418</v>
      </c>
      <c r="G117" s="49" t="s">
        <v>387</v>
      </c>
      <c r="H117" s="49" t="s">
        <v>388</v>
      </c>
      <c r="I117" s="50" t="s">
        <v>389</v>
      </c>
      <c r="J117" s="50" t="s">
        <v>397</v>
      </c>
      <c r="K117" s="50" t="s">
        <v>264</v>
      </c>
      <c r="L117" s="51">
        <v>82</v>
      </c>
      <c r="M117" s="52">
        <v>21.3</v>
      </c>
      <c r="N117" s="52">
        <v>21.8</v>
      </c>
    </row>
    <row r="118" spans="1:14" ht="16.5" customHeight="1">
      <c r="A118" s="49" t="s">
        <v>208</v>
      </c>
      <c r="B118" s="49" t="s">
        <v>209</v>
      </c>
      <c r="C118" s="49" t="s">
        <v>210</v>
      </c>
      <c r="D118" s="49" t="s">
        <v>211</v>
      </c>
      <c r="E118" s="49" t="s">
        <v>212</v>
      </c>
      <c r="F118" s="49">
        <v>74418</v>
      </c>
      <c r="G118" s="49" t="s">
        <v>387</v>
      </c>
      <c r="H118" s="49" t="s">
        <v>388</v>
      </c>
      <c r="I118" s="50" t="s">
        <v>389</v>
      </c>
      <c r="J118" s="50" t="s">
        <v>398</v>
      </c>
      <c r="K118" s="50" t="s">
        <v>266</v>
      </c>
      <c r="L118" s="51">
        <v>81</v>
      </c>
      <c r="M118" s="52">
        <v>21.1</v>
      </c>
      <c r="N118" s="52">
        <v>21.6</v>
      </c>
    </row>
    <row r="119" spans="1:14" ht="16.5" customHeight="1">
      <c r="A119" s="49" t="s">
        <v>208</v>
      </c>
      <c r="B119" s="49" t="s">
        <v>209</v>
      </c>
      <c r="C119" s="49" t="s">
        <v>210</v>
      </c>
      <c r="D119" s="49" t="s">
        <v>211</v>
      </c>
      <c r="E119" s="49" t="s">
        <v>212</v>
      </c>
      <c r="F119" s="49">
        <v>74418</v>
      </c>
      <c r="G119" s="49" t="s">
        <v>387</v>
      </c>
      <c r="H119" s="49" t="s">
        <v>388</v>
      </c>
      <c r="I119" s="50" t="s">
        <v>389</v>
      </c>
      <c r="J119" s="50" t="s">
        <v>399</v>
      </c>
      <c r="K119" s="50" t="s">
        <v>268</v>
      </c>
      <c r="L119" s="51">
        <v>82</v>
      </c>
      <c r="M119" s="52">
        <v>21.4</v>
      </c>
      <c r="N119" s="52">
        <v>21.9</v>
      </c>
    </row>
    <row r="120" spans="1:14" ht="16.5" customHeight="1">
      <c r="A120" s="49" t="s">
        <v>208</v>
      </c>
      <c r="B120" s="49" t="s">
        <v>209</v>
      </c>
      <c r="C120" s="49" t="s">
        <v>210</v>
      </c>
      <c r="D120" s="49" t="s">
        <v>211</v>
      </c>
      <c r="E120" s="49" t="s">
        <v>212</v>
      </c>
      <c r="F120" s="49">
        <v>74418</v>
      </c>
      <c r="G120" s="49" t="s">
        <v>387</v>
      </c>
      <c r="H120" s="49" t="s">
        <v>388</v>
      </c>
      <c r="I120" s="50" t="s">
        <v>389</v>
      </c>
      <c r="J120" s="50" t="s">
        <v>400</v>
      </c>
      <c r="K120" s="50" t="s">
        <v>270</v>
      </c>
      <c r="L120" s="51">
        <v>82</v>
      </c>
      <c r="M120" s="52">
        <v>21.3</v>
      </c>
      <c r="N120" s="52">
        <v>21.8</v>
      </c>
    </row>
    <row r="121" spans="1:14" ht="16.5" customHeight="1">
      <c r="A121" s="49" t="s">
        <v>208</v>
      </c>
      <c r="B121" s="49" t="s">
        <v>209</v>
      </c>
      <c r="C121" s="49" t="s">
        <v>210</v>
      </c>
      <c r="D121" s="49" t="s">
        <v>211</v>
      </c>
      <c r="E121" s="49" t="s">
        <v>212</v>
      </c>
      <c r="F121" s="49">
        <v>74418</v>
      </c>
      <c r="G121" s="49" t="s">
        <v>387</v>
      </c>
      <c r="H121" s="49" t="s">
        <v>388</v>
      </c>
      <c r="I121" s="50" t="s">
        <v>389</v>
      </c>
      <c r="J121" s="50" t="s">
        <v>401</v>
      </c>
      <c r="K121" s="50" t="s">
        <v>272</v>
      </c>
      <c r="L121" s="51">
        <v>82</v>
      </c>
      <c r="M121" s="52">
        <v>21.2</v>
      </c>
      <c r="N121" s="52">
        <v>21.7</v>
      </c>
    </row>
    <row r="122" spans="1:14" ht="16.5" customHeight="1">
      <c r="A122" s="49" t="s">
        <v>208</v>
      </c>
      <c r="B122" s="49" t="s">
        <v>209</v>
      </c>
      <c r="C122" s="49" t="s">
        <v>210</v>
      </c>
      <c r="D122" s="49" t="s">
        <v>211</v>
      </c>
      <c r="E122" s="49" t="s">
        <v>212</v>
      </c>
      <c r="F122" s="49">
        <v>74418</v>
      </c>
      <c r="G122" s="49" t="s">
        <v>387</v>
      </c>
      <c r="H122" s="49" t="s">
        <v>388</v>
      </c>
      <c r="I122" s="50" t="s">
        <v>389</v>
      </c>
      <c r="J122" s="50" t="s">
        <v>402</v>
      </c>
      <c r="K122" s="50" t="s">
        <v>274</v>
      </c>
      <c r="L122" s="51">
        <v>81</v>
      </c>
      <c r="M122" s="52">
        <v>21</v>
      </c>
      <c r="N122" s="52">
        <v>21.5</v>
      </c>
    </row>
    <row r="123" spans="1:14" ht="16.5" customHeight="1">
      <c r="A123" s="49" t="s">
        <v>208</v>
      </c>
      <c r="B123" s="49" t="s">
        <v>209</v>
      </c>
      <c r="C123" s="49" t="s">
        <v>210</v>
      </c>
      <c r="D123" s="49" t="s">
        <v>211</v>
      </c>
      <c r="E123" s="49" t="s">
        <v>212</v>
      </c>
      <c r="F123" s="49">
        <v>74418</v>
      </c>
      <c r="G123" s="49" t="s">
        <v>387</v>
      </c>
      <c r="H123" s="49" t="s">
        <v>388</v>
      </c>
      <c r="I123" s="50" t="s">
        <v>389</v>
      </c>
      <c r="J123" s="50" t="s">
        <v>403</v>
      </c>
      <c r="K123" s="50" t="s">
        <v>276</v>
      </c>
      <c r="L123" s="51">
        <v>82</v>
      </c>
      <c r="M123" s="52">
        <v>21.4</v>
      </c>
      <c r="N123" s="52">
        <v>21.9</v>
      </c>
    </row>
    <row r="124" spans="1:14" ht="16.5" customHeight="1">
      <c r="A124" s="49" t="s">
        <v>208</v>
      </c>
      <c r="B124" s="49" t="s">
        <v>209</v>
      </c>
      <c r="C124" s="49" t="s">
        <v>210</v>
      </c>
      <c r="D124" s="49" t="s">
        <v>211</v>
      </c>
      <c r="E124" s="49" t="s">
        <v>212</v>
      </c>
      <c r="F124" s="49">
        <v>74418</v>
      </c>
      <c r="G124" s="49" t="s">
        <v>387</v>
      </c>
      <c r="H124" s="49" t="s">
        <v>388</v>
      </c>
      <c r="I124" s="50" t="s">
        <v>389</v>
      </c>
      <c r="J124" s="50" t="s">
        <v>404</v>
      </c>
      <c r="K124" s="50" t="s">
        <v>368</v>
      </c>
      <c r="L124" s="51">
        <v>82</v>
      </c>
      <c r="M124" s="52">
        <v>21.4</v>
      </c>
      <c r="N124" s="52">
        <v>21.9</v>
      </c>
    </row>
    <row r="125" spans="1:14" ht="16.5" customHeight="1">
      <c r="A125" s="49" t="s">
        <v>208</v>
      </c>
      <c r="B125" s="49" t="s">
        <v>209</v>
      </c>
      <c r="C125" s="49" t="s">
        <v>210</v>
      </c>
      <c r="D125" s="49" t="s">
        <v>211</v>
      </c>
      <c r="E125" s="49" t="s">
        <v>212</v>
      </c>
      <c r="F125" s="49">
        <v>74418</v>
      </c>
      <c r="G125" s="49" t="s">
        <v>387</v>
      </c>
      <c r="H125" s="49" t="s">
        <v>388</v>
      </c>
      <c r="I125" s="50" t="s">
        <v>389</v>
      </c>
      <c r="J125" s="50" t="s">
        <v>405</v>
      </c>
      <c r="K125" s="50" t="s">
        <v>370</v>
      </c>
      <c r="L125" s="51">
        <v>82</v>
      </c>
      <c r="M125" s="52">
        <v>21.2</v>
      </c>
      <c r="N125" s="52">
        <v>21.7</v>
      </c>
    </row>
    <row r="126" spans="1:14" ht="16.5" customHeight="1">
      <c r="A126" s="49" t="s">
        <v>208</v>
      </c>
      <c r="B126" s="49" t="s">
        <v>209</v>
      </c>
      <c r="C126" s="49" t="s">
        <v>210</v>
      </c>
      <c r="D126" s="49" t="s">
        <v>211</v>
      </c>
      <c r="E126" s="49" t="s">
        <v>212</v>
      </c>
      <c r="F126" s="49">
        <v>74418</v>
      </c>
      <c r="G126" s="49" t="s">
        <v>387</v>
      </c>
      <c r="H126" s="49" t="s">
        <v>388</v>
      </c>
      <c r="I126" s="50" t="s">
        <v>389</v>
      </c>
      <c r="J126" s="50" t="s">
        <v>406</v>
      </c>
      <c r="K126" s="50" t="s">
        <v>372</v>
      </c>
      <c r="L126" s="51">
        <v>82</v>
      </c>
      <c r="M126" s="52">
        <v>21.3</v>
      </c>
      <c r="N126" s="52">
        <v>21.8</v>
      </c>
    </row>
    <row r="127" spans="1:14" ht="16.5" customHeight="1">
      <c r="A127" s="49" t="s">
        <v>208</v>
      </c>
      <c r="B127" s="49" t="s">
        <v>209</v>
      </c>
      <c r="C127" s="49" t="s">
        <v>210</v>
      </c>
      <c r="D127" s="49" t="s">
        <v>211</v>
      </c>
      <c r="E127" s="49" t="s">
        <v>212</v>
      </c>
      <c r="F127" s="49">
        <v>74418</v>
      </c>
      <c r="G127" s="49" t="s">
        <v>387</v>
      </c>
      <c r="H127" s="49" t="s">
        <v>388</v>
      </c>
      <c r="I127" s="50" t="s">
        <v>389</v>
      </c>
      <c r="J127" s="50" t="s">
        <v>407</v>
      </c>
      <c r="K127" s="50" t="s">
        <v>278</v>
      </c>
      <c r="L127" s="51">
        <v>81</v>
      </c>
      <c r="M127" s="52">
        <v>21</v>
      </c>
      <c r="N127" s="52">
        <v>21.5</v>
      </c>
    </row>
    <row r="128" spans="1:14" ht="16.5" customHeight="1">
      <c r="A128" s="49" t="s">
        <v>208</v>
      </c>
      <c r="B128" s="49" t="s">
        <v>209</v>
      </c>
      <c r="C128" s="49" t="s">
        <v>210</v>
      </c>
      <c r="D128" s="49" t="s">
        <v>211</v>
      </c>
      <c r="E128" s="49" t="s">
        <v>212</v>
      </c>
      <c r="F128" s="49">
        <v>74418</v>
      </c>
      <c r="G128" s="49" t="s">
        <v>387</v>
      </c>
      <c r="H128" s="49" t="s">
        <v>388</v>
      </c>
      <c r="I128" s="50" t="s">
        <v>389</v>
      </c>
      <c r="J128" s="50" t="s">
        <v>408</v>
      </c>
      <c r="K128" s="50" t="s">
        <v>280</v>
      </c>
      <c r="L128" s="51">
        <v>82</v>
      </c>
      <c r="M128" s="52">
        <v>21.3</v>
      </c>
      <c r="N128" s="52">
        <v>21.8</v>
      </c>
    </row>
    <row r="129" spans="1:14" ht="16.5" customHeight="1">
      <c r="A129" s="49" t="s">
        <v>208</v>
      </c>
      <c r="B129" s="49" t="s">
        <v>209</v>
      </c>
      <c r="C129" s="49" t="s">
        <v>210</v>
      </c>
      <c r="D129" s="49" t="s">
        <v>211</v>
      </c>
      <c r="E129" s="49" t="s">
        <v>212</v>
      </c>
      <c r="F129" s="49">
        <v>74418</v>
      </c>
      <c r="G129" s="49" t="s">
        <v>387</v>
      </c>
      <c r="H129" s="49" t="s">
        <v>388</v>
      </c>
      <c r="I129" s="50" t="s">
        <v>389</v>
      </c>
      <c r="J129" s="50" t="s">
        <v>409</v>
      </c>
      <c r="K129" s="50" t="s">
        <v>282</v>
      </c>
      <c r="L129" s="51">
        <v>82</v>
      </c>
      <c r="M129" s="52">
        <v>21.3</v>
      </c>
      <c r="N129" s="52">
        <v>21.8</v>
      </c>
    </row>
    <row r="130" spans="1:14" ht="16.5" customHeight="1">
      <c r="A130" s="49" t="s">
        <v>208</v>
      </c>
      <c r="B130" s="49" t="s">
        <v>209</v>
      </c>
      <c r="C130" s="49" t="s">
        <v>210</v>
      </c>
      <c r="D130" s="49" t="s">
        <v>211</v>
      </c>
      <c r="E130" s="49" t="s">
        <v>212</v>
      </c>
      <c r="F130" s="49">
        <v>74418</v>
      </c>
      <c r="G130" s="49" t="s">
        <v>387</v>
      </c>
      <c r="H130" s="49" t="s">
        <v>388</v>
      </c>
      <c r="I130" s="50" t="s">
        <v>389</v>
      </c>
      <c r="J130" s="50" t="s">
        <v>410</v>
      </c>
      <c r="K130" s="50" t="s">
        <v>284</v>
      </c>
      <c r="L130" s="51">
        <v>81</v>
      </c>
      <c r="M130" s="52">
        <v>21</v>
      </c>
      <c r="N130" s="52">
        <v>21.5</v>
      </c>
    </row>
    <row r="131" spans="1:14" ht="16.5" customHeight="1">
      <c r="A131" s="49" t="s">
        <v>208</v>
      </c>
      <c r="B131" s="49" t="s">
        <v>209</v>
      </c>
      <c r="C131" s="49" t="s">
        <v>210</v>
      </c>
      <c r="D131" s="49" t="s">
        <v>211</v>
      </c>
      <c r="E131" s="49" t="s">
        <v>212</v>
      </c>
      <c r="F131" s="49">
        <v>74418</v>
      </c>
      <c r="G131" s="49" t="s">
        <v>411</v>
      </c>
      <c r="H131" s="49" t="s">
        <v>412</v>
      </c>
      <c r="I131" s="50" t="s">
        <v>413</v>
      </c>
      <c r="J131" s="50" t="s">
        <v>414</v>
      </c>
      <c r="K131" s="50" t="s">
        <v>217</v>
      </c>
      <c r="L131" s="51">
        <v>75</v>
      </c>
      <c r="M131" s="52">
        <v>19.7</v>
      </c>
      <c r="N131" s="52">
        <v>20.2</v>
      </c>
    </row>
    <row r="132" spans="1:14" ht="16.5" customHeight="1">
      <c r="A132" s="49" t="s">
        <v>208</v>
      </c>
      <c r="B132" s="49" t="s">
        <v>209</v>
      </c>
      <c r="C132" s="49" t="s">
        <v>210</v>
      </c>
      <c r="D132" s="49" t="s">
        <v>211</v>
      </c>
      <c r="E132" s="49" t="s">
        <v>212</v>
      </c>
      <c r="F132" s="49">
        <v>74418</v>
      </c>
      <c r="G132" s="49" t="s">
        <v>411</v>
      </c>
      <c r="H132" s="49" t="s">
        <v>412</v>
      </c>
      <c r="I132" s="50" t="s">
        <v>413</v>
      </c>
      <c r="J132" s="50" t="s">
        <v>415</v>
      </c>
      <c r="K132" s="50" t="s">
        <v>227</v>
      </c>
      <c r="L132" s="51">
        <v>81</v>
      </c>
      <c r="M132" s="52">
        <v>21.3</v>
      </c>
      <c r="N132" s="52">
        <v>21.8</v>
      </c>
    </row>
    <row r="133" spans="1:14" ht="16.5" customHeight="1">
      <c r="A133" s="49" t="s">
        <v>208</v>
      </c>
      <c r="B133" s="49" t="s">
        <v>209</v>
      </c>
      <c r="C133" s="49" t="s">
        <v>210</v>
      </c>
      <c r="D133" s="49" t="s">
        <v>211</v>
      </c>
      <c r="E133" s="49" t="s">
        <v>212</v>
      </c>
      <c r="F133" s="49">
        <v>74418</v>
      </c>
      <c r="G133" s="49" t="s">
        <v>411</v>
      </c>
      <c r="H133" s="49" t="s">
        <v>412</v>
      </c>
      <c r="I133" s="50" t="s">
        <v>413</v>
      </c>
      <c r="J133" s="50" t="s">
        <v>416</v>
      </c>
      <c r="K133" s="50" t="s">
        <v>260</v>
      </c>
      <c r="L133" s="51">
        <v>82</v>
      </c>
      <c r="M133" s="52">
        <v>21.4</v>
      </c>
      <c r="N133" s="52">
        <v>21.9</v>
      </c>
    </row>
    <row r="134" spans="1:14" ht="16.5" customHeight="1">
      <c r="A134" s="49" t="s">
        <v>208</v>
      </c>
      <c r="B134" s="49" t="s">
        <v>209</v>
      </c>
      <c r="C134" s="49" t="s">
        <v>210</v>
      </c>
      <c r="D134" s="49" t="s">
        <v>211</v>
      </c>
      <c r="E134" s="49" t="s">
        <v>212</v>
      </c>
      <c r="F134" s="49">
        <v>74418</v>
      </c>
      <c r="G134" s="49" t="s">
        <v>411</v>
      </c>
      <c r="H134" s="49" t="s">
        <v>412</v>
      </c>
      <c r="I134" s="50" t="s">
        <v>413</v>
      </c>
      <c r="J134" s="50" t="s">
        <v>417</v>
      </c>
      <c r="K134" s="50" t="s">
        <v>262</v>
      </c>
      <c r="L134" s="51">
        <v>81</v>
      </c>
      <c r="M134" s="52">
        <v>21.1</v>
      </c>
      <c r="N134" s="52">
        <v>21.6</v>
      </c>
    </row>
    <row r="135" spans="1:14" ht="16.5" customHeight="1">
      <c r="A135" s="49" t="s">
        <v>208</v>
      </c>
      <c r="B135" s="49" t="s">
        <v>209</v>
      </c>
      <c r="C135" s="49" t="s">
        <v>210</v>
      </c>
      <c r="D135" s="49" t="s">
        <v>211</v>
      </c>
      <c r="E135" s="49" t="s">
        <v>212</v>
      </c>
      <c r="F135" s="49">
        <v>74418</v>
      </c>
      <c r="G135" s="49" t="s">
        <v>411</v>
      </c>
      <c r="H135" s="49" t="s">
        <v>412</v>
      </c>
      <c r="I135" s="50" t="s">
        <v>413</v>
      </c>
      <c r="J135" s="50" t="s">
        <v>418</v>
      </c>
      <c r="K135" s="50" t="s">
        <v>264</v>
      </c>
      <c r="L135" s="51">
        <v>81</v>
      </c>
      <c r="M135" s="52">
        <v>21.3</v>
      </c>
      <c r="N135" s="52">
        <v>21.8</v>
      </c>
    </row>
    <row r="136" spans="1:14" ht="16.5" customHeight="1">
      <c r="A136" s="49" t="s">
        <v>208</v>
      </c>
      <c r="B136" s="49" t="s">
        <v>209</v>
      </c>
      <c r="C136" s="49" t="s">
        <v>210</v>
      </c>
      <c r="D136" s="49" t="s">
        <v>211</v>
      </c>
      <c r="E136" s="49" t="s">
        <v>212</v>
      </c>
      <c r="F136" s="49">
        <v>74418</v>
      </c>
      <c r="G136" s="49" t="s">
        <v>411</v>
      </c>
      <c r="H136" s="49" t="s">
        <v>412</v>
      </c>
      <c r="I136" s="50" t="s">
        <v>413</v>
      </c>
      <c r="J136" s="50" t="s">
        <v>419</v>
      </c>
      <c r="K136" s="50" t="s">
        <v>266</v>
      </c>
      <c r="L136" s="51">
        <v>81</v>
      </c>
      <c r="M136" s="52">
        <v>21.2</v>
      </c>
      <c r="N136" s="52">
        <v>21.7</v>
      </c>
    </row>
    <row r="137" spans="1:14" ht="16.5" customHeight="1">
      <c r="A137" s="49" t="s">
        <v>208</v>
      </c>
      <c r="B137" s="49" t="s">
        <v>209</v>
      </c>
      <c r="C137" s="49" t="s">
        <v>210</v>
      </c>
      <c r="D137" s="49" t="s">
        <v>211</v>
      </c>
      <c r="E137" s="49" t="s">
        <v>212</v>
      </c>
      <c r="F137" s="49">
        <v>74418</v>
      </c>
      <c r="G137" s="49" t="s">
        <v>411</v>
      </c>
      <c r="H137" s="49" t="s">
        <v>412</v>
      </c>
      <c r="I137" s="50" t="s">
        <v>413</v>
      </c>
      <c r="J137" s="50" t="s">
        <v>420</v>
      </c>
      <c r="K137" s="50" t="s">
        <v>268</v>
      </c>
      <c r="L137" s="51">
        <v>81</v>
      </c>
      <c r="M137" s="52">
        <v>21.3</v>
      </c>
      <c r="N137" s="52">
        <v>21.8</v>
      </c>
    </row>
    <row r="138" spans="1:14" ht="16.5" customHeight="1">
      <c r="A138" s="49" t="s">
        <v>208</v>
      </c>
      <c r="B138" s="49" t="s">
        <v>209</v>
      </c>
      <c r="C138" s="49" t="s">
        <v>210</v>
      </c>
      <c r="D138" s="49" t="s">
        <v>211</v>
      </c>
      <c r="E138" s="49" t="s">
        <v>212</v>
      </c>
      <c r="F138" s="49">
        <v>74418</v>
      </c>
      <c r="G138" s="49" t="s">
        <v>411</v>
      </c>
      <c r="H138" s="49" t="s">
        <v>412</v>
      </c>
      <c r="I138" s="50" t="s">
        <v>413</v>
      </c>
      <c r="J138" s="50" t="s">
        <v>421</v>
      </c>
      <c r="K138" s="50" t="s">
        <v>422</v>
      </c>
      <c r="L138" s="51">
        <v>62</v>
      </c>
      <c r="M138" s="52">
        <v>16.2</v>
      </c>
      <c r="N138" s="52">
        <v>16.7</v>
      </c>
    </row>
    <row r="139" spans="1:14" ht="16.5" customHeight="1">
      <c r="A139" s="49" t="s">
        <v>208</v>
      </c>
      <c r="B139" s="49" t="s">
        <v>209</v>
      </c>
      <c r="C139" s="49" t="s">
        <v>210</v>
      </c>
      <c r="D139" s="49" t="s">
        <v>211</v>
      </c>
      <c r="E139" s="49" t="s">
        <v>212</v>
      </c>
      <c r="F139" s="49">
        <v>74418</v>
      </c>
      <c r="G139" s="49" t="s">
        <v>411</v>
      </c>
      <c r="H139" s="49" t="s">
        <v>412</v>
      </c>
      <c r="I139" s="50" t="s">
        <v>423</v>
      </c>
      <c r="J139" s="50" t="s">
        <v>254</v>
      </c>
      <c r="K139" s="50" t="s">
        <v>217</v>
      </c>
      <c r="L139" s="51">
        <v>81</v>
      </c>
      <c r="M139" s="52">
        <v>21</v>
      </c>
      <c r="N139" s="52">
        <v>21.5</v>
      </c>
    </row>
    <row r="140" spans="1:14" ht="16.5" customHeight="1">
      <c r="A140" s="49" t="s">
        <v>208</v>
      </c>
      <c r="B140" s="49" t="s">
        <v>209</v>
      </c>
      <c r="C140" s="49" t="s">
        <v>210</v>
      </c>
      <c r="D140" s="49" t="s">
        <v>211</v>
      </c>
      <c r="E140" s="49" t="s">
        <v>212</v>
      </c>
      <c r="F140" s="49">
        <v>74418</v>
      </c>
      <c r="G140" s="49" t="s">
        <v>411</v>
      </c>
      <c r="H140" s="49" t="s">
        <v>412</v>
      </c>
      <c r="I140" s="50" t="s">
        <v>423</v>
      </c>
      <c r="J140" s="50" t="s">
        <v>255</v>
      </c>
      <c r="K140" s="50" t="s">
        <v>219</v>
      </c>
      <c r="L140" s="51">
        <v>82</v>
      </c>
      <c r="M140" s="52">
        <v>21.3</v>
      </c>
      <c r="N140" s="52">
        <v>21.8</v>
      </c>
    </row>
    <row r="141" spans="1:14" ht="16.5" customHeight="1">
      <c r="A141" s="49" t="s">
        <v>208</v>
      </c>
      <c r="B141" s="49" t="s">
        <v>209</v>
      </c>
      <c r="C141" s="49" t="s">
        <v>210</v>
      </c>
      <c r="D141" s="49" t="s">
        <v>211</v>
      </c>
      <c r="E141" s="49" t="s">
        <v>212</v>
      </c>
      <c r="F141" s="49">
        <v>74418</v>
      </c>
      <c r="G141" s="49" t="s">
        <v>411</v>
      </c>
      <c r="H141" s="49" t="s">
        <v>412</v>
      </c>
      <c r="I141" s="50" t="s">
        <v>423</v>
      </c>
      <c r="J141" s="50" t="s">
        <v>256</v>
      </c>
      <c r="K141" s="50" t="s">
        <v>224</v>
      </c>
      <c r="L141" s="51">
        <v>82</v>
      </c>
      <c r="M141" s="52">
        <v>21.2</v>
      </c>
      <c r="N141" s="52">
        <v>21.7</v>
      </c>
    </row>
    <row r="142" spans="1:14" ht="16.5" customHeight="1">
      <c r="A142" s="49" t="s">
        <v>208</v>
      </c>
      <c r="B142" s="49" t="s">
        <v>209</v>
      </c>
      <c r="C142" s="49" t="s">
        <v>210</v>
      </c>
      <c r="D142" s="49" t="s">
        <v>211</v>
      </c>
      <c r="E142" s="49" t="s">
        <v>212</v>
      </c>
      <c r="F142" s="49">
        <v>74418</v>
      </c>
      <c r="G142" s="49" t="s">
        <v>411</v>
      </c>
      <c r="H142" s="49" t="s">
        <v>412</v>
      </c>
      <c r="I142" s="50" t="s">
        <v>423</v>
      </c>
      <c r="J142" s="50" t="s">
        <v>257</v>
      </c>
      <c r="K142" s="50" t="s">
        <v>226</v>
      </c>
      <c r="L142" s="51">
        <v>83</v>
      </c>
      <c r="M142" s="52">
        <v>21.4</v>
      </c>
      <c r="N142" s="52">
        <v>21.9</v>
      </c>
    </row>
    <row r="143" spans="1:14" ht="16.5" customHeight="1">
      <c r="A143" s="49" t="s">
        <v>208</v>
      </c>
      <c r="B143" s="49" t="s">
        <v>209</v>
      </c>
      <c r="C143" s="49" t="s">
        <v>210</v>
      </c>
      <c r="D143" s="49" t="s">
        <v>211</v>
      </c>
      <c r="E143" s="49" t="s">
        <v>212</v>
      </c>
      <c r="F143" s="49">
        <v>74418</v>
      </c>
      <c r="G143" s="49" t="s">
        <v>411</v>
      </c>
      <c r="H143" s="49" t="s">
        <v>412</v>
      </c>
      <c r="I143" s="50" t="s">
        <v>423</v>
      </c>
      <c r="J143" s="50" t="s">
        <v>258</v>
      </c>
      <c r="K143" s="50" t="s">
        <v>227</v>
      </c>
      <c r="L143" s="51">
        <v>82</v>
      </c>
      <c r="M143" s="52">
        <v>21.4</v>
      </c>
      <c r="N143" s="52">
        <v>21.9</v>
      </c>
    </row>
    <row r="144" spans="1:14" ht="16.5" customHeight="1">
      <c r="A144" s="49" t="s">
        <v>208</v>
      </c>
      <c r="B144" s="49" t="s">
        <v>209</v>
      </c>
      <c r="C144" s="49" t="s">
        <v>210</v>
      </c>
      <c r="D144" s="49" t="s">
        <v>211</v>
      </c>
      <c r="E144" s="49" t="s">
        <v>212</v>
      </c>
      <c r="F144" s="49">
        <v>74418</v>
      </c>
      <c r="G144" s="49" t="s">
        <v>411</v>
      </c>
      <c r="H144" s="49" t="s">
        <v>412</v>
      </c>
      <c r="I144" s="50" t="s">
        <v>423</v>
      </c>
      <c r="J144" s="50" t="s">
        <v>259</v>
      </c>
      <c r="K144" s="50" t="s">
        <v>260</v>
      </c>
      <c r="L144" s="51">
        <v>82</v>
      </c>
      <c r="M144" s="52">
        <v>21.4</v>
      </c>
      <c r="N144" s="52">
        <v>21.9</v>
      </c>
    </row>
    <row r="145" spans="1:14" ht="16.5" customHeight="1">
      <c r="A145" s="49" t="s">
        <v>208</v>
      </c>
      <c r="B145" s="49" t="s">
        <v>209</v>
      </c>
      <c r="C145" s="49" t="s">
        <v>210</v>
      </c>
      <c r="D145" s="49" t="s">
        <v>211</v>
      </c>
      <c r="E145" s="49" t="s">
        <v>212</v>
      </c>
      <c r="F145" s="49">
        <v>74418</v>
      </c>
      <c r="G145" s="49" t="s">
        <v>411</v>
      </c>
      <c r="H145" s="49" t="s">
        <v>412</v>
      </c>
      <c r="I145" s="50" t="s">
        <v>423</v>
      </c>
      <c r="J145" s="50" t="s">
        <v>261</v>
      </c>
      <c r="K145" s="50" t="s">
        <v>262</v>
      </c>
      <c r="L145" s="51">
        <v>83</v>
      </c>
      <c r="M145" s="52">
        <v>21.6</v>
      </c>
      <c r="N145" s="52">
        <v>22.1</v>
      </c>
    </row>
    <row r="146" spans="1:14" ht="16.5" customHeight="1">
      <c r="A146" s="49" t="s">
        <v>208</v>
      </c>
      <c r="B146" s="49" t="s">
        <v>209</v>
      </c>
      <c r="C146" s="49" t="s">
        <v>210</v>
      </c>
      <c r="D146" s="49" t="s">
        <v>211</v>
      </c>
      <c r="E146" s="49" t="s">
        <v>212</v>
      </c>
      <c r="F146" s="49">
        <v>74418</v>
      </c>
      <c r="G146" s="49" t="s">
        <v>411</v>
      </c>
      <c r="H146" s="49" t="s">
        <v>412</v>
      </c>
      <c r="I146" s="50" t="s">
        <v>423</v>
      </c>
      <c r="J146" s="50" t="s">
        <v>263</v>
      </c>
      <c r="K146" s="50" t="s">
        <v>264</v>
      </c>
      <c r="L146" s="51">
        <v>82</v>
      </c>
      <c r="M146" s="52">
        <v>21.4</v>
      </c>
      <c r="N146" s="52">
        <v>21.9</v>
      </c>
    </row>
    <row r="147" spans="1:14" ht="16.5" customHeight="1">
      <c r="A147" s="49" t="s">
        <v>208</v>
      </c>
      <c r="B147" s="49" t="s">
        <v>209</v>
      </c>
      <c r="C147" s="49" t="s">
        <v>210</v>
      </c>
      <c r="D147" s="49" t="s">
        <v>211</v>
      </c>
      <c r="E147" s="49" t="s">
        <v>212</v>
      </c>
      <c r="F147" s="49">
        <v>74418</v>
      </c>
      <c r="G147" s="49" t="s">
        <v>411</v>
      </c>
      <c r="H147" s="49" t="s">
        <v>412</v>
      </c>
      <c r="I147" s="50" t="s">
        <v>423</v>
      </c>
      <c r="J147" s="50" t="s">
        <v>265</v>
      </c>
      <c r="K147" s="50" t="s">
        <v>266</v>
      </c>
      <c r="L147" s="51">
        <v>82</v>
      </c>
      <c r="M147" s="52">
        <v>21.3</v>
      </c>
      <c r="N147" s="52">
        <v>21.8</v>
      </c>
    </row>
    <row r="148" spans="1:14" ht="16.5" customHeight="1">
      <c r="A148" s="49" t="s">
        <v>208</v>
      </c>
      <c r="B148" s="49" t="s">
        <v>209</v>
      </c>
      <c r="C148" s="49" t="s">
        <v>210</v>
      </c>
      <c r="D148" s="49" t="s">
        <v>211</v>
      </c>
      <c r="E148" s="49" t="s">
        <v>212</v>
      </c>
      <c r="F148" s="49">
        <v>74418</v>
      </c>
      <c r="G148" s="49" t="s">
        <v>411</v>
      </c>
      <c r="H148" s="49" t="s">
        <v>412</v>
      </c>
      <c r="I148" s="50" t="s">
        <v>423</v>
      </c>
      <c r="J148" s="50" t="s">
        <v>267</v>
      </c>
      <c r="K148" s="50" t="s">
        <v>268</v>
      </c>
      <c r="L148" s="51">
        <v>82</v>
      </c>
      <c r="M148" s="52">
        <v>21.4</v>
      </c>
      <c r="N148" s="52">
        <v>21.9</v>
      </c>
    </row>
    <row r="149" spans="1:14" ht="16.5" customHeight="1">
      <c r="A149" s="49" t="s">
        <v>208</v>
      </c>
      <c r="B149" s="49" t="s">
        <v>209</v>
      </c>
      <c r="C149" s="49" t="s">
        <v>210</v>
      </c>
      <c r="D149" s="49" t="s">
        <v>211</v>
      </c>
      <c r="E149" s="49" t="s">
        <v>212</v>
      </c>
      <c r="F149" s="49">
        <v>74418</v>
      </c>
      <c r="G149" s="49" t="s">
        <v>411</v>
      </c>
      <c r="H149" s="49" t="s">
        <v>412</v>
      </c>
      <c r="I149" s="50" t="s">
        <v>423</v>
      </c>
      <c r="J149" s="50" t="s">
        <v>269</v>
      </c>
      <c r="K149" s="50" t="s">
        <v>270</v>
      </c>
      <c r="L149" s="51">
        <v>82</v>
      </c>
      <c r="M149" s="52">
        <v>21.4</v>
      </c>
      <c r="N149" s="52">
        <v>21.9</v>
      </c>
    </row>
    <row r="150" spans="1:14" ht="16.5" customHeight="1">
      <c r="A150" s="49" t="s">
        <v>208</v>
      </c>
      <c r="B150" s="49" t="s">
        <v>209</v>
      </c>
      <c r="C150" s="49" t="s">
        <v>210</v>
      </c>
      <c r="D150" s="49" t="s">
        <v>211</v>
      </c>
      <c r="E150" s="49" t="s">
        <v>212</v>
      </c>
      <c r="F150" s="49">
        <v>74418</v>
      </c>
      <c r="G150" s="49" t="s">
        <v>411</v>
      </c>
      <c r="H150" s="49" t="s">
        <v>412</v>
      </c>
      <c r="I150" s="50" t="s">
        <v>423</v>
      </c>
      <c r="J150" s="50" t="s">
        <v>271</v>
      </c>
      <c r="K150" s="50" t="s">
        <v>272</v>
      </c>
      <c r="L150" s="51">
        <v>82</v>
      </c>
      <c r="M150" s="52">
        <v>21.4</v>
      </c>
      <c r="N150" s="52">
        <v>21.9</v>
      </c>
    </row>
    <row r="151" spans="1:14" ht="16.5" customHeight="1">
      <c r="A151" s="49" t="s">
        <v>208</v>
      </c>
      <c r="B151" s="49" t="s">
        <v>209</v>
      </c>
      <c r="C151" s="49" t="s">
        <v>210</v>
      </c>
      <c r="D151" s="49" t="s">
        <v>211</v>
      </c>
      <c r="E151" s="49" t="s">
        <v>212</v>
      </c>
      <c r="F151" s="49">
        <v>74418</v>
      </c>
      <c r="G151" s="49" t="s">
        <v>411</v>
      </c>
      <c r="H151" s="49" t="s">
        <v>412</v>
      </c>
      <c r="I151" s="50" t="s">
        <v>423</v>
      </c>
      <c r="J151" s="50" t="s">
        <v>273</v>
      </c>
      <c r="K151" s="50" t="s">
        <v>274</v>
      </c>
      <c r="L151" s="51">
        <v>83</v>
      </c>
      <c r="M151" s="52">
        <v>21.5</v>
      </c>
      <c r="N151" s="52">
        <v>22</v>
      </c>
    </row>
    <row r="152" spans="1:14" ht="16.5" customHeight="1">
      <c r="A152" s="49" t="s">
        <v>208</v>
      </c>
      <c r="B152" s="49" t="s">
        <v>209</v>
      </c>
      <c r="C152" s="49" t="s">
        <v>210</v>
      </c>
      <c r="D152" s="49" t="s">
        <v>211</v>
      </c>
      <c r="E152" s="49" t="s">
        <v>212</v>
      </c>
      <c r="F152" s="49">
        <v>74418</v>
      </c>
      <c r="G152" s="49" t="s">
        <v>411</v>
      </c>
      <c r="H152" s="49" t="s">
        <v>412</v>
      </c>
      <c r="I152" s="50" t="s">
        <v>423</v>
      </c>
      <c r="J152" s="50" t="s">
        <v>275</v>
      </c>
      <c r="K152" s="50" t="s">
        <v>276</v>
      </c>
      <c r="L152" s="51">
        <v>79</v>
      </c>
      <c r="M152" s="52">
        <v>20.6</v>
      </c>
      <c r="N152" s="52">
        <v>21.1</v>
      </c>
    </row>
    <row r="153" spans="1:14" ht="16.5" customHeight="1">
      <c r="A153" s="49" t="s">
        <v>208</v>
      </c>
      <c r="B153" s="49" t="s">
        <v>209</v>
      </c>
      <c r="C153" s="49" t="s">
        <v>210</v>
      </c>
      <c r="D153" s="49" t="s">
        <v>211</v>
      </c>
      <c r="E153" s="49" t="s">
        <v>212</v>
      </c>
      <c r="F153" s="49">
        <v>74418</v>
      </c>
      <c r="G153" s="49" t="s">
        <v>411</v>
      </c>
      <c r="H153" s="49" t="s">
        <v>412</v>
      </c>
      <c r="I153" s="50" t="s">
        <v>423</v>
      </c>
      <c r="J153" s="50" t="s">
        <v>424</v>
      </c>
      <c r="K153" s="50" t="s">
        <v>368</v>
      </c>
      <c r="L153" s="51">
        <v>79</v>
      </c>
      <c r="M153" s="52">
        <v>20.5</v>
      </c>
      <c r="N153" s="52">
        <v>21</v>
      </c>
    </row>
    <row r="154" spans="1:14" ht="16.5" customHeight="1">
      <c r="A154" s="49" t="s">
        <v>208</v>
      </c>
      <c r="B154" s="49" t="s">
        <v>209</v>
      </c>
      <c r="C154" s="49" t="s">
        <v>210</v>
      </c>
      <c r="D154" s="49" t="s">
        <v>211</v>
      </c>
      <c r="E154" s="49" t="s">
        <v>212</v>
      </c>
      <c r="F154" s="49">
        <v>74418</v>
      </c>
      <c r="G154" s="49" t="s">
        <v>411</v>
      </c>
      <c r="H154" s="49" t="s">
        <v>412</v>
      </c>
      <c r="I154" s="50" t="s">
        <v>423</v>
      </c>
      <c r="J154" s="50" t="s">
        <v>425</v>
      </c>
      <c r="K154" s="50" t="s">
        <v>370</v>
      </c>
      <c r="L154" s="51">
        <v>79</v>
      </c>
      <c r="M154" s="52">
        <v>20.6</v>
      </c>
      <c r="N154" s="52">
        <v>21.1</v>
      </c>
    </row>
    <row r="155" spans="1:14" ht="16.5" customHeight="1">
      <c r="A155" s="49" t="s">
        <v>208</v>
      </c>
      <c r="B155" s="49" t="s">
        <v>209</v>
      </c>
      <c r="C155" s="49" t="s">
        <v>210</v>
      </c>
      <c r="D155" s="49" t="s">
        <v>211</v>
      </c>
      <c r="E155" s="49" t="s">
        <v>212</v>
      </c>
      <c r="F155" s="49">
        <v>74418</v>
      </c>
      <c r="G155" s="49" t="s">
        <v>411</v>
      </c>
      <c r="H155" s="49" t="s">
        <v>412</v>
      </c>
      <c r="I155" s="50" t="s">
        <v>426</v>
      </c>
      <c r="J155" s="50" t="s">
        <v>353</v>
      </c>
      <c r="K155" s="50" t="s">
        <v>217</v>
      </c>
      <c r="L155" s="51">
        <v>81</v>
      </c>
      <c r="M155" s="52">
        <v>21.2</v>
      </c>
      <c r="N155" s="52">
        <v>21.7</v>
      </c>
    </row>
    <row r="156" spans="1:14" ht="16.5" customHeight="1">
      <c r="A156" s="49" t="s">
        <v>208</v>
      </c>
      <c r="B156" s="49" t="s">
        <v>209</v>
      </c>
      <c r="C156" s="49" t="s">
        <v>210</v>
      </c>
      <c r="D156" s="49" t="s">
        <v>211</v>
      </c>
      <c r="E156" s="49" t="s">
        <v>212</v>
      </c>
      <c r="F156" s="49">
        <v>74418</v>
      </c>
      <c r="G156" s="49" t="s">
        <v>411</v>
      </c>
      <c r="H156" s="49" t="s">
        <v>412</v>
      </c>
      <c r="I156" s="50" t="s">
        <v>426</v>
      </c>
      <c r="J156" s="50" t="s">
        <v>354</v>
      </c>
      <c r="K156" s="50" t="s">
        <v>219</v>
      </c>
      <c r="L156" s="51">
        <v>82</v>
      </c>
      <c r="M156" s="52">
        <v>21.5</v>
      </c>
      <c r="N156" s="52">
        <v>22</v>
      </c>
    </row>
    <row r="157" spans="1:14" ht="16.5" customHeight="1">
      <c r="A157" s="49" t="s">
        <v>208</v>
      </c>
      <c r="B157" s="49" t="s">
        <v>209</v>
      </c>
      <c r="C157" s="49" t="s">
        <v>210</v>
      </c>
      <c r="D157" s="49" t="s">
        <v>211</v>
      </c>
      <c r="E157" s="49" t="s">
        <v>212</v>
      </c>
      <c r="F157" s="49">
        <v>74418</v>
      </c>
      <c r="G157" s="49" t="s">
        <v>411</v>
      </c>
      <c r="H157" s="49" t="s">
        <v>412</v>
      </c>
      <c r="I157" s="50" t="s">
        <v>426</v>
      </c>
      <c r="J157" s="50" t="s">
        <v>355</v>
      </c>
      <c r="K157" s="50" t="s">
        <v>224</v>
      </c>
      <c r="L157" s="51">
        <v>82</v>
      </c>
      <c r="M157" s="52">
        <v>21</v>
      </c>
      <c r="N157" s="52">
        <v>21.5</v>
      </c>
    </row>
    <row r="158" spans="1:14" ht="16.5" customHeight="1">
      <c r="A158" s="49" t="s">
        <v>208</v>
      </c>
      <c r="B158" s="49" t="s">
        <v>209</v>
      </c>
      <c r="C158" s="49" t="s">
        <v>210</v>
      </c>
      <c r="D158" s="49" t="s">
        <v>211</v>
      </c>
      <c r="E158" s="49" t="s">
        <v>212</v>
      </c>
      <c r="F158" s="49">
        <v>74418</v>
      </c>
      <c r="G158" s="49" t="s">
        <v>411</v>
      </c>
      <c r="H158" s="49" t="s">
        <v>412</v>
      </c>
      <c r="I158" s="50" t="s">
        <v>426</v>
      </c>
      <c r="J158" s="50" t="s">
        <v>356</v>
      </c>
      <c r="K158" s="50" t="s">
        <v>226</v>
      </c>
      <c r="L158" s="51">
        <v>82</v>
      </c>
      <c r="M158" s="52">
        <v>21.5</v>
      </c>
      <c r="N158" s="52">
        <v>22</v>
      </c>
    </row>
    <row r="159" spans="1:14" ht="16.5" customHeight="1">
      <c r="A159" s="49" t="s">
        <v>208</v>
      </c>
      <c r="B159" s="49" t="s">
        <v>209</v>
      </c>
      <c r="C159" s="49" t="s">
        <v>210</v>
      </c>
      <c r="D159" s="49" t="s">
        <v>211</v>
      </c>
      <c r="E159" s="49" t="s">
        <v>212</v>
      </c>
      <c r="F159" s="49">
        <v>74418</v>
      </c>
      <c r="G159" s="49" t="s">
        <v>411</v>
      </c>
      <c r="H159" s="49" t="s">
        <v>412</v>
      </c>
      <c r="I159" s="50" t="s">
        <v>426</v>
      </c>
      <c r="J159" s="50" t="s">
        <v>357</v>
      </c>
      <c r="K159" s="50" t="s">
        <v>227</v>
      </c>
      <c r="L159" s="51">
        <v>82</v>
      </c>
      <c r="M159" s="52">
        <v>21.5</v>
      </c>
      <c r="N159" s="52">
        <v>22</v>
      </c>
    </row>
    <row r="160" spans="1:14" ht="16.5" customHeight="1">
      <c r="A160" s="49" t="s">
        <v>208</v>
      </c>
      <c r="B160" s="49" t="s">
        <v>209</v>
      </c>
      <c r="C160" s="49" t="s">
        <v>210</v>
      </c>
      <c r="D160" s="49" t="s">
        <v>211</v>
      </c>
      <c r="E160" s="49" t="s">
        <v>212</v>
      </c>
      <c r="F160" s="49">
        <v>74418</v>
      </c>
      <c r="G160" s="49" t="s">
        <v>411</v>
      </c>
      <c r="H160" s="49" t="s">
        <v>412</v>
      </c>
      <c r="I160" s="50" t="s">
        <v>426</v>
      </c>
      <c r="J160" s="50" t="s">
        <v>358</v>
      </c>
      <c r="K160" s="50" t="s">
        <v>260</v>
      </c>
      <c r="L160" s="51">
        <v>70</v>
      </c>
      <c r="M160" s="52">
        <v>18.3</v>
      </c>
      <c r="N160" s="52">
        <v>18.8</v>
      </c>
    </row>
    <row r="161" spans="1:14" ht="16.5" customHeight="1">
      <c r="A161" s="49" t="s">
        <v>208</v>
      </c>
      <c r="B161" s="49" t="s">
        <v>209</v>
      </c>
      <c r="C161" s="49" t="s">
        <v>210</v>
      </c>
      <c r="D161" s="49" t="s">
        <v>211</v>
      </c>
      <c r="E161" s="49" t="s">
        <v>212</v>
      </c>
      <c r="F161" s="49">
        <v>74418</v>
      </c>
      <c r="G161" s="49" t="s">
        <v>411</v>
      </c>
      <c r="H161" s="49" t="s">
        <v>412</v>
      </c>
      <c r="I161" s="50" t="s">
        <v>426</v>
      </c>
      <c r="J161" s="50" t="s">
        <v>359</v>
      </c>
      <c r="K161" s="50" t="s">
        <v>262</v>
      </c>
      <c r="L161" s="51">
        <v>80</v>
      </c>
      <c r="M161" s="52">
        <v>20.9</v>
      </c>
      <c r="N161" s="52">
        <v>21.4</v>
      </c>
    </row>
    <row r="162" spans="1:14" ht="16.5" customHeight="1">
      <c r="A162" s="49" t="s">
        <v>208</v>
      </c>
      <c r="B162" s="49" t="s">
        <v>209</v>
      </c>
      <c r="C162" s="49" t="s">
        <v>210</v>
      </c>
      <c r="D162" s="49" t="s">
        <v>211</v>
      </c>
      <c r="E162" s="49" t="s">
        <v>212</v>
      </c>
      <c r="F162" s="49">
        <v>74418</v>
      </c>
      <c r="G162" s="49" t="s">
        <v>411</v>
      </c>
      <c r="H162" s="49" t="s">
        <v>412</v>
      </c>
      <c r="I162" s="50" t="s">
        <v>426</v>
      </c>
      <c r="J162" s="50" t="s">
        <v>360</v>
      </c>
      <c r="K162" s="50" t="s">
        <v>264</v>
      </c>
      <c r="L162" s="51">
        <v>84</v>
      </c>
      <c r="M162" s="52">
        <v>22.1</v>
      </c>
      <c r="N162" s="52">
        <v>22.6</v>
      </c>
    </row>
    <row r="163" spans="1:14" ht="16.5" customHeight="1">
      <c r="A163" s="49" t="s">
        <v>208</v>
      </c>
      <c r="B163" s="49" t="s">
        <v>209</v>
      </c>
      <c r="C163" s="49" t="s">
        <v>210</v>
      </c>
      <c r="D163" s="49" t="s">
        <v>211</v>
      </c>
      <c r="E163" s="49" t="s">
        <v>212</v>
      </c>
      <c r="F163" s="49">
        <v>74418</v>
      </c>
      <c r="G163" s="49" t="s">
        <v>411</v>
      </c>
      <c r="H163" s="49" t="s">
        <v>412</v>
      </c>
      <c r="I163" s="50" t="s">
        <v>426</v>
      </c>
      <c r="J163" s="50" t="s">
        <v>361</v>
      </c>
      <c r="K163" s="50" t="s">
        <v>266</v>
      </c>
      <c r="L163" s="51">
        <v>82</v>
      </c>
      <c r="M163" s="52">
        <v>21.5</v>
      </c>
      <c r="N163" s="52">
        <v>22</v>
      </c>
    </row>
    <row r="164" spans="1:14" ht="16.5" customHeight="1">
      <c r="A164" s="49" t="s">
        <v>208</v>
      </c>
      <c r="B164" s="49" t="s">
        <v>209</v>
      </c>
      <c r="C164" s="49" t="s">
        <v>210</v>
      </c>
      <c r="D164" s="49" t="s">
        <v>211</v>
      </c>
      <c r="E164" s="49" t="s">
        <v>212</v>
      </c>
      <c r="F164" s="49">
        <v>74418</v>
      </c>
      <c r="G164" s="49" t="s">
        <v>411</v>
      </c>
      <c r="H164" s="49" t="s">
        <v>412</v>
      </c>
      <c r="I164" s="50" t="s">
        <v>426</v>
      </c>
      <c r="J164" s="50" t="s">
        <v>362</v>
      </c>
      <c r="K164" s="50" t="s">
        <v>268</v>
      </c>
      <c r="L164" s="51">
        <v>82</v>
      </c>
      <c r="M164" s="52">
        <v>21.5</v>
      </c>
      <c r="N164" s="52">
        <v>22</v>
      </c>
    </row>
    <row r="165" spans="1:14" ht="16.5" customHeight="1">
      <c r="A165" s="49" t="s">
        <v>208</v>
      </c>
      <c r="B165" s="49" t="s">
        <v>209</v>
      </c>
      <c r="C165" s="49" t="s">
        <v>210</v>
      </c>
      <c r="D165" s="49" t="s">
        <v>211</v>
      </c>
      <c r="E165" s="49" t="s">
        <v>212</v>
      </c>
      <c r="F165" s="49">
        <v>74418</v>
      </c>
      <c r="G165" s="49" t="s">
        <v>411</v>
      </c>
      <c r="H165" s="49" t="s">
        <v>412</v>
      </c>
      <c r="I165" s="50" t="s">
        <v>426</v>
      </c>
      <c r="J165" s="50" t="s">
        <v>363</v>
      </c>
      <c r="K165" s="50" t="s">
        <v>270</v>
      </c>
      <c r="L165" s="51">
        <v>82</v>
      </c>
      <c r="M165" s="52">
        <v>21.4</v>
      </c>
      <c r="N165" s="52">
        <v>21.9</v>
      </c>
    </row>
    <row r="166" spans="1:14" ht="16.5" customHeight="1">
      <c r="A166" s="49" t="s">
        <v>208</v>
      </c>
      <c r="B166" s="49" t="s">
        <v>209</v>
      </c>
      <c r="C166" s="49" t="s">
        <v>210</v>
      </c>
      <c r="D166" s="49" t="s">
        <v>211</v>
      </c>
      <c r="E166" s="49" t="s">
        <v>212</v>
      </c>
      <c r="F166" s="49">
        <v>74418</v>
      </c>
      <c r="G166" s="49" t="s">
        <v>411</v>
      </c>
      <c r="H166" s="49" t="s">
        <v>412</v>
      </c>
      <c r="I166" s="50" t="s">
        <v>426</v>
      </c>
      <c r="J166" s="50" t="s">
        <v>364</v>
      </c>
      <c r="K166" s="50" t="s">
        <v>272</v>
      </c>
      <c r="L166" s="51">
        <v>82</v>
      </c>
      <c r="M166" s="52">
        <v>21.4</v>
      </c>
      <c r="N166" s="52">
        <v>21.9</v>
      </c>
    </row>
    <row r="167" spans="1:14" ht="16.5" customHeight="1">
      <c r="A167" s="49" t="s">
        <v>208</v>
      </c>
      <c r="B167" s="49" t="s">
        <v>209</v>
      </c>
      <c r="C167" s="49" t="s">
        <v>210</v>
      </c>
      <c r="D167" s="49" t="s">
        <v>211</v>
      </c>
      <c r="E167" s="49" t="s">
        <v>212</v>
      </c>
      <c r="F167" s="49">
        <v>74418</v>
      </c>
      <c r="G167" s="49" t="s">
        <v>411</v>
      </c>
      <c r="H167" s="49" t="s">
        <v>412</v>
      </c>
      <c r="I167" s="50" t="s">
        <v>426</v>
      </c>
      <c r="J167" s="50" t="s">
        <v>365</v>
      </c>
      <c r="K167" s="50" t="s">
        <v>274</v>
      </c>
      <c r="L167" s="51">
        <v>81</v>
      </c>
      <c r="M167" s="52">
        <v>21.2</v>
      </c>
      <c r="N167" s="52">
        <v>21.7</v>
      </c>
    </row>
    <row r="168" spans="1:14" ht="16.5" customHeight="1">
      <c r="A168" s="49" t="s">
        <v>208</v>
      </c>
      <c r="B168" s="49" t="s">
        <v>209</v>
      </c>
      <c r="C168" s="49" t="s">
        <v>210</v>
      </c>
      <c r="D168" s="49" t="s">
        <v>211</v>
      </c>
      <c r="E168" s="49" t="s">
        <v>212</v>
      </c>
      <c r="F168" s="49">
        <v>74418</v>
      </c>
      <c r="G168" s="49" t="s">
        <v>411</v>
      </c>
      <c r="H168" s="49" t="s">
        <v>412</v>
      </c>
      <c r="I168" s="50" t="s">
        <v>426</v>
      </c>
      <c r="J168" s="50" t="s">
        <v>366</v>
      </c>
      <c r="K168" s="50" t="s">
        <v>276</v>
      </c>
      <c r="L168" s="51">
        <v>82</v>
      </c>
      <c r="M168" s="52">
        <v>21.5</v>
      </c>
      <c r="N168" s="52">
        <v>22</v>
      </c>
    </row>
    <row r="169" spans="1:14" ht="16.5" customHeight="1">
      <c r="A169" s="49" t="s">
        <v>208</v>
      </c>
      <c r="B169" s="49" t="s">
        <v>209</v>
      </c>
      <c r="C169" s="49" t="s">
        <v>210</v>
      </c>
      <c r="D169" s="49" t="s">
        <v>211</v>
      </c>
      <c r="E169" s="49" t="s">
        <v>212</v>
      </c>
      <c r="F169" s="49">
        <v>74418</v>
      </c>
      <c r="G169" s="49" t="s">
        <v>411</v>
      </c>
      <c r="H169" s="49" t="s">
        <v>412</v>
      </c>
      <c r="I169" s="50" t="s">
        <v>426</v>
      </c>
      <c r="J169" s="50" t="s">
        <v>367</v>
      </c>
      <c r="K169" s="50" t="s">
        <v>368</v>
      </c>
      <c r="L169" s="51">
        <v>81</v>
      </c>
      <c r="M169" s="52">
        <v>21.3</v>
      </c>
      <c r="N169" s="52">
        <v>21.8</v>
      </c>
    </row>
    <row r="170" spans="1:14" ht="16.5" customHeight="1">
      <c r="A170" s="49" t="s">
        <v>208</v>
      </c>
      <c r="B170" s="49" t="s">
        <v>209</v>
      </c>
      <c r="C170" s="49" t="s">
        <v>210</v>
      </c>
      <c r="D170" s="49" t="s">
        <v>211</v>
      </c>
      <c r="E170" s="49" t="s">
        <v>212</v>
      </c>
      <c r="F170" s="49">
        <v>74418</v>
      </c>
      <c r="G170" s="49" t="s">
        <v>411</v>
      </c>
      <c r="H170" s="49" t="s">
        <v>412</v>
      </c>
      <c r="I170" s="50" t="s">
        <v>426</v>
      </c>
      <c r="J170" s="50" t="s">
        <v>369</v>
      </c>
      <c r="K170" s="50" t="s">
        <v>370</v>
      </c>
      <c r="L170" s="51">
        <v>82</v>
      </c>
      <c r="M170" s="52">
        <v>21.4</v>
      </c>
      <c r="N170" s="52">
        <v>21.9</v>
      </c>
    </row>
    <row r="171" spans="1:14" ht="16.5" customHeight="1">
      <c r="A171" s="49" t="s">
        <v>208</v>
      </c>
      <c r="B171" s="49" t="s">
        <v>209</v>
      </c>
      <c r="C171" s="49" t="s">
        <v>210</v>
      </c>
      <c r="D171" s="49" t="s">
        <v>211</v>
      </c>
      <c r="E171" s="49" t="s">
        <v>212</v>
      </c>
      <c r="F171" s="49">
        <v>74418</v>
      </c>
      <c r="G171" s="49" t="s">
        <v>411</v>
      </c>
      <c r="H171" s="49" t="s">
        <v>412</v>
      </c>
      <c r="I171" s="50" t="s">
        <v>426</v>
      </c>
      <c r="J171" s="50" t="s">
        <v>371</v>
      </c>
      <c r="K171" s="50" t="s">
        <v>372</v>
      </c>
      <c r="L171" s="51">
        <v>81</v>
      </c>
      <c r="M171" s="52">
        <v>21.3</v>
      </c>
      <c r="N171" s="52">
        <v>21.8</v>
      </c>
    </row>
    <row r="172" spans="1:14" ht="16.5" customHeight="1">
      <c r="A172" s="49" t="s">
        <v>208</v>
      </c>
      <c r="B172" s="49" t="s">
        <v>209</v>
      </c>
      <c r="C172" s="49" t="s">
        <v>210</v>
      </c>
      <c r="D172" s="49" t="s">
        <v>211</v>
      </c>
      <c r="E172" s="49" t="s">
        <v>212</v>
      </c>
      <c r="F172" s="49">
        <v>74418</v>
      </c>
      <c r="G172" s="49" t="s">
        <v>411</v>
      </c>
      <c r="H172" s="49" t="s">
        <v>412</v>
      </c>
      <c r="I172" s="50" t="s">
        <v>426</v>
      </c>
      <c r="J172" s="50" t="s">
        <v>373</v>
      </c>
      <c r="K172" s="50" t="s">
        <v>278</v>
      </c>
      <c r="L172" s="51">
        <v>81</v>
      </c>
      <c r="M172" s="52">
        <v>21.3</v>
      </c>
      <c r="N172" s="52">
        <v>21.8</v>
      </c>
    </row>
    <row r="173" spans="1:14" ht="16.5" customHeight="1">
      <c r="A173" s="49" t="s">
        <v>208</v>
      </c>
      <c r="B173" s="49" t="s">
        <v>209</v>
      </c>
      <c r="C173" s="49" t="s">
        <v>210</v>
      </c>
      <c r="D173" s="49" t="s">
        <v>211</v>
      </c>
      <c r="E173" s="49" t="s">
        <v>212</v>
      </c>
      <c r="F173" s="49">
        <v>74418</v>
      </c>
      <c r="G173" s="49" t="s">
        <v>411</v>
      </c>
      <c r="H173" s="49" t="s">
        <v>412</v>
      </c>
      <c r="I173" s="50" t="s">
        <v>426</v>
      </c>
      <c r="J173" s="50" t="s">
        <v>374</v>
      </c>
      <c r="K173" s="50" t="s">
        <v>280</v>
      </c>
      <c r="L173" s="51">
        <v>81</v>
      </c>
      <c r="M173" s="52">
        <v>21.3</v>
      </c>
      <c r="N173" s="52">
        <v>21.8</v>
      </c>
    </row>
    <row r="174" spans="1:14" ht="16.5" customHeight="1">
      <c r="A174" s="49" t="s">
        <v>208</v>
      </c>
      <c r="B174" s="49" t="s">
        <v>209</v>
      </c>
      <c r="C174" s="49" t="s">
        <v>210</v>
      </c>
      <c r="D174" s="49" t="s">
        <v>211</v>
      </c>
      <c r="E174" s="49" t="s">
        <v>212</v>
      </c>
      <c r="F174" s="49">
        <v>74418</v>
      </c>
      <c r="G174" s="49" t="s">
        <v>411</v>
      </c>
      <c r="H174" s="49" t="s">
        <v>412</v>
      </c>
      <c r="I174" s="50" t="s">
        <v>426</v>
      </c>
      <c r="J174" s="50" t="s">
        <v>375</v>
      </c>
      <c r="K174" s="50" t="s">
        <v>282</v>
      </c>
      <c r="L174" s="51">
        <v>82</v>
      </c>
      <c r="M174" s="52">
        <v>21.4</v>
      </c>
      <c r="N174" s="52">
        <v>21.9</v>
      </c>
    </row>
    <row r="175" spans="1:14" ht="16.5" customHeight="1">
      <c r="A175" s="49" t="s">
        <v>208</v>
      </c>
      <c r="B175" s="49" t="s">
        <v>209</v>
      </c>
      <c r="C175" s="49" t="s">
        <v>210</v>
      </c>
      <c r="D175" s="49" t="s">
        <v>211</v>
      </c>
      <c r="E175" s="49" t="s">
        <v>212</v>
      </c>
      <c r="F175" s="49">
        <v>74418</v>
      </c>
      <c r="G175" s="49" t="s">
        <v>411</v>
      </c>
      <c r="H175" s="49" t="s">
        <v>412</v>
      </c>
      <c r="I175" s="50" t="s">
        <v>426</v>
      </c>
      <c r="J175" s="50" t="s">
        <v>376</v>
      </c>
      <c r="K175" s="50" t="s">
        <v>284</v>
      </c>
      <c r="L175" s="51">
        <v>82</v>
      </c>
      <c r="M175" s="52">
        <v>21.5</v>
      </c>
      <c r="N175" s="52">
        <v>22</v>
      </c>
    </row>
    <row r="176" spans="1:14" ht="16.5" customHeight="1">
      <c r="A176" s="49" t="s">
        <v>208</v>
      </c>
      <c r="B176" s="49" t="s">
        <v>209</v>
      </c>
      <c r="C176" s="49" t="s">
        <v>210</v>
      </c>
      <c r="D176" s="49" t="s">
        <v>211</v>
      </c>
      <c r="E176" s="49" t="s">
        <v>212</v>
      </c>
      <c r="F176" s="49">
        <v>74418</v>
      </c>
      <c r="G176" s="49" t="s">
        <v>411</v>
      </c>
      <c r="H176" s="49" t="s">
        <v>412</v>
      </c>
      <c r="I176" s="50" t="s">
        <v>426</v>
      </c>
      <c r="J176" s="50" t="s">
        <v>377</v>
      </c>
      <c r="K176" s="50" t="s">
        <v>286</v>
      </c>
      <c r="L176" s="51">
        <v>80</v>
      </c>
      <c r="M176" s="52">
        <v>21</v>
      </c>
      <c r="N176" s="52">
        <v>21.5</v>
      </c>
    </row>
    <row r="177" spans="1:14" ht="16.5" customHeight="1">
      <c r="A177" s="49" t="s">
        <v>208</v>
      </c>
      <c r="B177" s="49" t="s">
        <v>209</v>
      </c>
      <c r="C177" s="49" t="s">
        <v>210</v>
      </c>
      <c r="D177" s="49" t="s">
        <v>211</v>
      </c>
      <c r="E177" s="49" t="s">
        <v>212</v>
      </c>
      <c r="F177" s="49">
        <v>74418</v>
      </c>
      <c r="G177" s="49" t="s">
        <v>411</v>
      </c>
      <c r="H177" s="49" t="s">
        <v>412</v>
      </c>
      <c r="I177" s="50" t="s">
        <v>427</v>
      </c>
      <c r="J177" s="50" t="s">
        <v>428</v>
      </c>
      <c r="K177" s="50" t="s">
        <v>372</v>
      </c>
      <c r="L177" s="51">
        <v>77</v>
      </c>
      <c r="M177" s="52">
        <v>20</v>
      </c>
      <c r="N177" s="52">
        <v>20.5</v>
      </c>
    </row>
    <row r="178" spans="1:14" ht="16.5" customHeight="1">
      <c r="A178" s="49" t="s">
        <v>208</v>
      </c>
      <c r="B178" s="49" t="s">
        <v>209</v>
      </c>
      <c r="C178" s="49" t="s">
        <v>210</v>
      </c>
      <c r="D178" s="49" t="s">
        <v>211</v>
      </c>
      <c r="E178" s="49" t="s">
        <v>212</v>
      </c>
      <c r="F178" s="49">
        <v>74418</v>
      </c>
      <c r="G178" s="49" t="s">
        <v>411</v>
      </c>
      <c r="H178" s="49" t="s">
        <v>412</v>
      </c>
      <c r="I178" s="50" t="s">
        <v>429</v>
      </c>
      <c r="J178" s="50" t="s">
        <v>430</v>
      </c>
      <c r="K178" s="50" t="s">
        <v>337</v>
      </c>
      <c r="L178" s="51">
        <v>82</v>
      </c>
      <c r="M178" s="52">
        <v>21.2</v>
      </c>
      <c r="N178" s="52">
        <v>21.7</v>
      </c>
    </row>
    <row r="179" spans="1:14" ht="16.5" customHeight="1">
      <c r="A179" s="49" t="s">
        <v>208</v>
      </c>
      <c r="B179" s="49" t="s">
        <v>209</v>
      </c>
      <c r="C179" s="49" t="s">
        <v>210</v>
      </c>
      <c r="D179" s="49" t="s">
        <v>211</v>
      </c>
      <c r="E179" s="49" t="s">
        <v>212</v>
      </c>
      <c r="F179" s="49">
        <v>74418</v>
      </c>
      <c r="G179" s="49" t="s">
        <v>411</v>
      </c>
      <c r="H179" s="49" t="s">
        <v>412</v>
      </c>
      <c r="I179" s="50" t="s">
        <v>429</v>
      </c>
      <c r="J179" s="50" t="s">
        <v>431</v>
      </c>
      <c r="K179" s="50" t="s">
        <v>339</v>
      </c>
      <c r="L179" s="51">
        <v>82</v>
      </c>
      <c r="M179" s="52">
        <v>21.3</v>
      </c>
      <c r="N179" s="52">
        <v>21.8</v>
      </c>
    </row>
    <row r="180" spans="1:14" ht="16.5" customHeight="1">
      <c r="A180" s="49" t="s">
        <v>208</v>
      </c>
      <c r="B180" s="49" t="s">
        <v>209</v>
      </c>
      <c r="C180" s="49" t="s">
        <v>210</v>
      </c>
      <c r="D180" s="49" t="s">
        <v>211</v>
      </c>
      <c r="E180" s="49" t="s">
        <v>212</v>
      </c>
      <c r="F180" s="49">
        <v>74418</v>
      </c>
      <c r="G180" s="49" t="s">
        <v>411</v>
      </c>
      <c r="H180" s="49" t="s">
        <v>412</v>
      </c>
      <c r="I180" s="50" t="s">
        <v>429</v>
      </c>
      <c r="J180" s="50" t="s">
        <v>432</v>
      </c>
      <c r="K180" s="50" t="s">
        <v>341</v>
      </c>
      <c r="L180" s="51">
        <v>82</v>
      </c>
      <c r="M180" s="52">
        <v>21.2</v>
      </c>
      <c r="N180" s="52">
        <v>21.7</v>
      </c>
    </row>
    <row r="181" spans="1:14" ht="16.5" customHeight="1">
      <c r="A181" s="49" t="s">
        <v>208</v>
      </c>
      <c r="B181" s="49" t="s">
        <v>209</v>
      </c>
      <c r="C181" s="49" t="s">
        <v>210</v>
      </c>
      <c r="D181" s="49" t="s">
        <v>211</v>
      </c>
      <c r="E181" s="49" t="s">
        <v>212</v>
      </c>
      <c r="F181" s="49">
        <v>74418</v>
      </c>
      <c r="G181" s="49" t="s">
        <v>411</v>
      </c>
      <c r="H181" s="49" t="s">
        <v>412</v>
      </c>
      <c r="I181" s="50" t="s">
        <v>429</v>
      </c>
      <c r="J181" s="50" t="s">
        <v>433</v>
      </c>
      <c r="K181" s="50" t="s">
        <v>343</v>
      </c>
      <c r="L181" s="51">
        <v>75</v>
      </c>
      <c r="M181" s="52">
        <v>19.399999999999999</v>
      </c>
      <c r="N181" s="52">
        <v>19.899999999999999</v>
      </c>
    </row>
    <row r="182" spans="1:14" ht="16.5" customHeight="1">
      <c r="A182" s="49" t="s">
        <v>208</v>
      </c>
      <c r="B182" s="49" t="s">
        <v>209</v>
      </c>
      <c r="C182" s="49" t="s">
        <v>210</v>
      </c>
      <c r="D182" s="49" t="s">
        <v>211</v>
      </c>
      <c r="E182" s="49" t="s">
        <v>212</v>
      </c>
      <c r="F182" s="49">
        <v>74418</v>
      </c>
      <c r="G182" s="49" t="s">
        <v>411</v>
      </c>
      <c r="H182" s="49" t="s">
        <v>412</v>
      </c>
      <c r="I182" s="50" t="s">
        <v>429</v>
      </c>
      <c r="J182" s="50" t="s">
        <v>434</v>
      </c>
      <c r="K182" s="50" t="s">
        <v>345</v>
      </c>
      <c r="L182" s="51">
        <v>82</v>
      </c>
      <c r="M182" s="52">
        <v>21.2</v>
      </c>
      <c r="N182" s="52">
        <v>21.7</v>
      </c>
    </row>
    <row r="183" spans="1:14" ht="16.5" customHeight="1">
      <c r="A183" s="49" t="s">
        <v>208</v>
      </c>
      <c r="B183" s="49" t="s">
        <v>209</v>
      </c>
      <c r="C183" s="49" t="s">
        <v>210</v>
      </c>
      <c r="D183" s="49" t="s">
        <v>211</v>
      </c>
      <c r="E183" s="49" t="s">
        <v>212</v>
      </c>
      <c r="F183" s="49">
        <v>74418</v>
      </c>
      <c r="G183" s="49" t="s">
        <v>411</v>
      </c>
      <c r="H183" s="49" t="s">
        <v>412</v>
      </c>
      <c r="I183" s="50" t="s">
        <v>429</v>
      </c>
      <c r="J183" s="50" t="s">
        <v>435</v>
      </c>
      <c r="K183" s="50" t="s">
        <v>347</v>
      </c>
      <c r="L183" s="51">
        <v>81</v>
      </c>
      <c r="M183" s="52">
        <v>21</v>
      </c>
      <c r="N183" s="52">
        <v>21.5</v>
      </c>
    </row>
    <row r="184" spans="1:14" ht="16.5" customHeight="1">
      <c r="A184" s="49" t="s">
        <v>208</v>
      </c>
      <c r="B184" s="49" t="s">
        <v>209</v>
      </c>
      <c r="C184" s="49" t="s">
        <v>210</v>
      </c>
      <c r="D184" s="49" t="s">
        <v>211</v>
      </c>
      <c r="E184" s="49" t="s">
        <v>212</v>
      </c>
      <c r="F184" s="49">
        <v>74418</v>
      </c>
      <c r="G184" s="49" t="s">
        <v>411</v>
      </c>
      <c r="H184" s="49" t="s">
        <v>412</v>
      </c>
      <c r="I184" s="50" t="s">
        <v>429</v>
      </c>
      <c r="J184" s="50" t="s">
        <v>436</v>
      </c>
      <c r="K184" s="50" t="s">
        <v>349</v>
      </c>
      <c r="L184" s="51">
        <v>78</v>
      </c>
      <c r="M184" s="52">
        <v>20.3</v>
      </c>
      <c r="N184" s="52">
        <v>20.8</v>
      </c>
    </row>
    <row r="185" spans="1:14" ht="16.5" customHeight="1">
      <c r="A185" s="49" t="s">
        <v>208</v>
      </c>
      <c r="B185" s="49" t="s">
        <v>209</v>
      </c>
      <c r="C185" s="49" t="s">
        <v>210</v>
      </c>
      <c r="D185" s="49" t="s">
        <v>211</v>
      </c>
      <c r="E185" s="49" t="s">
        <v>212</v>
      </c>
      <c r="F185" s="49">
        <v>74418</v>
      </c>
      <c r="G185" s="49" t="s">
        <v>411</v>
      </c>
      <c r="H185" s="49" t="s">
        <v>412</v>
      </c>
      <c r="I185" s="50" t="s">
        <v>429</v>
      </c>
      <c r="J185" s="50" t="s">
        <v>437</v>
      </c>
      <c r="K185" s="50" t="s">
        <v>351</v>
      </c>
      <c r="L185" s="51">
        <v>81</v>
      </c>
      <c r="M185" s="52">
        <v>21</v>
      </c>
      <c r="N185" s="52">
        <v>21.5</v>
      </c>
    </row>
    <row r="186" spans="1:14" ht="16.5" customHeight="1">
      <c r="A186" s="49" t="s">
        <v>208</v>
      </c>
      <c r="B186" s="49" t="s">
        <v>209</v>
      </c>
      <c r="C186" s="49" t="s">
        <v>210</v>
      </c>
      <c r="D186" s="49" t="s">
        <v>211</v>
      </c>
      <c r="E186" s="49" t="s">
        <v>212</v>
      </c>
      <c r="F186" s="49">
        <v>74418</v>
      </c>
      <c r="G186" s="49" t="s">
        <v>411</v>
      </c>
      <c r="H186" s="49" t="s">
        <v>412</v>
      </c>
      <c r="I186" s="50" t="s">
        <v>429</v>
      </c>
      <c r="J186" s="50" t="s">
        <v>438</v>
      </c>
      <c r="K186" s="50" t="s">
        <v>439</v>
      </c>
      <c r="L186" s="51">
        <v>82</v>
      </c>
      <c r="M186" s="52">
        <v>21.2</v>
      </c>
      <c r="N186" s="52">
        <v>21.7</v>
      </c>
    </row>
    <row r="187" spans="1:14" ht="16.5" customHeight="1">
      <c r="A187" s="49" t="s">
        <v>208</v>
      </c>
      <c r="B187" s="49" t="s">
        <v>209</v>
      </c>
      <c r="C187" s="49" t="s">
        <v>210</v>
      </c>
      <c r="D187" s="49" t="s">
        <v>211</v>
      </c>
      <c r="E187" s="49" t="s">
        <v>212</v>
      </c>
      <c r="F187" s="49">
        <v>74418</v>
      </c>
      <c r="G187" s="49" t="s">
        <v>411</v>
      </c>
      <c r="H187" s="49" t="s">
        <v>412</v>
      </c>
      <c r="I187" s="50" t="s">
        <v>429</v>
      </c>
      <c r="J187" s="50" t="s">
        <v>440</v>
      </c>
      <c r="K187" s="50" t="s">
        <v>441</v>
      </c>
      <c r="L187" s="51">
        <v>82</v>
      </c>
      <c r="M187" s="52">
        <v>21.2</v>
      </c>
      <c r="N187" s="52">
        <v>21.7</v>
      </c>
    </row>
    <row r="188" spans="1:14" ht="16.5" customHeight="1">
      <c r="A188" s="49" t="s">
        <v>208</v>
      </c>
      <c r="B188" s="49" t="s">
        <v>209</v>
      </c>
      <c r="C188" s="49" t="s">
        <v>210</v>
      </c>
      <c r="D188" s="49" t="s">
        <v>211</v>
      </c>
      <c r="E188" s="49" t="s">
        <v>212</v>
      </c>
      <c r="F188" s="49">
        <v>74418</v>
      </c>
      <c r="G188" s="49" t="s">
        <v>411</v>
      </c>
      <c r="H188" s="49" t="s">
        <v>412</v>
      </c>
      <c r="I188" s="50" t="s">
        <v>429</v>
      </c>
      <c r="J188" s="50" t="s">
        <v>442</v>
      </c>
      <c r="K188" s="50" t="s">
        <v>443</v>
      </c>
      <c r="L188" s="51">
        <v>81</v>
      </c>
      <c r="M188" s="52">
        <v>21</v>
      </c>
      <c r="N188" s="52">
        <v>21.5</v>
      </c>
    </row>
    <row r="189" spans="1:14" ht="16.5" customHeight="1">
      <c r="A189" s="49" t="s">
        <v>208</v>
      </c>
      <c r="B189" s="49" t="s">
        <v>209</v>
      </c>
      <c r="C189" s="49" t="s">
        <v>210</v>
      </c>
      <c r="D189" s="49" t="s">
        <v>211</v>
      </c>
      <c r="E189" s="49" t="s">
        <v>212</v>
      </c>
      <c r="F189" s="49">
        <v>74418</v>
      </c>
      <c r="G189" s="49" t="s">
        <v>411</v>
      </c>
      <c r="H189" s="49" t="s">
        <v>412</v>
      </c>
      <c r="I189" s="50" t="s">
        <v>429</v>
      </c>
      <c r="J189" s="50" t="s">
        <v>444</v>
      </c>
      <c r="K189" s="50" t="s">
        <v>445</v>
      </c>
      <c r="L189" s="51">
        <v>82</v>
      </c>
      <c r="M189" s="52">
        <v>21.3</v>
      </c>
      <c r="N189" s="52">
        <v>21.8</v>
      </c>
    </row>
    <row r="190" spans="1:14" ht="16.5" customHeight="1">
      <c r="A190" s="49" t="s">
        <v>208</v>
      </c>
      <c r="B190" s="49" t="s">
        <v>209</v>
      </c>
      <c r="C190" s="49" t="s">
        <v>210</v>
      </c>
      <c r="D190" s="49" t="s">
        <v>211</v>
      </c>
      <c r="E190" s="49" t="s">
        <v>212</v>
      </c>
      <c r="F190" s="49">
        <v>74418</v>
      </c>
      <c r="G190" s="49" t="s">
        <v>411</v>
      </c>
      <c r="H190" s="49" t="s">
        <v>412</v>
      </c>
      <c r="I190" s="50" t="s">
        <v>429</v>
      </c>
      <c r="J190" s="50" t="s">
        <v>446</v>
      </c>
      <c r="K190" s="50" t="s">
        <v>447</v>
      </c>
      <c r="L190" s="51">
        <v>80</v>
      </c>
      <c r="M190" s="52">
        <v>20.7</v>
      </c>
      <c r="N190" s="52">
        <v>21.2</v>
      </c>
    </row>
    <row r="191" spans="1:14" ht="16.5" customHeight="1">
      <c r="A191" s="49" t="s">
        <v>208</v>
      </c>
      <c r="B191" s="49" t="s">
        <v>209</v>
      </c>
      <c r="C191" s="49" t="s">
        <v>210</v>
      </c>
      <c r="D191" s="49" t="s">
        <v>211</v>
      </c>
      <c r="E191" s="49" t="s">
        <v>212</v>
      </c>
      <c r="F191" s="49">
        <v>74418</v>
      </c>
      <c r="G191" s="49" t="s">
        <v>411</v>
      </c>
      <c r="H191" s="49" t="s">
        <v>412</v>
      </c>
      <c r="I191" s="50" t="s">
        <v>429</v>
      </c>
      <c r="J191" s="50" t="s">
        <v>448</v>
      </c>
      <c r="K191" s="50" t="s">
        <v>449</v>
      </c>
      <c r="L191" s="51">
        <v>80</v>
      </c>
      <c r="M191" s="52">
        <v>20.7</v>
      </c>
      <c r="N191" s="52">
        <v>21.2</v>
      </c>
    </row>
    <row r="192" spans="1:14" ht="16.5" customHeight="1">
      <c r="A192" s="49" t="s">
        <v>208</v>
      </c>
      <c r="B192" s="49" t="s">
        <v>209</v>
      </c>
      <c r="C192" s="49" t="s">
        <v>210</v>
      </c>
      <c r="D192" s="49" t="s">
        <v>211</v>
      </c>
      <c r="E192" s="49" t="s">
        <v>212</v>
      </c>
      <c r="F192" s="49">
        <v>74418</v>
      </c>
      <c r="G192" s="49" t="s">
        <v>411</v>
      </c>
      <c r="H192" s="49" t="s">
        <v>412</v>
      </c>
      <c r="I192" s="50" t="s">
        <v>429</v>
      </c>
      <c r="J192" s="50" t="s">
        <v>450</v>
      </c>
      <c r="K192" s="50" t="s">
        <v>451</v>
      </c>
      <c r="L192" s="51">
        <v>81</v>
      </c>
      <c r="M192" s="52">
        <v>21</v>
      </c>
      <c r="N192" s="52">
        <v>21.5</v>
      </c>
    </row>
    <row r="193" spans="1:14" ht="16.5" customHeight="1">
      <c r="A193" s="49" t="s">
        <v>208</v>
      </c>
      <c r="B193" s="49" t="s">
        <v>209</v>
      </c>
      <c r="C193" s="49" t="s">
        <v>210</v>
      </c>
      <c r="D193" s="49" t="s">
        <v>211</v>
      </c>
      <c r="E193" s="49" t="s">
        <v>212</v>
      </c>
      <c r="F193" s="49">
        <v>74418</v>
      </c>
      <c r="G193" s="49" t="s">
        <v>411</v>
      </c>
      <c r="H193" s="49" t="s">
        <v>412</v>
      </c>
      <c r="I193" s="50" t="s">
        <v>429</v>
      </c>
      <c r="J193" s="50" t="s">
        <v>452</v>
      </c>
      <c r="K193" s="50" t="s">
        <v>453</v>
      </c>
      <c r="L193" s="51">
        <v>78</v>
      </c>
      <c r="M193" s="52">
        <v>20.399999999999999</v>
      </c>
      <c r="N193" s="52">
        <v>20.9</v>
      </c>
    </row>
    <row r="194" spans="1:14" ht="16.5" customHeight="1">
      <c r="A194" s="49" t="s">
        <v>208</v>
      </c>
      <c r="B194" s="49" t="s">
        <v>209</v>
      </c>
      <c r="C194" s="49" t="s">
        <v>210</v>
      </c>
      <c r="D194" s="49" t="s">
        <v>211</v>
      </c>
      <c r="E194" s="49" t="s">
        <v>212</v>
      </c>
      <c r="F194" s="49">
        <v>74418</v>
      </c>
      <c r="G194" s="49" t="s">
        <v>411</v>
      </c>
      <c r="H194" s="49" t="s">
        <v>412</v>
      </c>
      <c r="I194" s="50" t="s">
        <v>429</v>
      </c>
      <c r="J194" s="50" t="s">
        <v>454</v>
      </c>
      <c r="K194" s="50" t="s">
        <v>455</v>
      </c>
      <c r="L194" s="51">
        <v>82</v>
      </c>
      <c r="M194" s="52">
        <v>21.4</v>
      </c>
      <c r="N194" s="52">
        <v>21.9</v>
      </c>
    </row>
    <row r="195" spans="1:14" ht="16.5" customHeight="1">
      <c r="A195" s="49" t="s">
        <v>208</v>
      </c>
      <c r="B195" s="49" t="s">
        <v>209</v>
      </c>
      <c r="C195" s="49" t="s">
        <v>210</v>
      </c>
      <c r="D195" s="49" t="s">
        <v>211</v>
      </c>
      <c r="E195" s="49" t="s">
        <v>212</v>
      </c>
      <c r="F195" s="49">
        <v>74418</v>
      </c>
      <c r="G195" s="49" t="s">
        <v>411</v>
      </c>
      <c r="H195" s="49" t="s">
        <v>412</v>
      </c>
      <c r="I195" s="50" t="s">
        <v>429</v>
      </c>
      <c r="J195" s="50" t="s">
        <v>456</v>
      </c>
      <c r="K195" s="50" t="s">
        <v>457</v>
      </c>
      <c r="L195" s="51">
        <v>82</v>
      </c>
      <c r="M195" s="52">
        <v>21.3</v>
      </c>
      <c r="N195" s="52">
        <v>21.8</v>
      </c>
    </row>
    <row r="196" spans="1:14" ht="16.5" customHeight="1">
      <c r="A196" s="49" t="s">
        <v>208</v>
      </c>
      <c r="B196" s="49" t="s">
        <v>209</v>
      </c>
      <c r="C196" s="49" t="s">
        <v>210</v>
      </c>
      <c r="D196" s="49" t="s">
        <v>211</v>
      </c>
      <c r="E196" s="49" t="s">
        <v>212</v>
      </c>
      <c r="F196" s="49">
        <v>74418</v>
      </c>
      <c r="G196" s="49" t="s">
        <v>411</v>
      </c>
      <c r="H196" s="49" t="s">
        <v>412</v>
      </c>
      <c r="I196" s="50" t="s">
        <v>429</v>
      </c>
      <c r="J196" s="50" t="s">
        <v>458</v>
      </c>
      <c r="K196" s="50" t="s">
        <v>459</v>
      </c>
      <c r="L196" s="51">
        <v>78</v>
      </c>
      <c r="M196" s="52">
        <v>20.399999999999999</v>
      </c>
      <c r="N196" s="52">
        <v>20.9</v>
      </c>
    </row>
    <row r="197" spans="1:14" ht="16.5" customHeight="1">
      <c r="A197" s="49" t="s">
        <v>208</v>
      </c>
      <c r="B197" s="49" t="s">
        <v>209</v>
      </c>
      <c r="C197" s="49" t="s">
        <v>210</v>
      </c>
      <c r="D197" s="49" t="s">
        <v>211</v>
      </c>
      <c r="E197" s="49" t="s">
        <v>212</v>
      </c>
      <c r="F197" s="49">
        <v>74418</v>
      </c>
      <c r="G197" s="49" t="s">
        <v>411</v>
      </c>
      <c r="H197" s="49" t="s">
        <v>412</v>
      </c>
      <c r="I197" s="50" t="s">
        <v>429</v>
      </c>
      <c r="J197" s="50" t="s">
        <v>70</v>
      </c>
      <c r="K197" s="50" t="s">
        <v>460</v>
      </c>
      <c r="L197" s="51">
        <v>81</v>
      </c>
      <c r="M197" s="52">
        <v>21.1</v>
      </c>
      <c r="N197" s="52">
        <v>21.6</v>
      </c>
    </row>
    <row r="198" spans="1:14" ht="16.5" customHeight="1">
      <c r="A198" s="49" t="s">
        <v>208</v>
      </c>
      <c r="B198" s="49" t="s">
        <v>209</v>
      </c>
      <c r="C198" s="49" t="s">
        <v>210</v>
      </c>
      <c r="D198" s="49" t="s">
        <v>211</v>
      </c>
      <c r="E198" s="49" t="s">
        <v>212</v>
      </c>
      <c r="F198" s="49">
        <v>74418</v>
      </c>
      <c r="G198" s="49" t="s">
        <v>461</v>
      </c>
      <c r="H198" s="49" t="s">
        <v>462</v>
      </c>
      <c r="I198" s="50" t="s">
        <v>463</v>
      </c>
      <c r="J198" s="50" t="s">
        <v>464</v>
      </c>
      <c r="K198" s="50" t="s">
        <v>217</v>
      </c>
      <c r="L198" s="51">
        <v>77</v>
      </c>
      <c r="M198" s="52">
        <v>20.2</v>
      </c>
      <c r="N198" s="52">
        <v>20.7</v>
      </c>
    </row>
    <row r="199" spans="1:14" ht="16.5" customHeight="1">
      <c r="A199" s="49" t="s">
        <v>208</v>
      </c>
      <c r="B199" s="49" t="s">
        <v>209</v>
      </c>
      <c r="C199" s="49" t="s">
        <v>210</v>
      </c>
      <c r="D199" s="49" t="s">
        <v>211</v>
      </c>
      <c r="E199" s="49" t="s">
        <v>212</v>
      </c>
      <c r="F199" s="49">
        <v>74418</v>
      </c>
      <c r="G199" s="49" t="s">
        <v>461</v>
      </c>
      <c r="H199" s="49" t="s">
        <v>462</v>
      </c>
      <c r="I199" s="50" t="s">
        <v>463</v>
      </c>
      <c r="J199" s="50" t="s">
        <v>465</v>
      </c>
      <c r="K199" s="50" t="s">
        <v>219</v>
      </c>
      <c r="L199" s="51">
        <v>78</v>
      </c>
      <c r="M199" s="52">
        <v>20.7</v>
      </c>
      <c r="N199" s="52">
        <v>21.2</v>
      </c>
    </row>
    <row r="200" spans="1:14" ht="16.5" customHeight="1">
      <c r="A200" s="49" t="s">
        <v>208</v>
      </c>
      <c r="B200" s="49" t="s">
        <v>209</v>
      </c>
      <c r="C200" s="49" t="s">
        <v>210</v>
      </c>
      <c r="D200" s="49" t="s">
        <v>211</v>
      </c>
      <c r="E200" s="49" t="s">
        <v>212</v>
      </c>
      <c r="F200" s="49">
        <v>74418</v>
      </c>
      <c r="G200" s="49" t="s">
        <v>461</v>
      </c>
      <c r="H200" s="49" t="s">
        <v>462</v>
      </c>
      <c r="I200" s="50" t="s">
        <v>463</v>
      </c>
      <c r="J200" s="50" t="s">
        <v>466</v>
      </c>
      <c r="K200" s="50" t="s">
        <v>224</v>
      </c>
      <c r="L200" s="51">
        <v>79</v>
      </c>
      <c r="M200" s="52">
        <v>20.9</v>
      </c>
      <c r="N200" s="52">
        <v>21.4</v>
      </c>
    </row>
    <row r="201" spans="1:14" ht="16.5" customHeight="1">
      <c r="A201" s="49" t="s">
        <v>208</v>
      </c>
      <c r="B201" s="49" t="s">
        <v>209</v>
      </c>
      <c r="C201" s="49" t="s">
        <v>210</v>
      </c>
      <c r="D201" s="49" t="s">
        <v>211</v>
      </c>
      <c r="E201" s="49" t="s">
        <v>212</v>
      </c>
      <c r="F201" s="49">
        <v>74418</v>
      </c>
      <c r="G201" s="49" t="s">
        <v>461</v>
      </c>
      <c r="H201" s="49" t="s">
        <v>462</v>
      </c>
      <c r="I201" s="50" t="s">
        <v>463</v>
      </c>
      <c r="J201" s="50" t="s">
        <v>467</v>
      </c>
      <c r="K201" s="50" t="s">
        <v>226</v>
      </c>
      <c r="L201" s="51">
        <v>81</v>
      </c>
      <c r="M201" s="52">
        <v>21.5</v>
      </c>
      <c r="N201" s="52">
        <v>22</v>
      </c>
    </row>
    <row r="202" spans="1:14" ht="16.5" customHeight="1">
      <c r="A202" s="49" t="s">
        <v>208</v>
      </c>
      <c r="B202" s="49" t="s">
        <v>209</v>
      </c>
      <c r="C202" s="49" t="s">
        <v>210</v>
      </c>
      <c r="D202" s="49" t="s">
        <v>211</v>
      </c>
      <c r="E202" s="49" t="s">
        <v>212</v>
      </c>
      <c r="F202" s="49">
        <v>74418</v>
      </c>
      <c r="G202" s="49" t="s">
        <v>461</v>
      </c>
      <c r="H202" s="49" t="s">
        <v>462</v>
      </c>
      <c r="I202" s="50" t="s">
        <v>468</v>
      </c>
      <c r="J202" s="50" t="s">
        <v>469</v>
      </c>
      <c r="K202" s="50" t="s">
        <v>217</v>
      </c>
      <c r="L202" s="51">
        <v>81</v>
      </c>
      <c r="M202" s="52">
        <v>21.1</v>
      </c>
      <c r="N202" s="52">
        <v>21.6</v>
      </c>
    </row>
    <row r="203" spans="1:14" ht="16.5" customHeight="1">
      <c r="A203" s="49" t="s">
        <v>208</v>
      </c>
      <c r="B203" s="49" t="s">
        <v>209</v>
      </c>
      <c r="C203" s="49" t="s">
        <v>210</v>
      </c>
      <c r="D203" s="49" t="s">
        <v>211</v>
      </c>
      <c r="E203" s="49" t="s">
        <v>212</v>
      </c>
      <c r="F203" s="49">
        <v>74418</v>
      </c>
      <c r="G203" s="49" t="s">
        <v>461</v>
      </c>
      <c r="H203" s="49" t="s">
        <v>462</v>
      </c>
      <c r="I203" s="50" t="s">
        <v>468</v>
      </c>
      <c r="J203" s="50" t="s">
        <v>470</v>
      </c>
      <c r="K203" s="50" t="s">
        <v>219</v>
      </c>
      <c r="L203" s="51">
        <v>80</v>
      </c>
      <c r="M203" s="52">
        <v>20.8</v>
      </c>
      <c r="N203" s="52">
        <v>21.3</v>
      </c>
    </row>
    <row r="204" spans="1:14" ht="16.5" customHeight="1">
      <c r="A204" s="49" t="s">
        <v>208</v>
      </c>
      <c r="B204" s="49" t="s">
        <v>209</v>
      </c>
      <c r="C204" s="49" t="s">
        <v>210</v>
      </c>
      <c r="D204" s="49" t="s">
        <v>211</v>
      </c>
      <c r="E204" s="49" t="s">
        <v>212</v>
      </c>
      <c r="F204" s="49">
        <v>74418</v>
      </c>
      <c r="G204" s="49" t="s">
        <v>461</v>
      </c>
      <c r="H204" s="49" t="s">
        <v>462</v>
      </c>
      <c r="I204" s="50" t="s">
        <v>468</v>
      </c>
      <c r="J204" s="50" t="s">
        <v>471</v>
      </c>
      <c r="K204" s="50" t="s">
        <v>224</v>
      </c>
      <c r="L204" s="51">
        <v>80</v>
      </c>
      <c r="M204" s="52">
        <v>20.8</v>
      </c>
      <c r="N204" s="52">
        <v>21.3</v>
      </c>
    </row>
    <row r="205" spans="1:14" ht="16.5" customHeight="1">
      <c r="A205" s="49" t="s">
        <v>208</v>
      </c>
      <c r="B205" s="49" t="s">
        <v>209</v>
      </c>
      <c r="C205" s="49" t="s">
        <v>210</v>
      </c>
      <c r="D205" s="49" t="s">
        <v>211</v>
      </c>
      <c r="E205" s="49" t="s">
        <v>212</v>
      </c>
      <c r="F205" s="49">
        <v>74418</v>
      </c>
      <c r="G205" s="49" t="s">
        <v>461</v>
      </c>
      <c r="H205" s="49" t="s">
        <v>462</v>
      </c>
      <c r="I205" s="50" t="s">
        <v>468</v>
      </c>
      <c r="J205" s="50" t="s">
        <v>472</v>
      </c>
      <c r="K205" s="50" t="s">
        <v>226</v>
      </c>
      <c r="L205" s="51">
        <v>81</v>
      </c>
      <c r="M205" s="52">
        <v>21.1</v>
      </c>
      <c r="N205" s="52">
        <v>21.6</v>
      </c>
    </row>
    <row r="206" spans="1:14" ht="16.5" customHeight="1">
      <c r="A206" s="49" t="s">
        <v>208</v>
      </c>
      <c r="B206" s="49" t="s">
        <v>209</v>
      </c>
      <c r="C206" s="49" t="s">
        <v>210</v>
      </c>
      <c r="D206" s="49" t="s">
        <v>211</v>
      </c>
      <c r="E206" s="49" t="s">
        <v>212</v>
      </c>
      <c r="F206" s="49">
        <v>74418</v>
      </c>
      <c r="G206" s="49" t="s">
        <v>461</v>
      </c>
      <c r="H206" s="49" t="s">
        <v>462</v>
      </c>
      <c r="I206" s="50" t="s">
        <v>468</v>
      </c>
      <c r="J206" s="50" t="s">
        <v>473</v>
      </c>
      <c r="K206" s="50" t="s">
        <v>227</v>
      </c>
      <c r="L206" s="51">
        <v>73</v>
      </c>
      <c r="M206" s="52">
        <v>19.2</v>
      </c>
      <c r="N206" s="52">
        <v>19.7</v>
      </c>
    </row>
    <row r="207" spans="1:14" ht="16.5" customHeight="1">
      <c r="A207" s="49" t="s">
        <v>208</v>
      </c>
      <c r="B207" s="49" t="s">
        <v>209</v>
      </c>
      <c r="C207" s="49" t="s">
        <v>210</v>
      </c>
      <c r="D207" s="49" t="s">
        <v>211</v>
      </c>
      <c r="E207" s="49" t="s">
        <v>212</v>
      </c>
      <c r="F207" s="49">
        <v>74418</v>
      </c>
      <c r="G207" s="49" t="s">
        <v>474</v>
      </c>
      <c r="H207" s="49" t="s">
        <v>475</v>
      </c>
      <c r="I207" s="50" t="s">
        <v>476</v>
      </c>
      <c r="J207" s="50" t="s">
        <v>477</v>
      </c>
      <c r="K207" s="50" t="s">
        <v>217</v>
      </c>
      <c r="L207" s="51">
        <v>82</v>
      </c>
      <c r="M207" s="52">
        <v>21.2</v>
      </c>
      <c r="N207" s="52">
        <v>21.7</v>
      </c>
    </row>
    <row r="208" spans="1:14" ht="16.5" customHeight="1">
      <c r="A208" s="49" t="s">
        <v>208</v>
      </c>
      <c r="B208" s="49" t="s">
        <v>209</v>
      </c>
      <c r="C208" s="49" t="s">
        <v>210</v>
      </c>
      <c r="D208" s="49" t="s">
        <v>211</v>
      </c>
      <c r="E208" s="49" t="s">
        <v>212</v>
      </c>
      <c r="F208" s="49">
        <v>74418</v>
      </c>
      <c r="G208" s="49" t="s">
        <v>474</v>
      </c>
      <c r="H208" s="49" t="s">
        <v>475</v>
      </c>
      <c r="I208" s="50" t="s">
        <v>476</v>
      </c>
      <c r="J208" s="50" t="s">
        <v>478</v>
      </c>
      <c r="K208" s="50" t="s">
        <v>219</v>
      </c>
      <c r="L208" s="51">
        <v>83</v>
      </c>
      <c r="M208" s="52">
        <v>21.5</v>
      </c>
      <c r="N208" s="52">
        <v>22</v>
      </c>
    </row>
    <row r="209" spans="1:14" ht="16.5" customHeight="1">
      <c r="A209" s="49" t="s">
        <v>208</v>
      </c>
      <c r="B209" s="49" t="s">
        <v>209</v>
      </c>
      <c r="C209" s="49" t="s">
        <v>210</v>
      </c>
      <c r="D209" s="49" t="s">
        <v>211</v>
      </c>
      <c r="E209" s="49" t="s">
        <v>212</v>
      </c>
      <c r="F209" s="49">
        <v>74418</v>
      </c>
      <c r="G209" s="49" t="s">
        <v>474</v>
      </c>
      <c r="H209" s="49" t="s">
        <v>475</v>
      </c>
      <c r="I209" s="50" t="s">
        <v>476</v>
      </c>
      <c r="J209" s="50" t="s">
        <v>479</v>
      </c>
      <c r="K209" s="50" t="s">
        <v>224</v>
      </c>
      <c r="L209" s="51">
        <v>77</v>
      </c>
      <c r="M209" s="52">
        <v>20.100000000000001</v>
      </c>
      <c r="N209" s="52">
        <v>20.6</v>
      </c>
    </row>
    <row r="210" spans="1:14" ht="16.5" customHeight="1">
      <c r="A210" s="49" t="s">
        <v>208</v>
      </c>
      <c r="B210" s="49" t="s">
        <v>209</v>
      </c>
      <c r="C210" s="49" t="s">
        <v>210</v>
      </c>
      <c r="D210" s="49" t="s">
        <v>211</v>
      </c>
      <c r="E210" s="49" t="s">
        <v>212</v>
      </c>
      <c r="F210" s="49">
        <v>74418</v>
      </c>
      <c r="G210" s="49" t="s">
        <v>474</v>
      </c>
      <c r="H210" s="49" t="s">
        <v>475</v>
      </c>
      <c r="I210" s="50" t="s">
        <v>476</v>
      </c>
      <c r="J210" s="50" t="s">
        <v>480</v>
      </c>
      <c r="K210" s="50" t="s">
        <v>226</v>
      </c>
      <c r="L210" s="51">
        <v>80</v>
      </c>
      <c r="M210" s="52">
        <v>20.8</v>
      </c>
      <c r="N210" s="52">
        <v>21.3</v>
      </c>
    </row>
    <row r="211" spans="1:14" ht="16.5" customHeight="1">
      <c r="A211" s="49" t="s">
        <v>208</v>
      </c>
      <c r="B211" s="49" t="s">
        <v>209</v>
      </c>
      <c r="C211" s="49" t="s">
        <v>210</v>
      </c>
      <c r="D211" s="49" t="s">
        <v>211</v>
      </c>
      <c r="E211" s="49" t="s">
        <v>212</v>
      </c>
      <c r="F211" s="49">
        <v>74418</v>
      </c>
      <c r="G211" s="49" t="s">
        <v>474</v>
      </c>
      <c r="H211" s="49" t="s">
        <v>475</v>
      </c>
      <c r="I211" s="50" t="s">
        <v>481</v>
      </c>
      <c r="J211" s="50" t="s">
        <v>482</v>
      </c>
      <c r="K211" s="50" t="s">
        <v>217</v>
      </c>
      <c r="L211" s="51">
        <v>79</v>
      </c>
      <c r="M211" s="52">
        <v>20.5</v>
      </c>
      <c r="N211" s="52">
        <v>21</v>
      </c>
    </row>
    <row r="212" spans="1:14" ht="16.5" customHeight="1">
      <c r="A212" s="49" t="s">
        <v>208</v>
      </c>
      <c r="B212" s="49" t="s">
        <v>209</v>
      </c>
      <c r="C212" s="49" t="s">
        <v>210</v>
      </c>
      <c r="D212" s="49" t="s">
        <v>211</v>
      </c>
      <c r="E212" s="49" t="s">
        <v>212</v>
      </c>
      <c r="F212" s="49">
        <v>74418</v>
      </c>
      <c r="G212" s="49" t="s">
        <v>474</v>
      </c>
      <c r="H212" s="49" t="s">
        <v>475</v>
      </c>
      <c r="I212" s="50" t="s">
        <v>481</v>
      </c>
      <c r="J212" s="50" t="s">
        <v>483</v>
      </c>
      <c r="K212" s="50" t="s">
        <v>219</v>
      </c>
      <c r="L212" s="51">
        <v>72</v>
      </c>
      <c r="M212" s="52">
        <v>18.600000000000001</v>
      </c>
      <c r="N212" s="52">
        <v>19.100000000000001</v>
      </c>
    </row>
    <row r="213" spans="1:14" ht="16.5" customHeight="1">
      <c r="A213" s="49" t="s">
        <v>208</v>
      </c>
      <c r="B213" s="49" t="s">
        <v>209</v>
      </c>
      <c r="C213" s="49" t="s">
        <v>210</v>
      </c>
      <c r="D213" s="49" t="s">
        <v>211</v>
      </c>
      <c r="E213" s="49" t="s">
        <v>212</v>
      </c>
      <c r="F213" s="49">
        <v>74418</v>
      </c>
      <c r="G213" s="49" t="s">
        <v>484</v>
      </c>
      <c r="H213" s="49" t="s">
        <v>485</v>
      </c>
      <c r="I213" s="50" t="s">
        <v>486</v>
      </c>
      <c r="J213" s="50" t="s">
        <v>487</v>
      </c>
      <c r="K213" s="50" t="s">
        <v>217</v>
      </c>
      <c r="L213" s="51">
        <v>82</v>
      </c>
      <c r="M213" s="52">
        <v>21.4</v>
      </c>
      <c r="N213" s="52">
        <v>21.9</v>
      </c>
    </row>
    <row r="214" spans="1:14" ht="16.5" customHeight="1">
      <c r="A214" s="49" t="s">
        <v>208</v>
      </c>
      <c r="B214" s="49" t="s">
        <v>209</v>
      </c>
      <c r="C214" s="49" t="s">
        <v>210</v>
      </c>
      <c r="D214" s="49" t="s">
        <v>211</v>
      </c>
      <c r="E214" s="49" t="s">
        <v>212</v>
      </c>
      <c r="F214" s="49">
        <v>74418</v>
      </c>
      <c r="G214" s="49" t="s">
        <v>484</v>
      </c>
      <c r="H214" s="49" t="s">
        <v>485</v>
      </c>
      <c r="I214" s="50" t="s">
        <v>486</v>
      </c>
      <c r="J214" s="50" t="s">
        <v>488</v>
      </c>
      <c r="K214" s="50" t="s">
        <v>219</v>
      </c>
      <c r="L214" s="51">
        <v>82</v>
      </c>
      <c r="M214" s="52">
        <v>21.4</v>
      </c>
      <c r="N214" s="52">
        <v>21.9</v>
      </c>
    </row>
    <row r="215" spans="1:14" ht="16.5" customHeight="1">
      <c r="A215" s="49" t="s">
        <v>208</v>
      </c>
      <c r="B215" s="49" t="s">
        <v>209</v>
      </c>
      <c r="C215" s="49" t="s">
        <v>210</v>
      </c>
      <c r="D215" s="49" t="s">
        <v>211</v>
      </c>
      <c r="E215" s="49" t="s">
        <v>212</v>
      </c>
      <c r="F215" s="49">
        <v>74418</v>
      </c>
      <c r="G215" s="49" t="s">
        <v>484</v>
      </c>
      <c r="H215" s="49" t="s">
        <v>485</v>
      </c>
      <c r="I215" s="50" t="s">
        <v>486</v>
      </c>
      <c r="J215" s="50" t="s">
        <v>489</v>
      </c>
      <c r="K215" s="50" t="s">
        <v>224</v>
      </c>
      <c r="L215" s="51">
        <v>82</v>
      </c>
      <c r="M215" s="52">
        <v>21.3</v>
      </c>
      <c r="N215" s="52">
        <v>21.8</v>
      </c>
    </row>
    <row r="216" spans="1:14" ht="16.5" customHeight="1">
      <c r="A216" s="49" t="s">
        <v>208</v>
      </c>
      <c r="B216" s="49" t="s">
        <v>209</v>
      </c>
      <c r="C216" s="49" t="s">
        <v>210</v>
      </c>
      <c r="D216" s="49" t="s">
        <v>211</v>
      </c>
      <c r="E216" s="49" t="s">
        <v>212</v>
      </c>
      <c r="F216" s="49">
        <v>74418</v>
      </c>
      <c r="G216" s="49" t="s">
        <v>484</v>
      </c>
      <c r="H216" s="49" t="s">
        <v>485</v>
      </c>
      <c r="I216" s="50" t="s">
        <v>486</v>
      </c>
      <c r="J216" s="50" t="s">
        <v>490</v>
      </c>
      <c r="K216" s="50" t="s">
        <v>226</v>
      </c>
      <c r="L216" s="51">
        <v>50</v>
      </c>
      <c r="M216" s="52">
        <v>12.9</v>
      </c>
      <c r="N216" s="52">
        <v>13.4</v>
      </c>
    </row>
    <row r="217" spans="1:14" ht="16.5" customHeight="1">
      <c r="A217" s="49" t="s">
        <v>208</v>
      </c>
      <c r="B217" s="49" t="s">
        <v>209</v>
      </c>
      <c r="C217" s="49" t="s">
        <v>210</v>
      </c>
      <c r="D217" s="49" t="s">
        <v>211</v>
      </c>
      <c r="E217" s="49" t="s">
        <v>212</v>
      </c>
      <c r="F217" s="49">
        <v>74418</v>
      </c>
      <c r="G217" s="49" t="s">
        <v>484</v>
      </c>
      <c r="H217" s="49" t="s">
        <v>485</v>
      </c>
      <c r="I217" s="50" t="s">
        <v>486</v>
      </c>
      <c r="J217" s="50" t="s">
        <v>491</v>
      </c>
      <c r="K217" s="50" t="s">
        <v>227</v>
      </c>
      <c r="L217" s="51">
        <v>82</v>
      </c>
      <c r="M217" s="52">
        <v>21.3</v>
      </c>
      <c r="N217" s="52">
        <v>21.8</v>
      </c>
    </row>
    <row r="218" spans="1:14" ht="16.5" customHeight="1">
      <c r="A218" s="49" t="s">
        <v>208</v>
      </c>
      <c r="B218" s="49" t="s">
        <v>209</v>
      </c>
      <c r="C218" s="49" t="s">
        <v>210</v>
      </c>
      <c r="D218" s="49" t="s">
        <v>211</v>
      </c>
      <c r="E218" s="49" t="s">
        <v>212</v>
      </c>
      <c r="F218" s="49">
        <v>74418</v>
      </c>
      <c r="G218" s="49" t="s">
        <v>484</v>
      </c>
      <c r="H218" s="49" t="s">
        <v>485</v>
      </c>
      <c r="I218" s="50" t="s">
        <v>486</v>
      </c>
      <c r="J218" s="50" t="s">
        <v>492</v>
      </c>
      <c r="K218" s="50" t="s">
        <v>260</v>
      </c>
      <c r="L218" s="51">
        <v>82</v>
      </c>
      <c r="M218" s="52">
        <v>21.4</v>
      </c>
      <c r="N218" s="52">
        <v>21.9</v>
      </c>
    </row>
    <row r="219" spans="1:14" ht="16.5" customHeight="1">
      <c r="A219" s="49" t="s">
        <v>208</v>
      </c>
      <c r="B219" s="49" t="s">
        <v>209</v>
      </c>
      <c r="C219" s="49" t="s">
        <v>210</v>
      </c>
      <c r="D219" s="49" t="s">
        <v>211</v>
      </c>
      <c r="E219" s="49" t="s">
        <v>212</v>
      </c>
      <c r="F219" s="49">
        <v>74418</v>
      </c>
      <c r="G219" s="49" t="s">
        <v>484</v>
      </c>
      <c r="H219" s="49" t="s">
        <v>485</v>
      </c>
      <c r="I219" s="50" t="s">
        <v>486</v>
      </c>
      <c r="J219" s="50" t="s">
        <v>493</v>
      </c>
      <c r="K219" s="50" t="s">
        <v>262</v>
      </c>
      <c r="L219" s="51">
        <v>82</v>
      </c>
      <c r="M219" s="52">
        <v>21.3</v>
      </c>
      <c r="N219" s="52">
        <v>21.8</v>
      </c>
    </row>
    <row r="220" spans="1:14" ht="16.5" customHeight="1">
      <c r="A220" s="49" t="s">
        <v>208</v>
      </c>
      <c r="B220" s="49" t="s">
        <v>209</v>
      </c>
      <c r="C220" s="49" t="s">
        <v>210</v>
      </c>
      <c r="D220" s="49" t="s">
        <v>211</v>
      </c>
      <c r="E220" s="49" t="s">
        <v>212</v>
      </c>
      <c r="F220" s="49">
        <v>74418</v>
      </c>
      <c r="G220" s="49" t="s">
        <v>484</v>
      </c>
      <c r="H220" s="49" t="s">
        <v>485</v>
      </c>
      <c r="I220" s="50" t="s">
        <v>486</v>
      </c>
      <c r="J220" s="50" t="s">
        <v>494</v>
      </c>
      <c r="K220" s="50" t="s">
        <v>264</v>
      </c>
      <c r="L220" s="51">
        <v>81</v>
      </c>
      <c r="M220" s="52">
        <v>21</v>
      </c>
      <c r="N220" s="52">
        <v>21.5</v>
      </c>
    </row>
    <row r="221" spans="1:14" ht="16.5" customHeight="1">
      <c r="A221" s="49" t="s">
        <v>208</v>
      </c>
      <c r="B221" s="49" t="s">
        <v>209</v>
      </c>
      <c r="C221" s="49" t="s">
        <v>210</v>
      </c>
      <c r="D221" s="49" t="s">
        <v>211</v>
      </c>
      <c r="E221" s="49" t="s">
        <v>212</v>
      </c>
      <c r="F221" s="49">
        <v>74418</v>
      </c>
      <c r="G221" s="49" t="s">
        <v>484</v>
      </c>
      <c r="H221" s="49" t="s">
        <v>485</v>
      </c>
      <c r="I221" s="50" t="s">
        <v>486</v>
      </c>
      <c r="J221" s="50" t="s">
        <v>495</v>
      </c>
      <c r="K221" s="50" t="s">
        <v>266</v>
      </c>
      <c r="L221" s="51">
        <v>82</v>
      </c>
      <c r="M221" s="52">
        <v>21.4</v>
      </c>
      <c r="N221" s="52">
        <v>21.9</v>
      </c>
    </row>
    <row r="222" spans="1:14" ht="16.5" customHeight="1">
      <c r="A222" s="49" t="s">
        <v>208</v>
      </c>
      <c r="B222" s="49" t="s">
        <v>209</v>
      </c>
      <c r="C222" s="49" t="s">
        <v>210</v>
      </c>
      <c r="D222" s="49" t="s">
        <v>211</v>
      </c>
      <c r="E222" s="49" t="s">
        <v>212</v>
      </c>
      <c r="F222" s="49">
        <v>74418</v>
      </c>
      <c r="G222" s="49" t="s">
        <v>484</v>
      </c>
      <c r="H222" s="49" t="s">
        <v>485</v>
      </c>
      <c r="I222" s="50" t="s">
        <v>486</v>
      </c>
      <c r="J222" s="50" t="s">
        <v>496</v>
      </c>
      <c r="K222" s="50" t="s">
        <v>268</v>
      </c>
      <c r="L222" s="51">
        <v>81</v>
      </c>
      <c r="M222" s="52">
        <v>21.1</v>
      </c>
      <c r="N222" s="52">
        <v>21.6</v>
      </c>
    </row>
    <row r="223" spans="1:14" ht="16.5" customHeight="1">
      <c r="A223" s="49" t="s">
        <v>208</v>
      </c>
      <c r="B223" s="49" t="s">
        <v>209</v>
      </c>
      <c r="C223" s="49" t="s">
        <v>210</v>
      </c>
      <c r="D223" s="49" t="s">
        <v>211</v>
      </c>
      <c r="E223" s="49" t="s">
        <v>212</v>
      </c>
      <c r="F223" s="49">
        <v>74418</v>
      </c>
      <c r="G223" s="49" t="s">
        <v>484</v>
      </c>
      <c r="H223" s="49" t="s">
        <v>485</v>
      </c>
      <c r="I223" s="50" t="s">
        <v>486</v>
      </c>
      <c r="J223" s="50" t="s">
        <v>497</v>
      </c>
      <c r="K223" s="50" t="s">
        <v>270</v>
      </c>
      <c r="L223" s="51">
        <v>112</v>
      </c>
      <c r="M223" s="52">
        <v>29</v>
      </c>
      <c r="N223" s="52">
        <v>29.5</v>
      </c>
    </row>
    <row r="224" spans="1:14" ht="16.5" customHeight="1">
      <c r="A224" s="49" t="s">
        <v>208</v>
      </c>
      <c r="B224" s="49" t="s">
        <v>209</v>
      </c>
      <c r="C224" s="49" t="s">
        <v>210</v>
      </c>
      <c r="D224" s="49" t="s">
        <v>211</v>
      </c>
      <c r="E224" s="49" t="s">
        <v>212</v>
      </c>
      <c r="F224" s="49">
        <v>74418</v>
      </c>
      <c r="G224" s="49" t="s">
        <v>484</v>
      </c>
      <c r="H224" s="49" t="s">
        <v>485</v>
      </c>
      <c r="I224" s="50" t="s">
        <v>486</v>
      </c>
      <c r="J224" s="50" t="s">
        <v>498</v>
      </c>
      <c r="K224" s="50" t="s">
        <v>272</v>
      </c>
      <c r="L224" s="51">
        <v>82</v>
      </c>
      <c r="M224" s="52">
        <v>21.4</v>
      </c>
      <c r="N224" s="52">
        <v>21.9</v>
      </c>
    </row>
    <row r="225" spans="1:14" ht="16.5" customHeight="1">
      <c r="A225" s="49" t="s">
        <v>208</v>
      </c>
      <c r="B225" s="49" t="s">
        <v>209</v>
      </c>
      <c r="C225" s="49" t="s">
        <v>210</v>
      </c>
      <c r="D225" s="49" t="s">
        <v>211</v>
      </c>
      <c r="E225" s="49" t="s">
        <v>212</v>
      </c>
      <c r="F225" s="49">
        <v>74418</v>
      </c>
      <c r="G225" s="49" t="s">
        <v>484</v>
      </c>
      <c r="H225" s="49" t="s">
        <v>485</v>
      </c>
      <c r="I225" s="50" t="s">
        <v>486</v>
      </c>
      <c r="J225" s="50" t="s">
        <v>499</v>
      </c>
      <c r="K225" s="50" t="s">
        <v>274</v>
      </c>
      <c r="L225" s="51">
        <v>76</v>
      </c>
      <c r="M225" s="52">
        <v>19.7</v>
      </c>
      <c r="N225" s="52">
        <v>20.2</v>
      </c>
    </row>
    <row r="226" spans="1:14" ht="16.5" customHeight="1">
      <c r="A226" s="49" t="s">
        <v>208</v>
      </c>
      <c r="B226" s="49" t="s">
        <v>209</v>
      </c>
      <c r="C226" s="49" t="s">
        <v>210</v>
      </c>
      <c r="D226" s="49" t="s">
        <v>211</v>
      </c>
      <c r="E226" s="49" t="s">
        <v>212</v>
      </c>
      <c r="F226" s="49">
        <v>74418</v>
      </c>
      <c r="G226" s="49" t="s">
        <v>484</v>
      </c>
      <c r="H226" s="49" t="s">
        <v>485</v>
      </c>
      <c r="I226" s="50" t="s">
        <v>486</v>
      </c>
      <c r="J226" s="50" t="s">
        <v>500</v>
      </c>
      <c r="K226" s="50" t="s">
        <v>276</v>
      </c>
      <c r="L226" s="51">
        <v>50</v>
      </c>
      <c r="M226" s="52">
        <v>12.9</v>
      </c>
      <c r="N226" s="52">
        <v>13.4</v>
      </c>
    </row>
    <row r="227" spans="1:14" ht="16.5" customHeight="1">
      <c r="A227" s="49" t="s">
        <v>208</v>
      </c>
      <c r="B227" s="49" t="s">
        <v>209</v>
      </c>
      <c r="C227" s="49" t="s">
        <v>210</v>
      </c>
      <c r="D227" s="49" t="s">
        <v>211</v>
      </c>
      <c r="E227" s="49" t="s">
        <v>212</v>
      </c>
      <c r="F227" s="49">
        <v>74418</v>
      </c>
      <c r="G227" s="49" t="s">
        <v>484</v>
      </c>
      <c r="H227" s="49" t="s">
        <v>485</v>
      </c>
      <c r="I227" s="50" t="s">
        <v>486</v>
      </c>
      <c r="J227" s="50" t="s">
        <v>501</v>
      </c>
      <c r="K227" s="50" t="s">
        <v>368</v>
      </c>
      <c r="L227" s="51">
        <v>30</v>
      </c>
      <c r="M227" s="52">
        <v>7.9</v>
      </c>
      <c r="N227" s="52">
        <v>8.4</v>
      </c>
    </row>
    <row r="228" spans="1:14" ht="16.5" customHeight="1">
      <c r="A228" s="49" t="s">
        <v>208</v>
      </c>
      <c r="B228" s="49" t="s">
        <v>209</v>
      </c>
      <c r="C228" s="49" t="s">
        <v>210</v>
      </c>
      <c r="D228" s="49" t="s">
        <v>211</v>
      </c>
      <c r="E228" s="49" t="s">
        <v>212</v>
      </c>
      <c r="F228" s="49">
        <v>74418</v>
      </c>
      <c r="G228" s="49" t="s">
        <v>484</v>
      </c>
      <c r="H228" s="49" t="s">
        <v>485</v>
      </c>
      <c r="I228" s="50" t="s">
        <v>486</v>
      </c>
      <c r="J228" s="50" t="s">
        <v>502</v>
      </c>
      <c r="K228" s="50" t="s">
        <v>217</v>
      </c>
      <c r="L228" s="51">
        <v>79</v>
      </c>
      <c r="M228" s="52">
        <v>20.8</v>
      </c>
      <c r="N228" s="52">
        <v>21.3</v>
      </c>
    </row>
    <row r="229" spans="1:14" ht="16.5" customHeight="1">
      <c r="A229" s="49" t="s">
        <v>208</v>
      </c>
      <c r="B229" s="49" t="s">
        <v>209</v>
      </c>
      <c r="C229" s="49" t="s">
        <v>210</v>
      </c>
      <c r="D229" s="49" t="s">
        <v>211</v>
      </c>
      <c r="E229" s="49" t="s">
        <v>212</v>
      </c>
      <c r="F229" s="49">
        <v>74418</v>
      </c>
      <c r="G229" s="49" t="s">
        <v>484</v>
      </c>
      <c r="H229" s="49" t="s">
        <v>485</v>
      </c>
      <c r="I229" s="50" t="s">
        <v>486</v>
      </c>
      <c r="J229" s="50" t="s">
        <v>503</v>
      </c>
      <c r="K229" s="50" t="s">
        <v>219</v>
      </c>
      <c r="L229" s="51">
        <v>80</v>
      </c>
      <c r="M229" s="52">
        <v>21.1</v>
      </c>
      <c r="N229" s="52">
        <v>21.6</v>
      </c>
    </row>
    <row r="230" spans="1:14" ht="16.5" customHeight="1">
      <c r="A230" s="49" t="s">
        <v>208</v>
      </c>
      <c r="B230" s="49" t="s">
        <v>209</v>
      </c>
      <c r="C230" s="49" t="s">
        <v>210</v>
      </c>
      <c r="D230" s="49" t="s">
        <v>211</v>
      </c>
      <c r="E230" s="49" t="s">
        <v>212</v>
      </c>
      <c r="F230" s="49">
        <v>74418</v>
      </c>
      <c r="G230" s="49" t="s">
        <v>484</v>
      </c>
      <c r="H230" s="49" t="s">
        <v>485</v>
      </c>
      <c r="I230" s="50" t="s">
        <v>486</v>
      </c>
      <c r="J230" s="50" t="s">
        <v>504</v>
      </c>
      <c r="K230" s="50" t="s">
        <v>224</v>
      </c>
      <c r="L230" s="51">
        <v>81</v>
      </c>
      <c r="M230" s="52">
        <v>21.4</v>
      </c>
      <c r="N230" s="52">
        <v>21.9</v>
      </c>
    </row>
    <row r="231" spans="1:14" ht="16.5" customHeight="1">
      <c r="A231" s="49" t="s">
        <v>208</v>
      </c>
      <c r="B231" s="49" t="s">
        <v>209</v>
      </c>
      <c r="C231" s="49" t="s">
        <v>210</v>
      </c>
      <c r="D231" s="49" t="s">
        <v>211</v>
      </c>
      <c r="E231" s="49" t="s">
        <v>212</v>
      </c>
      <c r="F231" s="49">
        <v>74418</v>
      </c>
      <c r="G231" s="49" t="s">
        <v>484</v>
      </c>
      <c r="H231" s="49" t="s">
        <v>485</v>
      </c>
      <c r="I231" s="50" t="s">
        <v>486</v>
      </c>
      <c r="J231" s="50" t="s">
        <v>505</v>
      </c>
      <c r="K231" s="50" t="s">
        <v>226</v>
      </c>
      <c r="L231" s="51">
        <v>78</v>
      </c>
      <c r="M231" s="52">
        <v>20.5</v>
      </c>
      <c r="N231" s="52">
        <v>21</v>
      </c>
    </row>
    <row r="232" spans="1:14" ht="16.5" customHeight="1">
      <c r="A232" s="49" t="s">
        <v>208</v>
      </c>
      <c r="B232" s="49" t="s">
        <v>209</v>
      </c>
      <c r="C232" s="49" t="s">
        <v>210</v>
      </c>
      <c r="D232" s="49" t="s">
        <v>211</v>
      </c>
      <c r="E232" s="49" t="s">
        <v>212</v>
      </c>
      <c r="F232" s="49">
        <v>74418</v>
      </c>
      <c r="G232" s="49" t="s">
        <v>484</v>
      </c>
      <c r="H232" s="49" t="s">
        <v>485</v>
      </c>
      <c r="I232" s="50" t="s">
        <v>486</v>
      </c>
      <c r="J232" s="50" t="s">
        <v>506</v>
      </c>
      <c r="K232" s="50" t="s">
        <v>227</v>
      </c>
      <c r="L232" s="51">
        <v>76</v>
      </c>
      <c r="M232" s="52">
        <v>20.100000000000001</v>
      </c>
      <c r="N232" s="52">
        <v>20.6</v>
      </c>
    </row>
    <row r="233" spans="1:14" ht="16.5" customHeight="1">
      <c r="A233" s="49" t="s">
        <v>208</v>
      </c>
      <c r="B233" s="49" t="s">
        <v>209</v>
      </c>
      <c r="C233" s="49" t="s">
        <v>210</v>
      </c>
      <c r="D233" s="49" t="s">
        <v>211</v>
      </c>
      <c r="E233" s="49" t="s">
        <v>212</v>
      </c>
      <c r="F233" s="49">
        <v>74418</v>
      </c>
      <c r="G233" s="49" t="s">
        <v>507</v>
      </c>
      <c r="H233" s="49" t="s">
        <v>508</v>
      </c>
      <c r="I233" s="50" t="s">
        <v>509</v>
      </c>
      <c r="J233" s="50" t="s">
        <v>510</v>
      </c>
      <c r="K233" s="50" t="s">
        <v>224</v>
      </c>
      <c r="L233" s="51">
        <v>78</v>
      </c>
      <c r="M233" s="52">
        <v>20.399999999999999</v>
      </c>
      <c r="N233" s="52">
        <v>20.9</v>
      </c>
    </row>
    <row r="234" spans="1:14" ht="16.5" customHeight="1">
      <c r="A234" s="49" t="s">
        <v>208</v>
      </c>
      <c r="B234" s="49" t="s">
        <v>209</v>
      </c>
      <c r="C234" s="49" t="s">
        <v>210</v>
      </c>
      <c r="D234" s="49" t="s">
        <v>211</v>
      </c>
      <c r="E234" s="49" t="s">
        <v>212</v>
      </c>
      <c r="F234" s="49">
        <v>74418</v>
      </c>
      <c r="G234" s="49" t="s">
        <v>507</v>
      </c>
      <c r="H234" s="49" t="s">
        <v>508</v>
      </c>
      <c r="I234" s="50" t="s">
        <v>509</v>
      </c>
      <c r="J234" s="50" t="s">
        <v>511</v>
      </c>
      <c r="K234" s="50" t="s">
        <v>226</v>
      </c>
      <c r="L234" s="51">
        <v>51</v>
      </c>
      <c r="M234" s="52">
        <v>13.2</v>
      </c>
      <c r="N234" s="52">
        <v>13.7</v>
      </c>
    </row>
    <row r="235" spans="1:14" ht="16.5" customHeight="1">
      <c r="A235" s="49" t="s">
        <v>208</v>
      </c>
      <c r="B235" s="49" t="s">
        <v>209</v>
      </c>
      <c r="C235" s="49" t="s">
        <v>210</v>
      </c>
      <c r="D235" s="49" t="s">
        <v>211</v>
      </c>
      <c r="E235" s="49" t="s">
        <v>212</v>
      </c>
      <c r="F235" s="49">
        <v>74418</v>
      </c>
      <c r="G235" s="49" t="s">
        <v>507</v>
      </c>
      <c r="H235" s="49" t="s">
        <v>508</v>
      </c>
      <c r="I235" s="50" t="s">
        <v>512</v>
      </c>
      <c r="J235" s="50" t="s">
        <v>513</v>
      </c>
      <c r="K235" s="50" t="s">
        <v>217</v>
      </c>
      <c r="L235" s="51">
        <v>80</v>
      </c>
      <c r="M235" s="52">
        <v>21</v>
      </c>
      <c r="N235" s="52">
        <v>21.5</v>
      </c>
    </row>
    <row r="236" spans="1:14" ht="16.5" customHeight="1">
      <c r="A236" s="49" t="s">
        <v>208</v>
      </c>
      <c r="B236" s="49" t="s">
        <v>209</v>
      </c>
      <c r="C236" s="49" t="s">
        <v>210</v>
      </c>
      <c r="D236" s="49" t="s">
        <v>211</v>
      </c>
      <c r="E236" s="49" t="s">
        <v>212</v>
      </c>
      <c r="F236" s="49">
        <v>74418</v>
      </c>
      <c r="G236" s="49" t="s">
        <v>507</v>
      </c>
      <c r="H236" s="49" t="s">
        <v>508</v>
      </c>
      <c r="I236" s="50" t="s">
        <v>512</v>
      </c>
      <c r="J236" s="50" t="s">
        <v>514</v>
      </c>
      <c r="K236" s="50" t="s">
        <v>219</v>
      </c>
      <c r="L236" s="51">
        <v>82</v>
      </c>
      <c r="M236" s="52">
        <v>21.3</v>
      </c>
      <c r="N236" s="52">
        <v>21.8</v>
      </c>
    </row>
    <row r="237" spans="1:14" ht="16.5" customHeight="1">
      <c r="A237" s="49" t="s">
        <v>208</v>
      </c>
      <c r="B237" s="49" t="s">
        <v>209</v>
      </c>
      <c r="C237" s="49" t="s">
        <v>210</v>
      </c>
      <c r="D237" s="49" t="s">
        <v>211</v>
      </c>
      <c r="E237" s="49" t="s">
        <v>212</v>
      </c>
      <c r="F237" s="49">
        <v>74418</v>
      </c>
      <c r="G237" s="49" t="s">
        <v>507</v>
      </c>
      <c r="H237" s="49" t="s">
        <v>508</v>
      </c>
      <c r="I237" s="50" t="s">
        <v>512</v>
      </c>
      <c r="J237" s="50" t="s">
        <v>515</v>
      </c>
      <c r="K237" s="50" t="s">
        <v>224</v>
      </c>
      <c r="L237" s="51">
        <v>81</v>
      </c>
      <c r="M237" s="52">
        <v>21.1</v>
      </c>
      <c r="N237" s="52">
        <v>21.6</v>
      </c>
    </row>
    <row r="238" spans="1:14" ht="16.5" customHeight="1">
      <c r="A238" s="49" t="s">
        <v>208</v>
      </c>
      <c r="B238" s="49" t="s">
        <v>209</v>
      </c>
      <c r="C238" s="49" t="s">
        <v>210</v>
      </c>
      <c r="D238" s="49" t="s">
        <v>211</v>
      </c>
      <c r="E238" s="49" t="s">
        <v>212</v>
      </c>
      <c r="F238" s="49">
        <v>74418</v>
      </c>
      <c r="G238" s="49" t="s">
        <v>507</v>
      </c>
      <c r="H238" s="49" t="s">
        <v>508</v>
      </c>
      <c r="I238" s="50" t="s">
        <v>512</v>
      </c>
      <c r="J238" s="50" t="s">
        <v>516</v>
      </c>
      <c r="K238" s="50" t="s">
        <v>226</v>
      </c>
      <c r="L238" s="51">
        <v>80</v>
      </c>
      <c r="M238" s="52">
        <v>21</v>
      </c>
      <c r="N238" s="52">
        <v>21.5</v>
      </c>
    </row>
    <row r="239" spans="1:14" ht="16.5" customHeight="1">
      <c r="A239" s="49" t="s">
        <v>208</v>
      </c>
      <c r="B239" s="49" t="s">
        <v>209</v>
      </c>
      <c r="C239" s="49" t="s">
        <v>210</v>
      </c>
      <c r="D239" s="49" t="s">
        <v>211</v>
      </c>
      <c r="E239" s="49" t="s">
        <v>212</v>
      </c>
      <c r="F239" s="49">
        <v>74418</v>
      </c>
      <c r="G239" s="49" t="s">
        <v>507</v>
      </c>
      <c r="H239" s="49" t="s">
        <v>508</v>
      </c>
      <c r="I239" s="50" t="s">
        <v>512</v>
      </c>
      <c r="J239" s="50" t="s">
        <v>517</v>
      </c>
      <c r="K239" s="50" t="s">
        <v>227</v>
      </c>
      <c r="L239" s="51">
        <v>80</v>
      </c>
      <c r="M239" s="52">
        <v>21</v>
      </c>
      <c r="N239" s="52">
        <v>21.5</v>
      </c>
    </row>
    <row r="240" spans="1:14" ht="16.5" customHeight="1">
      <c r="A240" s="49" t="s">
        <v>208</v>
      </c>
      <c r="B240" s="49" t="s">
        <v>209</v>
      </c>
      <c r="C240" s="49" t="s">
        <v>210</v>
      </c>
      <c r="D240" s="49" t="s">
        <v>211</v>
      </c>
      <c r="E240" s="49" t="s">
        <v>212</v>
      </c>
      <c r="F240" s="49">
        <v>74418</v>
      </c>
      <c r="G240" s="49" t="s">
        <v>507</v>
      </c>
      <c r="H240" s="49" t="s">
        <v>508</v>
      </c>
      <c r="I240" s="50" t="s">
        <v>512</v>
      </c>
      <c r="J240" s="50" t="s">
        <v>518</v>
      </c>
      <c r="K240" s="50" t="s">
        <v>260</v>
      </c>
      <c r="L240" s="51">
        <v>36</v>
      </c>
      <c r="M240" s="52">
        <v>9.5</v>
      </c>
      <c r="N240" s="52">
        <v>10</v>
      </c>
    </row>
    <row r="241" spans="1:14" ht="16.5" customHeight="1">
      <c r="A241" s="49" t="s">
        <v>208</v>
      </c>
      <c r="B241" s="49" t="s">
        <v>209</v>
      </c>
      <c r="C241" s="49" t="s">
        <v>210</v>
      </c>
      <c r="D241" s="49" t="s">
        <v>211</v>
      </c>
      <c r="E241" s="49" t="s">
        <v>212</v>
      </c>
      <c r="F241" s="49">
        <v>74418</v>
      </c>
      <c r="G241" s="49" t="s">
        <v>507</v>
      </c>
      <c r="H241" s="49" t="s">
        <v>508</v>
      </c>
      <c r="I241" s="50" t="s">
        <v>512</v>
      </c>
      <c r="J241" s="50" t="s">
        <v>519</v>
      </c>
      <c r="K241" s="50" t="s">
        <v>262</v>
      </c>
      <c r="L241" s="51">
        <v>79</v>
      </c>
      <c r="M241" s="52">
        <v>20.8</v>
      </c>
      <c r="N241" s="52">
        <v>21.3</v>
      </c>
    </row>
    <row r="242" spans="1:14" ht="16.5" customHeight="1">
      <c r="A242" s="49" t="s">
        <v>208</v>
      </c>
      <c r="B242" s="49" t="s">
        <v>209</v>
      </c>
      <c r="C242" s="49" t="s">
        <v>210</v>
      </c>
      <c r="D242" s="49" t="s">
        <v>211</v>
      </c>
      <c r="E242" s="49" t="s">
        <v>212</v>
      </c>
      <c r="F242" s="49">
        <v>74418</v>
      </c>
      <c r="G242" s="49" t="s">
        <v>507</v>
      </c>
      <c r="H242" s="49" t="s">
        <v>508</v>
      </c>
      <c r="I242" s="50" t="s">
        <v>512</v>
      </c>
      <c r="J242" s="50" t="s">
        <v>520</v>
      </c>
      <c r="K242" s="50" t="s">
        <v>264</v>
      </c>
      <c r="L242" s="51">
        <v>78</v>
      </c>
      <c r="M242" s="52">
        <v>20.399999999999999</v>
      </c>
      <c r="N242" s="52">
        <v>20.9</v>
      </c>
    </row>
    <row r="243" spans="1:14" ht="16.5" customHeight="1">
      <c r="A243" s="49" t="s">
        <v>208</v>
      </c>
      <c r="B243" s="49" t="s">
        <v>209</v>
      </c>
      <c r="C243" s="49" t="s">
        <v>210</v>
      </c>
      <c r="D243" s="49" t="s">
        <v>211</v>
      </c>
      <c r="E243" s="49" t="s">
        <v>212</v>
      </c>
      <c r="F243" s="49">
        <v>74418</v>
      </c>
      <c r="G243" s="49" t="s">
        <v>507</v>
      </c>
      <c r="H243" s="49" t="s">
        <v>508</v>
      </c>
      <c r="I243" s="50" t="s">
        <v>512</v>
      </c>
      <c r="J243" s="50" t="s">
        <v>521</v>
      </c>
      <c r="K243" s="50" t="s">
        <v>266</v>
      </c>
      <c r="L243" s="51">
        <v>81</v>
      </c>
      <c r="M243" s="52">
        <v>21.2</v>
      </c>
      <c r="N243" s="52">
        <v>21.7</v>
      </c>
    </row>
    <row r="244" spans="1:14" ht="16.5" customHeight="1">
      <c r="A244" s="49" t="s">
        <v>208</v>
      </c>
      <c r="B244" s="49" t="s">
        <v>209</v>
      </c>
      <c r="C244" s="49" t="s">
        <v>210</v>
      </c>
      <c r="D244" s="49" t="s">
        <v>211</v>
      </c>
      <c r="E244" s="49" t="s">
        <v>212</v>
      </c>
      <c r="F244" s="49">
        <v>74418</v>
      </c>
      <c r="G244" s="49" t="s">
        <v>507</v>
      </c>
      <c r="H244" s="49" t="s">
        <v>508</v>
      </c>
      <c r="I244" s="50" t="s">
        <v>512</v>
      </c>
      <c r="J244" s="50" t="s">
        <v>522</v>
      </c>
      <c r="K244" s="50" t="s">
        <v>268</v>
      </c>
      <c r="L244" s="51">
        <v>79</v>
      </c>
      <c r="M244" s="52">
        <v>20.7</v>
      </c>
      <c r="N244" s="52">
        <v>21.2</v>
      </c>
    </row>
    <row r="245" spans="1:14" ht="16.5" customHeight="1">
      <c r="A245" s="49" t="s">
        <v>208</v>
      </c>
      <c r="B245" s="49" t="s">
        <v>209</v>
      </c>
      <c r="C245" s="49" t="s">
        <v>210</v>
      </c>
      <c r="D245" s="49" t="s">
        <v>211</v>
      </c>
      <c r="E245" s="49" t="s">
        <v>212</v>
      </c>
      <c r="F245" s="49">
        <v>74418</v>
      </c>
      <c r="G245" s="49" t="s">
        <v>507</v>
      </c>
      <c r="H245" s="49" t="s">
        <v>508</v>
      </c>
      <c r="I245" s="50" t="s">
        <v>512</v>
      </c>
      <c r="J245" s="50" t="s">
        <v>523</v>
      </c>
      <c r="K245" s="50" t="s">
        <v>270</v>
      </c>
      <c r="L245" s="51">
        <v>39</v>
      </c>
      <c r="M245" s="52">
        <v>10.1</v>
      </c>
      <c r="N245" s="52">
        <v>10.6</v>
      </c>
    </row>
    <row r="246" spans="1:14" ht="16.5" customHeight="1">
      <c r="A246" s="49" t="s">
        <v>208</v>
      </c>
      <c r="B246" s="49" t="s">
        <v>209</v>
      </c>
      <c r="C246" s="49" t="s">
        <v>210</v>
      </c>
      <c r="D246" s="49" t="s">
        <v>211</v>
      </c>
      <c r="E246" s="49" t="s">
        <v>212</v>
      </c>
      <c r="F246" s="49">
        <v>74418</v>
      </c>
      <c r="G246" s="49" t="s">
        <v>507</v>
      </c>
      <c r="H246" s="49" t="s">
        <v>508</v>
      </c>
      <c r="I246" s="50" t="s">
        <v>512</v>
      </c>
      <c r="J246" s="50" t="s">
        <v>524</v>
      </c>
      <c r="K246" s="50" t="s">
        <v>272</v>
      </c>
      <c r="L246" s="51">
        <v>79</v>
      </c>
      <c r="M246" s="52">
        <v>20.9</v>
      </c>
      <c r="N246" s="52">
        <v>21.4</v>
      </c>
    </row>
    <row r="247" spans="1:14" ht="16.5" customHeight="1">
      <c r="A247" s="49" t="s">
        <v>208</v>
      </c>
      <c r="B247" s="49" t="s">
        <v>209</v>
      </c>
      <c r="C247" s="49" t="s">
        <v>210</v>
      </c>
      <c r="D247" s="49" t="s">
        <v>211</v>
      </c>
      <c r="E247" s="49" t="s">
        <v>212</v>
      </c>
      <c r="F247" s="49">
        <v>74418</v>
      </c>
      <c r="G247" s="49" t="s">
        <v>525</v>
      </c>
      <c r="H247" s="49" t="s">
        <v>526</v>
      </c>
      <c r="I247" s="50" t="s">
        <v>527</v>
      </c>
      <c r="J247" s="50" t="s">
        <v>528</v>
      </c>
      <c r="K247" s="50" t="s">
        <v>217</v>
      </c>
      <c r="L247" s="51">
        <v>81</v>
      </c>
      <c r="M247" s="52">
        <v>21</v>
      </c>
      <c r="N247" s="52">
        <v>21.5</v>
      </c>
    </row>
    <row r="248" spans="1:14" ht="16.5" customHeight="1">
      <c r="A248" s="49" t="s">
        <v>208</v>
      </c>
      <c r="B248" s="49" t="s">
        <v>209</v>
      </c>
      <c r="C248" s="49" t="s">
        <v>210</v>
      </c>
      <c r="D248" s="49" t="s">
        <v>211</v>
      </c>
      <c r="E248" s="49" t="s">
        <v>212</v>
      </c>
      <c r="F248" s="49">
        <v>74418</v>
      </c>
      <c r="G248" s="49" t="s">
        <v>525</v>
      </c>
      <c r="H248" s="49" t="s">
        <v>526</v>
      </c>
      <c r="I248" s="50" t="s">
        <v>527</v>
      </c>
      <c r="J248" s="50" t="s">
        <v>529</v>
      </c>
      <c r="K248" s="50" t="s">
        <v>219</v>
      </c>
      <c r="L248" s="51">
        <v>81</v>
      </c>
      <c r="M248" s="52">
        <v>21.1</v>
      </c>
      <c r="N248" s="52">
        <v>21.6</v>
      </c>
    </row>
    <row r="249" spans="1:14" ht="16.5" customHeight="1">
      <c r="A249" s="49" t="s">
        <v>208</v>
      </c>
      <c r="B249" s="49" t="s">
        <v>209</v>
      </c>
      <c r="C249" s="49" t="s">
        <v>210</v>
      </c>
      <c r="D249" s="49" t="s">
        <v>211</v>
      </c>
      <c r="E249" s="49" t="s">
        <v>212</v>
      </c>
      <c r="F249" s="49">
        <v>74418</v>
      </c>
      <c r="G249" s="49" t="s">
        <v>525</v>
      </c>
      <c r="H249" s="49" t="s">
        <v>526</v>
      </c>
      <c r="I249" s="50" t="s">
        <v>527</v>
      </c>
      <c r="J249" s="50" t="s">
        <v>530</v>
      </c>
      <c r="K249" s="50" t="s">
        <v>224</v>
      </c>
      <c r="L249" s="51">
        <v>80</v>
      </c>
      <c r="M249" s="52">
        <v>20.8</v>
      </c>
      <c r="N249" s="52">
        <v>21.3</v>
      </c>
    </row>
    <row r="250" spans="1:14" ht="16.5" customHeight="1">
      <c r="A250" s="49" t="s">
        <v>208</v>
      </c>
      <c r="B250" s="49" t="s">
        <v>209</v>
      </c>
      <c r="C250" s="49" t="s">
        <v>210</v>
      </c>
      <c r="D250" s="49" t="s">
        <v>211</v>
      </c>
      <c r="E250" s="49" t="s">
        <v>212</v>
      </c>
      <c r="F250" s="49">
        <v>74418</v>
      </c>
      <c r="G250" s="49" t="s">
        <v>525</v>
      </c>
      <c r="H250" s="49" t="s">
        <v>526</v>
      </c>
      <c r="I250" s="50" t="s">
        <v>527</v>
      </c>
      <c r="J250" s="50" t="s">
        <v>531</v>
      </c>
      <c r="K250" s="50" t="s">
        <v>226</v>
      </c>
      <c r="L250" s="51">
        <v>82</v>
      </c>
      <c r="M250" s="52">
        <v>21.3</v>
      </c>
      <c r="N250" s="52">
        <v>21.8</v>
      </c>
    </row>
    <row r="251" spans="1:14" ht="16.5" customHeight="1">
      <c r="A251" s="49" t="s">
        <v>208</v>
      </c>
      <c r="B251" s="49" t="s">
        <v>209</v>
      </c>
      <c r="C251" s="49" t="s">
        <v>210</v>
      </c>
      <c r="D251" s="49" t="s">
        <v>211</v>
      </c>
      <c r="E251" s="49" t="s">
        <v>212</v>
      </c>
      <c r="F251" s="49">
        <v>74418</v>
      </c>
      <c r="G251" s="49" t="s">
        <v>525</v>
      </c>
      <c r="H251" s="49" t="s">
        <v>526</v>
      </c>
      <c r="I251" s="50" t="s">
        <v>527</v>
      </c>
      <c r="J251" s="50" t="s">
        <v>532</v>
      </c>
      <c r="K251" s="50" t="s">
        <v>227</v>
      </c>
      <c r="L251" s="51">
        <v>77</v>
      </c>
      <c r="M251" s="52">
        <v>20</v>
      </c>
      <c r="N251" s="52">
        <v>20.5</v>
      </c>
    </row>
    <row r="252" spans="1:14" ht="16.5" customHeight="1">
      <c r="A252" s="49" t="s">
        <v>208</v>
      </c>
      <c r="B252" s="49" t="s">
        <v>209</v>
      </c>
      <c r="C252" s="49" t="s">
        <v>210</v>
      </c>
      <c r="D252" s="49" t="s">
        <v>211</v>
      </c>
      <c r="E252" s="49" t="s">
        <v>212</v>
      </c>
      <c r="F252" s="49">
        <v>74418</v>
      </c>
      <c r="G252" s="49" t="s">
        <v>525</v>
      </c>
      <c r="H252" s="49" t="s">
        <v>526</v>
      </c>
      <c r="I252" s="50" t="s">
        <v>527</v>
      </c>
      <c r="J252" s="50" t="s">
        <v>533</v>
      </c>
      <c r="K252" s="50" t="s">
        <v>260</v>
      </c>
      <c r="L252" s="51">
        <v>82</v>
      </c>
      <c r="M252" s="52">
        <v>21.2</v>
      </c>
      <c r="N252" s="52">
        <v>21.7</v>
      </c>
    </row>
    <row r="253" spans="1:14" ht="16.5" customHeight="1">
      <c r="A253" s="49" t="s">
        <v>208</v>
      </c>
      <c r="B253" s="49" t="s">
        <v>209</v>
      </c>
      <c r="C253" s="49" t="s">
        <v>210</v>
      </c>
      <c r="D253" s="49" t="s">
        <v>211</v>
      </c>
      <c r="E253" s="49" t="s">
        <v>212</v>
      </c>
      <c r="F253" s="49">
        <v>74418</v>
      </c>
      <c r="G253" s="49" t="s">
        <v>525</v>
      </c>
      <c r="H253" s="49" t="s">
        <v>526</v>
      </c>
      <c r="I253" s="50" t="s">
        <v>527</v>
      </c>
      <c r="J253" s="50" t="s">
        <v>534</v>
      </c>
      <c r="K253" s="50" t="s">
        <v>262</v>
      </c>
      <c r="L253" s="51">
        <v>77</v>
      </c>
      <c r="M253" s="52">
        <v>20</v>
      </c>
      <c r="N253" s="52">
        <v>20.5</v>
      </c>
    </row>
    <row r="254" spans="1:14" ht="16.5" customHeight="1">
      <c r="A254" s="49" t="s">
        <v>208</v>
      </c>
      <c r="B254" s="49" t="s">
        <v>209</v>
      </c>
      <c r="C254" s="49" t="s">
        <v>210</v>
      </c>
      <c r="D254" s="49" t="s">
        <v>211</v>
      </c>
      <c r="E254" s="49" t="s">
        <v>212</v>
      </c>
      <c r="F254" s="49">
        <v>74418</v>
      </c>
      <c r="G254" s="49" t="s">
        <v>525</v>
      </c>
      <c r="H254" s="49" t="s">
        <v>526</v>
      </c>
      <c r="I254" s="50" t="s">
        <v>527</v>
      </c>
      <c r="J254" s="50" t="s">
        <v>535</v>
      </c>
      <c r="K254" s="50" t="s">
        <v>264</v>
      </c>
      <c r="L254" s="51">
        <v>80</v>
      </c>
      <c r="M254" s="52">
        <v>20.9</v>
      </c>
      <c r="N254" s="52">
        <v>21.4</v>
      </c>
    </row>
    <row r="255" spans="1:14" ht="16.5" customHeight="1">
      <c r="A255" s="49" t="s">
        <v>208</v>
      </c>
      <c r="B255" s="49" t="s">
        <v>209</v>
      </c>
      <c r="C255" s="49" t="s">
        <v>210</v>
      </c>
      <c r="D255" s="49" t="s">
        <v>211</v>
      </c>
      <c r="E255" s="49" t="s">
        <v>212</v>
      </c>
      <c r="F255" s="49">
        <v>74418</v>
      </c>
      <c r="G255" s="49" t="s">
        <v>525</v>
      </c>
      <c r="H255" s="49" t="s">
        <v>526</v>
      </c>
      <c r="I255" s="50" t="s">
        <v>527</v>
      </c>
      <c r="J255" s="50" t="s">
        <v>536</v>
      </c>
      <c r="K255" s="50" t="s">
        <v>266</v>
      </c>
      <c r="L255" s="51">
        <v>82</v>
      </c>
      <c r="M255" s="52">
        <v>21.4</v>
      </c>
      <c r="N255" s="52">
        <v>21.9</v>
      </c>
    </row>
    <row r="256" spans="1:14" ht="16.5" customHeight="1">
      <c r="A256" s="49" t="s">
        <v>208</v>
      </c>
      <c r="B256" s="49" t="s">
        <v>209</v>
      </c>
      <c r="C256" s="49" t="s">
        <v>210</v>
      </c>
      <c r="D256" s="49" t="s">
        <v>211</v>
      </c>
      <c r="E256" s="49" t="s">
        <v>212</v>
      </c>
      <c r="F256" s="49">
        <v>74418</v>
      </c>
      <c r="G256" s="49" t="s">
        <v>525</v>
      </c>
      <c r="H256" s="49" t="s">
        <v>526</v>
      </c>
      <c r="I256" s="50" t="s">
        <v>527</v>
      </c>
      <c r="J256" s="50" t="s">
        <v>537</v>
      </c>
      <c r="K256" s="50" t="s">
        <v>268</v>
      </c>
      <c r="L256" s="51">
        <v>82</v>
      </c>
      <c r="M256" s="52">
        <v>21.4</v>
      </c>
      <c r="N256" s="52">
        <v>21.9</v>
      </c>
    </row>
    <row r="257" spans="1:14" ht="16.5" customHeight="1">
      <c r="A257" s="49" t="s">
        <v>208</v>
      </c>
      <c r="B257" s="49" t="s">
        <v>209</v>
      </c>
      <c r="C257" s="49" t="s">
        <v>210</v>
      </c>
      <c r="D257" s="49" t="s">
        <v>211</v>
      </c>
      <c r="E257" s="49" t="s">
        <v>212</v>
      </c>
      <c r="F257" s="49">
        <v>74418</v>
      </c>
      <c r="G257" s="49" t="s">
        <v>525</v>
      </c>
      <c r="H257" s="49" t="s">
        <v>526</v>
      </c>
      <c r="I257" s="50" t="s">
        <v>527</v>
      </c>
      <c r="J257" s="50" t="s">
        <v>538</v>
      </c>
      <c r="K257" s="50" t="s">
        <v>270</v>
      </c>
      <c r="L257" s="51">
        <v>82</v>
      </c>
      <c r="M257" s="52">
        <v>21.3</v>
      </c>
      <c r="N257" s="52">
        <v>21.8</v>
      </c>
    </row>
    <row r="258" spans="1:14" ht="16.5" customHeight="1">
      <c r="A258" s="49" t="s">
        <v>208</v>
      </c>
      <c r="B258" s="49" t="s">
        <v>209</v>
      </c>
      <c r="C258" s="49" t="s">
        <v>210</v>
      </c>
      <c r="D258" s="49" t="s">
        <v>211</v>
      </c>
      <c r="E258" s="49" t="s">
        <v>212</v>
      </c>
      <c r="F258" s="49">
        <v>74418</v>
      </c>
      <c r="G258" s="49" t="s">
        <v>525</v>
      </c>
      <c r="H258" s="49" t="s">
        <v>526</v>
      </c>
      <c r="I258" s="50" t="s">
        <v>527</v>
      </c>
      <c r="J258" s="50" t="s">
        <v>539</v>
      </c>
      <c r="K258" s="50" t="s">
        <v>272</v>
      </c>
      <c r="L258" s="51">
        <v>82</v>
      </c>
      <c r="M258" s="52">
        <v>21.2</v>
      </c>
      <c r="N258" s="52">
        <v>21.7</v>
      </c>
    </row>
    <row r="259" spans="1:14" ht="16.5" customHeight="1">
      <c r="A259" s="49" t="s">
        <v>208</v>
      </c>
      <c r="B259" s="49" t="s">
        <v>209</v>
      </c>
      <c r="C259" s="49" t="s">
        <v>210</v>
      </c>
      <c r="D259" s="49" t="s">
        <v>211</v>
      </c>
      <c r="E259" s="49" t="s">
        <v>212</v>
      </c>
      <c r="F259" s="49">
        <v>74418</v>
      </c>
      <c r="G259" s="49" t="s">
        <v>525</v>
      </c>
      <c r="H259" s="49" t="s">
        <v>526</v>
      </c>
      <c r="I259" s="50" t="s">
        <v>527</v>
      </c>
      <c r="J259" s="50" t="s">
        <v>540</v>
      </c>
      <c r="K259" s="50" t="s">
        <v>274</v>
      </c>
      <c r="L259" s="51">
        <v>81</v>
      </c>
      <c r="M259" s="52">
        <v>21.1</v>
      </c>
      <c r="N259" s="52">
        <v>21.6</v>
      </c>
    </row>
    <row r="260" spans="1:14" ht="16.5" customHeight="1">
      <c r="A260" s="49" t="s">
        <v>208</v>
      </c>
      <c r="B260" s="49" t="s">
        <v>209</v>
      </c>
      <c r="C260" s="49" t="s">
        <v>210</v>
      </c>
      <c r="D260" s="49" t="s">
        <v>211</v>
      </c>
      <c r="E260" s="49" t="s">
        <v>212</v>
      </c>
      <c r="F260" s="49">
        <v>74418</v>
      </c>
      <c r="G260" s="49" t="s">
        <v>525</v>
      </c>
      <c r="H260" s="49" t="s">
        <v>526</v>
      </c>
      <c r="I260" s="50" t="s">
        <v>527</v>
      </c>
      <c r="J260" s="50" t="s">
        <v>541</v>
      </c>
      <c r="K260" s="50" t="s">
        <v>276</v>
      </c>
      <c r="L260" s="51">
        <v>82</v>
      </c>
      <c r="M260" s="52">
        <v>21.4</v>
      </c>
      <c r="N260" s="52">
        <v>21.9</v>
      </c>
    </row>
    <row r="261" spans="1:14" ht="16.5" customHeight="1">
      <c r="A261" s="49" t="s">
        <v>208</v>
      </c>
      <c r="B261" s="49" t="s">
        <v>209</v>
      </c>
      <c r="C261" s="49" t="s">
        <v>210</v>
      </c>
      <c r="D261" s="49" t="s">
        <v>211</v>
      </c>
      <c r="E261" s="49" t="s">
        <v>212</v>
      </c>
      <c r="F261" s="49">
        <v>74418</v>
      </c>
      <c r="G261" s="49" t="s">
        <v>525</v>
      </c>
      <c r="H261" s="49" t="s">
        <v>526</v>
      </c>
      <c r="I261" s="50" t="s">
        <v>527</v>
      </c>
      <c r="J261" s="50" t="s">
        <v>542</v>
      </c>
      <c r="K261" s="50" t="s">
        <v>368</v>
      </c>
      <c r="L261" s="51">
        <v>82</v>
      </c>
      <c r="M261" s="52">
        <v>21.4</v>
      </c>
      <c r="N261" s="52">
        <v>21.9</v>
      </c>
    </row>
    <row r="262" spans="1:14" ht="16.5" customHeight="1">
      <c r="A262" s="49" t="s">
        <v>208</v>
      </c>
      <c r="B262" s="49" t="s">
        <v>209</v>
      </c>
      <c r="C262" s="49" t="s">
        <v>210</v>
      </c>
      <c r="D262" s="49" t="s">
        <v>211</v>
      </c>
      <c r="E262" s="49" t="s">
        <v>212</v>
      </c>
      <c r="F262" s="49">
        <v>74418</v>
      </c>
      <c r="G262" s="49" t="s">
        <v>525</v>
      </c>
      <c r="H262" s="49" t="s">
        <v>526</v>
      </c>
      <c r="I262" s="50" t="s">
        <v>527</v>
      </c>
      <c r="J262" s="50" t="s">
        <v>543</v>
      </c>
      <c r="K262" s="50" t="s">
        <v>370</v>
      </c>
      <c r="L262" s="51">
        <v>81</v>
      </c>
      <c r="M262" s="52">
        <v>21.1</v>
      </c>
      <c r="N262" s="52">
        <v>21.6</v>
      </c>
    </row>
    <row r="263" spans="1:14" ht="16.5" customHeight="1">
      <c r="A263" s="49" t="s">
        <v>208</v>
      </c>
      <c r="B263" s="49" t="s">
        <v>209</v>
      </c>
      <c r="C263" s="49" t="s">
        <v>210</v>
      </c>
      <c r="D263" s="49" t="s">
        <v>211</v>
      </c>
      <c r="E263" s="49" t="s">
        <v>212</v>
      </c>
      <c r="F263" s="49">
        <v>74418</v>
      </c>
      <c r="G263" s="49" t="s">
        <v>525</v>
      </c>
      <c r="H263" s="49" t="s">
        <v>526</v>
      </c>
      <c r="I263" s="50" t="s">
        <v>527</v>
      </c>
      <c r="J263" s="50" t="s">
        <v>544</v>
      </c>
      <c r="K263" s="50" t="s">
        <v>372</v>
      </c>
      <c r="L263" s="51">
        <v>82</v>
      </c>
      <c r="M263" s="52">
        <v>21.3</v>
      </c>
      <c r="N263" s="52">
        <v>21.8</v>
      </c>
    </row>
    <row r="264" spans="1:14" ht="16.5" customHeight="1">
      <c r="A264" s="49" t="s">
        <v>208</v>
      </c>
      <c r="B264" s="49" t="s">
        <v>209</v>
      </c>
      <c r="C264" s="49" t="s">
        <v>210</v>
      </c>
      <c r="D264" s="49" t="s">
        <v>211</v>
      </c>
      <c r="E264" s="49" t="s">
        <v>212</v>
      </c>
      <c r="F264" s="49">
        <v>74418</v>
      </c>
      <c r="G264" s="49" t="s">
        <v>545</v>
      </c>
      <c r="H264" s="49" t="s">
        <v>546</v>
      </c>
      <c r="I264" s="50" t="s">
        <v>547</v>
      </c>
      <c r="J264" s="50" t="s">
        <v>548</v>
      </c>
      <c r="K264" s="50" t="s">
        <v>246</v>
      </c>
      <c r="L264" s="51">
        <v>71</v>
      </c>
      <c r="M264" s="52">
        <v>19</v>
      </c>
      <c r="N264" s="52">
        <v>19.5</v>
      </c>
    </row>
    <row r="265" spans="1:14" ht="16.5" customHeight="1">
      <c r="A265" s="49" t="s">
        <v>208</v>
      </c>
      <c r="B265" s="49" t="s">
        <v>209</v>
      </c>
      <c r="C265" s="49" t="s">
        <v>210</v>
      </c>
      <c r="D265" s="49" t="s">
        <v>211</v>
      </c>
      <c r="E265" s="49" t="s">
        <v>212</v>
      </c>
      <c r="F265" s="49">
        <v>74418</v>
      </c>
      <c r="G265" s="49" t="s">
        <v>545</v>
      </c>
      <c r="H265" s="49" t="s">
        <v>546</v>
      </c>
      <c r="I265" s="50" t="s">
        <v>549</v>
      </c>
      <c r="J265" s="50" t="s">
        <v>550</v>
      </c>
      <c r="K265" s="50" t="s">
        <v>217</v>
      </c>
      <c r="L265" s="51">
        <v>82</v>
      </c>
      <c r="M265" s="52">
        <v>21.3</v>
      </c>
      <c r="N265" s="52">
        <v>21.8</v>
      </c>
    </row>
    <row r="266" spans="1:14" ht="16.5" customHeight="1">
      <c r="A266" s="49" t="s">
        <v>208</v>
      </c>
      <c r="B266" s="49" t="s">
        <v>209</v>
      </c>
      <c r="C266" s="49" t="s">
        <v>210</v>
      </c>
      <c r="D266" s="49" t="s">
        <v>211</v>
      </c>
      <c r="E266" s="49" t="s">
        <v>212</v>
      </c>
      <c r="F266" s="49">
        <v>74418</v>
      </c>
      <c r="G266" s="49" t="s">
        <v>545</v>
      </c>
      <c r="H266" s="49" t="s">
        <v>546</v>
      </c>
      <c r="I266" s="50" t="s">
        <v>549</v>
      </c>
      <c r="J266" s="50" t="s">
        <v>551</v>
      </c>
      <c r="K266" s="50" t="s">
        <v>219</v>
      </c>
      <c r="L266" s="51">
        <v>81</v>
      </c>
      <c r="M266" s="52">
        <v>21.1</v>
      </c>
      <c r="N266" s="52">
        <v>21.6</v>
      </c>
    </row>
    <row r="267" spans="1:14" ht="16.5" customHeight="1">
      <c r="A267" s="49" t="s">
        <v>208</v>
      </c>
      <c r="B267" s="49" t="s">
        <v>209</v>
      </c>
      <c r="C267" s="49" t="s">
        <v>210</v>
      </c>
      <c r="D267" s="49" t="s">
        <v>211</v>
      </c>
      <c r="E267" s="49" t="s">
        <v>212</v>
      </c>
      <c r="F267" s="49">
        <v>74418</v>
      </c>
      <c r="G267" s="49" t="s">
        <v>545</v>
      </c>
      <c r="H267" s="49" t="s">
        <v>546</v>
      </c>
      <c r="I267" s="50" t="s">
        <v>549</v>
      </c>
      <c r="J267" s="50" t="s">
        <v>552</v>
      </c>
      <c r="K267" s="50" t="s">
        <v>224</v>
      </c>
      <c r="L267" s="51">
        <v>80</v>
      </c>
      <c r="M267" s="52">
        <v>20.9</v>
      </c>
      <c r="N267" s="52">
        <v>21.4</v>
      </c>
    </row>
    <row r="268" spans="1:14" ht="16.5" customHeight="1">
      <c r="A268" s="49" t="s">
        <v>208</v>
      </c>
      <c r="B268" s="49" t="s">
        <v>209</v>
      </c>
      <c r="C268" s="49" t="s">
        <v>210</v>
      </c>
      <c r="D268" s="49" t="s">
        <v>211</v>
      </c>
      <c r="E268" s="49" t="s">
        <v>212</v>
      </c>
      <c r="F268" s="49">
        <v>74418</v>
      </c>
      <c r="G268" s="49" t="s">
        <v>545</v>
      </c>
      <c r="H268" s="49" t="s">
        <v>546</v>
      </c>
      <c r="I268" s="50" t="s">
        <v>549</v>
      </c>
      <c r="J268" s="50" t="s">
        <v>553</v>
      </c>
      <c r="K268" s="50" t="s">
        <v>226</v>
      </c>
      <c r="L268" s="51">
        <v>82</v>
      </c>
      <c r="M268" s="52">
        <v>21.2</v>
      </c>
      <c r="N268" s="52">
        <v>21.7</v>
      </c>
    </row>
    <row r="269" spans="1:14" ht="16.5" customHeight="1">
      <c r="A269" s="49" t="s">
        <v>208</v>
      </c>
      <c r="B269" s="49" t="s">
        <v>209</v>
      </c>
      <c r="C269" s="49" t="s">
        <v>210</v>
      </c>
      <c r="D269" s="49" t="s">
        <v>211</v>
      </c>
      <c r="E269" s="49" t="s">
        <v>212</v>
      </c>
      <c r="F269" s="49">
        <v>74418</v>
      </c>
      <c r="G269" s="49" t="s">
        <v>545</v>
      </c>
      <c r="H269" s="49" t="s">
        <v>546</v>
      </c>
      <c r="I269" s="50" t="s">
        <v>549</v>
      </c>
      <c r="J269" s="50" t="s">
        <v>554</v>
      </c>
      <c r="K269" s="50" t="s">
        <v>227</v>
      </c>
      <c r="L269" s="51">
        <v>71</v>
      </c>
      <c r="M269" s="52">
        <v>18.5</v>
      </c>
      <c r="N269" s="52">
        <v>19</v>
      </c>
    </row>
    <row r="270" spans="1:14" ht="16.5" customHeight="1">
      <c r="A270" s="49" t="s">
        <v>208</v>
      </c>
      <c r="B270" s="49" t="s">
        <v>209</v>
      </c>
      <c r="C270" s="49" t="s">
        <v>210</v>
      </c>
      <c r="D270" s="49" t="s">
        <v>211</v>
      </c>
      <c r="E270" s="49" t="s">
        <v>212</v>
      </c>
      <c r="F270" s="49">
        <v>74418</v>
      </c>
      <c r="G270" s="49" t="s">
        <v>545</v>
      </c>
      <c r="H270" s="49" t="s">
        <v>546</v>
      </c>
      <c r="I270" s="50" t="s">
        <v>549</v>
      </c>
      <c r="J270" s="50" t="s">
        <v>555</v>
      </c>
      <c r="K270" s="50" t="s">
        <v>260</v>
      </c>
      <c r="L270" s="51">
        <v>82</v>
      </c>
      <c r="M270" s="52">
        <v>21.4</v>
      </c>
      <c r="N270" s="52">
        <v>21.9</v>
      </c>
    </row>
    <row r="271" spans="1:14" ht="16.5" customHeight="1">
      <c r="A271" s="49" t="s">
        <v>208</v>
      </c>
      <c r="B271" s="49" t="s">
        <v>209</v>
      </c>
      <c r="C271" s="49" t="s">
        <v>210</v>
      </c>
      <c r="D271" s="49" t="s">
        <v>211</v>
      </c>
      <c r="E271" s="49" t="s">
        <v>212</v>
      </c>
      <c r="F271" s="49">
        <v>74418</v>
      </c>
      <c r="G271" s="49" t="s">
        <v>545</v>
      </c>
      <c r="H271" s="49" t="s">
        <v>546</v>
      </c>
      <c r="I271" s="50" t="s">
        <v>549</v>
      </c>
      <c r="J271" s="50" t="s">
        <v>556</v>
      </c>
      <c r="K271" s="50" t="s">
        <v>262</v>
      </c>
      <c r="L271" s="51">
        <v>82</v>
      </c>
      <c r="M271" s="52">
        <v>21.4</v>
      </c>
      <c r="N271" s="52">
        <v>21.9</v>
      </c>
    </row>
    <row r="272" spans="1:14" ht="16.5" customHeight="1">
      <c r="A272" s="49" t="s">
        <v>208</v>
      </c>
      <c r="B272" s="49" t="s">
        <v>209</v>
      </c>
      <c r="C272" s="49" t="s">
        <v>210</v>
      </c>
      <c r="D272" s="49" t="s">
        <v>211</v>
      </c>
      <c r="E272" s="49" t="s">
        <v>212</v>
      </c>
      <c r="F272" s="49">
        <v>74418</v>
      </c>
      <c r="G272" s="49" t="s">
        <v>545</v>
      </c>
      <c r="H272" s="49" t="s">
        <v>546</v>
      </c>
      <c r="I272" s="50" t="s">
        <v>549</v>
      </c>
      <c r="J272" s="50" t="s">
        <v>557</v>
      </c>
      <c r="K272" s="50" t="s">
        <v>264</v>
      </c>
      <c r="L272" s="51">
        <v>61</v>
      </c>
      <c r="M272" s="52">
        <v>15.9</v>
      </c>
      <c r="N272" s="52">
        <v>16.399999999999999</v>
      </c>
    </row>
    <row r="273" spans="1:14" ht="16.5" customHeight="1">
      <c r="A273" s="49" t="s">
        <v>208</v>
      </c>
      <c r="B273" s="49" t="s">
        <v>209</v>
      </c>
      <c r="C273" s="49" t="s">
        <v>210</v>
      </c>
      <c r="D273" s="49" t="s">
        <v>211</v>
      </c>
      <c r="E273" s="49" t="s">
        <v>212</v>
      </c>
      <c r="F273" s="49">
        <v>74418</v>
      </c>
      <c r="G273" s="49" t="s">
        <v>545</v>
      </c>
      <c r="H273" s="49" t="s">
        <v>546</v>
      </c>
      <c r="I273" s="50" t="s">
        <v>549</v>
      </c>
      <c r="J273" s="50" t="s">
        <v>558</v>
      </c>
      <c r="K273" s="50" t="s">
        <v>266</v>
      </c>
      <c r="L273" s="51">
        <v>80</v>
      </c>
      <c r="M273" s="52">
        <v>20.7</v>
      </c>
      <c r="N273" s="52">
        <v>21.2</v>
      </c>
    </row>
    <row r="274" spans="1:14" ht="16.5" customHeight="1">
      <c r="A274" s="49" t="s">
        <v>208</v>
      </c>
      <c r="B274" s="49" t="s">
        <v>209</v>
      </c>
      <c r="C274" s="49" t="s">
        <v>210</v>
      </c>
      <c r="D274" s="49" t="s">
        <v>211</v>
      </c>
      <c r="E274" s="49" t="s">
        <v>212</v>
      </c>
      <c r="F274" s="49">
        <v>74418</v>
      </c>
      <c r="G274" s="49" t="s">
        <v>545</v>
      </c>
      <c r="H274" s="49" t="s">
        <v>546</v>
      </c>
      <c r="I274" s="50" t="s">
        <v>549</v>
      </c>
      <c r="J274" s="50" t="s">
        <v>559</v>
      </c>
      <c r="K274" s="50" t="s">
        <v>268</v>
      </c>
      <c r="L274" s="51">
        <v>82</v>
      </c>
      <c r="M274" s="52">
        <v>21.3</v>
      </c>
      <c r="N274" s="52">
        <v>21.8</v>
      </c>
    </row>
    <row r="275" spans="1:14" ht="16.5" customHeight="1">
      <c r="A275" s="49" t="s">
        <v>208</v>
      </c>
      <c r="B275" s="49" t="s">
        <v>209</v>
      </c>
      <c r="C275" s="49" t="s">
        <v>210</v>
      </c>
      <c r="D275" s="49" t="s">
        <v>211</v>
      </c>
      <c r="E275" s="49" t="s">
        <v>212</v>
      </c>
      <c r="F275" s="49">
        <v>74418</v>
      </c>
      <c r="G275" s="49" t="s">
        <v>545</v>
      </c>
      <c r="H275" s="49" t="s">
        <v>546</v>
      </c>
      <c r="I275" s="50" t="s">
        <v>549</v>
      </c>
      <c r="J275" s="50" t="s">
        <v>560</v>
      </c>
      <c r="K275" s="50" t="s">
        <v>270</v>
      </c>
      <c r="L275" s="51">
        <v>81</v>
      </c>
      <c r="M275" s="52">
        <v>21</v>
      </c>
      <c r="N275" s="52">
        <v>21.5</v>
      </c>
    </row>
    <row r="276" spans="1:14" ht="16.5" customHeight="1">
      <c r="A276" s="49" t="s">
        <v>208</v>
      </c>
      <c r="B276" s="49" t="s">
        <v>209</v>
      </c>
      <c r="C276" s="49" t="s">
        <v>210</v>
      </c>
      <c r="D276" s="49" t="s">
        <v>211</v>
      </c>
      <c r="E276" s="49" t="s">
        <v>212</v>
      </c>
      <c r="F276" s="49">
        <v>74418</v>
      </c>
      <c r="G276" s="49" t="s">
        <v>545</v>
      </c>
      <c r="H276" s="49" t="s">
        <v>546</v>
      </c>
      <c r="I276" s="50" t="s">
        <v>561</v>
      </c>
      <c r="J276" s="50" t="s">
        <v>562</v>
      </c>
      <c r="K276" s="50" t="s">
        <v>217</v>
      </c>
      <c r="L276" s="51">
        <v>82</v>
      </c>
      <c r="M276" s="52">
        <v>21.2</v>
      </c>
      <c r="N276" s="52">
        <v>21.7</v>
      </c>
    </row>
    <row r="277" spans="1:14" ht="16.5" customHeight="1">
      <c r="A277" s="49" t="s">
        <v>208</v>
      </c>
      <c r="B277" s="49" t="s">
        <v>209</v>
      </c>
      <c r="C277" s="49" t="s">
        <v>210</v>
      </c>
      <c r="D277" s="49" t="s">
        <v>211</v>
      </c>
      <c r="E277" s="49" t="s">
        <v>212</v>
      </c>
      <c r="F277" s="49">
        <v>74418</v>
      </c>
      <c r="G277" s="49" t="s">
        <v>545</v>
      </c>
      <c r="H277" s="49" t="s">
        <v>546</v>
      </c>
      <c r="I277" s="50" t="s">
        <v>561</v>
      </c>
      <c r="J277" s="50" t="s">
        <v>563</v>
      </c>
      <c r="K277" s="50" t="s">
        <v>219</v>
      </c>
      <c r="L277" s="51">
        <v>82</v>
      </c>
      <c r="M277" s="52">
        <v>21.4</v>
      </c>
      <c r="N277" s="52">
        <v>21.9</v>
      </c>
    </row>
    <row r="278" spans="1:14" ht="16.5" customHeight="1">
      <c r="A278" s="49" t="s">
        <v>208</v>
      </c>
      <c r="B278" s="49" t="s">
        <v>209</v>
      </c>
      <c r="C278" s="49" t="s">
        <v>210</v>
      </c>
      <c r="D278" s="49" t="s">
        <v>211</v>
      </c>
      <c r="E278" s="49" t="s">
        <v>212</v>
      </c>
      <c r="F278" s="49">
        <v>74418</v>
      </c>
      <c r="G278" s="49" t="s">
        <v>545</v>
      </c>
      <c r="H278" s="49" t="s">
        <v>546</v>
      </c>
      <c r="I278" s="50" t="s">
        <v>561</v>
      </c>
      <c r="J278" s="50" t="s">
        <v>564</v>
      </c>
      <c r="K278" s="50" t="s">
        <v>224</v>
      </c>
      <c r="L278" s="51">
        <v>81</v>
      </c>
      <c r="M278" s="52">
        <v>21.1</v>
      </c>
      <c r="N278" s="52">
        <v>21.6</v>
      </c>
    </row>
    <row r="279" spans="1:14" ht="16.5" customHeight="1">
      <c r="A279" s="49" t="s">
        <v>208</v>
      </c>
      <c r="B279" s="49" t="s">
        <v>209</v>
      </c>
      <c r="C279" s="49" t="s">
        <v>210</v>
      </c>
      <c r="D279" s="49" t="s">
        <v>211</v>
      </c>
      <c r="E279" s="49" t="s">
        <v>212</v>
      </c>
      <c r="F279" s="49">
        <v>74418</v>
      </c>
      <c r="G279" s="49" t="s">
        <v>545</v>
      </c>
      <c r="H279" s="49" t="s">
        <v>546</v>
      </c>
      <c r="I279" s="50" t="s">
        <v>561</v>
      </c>
      <c r="J279" s="50" t="s">
        <v>565</v>
      </c>
      <c r="K279" s="50" t="s">
        <v>226</v>
      </c>
      <c r="L279" s="51">
        <v>82</v>
      </c>
      <c r="M279" s="52">
        <v>21.2</v>
      </c>
      <c r="N279" s="52">
        <v>21.7</v>
      </c>
    </row>
    <row r="280" spans="1:14" ht="16.5" customHeight="1">
      <c r="A280" s="49" t="s">
        <v>208</v>
      </c>
      <c r="B280" s="49" t="s">
        <v>209</v>
      </c>
      <c r="C280" s="49" t="s">
        <v>210</v>
      </c>
      <c r="D280" s="49" t="s">
        <v>211</v>
      </c>
      <c r="E280" s="49" t="s">
        <v>212</v>
      </c>
      <c r="F280" s="49">
        <v>74418</v>
      </c>
      <c r="G280" s="49" t="s">
        <v>545</v>
      </c>
      <c r="H280" s="49" t="s">
        <v>546</v>
      </c>
      <c r="I280" s="50" t="s">
        <v>561</v>
      </c>
      <c r="J280" s="50" t="s">
        <v>566</v>
      </c>
      <c r="K280" s="50" t="s">
        <v>227</v>
      </c>
      <c r="L280" s="51">
        <v>82</v>
      </c>
      <c r="M280" s="52">
        <v>21.4</v>
      </c>
      <c r="N280" s="52">
        <v>21.9</v>
      </c>
    </row>
    <row r="281" spans="1:14" ht="16.5" customHeight="1">
      <c r="A281" s="49" t="s">
        <v>208</v>
      </c>
      <c r="B281" s="49" t="s">
        <v>209</v>
      </c>
      <c r="C281" s="49" t="s">
        <v>210</v>
      </c>
      <c r="D281" s="49" t="s">
        <v>211</v>
      </c>
      <c r="E281" s="49" t="s">
        <v>212</v>
      </c>
      <c r="F281" s="49">
        <v>74418</v>
      </c>
      <c r="G281" s="49" t="s">
        <v>545</v>
      </c>
      <c r="H281" s="49" t="s">
        <v>546</v>
      </c>
      <c r="I281" s="50" t="s">
        <v>561</v>
      </c>
      <c r="J281" s="50" t="s">
        <v>567</v>
      </c>
      <c r="K281" s="50" t="s">
        <v>262</v>
      </c>
      <c r="L281" s="51">
        <v>73</v>
      </c>
      <c r="M281" s="52">
        <v>19</v>
      </c>
      <c r="N281" s="52">
        <v>19.5</v>
      </c>
    </row>
    <row r="282" spans="1:14" ht="16.5" customHeight="1">
      <c r="A282" s="49" t="s">
        <v>208</v>
      </c>
      <c r="B282" s="49" t="s">
        <v>209</v>
      </c>
      <c r="C282" s="49" t="s">
        <v>210</v>
      </c>
      <c r="D282" s="49" t="s">
        <v>211</v>
      </c>
      <c r="E282" s="49" t="s">
        <v>212</v>
      </c>
      <c r="F282" s="49">
        <v>74418</v>
      </c>
      <c r="G282" s="49" t="s">
        <v>545</v>
      </c>
      <c r="H282" s="49" t="s">
        <v>546</v>
      </c>
      <c r="I282" s="50" t="s">
        <v>561</v>
      </c>
      <c r="J282" s="50" t="s">
        <v>568</v>
      </c>
      <c r="K282" s="50" t="s">
        <v>264</v>
      </c>
      <c r="L282" s="51">
        <v>82</v>
      </c>
      <c r="M282" s="52">
        <v>21.3</v>
      </c>
      <c r="N282" s="52">
        <v>21.8</v>
      </c>
    </row>
    <row r="283" spans="1:14" ht="16.5" customHeight="1">
      <c r="A283" s="49" t="s">
        <v>208</v>
      </c>
      <c r="B283" s="49" t="s">
        <v>209</v>
      </c>
      <c r="C283" s="49" t="s">
        <v>210</v>
      </c>
      <c r="D283" s="49" t="s">
        <v>211</v>
      </c>
      <c r="E283" s="49" t="s">
        <v>212</v>
      </c>
      <c r="F283" s="49">
        <v>74418</v>
      </c>
      <c r="G283" s="49" t="s">
        <v>545</v>
      </c>
      <c r="H283" s="49" t="s">
        <v>546</v>
      </c>
      <c r="I283" s="50" t="s">
        <v>561</v>
      </c>
      <c r="J283" s="50" t="s">
        <v>569</v>
      </c>
      <c r="K283" s="50" t="s">
        <v>266</v>
      </c>
      <c r="L283" s="51">
        <v>82</v>
      </c>
      <c r="M283" s="52">
        <v>21.4</v>
      </c>
      <c r="N283" s="52">
        <v>21.9</v>
      </c>
    </row>
    <row r="284" spans="1:14" ht="16.5" customHeight="1">
      <c r="A284" s="49" t="s">
        <v>208</v>
      </c>
      <c r="B284" s="49" t="s">
        <v>209</v>
      </c>
      <c r="C284" s="49" t="s">
        <v>210</v>
      </c>
      <c r="D284" s="49" t="s">
        <v>211</v>
      </c>
      <c r="E284" s="49" t="s">
        <v>212</v>
      </c>
      <c r="F284" s="49">
        <v>74418</v>
      </c>
      <c r="G284" s="49" t="s">
        <v>545</v>
      </c>
      <c r="H284" s="49" t="s">
        <v>546</v>
      </c>
      <c r="I284" s="50" t="s">
        <v>570</v>
      </c>
      <c r="J284" s="50" t="s">
        <v>571</v>
      </c>
      <c r="K284" s="50" t="s">
        <v>280</v>
      </c>
      <c r="L284" s="51">
        <v>78</v>
      </c>
      <c r="M284" s="52">
        <v>20.3</v>
      </c>
      <c r="N284" s="52">
        <v>20.8</v>
      </c>
    </row>
    <row r="285" spans="1:14" ht="16.5" customHeight="1">
      <c r="A285" s="49" t="s">
        <v>208</v>
      </c>
      <c r="B285" s="49" t="s">
        <v>209</v>
      </c>
      <c r="C285" s="49" t="s">
        <v>210</v>
      </c>
      <c r="D285" s="49" t="s">
        <v>211</v>
      </c>
      <c r="E285" s="49" t="s">
        <v>212</v>
      </c>
      <c r="F285" s="49">
        <v>74418</v>
      </c>
      <c r="G285" s="49" t="s">
        <v>545</v>
      </c>
      <c r="H285" s="49" t="s">
        <v>546</v>
      </c>
      <c r="I285" s="50" t="s">
        <v>570</v>
      </c>
      <c r="J285" s="50" t="s">
        <v>572</v>
      </c>
      <c r="K285" s="50" t="s">
        <v>282</v>
      </c>
      <c r="L285" s="51">
        <v>82</v>
      </c>
      <c r="M285" s="52">
        <v>21.2</v>
      </c>
      <c r="N285" s="52">
        <v>21.7</v>
      </c>
    </row>
    <row r="286" spans="1:14" ht="16.5" customHeight="1">
      <c r="A286" s="49" t="s">
        <v>208</v>
      </c>
      <c r="B286" s="49" t="s">
        <v>209</v>
      </c>
      <c r="C286" s="49" t="s">
        <v>210</v>
      </c>
      <c r="D286" s="49" t="s">
        <v>211</v>
      </c>
      <c r="E286" s="49" t="s">
        <v>212</v>
      </c>
      <c r="F286" s="49">
        <v>74418</v>
      </c>
      <c r="G286" s="49" t="s">
        <v>545</v>
      </c>
      <c r="H286" s="49" t="s">
        <v>546</v>
      </c>
      <c r="I286" s="50" t="s">
        <v>570</v>
      </c>
      <c r="J286" s="50" t="s">
        <v>573</v>
      </c>
      <c r="K286" s="50" t="s">
        <v>284</v>
      </c>
      <c r="L286" s="51">
        <v>82</v>
      </c>
      <c r="M286" s="52">
        <v>21.3</v>
      </c>
      <c r="N286" s="52">
        <v>21.8</v>
      </c>
    </row>
    <row r="287" spans="1:14" ht="16.5" customHeight="1">
      <c r="A287" s="49" t="s">
        <v>208</v>
      </c>
      <c r="B287" s="49" t="s">
        <v>209</v>
      </c>
      <c r="C287" s="49" t="s">
        <v>210</v>
      </c>
      <c r="D287" s="49" t="s">
        <v>211</v>
      </c>
      <c r="E287" s="49" t="s">
        <v>212</v>
      </c>
      <c r="F287" s="49">
        <v>74418</v>
      </c>
      <c r="G287" s="49" t="s">
        <v>545</v>
      </c>
      <c r="H287" s="49" t="s">
        <v>546</v>
      </c>
      <c r="I287" s="50" t="s">
        <v>570</v>
      </c>
      <c r="J287" s="50" t="s">
        <v>574</v>
      </c>
      <c r="K287" s="50" t="s">
        <v>286</v>
      </c>
      <c r="L287" s="51">
        <v>82</v>
      </c>
      <c r="M287" s="52">
        <v>21.3</v>
      </c>
      <c r="N287" s="52">
        <v>21.8</v>
      </c>
    </row>
    <row r="288" spans="1:14" ht="16.5" customHeight="1">
      <c r="A288" s="49" t="s">
        <v>208</v>
      </c>
      <c r="B288" s="49" t="s">
        <v>209</v>
      </c>
      <c r="C288" s="49" t="s">
        <v>210</v>
      </c>
      <c r="D288" s="49" t="s">
        <v>211</v>
      </c>
      <c r="E288" s="49" t="s">
        <v>212</v>
      </c>
      <c r="F288" s="49">
        <v>74418</v>
      </c>
      <c r="G288" s="49" t="s">
        <v>545</v>
      </c>
      <c r="H288" s="49" t="s">
        <v>546</v>
      </c>
      <c r="I288" s="50" t="s">
        <v>570</v>
      </c>
      <c r="J288" s="50" t="s">
        <v>575</v>
      </c>
      <c r="K288" s="50" t="s">
        <v>288</v>
      </c>
      <c r="L288" s="51">
        <v>82</v>
      </c>
      <c r="M288" s="52">
        <v>21.3</v>
      </c>
      <c r="N288" s="52">
        <v>21.8</v>
      </c>
    </row>
    <row r="289" spans="1:14" ht="16.5" customHeight="1">
      <c r="A289" s="49" t="s">
        <v>208</v>
      </c>
      <c r="B289" s="49" t="s">
        <v>209</v>
      </c>
      <c r="C289" s="49" t="s">
        <v>210</v>
      </c>
      <c r="D289" s="49" t="s">
        <v>211</v>
      </c>
      <c r="E289" s="49" t="s">
        <v>212</v>
      </c>
      <c r="F289" s="49">
        <v>74418</v>
      </c>
      <c r="G289" s="49" t="s">
        <v>545</v>
      </c>
      <c r="H289" s="49" t="s">
        <v>546</v>
      </c>
      <c r="I289" s="50" t="s">
        <v>570</v>
      </c>
      <c r="J289" s="50" t="s">
        <v>576</v>
      </c>
      <c r="K289" s="50" t="s">
        <v>290</v>
      </c>
      <c r="L289" s="51">
        <v>81</v>
      </c>
      <c r="M289" s="52">
        <v>21.1</v>
      </c>
      <c r="N289" s="52">
        <v>21.6</v>
      </c>
    </row>
    <row r="290" spans="1:14" ht="16.5" customHeight="1">
      <c r="A290" s="49" t="s">
        <v>208</v>
      </c>
      <c r="B290" s="49" t="s">
        <v>209</v>
      </c>
      <c r="C290" s="49" t="s">
        <v>210</v>
      </c>
      <c r="D290" s="49" t="s">
        <v>211</v>
      </c>
      <c r="E290" s="49" t="s">
        <v>212</v>
      </c>
      <c r="F290" s="49">
        <v>74418</v>
      </c>
      <c r="G290" s="49" t="s">
        <v>545</v>
      </c>
      <c r="H290" s="49" t="s">
        <v>546</v>
      </c>
      <c r="I290" s="50" t="s">
        <v>570</v>
      </c>
      <c r="J290" s="50" t="s">
        <v>577</v>
      </c>
      <c r="K290" s="50" t="s">
        <v>292</v>
      </c>
      <c r="L290" s="51">
        <v>82</v>
      </c>
      <c r="M290" s="52">
        <v>21.3</v>
      </c>
      <c r="N290" s="52">
        <v>21.8</v>
      </c>
    </row>
    <row r="291" spans="1:14" ht="16.5" customHeight="1">
      <c r="A291" s="49" t="s">
        <v>208</v>
      </c>
      <c r="B291" s="49" t="s">
        <v>209</v>
      </c>
      <c r="C291" s="49" t="s">
        <v>210</v>
      </c>
      <c r="D291" s="49" t="s">
        <v>211</v>
      </c>
      <c r="E291" s="49" t="s">
        <v>212</v>
      </c>
      <c r="F291" s="49">
        <v>74418</v>
      </c>
      <c r="G291" s="49" t="s">
        <v>545</v>
      </c>
      <c r="H291" s="49" t="s">
        <v>546</v>
      </c>
      <c r="I291" s="50" t="s">
        <v>570</v>
      </c>
      <c r="J291" s="50" t="s">
        <v>578</v>
      </c>
      <c r="K291" s="50" t="s">
        <v>294</v>
      </c>
      <c r="L291" s="51">
        <v>82</v>
      </c>
      <c r="M291" s="52">
        <v>21.4</v>
      </c>
      <c r="N291" s="52">
        <v>21.9</v>
      </c>
    </row>
    <row r="292" spans="1:14" ht="16.5" customHeight="1">
      <c r="A292" s="49" t="s">
        <v>208</v>
      </c>
      <c r="B292" s="49" t="s">
        <v>209</v>
      </c>
      <c r="C292" s="49" t="s">
        <v>210</v>
      </c>
      <c r="D292" s="49" t="s">
        <v>211</v>
      </c>
      <c r="E292" s="49" t="s">
        <v>212</v>
      </c>
      <c r="F292" s="49">
        <v>74418</v>
      </c>
      <c r="G292" s="49" t="s">
        <v>545</v>
      </c>
      <c r="H292" s="49" t="s">
        <v>546</v>
      </c>
      <c r="I292" s="50" t="s">
        <v>570</v>
      </c>
      <c r="J292" s="50" t="s">
        <v>579</v>
      </c>
      <c r="K292" s="50" t="s">
        <v>383</v>
      </c>
      <c r="L292" s="51">
        <v>82</v>
      </c>
      <c r="M292" s="52">
        <v>21.4</v>
      </c>
      <c r="N292" s="52">
        <v>21.9</v>
      </c>
    </row>
    <row r="293" spans="1:14" ht="16.5" customHeight="1">
      <c r="A293" s="49" t="s">
        <v>208</v>
      </c>
      <c r="B293" s="49" t="s">
        <v>209</v>
      </c>
      <c r="C293" s="49" t="s">
        <v>210</v>
      </c>
      <c r="D293" s="49" t="s">
        <v>211</v>
      </c>
      <c r="E293" s="49" t="s">
        <v>212</v>
      </c>
      <c r="F293" s="49">
        <v>74418</v>
      </c>
      <c r="G293" s="49" t="s">
        <v>545</v>
      </c>
      <c r="H293" s="49" t="s">
        <v>546</v>
      </c>
      <c r="I293" s="50" t="s">
        <v>570</v>
      </c>
      <c r="J293" s="50" t="s">
        <v>580</v>
      </c>
      <c r="K293" s="50" t="s">
        <v>296</v>
      </c>
      <c r="L293" s="51">
        <v>82</v>
      </c>
      <c r="M293" s="52">
        <v>21.4</v>
      </c>
      <c r="N293" s="52">
        <v>21.9</v>
      </c>
    </row>
    <row r="294" spans="1:14" ht="16.5" customHeight="1">
      <c r="A294" s="49" t="s">
        <v>208</v>
      </c>
      <c r="B294" s="49" t="s">
        <v>209</v>
      </c>
      <c r="C294" s="49" t="s">
        <v>210</v>
      </c>
      <c r="D294" s="49" t="s">
        <v>211</v>
      </c>
      <c r="E294" s="49" t="s">
        <v>212</v>
      </c>
      <c r="F294" s="49">
        <v>74418</v>
      </c>
      <c r="G294" s="49" t="s">
        <v>545</v>
      </c>
      <c r="H294" s="49" t="s">
        <v>546</v>
      </c>
      <c r="I294" s="50" t="s">
        <v>570</v>
      </c>
      <c r="J294" s="50" t="s">
        <v>581</v>
      </c>
      <c r="K294" s="50" t="s">
        <v>298</v>
      </c>
      <c r="L294" s="51">
        <v>82</v>
      </c>
      <c r="M294" s="52">
        <v>21.4</v>
      </c>
      <c r="N294" s="52">
        <v>21.9</v>
      </c>
    </row>
    <row r="295" spans="1:14" ht="16.5" customHeight="1">
      <c r="A295" s="49" t="s">
        <v>208</v>
      </c>
      <c r="B295" s="49" t="s">
        <v>209</v>
      </c>
      <c r="C295" s="49" t="s">
        <v>210</v>
      </c>
      <c r="D295" s="49" t="s">
        <v>211</v>
      </c>
      <c r="E295" s="49" t="s">
        <v>212</v>
      </c>
      <c r="F295" s="49">
        <v>74418</v>
      </c>
      <c r="G295" s="49" t="s">
        <v>545</v>
      </c>
      <c r="H295" s="49" t="s">
        <v>546</v>
      </c>
      <c r="I295" s="50" t="s">
        <v>570</v>
      </c>
      <c r="J295" s="50" t="s">
        <v>582</v>
      </c>
      <c r="K295" s="50" t="s">
        <v>300</v>
      </c>
      <c r="L295" s="51">
        <v>82</v>
      </c>
      <c r="M295" s="52">
        <v>21.3</v>
      </c>
      <c r="N295" s="52">
        <v>21.8</v>
      </c>
    </row>
    <row r="296" spans="1:14" ht="16.5" customHeight="1">
      <c r="A296" s="49" t="s">
        <v>208</v>
      </c>
      <c r="B296" s="49" t="s">
        <v>209</v>
      </c>
      <c r="C296" s="49" t="s">
        <v>210</v>
      </c>
      <c r="D296" s="49" t="s">
        <v>211</v>
      </c>
      <c r="E296" s="49" t="s">
        <v>212</v>
      </c>
      <c r="F296" s="49">
        <v>74418</v>
      </c>
      <c r="G296" s="49" t="s">
        <v>545</v>
      </c>
      <c r="H296" s="49" t="s">
        <v>546</v>
      </c>
      <c r="I296" s="50" t="s">
        <v>570</v>
      </c>
      <c r="J296" s="50" t="s">
        <v>583</v>
      </c>
      <c r="K296" s="50" t="s">
        <v>302</v>
      </c>
      <c r="L296" s="51">
        <v>82</v>
      </c>
      <c r="M296" s="52">
        <v>21.2</v>
      </c>
      <c r="N296" s="52">
        <v>21.7</v>
      </c>
    </row>
    <row r="297" spans="1:14" ht="16.5" customHeight="1">
      <c r="A297" s="49" t="s">
        <v>208</v>
      </c>
      <c r="B297" s="49" t="s">
        <v>209</v>
      </c>
      <c r="C297" s="49" t="s">
        <v>210</v>
      </c>
      <c r="D297" s="49" t="s">
        <v>211</v>
      </c>
      <c r="E297" s="49" t="s">
        <v>212</v>
      </c>
      <c r="F297" s="49">
        <v>74418</v>
      </c>
      <c r="G297" s="49" t="s">
        <v>545</v>
      </c>
      <c r="H297" s="49" t="s">
        <v>546</v>
      </c>
      <c r="I297" s="50" t="s">
        <v>570</v>
      </c>
      <c r="J297" s="50" t="s">
        <v>584</v>
      </c>
      <c r="K297" s="50" t="s">
        <v>304</v>
      </c>
      <c r="L297" s="51">
        <v>82</v>
      </c>
      <c r="M297" s="52">
        <v>21.4</v>
      </c>
      <c r="N297" s="52">
        <v>21.9</v>
      </c>
    </row>
    <row r="298" spans="1:14" ht="16.5" customHeight="1">
      <c r="A298" s="49" t="s">
        <v>208</v>
      </c>
      <c r="B298" s="49" t="s">
        <v>209</v>
      </c>
      <c r="C298" s="49" t="s">
        <v>210</v>
      </c>
      <c r="D298" s="49" t="s">
        <v>211</v>
      </c>
      <c r="E298" s="49" t="s">
        <v>212</v>
      </c>
      <c r="F298" s="49">
        <v>74418</v>
      </c>
      <c r="G298" s="49" t="s">
        <v>545</v>
      </c>
      <c r="H298" s="49" t="s">
        <v>546</v>
      </c>
      <c r="I298" s="50" t="s">
        <v>570</v>
      </c>
      <c r="J298" s="50" t="s">
        <v>585</v>
      </c>
      <c r="K298" s="50" t="s">
        <v>306</v>
      </c>
      <c r="L298" s="51">
        <v>82</v>
      </c>
      <c r="M298" s="52">
        <v>21.4</v>
      </c>
      <c r="N298" s="52">
        <v>21.9</v>
      </c>
    </row>
    <row r="299" spans="1:14" ht="16.5" customHeight="1">
      <c r="A299" s="49" t="s">
        <v>208</v>
      </c>
      <c r="B299" s="49" t="s">
        <v>209</v>
      </c>
      <c r="C299" s="49" t="s">
        <v>210</v>
      </c>
      <c r="D299" s="49" t="s">
        <v>211</v>
      </c>
      <c r="E299" s="49" t="s">
        <v>212</v>
      </c>
      <c r="F299" s="49">
        <v>74418</v>
      </c>
      <c r="G299" s="49" t="s">
        <v>545</v>
      </c>
      <c r="H299" s="49" t="s">
        <v>546</v>
      </c>
      <c r="I299" s="50" t="s">
        <v>570</v>
      </c>
      <c r="J299" s="50" t="s">
        <v>586</v>
      </c>
      <c r="K299" s="50" t="s">
        <v>308</v>
      </c>
      <c r="L299" s="51">
        <v>82</v>
      </c>
      <c r="M299" s="52">
        <v>21.4</v>
      </c>
      <c r="N299" s="52">
        <v>21.9</v>
      </c>
    </row>
    <row r="300" spans="1:14" ht="16.5" customHeight="1">
      <c r="A300" s="49" t="s">
        <v>208</v>
      </c>
      <c r="B300" s="49" t="s">
        <v>209</v>
      </c>
      <c r="C300" s="49" t="s">
        <v>210</v>
      </c>
      <c r="D300" s="49" t="s">
        <v>211</v>
      </c>
      <c r="E300" s="49" t="s">
        <v>212</v>
      </c>
      <c r="F300" s="49">
        <v>74418</v>
      </c>
      <c r="G300" s="49" t="s">
        <v>545</v>
      </c>
      <c r="H300" s="49" t="s">
        <v>546</v>
      </c>
      <c r="I300" s="50" t="s">
        <v>570</v>
      </c>
      <c r="J300" s="50" t="s">
        <v>587</v>
      </c>
      <c r="K300" s="50" t="s">
        <v>310</v>
      </c>
      <c r="L300" s="51">
        <v>82</v>
      </c>
      <c r="M300" s="52">
        <v>21.4</v>
      </c>
      <c r="N300" s="52">
        <v>21.9</v>
      </c>
    </row>
    <row r="301" spans="1:14" ht="16.5" customHeight="1">
      <c r="A301" s="49" t="s">
        <v>208</v>
      </c>
      <c r="B301" s="49" t="s">
        <v>209</v>
      </c>
      <c r="C301" s="49" t="s">
        <v>210</v>
      </c>
      <c r="D301" s="49" t="s">
        <v>211</v>
      </c>
      <c r="E301" s="49" t="s">
        <v>212</v>
      </c>
      <c r="F301" s="49">
        <v>74418</v>
      </c>
      <c r="G301" s="49" t="s">
        <v>545</v>
      </c>
      <c r="H301" s="49" t="s">
        <v>546</v>
      </c>
      <c r="I301" s="50" t="s">
        <v>570</v>
      </c>
      <c r="J301" s="50" t="s">
        <v>588</v>
      </c>
      <c r="K301" s="50" t="s">
        <v>232</v>
      </c>
      <c r="L301" s="51">
        <v>75</v>
      </c>
      <c r="M301" s="52">
        <v>19.399999999999999</v>
      </c>
      <c r="N301" s="52">
        <v>19.899999999999999</v>
      </c>
    </row>
    <row r="302" spans="1:14" ht="16.5" customHeight="1">
      <c r="A302" s="49" t="s">
        <v>208</v>
      </c>
      <c r="B302" s="49" t="s">
        <v>209</v>
      </c>
      <c r="C302" s="49" t="s">
        <v>210</v>
      </c>
      <c r="D302" s="49" t="s">
        <v>211</v>
      </c>
      <c r="E302" s="49" t="s">
        <v>212</v>
      </c>
      <c r="F302" s="49">
        <v>74418</v>
      </c>
      <c r="G302" s="49" t="s">
        <v>545</v>
      </c>
      <c r="H302" s="49" t="s">
        <v>546</v>
      </c>
      <c r="I302" s="50" t="s">
        <v>570</v>
      </c>
      <c r="J302" s="50" t="s">
        <v>589</v>
      </c>
      <c r="K302" s="50" t="s">
        <v>234</v>
      </c>
      <c r="L302" s="51">
        <v>80</v>
      </c>
      <c r="M302" s="52">
        <v>20.9</v>
      </c>
      <c r="N302" s="52">
        <v>21.4</v>
      </c>
    </row>
    <row r="303" spans="1:14" ht="16.5" customHeight="1">
      <c r="A303" s="49" t="s">
        <v>208</v>
      </c>
      <c r="B303" s="49" t="s">
        <v>209</v>
      </c>
      <c r="C303" s="49" t="s">
        <v>210</v>
      </c>
      <c r="D303" s="49" t="s">
        <v>211</v>
      </c>
      <c r="E303" s="49" t="s">
        <v>212</v>
      </c>
      <c r="F303" s="49">
        <v>74418</v>
      </c>
      <c r="G303" s="49" t="s">
        <v>545</v>
      </c>
      <c r="H303" s="49" t="s">
        <v>546</v>
      </c>
      <c r="I303" s="50" t="s">
        <v>570</v>
      </c>
      <c r="J303" s="50" t="s">
        <v>590</v>
      </c>
      <c r="K303" s="50" t="s">
        <v>236</v>
      </c>
      <c r="L303" s="51">
        <v>82</v>
      </c>
      <c r="M303" s="52">
        <v>21.4</v>
      </c>
      <c r="N303" s="52">
        <v>21.9</v>
      </c>
    </row>
    <row r="304" spans="1:14" ht="16.5" customHeight="1">
      <c r="A304" s="49" t="s">
        <v>208</v>
      </c>
      <c r="B304" s="49" t="s">
        <v>209</v>
      </c>
      <c r="C304" s="49" t="s">
        <v>210</v>
      </c>
      <c r="D304" s="49" t="s">
        <v>211</v>
      </c>
      <c r="E304" s="49" t="s">
        <v>212</v>
      </c>
      <c r="F304" s="49">
        <v>74418</v>
      </c>
      <c r="G304" s="49" t="s">
        <v>545</v>
      </c>
      <c r="H304" s="49" t="s">
        <v>546</v>
      </c>
      <c r="I304" s="50" t="s">
        <v>570</v>
      </c>
      <c r="J304" s="50" t="s">
        <v>591</v>
      </c>
      <c r="K304" s="50" t="s">
        <v>238</v>
      </c>
      <c r="L304" s="51">
        <v>82</v>
      </c>
      <c r="M304" s="52">
        <v>21.4</v>
      </c>
      <c r="N304" s="52">
        <v>21.9</v>
      </c>
    </row>
    <row r="305" spans="1:14" ht="16.5" customHeight="1">
      <c r="A305" s="49" t="s">
        <v>208</v>
      </c>
      <c r="B305" s="49" t="s">
        <v>209</v>
      </c>
      <c r="C305" s="49" t="s">
        <v>210</v>
      </c>
      <c r="D305" s="49" t="s">
        <v>211</v>
      </c>
      <c r="E305" s="49" t="s">
        <v>212</v>
      </c>
      <c r="F305" s="49">
        <v>74418</v>
      </c>
      <c r="G305" s="49" t="s">
        <v>545</v>
      </c>
      <c r="H305" s="49" t="s">
        <v>546</v>
      </c>
      <c r="I305" s="50" t="s">
        <v>570</v>
      </c>
      <c r="J305" s="50" t="s">
        <v>592</v>
      </c>
      <c r="K305" s="50" t="s">
        <v>240</v>
      </c>
      <c r="L305" s="51">
        <v>82</v>
      </c>
      <c r="M305" s="52">
        <v>21.4</v>
      </c>
      <c r="N305" s="52">
        <v>21.9</v>
      </c>
    </row>
    <row r="306" spans="1:14" ht="16.5" customHeight="1">
      <c r="A306" s="49" t="s">
        <v>208</v>
      </c>
      <c r="B306" s="49" t="s">
        <v>209</v>
      </c>
      <c r="C306" s="49" t="s">
        <v>210</v>
      </c>
      <c r="D306" s="49" t="s">
        <v>211</v>
      </c>
      <c r="E306" s="49" t="s">
        <v>212</v>
      </c>
      <c r="F306" s="49">
        <v>74418</v>
      </c>
      <c r="G306" s="49" t="s">
        <v>545</v>
      </c>
      <c r="H306" s="49" t="s">
        <v>546</v>
      </c>
      <c r="I306" s="50" t="s">
        <v>570</v>
      </c>
      <c r="J306" s="50" t="s">
        <v>593</v>
      </c>
      <c r="K306" s="50" t="s">
        <v>242</v>
      </c>
      <c r="L306" s="51">
        <v>78</v>
      </c>
      <c r="M306" s="52">
        <v>20.399999999999999</v>
      </c>
      <c r="N306" s="52">
        <v>20.9</v>
      </c>
    </row>
    <row r="307" spans="1:14" ht="16.5" customHeight="1">
      <c r="A307" s="49" t="s">
        <v>208</v>
      </c>
      <c r="B307" s="49" t="s">
        <v>209</v>
      </c>
      <c r="C307" s="49" t="s">
        <v>210</v>
      </c>
      <c r="D307" s="49" t="s">
        <v>211</v>
      </c>
      <c r="E307" s="49" t="s">
        <v>212</v>
      </c>
      <c r="F307" s="49">
        <v>74418</v>
      </c>
      <c r="G307" s="49" t="s">
        <v>545</v>
      </c>
      <c r="H307" s="49" t="s">
        <v>546</v>
      </c>
      <c r="I307" s="50" t="s">
        <v>594</v>
      </c>
      <c r="J307" s="50" t="s">
        <v>595</v>
      </c>
      <c r="K307" s="50" t="s">
        <v>217</v>
      </c>
      <c r="L307" s="51">
        <v>81</v>
      </c>
      <c r="M307" s="52">
        <v>21</v>
      </c>
      <c r="N307" s="52">
        <v>21.5</v>
      </c>
    </row>
    <row r="308" spans="1:14" ht="16.5" customHeight="1">
      <c r="A308" s="49" t="s">
        <v>208</v>
      </c>
      <c r="B308" s="49" t="s">
        <v>209</v>
      </c>
      <c r="C308" s="49" t="s">
        <v>210</v>
      </c>
      <c r="D308" s="49" t="s">
        <v>211</v>
      </c>
      <c r="E308" s="49" t="s">
        <v>212</v>
      </c>
      <c r="F308" s="49">
        <v>74418</v>
      </c>
      <c r="G308" s="49" t="s">
        <v>545</v>
      </c>
      <c r="H308" s="49" t="s">
        <v>546</v>
      </c>
      <c r="I308" s="50" t="s">
        <v>594</v>
      </c>
      <c r="J308" s="50" t="s">
        <v>596</v>
      </c>
      <c r="K308" s="50" t="s">
        <v>219</v>
      </c>
      <c r="L308" s="51">
        <v>78</v>
      </c>
      <c r="M308" s="52">
        <v>20.2</v>
      </c>
      <c r="N308" s="52">
        <v>20.7</v>
      </c>
    </row>
    <row r="309" spans="1:14" ht="16.5" customHeight="1">
      <c r="A309" s="49" t="s">
        <v>208</v>
      </c>
      <c r="B309" s="49" t="s">
        <v>209</v>
      </c>
      <c r="C309" s="49" t="s">
        <v>210</v>
      </c>
      <c r="D309" s="49" t="s">
        <v>211</v>
      </c>
      <c r="E309" s="49" t="s">
        <v>212</v>
      </c>
      <c r="F309" s="49">
        <v>74418</v>
      </c>
      <c r="G309" s="49" t="s">
        <v>545</v>
      </c>
      <c r="H309" s="49" t="s">
        <v>546</v>
      </c>
      <c r="I309" s="50" t="s">
        <v>594</v>
      </c>
      <c r="J309" s="50" t="s">
        <v>597</v>
      </c>
      <c r="K309" s="50" t="s">
        <v>224</v>
      </c>
      <c r="L309" s="51">
        <v>82</v>
      </c>
      <c r="M309" s="52">
        <v>21.3</v>
      </c>
      <c r="N309" s="52">
        <v>21.8</v>
      </c>
    </row>
    <row r="310" spans="1:14" ht="16.5" customHeight="1">
      <c r="A310" s="49" t="s">
        <v>208</v>
      </c>
      <c r="B310" s="49" t="s">
        <v>209</v>
      </c>
      <c r="C310" s="49" t="s">
        <v>210</v>
      </c>
      <c r="D310" s="49" t="s">
        <v>211</v>
      </c>
      <c r="E310" s="49" t="s">
        <v>212</v>
      </c>
      <c r="F310" s="49">
        <v>74418</v>
      </c>
      <c r="G310" s="49" t="s">
        <v>545</v>
      </c>
      <c r="H310" s="49" t="s">
        <v>546</v>
      </c>
      <c r="I310" s="50" t="s">
        <v>594</v>
      </c>
      <c r="J310" s="50" t="s">
        <v>598</v>
      </c>
      <c r="K310" s="50" t="s">
        <v>226</v>
      </c>
      <c r="L310" s="51">
        <v>82</v>
      </c>
      <c r="M310" s="52">
        <v>21.4</v>
      </c>
      <c r="N310" s="52">
        <v>21.9</v>
      </c>
    </row>
    <row r="311" spans="1:14" ht="16.5" customHeight="1">
      <c r="A311" s="49" t="s">
        <v>208</v>
      </c>
      <c r="B311" s="49" t="s">
        <v>209</v>
      </c>
      <c r="C311" s="49" t="s">
        <v>210</v>
      </c>
      <c r="D311" s="49" t="s">
        <v>211</v>
      </c>
      <c r="E311" s="49" t="s">
        <v>212</v>
      </c>
      <c r="F311" s="49">
        <v>74418</v>
      </c>
      <c r="G311" s="49" t="s">
        <v>545</v>
      </c>
      <c r="H311" s="49" t="s">
        <v>546</v>
      </c>
      <c r="I311" s="50" t="s">
        <v>594</v>
      </c>
      <c r="J311" s="50" t="s">
        <v>599</v>
      </c>
      <c r="K311" s="50" t="s">
        <v>227</v>
      </c>
      <c r="L311" s="51">
        <v>82</v>
      </c>
      <c r="M311" s="52">
        <v>21.4</v>
      </c>
      <c r="N311" s="52">
        <v>21.9</v>
      </c>
    </row>
    <row r="312" spans="1:14" ht="16.5" customHeight="1">
      <c r="A312" s="49" t="s">
        <v>208</v>
      </c>
      <c r="B312" s="49" t="s">
        <v>209</v>
      </c>
      <c r="C312" s="49" t="s">
        <v>210</v>
      </c>
      <c r="D312" s="49" t="s">
        <v>211</v>
      </c>
      <c r="E312" s="49" t="s">
        <v>212</v>
      </c>
      <c r="F312" s="49">
        <v>74418</v>
      </c>
      <c r="G312" s="49" t="s">
        <v>545</v>
      </c>
      <c r="H312" s="49" t="s">
        <v>546</v>
      </c>
      <c r="I312" s="50" t="s">
        <v>594</v>
      </c>
      <c r="J312" s="50" t="s">
        <v>600</v>
      </c>
      <c r="K312" s="50" t="s">
        <v>260</v>
      </c>
      <c r="L312" s="51">
        <v>82</v>
      </c>
      <c r="M312" s="52">
        <v>21.3</v>
      </c>
      <c r="N312" s="52">
        <v>21.8</v>
      </c>
    </row>
    <row r="313" spans="1:14" ht="16.5" customHeight="1">
      <c r="A313" s="49" t="s">
        <v>208</v>
      </c>
      <c r="B313" s="49" t="s">
        <v>209</v>
      </c>
      <c r="C313" s="49" t="s">
        <v>210</v>
      </c>
      <c r="D313" s="49" t="s">
        <v>211</v>
      </c>
      <c r="E313" s="49" t="s">
        <v>212</v>
      </c>
      <c r="F313" s="49">
        <v>74418</v>
      </c>
      <c r="G313" s="49" t="s">
        <v>545</v>
      </c>
      <c r="H313" s="49" t="s">
        <v>546</v>
      </c>
      <c r="I313" s="50" t="s">
        <v>594</v>
      </c>
      <c r="J313" s="50" t="s">
        <v>601</v>
      </c>
      <c r="K313" s="50" t="s">
        <v>262</v>
      </c>
      <c r="L313" s="51">
        <v>81</v>
      </c>
      <c r="M313" s="52">
        <v>21.1</v>
      </c>
      <c r="N313" s="52">
        <v>21.6</v>
      </c>
    </row>
    <row r="314" spans="1:14" ht="16.5" customHeight="1">
      <c r="A314" s="49" t="s">
        <v>208</v>
      </c>
      <c r="B314" s="49" t="s">
        <v>209</v>
      </c>
      <c r="C314" s="49" t="s">
        <v>210</v>
      </c>
      <c r="D314" s="49" t="s">
        <v>211</v>
      </c>
      <c r="E314" s="49" t="s">
        <v>212</v>
      </c>
      <c r="F314" s="49">
        <v>74418</v>
      </c>
      <c r="G314" s="49" t="s">
        <v>545</v>
      </c>
      <c r="H314" s="49" t="s">
        <v>546</v>
      </c>
      <c r="I314" s="50" t="s">
        <v>594</v>
      </c>
      <c r="J314" s="50" t="s">
        <v>602</v>
      </c>
      <c r="K314" s="50" t="s">
        <v>264</v>
      </c>
      <c r="L314" s="51">
        <v>83</v>
      </c>
      <c r="M314" s="52">
        <v>21.5</v>
      </c>
      <c r="N314" s="52">
        <v>22</v>
      </c>
    </row>
    <row r="315" spans="1:14" ht="16.5" customHeight="1">
      <c r="A315" s="49" t="s">
        <v>208</v>
      </c>
      <c r="B315" s="49" t="s">
        <v>209</v>
      </c>
      <c r="C315" s="49" t="s">
        <v>210</v>
      </c>
      <c r="D315" s="49" t="s">
        <v>211</v>
      </c>
      <c r="E315" s="49" t="s">
        <v>212</v>
      </c>
      <c r="F315" s="49">
        <v>74418</v>
      </c>
      <c r="G315" s="49" t="s">
        <v>545</v>
      </c>
      <c r="H315" s="49" t="s">
        <v>546</v>
      </c>
      <c r="I315" s="50" t="s">
        <v>594</v>
      </c>
      <c r="J315" s="50" t="s">
        <v>603</v>
      </c>
      <c r="K315" s="50" t="s">
        <v>266</v>
      </c>
      <c r="L315" s="51">
        <v>82</v>
      </c>
      <c r="M315" s="52">
        <v>21.4</v>
      </c>
      <c r="N315" s="52">
        <v>21.9</v>
      </c>
    </row>
    <row r="316" spans="1:14" ht="16.5" customHeight="1">
      <c r="A316" s="49" t="s">
        <v>208</v>
      </c>
      <c r="B316" s="49" t="s">
        <v>209</v>
      </c>
      <c r="C316" s="49" t="s">
        <v>210</v>
      </c>
      <c r="D316" s="49" t="s">
        <v>211</v>
      </c>
      <c r="E316" s="49" t="s">
        <v>212</v>
      </c>
      <c r="F316" s="49">
        <v>74418</v>
      </c>
      <c r="G316" s="49" t="s">
        <v>545</v>
      </c>
      <c r="H316" s="49" t="s">
        <v>546</v>
      </c>
      <c r="I316" s="50" t="s">
        <v>594</v>
      </c>
      <c r="J316" s="50" t="s">
        <v>604</v>
      </c>
      <c r="K316" s="50" t="s">
        <v>268</v>
      </c>
      <c r="L316" s="51">
        <v>82</v>
      </c>
      <c r="M316" s="52">
        <v>21.2</v>
      </c>
      <c r="N316" s="52">
        <v>21.7</v>
      </c>
    </row>
    <row r="317" spans="1:14" ht="16.5" customHeight="1">
      <c r="A317" s="49" t="s">
        <v>208</v>
      </c>
      <c r="B317" s="49" t="s">
        <v>209</v>
      </c>
      <c r="C317" s="49" t="s">
        <v>210</v>
      </c>
      <c r="D317" s="49" t="s">
        <v>211</v>
      </c>
      <c r="E317" s="49" t="s">
        <v>212</v>
      </c>
      <c r="F317" s="49">
        <v>74418</v>
      </c>
      <c r="G317" s="49" t="s">
        <v>545</v>
      </c>
      <c r="H317" s="49" t="s">
        <v>546</v>
      </c>
      <c r="I317" s="50" t="s">
        <v>594</v>
      </c>
      <c r="J317" s="50" t="s">
        <v>605</v>
      </c>
      <c r="K317" s="50" t="s">
        <v>270</v>
      </c>
      <c r="L317" s="51">
        <v>82</v>
      </c>
      <c r="M317" s="52">
        <v>21.4</v>
      </c>
      <c r="N317" s="52">
        <v>21.9</v>
      </c>
    </row>
    <row r="318" spans="1:14" ht="16.5" customHeight="1">
      <c r="A318" s="49" t="s">
        <v>208</v>
      </c>
      <c r="B318" s="49" t="s">
        <v>209</v>
      </c>
      <c r="C318" s="49" t="s">
        <v>210</v>
      </c>
      <c r="D318" s="49" t="s">
        <v>211</v>
      </c>
      <c r="E318" s="49" t="s">
        <v>212</v>
      </c>
      <c r="F318" s="49">
        <v>74418</v>
      </c>
      <c r="G318" s="49" t="s">
        <v>545</v>
      </c>
      <c r="H318" s="49" t="s">
        <v>546</v>
      </c>
      <c r="I318" s="50" t="s">
        <v>594</v>
      </c>
      <c r="J318" s="50" t="s">
        <v>606</v>
      </c>
      <c r="K318" s="50" t="s">
        <v>272</v>
      </c>
      <c r="L318" s="51">
        <v>81</v>
      </c>
      <c r="M318" s="52">
        <v>21</v>
      </c>
      <c r="N318" s="52">
        <v>21.5</v>
      </c>
    </row>
    <row r="319" spans="1:14" ht="16.5" customHeight="1">
      <c r="A319" s="49" t="s">
        <v>208</v>
      </c>
      <c r="B319" s="49" t="s">
        <v>209</v>
      </c>
      <c r="C319" s="49" t="s">
        <v>210</v>
      </c>
      <c r="D319" s="49" t="s">
        <v>211</v>
      </c>
      <c r="E319" s="49" t="s">
        <v>212</v>
      </c>
      <c r="F319" s="49">
        <v>74418</v>
      </c>
      <c r="G319" s="49" t="s">
        <v>545</v>
      </c>
      <c r="H319" s="49" t="s">
        <v>546</v>
      </c>
      <c r="I319" s="50" t="s">
        <v>594</v>
      </c>
      <c r="J319" s="50" t="s">
        <v>607</v>
      </c>
      <c r="K319" s="50" t="s">
        <v>274</v>
      </c>
      <c r="L319" s="51">
        <v>81</v>
      </c>
      <c r="M319" s="52">
        <v>21</v>
      </c>
      <c r="N319" s="52">
        <v>21.5</v>
      </c>
    </row>
    <row r="320" spans="1:14" ht="16.5" customHeight="1">
      <c r="A320" s="49" t="s">
        <v>208</v>
      </c>
      <c r="B320" s="49" t="s">
        <v>209</v>
      </c>
      <c r="C320" s="49" t="s">
        <v>210</v>
      </c>
      <c r="D320" s="49" t="s">
        <v>211</v>
      </c>
      <c r="E320" s="49" t="s">
        <v>212</v>
      </c>
      <c r="F320" s="49">
        <v>74418</v>
      </c>
      <c r="G320" s="49" t="s">
        <v>545</v>
      </c>
      <c r="H320" s="49" t="s">
        <v>546</v>
      </c>
      <c r="I320" s="50" t="s">
        <v>594</v>
      </c>
      <c r="J320" s="50" t="s">
        <v>608</v>
      </c>
      <c r="K320" s="50" t="s">
        <v>276</v>
      </c>
      <c r="L320" s="51">
        <v>81</v>
      </c>
      <c r="M320" s="52">
        <v>21.1</v>
      </c>
      <c r="N320" s="52">
        <v>21.6</v>
      </c>
    </row>
    <row r="321" spans="1:14" ht="16.5" customHeight="1">
      <c r="A321" s="49" t="s">
        <v>208</v>
      </c>
      <c r="B321" s="49" t="s">
        <v>209</v>
      </c>
      <c r="C321" s="49" t="s">
        <v>210</v>
      </c>
      <c r="D321" s="49" t="s">
        <v>211</v>
      </c>
      <c r="E321" s="49" t="s">
        <v>212</v>
      </c>
      <c r="F321" s="49">
        <v>74418</v>
      </c>
      <c r="G321" s="49" t="s">
        <v>545</v>
      </c>
      <c r="H321" s="49" t="s">
        <v>546</v>
      </c>
      <c r="I321" s="50" t="s">
        <v>594</v>
      </c>
      <c r="J321" s="50" t="s">
        <v>609</v>
      </c>
      <c r="K321" s="50" t="s">
        <v>370</v>
      </c>
      <c r="L321" s="51">
        <v>81</v>
      </c>
      <c r="M321" s="52">
        <v>21.1</v>
      </c>
      <c r="N321" s="52">
        <v>21.6</v>
      </c>
    </row>
    <row r="322" spans="1:14" ht="16.5" customHeight="1">
      <c r="A322" s="49" t="s">
        <v>208</v>
      </c>
      <c r="B322" s="49" t="s">
        <v>209</v>
      </c>
      <c r="C322" s="49" t="s">
        <v>210</v>
      </c>
      <c r="D322" s="49" t="s">
        <v>211</v>
      </c>
      <c r="E322" s="49" t="s">
        <v>212</v>
      </c>
      <c r="F322" s="49">
        <v>74418</v>
      </c>
      <c r="G322" s="49" t="s">
        <v>545</v>
      </c>
      <c r="H322" s="49" t="s">
        <v>546</v>
      </c>
      <c r="I322" s="50" t="s">
        <v>594</v>
      </c>
      <c r="J322" s="50" t="s">
        <v>610</v>
      </c>
      <c r="K322" s="50" t="s">
        <v>372</v>
      </c>
      <c r="L322" s="51">
        <v>82</v>
      </c>
      <c r="M322" s="52">
        <v>21.3</v>
      </c>
      <c r="N322" s="52">
        <v>21.8</v>
      </c>
    </row>
    <row r="323" spans="1:14" ht="16.5" customHeight="1">
      <c r="A323" s="49" t="s">
        <v>208</v>
      </c>
      <c r="B323" s="49" t="s">
        <v>209</v>
      </c>
      <c r="C323" s="49" t="s">
        <v>210</v>
      </c>
      <c r="D323" s="49" t="s">
        <v>211</v>
      </c>
      <c r="E323" s="49" t="s">
        <v>212</v>
      </c>
      <c r="F323" s="49">
        <v>74418</v>
      </c>
      <c r="G323" s="49" t="s">
        <v>545</v>
      </c>
      <c r="H323" s="49" t="s">
        <v>546</v>
      </c>
      <c r="I323" s="50" t="s">
        <v>594</v>
      </c>
      <c r="J323" s="50" t="s">
        <v>611</v>
      </c>
      <c r="K323" s="50" t="s">
        <v>278</v>
      </c>
      <c r="L323" s="51">
        <v>82</v>
      </c>
      <c r="M323" s="52">
        <v>21.2</v>
      </c>
      <c r="N323" s="52">
        <v>21.7</v>
      </c>
    </row>
    <row r="324" spans="1:14" ht="16.5" customHeight="1">
      <c r="A324" s="49" t="s">
        <v>208</v>
      </c>
      <c r="B324" s="49" t="s">
        <v>209</v>
      </c>
      <c r="C324" s="49" t="s">
        <v>210</v>
      </c>
      <c r="D324" s="49" t="s">
        <v>211</v>
      </c>
      <c r="E324" s="49" t="s">
        <v>212</v>
      </c>
      <c r="F324" s="49">
        <v>74418</v>
      </c>
      <c r="G324" s="49" t="s">
        <v>545</v>
      </c>
      <c r="H324" s="49" t="s">
        <v>546</v>
      </c>
      <c r="I324" s="50" t="s">
        <v>594</v>
      </c>
      <c r="J324" s="50" t="s">
        <v>612</v>
      </c>
      <c r="K324" s="50" t="s">
        <v>280</v>
      </c>
      <c r="L324" s="51">
        <v>80</v>
      </c>
      <c r="M324" s="52">
        <v>20.9</v>
      </c>
      <c r="N324" s="52">
        <v>21.4</v>
      </c>
    </row>
    <row r="325" spans="1:14" ht="16.5" customHeight="1">
      <c r="A325" s="49" t="s">
        <v>208</v>
      </c>
      <c r="B325" s="49" t="s">
        <v>209</v>
      </c>
      <c r="C325" s="49" t="s">
        <v>210</v>
      </c>
      <c r="D325" s="49" t="s">
        <v>211</v>
      </c>
      <c r="E325" s="49" t="s">
        <v>212</v>
      </c>
      <c r="F325" s="49">
        <v>74418</v>
      </c>
      <c r="G325" s="49" t="s">
        <v>545</v>
      </c>
      <c r="H325" s="49" t="s">
        <v>546</v>
      </c>
      <c r="I325" s="50" t="s">
        <v>594</v>
      </c>
      <c r="J325" s="50" t="s">
        <v>613</v>
      </c>
      <c r="K325" s="50" t="s">
        <v>282</v>
      </c>
      <c r="L325" s="51">
        <v>82</v>
      </c>
      <c r="M325" s="52">
        <v>21.3</v>
      </c>
      <c r="N325" s="52">
        <v>21.8</v>
      </c>
    </row>
    <row r="326" spans="1:14" ht="16.5" customHeight="1">
      <c r="A326" s="49" t="s">
        <v>208</v>
      </c>
      <c r="B326" s="49" t="s">
        <v>209</v>
      </c>
      <c r="C326" s="49" t="s">
        <v>210</v>
      </c>
      <c r="D326" s="49" t="s">
        <v>211</v>
      </c>
      <c r="E326" s="49" t="s">
        <v>212</v>
      </c>
      <c r="F326" s="49">
        <v>74418</v>
      </c>
      <c r="G326" s="49" t="s">
        <v>545</v>
      </c>
      <c r="H326" s="49" t="s">
        <v>546</v>
      </c>
      <c r="I326" s="50" t="s">
        <v>594</v>
      </c>
      <c r="J326" s="50" t="s">
        <v>614</v>
      </c>
      <c r="K326" s="50" t="s">
        <v>284</v>
      </c>
      <c r="L326" s="51">
        <v>82</v>
      </c>
      <c r="M326" s="52">
        <v>21.3</v>
      </c>
      <c r="N326" s="52">
        <v>21.8</v>
      </c>
    </row>
    <row r="327" spans="1:14" ht="16.5" customHeight="1">
      <c r="K327" s="48" t="s">
        <v>615</v>
      </c>
      <c r="L327" s="53">
        <f>SUM(L3:L326)</f>
        <v>26064</v>
      </c>
    </row>
    <row r="328" spans="1:14" ht="16.5" customHeight="1">
      <c r="L328" s="48" t="s">
        <v>616</v>
      </c>
    </row>
  </sheetData>
  <autoFilter ref="A1:N326" xr:uid="{0A70DC0C-0456-470A-86E6-DBB0ED044374}"/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AD97-8281-4929-AB8F-1A12C3ADFAEE}">
  <sheetPr>
    <pageSetUpPr autoPageBreaks="0"/>
  </sheetPr>
  <dimension ref="A1:Q10"/>
  <sheetViews>
    <sheetView topLeftCell="E1" workbookViewId="0">
      <selection activeCell="M11" sqref="M11"/>
    </sheetView>
  </sheetViews>
  <sheetFormatPr defaultColWidth="8.875" defaultRowHeight="16.5" customHeight="1"/>
  <cols>
    <col min="1" max="1" width="26.5" style="56" customWidth="1"/>
    <col min="2" max="2" width="15" style="56" customWidth="1"/>
    <col min="3" max="4" width="16.375" style="56" customWidth="1"/>
    <col min="5" max="5" width="15.625" style="56" customWidth="1"/>
    <col min="6" max="6" width="13.625" style="56" customWidth="1"/>
    <col min="7" max="7" width="22" style="56" customWidth="1"/>
    <col min="8" max="8" width="15.375" style="56" customWidth="1"/>
    <col min="9" max="9" width="15.875" style="56" customWidth="1"/>
    <col min="10" max="10" width="15.5" style="56" customWidth="1"/>
    <col min="11" max="16" width="12.5" style="56" customWidth="1"/>
    <col min="17" max="18" width="9" style="56" customWidth="1"/>
    <col min="19" max="16384" width="8.875" style="56"/>
  </cols>
  <sheetData>
    <row r="1" spans="1:17" ht="16.5" customHeight="1">
      <c r="A1" s="54" t="s">
        <v>621</v>
      </c>
      <c r="B1" s="54" t="s">
        <v>622</v>
      </c>
      <c r="C1" s="54" t="s">
        <v>623</v>
      </c>
      <c r="D1" s="54" t="s">
        <v>624</v>
      </c>
      <c r="E1" s="54" t="s">
        <v>625</v>
      </c>
      <c r="F1" s="54" t="s">
        <v>626</v>
      </c>
      <c r="G1" s="54" t="s">
        <v>191</v>
      </c>
      <c r="H1" s="55" t="s">
        <v>627</v>
      </c>
      <c r="I1" s="54" t="s">
        <v>628</v>
      </c>
      <c r="J1" s="54" t="s">
        <v>629</v>
      </c>
      <c r="K1" s="54" t="s">
        <v>630</v>
      </c>
      <c r="L1" s="55" t="s">
        <v>631</v>
      </c>
      <c r="M1" s="54" t="s">
        <v>632</v>
      </c>
      <c r="N1" s="54" t="s">
        <v>633</v>
      </c>
      <c r="O1" s="54" t="s">
        <v>634</v>
      </c>
      <c r="P1" s="54" t="s">
        <v>635</v>
      </c>
      <c r="Q1" s="54" t="s">
        <v>636</v>
      </c>
    </row>
    <row r="2" spans="1:17" ht="23.25" customHeight="1">
      <c r="A2" s="57" t="s">
        <v>208</v>
      </c>
      <c r="B2" s="57" t="s">
        <v>637</v>
      </c>
      <c r="C2" s="57" t="s">
        <v>638</v>
      </c>
      <c r="D2" s="57" t="s">
        <v>639</v>
      </c>
      <c r="E2" s="57" t="s">
        <v>640</v>
      </c>
      <c r="F2" s="57" t="s">
        <v>641</v>
      </c>
      <c r="G2" s="57" t="s">
        <v>642</v>
      </c>
      <c r="H2" s="57" t="s">
        <v>643</v>
      </c>
      <c r="I2" s="57" t="s">
        <v>644</v>
      </c>
      <c r="J2" s="57" t="s">
        <v>644</v>
      </c>
      <c r="K2" s="58" t="s">
        <v>645</v>
      </c>
      <c r="L2" s="58" t="s">
        <v>646</v>
      </c>
      <c r="M2" s="58" t="s">
        <v>217</v>
      </c>
      <c r="N2" s="59">
        <v>83</v>
      </c>
      <c r="O2" s="59">
        <v>15.2</v>
      </c>
      <c r="P2" s="59">
        <v>15.7</v>
      </c>
      <c r="Q2" s="60">
        <v>0</v>
      </c>
    </row>
    <row r="3" spans="1:17" ht="23.25" customHeight="1">
      <c r="A3" s="57" t="s">
        <v>208</v>
      </c>
      <c r="B3" s="57" t="s">
        <v>637</v>
      </c>
      <c r="C3" s="57" t="s">
        <v>638</v>
      </c>
      <c r="D3" s="57" t="s">
        <v>639</v>
      </c>
      <c r="E3" s="57" t="s">
        <v>640</v>
      </c>
      <c r="F3" s="57" t="s">
        <v>641</v>
      </c>
      <c r="G3" s="57" t="s">
        <v>642</v>
      </c>
      <c r="H3" s="57" t="s">
        <v>643</v>
      </c>
      <c r="I3" s="57" t="s">
        <v>644</v>
      </c>
      <c r="J3" s="57" t="s">
        <v>644</v>
      </c>
      <c r="K3" s="58" t="s">
        <v>645</v>
      </c>
      <c r="L3" s="58" t="s">
        <v>647</v>
      </c>
      <c r="M3" s="58" t="s">
        <v>226</v>
      </c>
      <c r="N3" s="59">
        <v>56</v>
      </c>
      <c r="O3" s="59">
        <v>10.199999999999999</v>
      </c>
      <c r="P3" s="59">
        <v>10.7</v>
      </c>
      <c r="Q3" s="60">
        <v>0</v>
      </c>
    </row>
    <row r="4" spans="1:17" ht="23.25" customHeight="1">
      <c r="A4" s="57" t="s">
        <v>208</v>
      </c>
      <c r="B4" s="57" t="s">
        <v>637</v>
      </c>
      <c r="C4" s="57" t="s">
        <v>638</v>
      </c>
      <c r="D4" s="57" t="s">
        <v>639</v>
      </c>
      <c r="E4" s="57" t="s">
        <v>640</v>
      </c>
      <c r="F4" s="57" t="s">
        <v>641</v>
      </c>
      <c r="G4" s="57" t="s">
        <v>642</v>
      </c>
      <c r="H4" s="57" t="s">
        <v>643</v>
      </c>
      <c r="I4" s="57" t="s">
        <v>644</v>
      </c>
      <c r="J4" s="57" t="s">
        <v>644</v>
      </c>
      <c r="K4" s="58" t="s">
        <v>645</v>
      </c>
      <c r="L4" s="58" t="s">
        <v>648</v>
      </c>
      <c r="M4" s="58" t="s">
        <v>227</v>
      </c>
      <c r="N4" s="59">
        <v>35</v>
      </c>
      <c r="O4" s="59">
        <v>6.5</v>
      </c>
      <c r="P4" s="59">
        <v>7</v>
      </c>
      <c r="Q4" s="60">
        <v>0</v>
      </c>
    </row>
    <row r="5" spans="1:17" ht="23.25" customHeight="1">
      <c r="A5" s="57" t="s">
        <v>208</v>
      </c>
      <c r="B5" s="57" t="s">
        <v>637</v>
      </c>
      <c r="C5" s="57" t="s">
        <v>638</v>
      </c>
      <c r="D5" s="57" t="s">
        <v>639</v>
      </c>
      <c r="E5" s="57" t="s">
        <v>640</v>
      </c>
      <c r="F5" s="57" t="s">
        <v>641</v>
      </c>
      <c r="G5" s="57" t="s">
        <v>642</v>
      </c>
      <c r="H5" s="57" t="s">
        <v>643</v>
      </c>
      <c r="I5" s="57" t="s">
        <v>644</v>
      </c>
      <c r="J5" s="57" t="s">
        <v>644</v>
      </c>
      <c r="K5" s="58" t="s">
        <v>645</v>
      </c>
      <c r="L5" s="58" t="s">
        <v>649</v>
      </c>
      <c r="M5" s="58" t="s">
        <v>260</v>
      </c>
      <c r="N5" s="59">
        <v>96</v>
      </c>
      <c r="O5" s="59">
        <v>17.600000000000001</v>
      </c>
      <c r="P5" s="59">
        <v>18.100000000000001</v>
      </c>
      <c r="Q5" s="60">
        <v>0</v>
      </c>
    </row>
    <row r="6" spans="1:17" ht="23.25" customHeight="1">
      <c r="A6" s="57" t="s">
        <v>208</v>
      </c>
      <c r="B6" s="57" t="s">
        <v>637</v>
      </c>
      <c r="C6" s="57" t="s">
        <v>638</v>
      </c>
      <c r="D6" s="57" t="s">
        <v>639</v>
      </c>
      <c r="E6" s="57" t="s">
        <v>640</v>
      </c>
      <c r="F6" s="57" t="s">
        <v>641</v>
      </c>
      <c r="G6" s="57" t="s">
        <v>642</v>
      </c>
      <c r="H6" s="57" t="s">
        <v>643</v>
      </c>
      <c r="I6" s="57" t="s">
        <v>644</v>
      </c>
      <c r="J6" s="57" t="s">
        <v>644</v>
      </c>
      <c r="K6" s="58" t="s">
        <v>645</v>
      </c>
      <c r="L6" s="58" t="s">
        <v>650</v>
      </c>
      <c r="M6" s="58" t="s">
        <v>262</v>
      </c>
      <c r="N6" s="59">
        <v>88</v>
      </c>
      <c r="O6" s="59">
        <v>16</v>
      </c>
      <c r="P6" s="59">
        <v>16.5</v>
      </c>
      <c r="Q6" s="60">
        <v>0</v>
      </c>
    </row>
    <row r="7" spans="1:17" ht="23.25" customHeight="1">
      <c r="A7" s="57" t="s">
        <v>208</v>
      </c>
      <c r="B7" s="57" t="s">
        <v>637</v>
      </c>
      <c r="C7" s="57" t="s">
        <v>638</v>
      </c>
      <c r="D7" s="57" t="s">
        <v>639</v>
      </c>
      <c r="E7" s="57" t="s">
        <v>640</v>
      </c>
      <c r="F7" s="57" t="s">
        <v>641</v>
      </c>
      <c r="G7" s="57" t="s">
        <v>642</v>
      </c>
      <c r="H7" s="57" t="s">
        <v>643</v>
      </c>
      <c r="I7" s="57" t="s">
        <v>644</v>
      </c>
      <c r="J7" s="57" t="s">
        <v>644</v>
      </c>
      <c r="K7" s="58" t="s">
        <v>651</v>
      </c>
      <c r="L7" s="58" t="s">
        <v>652</v>
      </c>
      <c r="M7" s="58" t="s">
        <v>217</v>
      </c>
      <c r="N7" s="59">
        <v>82</v>
      </c>
      <c r="O7" s="59">
        <v>14.7</v>
      </c>
      <c r="P7" s="59">
        <v>15.2</v>
      </c>
      <c r="Q7" s="60">
        <v>0</v>
      </c>
    </row>
    <row r="8" spans="1:17" ht="23.25" customHeight="1">
      <c r="A8" s="57" t="s">
        <v>208</v>
      </c>
      <c r="B8" s="57" t="s">
        <v>637</v>
      </c>
      <c r="C8" s="57" t="s">
        <v>638</v>
      </c>
      <c r="D8" s="57" t="s">
        <v>639</v>
      </c>
      <c r="E8" s="57" t="s">
        <v>640</v>
      </c>
      <c r="F8" s="57" t="s">
        <v>641</v>
      </c>
      <c r="G8" s="57" t="s">
        <v>642</v>
      </c>
      <c r="H8" s="57" t="s">
        <v>643</v>
      </c>
      <c r="I8" s="57" t="s">
        <v>644</v>
      </c>
      <c r="J8" s="57" t="s">
        <v>644</v>
      </c>
      <c r="K8" s="58" t="s">
        <v>651</v>
      </c>
      <c r="L8" s="58" t="s">
        <v>653</v>
      </c>
      <c r="M8" s="58" t="s">
        <v>654</v>
      </c>
      <c r="N8" s="59">
        <v>14</v>
      </c>
      <c r="O8" s="59">
        <v>2.5</v>
      </c>
      <c r="P8" s="59">
        <v>3</v>
      </c>
      <c r="Q8" s="60">
        <v>0</v>
      </c>
    </row>
    <row r="9" spans="1:17" ht="23.25" customHeight="1">
      <c r="A9" s="57" t="s">
        <v>208</v>
      </c>
      <c r="B9" s="57" t="s">
        <v>637</v>
      </c>
      <c r="C9" s="57" t="s">
        <v>638</v>
      </c>
      <c r="D9" s="57" t="s">
        <v>639</v>
      </c>
      <c r="E9" s="57" t="s">
        <v>640</v>
      </c>
      <c r="F9" s="57" t="s">
        <v>641</v>
      </c>
      <c r="G9" s="57" t="s">
        <v>642</v>
      </c>
      <c r="H9" s="57" t="s">
        <v>655</v>
      </c>
      <c r="I9" s="57" t="s">
        <v>656</v>
      </c>
      <c r="J9" s="57" t="s">
        <v>656</v>
      </c>
      <c r="K9" s="58" t="s">
        <v>657</v>
      </c>
      <c r="L9" s="58" t="s">
        <v>658</v>
      </c>
      <c r="M9" s="58" t="s">
        <v>659</v>
      </c>
      <c r="N9" s="59">
        <v>74</v>
      </c>
      <c r="O9" s="59">
        <v>13.2</v>
      </c>
      <c r="P9" s="59">
        <v>13.7</v>
      </c>
      <c r="Q9" s="60">
        <v>0</v>
      </c>
    </row>
    <row r="10" spans="1:17" ht="16.5" customHeight="1">
      <c r="M10" s="61" t="s">
        <v>660</v>
      </c>
      <c r="N10" s="62">
        <f>SUM(N2:N9)</f>
        <v>528</v>
      </c>
      <c r="O10" s="62">
        <f>SUM(O2:O9)</f>
        <v>95.9</v>
      </c>
      <c r="P10" s="62">
        <f>SUM(P2:P9)</f>
        <v>99.9</v>
      </c>
    </row>
  </sheetData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INVOICE</vt:lpstr>
      <vt:lpstr>PACKING</vt:lpstr>
      <vt:lpstr>324 Rolls details</vt:lpstr>
      <vt:lpstr>8 rolls details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2026-05-07T08:18:00Z</dcterms:created>
  <dcterms:modified xsi:type="dcterms:W3CDTF">2026-05-18T05:53:51Z</dcterms:modified>
</cp:coreProperties>
</file>