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0.06.2026\"/>
    </mc:Choice>
  </mc:AlternateContent>
  <xr:revisionPtr revIDLastSave="0" documentId="13_ncr:1_{140F0559-CCBD-446D-9DBA-4DFDA01DE17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32" sheetId="129" r:id="rId3"/>
    <sheet name="133" sheetId="133" r:id="rId4"/>
    <sheet name="134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'132'!$B$1:$I$57</definedName>
    <definedName name="_xlnm.Print_Area" localSheetId="3">'133'!$B$1:$I$57</definedName>
    <definedName name="_xlnm.Print_Area" localSheetId="4">'134'!$B$1:$I$57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2" i="134" l="1"/>
  <c r="F34" i="133" l="1"/>
  <c r="F34" i="129" l="1"/>
  <c r="I32" i="134"/>
  <c r="C3" i="133"/>
  <c r="H3" i="134"/>
  <c r="H3" i="133"/>
  <c r="I32" i="129" l="1"/>
  <c r="F34" i="134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<sst xmlns="http://schemas.openxmlformats.org/spreadsheetml/2006/main" count="399" uniqueCount="185">
  <si>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</si>
  <si>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</si>
  <si>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</si>
  <si>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</si>
  <si>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</si>
  <si>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</si>
  <si>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</si>
  <si>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</si>
  <si>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</si>
  <si>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</si>
  <si>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</si>
  <si>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</si>
  <si>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</si>
  <si>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</si>
  <si>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</si>
  <si>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</si>
  <si>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</si>
  <si>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</si>
  <si>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</si>
  <si>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</si>
  <si>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</si>
  <si>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</si>
  <si>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</si>
  <si>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</si>
  <si>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</si>
  <si>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</si>
  <si>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</si>
  <si>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</si>
  <si>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</si>
  <si>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</si>
  <si>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</si>
  <si>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</si>
  <si>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</si>
  <si>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</si>
  <si>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</si>
  <si>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</si>
  <si>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</si>
  <si>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</si>
  <si>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</si>
  <si>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</si>
  <si>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</si>
  <si>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</si>
  <si>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</si>
  <si>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</si>
  <si>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</si>
  <si>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</si>
  <si>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</si>
  <si>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</si>
  <si>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</si>
  <si>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</si>
  <si>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</si>
  <si>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</si>
  <si>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</si>
  <si>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</si>
  <si>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</si>
  <si>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</si>
  <si>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</si>
  <si>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</si>
  <si>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</si>
  <si>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</si>
  <si>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</si>
  <si>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</si>
  <si>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</si>
  <si>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</si>
  <si>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</si>
  <si>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</si>
  <si>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</si>
  <si>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</si>
  <si>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</si>
  <si>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</si>
  <si>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</si>
  <si>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</si>
  <si>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</si>
  <si>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</si>
  <si>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</si>
  <si>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</si>
  <si>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</si>
  <si>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</si>
  <si>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</si>
  <si>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</si>
  <si>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</si>
  <si>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</si>
  <si>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</si>
  <si>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</si>
  <si>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</si>
  <si>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</si>
  <si>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</si>
  <si>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</si>
  <si>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</si>
  <si>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</si>
  <si>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</si>
  <si>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</si>
  <si>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</si>
  <si>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</si>
  <si>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</si>
  <si>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</si>
  <si>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</si>
  <si>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</si>
  <si>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</si>
  <si>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</si>
  <si>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</si>
  <si>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</si>
  <si>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</si>
  <si>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</si>
  <si>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</si>
  <si>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</si>
  <si>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</si>
  <si>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</si>
  <si>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</si>
  <si>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</si>
  <si>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</si>
  <si>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</si>
  <si>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</si>
  <si>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</si>
  <si>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</si>
  <si>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</si>
  <si>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</si>
  <si>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</si>
  <si>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</si>
  <si>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</si>
  <si>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</si>
  <si>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</si>
  <si>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</si>
  <si>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</si>
  <si>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</si>
  <si>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</si>
  <si>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</si>
  <si>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</si>
  <si>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</si>
  <si>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</si>
  <si>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</si>
  <si>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</si>
  <si>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</si>
  <si>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</si>
  <si>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</si>
  <si>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</si>
  <si>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</si>
  <si>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</si>
  <si>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</si>
  <si>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</si>
  <si>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</si>
  <si>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</si>
  <si>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</si>
  <si>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</si>
  <si>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</si>
  <si>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</si>
  <si>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</si>
  <si>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</si>
  <si>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</si>
  <si>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</si>
  <si>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</si>
  <si>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</si>
  <si>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</si>
  <si>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</si>
  <si>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</si>
  <si>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</si>
  <si>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</si>
  <si>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</si>
  <si>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</si>
  <si>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</si>
  <si>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</si>
  <si>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</si>
  <si>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</si>
  <si>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</si>
  <si>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</si>
  <si>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</si>
  <si>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</si>
  <si>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</si>
  <si>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</si>
  <si>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</si>
  <si>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</si>
  <si>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</si>
  <si>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</si>
  <si>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</si>
  <si>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</si>
  <si>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</si>
  <si>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</si>
  <si>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</si>
  <si>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 xml:space="preserve"> 265K0075 </t>
  </si>
  <si>
    <t>WOMENS COTTON FIBERS, KNIT PULLOVER, WITH NO NECK CLOSURE, STITCH COUNT IS GREATER THAN 9/2CM, REACHES WAIST, SLEEVELESS [95% COTTON 5% ELASTANE]</t>
  </si>
  <si>
    <t>BLUSH ON YOU</t>
  </si>
  <si>
    <t>22</t>
  </si>
  <si>
    <t>IN THE NAVY</t>
  </si>
  <si>
    <t>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</si>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</sst>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4" sqref="I4"/>
    </sheetView>
  </sheetViews>
  <sheetFormatPr defaultRowHeight="12.75" x14ac:dyDescent="0.2"/>
  <sheetData>
    <row r="2" spans="2:9" ht="15" x14ac:dyDescent="0.25">
      <c r="B2" s="55">
        <v>1</v>
      </c>
      <c r="C2" t="s">
        <v>178</v>
      </c>
      <c r="E2" s="55">
        <v>1</v>
      </c>
      <c r="F2">
        <v>692926</v>
      </c>
      <c r="H2" s="55">
        <v>1</v>
      </c>
      <c r="I2" s="56" t="s">
        <v>177</v>
      </c>
    </row>
    <row r="3" spans="2:9" ht="15" x14ac:dyDescent="0.25">
      <c r="B3" s="55">
        <v>2</v>
      </c>
      <c r="C3" t="s">
        <v>178</v>
      </c>
      <c r="E3" s="55">
        <v>2</v>
      </c>
      <c r="F3">
        <v>692926</v>
      </c>
      <c r="H3" s="55">
        <v>2</v>
      </c>
      <c r="I3" s="56" t="s">
        <v>177</v>
      </c>
    </row>
    <row r="4" spans="2:9" ht="15" x14ac:dyDescent="0.25">
      <c r="B4" s="55">
        <v>3</v>
      </c>
      <c r="C4" t="s">
        <v>178</v>
      </c>
      <c r="E4" s="55">
        <v>3</v>
      </c>
      <c r="F4">
        <v>692926</v>
      </c>
      <c r="H4" s="55">
        <v>3</v>
      </c>
      <c r="I4" s="56" t="s">
        <v>177</v>
      </c>
    </row>
    <row r="5" spans="2:9" ht="15" x14ac:dyDescent="0.25">
      <c r="B5" s="55">
        <v>4</v>
      </c>
      <c r="E5" s="55">
        <v>4</v>
      </c>
      <c r="H5" s="55">
        <v>4</v>
      </c>
      <c r="I5" s="56"/>
    </row>
    <row r="6" spans="2:9" ht="15" x14ac:dyDescent="0.25">
      <c r="B6" s="55">
        <v>5</v>
      </c>
      <c r="E6" s="55">
        <v>5</v>
      </c>
      <c r="H6" s="55">
        <v>5</v>
      </c>
      <c r="I6" s="56"/>
    </row>
    <row r="7" spans="2:9" ht="15" x14ac:dyDescent="0.25">
      <c r="B7" s="55">
        <v>6</v>
      </c>
      <c r="E7" s="55">
        <v>6</v>
      </c>
      <c r="H7" s="55">
        <v>6</v>
      </c>
      <c r="I7" s="56"/>
    </row>
    <row r="8" spans="2:9" ht="15" x14ac:dyDescent="0.25">
      <c r="B8" s="55">
        <v>7</v>
      </c>
      <c r="E8" s="55">
        <v>7</v>
      </c>
      <c r="H8" s="55">
        <v>7</v>
      </c>
      <c r="I8" s="56"/>
    </row>
    <row r="9" spans="2:9" ht="15" x14ac:dyDescent="0.25">
      <c r="B9" s="55">
        <v>8</v>
      </c>
      <c r="E9" s="55">
        <v>8</v>
      </c>
      <c r="H9" s="55">
        <v>8</v>
      </c>
      <c r="I9" s="56"/>
    </row>
    <row r="10" spans="2:9" ht="15" x14ac:dyDescent="0.25">
      <c r="B10" s="55">
        <v>9</v>
      </c>
      <c r="E10" s="55">
        <v>9</v>
      </c>
      <c r="H10" s="55">
        <v>9</v>
      </c>
      <c r="I10" s="56"/>
    </row>
    <row r="11" spans="2:9" ht="15" x14ac:dyDescent="0.25">
      <c r="B11" s="55">
        <v>10</v>
      </c>
      <c r="E11" s="55">
        <v>10</v>
      </c>
      <c r="H11" s="55">
        <v>10</v>
      </c>
      <c r="I11" s="56"/>
    </row>
    <row r="12" spans="2:9" ht="15" x14ac:dyDescent="0.25">
      <c r="B12" s="55">
        <v>11</v>
      </c>
      <c r="E12" s="55">
        <v>11</v>
      </c>
      <c r="H12" s="55">
        <v>11</v>
      </c>
      <c r="I12" s="56"/>
    </row>
    <row r="13" spans="2:9" ht="15" x14ac:dyDescent="0.25">
      <c r="B13" s="55">
        <v>12</v>
      </c>
      <c r="E13" s="55">
        <v>12</v>
      </c>
      <c r="H13" s="55">
        <v>12</v>
      </c>
      <c r="I13" s="56"/>
    </row>
    <row r="14" spans="2:9" ht="15" x14ac:dyDescent="0.25">
      <c r="B14" s="55">
        <v>13</v>
      </c>
      <c r="E14" s="55">
        <v>13</v>
      </c>
      <c r="H14" s="55">
        <v>13</v>
      </c>
      <c r="I14" s="56"/>
    </row>
    <row r="15" spans="2:9" ht="15" x14ac:dyDescent="0.25">
      <c r="B15" s="55">
        <v>14</v>
      </c>
      <c r="E15" s="55">
        <v>14</v>
      </c>
      <c r="H15" s="55">
        <v>14</v>
      </c>
      <c r="I15" s="56"/>
    </row>
    <row r="16" spans="2:9" ht="15" x14ac:dyDescent="0.25">
      <c r="B16" s="55">
        <v>15</v>
      </c>
      <c r="E16" s="55">
        <v>15</v>
      </c>
      <c r="H16" s="55">
        <v>15</v>
      </c>
      <c r="I16" s="56"/>
    </row>
    <row r="17" spans="2:11" ht="15" x14ac:dyDescent="0.25">
      <c r="B17" s="55">
        <v>16</v>
      </c>
      <c r="E17" s="55">
        <v>16</v>
      </c>
      <c r="H17" s="55">
        <v>16</v>
      </c>
      <c r="I17" s="56"/>
    </row>
    <row r="18" spans="2:11" ht="15" x14ac:dyDescent="0.25">
      <c r="B18" s="55">
        <v>17</v>
      </c>
      <c r="E18" s="55">
        <v>17</v>
      </c>
      <c r="H18" s="55">
        <v>17</v>
      </c>
      <c r="I18" s="56"/>
    </row>
    <row r="19" spans="2:11" ht="15" x14ac:dyDescent="0.25">
      <c r="B19" s="55">
        <v>18</v>
      </c>
      <c r="E19" s="55">
        <v>18</v>
      </c>
      <c r="H19" s="55">
        <v>18</v>
      </c>
      <c r="I19" s="56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topLeftCell="A17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184</v>
      </c>
      <c r="C2" s="64"/>
      <c r="D2" s="64"/>
      <c r="E2" s="64"/>
      <c r="F2" s="64"/>
      <c r="G2" s="64"/>
      <c r="H2" s="64"/>
      <c r="I2" s="65"/>
      <c r="J2" s="57">
        <v>61779330</v>
      </c>
      <c r="K2" s="58">
        <v>2950</v>
      </c>
      <c r="L2" s="59">
        <v>62</v>
      </c>
      <c r="M2" s="59">
        <v>308.32</v>
      </c>
      <c r="N2" s="59">
        <v>411.57</v>
      </c>
      <c r="O2" s="59">
        <v>470.77</v>
      </c>
      <c r="P2" s="59" t="s">
        <v>54</v>
      </c>
      <c r="Q2" s="59">
        <v>3.69</v>
      </c>
      <c r="R2" s="59" t="s">
        <v>62</v>
      </c>
    </row>
    <row r="3" spans="2:22" x14ac:dyDescent="0.2">
      <c r="B3" s="6" t="s">
        <v>53</v>
      </c>
      <c r="C3" s="60">
        <v>132</v>
      </c>
      <c r="D3" s="5"/>
      <c r="E3" s="5"/>
      <c r="F3" s="5"/>
      <c r="G3" s="5" t="s">
        <v>52</v>
      </c>
      <c r="H3" s="31">
        <v>46183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61779330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470.77</v>
      </c>
      <c r="G23" s="23">
        <f>+N2</f>
        <v>411.57</v>
      </c>
      <c r="H23" s="23">
        <f>+M2</f>
        <v>308.32</v>
      </c>
      <c r="I23" s="48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WOMENS COTTON FIBERS, KNIT PULLOVER, WITH NO NECK CLOSURE, STITCH COUNT IS GREATER THAN 9/2CM, REACHES WAIST, SLEEVELESS [95% COTTON 5% ELASTANE]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2" t="s">
        <v>19</v>
      </c>
      <c r="E31" s="72"/>
      <c r="F31" s="72" t="s">
        <v>18</v>
      </c>
      <c r="G31" s="72"/>
      <c r="H31" s="48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1"/>
      <c r="E32" s="62"/>
      <c r="F32" s="61">
        <f>+K2</f>
        <v>2950</v>
      </c>
      <c r="G32" s="62"/>
      <c r="H32" s="17">
        <v>0.76</v>
      </c>
      <c r="I32" s="18">
        <f>+H32*F32</f>
        <v>2242</v>
      </c>
      <c r="K32" s="46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48"/>
    </row>
    <row r="34" spans="2:11" ht="21.75" customHeight="1" x14ac:dyDescent="0.2">
      <c r="B34" s="15" t="s">
        <v>14</v>
      </c>
      <c r="C34" s="15"/>
      <c r="D34" s="77"/>
      <c r="E34" s="78"/>
      <c r="F34" s="61">
        <f>SUM(F31:G33)</f>
        <v>2950</v>
      </c>
      <c r="G34" s="62"/>
      <c r="H34" s="15"/>
      <c r="I34" s="14">
        <f>SUM(I32:I33)</f>
        <v>2242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2242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2242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17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184</v>
      </c>
      <c r="C2" s="64"/>
      <c r="D2" s="64"/>
      <c r="E2" s="64"/>
      <c r="F2" s="64"/>
      <c r="G2" s="64"/>
      <c r="H2" s="64"/>
      <c r="I2" s="65"/>
      <c r="J2" s="57">
        <v>61746130</v>
      </c>
      <c r="K2" s="58">
        <v>3675</v>
      </c>
      <c r="L2" s="59">
        <v>75</v>
      </c>
      <c r="M2" s="59">
        <v>381.75</v>
      </c>
      <c r="N2" s="59">
        <v>510.375</v>
      </c>
      <c r="O2" s="59">
        <v>582.57500000000005</v>
      </c>
      <c r="P2" s="59" t="s">
        <v>54</v>
      </c>
      <c r="Q2" s="59">
        <v>4.5629999999999997</v>
      </c>
      <c r="R2" s="59" t="s">
        <v>62</v>
      </c>
    </row>
    <row r="3" spans="2:22" x14ac:dyDescent="0.2">
      <c r="B3" s="6" t="s">
        <v>53</v>
      </c>
      <c r="C3" s="60">
        <f>+'132'!C3+1</f>
        <v>133</v>
      </c>
      <c r="D3" s="5"/>
      <c r="E3" s="5"/>
      <c r="F3" s="5"/>
      <c r="G3" s="5" t="s">
        <v>52</v>
      </c>
      <c r="H3" s="31">
        <f>+'132'!H3+0</f>
        <v>46183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582.57500000000005</v>
      </c>
      <c r="G23" s="23">
        <f>+N2</f>
        <v>510.375</v>
      </c>
      <c r="H23" s="23">
        <f>+M2</f>
        <v>381.75</v>
      </c>
      <c r="I23" s="48">
        <f>+L2</f>
        <v>75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WOMENS COTTON FIBERS, KNIT PULLOVER, WITH NO NECK CLOSURE, STITCH COUNT IS GREATER THAN 9/2CM, REACHES WAIST, SLEEVELESS [95% COTTON 5% ELASTANE]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2" t="s">
        <v>19</v>
      </c>
      <c r="E31" s="72"/>
      <c r="F31" s="72" t="s">
        <v>18</v>
      </c>
      <c r="G31" s="72"/>
      <c r="H31" s="48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1"/>
      <c r="E32" s="62"/>
      <c r="F32" s="61">
        <f>+K2</f>
        <v>3675</v>
      </c>
      <c r="G32" s="62"/>
      <c r="H32" s="17">
        <v>0.76</v>
      </c>
      <c r="I32" s="18">
        <f>+H32*F32</f>
        <v>2793</v>
      </c>
      <c r="K32" s="46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48"/>
    </row>
    <row r="34" spans="2:11" ht="21.75" customHeight="1" x14ac:dyDescent="0.2">
      <c r="B34" s="15" t="s">
        <v>14</v>
      </c>
      <c r="C34" s="15"/>
      <c r="D34" s="77"/>
      <c r="E34" s="78"/>
      <c r="F34" s="61">
        <f>SUM(F31:G33)</f>
        <v>3675</v>
      </c>
      <c r="G34" s="62"/>
      <c r="H34" s="15"/>
      <c r="I34" s="14">
        <f>SUM(I32:I33)</f>
        <v>2793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2793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2793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184</v>
      </c>
      <c r="C2" s="64"/>
      <c r="D2" s="64"/>
      <c r="E2" s="64"/>
      <c r="F2" s="64"/>
      <c r="G2" s="64"/>
      <c r="H2" s="64"/>
      <c r="I2" s="65"/>
      <c r="J2" s="57">
        <v>61746129</v>
      </c>
      <c r="K2" s="58">
        <v>3050</v>
      </c>
      <c r="L2" s="59">
        <v>66</v>
      </c>
      <c r="M2" s="59">
        <v>318.62</v>
      </c>
      <c r="N2" s="59">
        <v>425.37</v>
      </c>
      <c r="O2" s="59">
        <v>487.97</v>
      </c>
      <c r="P2" s="59" t="s">
        <v>54</v>
      </c>
      <c r="Q2" s="59">
        <v>3.8580000000000001</v>
      </c>
      <c r="R2" s="59" t="s">
        <v>62</v>
      </c>
    </row>
    <row r="3" spans="2:22" x14ac:dyDescent="0.2">
      <c r="B3" s="6" t="s">
        <v>53</v>
      </c>
      <c r="C3" s="60">
        <f>+'133'!C3+1</f>
        <v>134</v>
      </c>
      <c r="D3" s="5"/>
      <c r="E3" s="5"/>
      <c r="F3" s="5"/>
      <c r="G3" s="5" t="s">
        <v>52</v>
      </c>
      <c r="H3" s="31">
        <f>+'132'!H3+0</f>
        <v>46183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61746129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487.97</v>
      </c>
      <c r="G23" s="23">
        <f>+N2</f>
        <v>425.37</v>
      </c>
      <c r="H23" s="23">
        <f>+M2</f>
        <v>318.62</v>
      </c>
      <c r="I23" s="54">
        <f>+L2</f>
        <v>66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WOMENS COTTON FIBERS, KNIT PULLOVER, WITH NO NECK CLOSURE, STITCH COUNT IS GREATER THAN 9/2CM, REACHES WAIST, SLEEVELESS [95% COTTON 5% ELASTANE]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180</v>
      </c>
      <c r="D32" s="61"/>
      <c r="E32" s="62"/>
      <c r="F32" s="61">
        <f>+K2</f>
        <v>3050</v>
      </c>
      <c r="G32" s="62"/>
      <c r="H32" s="17">
        <v>0.76</v>
      </c>
      <c r="I32" s="18">
        <f>+H32*F32</f>
        <v>2318</v>
      </c>
      <c r="K32" s="46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54"/>
    </row>
    <row r="34" spans="2:11" ht="21.75" customHeight="1" x14ac:dyDescent="0.2">
      <c r="B34" s="15" t="s">
        <v>14</v>
      </c>
      <c r="C34" s="15"/>
      <c r="D34" s="77"/>
      <c r="E34" s="78"/>
      <c r="F34" s="61">
        <f>SUM(F32:G33)</f>
        <v>3050</v>
      </c>
      <c r="G34" s="62"/>
      <c r="H34" s="15"/>
      <c r="I34" s="14">
        <f>SUM(I32:I33)</f>
        <v>2318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2318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2318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132</vt:lpstr>
      <vt:lpstr>133</vt:lpstr>
      <vt:lpstr>134</vt:lpstr>
      <vt:lpstr>'132'!Print_Area</vt:lpstr>
      <vt:lpstr>'133'!Print_Area</vt:lpstr>
      <vt:lpstr>'134'!Print_Area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2026-05-04T01:55:32Z</cp:lastPrinted>
  <dcterms:created xsi:type="dcterms:W3CDTF">2024-04-17T09:56:05Z</dcterms:created>
  <dcterms:modified xsi:type="dcterms:W3CDTF">2026-06-10T00:50:58Z</dcterms:modified>
</cp:coreProperties>
</file>