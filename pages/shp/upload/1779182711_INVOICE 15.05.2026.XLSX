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5. MEI\15.05.2026\"/>
    </mc:Choice>
  </mc:AlternateContent>
  <xr:revisionPtr revIDLastSave="0" documentId="13_ncr:1_{9196AB48-7CCE-44D2-BAD7-E715FB0D7821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28" r:id="rId1"/>
    <sheet name="reff" sheetId="162" r:id="rId2"/>
    <sheet name="219. FOB" sheetId="164" r:id="rId3"/>
    <sheet name="219. CMT" sheetId="166" r:id="rId4"/>
  </sheets>
  <externalReferences>
    <externalReference r:id="rId5"/>
    <externalReference r:id="rId6"/>
    <externalReference r:id="rId7"/>
  </externalReferences>
  <definedNames>
    <definedName name="_box2">[1]参数!$B$3</definedName>
    <definedName name="a" localSheetId="3">[2]xdata!#REF!</definedName>
    <definedName name="a" localSheetId="2">[2]xdata!#REF!</definedName>
    <definedName name="a">[2]xdata!#REF!</definedName>
    <definedName name="b" localSheetId="3">[2]xdata!#REF!</definedName>
    <definedName name="b" localSheetId="2">[2]xdata!#REF!</definedName>
    <definedName name="b">[2]xdata!#REF!</definedName>
    <definedName name="C_O" localSheetId="3">[2]xdata!#REF!</definedName>
    <definedName name="C_O" localSheetId="2">[2]xdata!#REF!</definedName>
    <definedName name="C_O">[2]xdata!#REF!</definedName>
    <definedName name="CBM">[3]参数!$E$3</definedName>
    <definedName name="Dept_no" localSheetId="3">[2]xdata!#REF!</definedName>
    <definedName name="Dept_no" localSheetId="2">[2]xdata!#REF!</definedName>
    <definedName name="Dept_no">[2]xdata!#REF!</definedName>
    <definedName name="Description">[3]参数!$E$1</definedName>
    <definedName name="E_L" localSheetId="3">[2]xdata!#REF!</definedName>
    <definedName name="E_L" localSheetId="2">[2]xdata!#REF!</definedName>
    <definedName name="E_L">[2]xdata!#REF!</definedName>
    <definedName name="INVOICE">[2]xdata!$B$2</definedName>
    <definedName name="_xlnm.Print_Area" localSheetId="3">'219. CMT'!$B$1:$I$57</definedName>
    <definedName name="_xlnm.Print_Area" localSheetId="2">'219. FOB'!$B$1:$I$57</definedName>
    <definedName name="v" localSheetId="3">[2]xdata!#REF!</definedName>
    <definedName name="v" localSheetId="2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2" i="166" l="1"/>
  <c r="F34" i="166"/>
  <c r="F32" i="166"/>
  <c r="I32" i="166" s="1"/>
  <c r="I34" i="166" s="1"/>
  <c r="I36" i="166" s="1"/>
  <c r="I38" i="166" s="1"/>
  <c r="B27" i="166"/>
  <c r="I23" i="166"/>
  <c r="H23" i="166"/>
  <c r="G23" i="166"/>
  <c r="F23" i="166"/>
  <c r="E23" i="166"/>
  <c r="E21" i="166"/>
  <c r="D21" i="166"/>
  <c r="C21" i="166"/>
  <c r="B21" i="166"/>
  <c r="G15" i="166"/>
  <c r="G16" i="166" s="1"/>
  <c r="G17" i="166" s="1"/>
  <c r="H21" i="166" s="1"/>
  <c r="B15" i="166"/>
  <c r="B16" i="166" s="1"/>
  <c r="B17" i="166" s="1"/>
  <c r="B18" i="166" s="1"/>
  <c r="G14" i="166"/>
  <c r="F32" i="164"/>
  <c r="H52" i="164" l="1"/>
  <c r="F34" i="164"/>
  <c r="B27" i="164"/>
  <c r="I23" i="164"/>
  <c r="H23" i="164"/>
  <c r="G23" i="164"/>
  <c r="F23" i="164"/>
  <c r="E23" i="164"/>
  <c r="E21" i="164"/>
  <c r="D21" i="164"/>
  <c r="C21" i="164"/>
  <c r="B21" i="164"/>
  <c r="B15" i="164"/>
  <c r="B16" i="164" s="1"/>
  <c r="B17" i="164" s="1"/>
  <c r="B18" i="164" s="1"/>
  <c r="G14" i="164"/>
  <c r="G15" i="164" s="1"/>
  <c r="G16" i="164" s="1"/>
  <c r="G17" i="164" s="1"/>
  <c r="H21" i="164" s="1"/>
  <c r="I32" i="164" l="1"/>
  <c r="I34" i="164" s="1"/>
  <c r="I36" i="164" s="1"/>
  <c r="I38" i="164" s="1"/>
  <c r="L25" i="128" l="1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<sst xmlns="http://schemas.openxmlformats.org/spreadsheetml/2006/main" count="317" uniqueCount="184">
  <si>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</si>
  <si>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</si>
  <si>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</si>
  <si>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</si>
  <si>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</si>
  <si>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</si>
  <si>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</si>
  <si>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</si>
  <si>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</si>
  <si>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</si>
  <si>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</si>
  <si>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</si>
  <si>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</si>
  <si>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</si>
  <si>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</si>
  <si>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</si>
  <si>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</si>
  <si>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</si>
  <si>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</si>
  <si>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</si>
  <si>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</si>
  <si>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</si>
  <si>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</si>
  <si>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</si>
  <si>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</si>
  <si>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</si>
  <si>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</si>
  <si>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</si>
  <si>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</si>
  <si>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</si>
  <si>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</si>
  <si>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</si>
  <si>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</si>
  <si>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</si>
  <si>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</si>
  <si>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</si>
  <si>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</si>
  <si>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</si>
  <si>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</si>
  <si>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</si>
  <si>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</si>
  <si>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</si>
  <si>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</si>
  <si>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</si>
  <si>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</si>
  <si>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</si>
  <si>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</si>
  <si>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</si>
  <si>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</si>
  <si>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</si>
  <si>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</si>
  <si>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</si>
  <si>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</si>
  <si>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</si>
  <si>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</si>
  <si>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</si>
  <si>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</si>
  <si>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</si>
  <si>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</si>
  <si>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</si>
  <si>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</si>
  <si>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</si>
  <si>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</si>
  <si>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</si>
  <si>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</si>
  <si>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</si>
  <si>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</si>
  <si>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</si>
  <si>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</si>
  <si>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</si>
  <si>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</si>
  <si>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</si>
  <si>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</si>
  <si>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</si>
  <si>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</si>
  <si>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</si>
  <si>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</si>
  <si>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</si>
  <si>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</si>
  <si>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</si>
  <si>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</si>
  <si>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</si>
  <si>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</si>
  <si>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</si>
  <si>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</si>
  <si>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</si>
  <si>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</si>
  <si>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</si>
  <si>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</si>
  <si>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</si>
  <si>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</si>
  <si>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</si>
  <si>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</si>
  <si>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</si>
  <si>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</si>
  <si>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</si>
  <si>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</si>
  <si>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</si>
  <si>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</si>
  <si>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</si>
  <si>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</si>
  <si>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</si>
  <si>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</si>
  <si>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</si>
  <si>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</si>
  <si>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</si>
  <si>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</si>
  <si>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</si>
  <si>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</si>
  <si>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</si>
  <si>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</si>
  <si>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</si>
  <si>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</si>
  <si>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</si>
  <si>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</si>
  <si>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</si>
  <si>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</si>
  <si>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</si>
  <si>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</si>
  <si>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</si>
  <si>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</si>
  <si>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</si>
  <si>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</si>
  <si>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</si>
  <si>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</si>
  <si>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</si>
  <si>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</si>
  <si>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</si>
  <si>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</si>
  <si>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</si>
  <si>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</si>
  <si>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</si>
  <si>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</si>
  <si>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</si>
  <si>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</si>
  <si>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</si>
  <si>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</si>
  <si>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</si>
  <si>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</si>
  <si>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</si>
  <si>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</si>
  <si>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</si>
  <si>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</si>
  <si>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</si>
  <si>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</si>
  <si>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</si>
  <si>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</si>
  <si>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</si>
  <si>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</si>
  <si>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</si>
  <si>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</si>
  <si>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</si>
  <si>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</si>
  <si>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</si>
  <si>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</si>
  <si>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</si>
  <si>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</si>
  <si>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</si>
  <si>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</si>
  <si>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</si>
  <si>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</si>
  <si>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</si>
  <si>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</si>
  <si>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</si>
  <si>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</si>
  <si>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</si>
  <si>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</si>
  <si>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</si>
  <si>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</si>
  <si>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</si>
  <si>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</si>
  <si>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</si>
  <si>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</si>
  <si>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</si>
  <si>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</si>
  <si>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</si>
  <si>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COMERCIAL INVOICE FOB</t>
  </si>
  <si>
    <t>(FS INVOICE)</t>
  </si>
  <si>
    <t>COMERCIAL INVOICE CMT</t>
  </si>
  <si>
    <t>RETAIL</t>
  </si>
  <si>
    <t>265K0075</t>
  </si>
  <si>
    <t xml:space="preserve">BLACK COFFEE, CALLA LILY 2, IN THE NAVY, </t>
  </si>
  <si>
    <t>13, 20, 16</t>
  </si>
  <si>
    <t>WOMENS COTTON FIBERS, KNIT PULLOVER, WITH NO NECK CLOSURE, STITCH COUNT IS GREATER THAN 9/2CM, REACHES WAIST, SLEEVELESS [95% COTTON 5% ELASTANE]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</si>
</sst>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5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11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7" fillId="0" borderId="0" xfId="0" applyFont="1" applyBorder="1"/>
    <xf numFmtId="0" fontId="8" fillId="0" borderId="0" xfId="0" applyFont="1" applyBorder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3" fillId="0" borderId="13" xfId="0" applyFont="1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quotePrefix="1" applyNumberFormat="1"/>
    <xf numFmtId="0" fontId="14" fillId="0" borderId="0" xfId="0" applyFont="1"/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5" fillId="3" borderId="0" xfId="0" applyNumberFormat="1" applyFont="1" applyFill="1" applyAlignment="1">
      <alignment horizontal="right" vertical="center" wrapText="1"/>
    </xf>
    <xf numFmtId="4" fontId="5" fillId="3" borderId="0" xfId="0" applyNumberFormat="1" applyFont="1" applyFill="1" applyAlignment="1">
      <alignment horizontal="right" vertical="center" wrapText="1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89289C88-F1B2-4284-BCBD-207473D49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805C84-1C22-4280-8FD7-C70FAD9E2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156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39DC7E04-C64C-478B-85D1-D20068EA5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5A53AB-223D-4324-9F5D-3BAEF69DF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8707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94</v>
      </c>
      <c r="D3" t="s">
        <v>93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86</v>
      </c>
      <c r="G5" s="10" t="s">
        <v>97</v>
      </c>
      <c r="H5" s="10" t="s">
        <v>87</v>
      </c>
      <c r="I5" s="10" t="s">
        <v>98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99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100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96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101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95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136</v>
      </c>
      <c r="D11" s="10" t="s">
        <v>116</v>
      </c>
      <c r="F11" s="10" t="s">
        <v>102</v>
      </c>
      <c r="G11" s="10" t="s">
        <v>104</v>
      </c>
      <c r="H11" s="10" t="s">
        <v>108</v>
      </c>
      <c r="I11" s="10" t="s">
        <v>112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137</v>
      </c>
      <c r="D12" s="51" t="s">
        <v>117</v>
      </c>
      <c r="F12" s="51" t="s">
        <v>103</v>
      </c>
      <c r="G12" s="51" t="s">
        <v>105</v>
      </c>
      <c r="H12" s="51" t="s">
        <v>109</v>
      </c>
      <c r="I12" s="51" t="s">
        <v>113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138</v>
      </c>
      <c r="D13" s="51" t="s">
        <v>118</v>
      </c>
      <c r="F13" s="51" t="s">
        <v>100</v>
      </c>
      <c r="G13" s="51" t="s">
        <v>106</v>
      </c>
      <c r="H13" s="51" t="s">
        <v>110</v>
      </c>
      <c r="I13" s="51" t="s">
        <v>114</v>
      </c>
      <c r="L13" t="str">
        <f>F17</f>
        <v>BDC-0015</v>
      </c>
    </row>
    <row r="14" spans="2:12" x14ac:dyDescent="0.2">
      <c r="B14" s="51" t="s">
        <v>140</v>
      </c>
      <c r="D14" s="52" t="s">
        <v>119</v>
      </c>
      <c r="F14" s="52" t="s">
        <v>101</v>
      </c>
      <c r="G14" s="52" t="s">
        <v>107</v>
      </c>
      <c r="H14" s="52" t="s">
        <v>111</v>
      </c>
      <c r="I14" s="52" t="s">
        <v>115</v>
      </c>
      <c r="L14" t="str">
        <f>G17</f>
        <v>CANADA OMNI CAO-0040</v>
      </c>
    </row>
    <row r="15" spans="2:12" x14ac:dyDescent="0.2">
      <c r="B15" s="9" t="s">
        <v>139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125</v>
      </c>
      <c r="G17" s="10" t="s">
        <v>88</v>
      </c>
      <c r="H17" s="10" t="s">
        <v>89</v>
      </c>
      <c r="I17" s="10" t="s">
        <v>120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90</v>
      </c>
      <c r="I18" s="51" t="s">
        <v>121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91</v>
      </c>
      <c r="I19" s="51" t="s">
        <v>122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92</v>
      </c>
      <c r="I20" s="51" t="s">
        <v>123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124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126</v>
      </c>
      <c r="F23" s="10" t="s">
        <v>131</v>
      </c>
      <c r="G23" s="10" t="s">
        <v>144</v>
      </c>
      <c r="H23" s="10" t="s">
        <v>149</v>
      </c>
      <c r="I23" s="10" t="s">
        <v>155</v>
      </c>
      <c r="L23" t="str">
        <f>H29</f>
        <v>NDC-0028</v>
      </c>
    </row>
    <row r="24" spans="2:12" x14ac:dyDescent="0.2">
      <c r="D24" s="51" t="s">
        <v>127</v>
      </c>
      <c r="F24" s="51" t="s">
        <v>134</v>
      </c>
      <c r="G24" s="51" t="s">
        <v>145</v>
      </c>
      <c r="H24" s="51" t="s">
        <v>150</v>
      </c>
      <c r="I24" s="51" t="s">
        <v>156</v>
      </c>
      <c r="L24" t="str">
        <f>I29</f>
        <v>PDC-0014</v>
      </c>
    </row>
    <row r="25" spans="2:12" x14ac:dyDescent="0.2">
      <c r="D25" s="51" t="s">
        <v>128</v>
      </c>
      <c r="F25" s="51" t="s">
        <v>135</v>
      </c>
      <c r="G25" s="51" t="s">
        <v>146</v>
      </c>
      <c r="H25" s="51" t="s">
        <v>151</v>
      </c>
      <c r="I25" s="51" t="s">
        <v>157</v>
      </c>
      <c r="L25" t="str">
        <f>F35</f>
        <v>JPD-0030</v>
      </c>
    </row>
    <row r="26" spans="2:12" x14ac:dyDescent="0.2">
      <c r="D26" s="51" t="s">
        <v>129</v>
      </c>
      <c r="F26" s="51" t="s">
        <v>132</v>
      </c>
      <c r="G26" s="51" t="s">
        <v>147</v>
      </c>
      <c r="H26" s="51" t="s">
        <v>152</v>
      </c>
      <c r="I26" s="52" t="s">
        <v>158</v>
      </c>
    </row>
    <row r="27" spans="2:12" x14ac:dyDescent="0.2">
      <c r="D27" s="9" t="s">
        <v>130</v>
      </c>
      <c r="F27" s="9" t="s">
        <v>133</v>
      </c>
      <c r="G27" s="9" t="s">
        <v>148</v>
      </c>
      <c r="H27" s="9" t="s">
        <v>153</v>
      </c>
      <c r="I27" s="9" t="s">
        <v>67</v>
      </c>
    </row>
    <row r="28" spans="2:12" x14ac:dyDescent="0.2">
      <c r="D28" s="10"/>
    </row>
    <row r="29" spans="2:12" x14ac:dyDescent="0.2">
      <c r="D29" s="10" t="s">
        <v>141</v>
      </c>
      <c r="F29" s="10" t="s">
        <v>159</v>
      </c>
      <c r="G29" s="10" t="s">
        <v>161</v>
      </c>
      <c r="H29" s="10" t="s">
        <v>163</v>
      </c>
      <c r="I29" s="10" t="s">
        <v>164</v>
      </c>
    </row>
    <row r="30" spans="2:12" x14ac:dyDescent="0.2">
      <c r="D30" s="51" t="s">
        <v>142</v>
      </c>
      <c r="F30" s="51" t="s">
        <v>160</v>
      </c>
      <c r="G30" s="51" t="s">
        <v>162</v>
      </c>
      <c r="H30" s="51" t="s">
        <v>162</v>
      </c>
      <c r="I30" s="51" t="s">
        <v>165</v>
      </c>
    </row>
    <row r="31" spans="2:12" x14ac:dyDescent="0.2">
      <c r="D31" s="51" t="s">
        <v>143</v>
      </c>
      <c r="F31" s="51" t="s">
        <v>110</v>
      </c>
      <c r="G31" s="51" t="s">
        <v>69</v>
      </c>
      <c r="H31" s="51" t="s">
        <v>69</v>
      </c>
      <c r="I31" s="51" t="s">
        <v>100</v>
      </c>
    </row>
    <row r="32" spans="2:12" x14ac:dyDescent="0.2">
      <c r="D32" s="51" t="s">
        <v>129</v>
      </c>
      <c r="F32" s="52" t="s">
        <v>111</v>
      </c>
      <c r="G32" s="52" t="s">
        <v>76</v>
      </c>
      <c r="H32" s="52" t="s">
        <v>76</v>
      </c>
      <c r="I32" s="52" t="s">
        <v>101</v>
      </c>
    </row>
    <row r="33" spans="4:9" x14ac:dyDescent="0.2">
      <c r="D33" s="9" t="s">
        <v>130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116</v>
      </c>
      <c r="F35" s="10" t="s">
        <v>171</v>
      </c>
    </row>
    <row r="36" spans="4:9" x14ac:dyDescent="0.2">
      <c r="D36" s="51" t="s">
        <v>117</v>
      </c>
      <c r="F36" s="51" t="s">
        <v>172</v>
      </c>
    </row>
    <row r="37" spans="4:9" x14ac:dyDescent="0.2">
      <c r="D37" s="51" t="s">
        <v>118</v>
      </c>
      <c r="F37" s="51" t="s">
        <v>173</v>
      </c>
    </row>
    <row r="38" spans="4:9" x14ac:dyDescent="0.2">
      <c r="D38" s="52" t="s">
        <v>119</v>
      </c>
      <c r="F38" s="51" t="s">
        <v>174</v>
      </c>
    </row>
    <row r="39" spans="4:9" x14ac:dyDescent="0.2">
      <c r="D39" s="9" t="s">
        <v>67</v>
      </c>
      <c r="F39" s="9" t="s">
        <v>175</v>
      </c>
    </row>
    <row r="41" spans="4:9" x14ac:dyDescent="0.2">
      <c r="D41" s="10" t="s">
        <v>154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166</v>
      </c>
    </row>
    <row r="48" spans="4:9" x14ac:dyDescent="0.2">
      <c r="D48" s="51" t="s">
        <v>167</v>
      </c>
    </row>
    <row r="49" spans="4:4" x14ac:dyDescent="0.2">
      <c r="D49" s="51" t="s">
        <v>168</v>
      </c>
    </row>
    <row r="50" spans="4:4" x14ac:dyDescent="0.2">
      <c r="D50" s="52" t="s">
        <v>169</v>
      </c>
    </row>
    <row r="51" spans="4:4" x14ac:dyDescent="0.2">
      <c r="D51" s="9" t="s">
        <v>170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E2" sqref="E2"/>
    </sheetView>
  </sheetViews>
  <sheetFormatPr defaultRowHeight="12.75" x14ac:dyDescent="0.2"/>
  <sheetData>
    <row r="2" spans="2:9" ht="15" x14ac:dyDescent="0.25">
      <c r="B2" s="53">
        <v>1</v>
      </c>
      <c r="C2" t="s">
        <v>180</v>
      </c>
      <c r="E2" s="53">
        <v>1</v>
      </c>
      <c r="F2">
        <v>692926</v>
      </c>
      <c r="H2" s="53">
        <v>1</v>
      </c>
      <c r="I2" s="54" t="s">
        <v>179</v>
      </c>
    </row>
    <row r="3" spans="2:9" ht="15" x14ac:dyDescent="0.25">
      <c r="B3" s="53">
        <v>2</v>
      </c>
      <c r="E3" s="53">
        <v>2</v>
      </c>
      <c r="H3" s="53">
        <v>2</v>
      </c>
      <c r="I3" s="54"/>
    </row>
    <row r="4" spans="2:9" ht="15" x14ac:dyDescent="0.25">
      <c r="B4" s="53">
        <v>3</v>
      </c>
      <c r="E4" s="53">
        <v>3</v>
      </c>
      <c r="H4" s="53">
        <v>3</v>
      </c>
      <c r="I4" s="54"/>
    </row>
    <row r="5" spans="2:9" ht="15" x14ac:dyDescent="0.25">
      <c r="B5" s="53">
        <v>4</v>
      </c>
      <c r="E5" s="53">
        <v>4</v>
      </c>
      <c r="H5" s="53">
        <v>4</v>
      </c>
      <c r="I5" s="54"/>
    </row>
    <row r="6" spans="2:9" ht="15" x14ac:dyDescent="0.25">
      <c r="B6" s="53">
        <v>5</v>
      </c>
      <c r="E6" s="53">
        <v>5</v>
      </c>
      <c r="H6" s="53">
        <v>5</v>
      </c>
      <c r="I6" s="54"/>
    </row>
    <row r="7" spans="2:9" x14ac:dyDescent="0.2">
      <c r="B7" s="53">
        <v>6</v>
      </c>
      <c r="E7" s="53">
        <v>6</v>
      </c>
      <c r="H7" s="53">
        <v>6</v>
      </c>
    </row>
    <row r="8" spans="2:9" ht="15" x14ac:dyDescent="0.25">
      <c r="B8" s="53">
        <v>7</v>
      </c>
      <c r="E8" s="53">
        <v>7</v>
      </c>
      <c r="H8" s="53">
        <v>7</v>
      </c>
      <c r="I8" s="54"/>
    </row>
    <row r="9" spans="2:9" ht="15" x14ac:dyDescent="0.25">
      <c r="B9" s="53">
        <v>8</v>
      </c>
      <c r="E9" s="53">
        <v>8</v>
      </c>
      <c r="H9" s="53">
        <v>8</v>
      </c>
      <c r="I9" s="54"/>
    </row>
    <row r="10" spans="2:9" ht="15" x14ac:dyDescent="0.25">
      <c r="B10" s="53">
        <v>9</v>
      </c>
      <c r="E10" s="53">
        <v>9</v>
      </c>
      <c r="H10" s="53">
        <v>9</v>
      </c>
      <c r="I10" s="54"/>
    </row>
    <row r="11" spans="2:9" ht="15" x14ac:dyDescent="0.25">
      <c r="B11" s="53">
        <v>10</v>
      </c>
      <c r="E11" s="53">
        <v>10</v>
      </c>
      <c r="H11" s="53">
        <v>10</v>
      </c>
      <c r="I11" s="54"/>
    </row>
    <row r="12" spans="2:9" ht="15" x14ac:dyDescent="0.25">
      <c r="B12" s="53">
        <v>11</v>
      </c>
      <c r="E12" s="53">
        <v>11</v>
      </c>
      <c r="H12" s="53">
        <v>11</v>
      </c>
      <c r="I12" s="54"/>
    </row>
    <row r="13" spans="2:9" ht="15" x14ac:dyDescent="0.25">
      <c r="B13" s="53">
        <v>12</v>
      </c>
      <c r="E13" s="53">
        <v>12</v>
      </c>
      <c r="H13" s="53">
        <v>12</v>
      </c>
      <c r="I13" s="54"/>
    </row>
    <row r="14" spans="2:9" ht="15" x14ac:dyDescent="0.25">
      <c r="B14" s="53">
        <v>13</v>
      </c>
      <c r="E14" s="53">
        <v>13</v>
      </c>
      <c r="H14" s="53">
        <v>13</v>
      </c>
      <c r="I14" s="54"/>
    </row>
    <row r="15" spans="2:9" ht="15" x14ac:dyDescent="0.25">
      <c r="B15" s="53">
        <v>14</v>
      </c>
      <c r="E15" s="53">
        <v>14</v>
      </c>
      <c r="H15" s="53">
        <v>14</v>
      </c>
      <c r="I15" s="54"/>
    </row>
    <row r="16" spans="2:9" ht="15" x14ac:dyDescent="0.25">
      <c r="B16" s="53">
        <v>15</v>
      </c>
      <c r="E16" s="53">
        <v>15</v>
      </c>
      <c r="H16" s="53">
        <v>15</v>
      </c>
      <c r="I16" s="54"/>
    </row>
    <row r="17" spans="2:11" ht="15" x14ac:dyDescent="0.25">
      <c r="B17" s="53">
        <v>16</v>
      </c>
      <c r="E17" s="53">
        <v>16</v>
      </c>
      <c r="H17" s="53">
        <v>16</v>
      </c>
      <c r="I17" s="54"/>
    </row>
    <row r="18" spans="2:11" ht="15" x14ac:dyDescent="0.25">
      <c r="B18" s="53">
        <v>17</v>
      </c>
      <c r="E18" s="53">
        <v>17</v>
      </c>
      <c r="H18" s="53">
        <v>17</v>
      </c>
      <c r="I18" s="54"/>
    </row>
    <row r="19" spans="2:11" ht="15" x14ac:dyDescent="0.25">
      <c r="B19" s="53">
        <v>18</v>
      </c>
      <c r="E19" s="53">
        <v>18</v>
      </c>
      <c r="H19" s="53">
        <v>18</v>
      </c>
      <c r="I19" s="54"/>
    </row>
    <row r="20" spans="2:11" ht="15" x14ac:dyDescent="0.25">
      <c r="B20" s="53">
        <v>19</v>
      </c>
      <c r="E20" s="53">
        <v>19</v>
      </c>
      <c r="H20" s="53">
        <v>19</v>
      </c>
      <c r="I20" s="54"/>
    </row>
    <row r="21" spans="2:11" ht="15" x14ac:dyDescent="0.25">
      <c r="B21" s="53">
        <v>20</v>
      </c>
      <c r="E21" s="53">
        <v>20</v>
      </c>
      <c r="H21" s="53">
        <v>20</v>
      </c>
      <c r="I21" s="54"/>
    </row>
    <row r="22" spans="2:11" ht="15" x14ac:dyDescent="0.25">
      <c r="B22" s="53">
        <v>21</v>
      </c>
      <c r="E22" s="53">
        <v>21</v>
      </c>
      <c r="H22" s="53">
        <v>21</v>
      </c>
      <c r="I22" s="54"/>
      <c r="K22" t="s">
        <v>63</v>
      </c>
    </row>
    <row r="23" spans="2:11" ht="15" x14ac:dyDescent="0.25">
      <c r="B23" s="53">
        <v>22</v>
      </c>
      <c r="E23" s="53">
        <v>22</v>
      </c>
      <c r="H23" s="53">
        <v>22</v>
      </c>
      <c r="I23" s="54"/>
    </row>
    <row r="24" spans="2:11" ht="15" x14ac:dyDescent="0.25">
      <c r="B24" s="53">
        <v>23</v>
      </c>
      <c r="E24" s="53">
        <v>23</v>
      </c>
      <c r="H24" s="53">
        <v>23</v>
      </c>
      <c r="I24" s="54"/>
    </row>
    <row r="25" spans="2:11" ht="15" x14ac:dyDescent="0.25">
      <c r="B25" s="53">
        <v>24</v>
      </c>
      <c r="E25" s="53">
        <v>24</v>
      </c>
      <c r="H25" s="53">
        <v>24</v>
      </c>
      <c r="I25" s="54"/>
    </row>
    <row r="26" spans="2:11" ht="15" x14ac:dyDescent="0.25">
      <c r="B26" s="53">
        <v>25</v>
      </c>
      <c r="E26" s="53">
        <v>25</v>
      </c>
      <c r="H26" s="53">
        <v>25</v>
      </c>
      <c r="I26" s="54"/>
    </row>
    <row r="27" spans="2:11" ht="15" x14ac:dyDescent="0.25">
      <c r="B27" s="53">
        <v>26</v>
      </c>
      <c r="E27" s="53">
        <v>26</v>
      </c>
      <c r="H27" s="53">
        <v>26</v>
      </c>
      <c r="I27" s="54"/>
    </row>
    <row r="28" spans="2:11" x14ac:dyDescent="0.2">
      <c r="B28" s="53">
        <v>27</v>
      </c>
      <c r="E28" s="53">
        <v>27</v>
      </c>
      <c r="H28" s="53">
        <v>27</v>
      </c>
    </row>
    <row r="29" spans="2:11" x14ac:dyDescent="0.2">
      <c r="B29" s="53">
        <v>28</v>
      </c>
      <c r="E29" s="53">
        <v>28</v>
      </c>
      <c r="H29" s="53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A0CE2-64FA-4467-9BBD-76603A83C31F}">
  <sheetPr>
    <pageSetUpPr fitToPage="1"/>
  </sheetPr>
  <dimension ref="B1:V58"/>
  <sheetViews>
    <sheetView tabSelected="1" view="pageBreakPreview" topLeftCell="A21" zoomScaleNormal="100" zoomScaleSheetLayoutView="100" workbookViewId="0">
      <selection activeCell="C32" sqref="C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4" t="s">
        <v>176</v>
      </c>
      <c r="C2" s="65"/>
      <c r="D2" s="65"/>
      <c r="E2" s="65"/>
      <c r="F2" s="65"/>
      <c r="G2" s="65"/>
      <c r="H2" s="65"/>
      <c r="I2" s="66"/>
      <c r="J2" s="43">
        <v>61770339</v>
      </c>
      <c r="K2" s="60">
        <v>26190</v>
      </c>
      <c r="L2" s="44">
        <v>519</v>
      </c>
      <c r="M2" s="61">
        <v>2730.62</v>
      </c>
      <c r="N2" s="61">
        <v>3647.27</v>
      </c>
      <c r="O2" s="61">
        <v>4153.07</v>
      </c>
      <c r="P2" s="44" t="s">
        <v>54</v>
      </c>
      <c r="Q2" s="44">
        <v>32.61</v>
      </c>
      <c r="R2" s="44" t="s">
        <v>62</v>
      </c>
    </row>
    <row r="3" spans="2:22" x14ac:dyDescent="0.2">
      <c r="B3" s="6" t="s">
        <v>53</v>
      </c>
      <c r="C3" s="57">
        <v>219</v>
      </c>
      <c r="D3" s="5"/>
      <c r="E3" s="5"/>
      <c r="F3" s="5"/>
      <c r="G3" s="5" t="s">
        <v>52</v>
      </c>
      <c r="H3" s="31">
        <v>46157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61770339</v>
      </c>
      <c r="C21" s="56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9" t="str">
        <f>IF(LEFT(G17,2)="CA","CA",IF(LEFT(G17,2)="UN","US",IF(LEFT(G17,2)="PA","PA",IF(LEFT(G17,2)="JA","JP"))))</f>
        <v>US</v>
      </c>
      <c r="I21" s="55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4153.07</v>
      </c>
      <c r="G23" s="23">
        <f>+N2</f>
        <v>3647.27</v>
      </c>
      <c r="H23" s="23">
        <f>+M2</f>
        <v>2730.62</v>
      </c>
      <c r="I23" s="55">
        <f>+L2</f>
        <v>519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7" t="s">
        <v>23</v>
      </c>
      <c r="C26" s="68"/>
      <c r="D26" s="68"/>
      <c r="E26" s="68"/>
      <c r="F26" s="68"/>
      <c r="G26" s="68"/>
      <c r="H26" s="68"/>
      <c r="I26" s="69"/>
    </row>
    <row r="27" spans="2:13" ht="24.75" customHeight="1" x14ac:dyDescent="0.2">
      <c r="B27" s="70" t="str">
        <f>+K4</f>
        <v>WOMENS COTTON FIBERS, KNIT PULLOVER, WITH NO NECK CLOSURE, STITCH COUNT IS GREATER THAN 9/2CM, REACHES WAIST, SLEEVELESS [95% COTTON 5% ELASTANE]</v>
      </c>
      <c r="C27" s="71"/>
      <c r="D27" s="71"/>
      <c r="E27" s="71"/>
      <c r="F27" s="71"/>
      <c r="G27" s="71"/>
      <c r="H27" s="71"/>
      <c r="I27" s="7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3" t="s">
        <v>19</v>
      </c>
      <c r="E31" s="73"/>
      <c r="F31" s="73" t="s">
        <v>18</v>
      </c>
      <c r="G31" s="73"/>
      <c r="H31" s="55" t="s">
        <v>17</v>
      </c>
      <c r="I31" s="19" t="s">
        <v>16</v>
      </c>
      <c r="M31"/>
    </row>
    <row r="32" spans="2:13" ht="38.25" x14ac:dyDescent="0.2">
      <c r="B32" s="41" t="s">
        <v>182</v>
      </c>
      <c r="C32" s="19" t="s">
        <v>181</v>
      </c>
      <c r="D32" s="62"/>
      <c r="E32" s="63"/>
      <c r="F32" s="62">
        <f>+K2</f>
        <v>26190</v>
      </c>
      <c r="G32" s="63"/>
      <c r="H32" s="17">
        <v>2.5</v>
      </c>
      <c r="I32" s="18">
        <f>+H32*F32</f>
        <v>65475</v>
      </c>
      <c r="K32" s="48"/>
      <c r="M32" s="39"/>
    </row>
    <row r="33" spans="2:11" ht="21" customHeight="1" x14ac:dyDescent="0.2">
      <c r="B33" s="15" t="s">
        <v>15</v>
      </c>
      <c r="C33" s="15"/>
      <c r="D33" s="67"/>
      <c r="E33" s="69"/>
      <c r="F33" s="67"/>
      <c r="G33" s="69"/>
      <c r="H33" s="17"/>
      <c r="I33" s="55"/>
    </row>
    <row r="34" spans="2:11" ht="21.75" customHeight="1" x14ac:dyDescent="0.2">
      <c r="B34" s="15" t="s">
        <v>14</v>
      </c>
      <c r="C34" s="15"/>
      <c r="D34" s="74"/>
      <c r="E34" s="75"/>
      <c r="F34" s="62">
        <f>SUM(F31:G33)</f>
        <v>26190</v>
      </c>
      <c r="G34" s="63"/>
      <c r="H34" s="15"/>
      <c r="I34" s="14">
        <f>SUM(I32:I33)</f>
        <v>65475</v>
      </c>
      <c r="J34" s="40"/>
      <c r="K34" s="40"/>
    </row>
    <row r="35" spans="2:11" ht="21.75" customHeight="1" x14ac:dyDescent="0.2">
      <c r="B35" s="16" t="s">
        <v>13</v>
      </c>
      <c r="C35" s="15"/>
      <c r="D35" s="67"/>
      <c r="E35" s="69"/>
      <c r="F35" s="67"/>
      <c r="G35" s="69"/>
      <c r="H35" s="15"/>
      <c r="I35" s="55"/>
      <c r="J35" s="40"/>
    </row>
    <row r="36" spans="2:11" ht="21.75" customHeight="1" x14ac:dyDescent="0.2">
      <c r="B36" s="16" t="s">
        <v>12</v>
      </c>
      <c r="C36" s="15"/>
      <c r="D36" s="67"/>
      <c r="E36" s="69"/>
      <c r="F36" s="67"/>
      <c r="G36" s="69"/>
      <c r="H36" s="15"/>
      <c r="I36" s="14">
        <f>+I34</f>
        <v>65475</v>
      </c>
    </row>
    <row r="37" spans="2:11" ht="20.25" customHeight="1" x14ac:dyDescent="0.2">
      <c r="B37" s="15" t="s">
        <v>80</v>
      </c>
      <c r="C37" s="67" t="s">
        <v>11</v>
      </c>
      <c r="D37" s="68"/>
      <c r="E37" s="68"/>
      <c r="F37" s="68"/>
      <c r="G37" s="68"/>
      <c r="H37" s="69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65475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177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265K0075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F6A29A8-267D-4164-A78F-CB7D4CD3FD6D}">
          <x14:formula1>
            <xm:f>Sheet1!$L$5:$L$25</xm:f>
          </x14:formula1>
          <xm:sqref>G13</xm:sqref>
        </x14:dataValidation>
        <x14:dataValidation type="list" allowBlank="1" showInputMessage="1" showErrorMessage="1" xr:uid="{7D9065C1-2872-45A6-9EB9-8924293BA6C4}">
          <x14:formula1>
            <xm:f>Sheet1!$B$17:$B$18</xm:f>
          </x14:formula1>
          <xm:sqref>G5</xm:sqref>
        </x14:dataValidation>
        <x14:dataValidation type="list" allowBlank="1" showInputMessage="1" showErrorMessage="1" xr:uid="{75EE3281-D26F-4B04-8566-72D7B106F9CC}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3C220-EB95-4DE0-B6CC-FB509813D006}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4" t="s">
        <v>178</v>
      </c>
      <c r="C2" s="65"/>
      <c r="D2" s="65"/>
      <c r="E2" s="65"/>
      <c r="F2" s="65"/>
      <c r="G2" s="65"/>
      <c r="H2" s="65"/>
      <c r="I2" s="66"/>
      <c r="J2" s="43">
        <v>61770339</v>
      </c>
      <c r="K2" s="60">
        <v>26190</v>
      </c>
      <c r="L2" s="44">
        <v>519</v>
      </c>
      <c r="M2" s="61">
        <v>2730.62</v>
      </c>
      <c r="N2" s="61">
        <v>3647.27</v>
      </c>
      <c r="O2" s="61">
        <v>4153.07</v>
      </c>
      <c r="P2" s="44" t="s">
        <v>54</v>
      </c>
      <c r="Q2" s="44">
        <v>32.61</v>
      </c>
      <c r="R2" s="44" t="s">
        <v>62</v>
      </c>
    </row>
    <row r="3" spans="2:22" x14ac:dyDescent="0.2">
      <c r="B3" s="6" t="s">
        <v>53</v>
      </c>
      <c r="C3" s="57">
        <v>219</v>
      </c>
      <c r="D3" s="5"/>
      <c r="E3" s="5"/>
      <c r="F3" s="5"/>
      <c r="G3" s="5" t="s">
        <v>52</v>
      </c>
      <c r="H3" s="31">
        <v>46157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8">
        <f>J2</f>
        <v>61770339</v>
      </c>
      <c r="C21" s="59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8" t="s">
        <v>35</v>
      </c>
      <c r="G21" s="58"/>
      <c r="H21" s="49" t="str">
        <f>IF(LEFT(G17,2)="CA","CA",IF(LEFT(G17,2)="UN","US",IF(LEFT(G17,2)="PA","PA",IF(LEFT(G17,2)="JA","JP"))))</f>
        <v>US</v>
      </c>
      <c r="I21" s="5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8" t="s">
        <v>25</v>
      </c>
      <c r="C23" s="58"/>
      <c r="D23" s="58" t="s">
        <v>24</v>
      </c>
      <c r="E23" s="58" t="str">
        <f>+D23</f>
        <v>JAKARTA,ID</v>
      </c>
      <c r="F23" s="23">
        <f>+O2</f>
        <v>4153.07</v>
      </c>
      <c r="G23" s="23">
        <f>+N2</f>
        <v>3647.27</v>
      </c>
      <c r="H23" s="23">
        <f>+M2</f>
        <v>2730.62</v>
      </c>
      <c r="I23" s="58">
        <f>+L2</f>
        <v>519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7" t="s">
        <v>23</v>
      </c>
      <c r="C26" s="68"/>
      <c r="D26" s="68"/>
      <c r="E26" s="68"/>
      <c r="F26" s="68"/>
      <c r="G26" s="68"/>
      <c r="H26" s="68"/>
      <c r="I26" s="69"/>
    </row>
    <row r="27" spans="2:13" ht="24.75" customHeight="1" x14ac:dyDescent="0.2">
      <c r="B27" s="70" t="str">
        <f>+K4</f>
        <v>WOMENS COTTON FIBERS, KNIT PULLOVER, WITH NO NECK CLOSURE, STITCH COUNT IS GREATER THAN 9/2CM, REACHES WAIST, SLEEVELESS [95% COTTON 5% ELASTANE]</v>
      </c>
      <c r="C27" s="71"/>
      <c r="D27" s="71"/>
      <c r="E27" s="71"/>
      <c r="F27" s="71"/>
      <c r="G27" s="71"/>
      <c r="H27" s="71"/>
      <c r="I27" s="7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8" t="s">
        <v>21</v>
      </c>
      <c r="C31" s="58" t="s">
        <v>20</v>
      </c>
      <c r="D31" s="73" t="s">
        <v>19</v>
      </c>
      <c r="E31" s="73"/>
      <c r="F31" s="73" t="s">
        <v>18</v>
      </c>
      <c r="G31" s="73"/>
      <c r="H31" s="58" t="s">
        <v>17</v>
      </c>
      <c r="I31" s="19" t="s">
        <v>16</v>
      </c>
      <c r="M31"/>
    </row>
    <row r="32" spans="2:13" ht="38.25" x14ac:dyDescent="0.2">
      <c r="B32" s="41" t="s">
        <v>182</v>
      </c>
      <c r="C32" s="19" t="s">
        <v>181</v>
      </c>
      <c r="D32" s="62"/>
      <c r="E32" s="63"/>
      <c r="F32" s="62">
        <f>+K2</f>
        <v>26190</v>
      </c>
      <c r="G32" s="63"/>
      <c r="H32" s="17">
        <v>0.76</v>
      </c>
      <c r="I32" s="18">
        <f>+H32*F32</f>
        <v>19904.400000000001</v>
      </c>
      <c r="K32" s="48"/>
      <c r="M32" s="39"/>
    </row>
    <row r="33" spans="2:11" ht="21" customHeight="1" x14ac:dyDescent="0.2">
      <c r="B33" s="15" t="s">
        <v>15</v>
      </c>
      <c r="C33" s="15"/>
      <c r="D33" s="67"/>
      <c r="E33" s="69"/>
      <c r="F33" s="67"/>
      <c r="G33" s="69"/>
      <c r="H33" s="17"/>
      <c r="I33" s="58"/>
    </row>
    <row r="34" spans="2:11" ht="21.75" customHeight="1" x14ac:dyDescent="0.2">
      <c r="B34" s="15" t="s">
        <v>14</v>
      </c>
      <c r="C34" s="15"/>
      <c r="D34" s="74"/>
      <c r="E34" s="75"/>
      <c r="F34" s="62">
        <f>SUM(F31:G33)</f>
        <v>26190</v>
      </c>
      <c r="G34" s="63"/>
      <c r="H34" s="15"/>
      <c r="I34" s="14">
        <f>SUM(I32:I33)</f>
        <v>19904.400000000001</v>
      </c>
      <c r="J34" s="40"/>
      <c r="K34" s="40"/>
    </row>
    <row r="35" spans="2:11" ht="21.75" customHeight="1" x14ac:dyDescent="0.2">
      <c r="B35" s="16" t="s">
        <v>13</v>
      </c>
      <c r="C35" s="15"/>
      <c r="D35" s="67"/>
      <c r="E35" s="69"/>
      <c r="F35" s="67"/>
      <c r="G35" s="69"/>
      <c r="H35" s="15"/>
      <c r="I35" s="58"/>
      <c r="J35" s="40"/>
    </row>
    <row r="36" spans="2:11" ht="21.75" customHeight="1" x14ac:dyDescent="0.2">
      <c r="B36" s="16" t="s">
        <v>12</v>
      </c>
      <c r="C36" s="15"/>
      <c r="D36" s="67"/>
      <c r="E36" s="69"/>
      <c r="F36" s="67"/>
      <c r="G36" s="69"/>
      <c r="H36" s="15"/>
      <c r="I36" s="14">
        <f>+I34</f>
        <v>19904.400000000001</v>
      </c>
    </row>
    <row r="37" spans="2:11" ht="20.25" customHeight="1" x14ac:dyDescent="0.2">
      <c r="B37" s="15" t="s">
        <v>80</v>
      </c>
      <c r="C37" s="67" t="s">
        <v>11</v>
      </c>
      <c r="D37" s="68"/>
      <c r="E37" s="68"/>
      <c r="F37" s="68"/>
      <c r="G37" s="68"/>
      <c r="H37" s="69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19904.400000000001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177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265K0075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17E1719-2C67-497C-9C96-E8A4FBC29C61}">
          <x14:formula1>
            <xm:f>Sheet1!$K$5:$K$12</xm:f>
          </x14:formula1>
          <xm:sqref>B14</xm:sqref>
        </x14:dataValidation>
        <x14:dataValidation type="list" allowBlank="1" showInputMessage="1" showErrorMessage="1" xr:uid="{1FF504E0-8568-4EB0-AC09-AF5939CF65B3}">
          <x14:formula1>
            <xm:f>Sheet1!$B$17:$B$18</xm:f>
          </x14:formula1>
          <xm:sqref>G5</xm:sqref>
        </x14:dataValidation>
        <x14:dataValidation type="list" allowBlank="1" showInputMessage="1" showErrorMessage="1" xr:uid="{D795F8BB-82F9-41D7-9BD1-093C65C7856E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reff</vt:lpstr>
      <vt:lpstr>219. FOB</vt:lpstr>
      <vt:lpstr>219. CMT</vt:lpstr>
      <vt:lpstr>'219. CMT'!Print_Area</vt:lpstr>
      <vt:lpstr>'219. FOB'!Print_Area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2026-05-15T01:37:17Z</cp:lastPrinted>
  <dcterms:created xsi:type="dcterms:W3CDTF">2024-04-17T09:56:05Z</dcterms:created>
  <dcterms:modified xsi:type="dcterms:W3CDTF">2026-05-15T02:34:17Z</dcterms:modified>
</cp:coreProperties>
</file>