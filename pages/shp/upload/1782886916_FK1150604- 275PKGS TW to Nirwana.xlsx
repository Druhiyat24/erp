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2AAB4D0-EDBB-4B74-AD13-20136C339D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OICE" sheetId="4" r:id="rId1"/>
    <sheet name="PACKING" sheetId="5" r:id="rId2"/>
    <sheet name="fabric packing details" sheetId="6" r:id="rId3"/>
    <sheet name="074419 &amp; 074545" sheetId="7" r:id="rId4"/>
  </sheets>
  <definedNames>
    <definedName name="_xlnm._FilterDatabase" localSheetId="3" hidden="1">'074419 &amp; 074545'!$A$2:$L$2</definedName>
    <definedName name="_xlnm._FilterDatabase" localSheetId="2" hidden="1">'fabric packing details'!$A$2:$M$2</definedName>
    <definedName name="_xlnm.Print_Area" localSheetId="3">'074419 &amp; 074545'!$A$1:$L$81</definedName>
    <definedName name="_xlnm.Print_Area" localSheetId="1">PACKING!$A$1:$T$387</definedName>
    <definedName name="_xlnm.Print_Titles" localSheetId="3">'074419 &amp; 074545'!$2:$2</definedName>
    <definedName name="_xlnm.Print_Titles" localSheetId="0">INVOICE!$14:$14</definedName>
    <definedName name="_xlnm.Print_Titles" localSheetId="1">PACKING!$16:$16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47" i="5" l="1"/>
  <c r="J346" i="5"/>
  <c r="P346" i="5"/>
  <c r="M346" i="5"/>
  <c r="A347" i="5"/>
  <c r="K81" i="7"/>
  <c r="I81" i="7"/>
  <c r="G81" i="7"/>
  <c r="M19" i="6"/>
  <c r="L19" i="6"/>
  <c r="K19" i="6"/>
  <c r="P240" i="4"/>
  <c r="K242" i="4"/>
  <c r="K241" i="4"/>
  <c r="P93" i="4"/>
  <c r="P91" i="4"/>
  <c r="P8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Huang(黃茹翊)</author>
  </authors>
  <commentList>
    <comment ref="A2" authorId="0" shapeId="0" xr:uid="{D15F66AD-359C-4E79-9D60-A77F1A8E8FC6}">
      <text>
        <r>
          <rPr>
            <b/>
            <sz val="9"/>
            <color indexed="81"/>
            <rFont val="Tahoma"/>
            <family val="2"/>
          </rPr>
          <t>銷售文件</t>
        </r>
      </text>
    </comment>
    <comment ref="B2" authorId="0" shapeId="0" xr:uid="{678C4512-75E4-4107-B513-BFB44FA97BC4}">
      <text>
        <r>
          <rPr>
            <b/>
            <sz val="9"/>
            <color indexed="81"/>
            <rFont val="Tahoma"/>
            <family val="2"/>
          </rPr>
          <t>內部單號</t>
        </r>
      </text>
    </comment>
    <comment ref="C2" authorId="0" shapeId="0" xr:uid="{ADC7DAC1-E61B-4136-B74D-D1B9D3146CD7}">
      <text>
        <r>
          <rPr>
            <b/>
            <sz val="9"/>
            <color indexed="81"/>
            <rFont val="Tahoma"/>
            <family val="2"/>
          </rPr>
          <t>客戶物料號碼</t>
        </r>
      </text>
    </comment>
    <comment ref="D2" authorId="0" shapeId="0" xr:uid="{79DB8910-5C95-40D5-8A90-878B6149B685}">
      <text>
        <r>
          <rPr>
            <b/>
            <sz val="9"/>
            <color indexed="81"/>
            <rFont val="Tahoma"/>
            <family val="2"/>
          </rPr>
          <t>英文名稱</t>
        </r>
      </text>
    </comment>
    <comment ref="E2" authorId="0" shapeId="0" xr:uid="{6A995567-71C2-43B6-BF51-2C48B11B368A}">
      <text>
        <r>
          <rPr>
            <b/>
            <sz val="9"/>
            <color indexed="81"/>
            <rFont val="Tahoma"/>
            <family val="2"/>
          </rPr>
          <t>color way</t>
        </r>
      </text>
    </comment>
    <comment ref="F2" authorId="0" shapeId="0" xr:uid="{D8999919-A21A-4E1F-A31D-E87375EBCAD6}">
      <text>
        <r>
          <rPr>
            <b/>
            <sz val="9"/>
            <color indexed="81"/>
            <rFont val="Tahoma"/>
            <family val="2"/>
          </rPr>
          <t xml:space="preserve">尺寸長 </t>
        </r>
      </text>
    </comment>
    <comment ref="G2" authorId="0" shapeId="0" xr:uid="{ACC95870-3151-443B-99AB-F57A1ABF251B}">
      <text>
        <r>
          <rPr>
            <b/>
            <sz val="9"/>
            <color indexed="81"/>
            <rFont val="Tahoma"/>
            <family val="2"/>
          </rPr>
          <t xml:space="preserve">訂單量 </t>
        </r>
      </text>
    </comment>
  </commentList>
</comments>
</file>

<file path=xl/sharedStrings.xml><?xml version="1.0" encoding="utf-8"?>
<sst xmlns="http://schemas.openxmlformats.org/spreadsheetml/2006/main" count="2124" uniqueCount="599">
  <si>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</si>
  <si>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</si>
  <si>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</si>
  <si>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</si>
  <si>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</si>
  <si>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</si>
  <si>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</si>
  <si>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</si>
  <si>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</si>
  <si>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</si>
  <si>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For account and risk of Messrs.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</si>
  <si>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</si>
  <si>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</si>
  <si>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</si>
  <si>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</si>
  <si>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FU KWOK KNITTING &amp; GARMENT CO., LTD.</t>
  </si>
  <si>
    <t>No. 110, Nanzih Dist., Kaohsiung City 811, Taiwan (R.O.C.)</t>
  </si>
  <si>
    <t>VH1150604</t>
  </si>
  <si>
    <t>JUN.04,2026</t>
  </si>
  <si>
    <t>PT. NIRWANA ALABARE GARMENT</t>
  </si>
  <si>
    <t>JL. RAYA RANCAEKEK - MAJALAYA NO.289, DESA SOLOKAN JERUK, KEC.SOLOKAN JERUK, _x000D_
KABUPATEN BANDUNG, JAWA BARAT 40382 INDONESIA 6222-85962076 ATTN: CINHUI/NINA_x000D_
 NPWP CODE: 0745 4069 2644 4000</t>
    <phoneticPr fontId="3" type="noConversion"/>
  </si>
  <si>
    <t>WAN HAI 376 V.S030</t>
  </si>
  <si>
    <t>TAIPEI, TAIWAN</t>
  </si>
  <si>
    <t>JAKARTA</t>
  </si>
  <si>
    <t>ACCESSORIES OF GARMENT</t>
  </si>
  <si>
    <t>======================</t>
  </si>
  <si>
    <t>F26-0422BUY XY1044 6K060S88</t>
  </si>
  <si>
    <t>COIL ZIPPER-POLYESTER BRAND:YKK</t>
  </si>
  <si>
    <t>-------------------------------</t>
  </si>
  <si>
    <t xml:space="preserve">OR01519246 #3954307 CIFOL-56 </t>
  </si>
  <si>
    <t xml:space="preserve"> PCS</t>
  </si>
  <si>
    <t>USD</t>
  </si>
  <si>
    <t>:共432PCS</t>
  </si>
  <si>
    <t xml:space="preserve"> </t>
  </si>
  <si>
    <t xml:space="preserve">OR01519506 #3954307 CIFOL-56 </t>
  </si>
  <si>
    <t>:共3273PCS</t>
  </si>
  <si>
    <t xml:space="preserve">OR01519566 #3954307 CIFOL-56 </t>
  </si>
  <si>
    <t>:共4280PCS</t>
  </si>
  <si>
    <t xml:space="preserve">OR01519846 #3954307 CIFOL-56 </t>
  </si>
  <si>
    <t>:共1899PCS</t>
  </si>
  <si>
    <t xml:space="preserve">OR01520056 #3954307 CIFOL-56 </t>
  </si>
  <si>
    <t>:共368PCS</t>
  </si>
  <si>
    <t xml:space="preserve">OR01520136 #3954307 CIFOL-56 </t>
  </si>
  <si>
    <t>:共404PCS</t>
  </si>
  <si>
    <t xml:space="preserve">OR01520166 #3954307 CIFOL-56 </t>
  </si>
  <si>
    <t>:共340PCS</t>
  </si>
  <si>
    <t xml:space="preserve">OR01520176 #6618205 CIFC-51  </t>
  </si>
  <si>
    <t>:共862PCS</t>
  </si>
  <si>
    <t xml:space="preserve">OR01520286 #6618205 CIFC-51  </t>
  </si>
  <si>
    <t>:共6538PCS</t>
  </si>
  <si>
    <t xml:space="preserve">OR01520296 #6618205 CIFC-51  </t>
  </si>
  <si>
    <t>:共8559PCS</t>
  </si>
  <si>
    <t xml:space="preserve">OR01520306 #6618205 CIFC-51  </t>
  </si>
  <si>
    <t>:共3796PCS</t>
  </si>
  <si>
    <t xml:space="preserve">OR01520326 #6618205 CIFC-51  </t>
  </si>
  <si>
    <t>:共730PCS</t>
  </si>
  <si>
    <t xml:space="preserve">OR01520336 #6618205 CIFC-51  </t>
  </si>
  <si>
    <t>:共805PCS</t>
  </si>
  <si>
    <t xml:space="preserve">OR01520346 #6618205 CIFC-51  </t>
  </si>
  <si>
    <t>:共678PCS</t>
  </si>
  <si>
    <t xml:space="preserve">OR01556966 #3954307 CIFOL-56 </t>
  </si>
  <si>
    <t>:共160PCS</t>
  </si>
  <si>
    <t xml:space="preserve">OR015560446 #6618205 CIFC-51  </t>
  </si>
  <si>
    <t>:共105PCS</t>
  </si>
  <si>
    <t>F26-0422BUY XY1044-RE 6K060S88</t>
  </si>
  <si>
    <t>OR01617506 #3954307 CIFOL-56 :共8PCS</t>
  </si>
  <si>
    <t>ACCESSORIES</t>
  </si>
  <si>
    <t>INVOICE: AST-06-026-26</t>
  </si>
  <si>
    <t>COLUMBIA</t>
  </si>
  <si>
    <t>(FA26 0422BULK/SP27 0527BULK-PREORDER)</t>
  </si>
  <si>
    <t>HEAT TRANSFER LOGO</t>
  </si>
  <si>
    <t>SEASON:FA26/SP27</t>
  </si>
  <si>
    <t>#036635 HEAT TRANSFER LOGO</t>
  </si>
  <si>
    <t>#053348 HEAT TRANSFER LOGO</t>
  </si>
  <si>
    <t>KNITTED FABRIC 100% POLYESTER</t>
  </si>
  <si>
    <t>HS CODE: 600632</t>
  </si>
  <si>
    <t xml:space="preserve">#074418 + knit + Piece Dye + </t>
  </si>
  <si>
    <t>Synthetic fiber + 100% Polyester</t>
  </si>
  <si>
    <t>+ 60 IN * 180 g/m2</t>
  </si>
  <si>
    <t>ORDER NO.: 26K4068600 (26CF74418B4)</t>
  </si>
  <si>
    <t>---------------------</t>
  </si>
  <si>
    <t>FEPO: 6K060S24</t>
  </si>
  <si>
    <t>STYLE: XM6930</t>
  </si>
  <si>
    <t>PO#FK-NIRWANA-CSF26-0422BUY</t>
  </si>
  <si>
    <t>COLOR NOC1 NOCTURNAL</t>
  </si>
  <si>
    <t xml:space="preserve"> YDS</t>
  </si>
  <si>
    <t>COLOR VIBL7 VINTAGE BLUE</t>
  </si>
  <si>
    <t xml:space="preserve">#082354 + knit + Piece Dye + </t>
  </si>
  <si>
    <t xml:space="preserve">Artificial fiber + 100% Polyester </t>
  </si>
  <si>
    <t>ORDER NO.: 26K4069100 (26CF82354A8)</t>
  </si>
  <si>
    <t>----------------------</t>
  </si>
  <si>
    <t>FEPO: 6K060B21,B23,B24</t>
  </si>
  <si>
    <t>STYLE: AM,AS,AT0126</t>
  </si>
  <si>
    <t>COLOR WHA2/CONA1</t>
  </si>
  <si>
    <t xml:space="preserve">      WHALE/COLUMBIA NAVY</t>
  </si>
  <si>
    <t>FLAT KNIT 100% POLYESTER</t>
  </si>
  <si>
    <t>HS CODE: 621710</t>
  </si>
  <si>
    <t xml:space="preserve">#074419-PD + knit + Piece Dye + </t>
  </si>
  <si>
    <t>Flat Knit + 100%POLYESTER 627G/m2</t>
  </si>
  <si>
    <t>ORDER NO.: 26K4068800 (26CF74419B7)</t>
  </si>
  <si>
    <t>COLOR BLA1 BLACK</t>
  </si>
  <si>
    <t>COLOR CONA2 COLLEGIATE NAVY</t>
  </si>
  <si>
    <t>COLOR WHI1 WHITE</t>
  </si>
  <si>
    <t>ORDER NO.: 26K4068900 (26CF74419B8)</t>
  </si>
  <si>
    <t xml:space="preserve">#074545-PD + knit + Piece Dye + </t>
  </si>
  <si>
    <t>Flat Knit + 100% Polyester 670 g/m2</t>
  </si>
  <si>
    <t>ORDER NO.: 26K4069000 (26CF74545A7)</t>
  </si>
  <si>
    <t>vvv</t>
  </si>
  <si>
    <t>vvvvvvvvv</t>
  </si>
  <si>
    <t>vvvvvvv</t>
  </si>
  <si>
    <t>vvvv</t>
  </si>
  <si>
    <t>MARKS &amp; NOS.:</t>
  </si>
  <si>
    <t>FK/NIRWANA</t>
  </si>
  <si>
    <t>CUS ORDER NO.:</t>
  </si>
  <si>
    <t>C/NO.:</t>
  </si>
  <si>
    <t>MADE IN TAIWAN</t>
  </si>
  <si>
    <t xml:space="preserve">COLUMBIA </t>
  </si>
  <si>
    <t>BUY</t>
  </si>
  <si>
    <t xml:space="preserve">PO# </t>
  </si>
  <si>
    <t>C/NO.</t>
  </si>
  <si>
    <t>N.W.:          KGS</t>
  </si>
  <si>
    <t>G.W.:          KGS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</si>
  <si>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</si>
  <si>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</si>
  <si>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</si>
  <si>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</si>
  <si>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</si>
  <si>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</si>
  <si>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</si>
  <si>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Shipped by</t>
    <phoneticPr fontId="8" type="noConversion"/>
  </si>
  <si>
    <t>For account and risk of Messrs.</t>
    <phoneticPr fontId="9" type="noConversion"/>
  </si>
  <si>
    <t>MARKS &amp; NOS:</t>
    <phoneticPr fontId="9" type="noConversion"/>
  </si>
  <si>
    <t xml:space="preserve">PACKING LIST of </t>
    <phoneticPr fontId="8" type="noConversion"/>
  </si>
  <si>
    <t>No.</t>
    <phoneticPr fontId="8" type="noConversion"/>
  </si>
  <si>
    <t>PACKING LIST</t>
    <phoneticPr fontId="8" type="noConversion"/>
  </si>
  <si>
    <t>Dated:JUN.04,2026</t>
    <phoneticPr fontId="3" type="noConversion"/>
  </si>
  <si>
    <t>JL. RAYA RANCAEKEK - MAJALAYA NO.289, DESA SOLOKAN JERUK, KEC.SOLOKAN JERUK, _x000D_
KABUPATEN BANDUNG, JAWA BARAT 40382 INDONESIA 6222-85962076 ATTN: CINHUI/NINA_x000D_
 NPWP CODE: 0745 4069 2644 4000</t>
    <phoneticPr fontId="3" type="noConversion"/>
  </si>
  <si>
    <t>1</t>
  </si>
  <si>
    <t xml:space="preserve"> KGS</t>
  </si>
  <si>
    <t>1-6</t>
  </si>
  <si>
    <t>1-8</t>
  </si>
  <si>
    <t>1-4</t>
  </si>
  <si>
    <t>1-5</t>
  </si>
  <si>
    <t>1-3</t>
  </si>
  <si>
    <t>A060-A073</t>
  </si>
  <si>
    <t>B040</t>
  </si>
  <si>
    <t>A0006</t>
  </si>
  <si>
    <t>F48-F58</t>
  </si>
  <si>
    <t>F59-F69</t>
  </si>
  <si>
    <t>F70-F78</t>
  </si>
  <si>
    <t>F24-F32</t>
  </si>
  <si>
    <t>F33-F38</t>
  </si>
  <si>
    <t>F39-F47</t>
  </si>
  <si>
    <t>F01-F09</t>
  </si>
  <si>
    <t>F10-F15</t>
  </si>
  <si>
    <t>F16-F23</t>
  </si>
  <si>
    <t>---------------------------------------------------------------------------------------------</t>
  </si>
  <si>
    <t xml:space="preserve"> CTNS</t>
  </si>
  <si>
    <t xml:space="preserve"> ROLLS</t>
  </si>
  <si>
    <t>vvvvvvvv</t>
  </si>
  <si>
    <t xml:space="preserve"> BALES</t>
  </si>
  <si>
    <t>vvvvvv</t>
  </si>
  <si>
    <t xml:space="preserve"> P'KGS)</t>
  </si>
  <si>
    <t>BALES ONLY.</t>
  </si>
  <si>
    <t/>
  </si>
  <si>
    <t xml:space="preserve">  NIRWANA</t>
  </si>
  <si>
    <t xml:space="preserve"> (IN DIA.)</t>
  </si>
  <si>
    <t>INDONESIA</t>
  </si>
  <si>
    <t xml:space="preserve">ORDER#  </t>
  </si>
  <si>
    <t xml:space="preserve">ITEM#  </t>
  </si>
  <si>
    <t>COLOR:</t>
  </si>
  <si>
    <t>LOT.:</t>
  </si>
  <si>
    <t>R/NO.:</t>
  </si>
  <si>
    <t>QTY:</t>
  </si>
  <si>
    <t>CIF INDONESIA</t>
    <phoneticPr fontId="3" type="noConversion"/>
  </si>
  <si>
    <t>FK/Nirwana</t>
    <phoneticPr fontId="8" type="noConversion"/>
  </si>
  <si>
    <t xml:space="preserve">BEYOND H26 BULK </t>
    <phoneticPr fontId="8" type="noConversion"/>
  </si>
  <si>
    <t>(IN DIA)</t>
  </si>
  <si>
    <t>CONSTRUCTION:</t>
  </si>
  <si>
    <t>PO.</t>
  </si>
  <si>
    <t>POLYESTER 86%</t>
  </si>
  <si>
    <t>STYLE.</t>
  </si>
  <si>
    <t>ELASTANE 14% 116＊103 55"/56"</t>
  </si>
  <si>
    <t>ITEM.</t>
  </si>
  <si>
    <t>P75D+ELASTANE 40D＊</t>
  </si>
  <si>
    <t>CONTENT.</t>
  </si>
  <si>
    <t>P75D+ELASTANE 40D</t>
  </si>
  <si>
    <t>R/NO.</t>
  </si>
  <si>
    <t>CONTENT:</t>
  </si>
  <si>
    <t>1-42,A1-A23,</t>
  </si>
  <si>
    <t>B1-B8,C1-C25,</t>
  </si>
  <si>
    <t>ELASTANE  14%</t>
  </si>
  <si>
    <t>D1-D11,E1-E20</t>
  </si>
  <si>
    <t>WEIGHT: 124GM/M2</t>
  </si>
  <si>
    <t>FINISH: WICKING</t>
  </si>
  <si>
    <t>PI#3311-2603300008</t>
  </si>
  <si>
    <t>PO#6KBDYB11/6KBDYF12</t>
  </si>
  <si>
    <t>STYLE#NN5174D/NN1263S</t>
    <phoneticPr fontId="8" type="noConversion"/>
  </si>
  <si>
    <t>XSS-P0217-796</t>
  </si>
  <si>
    <t>YRD</t>
  </si>
  <si>
    <t>XSS-P0217-504 Col. TRUE</t>
  </si>
  <si>
    <t>BLACK 19-3911 TCX</t>
  </si>
  <si>
    <t>PO#6WBDYF11/F12/F14/F15</t>
    <phoneticPr fontId="8" type="noConversion"/>
  </si>
  <si>
    <t>STYLE#NN1263/NN1263S/NN5155/NN7951</t>
    <phoneticPr fontId="8" type="noConversion"/>
  </si>
  <si>
    <t>XSS-P0217-1318</t>
  </si>
  <si>
    <t>XSS-P0217-504 Col. Blue</t>
  </si>
  <si>
    <t>Tundra</t>
  </si>
  <si>
    <t>PO#6KBDYB11/B12</t>
    <phoneticPr fontId="8" type="noConversion"/>
  </si>
  <si>
    <t>STYLE#NN5174D/NN5175D</t>
    <phoneticPr fontId="8" type="noConversion"/>
  </si>
  <si>
    <t>XSS-P0217-1319</t>
  </si>
  <si>
    <t>XSS-P0217-504 Col. Cedar</t>
  </si>
  <si>
    <t>Olive</t>
  </si>
  <si>
    <t>XSS-P0217-834</t>
  </si>
  <si>
    <t>XSS-P0217 GRAPHITE 19-0201</t>
  </si>
  <si>
    <t>TCX</t>
  </si>
  <si>
    <t>PO#6WBDYF14/F15</t>
    <phoneticPr fontId="8" type="noConversion"/>
  </si>
  <si>
    <t>STYLE#NN5155/NN7951</t>
    <phoneticPr fontId="8" type="noConversion"/>
  </si>
  <si>
    <t>XSS-P0217-1320</t>
  </si>
  <si>
    <t>XSS-P0217-504 Col. Mountain</t>
  </si>
  <si>
    <t>Green</t>
  </si>
  <si>
    <t>PO#6KBDYB11/B12/6WBDYF12</t>
    <phoneticPr fontId="8" type="noConversion"/>
  </si>
  <si>
    <t>STYLE#NN5174D/NN5175D/NN1263S</t>
    <phoneticPr fontId="8" type="noConversion"/>
  </si>
  <si>
    <t>XSS-P0217-962</t>
  </si>
  <si>
    <t>XSS-P0217 NOCTURNAL NAVY</t>
  </si>
  <si>
    <t>19-4010TCX</t>
  </si>
  <si>
    <t>XSS-P0217-1321</t>
  </si>
  <si>
    <t>XSS-P0217 Col. WHITE (W/R)</t>
  </si>
  <si>
    <t>BEYOND YOGA H26 BULK</t>
    <phoneticPr fontId="8" type="noConversion"/>
  </si>
  <si>
    <t>KNIT FABRIC(HS Code# 6004.10)</t>
    <phoneticPr fontId="8" type="noConversion"/>
  </si>
  <si>
    <t>POLYESTER 78%</t>
  </si>
  <si>
    <t>ELASTANE 22% P/D WEFT KNIT</t>
  </si>
  <si>
    <t>NOT PRINTED NO IMPREGNATED,</t>
  </si>
  <si>
    <t>COATED WITH ANY</t>
  </si>
  <si>
    <t>MATERIAL,WIDTH: 60"/62"</t>
  </si>
  <si>
    <t>ELASTANE 22%</t>
  </si>
  <si>
    <t>WEIGHT: 257GM/M2</t>
  </si>
  <si>
    <t>PI#3311-2603310009</t>
  </si>
  <si>
    <t>PO#6KBDYB11</t>
    <phoneticPr fontId="8" type="noConversion"/>
  </si>
  <si>
    <t>STYLE#NN5174D</t>
    <phoneticPr fontId="8" type="noConversion"/>
  </si>
  <si>
    <t>MP-P0851-8</t>
  </si>
  <si>
    <t>MP-P0851 Col. Black</t>
  </si>
  <si>
    <t>PO#6WBDYF14</t>
    <phoneticPr fontId="8" type="noConversion"/>
  </si>
  <si>
    <t>STYLE#NN5155</t>
    <phoneticPr fontId="8" type="noConversion"/>
  </si>
  <si>
    <t>MP-P0798-109</t>
  </si>
  <si>
    <t>MP-P0851 Col. Blue Tundra</t>
  </si>
  <si>
    <t>MP-P0798-110</t>
  </si>
  <si>
    <t>MP-P0851 Col. Cedar Olive</t>
  </si>
  <si>
    <t>MP-P0798-92</t>
  </si>
  <si>
    <t>MP-P0851 Col. Graphite</t>
  </si>
  <si>
    <t>MP-P0798-111</t>
  </si>
  <si>
    <t>MP-P0851 Col. Mountain Green</t>
  </si>
  <si>
    <t>MP-P0851-9</t>
  </si>
  <si>
    <t>MP-P0851 Col. Nocturnal Navy</t>
  </si>
  <si>
    <t>INTERLINING-W:39" @30g/m2</t>
    <phoneticPr fontId="8" type="noConversion"/>
  </si>
  <si>
    <t>WOVEN TAPE</t>
    <phoneticPr fontId="8" type="noConversion"/>
  </si>
  <si>
    <t>PATTERN WEBBING TAPE</t>
    <phoneticPr fontId="8" type="noConversion"/>
  </si>
  <si>
    <t>F26-0422BUY/6K060S88/XY1044</t>
    <phoneticPr fontId="8" type="noConversion"/>
  </si>
  <si>
    <t>#WHITE:700M</t>
  </si>
  <si>
    <t>80%POLYESTER 20% VISCOSE PAYON AO201</t>
    <phoneticPr fontId="8" type="noConversion"/>
  </si>
  <si>
    <t>M</t>
    <phoneticPr fontId="3" type="noConversion"/>
  </si>
  <si>
    <t>F26-0422BUY/6K060B21.23.24S.24/AM0126/AS0126/AT0126/XM6930</t>
    <phoneticPr fontId="8" type="noConversion"/>
  </si>
  <si>
    <t>YDS</t>
    <phoneticPr fontId="3" type="noConversion"/>
  </si>
  <si>
    <t>#036729 10MM Compass Blue stripe stretch Woven tape</t>
    <phoneticPr fontId="8" type="noConversion"/>
  </si>
  <si>
    <t>#033416 3/8" PATTERN WEBBING TAPE</t>
    <phoneticPr fontId="8" type="noConversion"/>
  </si>
  <si>
    <t>PCS</t>
    <phoneticPr fontId="3" type="noConversion"/>
  </si>
  <si>
    <r>
      <rPr>
        <b/>
        <sz val="12"/>
        <rFont val="細明體"/>
        <family val="3"/>
        <charset val="136"/>
      </rPr>
      <t>發貨單號</t>
    </r>
    <phoneticPr fontId="32" type="noConversion"/>
  </si>
  <si>
    <t>PI NUMBER</t>
    <phoneticPr fontId="32" type="noConversion"/>
  </si>
  <si>
    <r>
      <rPr>
        <b/>
        <sz val="12"/>
        <rFont val="細明體"/>
        <family val="3"/>
        <charset val="136"/>
      </rPr>
      <t>出庫訂單號</t>
    </r>
    <phoneticPr fontId="32" type="noConversion"/>
  </si>
  <si>
    <t>PO NUMBER</t>
    <phoneticPr fontId="9" type="noConversion"/>
  </si>
  <si>
    <t>ITEM</t>
  </si>
  <si>
    <r>
      <rPr>
        <b/>
        <sz val="12"/>
        <rFont val="細明體"/>
        <family val="3"/>
        <charset val="136"/>
      </rPr>
      <t>颜色</t>
    </r>
  </si>
  <si>
    <t>COLOR NAME</t>
    <phoneticPr fontId="32" type="noConversion"/>
  </si>
  <si>
    <t>LOT NUMBER</t>
    <phoneticPr fontId="9" type="noConversion"/>
  </si>
  <si>
    <t>Roll number</t>
    <phoneticPr fontId="9" type="noConversion"/>
  </si>
  <si>
    <r>
      <rPr>
        <b/>
        <sz val="12"/>
        <rFont val="細明體"/>
        <family val="3"/>
        <charset val="136"/>
      </rPr>
      <t>疋号</t>
    </r>
  </si>
  <si>
    <t>QTY(Y)</t>
    <phoneticPr fontId="32" type="noConversion"/>
  </si>
  <si>
    <t>Net Weight (kg)</t>
    <phoneticPr fontId="9" type="noConversion"/>
  </si>
  <si>
    <t>Gross Weight (kg)</t>
    <phoneticPr fontId="9" type="noConversion"/>
  </si>
  <si>
    <t>D26K563500</t>
  </si>
  <si>
    <t>26K4068600A1</t>
  </si>
  <si>
    <t>26CF74418B4</t>
  </si>
  <si>
    <t>FK-NIRWANA-CSF26-0422BUY</t>
  </si>
  <si>
    <t>074418</t>
    <phoneticPr fontId="9" type="noConversion"/>
  </si>
  <si>
    <r>
      <rPr>
        <sz val="12"/>
        <color indexed="8"/>
        <rFont val="細明體"/>
        <family val="3"/>
        <charset val="136"/>
      </rPr>
      <t>深夜藍</t>
    </r>
  </si>
  <si>
    <t>Nocturnal</t>
  </si>
  <si>
    <t>RNO-9</t>
  </si>
  <si>
    <t>A0060</t>
  </si>
  <si>
    <t>060</t>
  </si>
  <si>
    <t>A0061</t>
  </si>
  <si>
    <t>061</t>
  </si>
  <si>
    <t>A0062</t>
  </si>
  <si>
    <t>062</t>
  </si>
  <si>
    <t>A0063</t>
  </si>
  <si>
    <t>063</t>
  </si>
  <si>
    <t>A0064</t>
  </si>
  <si>
    <t>064</t>
  </si>
  <si>
    <t>A0065</t>
  </si>
  <si>
    <t>065</t>
  </si>
  <si>
    <t>A0066</t>
  </si>
  <si>
    <t>066</t>
  </si>
  <si>
    <t>A0067</t>
  </si>
  <si>
    <t>067</t>
  </si>
  <si>
    <t>A0068</t>
  </si>
  <si>
    <t>068</t>
  </si>
  <si>
    <t>A0069</t>
  </si>
  <si>
    <t>069</t>
  </si>
  <si>
    <t>A0070</t>
  </si>
  <si>
    <t>070</t>
  </si>
  <si>
    <t>A0071</t>
  </si>
  <si>
    <t>071</t>
  </si>
  <si>
    <t>A0072</t>
  </si>
  <si>
    <t>072</t>
  </si>
  <si>
    <t>A0073</t>
  </si>
  <si>
    <t>073</t>
  </si>
  <si>
    <r>
      <rPr>
        <sz val="12"/>
        <color indexed="8"/>
        <rFont val="細明體"/>
        <family val="3"/>
        <charset val="136"/>
      </rPr>
      <t>懷舊藍</t>
    </r>
  </si>
  <si>
    <t>Vintage Blue</t>
  </si>
  <si>
    <t>FL-15</t>
  </si>
  <si>
    <t>B0040</t>
  </si>
  <si>
    <t>040</t>
  </si>
  <si>
    <t>D26K529100</t>
  </si>
  <si>
    <t>26K3084300A1</t>
  </si>
  <si>
    <t>26CF82354A8</t>
  </si>
  <si>
    <t>082354</t>
    <phoneticPr fontId="9" type="noConversion"/>
  </si>
  <si>
    <r>
      <rPr>
        <sz val="12"/>
        <color indexed="8"/>
        <rFont val="細明體"/>
        <family val="3"/>
        <charset val="136"/>
      </rPr>
      <t>鯨藍</t>
    </r>
    <r>
      <rPr>
        <sz val="12"/>
        <color indexed="8"/>
        <rFont val="Calibri"/>
        <family val="2"/>
      </rPr>
      <t>/</t>
    </r>
    <r>
      <rPr>
        <sz val="12"/>
        <color indexed="8"/>
        <rFont val="細明體"/>
        <family val="3"/>
        <charset val="136"/>
      </rPr>
      <t>哥藍</t>
    </r>
  </si>
  <si>
    <t>Whale/Columbia Navy</t>
  </si>
  <si>
    <t>2RF2-24</t>
    <phoneticPr fontId="9" type="noConversion"/>
  </si>
  <si>
    <t>006</t>
  </si>
  <si>
    <t xml:space="preserve">16 Rolls </t>
    <phoneticPr fontId="9" type="noConversion"/>
  </si>
  <si>
    <t>FK-NIRWANA-CSF26-0422BUY</t>
    <phoneticPr fontId="8" type="noConversion"/>
  </si>
  <si>
    <r>
      <rPr>
        <sz val="10"/>
        <color indexed="8"/>
        <rFont val="微軟正黑體"/>
        <family val="2"/>
        <charset val="136"/>
      </rPr>
      <t>銷售文件</t>
    </r>
    <phoneticPr fontId="8" type="noConversion"/>
  </si>
  <si>
    <r>
      <t xml:space="preserve"> </t>
    </r>
    <r>
      <rPr>
        <sz val="10"/>
        <color indexed="8"/>
        <rFont val="微軟正黑體"/>
        <family val="2"/>
        <charset val="136"/>
      </rPr>
      <t>內部單號</t>
    </r>
    <phoneticPr fontId="8" type="noConversion"/>
  </si>
  <si>
    <r>
      <rPr>
        <sz val="10"/>
        <color indexed="8"/>
        <rFont val="微軟正黑體"/>
        <family val="2"/>
        <charset val="136"/>
      </rPr>
      <t>客戶物料號碼</t>
    </r>
    <phoneticPr fontId="8" type="noConversion"/>
  </si>
  <si>
    <r>
      <t>COLOR NAME</t>
    </r>
    <r>
      <rPr>
        <sz val="10"/>
        <color indexed="9"/>
        <rFont val="Calibri"/>
        <family val="2"/>
      </rPr>
      <t>(</t>
    </r>
    <r>
      <rPr>
        <sz val="10"/>
        <color indexed="9"/>
        <rFont val="微軟正黑體"/>
        <family val="2"/>
        <charset val="136"/>
      </rPr>
      <t>英</t>
    </r>
    <r>
      <rPr>
        <sz val="10"/>
        <color indexed="9"/>
        <rFont val="Calibri"/>
        <family val="2"/>
      </rPr>
      <t>)</t>
    </r>
    <phoneticPr fontId="8" type="noConversion"/>
  </si>
  <si>
    <t>COLORWAY</t>
    <phoneticPr fontId="8" type="noConversion"/>
  </si>
  <si>
    <r>
      <rPr>
        <sz val="10"/>
        <color indexed="8"/>
        <rFont val="微軟正黑體"/>
        <family val="2"/>
        <charset val="136"/>
      </rPr>
      <t>尺寸長</t>
    </r>
    <r>
      <rPr>
        <sz val="10"/>
        <color indexed="8"/>
        <rFont val="Calibri"/>
        <family val="2"/>
      </rPr>
      <t xml:space="preserve"> </t>
    </r>
    <phoneticPr fontId="8" type="noConversion"/>
  </si>
  <si>
    <t>ORDER QTY</t>
    <phoneticPr fontId="8" type="noConversion"/>
  </si>
  <si>
    <t>WIDTH</t>
    <phoneticPr fontId="8" type="noConversion"/>
  </si>
  <si>
    <t>小計</t>
    <phoneticPr fontId="8" type="noConversion"/>
  </si>
  <si>
    <t>FOC</t>
  </si>
  <si>
    <t>重量(KG)</t>
  </si>
  <si>
    <t>編號</t>
  </si>
  <si>
    <t>26K4068800</t>
    <phoneticPr fontId="8" type="noConversion"/>
  </si>
  <si>
    <t>26CF74419B7</t>
    <phoneticPr fontId="8" type="noConversion"/>
  </si>
  <si>
    <t>074419</t>
  </si>
  <si>
    <t>Black</t>
  </si>
  <si>
    <t>黑</t>
  </si>
  <si>
    <t>H:3.5INH</t>
  </si>
  <si>
    <t>F48</t>
    <phoneticPr fontId="8" type="noConversion"/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</si>
  <si>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</si>
  <si>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</si>
  <si>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</si>
  <si>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</si>
  <si>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</si>
  <si>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</si>
  <si>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</si>
  <si>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</si>
  <si>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</si>
  <si>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</si>
  <si>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Collegiate Navy</t>
  </si>
  <si>
    <t>學士藍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</si>
  <si>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</si>
  <si>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</si>
  <si>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</si>
  <si>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</si>
  <si>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</si>
  <si>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</si>
  <si>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</si>
  <si>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</si>
  <si>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</si>
  <si>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</si>
  <si>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</si>
  <si>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White</t>
  </si>
  <si>
    <t>白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</si>
  <si>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</si>
  <si>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</si>
  <si>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</si>
  <si>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</si>
  <si>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</si>
  <si>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</si>
  <si>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</si>
  <si>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</si>
  <si>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</si>
  <si>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26K4068900</t>
    <phoneticPr fontId="8" type="noConversion"/>
  </si>
  <si>
    <t>26CF74419B8</t>
    <phoneticPr fontId="8" type="noConversion"/>
  </si>
  <si>
    <t>深夜藍</t>
  </si>
  <si>
    <t>3.375INH</t>
  </si>
  <si>
    <t>F24</t>
    <phoneticPr fontId="8" type="noConversion"/>
  </si>
  <si>
    <t>F25</t>
  </si>
  <si>
    <t>F26</t>
  </si>
  <si>
    <t>F27</t>
  </si>
  <si>
    <t>F28</t>
  </si>
  <si>
    <t>F29</t>
  </si>
  <si>
    <t>F30</t>
  </si>
  <si>
    <t>F31</t>
  </si>
  <si>
    <t>F32</t>
  </si>
  <si>
    <t>懷舊藍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</si>
  <si>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</si>
  <si>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</si>
  <si>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</si>
  <si>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</si>
  <si>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</si>
  <si>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</si>
  <si>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</si>
  <si>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</si>
  <si>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</si>
  <si>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</si>
  <si>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</si>
  <si>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</si>
  <si>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</si>
  <si>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</si>
  <si>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</si>
  <si>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26K4069000</t>
    <phoneticPr fontId="8" type="noConversion"/>
  </si>
  <si>
    <t>26CF74545A7</t>
    <phoneticPr fontId="8" type="noConversion"/>
  </si>
  <si>
    <t>074545</t>
  </si>
  <si>
    <t>1.375INH</t>
  </si>
  <si>
    <t>F01</t>
    <phoneticPr fontId="8" type="noConversion"/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</si>
  <si>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</si>
  <si>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</si>
  <si>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</si>
  <si>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</si>
  <si>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</si>
  <si>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</si>
  <si>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</si>
  <si>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</si>
  <si>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</si>
  <si>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</si>
  <si>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</si>
  <si>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</si>
  <si>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</si>
  <si>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</si>
  <si>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</si>
  <si>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</si>
  <si>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</si>
  <si>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</si>
  <si>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</si>
  <si>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</si>
  <si>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</si>
  <si>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</si>
  <si>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r>
      <t xml:space="preserve">78 </t>
    </r>
    <r>
      <rPr>
        <sz val="12"/>
        <rFont val="細明體"/>
        <family val="3"/>
        <charset val="136"/>
      </rPr>
      <t>包</t>
    </r>
    <phoneticPr fontId="8" type="noConversion"/>
  </si>
  <si>
    <t>WOVEN FABRIC</t>
    <phoneticPr fontId="8" type="noConversion"/>
  </si>
  <si>
    <t>POLYESTER  86%</t>
  </si>
  <si>
    <t>P75D+ELASTANE40D＊</t>
  </si>
  <si>
    <t>P75D+ELASTANE40D</t>
  </si>
  <si>
    <t>ELASTANE 14%</t>
  </si>
  <si>
    <t xml:space="preserve">           1</t>
    <phoneticPr fontId="8" type="noConversion"/>
  </si>
  <si>
    <t>S1</t>
  </si>
  <si>
    <t>KGS</t>
  </si>
  <si>
    <t xml:space="preserve">           2</t>
    <phoneticPr fontId="8" type="noConversion"/>
  </si>
  <si>
    <t xml:space="preserve">           3</t>
    <phoneticPr fontId="8" type="noConversion"/>
  </si>
  <si>
    <t xml:space="preserve">           4</t>
    <phoneticPr fontId="8" type="noConversion"/>
  </si>
  <si>
    <t xml:space="preserve">           5</t>
    <phoneticPr fontId="8" type="noConversion"/>
  </si>
  <si>
    <t xml:space="preserve">           6</t>
    <phoneticPr fontId="8" type="noConversion"/>
  </si>
  <si>
    <t xml:space="preserve">           7</t>
    <phoneticPr fontId="8" type="noConversion"/>
  </si>
  <si>
    <t xml:space="preserve">           8</t>
    <phoneticPr fontId="8" type="noConversion"/>
  </si>
  <si>
    <t>S2</t>
  </si>
  <si>
    <t xml:space="preserve">           9</t>
    <phoneticPr fontId="8" type="noConversion"/>
  </si>
  <si>
    <t xml:space="preserve">          10</t>
    <phoneticPr fontId="8" type="noConversion"/>
  </si>
  <si>
    <t xml:space="preserve">          11</t>
    <phoneticPr fontId="8" type="noConversion"/>
  </si>
  <si>
    <t xml:space="preserve">          12</t>
    <phoneticPr fontId="8" type="noConversion"/>
  </si>
  <si>
    <t xml:space="preserve">          13</t>
    <phoneticPr fontId="8" type="noConversion"/>
  </si>
  <si>
    <t xml:space="preserve">          14</t>
    <phoneticPr fontId="8" type="noConversion"/>
  </si>
  <si>
    <t xml:space="preserve">          15</t>
    <phoneticPr fontId="8" type="noConversion"/>
  </si>
  <si>
    <t xml:space="preserve">          16</t>
    <phoneticPr fontId="8" type="noConversion"/>
  </si>
  <si>
    <t xml:space="preserve">          A1</t>
  </si>
  <si>
    <t>2-1</t>
  </si>
  <si>
    <t xml:space="preserve">          A2</t>
  </si>
  <si>
    <t xml:space="preserve">          A3</t>
  </si>
  <si>
    <t xml:space="preserve">          A4</t>
  </si>
  <si>
    <t xml:space="preserve">          A5</t>
  </si>
  <si>
    <t xml:space="preserve">          A6</t>
  </si>
  <si>
    <t xml:space="preserve">          A7</t>
  </si>
  <si>
    <t xml:space="preserve">          A8</t>
  </si>
  <si>
    <t xml:space="preserve">          A9</t>
  </si>
  <si>
    <t xml:space="preserve">         A10</t>
  </si>
  <si>
    <t xml:space="preserve">         A11</t>
  </si>
  <si>
    <t xml:space="preserve">         A12</t>
  </si>
  <si>
    <t xml:space="preserve">         A13</t>
  </si>
  <si>
    <t>2-2</t>
  </si>
  <si>
    <t xml:space="preserve">         A14</t>
  </si>
  <si>
    <t xml:space="preserve">         A15</t>
  </si>
  <si>
    <t xml:space="preserve">         A16</t>
  </si>
  <si>
    <t xml:space="preserve">         A17</t>
  </si>
  <si>
    <t xml:space="preserve">         A18</t>
  </si>
  <si>
    <t xml:space="preserve">         A19</t>
  </si>
  <si>
    <t xml:space="preserve">         A20</t>
  </si>
  <si>
    <t xml:space="preserve">         A21</t>
  </si>
  <si>
    <t xml:space="preserve">         A22</t>
  </si>
  <si>
    <t xml:space="preserve">         A23</t>
  </si>
  <si>
    <t xml:space="preserve">          B1</t>
  </si>
  <si>
    <t xml:space="preserve">          B2</t>
  </si>
  <si>
    <t xml:space="preserve">          B3</t>
  </si>
  <si>
    <t xml:space="preserve">          B4</t>
  </si>
  <si>
    <t xml:space="preserve">          B5</t>
  </si>
  <si>
    <t xml:space="preserve">          B6</t>
  </si>
  <si>
    <t xml:space="preserve">          B7</t>
  </si>
  <si>
    <t xml:space="preserve">          B8</t>
  </si>
  <si>
    <t xml:space="preserve">          17</t>
    <phoneticPr fontId="8" type="noConversion"/>
  </si>
  <si>
    <t xml:space="preserve">          18</t>
    <phoneticPr fontId="8" type="noConversion"/>
  </si>
  <si>
    <t xml:space="preserve">          19</t>
    <phoneticPr fontId="8" type="noConversion"/>
  </si>
  <si>
    <t xml:space="preserve">          20</t>
    <phoneticPr fontId="8" type="noConversion"/>
  </si>
  <si>
    <t xml:space="preserve">          C1</t>
  </si>
  <si>
    <t>4-1</t>
  </si>
  <si>
    <t xml:space="preserve">          C2</t>
  </si>
  <si>
    <t xml:space="preserve">          C3</t>
  </si>
  <si>
    <t xml:space="preserve">          C4</t>
  </si>
  <si>
    <t xml:space="preserve">          C5</t>
  </si>
  <si>
    <t xml:space="preserve">          C6</t>
  </si>
  <si>
    <t xml:space="preserve">          C7</t>
  </si>
  <si>
    <t xml:space="preserve">          C8</t>
  </si>
  <si>
    <t>4-2</t>
  </si>
  <si>
    <t xml:space="preserve">          C9</t>
  </si>
  <si>
    <t xml:space="preserve">         C10</t>
  </si>
  <si>
    <t xml:space="preserve">         C11</t>
  </si>
  <si>
    <t xml:space="preserve">         C12</t>
  </si>
  <si>
    <t xml:space="preserve">         C13</t>
  </si>
  <si>
    <t xml:space="preserve">         C14</t>
  </si>
  <si>
    <t>4-3</t>
  </si>
  <si>
    <t xml:space="preserve">         C15</t>
  </si>
  <si>
    <t xml:space="preserve">         C16</t>
  </si>
  <si>
    <t xml:space="preserve">         C17</t>
  </si>
  <si>
    <t xml:space="preserve">         C18</t>
  </si>
  <si>
    <t xml:space="preserve">         C19</t>
  </si>
  <si>
    <t xml:space="preserve">         C20</t>
  </si>
  <si>
    <t xml:space="preserve">         C21</t>
  </si>
  <si>
    <t>4-4</t>
  </si>
  <si>
    <t xml:space="preserve">         C22</t>
  </si>
  <si>
    <t xml:space="preserve">         C23</t>
  </si>
  <si>
    <t xml:space="preserve">         C24</t>
  </si>
  <si>
    <t xml:space="preserve">         C25</t>
  </si>
  <si>
    <t xml:space="preserve">          21</t>
    <phoneticPr fontId="8" type="noConversion"/>
  </si>
  <si>
    <t xml:space="preserve">          22</t>
    <phoneticPr fontId="8" type="noConversion"/>
  </si>
  <si>
    <t xml:space="preserve">          23</t>
    <phoneticPr fontId="8" type="noConversion"/>
  </si>
  <si>
    <t xml:space="preserve">          24</t>
    <phoneticPr fontId="8" type="noConversion"/>
  </si>
  <si>
    <t xml:space="preserve">          25</t>
    <phoneticPr fontId="8" type="noConversion"/>
  </si>
  <si>
    <t xml:space="preserve">          26</t>
    <phoneticPr fontId="8" type="noConversion"/>
  </si>
  <si>
    <t xml:space="preserve">          27</t>
    <phoneticPr fontId="8" type="noConversion"/>
  </si>
  <si>
    <t xml:space="preserve">          28</t>
    <phoneticPr fontId="8" type="noConversion"/>
  </si>
  <si>
    <t xml:space="preserve">          29</t>
    <phoneticPr fontId="8" type="noConversion"/>
  </si>
  <si>
    <t xml:space="preserve">          30</t>
    <phoneticPr fontId="8" type="noConversion"/>
  </si>
  <si>
    <t xml:space="preserve">          31</t>
    <phoneticPr fontId="8" type="noConversion"/>
  </si>
  <si>
    <t xml:space="preserve">          32</t>
    <phoneticPr fontId="8" type="noConversion"/>
  </si>
  <si>
    <t xml:space="preserve">          33</t>
    <phoneticPr fontId="8" type="noConversion"/>
  </si>
  <si>
    <t xml:space="preserve">          34</t>
    <phoneticPr fontId="8" type="noConversion"/>
  </si>
  <si>
    <t xml:space="preserve">          35</t>
    <phoneticPr fontId="8" type="noConversion"/>
  </si>
  <si>
    <t>S3</t>
  </si>
  <si>
    <t xml:space="preserve">          36</t>
    <phoneticPr fontId="8" type="noConversion"/>
  </si>
  <si>
    <t xml:space="preserve">          37</t>
    <phoneticPr fontId="8" type="noConversion"/>
  </si>
  <si>
    <t xml:space="preserve">          38</t>
    <phoneticPr fontId="8" type="noConversion"/>
  </si>
  <si>
    <t xml:space="preserve">          39</t>
    <phoneticPr fontId="8" type="noConversion"/>
  </si>
  <si>
    <t xml:space="preserve">          40</t>
    <phoneticPr fontId="8" type="noConversion"/>
  </si>
  <si>
    <t xml:space="preserve">          41</t>
    <phoneticPr fontId="8" type="noConversion"/>
  </si>
  <si>
    <t xml:space="preserve">          42</t>
    <phoneticPr fontId="8" type="noConversion"/>
  </si>
  <si>
    <t>KNIT FABRIC</t>
  </si>
  <si>
    <t>RECYCLE POLYESTER 78%</t>
  </si>
  <si>
    <t>POLYESTER(RECYCLED) 78%</t>
  </si>
  <si>
    <t>PO#6KBDYB11/6WBDYF14</t>
  </si>
  <si>
    <t xml:space="preserve">          E1</t>
  </si>
  <si>
    <t>1-1</t>
  </si>
  <si>
    <t xml:space="preserve">          E2</t>
  </si>
  <si>
    <t xml:space="preserve">          E3</t>
  </si>
  <si>
    <t xml:space="preserve">          E4</t>
  </si>
  <si>
    <t xml:space="preserve">          E5</t>
  </si>
  <si>
    <t xml:space="preserve">          E6</t>
  </si>
  <si>
    <t xml:space="preserve">          E7</t>
  </si>
  <si>
    <t xml:space="preserve">          D1</t>
  </si>
  <si>
    <t xml:space="preserve">          D2</t>
  </si>
  <si>
    <t xml:space="preserve">          D3</t>
  </si>
  <si>
    <t xml:space="preserve">          D4</t>
  </si>
  <si>
    <t xml:space="preserve">         E16</t>
  </si>
  <si>
    <t xml:space="preserve">         E17</t>
  </si>
  <si>
    <t xml:space="preserve">         E18</t>
  </si>
  <si>
    <t xml:space="preserve">         E19</t>
  </si>
  <si>
    <t xml:space="preserve">         E20</t>
  </si>
  <si>
    <t xml:space="preserve">         E12</t>
  </si>
  <si>
    <t xml:space="preserve">         E13</t>
  </si>
  <si>
    <t xml:space="preserve">         E14</t>
  </si>
  <si>
    <t xml:space="preserve">         E15</t>
  </si>
  <si>
    <t xml:space="preserve">          D5</t>
  </si>
  <si>
    <t xml:space="preserve">          D6</t>
  </si>
  <si>
    <t xml:space="preserve">          D7</t>
  </si>
  <si>
    <t xml:space="preserve">          D8</t>
  </si>
  <si>
    <t xml:space="preserve">          D9</t>
  </si>
  <si>
    <t xml:space="preserve">         D10</t>
  </si>
  <si>
    <t xml:space="preserve">         D11</t>
  </si>
  <si>
    <t xml:space="preserve">          E8</t>
  </si>
  <si>
    <t xml:space="preserve">          E9</t>
  </si>
  <si>
    <t xml:space="preserve">         E10</t>
  </si>
  <si>
    <t xml:space="preserve">         E11</t>
  </si>
  <si>
    <t>1</t>
    <phoneticPr fontId="3" type="noConversion"/>
  </si>
  <si>
    <t>2</t>
    <phoneticPr fontId="3" type="noConversion"/>
  </si>
  <si>
    <t>3-4</t>
    <phoneticPr fontId="3" type="noConversion"/>
  </si>
  <si>
    <t>(275</t>
    <phoneticPr fontId="3" type="noConversion"/>
  </si>
  <si>
    <t xml:space="preserve">SAY TOTAL FIFTY TWO (52) CTNS AND ONE HUNDRED FORTY FIVE (145) ROLLS AND SEVENTY EIGHT (78) </t>
    <phoneticPr fontId="3" type="noConversion"/>
  </si>
  <si>
    <t xml:space="preserve">SAY TOTAL U.S. DOLLARS SEVENTY NINE THOUSAND FOUR HUNDRED EIGHTY AND CENTS </t>
    <phoneticPr fontId="3" type="noConversion"/>
  </si>
  <si>
    <t>EIGHTY ONLY.</t>
    <phoneticPr fontId="3" type="noConversion"/>
  </si>
  <si>
    <t>275 PKGS</t>
    <phoneticPr fontId="3" type="noConversion"/>
  </si>
  <si>
    <t xml:space="preserve"> #WHITE</t>
  </si>
  <si>
    <t>#VINGTAGE BLUE</t>
    <phoneticPr fontId="3" type="noConversion"/>
  </si>
  <si>
    <t>#NOCTURNAL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</si>
</sst>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#,##0.00;[Red]#,##0.00"/>
    <numFmt numFmtId="177" formatCode="_-* #,##0_-;\-* #,##0_-;_-* &quot;-&quot;??_-;_-@_-"/>
  </numFmts>
  <fonts count="45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10"/>
      <name val="Times New Roman"/>
      <family val="1"/>
    </font>
    <font>
      <b/>
      <sz val="10"/>
      <color indexed="8"/>
      <name val="新細明體"/>
      <family val="1"/>
      <charset val="136"/>
    </font>
    <font>
      <sz val="12"/>
      <color theme="1"/>
      <name val="Arial Unicode MS"/>
      <family val="1"/>
      <charset val="136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9"/>
      <color indexed="8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0"/>
      <color theme="1"/>
      <name val="細明體"/>
      <family val="3"/>
      <charset val="136"/>
    </font>
    <font>
      <sz val="10"/>
      <name val="Arial"/>
      <family val="2"/>
    </font>
    <font>
      <b/>
      <sz val="12"/>
      <name val="Calibri"/>
      <family val="2"/>
    </font>
    <font>
      <b/>
      <sz val="12"/>
      <name val="細明體"/>
      <family val="3"/>
      <charset val="136"/>
    </font>
    <font>
      <sz val="12"/>
      <color indexed="8"/>
      <name val="新細明體"/>
      <family val="1"/>
      <charset val="136"/>
    </font>
    <font>
      <sz val="10"/>
      <name val="Calibri"/>
      <family val="2"/>
    </font>
    <font>
      <sz val="12"/>
      <color indexed="8"/>
      <name val="Calibri"/>
      <family val="2"/>
    </font>
    <font>
      <sz val="12"/>
      <color indexed="8"/>
      <name val="細明體"/>
      <family val="3"/>
      <charset val="136"/>
    </font>
    <font>
      <sz val="12"/>
      <name val="Calibri"/>
      <family val="2"/>
    </font>
    <font>
      <sz val="10"/>
      <color indexed="8"/>
      <name val="Calibri"/>
      <family val="2"/>
    </font>
    <font>
      <sz val="10"/>
      <color indexed="8"/>
      <name val="微軟正黑體"/>
      <family val="2"/>
      <charset val="136"/>
    </font>
    <font>
      <sz val="10"/>
      <color indexed="9"/>
      <name val="Calibri"/>
      <family val="2"/>
    </font>
    <font>
      <sz val="10"/>
      <color indexed="9"/>
      <name val="微軟正黑體"/>
      <family val="2"/>
      <charset val="136"/>
    </font>
    <font>
      <sz val="10"/>
      <color rgb="FF000000"/>
      <name val="Calibri"/>
      <family val="2"/>
    </font>
    <font>
      <sz val="12"/>
      <name val="Arial Unicode MS"/>
      <family val="2"/>
      <charset val="136"/>
    </font>
    <font>
      <sz val="11"/>
      <name val="Arial Unicode MS"/>
      <family val="2"/>
      <charset val="136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</fills>
  <borders count="13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6" fillId="0" borderId="0"/>
    <xf numFmtId="43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9" fillId="0" borderId="0"/>
    <xf numFmtId="0" fontId="1" fillId="0" borderId="0">
      <alignment vertical="center"/>
    </xf>
  </cellStyleXfs>
  <cellXfs count="153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2" fillId="0" borderId="0" xfId="1" applyNumberFormat="1" applyFont="1" applyBorder="1" applyAlignment="1">
      <alignment horizontal="left" vertical="top"/>
    </xf>
    <xf numFmtId="49" fontId="10" fillId="0" borderId="0" xfId="1" applyNumberFormat="1" applyFont="1" applyBorder="1" applyAlignment="1">
      <alignment horizontal="right" vertical="top"/>
    </xf>
    <xf numFmtId="0" fontId="10" fillId="0" borderId="0" xfId="1" applyFont="1" applyBorder="1" applyAlignment="1">
      <alignment horizontal="right" vertical="top"/>
    </xf>
    <xf numFmtId="0" fontId="10" fillId="0" borderId="6" xfId="1" applyFont="1" applyBorder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2" fillId="0" borderId="0" xfId="2" applyNumberFormat="1" applyFont="1" applyBorder="1" applyAlignment="1">
      <alignment horizontal="left" vertical="top"/>
    </xf>
    <xf numFmtId="49" fontId="10" fillId="0" borderId="0" xfId="2" applyNumberFormat="1" applyFont="1" applyBorder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10" fillId="0" borderId="0" xfId="2" applyNumberFormat="1" applyFont="1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49" fontId="4" fillId="0" borderId="0" xfId="2" applyNumberFormat="1" applyFont="1" applyAlignment="1">
      <alignment horizontal="left" vertical="top"/>
    </xf>
    <xf numFmtId="0" fontId="2" fillId="0" borderId="0" xfId="2" applyNumberFormat="1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left" vertical="top"/>
    </xf>
    <xf numFmtId="0" fontId="2" fillId="0" borderId="0" xfId="1" applyNumberFormat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49" fontId="2" fillId="0" borderId="0" xfId="0" applyNumberFormat="1" applyFont="1" applyAlignment="1">
      <alignment horizontal="left"/>
    </xf>
    <xf numFmtId="49" fontId="2" fillId="0" borderId="0" xfId="0" quotePrefix="1" applyNumberFormat="1" applyFont="1" applyAlignment="1">
      <alignment horizontal="left"/>
    </xf>
    <xf numFmtId="49" fontId="21" fillId="0" borderId="0" xfId="0" applyNumberFormat="1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2" fillId="0" borderId="0" xfId="4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0" xfId="4" applyFont="1" applyAlignment="1">
      <alignment vertical="center" shrinkToFit="1"/>
    </xf>
    <xf numFmtId="0" fontId="27" fillId="0" borderId="0" xfId="4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6" fillId="0" borderId="0" xfId="4" applyFont="1" applyAlignment="1">
      <alignment vertical="center"/>
    </xf>
    <xf numFmtId="49" fontId="28" fillId="0" borderId="0" xfId="1" applyNumberFormat="1" applyFont="1" applyAlignment="1">
      <alignment horizontal="left" vertical="top"/>
    </xf>
    <xf numFmtId="177" fontId="2" fillId="0" borderId="0" xfId="3" applyNumberFormat="1" applyFont="1" applyAlignment="1">
      <alignment horizontal="right" vertical="top"/>
    </xf>
    <xf numFmtId="49" fontId="2" fillId="0" borderId="8" xfId="0" applyNumberFormat="1" applyFont="1" applyBorder="1" applyAlignment="1">
      <alignment horizontal="left"/>
    </xf>
    <xf numFmtId="49" fontId="2" fillId="0" borderId="8" xfId="0" quotePrefix="1" applyNumberFormat="1" applyFont="1" applyBorder="1" applyAlignment="1">
      <alignment horizontal="left"/>
    </xf>
    <xf numFmtId="49" fontId="21" fillId="0" borderId="8" xfId="0" applyNumberFormat="1" applyFont="1" applyBorder="1" applyAlignment="1">
      <alignment horizontal="left"/>
    </xf>
    <xf numFmtId="0" fontId="2" fillId="0" borderId="8" xfId="0" applyFont="1" applyBorder="1" applyAlignment="1"/>
    <xf numFmtId="0" fontId="2" fillId="0" borderId="8" xfId="0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0" fontId="33" fillId="0" borderId="0" xfId="5" applyFont="1" applyAlignment="1">
      <alignment horizontal="left"/>
    </xf>
    <xf numFmtId="0" fontId="34" fillId="0" borderId="9" xfId="5" applyFont="1" applyBorder="1" applyAlignment="1">
      <alignment horizontal="left" vertical="center"/>
    </xf>
    <xf numFmtId="49" fontId="34" fillId="0" borderId="9" xfId="5" applyNumberFormat="1" applyFont="1" applyBorder="1" applyAlignment="1">
      <alignment horizontal="left" vertical="center"/>
    </xf>
    <xf numFmtId="176" fontId="34" fillId="0" borderId="9" xfId="5" applyNumberFormat="1" applyFont="1" applyBorder="1" applyAlignment="1">
      <alignment horizontal="left" vertical="center"/>
    </xf>
    <xf numFmtId="176" fontId="36" fillId="0" borderId="0" xfId="5" applyNumberFormat="1" applyFont="1" applyAlignment="1">
      <alignment horizontal="left"/>
    </xf>
    <xf numFmtId="0" fontId="36" fillId="0" borderId="0" xfId="5" applyFont="1" applyAlignment="1">
      <alignment horizontal="left"/>
    </xf>
    <xf numFmtId="0" fontId="33" fillId="0" borderId="0" xfId="6" applyFont="1" applyAlignment="1">
      <alignment horizontal="left" vertical="center"/>
    </xf>
    <xf numFmtId="0" fontId="37" fillId="2" borderId="9" xfId="6" applyFont="1" applyFill="1" applyBorder="1" applyAlignment="1">
      <alignment horizontal="left" wrapText="1"/>
    </xf>
    <xf numFmtId="0" fontId="37" fillId="2" borderId="9" xfId="6" applyFont="1" applyFill="1" applyBorder="1" applyAlignment="1">
      <alignment horizontal="left"/>
    </xf>
    <xf numFmtId="0" fontId="41" fillId="2" borderId="9" xfId="6" applyFont="1" applyFill="1" applyBorder="1" applyAlignment="1">
      <alignment horizontal="left"/>
    </xf>
    <xf numFmtId="0" fontId="42" fillId="2" borderId="9" xfId="6" applyFont="1" applyFill="1" applyBorder="1" applyAlignment="1">
      <alignment horizontal="left" vertical="center"/>
    </xf>
    <xf numFmtId="0" fontId="43" fillId="2" borderId="9" xfId="6" applyFont="1" applyFill="1" applyBorder="1" applyAlignment="1">
      <alignment horizontal="left" vertical="center"/>
    </xf>
    <xf numFmtId="49" fontId="37" fillId="3" borderId="9" xfId="6" applyNumberFormat="1" applyFont="1" applyFill="1" applyBorder="1" applyAlignment="1">
      <alignment horizontal="left"/>
    </xf>
    <xf numFmtId="0" fontId="37" fillId="3" borderId="9" xfId="6" applyFont="1" applyFill="1" applyBorder="1" applyAlignment="1">
      <alignment horizontal="left"/>
    </xf>
    <xf numFmtId="0" fontId="34" fillId="0" borderId="9" xfId="6" applyFont="1" applyBorder="1" applyAlignment="1">
      <alignment horizontal="left"/>
    </xf>
    <xf numFmtId="0" fontId="36" fillId="0" borderId="9" xfId="6" applyFont="1" applyBorder="1" applyAlignment="1">
      <alignment horizontal="left" vertical="center"/>
    </xf>
    <xf numFmtId="49" fontId="37" fillId="3" borderId="12" xfId="6" applyNumberFormat="1" applyFont="1" applyFill="1" applyBorder="1" applyAlignment="1">
      <alignment horizontal="left"/>
    </xf>
    <xf numFmtId="0" fontId="37" fillId="3" borderId="12" xfId="6" applyFont="1" applyFill="1" applyBorder="1" applyAlignment="1">
      <alignment horizontal="left"/>
    </xf>
    <xf numFmtId="0" fontId="34" fillId="0" borderId="12" xfId="6" applyFont="1" applyBorder="1" applyAlignment="1">
      <alignment horizontal="left"/>
    </xf>
    <xf numFmtId="0" fontId="36" fillId="0" borderId="12" xfId="6" applyFont="1" applyBorder="1" applyAlignment="1">
      <alignment horizontal="left" vertical="center"/>
    </xf>
    <xf numFmtId="49" fontId="37" fillId="3" borderId="11" xfId="6" applyNumberFormat="1" applyFont="1" applyFill="1" applyBorder="1" applyAlignment="1">
      <alignment horizontal="left"/>
    </xf>
    <xf numFmtId="0" fontId="37" fillId="3" borderId="11" xfId="6" applyFont="1" applyFill="1" applyBorder="1" applyAlignment="1">
      <alignment horizontal="left"/>
    </xf>
    <xf numFmtId="0" fontId="34" fillId="0" borderId="11" xfId="6" applyFont="1" applyBorder="1" applyAlignment="1">
      <alignment horizontal="left"/>
    </xf>
    <xf numFmtId="0" fontId="36" fillId="0" borderId="11" xfId="6" applyFont="1" applyBorder="1" applyAlignment="1">
      <alignment horizontal="left" vertical="center"/>
    </xf>
    <xf numFmtId="0" fontId="36" fillId="0" borderId="0" xfId="6" applyFont="1" applyAlignment="1">
      <alignment horizontal="left" vertical="center"/>
    </xf>
    <xf numFmtId="0" fontId="2" fillId="0" borderId="0" xfId="1" applyNumberFormat="1" applyFont="1" applyFill="1" applyAlignment="1">
      <alignment horizontal="right" vertical="top"/>
    </xf>
    <xf numFmtId="3" fontId="2" fillId="0" borderId="0" xfId="0" applyNumberFormat="1" applyFont="1" applyFill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0" xfId="2" applyNumberFormat="1" applyFont="1" applyAlignment="1">
      <alignment horizontal="center" vertical="top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2" fillId="0" borderId="5" xfId="1" applyNumberFormat="1" applyFont="1" applyBorder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49" fontId="2" fillId="0" borderId="0" xfId="1" applyNumberFormat="1" applyFont="1" applyBorder="1" applyAlignment="1">
      <alignment horizontal="left" vertical="top" shrinkToFit="1"/>
    </xf>
    <xf numFmtId="0" fontId="2" fillId="0" borderId="0" xfId="1" applyFont="1" applyBorder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49" fontId="6" fillId="0" borderId="2" xfId="1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2" fillId="0" borderId="0" xfId="1" applyNumberFormat="1" applyFont="1" applyBorder="1" applyAlignment="1">
      <alignment horizontal="left" vertical="top" wrapText="1"/>
    </xf>
    <xf numFmtId="49" fontId="2" fillId="0" borderId="5" xfId="1" applyNumberFormat="1" applyFont="1" applyBorder="1" applyAlignment="1">
      <alignment horizontal="left" vertical="top" wrapText="1"/>
    </xf>
    <xf numFmtId="49" fontId="10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Border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Border="1" applyAlignment="1">
      <alignment horizontal="left" vertical="top"/>
    </xf>
    <xf numFmtId="0" fontId="10" fillId="0" borderId="0" xfId="1" applyFont="1" applyAlignment="1">
      <alignment horizontal="left" vertical="top"/>
    </xf>
    <xf numFmtId="49" fontId="2" fillId="0" borderId="0" xfId="0" applyNumberFormat="1" applyFont="1" applyAlignment="1">
      <alignment horizontal="right"/>
    </xf>
    <xf numFmtId="49" fontId="2" fillId="0" borderId="0" xfId="0" quotePrefix="1" applyNumberFormat="1" applyFont="1" applyAlignment="1">
      <alignment horizontal="right"/>
    </xf>
    <xf numFmtId="49" fontId="18" fillId="0" borderId="0" xfId="2" applyNumberFormat="1" applyFont="1" applyBorder="1" applyAlignment="1">
      <alignment horizontal="left" vertical="top"/>
    </xf>
    <xf numFmtId="0" fontId="16" fillId="0" borderId="0" xfId="2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9" fillId="0" borderId="0" xfId="2" applyFont="1" applyBorder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2" fillId="0" borderId="5" xfId="2" applyFont="1" applyBorder="1" applyAlignment="1">
      <alignment horizontal="left" vertical="top" shrinkToFit="1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49" fontId="10" fillId="0" borderId="0" xfId="2" applyNumberFormat="1" applyFont="1" applyBorder="1" applyAlignment="1">
      <alignment horizontal="left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49" fontId="2" fillId="0" borderId="5" xfId="2" applyNumberFormat="1" applyFont="1" applyBorder="1" applyAlignment="1">
      <alignment horizontal="left" vertical="top" shrinkToFit="1"/>
    </xf>
    <xf numFmtId="49" fontId="10" fillId="0" borderId="0" xfId="2" applyNumberFormat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10" fillId="0" borderId="6" xfId="2" applyFont="1" applyBorder="1" applyAlignment="1">
      <alignment horizontal="left" vertical="top"/>
    </xf>
    <xf numFmtId="0" fontId="2" fillId="0" borderId="4" xfId="2" applyFont="1" applyBorder="1" applyAlignment="1">
      <alignment horizontal="left" vertical="top" shrinkToFit="1"/>
    </xf>
    <xf numFmtId="49" fontId="5" fillId="0" borderId="0" xfId="2" applyNumberFormat="1" applyFont="1" applyAlignment="1">
      <alignment horizontal="left" vertical="top"/>
    </xf>
    <xf numFmtId="0" fontId="16" fillId="0" borderId="0" xfId="2" applyFont="1" applyAlignment="1">
      <alignment horizontal="left" vertical="top"/>
    </xf>
    <xf numFmtId="49" fontId="2" fillId="0" borderId="0" xfId="2" applyNumberFormat="1" applyFont="1" applyBorder="1" applyAlignment="1">
      <alignment horizontal="left" vertical="top" wrapText="1" shrinkToFit="1"/>
    </xf>
    <xf numFmtId="0" fontId="2" fillId="0" borderId="0" xfId="2" applyFont="1" applyBorder="1" applyAlignment="1">
      <alignment horizontal="left" vertical="top" wrapText="1" shrinkToFit="1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2" fillId="0" borderId="0" xfId="2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30" fillId="2" borderId="10" xfId="5" applyFont="1" applyFill="1" applyBorder="1" applyAlignment="1">
      <alignment horizontal="left" vertical="center"/>
    </xf>
    <xf numFmtId="0" fontId="30" fillId="2" borderId="11" xfId="5" applyFont="1" applyFill="1" applyBorder="1" applyAlignment="1">
      <alignment horizontal="left" vertical="center"/>
    </xf>
    <xf numFmtId="0" fontId="30" fillId="2" borderId="9" xfId="5" applyFont="1" applyFill="1" applyBorder="1" applyAlignment="1">
      <alignment horizontal="left" vertical="center"/>
    </xf>
  </cellXfs>
  <cellStyles count="7">
    <cellStyle name="一般" xfId="0" builtinId="0"/>
    <cellStyle name="一般 2" xfId="1" xr:uid="{00000000-0005-0000-0000-000001000000}"/>
    <cellStyle name="一般 3" xfId="2" xr:uid="{00000000-0005-0000-0000-000002000000}"/>
    <cellStyle name="一般 4" xfId="5" xr:uid="{92DEB708-5280-4582-897D-7178D2E0DA55}"/>
    <cellStyle name="一般 5" xfId="6" xr:uid="{A129CFA3-FF5E-4C1E-96A9-0910DBCBE946}"/>
    <cellStyle name="一般_Sheet1_99年寄越南資料-鈞麟_每星期結關(E.T.C)主附料進度!" xfId="4" xr:uid="{95A5A2A8-AAB6-4E37-B1F2-AAD882D395C1}"/>
    <cellStyle name="千分位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2"/>
  <sheetViews>
    <sheetView topLeftCell="A241" workbookViewId="0">
      <selection activeCell="E7" sqref="E7:P7"/>
    </sheetView>
  </sheetViews>
  <sheetFormatPr defaultColWidth="9" defaultRowHeight="13.8"/>
  <cols>
    <col min="1" max="5" width="4.109375" style="1" customWidth="1"/>
    <col min="6" max="6" width="5.6640625" style="1" customWidth="1"/>
    <col min="7" max="7" width="7.6640625" style="1" customWidth="1"/>
    <col min="8" max="9" width="7.109375" style="1" customWidth="1"/>
    <col min="10" max="10" width="5.6640625" style="1" customWidth="1"/>
    <col min="11" max="11" width="11.6640625" style="1" customWidth="1"/>
    <col min="12" max="13" width="4.109375" style="1" customWidth="1"/>
    <col min="14" max="14" width="8.6640625" style="1" customWidth="1"/>
    <col min="15" max="15" width="4.109375" style="1" customWidth="1"/>
    <col min="16" max="16" width="11.6640625" style="1" customWidth="1"/>
    <col min="17" max="16384" width="9" style="1"/>
  </cols>
  <sheetData>
    <row r="1" spans="1:16" s="10" customFormat="1" ht="19.8">
      <c r="A1" s="88" t="s">
        <v>15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spans="1:16" s="8" customFormat="1">
      <c r="A2" s="89" t="s">
        <v>16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</row>
    <row r="3" spans="1:16" s="8" customFormat="1">
      <c r="A3" s="86"/>
      <c r="B3" s="86"/>
      <c r="C3" s="86"/>
      <c r="D3" s="86"/>
      <c r="E3" s="86"/>
      <c r="F3" s="86"/>
      <c r="G3" s="86"/>
      <c r="H3" s="86"/>
      <c r="I3" s="86"/>
      <c r="J3" s="87"/>
      <c r="K3" s="87"/>
      <c r="L3" s="87"/>
      <c r="M3" s="87"/>
      <c r="N3" s="87"/>
      <c r="O3" s="87"/>
      <c r="P3" s="87"/>
    </row>
    <row r="4" spans="1:16" s="10" customFormat="1" ht="19.8">
      <c r="A4" s="90" t="s">
        <v>14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</row>
    <row r="5" spans="1:16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ht="16.2">
      <c r="A6" s="8" t="s">
        <v>13</v>
      </c>
      <c r="B6" s="93" t="s">
        <v>17</v>
      </c>
      <c r="C6" s="94"/>
      <c r="D6" s="94"/>
      <c r="E6" s="94"/>
      <c r="F6" s="94"/>
      <c r="G6" s="95"/>
      <c r="H6" s="4"/>
      <c r="I6" s="4"/>
      <c r="J6" s="4"/>
      <c r="K6" s="4"/>
      <c r="L6" s="110" t="s">
        <v>12</v>
      </c>
      <c r="M6" s="111"/>
      <c r="N6" s="91" t="s">
        <v>18</v>
      </c>
      <c r="O6" s="91"/>
      <c r="P6" s="92"/>
    </row>
    <row r="7" spans="1:16" ht="15.6">
      <c r="A7" s="108" t="s">
        <v>11</v>
      </c>
      <c r="B7" s="108"/>
      <c r="C7" s="108"/>
      <c r="D7" s="109"/>
      <c r="E7" s="92" t="s">
        <v>595</v>
      </c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</row>
    <row r="8" spans="1:16">
      <c r="A8" s="107" t="s">
        <v>10</v>
      </c>
      <c r="B8" s="107"/>
      <c r="C8" s="107"/>
      <c r="D8" s="107"/>
      <c r="E8" s="107"/>
      <c r="F8" s="107"/>
      <c r="G8" s="91" t="s">
        <v>19</v>
      </c>
      <c r="H8" s="91"/>
      <c r="I8" s="92"/>
      <c r="J8" s="92"/>
      <c r="K8" s="92"/>
      <c r="L8" s="92"/>
      <c r="M8" s="92"/>
      <c r="N8" s="92"/>
      <c r="O8" s="92"/>
      <c r="P8" s="92"/>
    </row>
    <row r="9" spans="1:16" ht="14.25" customHeight="1">
      <c r="A9" s="105" t="s">
        <v>20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</row>
    <row r="10" spans="1:16" ht="14.25" customHeight="1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>
      <c r="A11" s="112" t="s">
        <v>9</v>
      </c>
      <c r="B11" s="112"/>
      <c r="C11" s="112"/>
      <c r="D11" s="98"/>
      <c r="E11" s="98"/>
      <c r="F11" s="98"/>
      <c r="G11" s="98"/>
      <c r="H11" s="98"/>
      <c r="I11" s="99"/>
      <c r="J11" s="7" t="s">
        <v>8</v>
      </c>
      <c r="K11" s="98" t="s">
        <v>21</v>
      </c>
      <c r="L11" s="99"/>
      <c r="M11" s="99"/>
      <c r="N11" s="99"/>
      <c r="O11" s="99"/>
      <c r="P11" s="99"/>
    </row>
    <row r="12" spans="1:16">
      <c r="A12" s="107" t="s">
        <v>7</v>
      </c>
      <c r="B12" s="107"/>
      <c r="C12" s="107"/>
      <c r="D12" s="113"/>
      <c r="E12" s="99"/>
      <c r="F12" s="99"/>
      <c r="G12" s="99"/>
      <c r="H12" s="6" t="s">
        <v>6</v>
      </c>
      <c r="I12" s="92" t="s">
        <v>22</v>
      </c>
      <c r="J12" s="92"/>
      <c r="K12" s="92"/>
      <c r="L12" s="5" t="s">
        <v>5</v>
      </c>
      <c r="M12" s="99" t="s">
        <v>23</v>
      </c>
      <c r="N12" s="99"/>
      <c r="O12" s="99"/>
      <c r="P12" s="99"/>
    </row>
    <row r="13" spans="1:16" ht="14.4" thickBo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s="3" customFormat="1" ht="16.8" thickTop="1">
      <c r="A14" s="102" t="s">
        <v>4</v>
      </c>
      <c r="B14" s="103"/>
      <c r="C14" s="103"/>
      <c r="D14" s="104"/>
      <c r="E14" s="96" t="s">
        <v>3</v>
      </c>
      <c r="F14" s="103"/>
      <c r="G14" s="103"/>
      <c r="H14" s="103"/>
      <c r="I14" s="103"/>
      <c r="J14" s="103"/>
      <c r="K14" s="96" t="s">
        <v>2</v>
      </c>
      <c r="L14" s="100"/>
      <c r="M14" s="97" t="s">
        <v>1</v>
      </c>
      <c r="N14" s="101"/>
      <c r="O14" s="96" t="s">
        <v>0</v>
      </c>
      <c r="P14" s="97"/>
    </row>
    <row r="15" spans="1:16">
      <c r="N15" s="2" t="s">
        <v>174</v>
      </c>
    </row>
    <row r="16" spans="1:16">
      <c r="E16" s="1" t="s">
        <v>24</v>
      </c>
    </row>
    <row r="17" spans="1:16" ht="16.2">
      <c r="E17" s="11" t="s">
        <v>25</v>
      </c>
    </row>
    <row r="18" spans="1:16">
      <c r="E18" s="1" t="s">
        <v>26</v>
      </c>
    </row>
    <row r="19" spans="1:16">
      <c r="E19" s="1" t="s">
        <v>27</v>
      </c>
    </row>
    <row r="20" spans="1:16" ht="16.2">
      <c r="E20" s="11" t="s">
        <v>28</v>
      </c>
    </row>
    <row r="21" spans="1:16">
      <c r="E21" s="1" t="s">
        <v>29</v>
      </c>
      <c r="K21" s="27">
        <v>432</v>
      </c>
      <c r="L21" s="1" t="s">
        <v>30</v>
      </c>
      <c r="M21" s="12" t="s">
        <v>31</v>
      </c>
      <c r="N21" s="27">
        <v>0.21859999999999999</v>
      </c>
      <c r="O21" s="12" t="s">
        <v>31</v>
      </c>
      <c r="P21" s="29">
        <v>94.44</v>
      </c>
    </row>
    <row r="22" spans="1:16">
      <c r="A22" s="2"/>
      <c r="B22" s="2"/>
      <c r="E22" s="1" t="s">
        <v>32</v>
      </c>
      <c r="P22" s="30"/>
    </row>
    <row r="23" spans="1:16">
      <c r="E23" s="1" t="s">
        <v>33</v>
      </c>
      <c r="P23" s="30"/>
    </row>
    <row r="24" spans="1:16">
      <c r="E24" s="1" t="s">
        <v>34</v>
      </c>
      <c r="K24" s="28">
        <v>3273</v>
      </c>
      <c r="L24" s="1" t="s">
        <v>30</v>
      </c>
      <c r="N24" s="27">
        <v>0.21859999999999999</v>
      </c>
      <c r="P24" s="29">
        <v>715.48</v>
      </c>
    </row>
    <row r="25" spans="1:16">
      <c r="E25" s="1" t="s">
        <v>35</v>
      </c>
      <c r="P25" s="30"/>
    </row>
    <row r="26" spans="1:16">
      <c r="E26" s="1" t="s">
        <v>33</v>
      </c>
      <c r="P26" s="30"/>
    </row>
    <row r="27" spans="1:16">
      <c r="E27" s="1" t="s">
        <v>36</v>
      </c>
      <c r="K27" s="28">
        <v>4280</v>
      </c>
      <c r="L27" s="1" t="s">
        <v>30</v>
      </c>
      <c r="N27" s="27">
        <v>0.21859999999999999</v>
      </c>
      <c r="P27" s="29">
        <v>935.61</v>
      </c>
    </row>
    <row r="28" spans="1:16">
      <c r="E28" s="1" t="s">
        <v>37</v>
      </c>
      <c r="P28" s="30"/>
    </row>
    <row r="29" spans="1:16">
      <c r="E29" s="1" t="s">
        <v>33</v>
      </c>
      <c r="P29" s="30"/>
    </row>
    <row r="30" spans="1:16">
      <c r="E30" s="1" t="s">
        <v>38</v>
      </c>
      <c r="K30" s="28">
        <v>1899</v>
      </c>
      <c r="L30" s="1" t="s">
        <v>30</v>
      </c>
      <c r="N30" s="27">
        <v>0.21859999999999999</v>
      </c>
      <c r="P30" s="29">
        <v>415.12</v>
      </c>
    </row>
    <row r="31" spans="1:16">
      <c r="E31" s="1" t="s">
        <v>39</v>
      </c>
      <c r="P31" s="30"/>
    </row>
    <row r="32" spans="1:16">
      <c r="E32" s="1" t="s">
        <v>33</v>
      </c>
      <c r="P32" s="30"/>
    </row>
    <row r="33" spans="5:16">
      <c r="E33" s="1" t="s">
        <v>40</v>
      </c>
      <c r="K33" s="27">
        <v>368</v>
      </c>
      <c r="L33" s="1" t="s">
        <v>30</v>
      </c>
      <c r="N33" s="27">
        <v>0.21859999999999999</v>
      </c>
      <c r="P33" s="29">
        <v>80.44</v>
      </c>
    </row>
    <row r="34" spans="5:16">
      <c r="E34" s="1" t="s">
        <v>41</v>
      </c>
      <c r="P34" s="30"/>
    </row>
    <row r="35" spans="5:16">
      <c r="E35" s="1" t="s">
        <v>33</v>
      </c>
      <c r="P35" s="30"/>
    </row>
    <row r="36" spans="5:16">
      <c r="E36" s="1" t="s">
        <v>42</v>
      </c>
      <c r="K36" s="27">
        <v>404</v>
      </c>
      <c r="L36" s="1" t="s">
        <v>30</v>
      </c>
      <c r="N36" s="27">
        <v>0.21859999999999999</v>
      </c>
      <c r="P36" s="29">
        <v>88.31</v>
      </c>
    </row>
    <row r="37" spans="5:16">
      <c r="E37" s="1" t="s">
        <v>43</v>
      </c>
      <c r="P37" s="30"/>
    </row>
    <row r="38" spans="5:16">
      <c r="E38" s="1" t="s">
        <v>33</v>
      </c>
      <c r="P38" s="30"/>
    </row>
    <row r="39" spans="5:16">
      <c r="E39" s="1" t="s">
        <v>44</v>
      </c>
      <c r="K39" s="27">
        <v>340</v>
      </c>
      <c r="L39" s="1" t="s">
        <v>30</v>
      </c>
      <c r="N39" s="27">
        <v>0.21859999999999999</v>
      </c>
      <c r="P39" s="29">
        <v>74.319999999999993</v>
      </c>
    </row>
    <row r="40" spans="5:16">
      <c r="E40" s="1" t="s">
        <v>45</v>
      </c>
      <c r="P40" s="30"/>
    </row>
    <row r="41" spans="5:16">
      <c r="E41" s="1" t="s">
        <v>33</v>
      </c>
      <c r="P41" s="30"/>
    </row>
    <row r="42" spans="5:16">
      <c r="E42" s="1" t="s">
        <v>46</v>
      </c>
      <c r="K42" s="27">
        <v>862</v>
      </c>
      <c r="L42" s="1" t="s">
        <v>30</v>
      </c>
      <c r="N42" s="27">
        <v>0.1</v>
      </c>
      <c r="P42" s="29">
        <v>86.2</v>
      </c>
    </row>
    <row r="43" spans="5:16">
      <c r="E43" s="1" t="s">
        <v>47</v>
      </c>
      <c r="P43" s="30"/>
    </row>
    <row r="44" spans="5:16">
      <c r="E44" s="1" t="s">
        <v>33</v>
      </c>
      <c r="P44" s="30"/>
    </row>
    <row r="45" spans="5:16">
      <c r="E45" s="1" t="s">
        <v>48</v>
      </c>
      <c r="K45" s="28">
        <v>6538</v>
      </c>
      <c r="L45" s="1" t="s">
        <v>30</v>
      </c>
      <c r="N45" s="27">
        <v>0.1</v>
      </c>
      <c r="P45" s="29">
        <v>653.79999999999995</v>
      </c>
    </row>
    <row r="46" spans="5:16">
      <c r="E46" s="1" t="s">
        <v>49</v>
      </c>
      <c r="P46" s="30"/>
    </row>
    <row r="47" spans="5:16">
      <c r="E47" s="1" t="s">
        <v>33</v>
      </c>
      <c r="P47" s="30"/>
    </row>
    <row r="48" spans="5:16">
      <c r="E48" s="1" t="s">
        <v>50</v>
      </c>
      <c r="K48" s="28">
        <v>8559</v>
      </c>
      <c r="L48" s="1" t="s">
        <v>30</v>
      </c>
      <c r="N48" s="27">
        <v>0.1</v>
      </c>
      <c r="P48" s="29">
        <v>855.9</v>
      </c>
    </row>
    <row r="49" spans="5:16">
      <c r="E49" s="1" t="s">
        <v>51</v>
      </c>
      <c r="P49" s="30"/>
    </row>
    <row r="50" spans="5:16">
      <c r="E50" s="1" t="s">
        <v>33</v>
      </c>
      <c r="P50" s="30"/>
    </row>
    <row r="51" spans="5:16">
      <c r="E51" s="1" t="s">
        <v>52</v>
      </c>
      <c r="K51" s="28">
        <v>3796</v>
      </c>
      <c r="L51" s="1" t="s">
        <v>30</v>
      </c>
      <c r="N51" s="27">
        <v>0.1</v>
      </c>
      <c r="P51" s="29">
        <v>379.6</v>
      </c>
    </row>
    <row r="52" spans="5:16">
      <c r="E52" s="1" t="s">
        <v>53</v>
      </c>
      <c r="P52" s="30"/>
    </row>
    <row r="53" spans="5:16">
      <c r="E53" s="1" t="s">
        <v>33</v>
      </c>
      <c r="P53" s="30"/>
    </row>
    <row r="54" spans="5:16">
      <c r="E54" s="1" t="s">
        <v>54</v>
      </c>
      <c r="K54" s="27">
        <v>730</v>
      </c>
      <c r="L54" s="1" t="s">
        <v>30</v>
      </c>
      <c r="N54" s="27">
        <v>0.1</v>
      </c>
      <c r="P54" s="29">
        <v>73</v>
      </c>
    </row>
    <row r="55" spans="5:16">
      <c r="E55" s="1" t="s">
        <v>55</v>
      </c>
      <c r="P55" s="30"/>
    </row>
    <row r="56" spans="5:16">
      <c r="E56" s="1" t="s">
        <v>33</v>
      </c>
      <c r="P56" s="30"/>
    </row>
    <row r="57" spans="5:16">
      <c r="E57" s="1" t="s">
        <v>56</v>
      </c>
      <c r="K57" s="27">
        <v>805</v>
      </c>
      <c r="L57" s="1" t="s">
        <v>30</v>
      </c>
      <c r="M57" s="12" t="s">
        <v>31</v>
      </c>
      <c r="N57" s="27">
        <v>0.1</v>
      </c>
      <c r="O57" s="12" t="s">
        <v>31</v>
      </c>
      <c r="P57" s="29">
        <v>80.5</v>
      </c>
    </row>
    <row r="58" spans="5:16">
      <c r="E58" s="1" t="s">
        <v>57</v>
      </c>
      <c r="P58" s="30"/>
    </row>
    <row r="59" spans="5:16">
      <c r="E59" s="1" t="s">
        <v>33</v>
      </c>
      <c r="P59" s="30"/>
    </row>
    <row r="60" spans="5:16">
      <c r="E60" s="1" t="s">
        <v>58</v>
      </c>
      <c r="K60" s="27">
        <v>678</v>
      </c>
      <c r="L60" s="1" t="s">
        <v>30</v>
      </c>
      <c r="N60" s="27">
        <v>0.1</v>
      </c>
      <c r="P60" s="29">
        <v>67.8</v>
      </c>
    </row>
    <row r="61" spans="5:16">
      <c r="E61" s="1" t="s">
        <v>59</v>
      </c>
      <c r="P61" s="30"/>
    </row>
    <row r="62" spans="5:16">
      <c r="E62" s="1" t="s">
        <v>33</v>
      </c>
      <c r="P62" s="30"/>
    </row>
    <row r="63" spans="5:16">
      <c r="E63" s="1" t="s">
        <v>60</v>
      </c>
      <c r="K63" s="27">
        <v>160</v>
      </c>
      <c r="L63" s="1" t="s">
        <v>30</v>
      </c>
      <c r="N63" s="27">
        <v>0.21859999999999999</v>
      </c>
      <c r="P63" s="29">
        <v>34.979999999999997</v>
      </c>
    </row>
    <row r="64" spans="5:16">
      <c r="E64" s="1" t="s">
        <v>61</v>
      </c>
      <c r="P64" s="30"/>
    </row>
    <row r="65" spans="5:16">
      <c r="E65" s="1" t="s">
        <v>33</v>
      </c>
      <c r="P65" s="30"/>
    </row>
    <row r="66" spans="5:16">
      <c r="E66" s="1" t="s">
        <v>62</v>
      </c>
      <c r="K66" s="27">
        <v>105</v>
      </c>
      <c r="L66" s="1" t="s">
        <v>30</v>
      </c>
      <c r="N66" s="27">
        <v>0.1</v>
      </c>
      <c r="P66" s="29">
        <v>10.5</v>
      </c>
    </row>
    <row r="67" spans="5:16">
      <c r="E67" s="1" t="s">
        <v>63</v>
      </c>
      <c r="P67" s="30"/>
    </row>
    <row r="68" spans="5:16">
      <c r="E68" s="1" t="s">
        <v>33</v>
      </c>
      <c r="P68" s="30"/>
    </row>
    <row r="69" spans="5:16">
      <c r="E69" s="1" t="s">
        <v>64</v>
      </c>
      <c r="P69" s="30"/>
    </row>
    <row r="70" spans="5:16">
      <c r="E70" s="1" t="s">
        <v>27</v>
      </c>
      <c r="P70" s="30"/>
    </row>
    <row r="71" spans="5:16" ht="16.2">
      <c r="E71" s="11" t="s">
        <v>28</v>
      </c>
      <c r="P71" s="30"/>
    </row>
    <row r="72" spans="5:16">
      <c r="E72" s="1" t="s">
        <v>65</v>
      </c>
      <c r="K72" s="27">
        <v>8</v>
      </c>
      <c r="L72" s="1" t="s">
        <v>30</v>
      </c>
      <c r="N72" s="27">
        <v>0.21859999999999999</v>
      </c>
      <c r="P72" s="29">
        <v>1.75</v>
      </c>
    </row>
    <row r="73" spans="5:16">
      <c r="E73" s="1" t="s">
        <v>33</v>
      </c>
      <c r="P73" s="30"/>
    </row>
    <row r="74" spans="5:16">
      <c r="E74" s="1" t="s">
        <v>66</v>
      </c>
      <c r="P74" s="30"/>
    </row>
    <row r="75" spans="5:16">
      <c r="E75" s="1" t="s">
        <v>67</v>
      </c>
      <c r="P75" s="30"/>
    </row>
    <row r="76" spans="5:16">
      <c r="E76" s="1" t="s">
        <v>68</v>
      </c>
      <c r="P76" s="30"/>
    </row>
    <row r="77" spans="5:16">
      <c r="E77" s="1" t="s">
        <v>69</v>
      </c>
      <c r="P77" s="30"/>
    </row>
    <row r="78" spans="5:16">
      <c r="E78" s="1" t="s">
        <v>70</v>
      </c>
      <c r="P78" s="30"/>
    </row>
    <row r="79" spans="5:16">
      <c r="E79" s="1" t="s">
        <v>71</v>
      </c>
      <c r="P79" s="30"/>
    </row>
    <row r="80" spans="5:16">
      <c r="E80" s="1" t="s">
        <v>72</v>
      </c>
      <c r="K80" s="28">
        <v>94232</v>
      </c>
      <c r="L80" s="1" t="s">
        <v>30</v>
      </c>
      <c r="M80" s="12" t="s">
        <v>31</v>
      </c>
      <c r="N80" s="27">
        <v>0.09</v>
      </c>
      <c r="P80" s="29">
        <v>8480.8799999999992</v>
      </c>
    </row>
    <row r="81" spans="5:25">
      <c r="E81" s="1" t="s">
        <v>72</v>
      </c>
      <c r="K81" s="27">
        <v>944</v>
      </c>
      <c r="L81" s="1" t="s">
        <v>30</v>
      </c>
      <c r="N81" s="27">
        <v>0.09</v>
      </c>
      <c r="P81" s="29">
        <v>84.96</v>
      </c>
    </row>
    <row r="82" spans="5:25">
      <c r="E82" s="1" t="s">
        <v>73</v>
      </c>
      <c r="K82" s="28">
        <v>79171</v>
      </c>
      <c r="L82" s="1" t="s">
        <v>30</v>
      </c>
      <c r="N82" s="27">
        <v>4.5999999999999999E-2</v>
      </c>
      <c r="P82" s="29">
        <v>3641.87</v>
      </c>
    </row>
    <row r="83" spans="5:25">
      <c r="E83" s="1" t="s">
        <v>73</v>
      </c>
      <c r="K83" s="27">
        <v>791</v>
      </c>
      <c r="L83" s="1" t="s">
        <v>30</v>
      </c>
      <c r="N83" s="27">
        <v>4.5999999999999999E-2</v>
      </c>
      <c r="P83" s="29">
        <v>36.39</v>
      </c>
    </row>
    <row r="84" spans="5:25" ht="16.2">
      <c r="K84" s="27"/>
      <c r="N84" s="27"/>
      <c r="P84" s="29"/>
      <c r="S84" s="40"/>
      <c r="X84" s="44"/>
      <c r="Y84" s="45"/>
    </row>
    <row r="85" spans="5:25" ht="16.2">
      <c r="E85" s="47" t="s">
        <v>256</v>
      </c>
      <c r="H85" s="42"/>
      <c r="I85" s="43"/>
      <c r="K85" s="27"/>
      <c r="N85" s="27"/>
      <c r="P85" s="29"/>
      <c r="S85" s="46"/>
      <c r="T85" s="41"/>
      <c r="U85" s="43"/>
      <c r="V85" s="43"/>
      <c r="X85" s="43"/>
      <c r="Y85" s="46"/>
    </row>
    <row r="86" spans="5:25" ht="16.2">
      <c r="E86" s="48" t="s">
        <v>253</v>
      </c>
      <c r="K86" s="27"/>
      <c r="N86" s="27"/>
      <c r="P86" s="29"/>
      <c r="S86" s="46"/>
      <c r="T86" s="41"/>
      <c r="U86" s="43"/>
      <c r="V86" s="43"/>
      <c r="X86" s="43"/>
      <c r="Y86" s="46"/>
    </row>
    <row r="87" spans="5:25" ht="16.2">
      <c r="E87" s="43" t="s">
        <v>258</v>
      </c>
      <c r="K87" s="27"/>
      <c r="N87" s="27"/>
      <c r="P87" s="29"/>
    </row>
    <row r="88" spans="5:25">
      <c r="E88" s="49" t="s">
        <v>257</v>
      </c>
      <c r="K88" s="27">
        <v>700</v>
      </c>
      <c r="L88" s="1" t="s">
        <v>259</v>
      </c>
      <c r="M88" s="12" t="s">
        <v>31</v>
      </c>
      <c r="N88" s="27">
        <v>0.28999999999999998</v>
      </c>
      <c r="P88" s="29">
        <f>K88*N88</f>
        <v>203</v>
      </c>
    </row>
    <row r="89" spans="5:25">
      <c r="E89" s="49"/>
      <c r="K89" s="27"/>
      <c r="N89" s="27"/>
      <c r="P89" s="29"/>
    </row>
    <row r="90" spans="5:25" ht="16.2">
      <c r="E90" s="47" t="s">
        <v>260</v>
      </c>
      <c r="K90" s="27"/>
      <c r="N90" s="27"/>
      <c r="P90" s="29"/>
    </row>
    <row r="91" spans="5:25" ht="16.2">
      <c r="E91" s="43" t="s">
        <v>254</v>
      </c>
      <c r="K91" s="50">
        <v>6775</v>
      </c>
      <c r="L91" s="1" t="s">
        <v>261</v>
      </c>
      <c r="N91" s="27">
        <v>0.24</v>
      </c>
      <c r="P91" s="29">
        <f>K91*N91</f>
        <v>1626</v>
      </c>
    </row>
    <row r="92" spans="5:25" ht="16.2">
      <c r="E92" s="43" t="s">
        <v>262</v>
      </c>
      <c r="K92" s="27"/>
      <c r="N92" s="27"/>
      <c r="P92" s="29"/>
    </row>
    <row r="93" spans="5:25" ht="16.2">
      <c r="E93" s="43" t="s">
        <v>255</v>
      </c>
      <c r="K93" s="50">
        <v>14975</v>
      </c>
      <c r="L93" s="1" t="s">
        <v>261</v>
      </c>
      <c r="N93" s="27">
        <v>7.6999999999999999E-2</v>
      </c>
      <c r="P93" s="29">
        <f>K93*N93</f>
        <v>1153.075</v>
      </c>
    </row>
    <row r="94" spans="5:25" ht="16.2">
      <c r="E94" s="43" t="s">
        <v>263</v>
      </c>
      <c r="K94" s="27"/>
      <c r="N94" s="27"/>
      <c r="P94" s="29"/>
    </row>
    <row r="95" spans="5:25">
      <c r="E95" s="1" t="s">
        <v>33</v>
      </c>
      <c r="P95" s="30"/>
    </row>
    <row r="96" spans="5:25">
      <c r="E96" s="1" t="s">
        <v>74</v>
      </c>
      <c r="P96" s="30"/>
    </row>
    <row r="97" spans="5:16">
      <c r="E97" s="1" t="s">
        <v>75</v>
      </c>
      <c r="P97" s="30"/>
    </row>
    <row r="98" spans="5:16">
      <c r="E98" s="1" t="s">
        <v>76</v>
      </c>
      <c r="P98" s="30"/>
    </row>
    <row r="99" spans="5:16">
      <c r="E99" s="1" t="s">
        <v>77</v>
      </c>
      <c r="P99" s="30"/>
    </row>
    <row r="100" spans="5:16">
      <c r="E100" s="1" t="s">
        <v>78</v>
      </c>
      <c r="P100" s="30"/>
    </row>
    <row r="101" spans="5:16">
      <c r="E101" s="1" t="s">
        <v>79</v>
      </c>
      <c r="P101" s="30"/>
    </row>
    <row r="102" spans="5:16" ht="16.2">
      <c r="E102" s="11" t="s">
        <v>80</v>
      </c>
      <c r="P102" s="30"/>
    </row>
    <row r="103" spans="5:16">
      <c r="E103" s="1" t="s">
        <v>81</v>
      </c>
      <c r="P103" s="30"/>
    </row>
    <row r="104" spans="5:16">
      <c r="E104" s="1" t="s">
        <v>82</v>
      </c>
      <c r="P104" s="30"/>
    </row>
    <row r="105" spans="5:16">
      <c r="E105" s="2" t="s">
        <v>83</v>
      </c>
      <c r="P105" s="30"/>
    </row>
    <row r="106" spans="5:16">
      <c r="E106" s="1" t="s">
        <v>84</v>
      </c>
      <c r="K106" s="28">
        <v>1136</v>
      </c>
      <c r="L106" s="1" t="s">
        <v>85</v>
      </c>
      <c r="N106" s="27">
        <v>1.7</v>
      </c>
      <c r="P106" s="29">
        <v>1931.2</v>
      </c>
    </row>
    <row r="107" spans="5:16">
      <c r="E107" s="1" t="s">
        <v>86</v>
      </c>
      <c r="K107" s="27">
        <v>31</v>
      </c>
      <c r="L107" s="1" t="s">
        <v>85</v>
      </c>
      <c r="N107" s="27">
        <v>1.7</v>
      </c>
      <c r="P107" s="29">
        <v>52.7</v>
      </c>
    </row>
    <row r="108" spans="5:16">
      <c r="E108" s="1" t="s">
        <v>86</v>
      </c>
      <c r="K108" s="27">
        <v>36</v>
      </c>
      <c r="L108" s="1" t="s">
        <v>85</v>
      </c>
      <c r="N108" s="27">
        <v>1.7</v>
      </c>
      <c r="P108" s="29">
        <v>61.2</v>
      </c>
    </row>
    <row r="109" spans="5:16">
      <c r="E109" s="1" t="s">
        <v>33</v>
      </c>
      <c r="P109" s="30"/>
    </row>
    <row r="110" spans="5:16">
      <c r="E110" s="1" t="s">
        <v>87</v>
      </c>
      <c r="P110" s="30"/>
    </row>
    <row r="111" spans="5:16">
      <c r="E111" s="1" t="s">
        <v>88</v>
      </c>
      <c r="P111" s="30"/>
    </row>
    <row r="112" spans="5:16">
      <c r="E112" s="1" t="s">
        <v>78</v>
      </c>
      <c r="P112" s="30"/>
    </row>
    <row r="113" spans="5:16">
      <c r="E113" s="1" t="s">
        <v>89</v>
      </c>
      <c r="P113" s="30"/>
    </row>
    <row r="114" spans="5:16" ht="16.2">
      <c r="E114" s="11" t="s">
        <v>90</v>
      </c>
      <c r="P114" s="30"/>
    </row>
    <row r="115" spans="5:16">
      <c r="E115" s="1" t="s">
        <v>91</v>
      </c>
      <c r="P115" s="30"/>
    </row>
    <row r="116" spans="5:16">
      <c r="E116" s="1" t="s">
        <v>92</v>
      </c>
      <c r="P116" s="30"/>
    </row>
    <row r="117" spans="5:16">
      <c r="E117" s="2" t="s">
        <v>83</v>
      </c>
      <c r="P117" s="30"/>
    </row>
    <row r="118" spans="5:16">
      <c r="E118" s="1" t="s">
        <v>93</v>
      </c>
      <c r="K118" s="27">
        <v>43</v>
      </c>
      <c r="L118" s="1" t="s">
        <v>85</v>
      </c>
      <c r="N118" s="27">
        <v>2.35</v>
      </c>
      <c r="P118" s="29">
        <v>101.05</v>
      </c>
    </row>
    <row r="119" spans="5:16">
      <c r="E119" s="1" t="s">
        <v>94</v>
      </c>
      <c r="P119" s="30"/>
    </row>
    <row r="120" spans="5:16">
      <c r="E120" s="1" t="s">
        <v>93</v>
      </c>
      <c r="K120" s="27">
        <v>17</v>
      </c>
      <c r="L120" s="1" t="s">
        <v>85</v>
      </c>
      <c r="N120" s="27">
        <v>2.35</v>
      </c>
      <c r="P120" s="29">
        <v>39.950000000000003</v>
      </c>
    </row>
    <row r="121" spans="5:16">
      <c r="E121" s="1" t="s">
        <v>94</v>
      </c>
      <c r="P121" s="30"/>
    </row>
    <row r="122" spans="5:16">
      <c r="E122" s="1" t="s">
        <v>33</v>
      </c>
      <c r="P122" s="30"/>
    </row>
    <row r="123" spans="5:16">
      <c r="E123" s="1" t="s">
        <v>95</v>
      </c>
      <c r="P123" s="30"/>
    </row>
    <row r="124" spans="5:16">
      <c r="E124" s="1" t="s">
        <v>96</v>
      </c>
      <c r="P124" s="30"/>
    </row>
    <row r="125" spans="5:16">
      <c r="E125" s="1" t="s">
        <v>97</v>
      </c>
      <c r="P125" s="30"/>
    </row>
    <row r="126" spans="5:16">
      <c r="E126" s="1" t="s">
        <v>98</v>
      </c>
      <c r="P126" s="30"/>
    </row>
    <row r="127" spans="5:16">
      <c r="E127" s="1" t="s">
        <v>99</v>
      </c>
      <c r="P127" s="30"/>
    </row>
    <row r="128" spans="5:16" ht="16.2">
      <c r="E128" s="11" t="s">
        <v>80</v>
      </c>
      <c r="P128" s="30"/>
    </row>
    <row r="129" spans="5:16">
      <c r="E129" s="1" t="s">
        <v>91</v>
      </c>
      <c r="P129" s="30"/>
    </row>
    <row r="130" spans="5:16">
      <c r="E130" s="1" t="s">
        <v>92</v>
      </c>
      <c r="P130" s="30"/>
    </row>
    <row r="131" spans="5:16">
      <c r="E131" s="2" t="s">
        <v>83</v>
      </c>
      <c r="P131" s="30"/>
    </row>
    <row r="132" spans="5:16">
      <c r="E132" s="1" t="s">
        <v>100</v>
      </c>
      <c r="K132" s="28">
        <v>3924</v>
      </c>
      <c r="L132" s="1" t="s">
        <v>30</v>
      </c>
      <c r="M132" s="12" t="s">
        <v>31</v>
      </c>
      <c r="N132" s="27">
        <v>0.56999999999999995</v>
      </c>
      <c r="O132" s="12" t="s">
        <v>31</v>
      </c>
      <c r="P132" s="29">
        <v>2236.6799999999998</v>
      </c>
    </row>
    <row r="133" spans="5:16">
      <c r="E133" s="1" t="s">
        <v>101</v>
      </c>
      <c r="K133" s="28">
        <v>3794</v>
      </c>
      <c r="L133" s="1" t="s">
        <v>30</v>
      </c>
      <c r="N133" s="27">
        <v>0.56999999999999995</v>
      </c>
      <c r="P133" s="29">
        <v>2162.58</v>
      </c>
    </row>
    <row r="134" spans="5:16">
      <c r="E134" s="1" t="s">
        <v>102</v>
      </c>
      <c r="K134" s="28">
        <v>1040</v>
      </c>
      <c r="L134" s="1" t="s">
        <v>30</v>
      </c>
      <c r="N134" s="27">
        <v>0.56999999999999995</v>
      </c>
      <c r="P134" s="29">
        <v>592.79999999999995</v>
      </c>
    </row>
    <row r="135" spans="5:16">
      <c r="E135" s="1" t="s">
        <v>33</v>
      </c>
      <c r="P135" s="30"/>
    </row>
    <row r="136" spans="5:16">
      <c r="E136" s="1" t="s">
        <v>103</v>
      </c>
      <c r="P136" s="30"/>
    </row>
    <row r="137" spans="5:16" ht="16.2">
      <c r="E137" s="11" t="s">
        <v>80</v>
      </c>
      <c r="P137" s="30"/>
    </row>
    <row r="138" spans="5:16">
      <c r="E138" s="1" t="s">
        <v>81</v>
      </c>
      <c r="P138" s="30"/>
    </row>
    <row r="139" spans="5:16">
      <c r="E139" s="1" t="s">
        <v>82</v>
      </c>
      <c r="P139" s="30"/>
    </row>
    <row r="140" spans="5:16">
      <c r="E140" s="2" t="s">
        <v>83</v>
      </c>
      <c r="P140" s="30"/>
    </row>
    <row r="141" spans="5:16">
      <c r="E141" s="1" t="s">
        <v>84</v>
      </c>
      <c r="K141" s="28">
        <v>6182</v>
      </c>
      <c r="L141" s="1" t="s">
        <v>30</v>
      </c>
      <c r="N141" s="27">
        <v>0.56999999999999995</v>
      </c>
      <c r="P141" s="29">
        <v>3523.74</v>
      </c>
    </row>
    <row r="142" spans="5:16">
      <c r="E142" s="1" t="s">
        <v>86</v>
      </c>
      <c r="K142" s="28">
        <v>3299</v>
      </c>
      <c r="L142" s="1" t="s">
        <v>30</v>
      </c>
      <c r="N142" s="27">
        <v>0.56999999999999995</v>
      </c>
      <c r="P142" s="29">
        <v>1880.43</v>
      </c>
    </row>
    <row r="143" spans="5:16">
      <c r="E143" s="1" t="s">
        <v>102</v>
      </c>
      <c r="K143" s="28">
        <v>5151</v>
      </c>
      <c r="L143" s="1" t="s">
        <v>30</v>
      </c>
      <c r="N143" s="27">
        <v>0.56999999999999995</v>
      </c>
      <c r="P143" s="29">
        <v>2936.07</v>
      </c>
    </row>
    <row r="144" spans="5:16">
      <c r="E144" s="1" t="s">
        <v>33</v>
      </c>
      <c r="P144" s="30"/>
    </row>
    <row r="145" spans="1:16">
      <c r="E145" s="1" t="s">
        <v>104</v>
      </c>
      <c r="P145" s="30"/>
    </row>
    <row r="146" spans="1:16">
      <c r="E146" s="1" t="s">
        <v>105</v>
      </c>
      <c r="P146" s="30"/>
    </row>
    <row r="147" spans="1:16">
      <c r="E147" s="1" t="s">
        <v>106</v>
      </c>
      <c r="P147" s="30"/>
    </row>
    <row r="148" spans="1:16" ht="16.2">
      <c r="E148" s="11" t="s">
        <v>80</v>
      </c>
      <c r="P148" s="30"/>
    </row>
    <row r="149" spans="1:16">
      <c r="E149" s="1" t="s">
        <v>81</v>
      </c>
      <c r="P149" s="30"/>
    </row>
    <row r="150" spans="1:16">
      <c r="E150" s="1" t="s">
        <v>82</v>
      </c>
      <c r="P150" s="30"/>
    </row>
    <row r="151" spans="1:16">
      <c r="E151" s="2" t="s">
        <v>83</v>
      </c>
      <c r="P151" s="30"/>
    </row>
    <row r="152" spans="1:16">
      <c r="E152" s="1" t="s">
        <v>84</v>
      </c>
      <c r="K152" s="28">
        <v>12362</v>
      </c>
      <c r="L152" s="1" t="s">
        <v>30</v>
      </c>
      <c r="N152" s="27">
        <v>0.28999999999999998</v>
      </c>
      <c r="P152" s="29">
        <v>3584.98</v>
      </c>
    </row>
    <row r="153" spans="1:16">
      <c r="E153" s="1" t="s">
        <v>86</v>
      </c>
      <c r="K153" s="28">
        <v>6596</v>
      </c>
      <c r="L153" s="1" t="s">
        <v>30</v>
      </c>
      <c r="N153" s="27">
        <v>0.28999999999999998</v>
      </c>
      <c r="P153" s="29">
        <v>1912.84</v>
      </c>
    </row>
    <row r="154" spans="1:16">
      <c r="E154" s="1" t="s">
        <v>102</v>
      </c>
      <c r="K154" s="28">
        <v>10300</v>
      </c>
      <c r="L154" s="1" t="s">
        <v>30</v>
      </c>
      <c r="N154" s="27">
        <v>0.28999999999999998</v>
      </c>
      <c r="P154" s="29">
        <v>2987</v>
      </c>
    </row>
    <row r="155" spans="1:16">
      <c r="K155" s="28"/>
      <c r="N155" s="27"/>
      <c r="P155" s="29"/>
    </row>
    <row r="156" spans="1:16" s="34" customFormat="1" ht="15" customHeight="1">
      <c r="A156" s="31" t="s">
        <v>175</v>
      </c>
      <c r="B156" s="31"/>
      <c r="C156" s="32"/>
      <c r="D156" s="33"/>
      <c r="E156" s="34" t="s">
        <v>176</v>
      </c>
      <c r="H156" s="35"/>
      <c r="I156" s="36"/>
      <c r="K156" s="36"/>
      <c r="L156" s="35"/>
      <c r="M156" s="36"/>
      <c r="N156" s="35"/>
    </row>
    <row r="157" spans="1:16" s="34" customFormat="1" ht="13.5" customHeight="1">
      <c r="A157" s="31" t="s">
        <v>177</v>
      </c>
      <c r="B157" s="31"/>
      <c r="C157" s="32"/>
      <c r="D157" s="33"/>
      <c r="E157" s="31" t="s">
        <v>178</v>
      </c>
      <c r="F157" s="31"/>
      <c r="G157" s="31"/>
      <c r="H157" s="35"/>
      <c r="I157" s="36"/>
      <c r="K157" s="36"/>
      <c r="L157" s="35"/>
      <c r="M157" s="36"/>
      <c r="N157" s="35"/>
    </row>
    <row r="158" spans="1:16" s="34" customFormat="1" ht="13.5" customHeight="1">
      <c r="A158" s="31" t="s">
        <v>179</v>
      </c>
      <c r="B158" s="31"/>
      <c r="C158" s="32"/>
      <c r="D158" s="33"/>
      <c r="E158" s="31" t="s">
        <v>180</v>
      </c>
      <c r="F158" s="31"/>
      <c r="G158" s="31"/>
      <c r="H158" s="35"/>
      <c r="I158" s="36"/>
      <c r="K158" s="36"/>
      <c r="L158" s="35"/>
      <c r="M158" s="36"/>
      <c r="N158" s="35"/>
    </row>
    <row r="159" spans="1:16" s="34" customFormat="1" ht="13.5" customHeight="1">
      <c r="A159" s="31" t="s">
        <v>181</v>
      </c>
      <c r="B159" s="31"/>
      <c r="C159" s="32"/>
      <c r="D159" s="33"/>
      <c r="E159" s="31" t="s">
        <v>182</v>
      </c>
      <c r="F159" s="31"/>
      <c r="G159" s="31"/>
      <c r="H159" s="35"/>
      <c r="I159" s="36"/>
      <c r="K159" s="36"/>
      <c r="L159" s="35"/>
      <c r="M159" s="36"/>
      <c r="N159" s="35"/>
    </row>
    <row r="160" spans="1:16" s="34" customFormat="1" ht="13.5" customHeight="1">
      <c r="A160" s="31" t="s">
        <v>183</v>
      </c>
      <c r="B160" s="31"/>
      <c r="C160" s="32"/>
      <c r="D160" s="33"/>
      <c r="E160" s="31" t="s">
        <v>184</v>
      </c>
      <c r="F160" s="31"/>
      <c r="G160" s="31"/>
      <c r="H160" s="35"/>
      <c r="I160" s="36"/>
      <c r="K160" s="36"/>
      <c r="L160" s="35"/>
      <c r="M160" s="36"/>
      <c r="N160" s="35"/>
    </row>
    <row r="161" spans="1:16" s="34" customFormat="1" ht="13.5" customHeight="1">
      <c r="A161" s="31" t="s">
        <v>185</v>
      </c>
      <c r="B161" s="31"/>
      <c r="C161" s="32"/>
      <c r="D161" s="33"/>
      <c r="E161" s="31" t="s">
        <v>186</v>
      </c>
      <c r="F161" s="31"/>
      <c r="G161" s="31"/>
      <c r="H161" s="35"/>
      <c r="I161" s="36"/>
      <c r="K161" s="36"/>
      <c r="L161" s="35"/>
      <c r="M161" s="36"/>
      <c r="N161" s="35"/>
    </row>
    <row r="162" spans="1:16" s="34" customFormat="1" ht="13.5" customHeight="1">
      <c r="A162" s="31" t="s">
        <v>187</v>
      </c>
      <c r="B162" s="31"/>
      <c r="C162" s="32"/>
      <c r="D162" s="33"/>
      <c r="E162" s="31" t="s">
        <v>188</v>
      </c>
      <c r="F162" s="31"/>
      <c r="G162" s="31"/>
      <c r="H162" s="35"/>
      <c r="I162" s="36"/>
      <c r="K162" s="36"/>
      <c r="L162" s="35"/>
      <c r="M162" s="36"/>
      <c r="N162" s="35"/>
    </row>
    <row r="163" spans="1:16" s="34" customFormat="1" ht="13.5" customHeight="1">
      <c r="A163" s="31" t="s">
        <v>189</v>
      </c>
      <c r="B163" s="31"/>
      <c r="C163" s="32"/>
      <c r="D163" s="33"/>
      <c r="E163" s="31" t="s">
        <v>180</v>
      </c>
      <c r="F163" s="31"/>
      <c r="G163" s="31"/>
      <c r="H163" s="35"/>
      <c r="I163" s="36"/>
      <c r="K163" s="36"/>
      <c r="L163" s="35"/>
      <c r="M163" s="36"/>
      <c r="N163" s="35"/>
    </row>
    <row r="164" spans="1:16" s="34" customFormat="1" ht="13.5" customHeight="1">
      <c r="A164" s="31" t="s">
        <v>190</v>
      </c>
      <c r="B164" s="31"/>
      <c r="C164" s="32"/>
      <c r="D164" s="33"/>
      <c r="E164" s="31" t="s">
        <v>191</v>
      </c>
      <c r="F164" s="31"/>
      <c r="G164" s="31"/>
      <c r="H164" s="35"/>
      <c r="I164" s="36"/>
      <c r="K164" s="36"/>
      <c r="L164" s="35"/>
      <c r="M164" s="36"/>
      <c r="N164" s="35"/>
    </row>
    <row r="165" spans="1:16" s="34" customFormat="1" ht="13.5" customHeight="1">
      <c r="A165" s="31" t="s">
        <v>192</v>
      </c>
      <c r="B165" s="31"/>
      <c r="C165" s="32"/>
      <c r="D165" s="33"/>
      <c r="E165" s="31" t="s">
        <v>193</v>
      </c>
      <c r="F165" s="31"/>
      <c r="G165" s="31"/>
      <c r="H165" s="35"/>
      <c r="I165" s="36"/>
      <c r="K165" s="36"/>
      <c r="L165" s="35"/>
      <c r="M165" s="36"/>
      <c r="N165" s="35"/>
    </row>
    <row r="166" spans="1:16" s="34" customFormat="1" ht="13.5" customHeight="1">
      <c r="A166" s="31" t="s">
        <v>115</v>
      </c>
      <c r="B166" s="31"/>
      <c r="C166" s="32"/>
      <c r="D166" s="33"/>
      <c r="E166" s="31" t="s">
        <v>194</v>
      </c>
      <c r="F166" s="31"/>
      <c r="G166" s="31"/>
      <c r="H166" s="35"/>
      <c r="I166" s="36"/>
      <c r="K166" s="36"/>
      <c r="L166" s="35"/>
      <c r="M166" s="36"/>
      <c r="N166" s="35"/>
    </row>
    <row r="167" spans="1:16" s="34" customFormat="1">
      <c r="A167" s="31"/>
      <c r="B167" s="31"/>
      <c r="C167" s="32"/>
      <c r="D167" s="33"/>
      <c r="E167" s="37" t="s">
        <v>195</v>
      </c>
      <c r="F167" s="31"/>
      <c r="G167" s="31"/>
      <c r="H167" s="35"/>
      <c r="I167" s="36"/>
      <c r="K167" s="36"/>
      <c r="L167" s="35"/>
      <c r="M167" s="36"/>
      <c r="N167" s="35"/>
    </row>
    <row r="168" spans="1:16" s="34" customFormat="1">
      <c r="A168" s="31"/>
      <c r="B168" s="31"/>
      <c r="C168" s="32"/>
      <c r="D168" s="33"/>
      <c r="E168" s="37" t="s">
        <v>196</v>
      </c>
      <c r="F168" s="31"/>
      <c r="G168" s="31"/>
      <c r="H168" s="35"/>
      <c r="I168" s="36"/>
      <c r="K168" s="36"/>
      <c r="L168" s="35"/>
      <c r="M168" s="36"/>
      <c r="N168" s="35"/>
    </row>
    <row r="169" spans="1:16" s="34" customFormat="1">
      <c r="A169" s="31"/>
      <c r="B169" s="31"/>
      <c r="C169" s="32"/>
      <c r="D169" s="33"/>
      <c r="E169" s="37" t="s">
        <v>197</v>
      </c>
      <c r="F169" s="31"/>
      <c r="G169" s="31"/>
      <c r="H169" s="35"/>
      <c r="I169" s="36"/>
      <c r="K169" s="36"/>
      <c r="L169" s="35"/>
      <c r="M169" s="36"/>
      <c r="N169" s="35"/>
    </row>
    <row r="170" spans="1:16" s="34" customFormat="1">
      <c r="A170" s="31"/>
      <c r="B170" s="31"/>
      <c r="C170" s="32"/>
      <c r="D170" s="33"/>
      <c r="E170" s="31" t="s">
        <v>198</v>
      </c>
      <c r="F170" s="31"/>
      <c r="G170" s="31"/>
      <c r="K170" s="38">
        <v>1339</v>
      </c>
      <c r="L170" s="36" t="s">
        <v>199</v>
      </c>
      <c r="M170" s="36" t="s">
        <v>31</v>
      </c>
      <c r="N170" s="35">
        <v>3.1</v>
      </c>
      <c r="O170" s="36" t="s">
        <v>31</v>
      </c>
      <c r="P170" s="39">
        <v>4150.8999999999996</v>
      </c>
    </row>
    <row r="171" spans="1:16" s="34" customFormat="1">
      <c r="A171" s="31"/>
      <c r="B171" s="31"/>
      <c r="C171" s="32"/>
      <c r="D171" s="33"/>
      <c r="E171" s="31" t="s">
        <v>200</v>
      </c>
      <c r="F171" s="31"/>
      <c r="G171" s="31"/>
      <c r="K171" s="35"/>
      <c r="L171" s="36"/>
      <c r="M171" s="36"/>
      <c r="N171" s="35"/>
      <c r="O171" s="36"/>
      <c r="P171" s="35"/>
    </row>
    <row r="172" spans="1:16" s="34" customFormat="1">
      <c r="A172" s="31"/>
      <c r="B172" s="31"/>
      <c r="C172" s="32"/>
      <c r="D172" s="33"/>
      <c r="E172" s="31" t="s">
        <v>201</v>
      </c>
      <c r="F172" s="31"/>
      <c r="G172" s="31"/>
      <c r="K172" s="35"/>
      <c r="L172" s="36"/>
      <c r="M172" s="36"/>
      <c r="N172" s="35"/>
      <c r="O172" s="36"/>
      <c r="P172" s="35"/>
    </row>
    <row r="173" spans="1:16" s="34" customFormat="1">
      <c r="A173" s="31"/>
      <c r="B173" s="31"/>
      <c r="C173" s="32"/>
      <c r="D173" s="33"/>
      <c r="E173" s="37" t="s">
        <v>202</v>
      </c>
      <c r="F173" s="31"/>
      <c r="G173" s="31"/>
      <c r="K173" s="35"/>
      <c r="L173" s="36"/>
      <c r="M173" s="36"/>
      <c r="N173" s="35"/>
      <c r="O173" s="36"/>
      <c r="P173" s="35"/>
    </row>
    <row r="174" spans="1:16" s="34" customFormat="1">
      <c r="A174" s="31"/>
      <c r="B174" s="31"/>
      <c r="C174" s="32"/>
      <c r="D174" s="33"/>
      <c r="E174" s="37" t="s">
        <v>203</v>
      </c>
      <c r="F174" s="31"/>
      <c r="G174" s="31"/>
      <c r="K174" s="35"/>
      <c r="L174" s="36"/>
      <c r="M174" s="36"/>
      <c r="N174" s="35"/>
      <c r="O174" s="36"/>
      <c r="P174" s="35"/>
    </row>
    <row r="175" spans="1:16" s="34" customFormat="1">
      <c r="A175" s="31"/>
      <c r="B175" s="31"/>
      <c r="C175" s="32"/>
      <c r="D175" s="33"/>
      <c r="E175" s="31" t="s">
        <v>204</v>
      </c>
      <c r="F175" s="31"/>
      <c r="G175" s="31"/>
      <c r="K175" s="38">
        <v>2578</v>
      </c>
      <c r="L175" s="36" t="s">
        <v>199</v>
      </c>
      <c r="M175" s="36" t="s">
        <v>31</v>
      </c>
      <c r="N175" s="35">
        <v>3.1</v>
      </c>
      <c r="O175" s="36" t="s">
        <v>31</v>
      </c>
      <c r="P175" s="39">
        <v>7991.8</v>
      </c>
    </row>
    <row r="176" spans="1:16" s="34" customFormat="1">
      <c r="A176" s="31"/>
      <c r="B176" s="31"/>
      <c r="C176" s="32"/>
      <c r="D176" s="33"/>
      <c r="E176" s="31" t="s">
        <v>205</v>
      </c>
      <c r="F176" s="31"/>
      <c r="G176" s="31"/>
      <c r="K176" s="35"/>
      <c r="L176" s="36"/>
      <c r="M176" s="36"/>
      <c r="N176" s="35"/>
      <c r="O176" s="36"/>
      <c r="P176" s="35"/>
    </row>
    <row r="177" spans="1:16" s="34" customFormat="1">
      <c r="A177" s="31"/>
      <c r="B177" s="31"/>
      <c r="C177" s="32"/>
      <c r="D177" s="33"/>
      <c r="E177" s="31" t="s">
        <v>206</v>
      </c>
      <c r="F177" s="31"/>
      <c r="G177" s="31"/>
      <c r="K177" s="35"/>
      <c r="L177" s="36"/>
      <c r="M177" s="36"/>
      <c r="N177" s="35"/>
      <c r="O177" s="36"/>
      <c r="P177" s="35"/>
    </row>
    <row r="178" spans="1:16" s="34" customFormat="1">
      <c r="A178" s="31"/>
      <c r="B178" s="31"/>
      <c r="C178" s="32"/>
      <c r="D178" s="33"/>
      <c r="E178" s="37" t="s">
        <v>207</v>
      </c>
      <c r="F178" s="31"/>
      <c r="G178" s="31"/>
      <c r="K178" s="35"/>
      <c r="L178" s="36"/>
      <c r="M178" s="36"/>
      <c r="N178" s="35"/>
      <c r="O178" s="36"/>
      <c r="P178" s="35"/>
    </row>
    <row r="179" spans="1:16" s="34" customFormat="1">
      <c r="A179" s="31"/>
      <c r="B179" s="31"/>
      <c r="C179" s="32"/>
      <c r="D179" s="33"/>
      <c r="E179" s="37" t="s">
        <v>208</v>
      </c>
      <c r="F179" s="31"/>
      <c r="G179" s="31"/>
      <c r="K179" s="35"/>
      <c r="L179" s="36"/>
      <c r="M179" s="36"/>
      <c r="N179" s="35"/>
      <c r="O179" s="36"/>
      <c r="P179" s="35"/>
    </row>
    <row r="180" spans="1:16" s="34" customFormat="1">
      <c r="A180" s="31"/>
      <c r="B180" s="31"/>
      <c r="C180" s="32"/>
      <c r="D180" s="33"/>
      <c r="E180" s="31" t="s">
        <v>209</v>
      </c>
      <c r="F180" s="31"/>
      <c r="G180" s="31"/>
      <c r="K180" s="35">
        <v>887</v>
      </c>
      <c r="L180" s="36" t="s">
        <v>199</v>
      </c>
      <c r="M180" s="36" t="s">
        <v>31</v>
      </c>
      <c r="N180" s="35">
        <v>3.1</v>
      </c>
      <c r="O180" s="36" t="s">
        <v>31</v>
      </c>
      <c r="P180" s="39">
        <v>2749.7</v>
      </c>
    </row>
    <row r="181" spans="1:16" s="34" customFormat="1">
      <c r="A181" s="31"/>
      <c r="B181" s="31"/>
      <c r="C181" s="32"/>
      <c r="D181" s="33"/>
      <c r="E181" s="31" t="s">
        <v>210</v>
      </c>
      <c r="F181" s="31"/>
      <c r="G181" s="31"/>
      <c r="K181" s="35"/>
      <c r="L181" s="36"/>
      <c r="M181" s="36"/>
      <c r="N181" s="35"/>
      <c r="O181" s="36"/>
      <c r="P181" s="35"/>
    </row>
    <row r="182" spans="1:16" s="34" customFormat="1">
      <c r="A182" s="31"/>
      <c r="B182" s="31"/>
      <c r="C182" s="32"/>
      <c r="D182" s="33"/>
      <c r="E182" s="31" t="s">
        <v>211</v>
      </c>
      <c r="F182" s="31"/>
      <c r="G182" s="31"/>
      <c r="K182" s="35"/>
      <c r="L182" s="36"/>
      <c r="M182" s="36"/>
      <c r="N182" s="35"/>
      <c r="O182" s="36"/>
      <c r="P182" s="35"/>
    </row>
    <row r="183" spans="1:16" s="34" customFormat="1">
      <c r="A183" s="31"/>
      <c r="B183" s="31"/>
      <c r="C183" s="32"/>
      <c r="D183" s="33"/>
      <c r="E183" s="37" t="s">
        <v>207</v>
      </c>
      <c r="F183" s="31"/>
      <c r="G183" s="31"/>
      <c r="K183" s="35"/>
      <c r="L183" s="36"/>
      <c r="M183" s="36"/>
      <c r="N183" s="35"/>
      <c r="O183" s="36"/>
      <c r="P183" s="35"/>
    </row>
    <row r="184" spans="1:16" s="34" customFormat="1">
      <c r="A184" s="31"/>
      <c r="B184" s="31"/>
      <c r="C184" s="32"/>
      <c r="D184" s="33"/>
      <c r="E184" s="37" t="s">
        <v>208</v>
      </c>
      <c r="F184" s="31"/>
      <c r="G184" s="31"/>
      <c r="K184" s="35"/>
      <c r="L184" s="36"/>
      <c r="M184" s="36"/>
      <c r="N184" s="35"/>
      <c r="O184" s="36"/>
      <c r="P184" s="35"/>
    </row>
    <row r="185" spans="1:16" s="34" customFormat="1">
      <c r="A185" s="31"/>
      <c r="B185" s="31"/>
      <c r="C185" s="32"/>
      <c r="D185" s="33"/>
      <c r="E185" s="31" t="s">
        <v>212</v>
      </c>
      <c r="F185" s="31"/>
      <c r="G185" s="31"/>
      <c r="K185" s="35">
        <v>450</v>
      </c>
      <c r="L185" s="36" t="s">
        <v>199</v>
      </c>
      <c r="M185" s="36" t="s">
        <v>31</v>
      </c>
      <c r="N185" s="35">
        <v>3.1</v>
      </c>
      <c r="O185" s="36" t="s">
        <v>31</v>
      </c>
      <c r="P185" s="39">
        <v>1395</v>
      </c>
    </row>
    <row r="186" spans="1:16" s="34" customFormat="1">
      <c r="A186" s="31"/>
      <c r="B186" s="31"/>
      <c r="C186" s="32"/>
      <c r="D186" s="33"/>
      <c r="E186" s="31" t="s">
        <v>213</v>
      </c>
      <c r="F186" s="31"/>
      <c r="G186" s="31"/>
      <c r="K186" s="35"/>
      <c r="L186" s="36"/>
      <c r="M186" s="36"/>
      <c r="N186" s="35"/>
      <c r="O186" s="36"/>
      <c r="P186" s="35"/>
    </row>
    <row r="187" spans="1:16" s="34" customFormat="1">
      <c r="A187" s="31"/>
      <c r="B187" s="31"/>
      <c r="C187" s="32"/>
      <c r="D187" s="33"/>
      <c r="E187" s="31" t="s">
        <v>214</v>
      </c>
      <c r="F187" s="31"/>
      <c r="G187" s="31"/>
      <c r="K187" s="35"/>
      <c r="L187" s="36"/>
      <c r="M187" s="36"/>
      <c r="N187" s="35"/>
      <c r="O187" s="36"/>
      <c r="P187" s="35"/>
    </row>
    <row r="188" spans="1:16" s="34" customFormat="1">
      <c r="A188" s="31"/>
      <c r="B188" s="31"/>
      <c r="C188" s="32"/>
      <c r="D188" s="33"/>
      <c r="E188" s="37" t="s">
        <v>215</v>
      </c>
      <c r="F188" s="31"/>
      <c r="G188" s="31"/>
      <c r="K188" s="35"/>
      <c r="L188" s="36"/>
      <c r="M188" s="36"/>
      <c r="N188" s="35"/>
      <c r="O188" s="36"/>
      <c r="P188" s="35"/>
    </row>
    <row r="189" spans="1:16" s="34" customFormat="1">
      <c r="A189" s="31"/>
      <c r="B189" s="31"/>
      <c r="C189" s="32"/>
      <c r="D189" s="33"/>
      <c r="E189" s="37" t="s">
        <v>216</v>
      </c>
      <c r="F189" s="31"/>
      <c r="G189" s="31"/>
      <c r="K189" s="35"/>
      <c r="L189" s="36"/>
      <c r="M189" s="36"/>
      <c r="N189" s="35"/>
      <c r="O189" s="36"/>
      <c r="P189" s="35"/>
    </row>
    <row r="190" spans="1:16" s="34" customFormat="1">
      <c r="A190" s="31"/>
      <c r="B190" s="31"/>
      <c r="C190" s="32"/>
      <c r="D190" s="33"/>
      <c r="E190" s="31" t="s">
        <v>217</v>
      </c>
      <c r="F190" s="31"/>
      <c r="G190" s="31"/>
      <c r="K190" s="38">
        <v>2264</v>
      </c>
      <c r="L190" s="36" t="s">
        <v>199</v>
      </c>
      <c r="M190" s="36" t="s">
        <v>31</v>
      </c>
      <c r="N190" s="35">
        <v>3.1</v>
      </c>
      <c r="O190" s="36" t="s">
        <v>31</v>
      </c>
      <c r="P190" s="39">
        <v>7018.4</v>
      </c>
    </row>
    <row r="191" spans="1:16" s="34" customFormat="1">
      <c r="A191" s="31"/>
      <c r="B191" s="31"/>
      <c r="C191" s="32"/>
      <c r="D191" s="33"/>
      <c r="E191" s="31" t="s">
        <v>218</v>
      </c>
      <c r="F191" s="31"/>
      <c r="G191" s="31"/>
      <c r="K191" s="35"/>
      <c r="L191" s="36"/>
      <c r="M191" s="36"/>
      <c r="N191" s="35"/>
      <c r="O191" s="36"/>
      <c r="P191" s="35"/>
    </row>
    <row r="192" spans="1:16" s="34" customFormat="1">
      <c r="A192" s="31"/>
      <c r="B192" s="31"/>
      <c r="C192" s="32"/>
      <c r="D192" s="33"/>
      <c r="E192" s="31" t="s">
        <v>219</v>
      </c>
      <c r="F192" s="31"/>
      <c r="G192" s="31"/>
      <c r="K192" s="35"/>
      <c r="L192" s="36"/>
      <c r="M192" s="36"/>
      <c r="N192" s="35"/>
      <c r="O192" s="36"/>
      <c r="P192" s="35"/>
    </row>
    <row r="193" spans="1:16" s="34" customFormat="1">
      <c r="A193" s="31"/>
      <c r="B193" s="31"/>
      <c r="C193" s="32"/>
      <c r="D193" s="33"/>
      <c r="E193" s="37" t="s">
        <v>220</v>
      </c>
      <c r="F193" s="31"/>
      <c r="G193" s="31"/>
      <c r="K193" s="35"/>
      <c r="L193" s="36"/>
      <c r="M193" s="36"/>
      <c r="N193" s="35"/>
      <c r="O193" s="36"/>
      <c r="P193" s="35"/>
    </row>
    <row r="194" spans="1:16" s="34" customFormat="1">
      <c r="A194" s="31"/>
      <c r="B194" s="31"/>
      <c r="C194" s="32"/>
      <c r="D194" s="33"/>
      <c r="E194" s="37" t="s">
        <v>221</v>
      </c>
      <c r="F194" s="31"/>
      <c r="G194" s="31"/>
      <c r="K194" s="35"/>
      <c r="L194" s="36"/>
      <c r="M194" s="36"/>
      <c r="N194" s="35"/>
      <c r="O194" s="36"/>
      <c r="P194" s="35"/>
    </row>
    <row r="195" spans="1:16" s="34" customFormat="1">
      <c r="A195" s="31"/>
      <c r="B195" s="31"/>
      <c r="C195" s="32"/>
      <c r="D195" s="33"/>
      <c r="E195" s="31" t="s">
        <v>222</v>
      </c>
      <c r="F195" s="31"/>
      <c r="G195" s="31"/>
      <c r="K195" s="38">
        <v>1449</v>
      </c>
      <c r="L195" s="36" t="s">
        <v>199</v>
      </c>
      <c r="M195" s="36" t="s">
        <v>31</v>
      </c>
      <c r="N195" s="35">
        <v>3.1</v>
      </c>
      <c r="O195" s="36" t="s">
        <v>31</v>
      </c>
      <c r="P195" s="39">
        <v>4491.8999999999996</v>
      </c>
    </row>
    <row r="196" spans="1:16" s="34" customFormat="1">
      <c r="A196" s="31"/>
      <c r="B196" s="31"/>
      <c r="C196" s="32"/>
      <c r="D196" s="33"/>
      <c r="E196" s="31" t="s">
        <v>223</v>
      </c>
      <c r="F196" s="31"/>
      <c r="G196" s="31"/>
      <c r="K196" s="35"/>
      <c r="L196" s="36"/>
      <c r="M196" s="36"/>
      <c r="N196" s="35"/>
      <c r="O196" s="36"/>
      <c r="P196" s="35"/>
    </row>
    <row r="197" spans="1:16" s="34" customFormat="1">
      <c r="A197" s="31"/>
      <c r="B197" s="31"/>
      <c r="C197" s="32"/>
      <c r="D197" s="33"/>
      <c r="E197" s="31" t="s">
        <v>224</v>
      </c>
      <c r="F197" s="31"/>
      <c r="G197" s="31"/>
      <c r="K197" s="35"/>
      <c r="L197" s="36"/>
      <c r="M197" s="36"/>
      <c r="N197" s="35"/>
      <c r="O197" s="36"/>
      <c r="P197" s="35"/>
    </row>
    <row r="198" spans="1:16" s="34" customFormat="1">
      <c r="A198" s="31"/>
      <c r="B198" s="31"/>
      <c r="C198" s="32"/>
      <c r="D198" s="33"/>
      <c r="E198" s="37" t="s">
        <v>215</v>
      </c>
      <c r="F198" s="31"/>
      <c r="G198" s="31"/>
      <c r="K198" s="35"/>
      <c r="L198" s="36"/>
      <c r="M198" s="36"/>
      <c r="N198" s="35"/>
      <c r="O198" s="36"/>
      <c r="P198" s="35"/>
    </row>
    <row r="199" spans="1:16" s="34" customFormat="1">
      <c r="A199" s="31"/>
      <c r="B199" s="31"/>
      <c r="C199" s="32"/>
      <c r="D199" s="33"/>
      <c r="E199" s="37" t="s">
        <v>216</v>
      </c>
      <c r="F199" s="31"/>
      <c r="G199" s="31"/>
      <c r="K199" s="35"/>
      <c r="L199" s="36"/>
      <c r="M199" s="36"/>
      <c r="N199" s="35"/>
      <c r="O199" s="36"/>
      <c r="P199" s="35"/>
    </row>
    <row r="200" spans="1:16" s="34" customFormat="1">
      <c r="A200" s="31"/>
      <c r="B200" s="31"/>
      <c r="C200" s="32"/>
      <c r="D200" s="33"/>
      <c r="E200" s="31" t="s">
        <v>225</v>
      </c>
      <c r="F200" s="31"/>
      <c r="G200" s="31"/>
      <c r="K200" s="35">
        <v>415</v>
      </c>
      <c r="L200" s="36" t="s">
        <v>199</v>
      </c>
      <c r="M200" s="36" t="s">
        <v>31</v>
      </c>
      <c r="N200" s="35">
        <v>3.35</v>
      </c>
      <c r="O200" s="36" t="s">
        <v>31</v>
      </c>
      <c r="P200" s="39">
        <v>1390.25</v>
      </c>
    </row>
    <row r="201" spans="1:16" s="34" customFormat="1">
      <c r="A201" s="31"/>
      <c r="B201" s="31"/>
      <c r="C201" s="32"/>
      <c r="D201" s="33"/>
      <c r="E201" s="31" t="s">
        <v>226</v>
      </c>
      <c r="F201" s="31"/>
      <c r="G201" s="31"/>
      <c r="K201" s="35"/>
      <c r="L201" s="36"/>
      <c r="M201" s="36"/>
      <c r="N201" s="35"/>
      <c r="O201" s="36"/>
      <c r="P201" s="35"/>
    </row>
    <row r="202" spans="1:16" s="34" customFormat="1">
      <c r="A202" s="31"/>
      <c r="B202" s="31"/>
      <c r="C202" s="32"/>
      <c r="D202" s="33"/>
      <c r="E202" s="31"/>
      <c r="F202" s="31"/>
      <c r="G202" s="31"/>
      <c r="K202" s="35"/>
      <c r="L202" s="36"/>
      <c r="M202" s="36"/>
      <c r="N202" s="35"/>
      <c r="O202" s="36"/>
      <c r="P202" s="35"/>
    </row>
    <row r="203" spans="1:16" s="34" customFormat="1">
      <c r="A203" s="31"/>
      <c r="B203" s="31"/>
      <c r="C203" s="32"/>
      <c r="D203" s="33"/>
      <c r="E203" s="31" t="s">
        <v>227</v>
      </c>
      <c r="F203" s="31"/>
      <c r="G203" s="31"/>
      <c r="K203" s="35"/>
      <c r="L203" s="36"/>
      <c r="M203" s="36"/>
      <c r="N203" s="35"/>
      <c r="O203" s="36"/>
      <c r="P203" s="35"/>
    </row>
    <row r="204" spans="1:16" s="34" customFormat="1">
      <c r="A204" s="31"/>
      <c r="B204" s="31"/>
      <c r="C204" s="32"/>
      <c r="D204" s="33"/>
      <c r="E204" s="31" t="s">
        <v>228</v>
      </c>
      <c r="F204" s="31"/>
      <c r="G204" s="31"/>
      <c r="K204" s="35"/>
      <c r="L204" s="36"/>
      <c r="M204" s="36"/>
      <c r="N204" s="35"/>
      <c r="O204" s="36"/>
      <c r="P204" s="35"/>
    </row>
    <row r="205" spans="1:16" s="34" customFormat="1">
      <c r="A205" s="31"/>
      <c r="B205" s="31"/>
      <c r="C205" s="32"/>
      <c r="D205" s="33"/>
      <c r="E205" s="31" t="s">
        <v>178</v>
      </c>
      <c r="F205" s="31"/>
      <c r="G205" s="31"/>
      <c r="K205" s="35"/>
      <c r="L205" s="36"/>
      <c r="M205" s="36"/>
      <c r="N205" s="35"/>
      <c r="O205" s="36"/>
      <c r="P205" s="35"/>
    </row>
    <row r="206" spans="1:16" s="34" customFormat="1">
      <c r="A206" s="31"/>
      <c r="B206" s="31"/>
      <c r="C206" s="32"/>
      <c r="D206" s="33"/>
      <c r="E206" s="31" t="s">
        <v>229</v>
      </c>
      <c r="F206" s="31"/>
      <c r="G206" s="31"/>
      <c r="K206" s="35"/>
      <c r="L206" s="36"/>
      <c r="M206" s="36"/>
      <c r="N206" s="35"/>
      <c r="O206" s="36"/>
      <c r="P206" s="35"/>
    </row>
    <row r="207" spans="1:16" s="34" customFormat="1">
      <c r="A207" s="31"/>
      <c r="B207" s="31"/>
      <c r="C207" s="32"/>
      <c r="D207" s="33"/>
      <c r="E207" s="31" t="s">
        <v>230</v>
      </c>
      <c r="F207" s="31"/>
      <c r="G207" s="31"/>
      <c r="K207" s="35"/>
      <c r="L207" s="36"/>
      <c r="M207" s="36"/>
      <c r="N207" s="35"/>
      <c r="O207" s="36"/>
      <c r="P207" s="35"/>
    </row>
    <row r="208" spans="1:16" s="34" customFormat="1">
      <c r="A208" s="31"/>
      <c r="B208" s="31"/>
      <c r="C208" s="32"/>
      <c r="D208" s="33"/>
      <c r="E208" s="31" t="s">
        <v>231</v>
      </c>
      <c r="F208" s="31"/>
      <c r="G208" s="31"/>
      <c r="K208" s="35"/>
      <c r="L208" s="36"/>
      <c r="M208" s="36"/>
      <c r="N208" s="35"/>
      <c r="O208" s="36"/>
      <c r="P208" s="35"/>
    </row>
    <row r="209" spans="1:16" s="34" customFormat="1">
      <c r="A209" s="31"/>
      <c r="B209" s="31"/>
      <c r="C209" s="32"/>
      <c r="D209" s="33"/>
      <c r="E209" s="31" t="s">
        <v>232</v>
      </c>
      <c r="F209" s="31"/>
      <c r="G209" s="31"/>
      <c r="K209" s="35"/>
      <c r="L209" s="36"/>
      <c r="M209" s="36"/>
      <c r="N209" s="35"/>
      <c r="O209" s="36"/>
      <c r="P209" s="35"/>
    </row>
    <row r="210" spans="1:16" s="34" customFormat="1">
      <c r="A210" s="31"/>
      <c r="B210" s="31"/>
      <c r="C210" s="32"/>
      <c r="D210" s="33"/>
      <c r="E210" s="31" t="s">
        <v>233</v>
      </c>
      <c r="F210" s="31"/>
      <c r="G210" s="31"/>
      <c r="K210" s="35"/>
      <c r="L210" s="36"/>
      <c r="M210" s="36"/>
      <c r="N210" s="35"/>
      <c r="O210" s="36"/>
      <c r="P210" s="35"/>
    </row>
    <row r="211" spans="1:16" s="34" customFormat="1">
      <c r="A211" s="31"/>
      <c r="B211" s="31"/>
      <c r="C211" s="32"/>
      <c r="D211" s="33"/>
      <c r="E211" s="31" t="s">
        <v>188</v>
      </c>
      <c r="F211" s="31"/>
      <c r="G211" s="31"/>
      <c r="K211" s="35"/>
      <c r="L211" s="36"/>
      <c r="M211" s="36"/>
      <c r="N211" s="35"/>
      <c r="O211" s="36"/>
      <c r="P211" s="35"/>
    </row>
    <row r="212" spans="1:16" s="34" customFormat="1">
      <c r="A212" s="31"/>
      <c r="B212" s="31"/>
      <c r="C212" s="32"/>
      <c r="D212" s="33"/>
      <c r="E212" s="31" t="s">
        <v>229</v>
      </c>
      <c r="F212" s="31"/>
      <c r="G212" s="31"/>
      <c r="K212" s="35"/>
      <c r="L212" s="36"/>
      <c r="M212" s="36"/>
      <c r="N212" s="35"/>
      <c r="O212" s="36"/>
      <c r="P212" s="35"/>
    </row>
    <row r="213" spans="1:16" s="34" customFormat="1">
      <c r="A213" s="31"/>
      <c r="B213" s="31"/>
      <c r="C213" s="32"/>
      <c r="D213" s="33"/>
      <c r="E213" s="31" t="s">
        <v>234</v>
      </c>
      <c r="F213" s="31"/>
      <c r="G213" s="31"/>
      <c r="K213" s="35"/>
      <c r="L213" s="36"/>
      <c r="M213" s="36"/>
      <c r="N213" s="35"/>
      <c r="O213" s="36"/>
      <c r="P213" s="35"/>
    </row>
    <row r="214" spans="1:16" s="34" customFormat="1">
      <c r="A214" s="31"/>
      <c r="B214" s="31"/>
      <c r="C214" s="32"/>
      <c r="D214" s="33"/>
      <c r="E214" s="31" t="s">
        <v>235</v>
      </c>
      <c r="F214" s="31"/>
      <c r="G214" s="31"/>
      <c r="K214" s="35"/>
      <c r="L214" s="36"/>
      <c r="M214" s="36"/>
      <c r="N214" s="35"/>
      <c r="O214" s="36"/>
      <c r="P214" s="35"/>
    </row>
    <row r="215" spans="1:16" s="34" customFormat="1">
      <c r="A215" s="31"/>
      <c r="B215" s="31"/>
      <c r="C215" s="32"/>
      <c r="D215" s="33"/>
      <c r="E215" s="31" t="s">
        <v>194</v>
      </c>
      <c r="F215" s="31"/>
      <c r="G215" s="31"/>
      <c r="K215" s="35"/>
      <c r="L215" s="36"/>
      <c r="M215" s="36"/>
      <c r="N215" s="35"/>
      <c r="O215" s="36"/>
      <c r="P215" s="35"/>
    </row>
    <row r="216" spans="1:16" s="34" customFormat="1">
      <c r="A216" s="31"/>
      <c r="B216" s="31"/>
      <c r="C216" s="32"/>
      <c r="D216" s="33"/>
      <c r="E216" s="37" t="s">
        <v>236</v>
      </c>
      <c r="F216" s="31"/>
      <c r="G216" s="31"/>
      <c r="K216" s="35"/>
      <c r="L216" s="36"/>
      <c r="M216" s="36"/>
      <c r="N216" s="35"/>
      <c r="O216" s="36"/>
      <c r="P216" s="35"/>
    </row>
    <row r="217" spans="1:16" s="34" customFormat="1">
      <c r="A217" s="31"/>
      <c r="B217" s="31"/>
      <c r="C217" s="32"/>
      <c r="D217" s="33"/>
      <c r="E217" s="37" t="s">
        <v>237</v>
      </c>
      <c r="F217" s="31"/>
      <c r="G217" s="31"/>
      <c r="K217" s="35"/>
      <c r="L217" s="36"/>
      <c r="M217" s="36"/>
      <c r="N217" s="35"/>
      <c r="O217" s="36"/>
      <c r="P217" s="35"/>
    </row>
    <row r="218" spans="1:16" s="34" customFormat="1">
      <c r="A218" s="31"/>
      <c r="B218" s="31"/>
      <c r="C218" s="32"/>
      <c r="D218" s="33"/>
      <c r="E218" s="37" t="s">
        <v>238</v>
      </c>
      <c r="F218" s="31"/>
      <c r="G218" s="31"/>
      <c r="K218" s="35"/>
      <c r="L218" s="36"/>
      <c r="M218" s="36"/>
      <c r="N218" s="35"/>
      <c r="O218" s="36"/>
      <c r="P218" s="35"/>
    </row>
    <row r="219" spans="1:16" s="34" customFormat="1">
      <c r="A219" s="31"/>
      <c r="B219" s="31"/>
      <c r="C219" s="32"/>
      <c r="D219" s="33"/>
      <c r="E219" s="31" t="s">
        <v>239</v>
      </c>
      <c r="F219" s="31"/>
      <c r="G219" s="31"/>
      <c r="K219" s="35">
        <v>322</v>
      </c>
      <c r="L219" s="36" t="s">
        <v>199</v>
      </c>
      <c r="M219" s="36" t="s">
        <v>31</v>
      </c>
      <c r="N219" s="35">
        <v>4.95</v>
      </c>
      <c r="O219" s="36" t="s">
        <v>31</v>
      </c>
      <c r="P219" s="39">
        <v>1593.9</v>
      </c>
    </row>
    <row r="220" spans="1:16" s="34" customFormat="1">
      <c r="A220" s="31"/>
      <c r="B220" s="31"/>
      <c r="C220" s="32"/>
      <c r="D220" s="33"/>
      <c r="E220" s="31" t="s">
        <v>240</v>
      </c>
      <c r="F220" s="31"/>
      <c r="G220" s="31"/>
      <c r="K220" s="35"/>
      <c r="L220" s="36"/>
      <c r="M220" s="36"/>
      <c r="N220" s="35"/>
      <c r="O220" s="36"/>
      <c r="P220" s="35"/>
    </row>
    <row r="221" spans="1:16" s="34" customFormat="1">
      <c r="A221" s="31"/>
      <c r="B221" s="31"/>
      <c r="C221" s="32"/>
      <c r="D221" s="33"/>
      <c r="E221" s="37" t="s">
        <v>241</v>
      </c>
      <c r="F221" s="31"/>
      <c r="G221" s="31"/>
      <c r="K221" s="35"/>
      <c r="L221" s="36"/>
      <c r="M221" s="36"/>
      <c r="N221" s="35"/>
      <c r="O221" s="36"/>
      <c r="P221" s="35"/>
    </row>
    <row r="222" spans="1:16" s="34" customFormat="1">
      <c r="A222" s="31"/>
      <c r="B222" s="31"/>
      <c r="C222" s="32"/>
      <c r="D222" s="33"/>
      <c r="E222" s="37" t="s">
        <v>242</v>
      </c>
      <c r="F222" s="31"/>
      <c r="G222" s="31"/>
      <c r="K222" s="35"/>
      <c r="L222" s="36"/>
      <c r="M222" s="36"/>
      <c r="N222" s="35"/>
      <c r="O222" s="36"/>
      <c r="P222" s="35"/>
    </row>
    <row r="223" spans="1:16" s="34" customFormat="1">
      <c r="A223" s="31"/>
      <c r="B223" s="31"/>
      <c r="C223" s="32"/>
      <c r="D223" s="33"/>
      <c r="E223" s="31" t="s">
        <v>243</v>
      </c>
      <c r="F223" s="31"/>
      <c r="G223" s="31"/>
      <c r="K223" s="35">
        <v>182</v>
      </c>
      <c r="L223" s="36" t="s">
        <v>199</v>
      </c>
      <c r="M223" s="36" t="s">
        <v>31</v>
      </c>
      <c r="N223" s="35">
        <v>4.75</v>
      </c>
      <c r="O223" s="36" t="s">
        <v>31</v>
      </c>
      <c r="P223" s="35">
        <v>864.5</v>
      </c>
    </row>
    <row r="224" spans="1:16" s="34" customFormat="1">
      <c r="A224" s="31"/>
      <c r="B224" s="31"/>
      <c r="C224" s="32"/>
      <c r="D224" s="33"/>
      <c r="E224" s="31" t="s">
        <v>244</v>
      </c>
      <c r="F224" s="31"/>
      <c r="G224" s="31"/>
      <c r="K224" s="35"/>
      <c r="L224" s="36"/>
      <c r="M224" s="36"/>
      <c r="N224" s="35"/>
      <c r="O224" s="36"/>
      <c r="P224" s="35"/>
    </row>
    <row r="225" spans="1:16" s="34" customFormat="1">
      <c r="A225" s="31"/>
      <c r="B225" s="31"/>
      <c r="C225" s="32"/>
      <c r="D225" s="33"/>
      <c r="E225" s="37" t="s">
        <v>237</v>
      </c>
      <c r="F225" s="31"/>
      <c r="G225" s="31"/>
      <c r="K225" s="35"/>
      <c r="L225" s="36"/>
      <c r="M225" s="36"/>
      <c r="N225" s="35"/>
      <c r="O225" s="36"/>
      <c r="P225" s="35"/>
    </row>
    <row r="226" spans="1:16" s="34" customFormat="1">
      <c r="A226" s="31"/>
      <c r="B226" s="31"/>
      <c r="C226" s="32"/>
      <c r="D226" s="33"/>
      <c r="E226" s="37" t="s">
        <v>238</v>
      </c>
      <c r="F226" s="31"/>
      <c r="G226" s="31"/>
      <c r="K226" s="35"/>
      <c r="L226" s="36"/>
      <c r="M226" s="36"/>
      <c r="N226" s="35"/>
      <c r="O226" s="36"/>
      <c r="P226" s="35"/>
    </row>
    <row r="227" spans="1:16" s="34" customFormat="1">
      <c r="A227" s="31"/>
      <c r="B227" s="31"/>
      <c r="C227" s="32"/>
      <c r="D227" s="33"/>
      <c r="E227" s="31" t="s">
        <v>245</v>
      </c>
      <c r="F227" s="31"/>
      <c r="G227" s="31"/>
      <c r="K227" s="35">
        <v>184</v>
      </c>
      <c r="L227" s="36" t="s">
        <v>199</v>
      </c>
      <c r="M227" s="36" t="s">
        <v>31</v>
      </c>
      <c r="N227" s="35">
        <v>4.75</v>
      </c>
      <c r="O227" s="36" t="s">
        <v>31</v>
      </c>
      <c r="P227" s="35">
        <v>874</v>
      </c>
    </row>
    <row r="228" spans="1:16" s="34" customFormat="1">
      <c r="A228" s="31"/>
      <c r="B228" s="31"/>
      <c r="C228" s="32"/>
      <c r="D228" s="33"/>
      <c r="E228" s="31" t="s">
        <v>246</v>
      </c>
      <c r="F228" s="31"/>
      <c r="G228" s="31"/>
      <c r="K228" s="35"/>
      <c r="L228" s="36"/>
      <c r="M228" s="36"/>
      <c r="N228" s="35"/>
      <c r="O228" s="36"/>
      <c r="P228" s="35"/>
    </row>
    <row r="229" spans="1:16" s="34" customFormat="1">
      <c r="A229" s="31"/>
      <c r="B229" s="31"/>
      <c r="C229" s="32"/>
      <c r="D229" s="33"/>
      <c r="E229" s="31" t="s">
        <v>247</v>
      </c>
      <c r="F229" s="31"/>
      <c r="G229" s="31"/>
      <c r="K229" s="35">
        <v>168</v>
      </c>
      <c r="L229" s="36" t="s">
        <v>199</v>
      </c>
      <c r="M229" s="36" t="s">
        <v>31</v>
      </c>
      <c r="N229" s="35">
        <v>4.75</v>
      </c>
      <c r="O229" s="36" t="s">
        <v>31</v>
      </c>
      <c r="P229" s="35">
        <v>798</v>
      </c>
    </row>
    <row r="230" spans="1:16" s="34" customFormat="1">
      <c r="A230" s="31"/>
      <c r="B230" s="31"/>
      <c r="C230" s="32"/>
      <c r="D230" s="33"/>
      <c r="E230" s="31" t="s">
        <v>248</v>
      </c>
      <c r="F230" s="31"/>
      <c r="G230" s="31"/>
      <c r="K230" s="35"/>
      <c r="L230" s="36"/>
      <c r="M230" s="36"/>
      <c r="N230" s="35"/>
      <c r="O230" s="36"/>
      <c r="P230" s="35"/>
    </row>
    <row r="231" spans="1:16" s="34" customFormat="1">
      <c r="A231" s="31"/>
      <c r="B231" s="31"/>
      <c r="C231" s="32"/>
      <c r="D231" s="33"/>
      <c r="E231" s="37" t="s">
        <v>241</v>
      </c>
      <c r="F231" s="31"/>
      <c r="G231" s="31"/>
      <c r="K231" s="35"/>
      <c r="L231" s="36"/>
      <c r="M231" s="36"/>
      <c r="N231" s="35"/>
      <c r="O231" s="36"/>
      <c r="P231" s="35"/>
    </row>
    <row r="232" spans="1:16" s="34" customFormat="1">
      <c r="A232" s="31"/>
      <c r="B232" s="31"/>
      <c r="C232" s="32"/>
      <c r="D232" s="33"/>
      <c r="E232" s="37" t="s">
        <v>242</v>
      </c>
      <c r="F232" s="31"/>
      <c r="G232" s="31"/>
      <c r="K232" s="35"/>
      <c r="L232" s="36"/>
      <c r="M232" s="36"/>
      <c r="N232" s="35"/>
      <c r="O232" s="36"/>
      <c r="P232" s="35"/>
    </row>
    <row r="233" spans="1:16" s="34" customFormat="1">
      <c r="A233" s="31"/>
      <c r="B233" s="31"/>
      <c r="C233" s="32"/>
      <c r="D233" s="33"/>
      <c r="E233" s="31" t="s">
        <v>249</v>
      </c>
      <c r="F233" s="31"/>
      <c r="G233" s="31"/>
      <c r="K233" s="35">
        <v>305</v>
      </c>
      <c r="L233" s="36" t="s">
        <v>199</v>
      </c>
      <c r="M233" s="36" t="s">
        <v>31</v>
      </c>
      <c r="N233" s="35">
        <v>4.75</v>
      </c>
      <c r="O233" s="36" t="s">
        <v>31</v>
      </c>
      <c r="P233" s="39">
        <v>1448.75</v>
      </c>
    </row>
    <row r="234" spans="1:16" s="34" customFormat="1">
      <c r="A234" s="31"/>
      <c r="B234" s="31"/>
      <c r="C234" s="32"/>
      <c r="D234" s="33"/>
      <c r="E234" s="31" t="s">
        <v>250</v>
      </c>
      <c r="F234" s="31"/>
      <c r="G234" s="31"/>
      <c r="K234" s="35"/>
      <c r="L234" s="36"/>
      <c r="M234" s="36"/>
      <c r="N234" s="35"/>
      <c r="O234" s="36"/>
      <c r="P234" s="35"/>
    </row>
    <row r="235" spans="1:16" s="34" customFormat="1">
      <c r="A235" s="31"/>
      <c r="B235" s="31"/>
      <c r="C235" s="32"/>
      <c r="D235" s="33"/>
      <c r="E235" s="37" t="s">
        <v>237</v>
      </c>
      <c r="F235" s="31"/>
      <c r="G235" s="31"/>
      <c r="K235" s="35"/>
      <c r="L235" s="36"/>
      <c r="M235" s="36"/>
      <c r="N235" s="35"/>
      <c r="O235" s="36"/>
      <c r="P235" s="35"/>
    </row>
    <row r="236" spans="1:16" s="34" customFormat="1">
      <c r="A236" s="31"/>
      <c r="B236" s="31"/>
      <c r="C236" s="32"/>
      <c r="D236" s="33"/>
      <c r="E236" s="37" t="s">
        <v>238</v>
      </c>
      <c r="F236" s="31"/>
      <c r="G236" s="31"/>
      <c r="K236" s="35"/>
      <c r="L236" s="36"/>
      <c r="M236" s="36"/>
      <c r="N236" s="35"/>
      <c r="O236" s="36"/>
      <c r="P236" s="35"/>
    </row>
    <row r="237" spans="1:16" s="34" customFormat="1">
      <c r="A237" s="31"/>
      <c r="B237" s="31"/>
      <c r="C237" s="32"/>
      <c r="D237" s="33"/>
      <c r="E237" s="31" t="s">
        <v>251</v>
      </c>
      <c r="F237" s="31"/>
      <c r="G237" s="31"/>
      <c r="K237" s="35">
        <v>169</v>
      </c>
      <c r="L237" s="36" t="s">
        <v>199</v>
      </c>
      <c r="M237" s="36" t="s">
        <v>31</v>
      </c>
      <c r="N237" s="35">
        <v>4.95</v>
      </c>
      <c r="O237" s="36" t="s">
        <v>31</v>
      </c>
      <c r="P237" s="35">
        <v>836.55</v>
      </c>
    </row>
    <row r="238" spans="1:16" s="34" customFormat="1">
      <c r="A238" s="31"/>
      <c r="B238" s="31"/>
      <c r="C238" s="32"/>
      <c r="D238" s="33"/>
      <c r="E238" s="31" t="s">
        <v>252</v>
      </c>
      <c r="F238" s="31"/>
      <c r="G238" s="31"/>
      <c r="K238" s="35"/>
      <c r="L238" s="36"/>
      <c r="M238" s="36"/>
      <c r="N238" s="35"/>
      <c r="O238" s="36"/>
      <c r="P238" s="35"/>
    </row>
    <row r="239" spans="1:16" s="34" customFormat="1" ht="14.4" thickBot="1">
      <c r="A239" s="51"/>
      <c r="B239" s="51"/>
      <c r="C239" s="52"/>
      <c r="D239" s="53"/>
      <c r="E239" s="51"/>
      <c r="F239" s="51"/>
      <c r="G239" s="51"/>
      <c r="H239" s="54"/>
      <c r="I239" s="54"/>
      <c r="J239" s="54"/>
      <c r="K239" s="55"/>
      <c r="L239" s="56"/>
      <c r="M239" s="56"/>
      <c r="N239" s="55"/>
      <c r="O239" s="56"/>
      <c r="P239" s="55"/>
    </row>
    <row r="240" spans="1:16">
      <c r="K240" s="82">
        <v>700</v>
      </c>
      <c r="L240" s="1" t="s">
        <v>259</v>
      </c>
      <c r="O240" s="12" t="s">
        <v>31</v>
      </c>
      <c r="P240" s="29">
        <f>SUM(P21:P239)</f>
        <v>79480.794999999998</v>
      </c>
    </row>
    <row r="241" spans="5:16">
      <c r="K241" s="83">
        <f>SUM(K21:K84)+SUM(K131:K155)</f>
        <v>261023</v>
      </c>
      <c r="L241" s="36" t="s">
        <v>264</v>
      </c>
      <c r="M241" s="36"/>
      <c r="O241" s="12" t="s">
        <v>107</v>
      </c>
      <c r="P241" s="29" t="s">
        <v>108</v>
      </c>
    </row>
    <row r="242" spans="5:16">
      <c r="K242" s="83">
        <f>SUM(K170:K238)+SUM(K91:K121)</f>
        <v>33725</v>
      </c>
      <c r="L242" s="36" t="s">
        <v>199</v>
      </c>
      <c r="M242" s="36"/>
    </row>
    <row r="243" spans="5:16">
      <c r="K243" s="12" t="s">
        <v>109</v>
      </c>
      <c r="L243" s="1" t="s">
        <v>110</v>
      </c>
    </row>
    <row r="244" spans="5:16">
      <c r="E244" s="1" t="s">
        <v>593</v>
      </c>
    </row>
    <row r="245" spans="5:16">
      <c r="E245" s="1" t="s">
        <v>594</v>
      </c>
    </row>
    <row r="248" spans="5:16">
      <c r="E248" s="2" t="s">
        <v>111</v>
      </c>
    </row>
    <row r="249" spans="5:16">
      <c r="E249" s="1" t="s">
        <v>112</v>
      </c>
    </row>
    <row r="250" spans="5:16">
      <c r="E250" s="1" t="s">
        <v>113</v>
      </c>
    </row>
    <row r="251" spans="5:16">
      <c r="E251" s="1" t="s">
        <v>114</v>
      </c>
    </row>
    <row r="252" spans="5:16">
      <c r="E252" s="1" t="s">
        <v>115</v>
      </c>
    </row>
    <row r="254" spans="5:16">
      <c r="E254" s="1" t="s">
        <v>19</v>
      </c>
    </row>
    <row r="255" spans="5:16">
      <c r="E255" s="1" t="s">
        <v>116</v>
      </c>
    </row>
    <row r="256" spans="5:16">
      <c r="E256" s="1" t="s">
        <v>117</v>
      </c>
    </row>
    <row r="257" spans="5:5">
      <c r="E257" s="1" t="s">
        <v>118</v>
      </c>
    </row>
    <row r="258" spans="5:5">
      <c r="E258" s="1" t="s">
        <v>115</v>
      </c>
    </row>
    <row r="259" spans="5:5">
      <c r="E259" s="1" t="s">
        <v>119</v>
      </c>
    </row>
    <row r="261" spans="5:5">
      <c r="E261" s="1" t="s">
        <v>165</v>
      </c>
    </row>
    <row r="262" spans="5:5">
      <c r="E262" s="1" t="s">
        <v>166</v>
      </c>
    </row>
    <row r="263" spans="5:5">
      <c r="E263" s="1" t="s">
        <v>167</v>
      </c>
    </row>
    <row r="264" spans="5:5">
      <c r="E264" s="1" t="s">
        <v>115</v>
      </c>
    </row>
    <row r="265" spans="5:5">
      <c r="E265" s="1" t="s">
        <v>168</v>
      </c>
    </row>
    <row r="266" spans="5:5">
      <c r="E266" s="1" t="s">
        <v>169</v>
      </c>
    </row>
    <row r="267" spans="5:5">
      <c r="E267" s="1" t="s">
        <v>170</v>
      </c>
    </row>
    <row r="268" spans="5:5">
      <c r="E268" s="1" t="s">
        <v>171</v>
      </c>
    </row>
    <row r="269" spans="5:5">
      <c r="E269" s="1" t="s">
        <v>172</v>
      </c>
    </row>
    <row r="270" spans="5:5">
      <c r="E270" s="1" t="s">
        <v>173</v>
      </c>
    </row>
    <row r="271" spans="5:5">
      <c r="E271" s="1" t="s">
        <v>120</v>
      </c>
    </row>
    <row r="272" spans="5:5">
      <c r="E272" s="1" t="s">
        <v>121</v>
      </c>
    </row>
  </sheetData>
  <mergeCells count="25">
    <mergeCell ref="A11:C11"/>
    <mergeCell ref="D11:I11"/>
    <mergeCell ref="A12:D12"/>
    <mergeCell ref="E12:G12"/>
    <mergeCell ref="G8:P8"/>
    <mergeCell ref="B6:G6"/>
    <mergeCell ref="E7:P7"/>
    <mergeCell ref="O14:P14"/>
    <mergeCell ref="K11:P11"/>
    <mergeCell ref="K14:L14"/>
    <mergeCell ref="I12:K12"/>
    <mergeCell ref="M14:N14"/>
    <mergeCell ref="M12:P12"/>
    <mergeCell ref="A14:D14"/>
    <mergeCell ref="A9:P10"/>
    <mergeCell ref="A8:F8"/>
    <mergeCell ref="A7:D7"/>
    <mergeCell ref="L6:M6"/>
    <mergeCell ref="N6:P6"/>
    <mergeCell ref="E14:J14"/>
    <mergeCell ref="A3:I3"/>
    <mergeCell ref="J3:P3"/>
    <mergeCell ref="A1:P1"/>
    <mergeCell ref="A2:P2"/>
    <mergeCell ref="A4:P4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  <ignoredErrors>
    <ignoredError sqref="L242:M242 L241:M24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90"/>
  <sheetViews>
    <sheetView tabSelected="1" zoomScaleNormal="100" workbookViewId="0">
      <selection activeCell="M346" sqref="M346"/>
    </sheetView>
  </sheetViews>
  <sheetFormatPr defaultColWidth="9" defaultRowHeight="13.8"/>
  <cols>
    <col min="1" max="2" width="4.109375" style="13" customWidth="1"/>
    <col min="3" max="3" width="3.109375" style="13" customWidth="1"/>
    <col min="4" max="4" width="10.109375" style="13" customWidth="1"/>
    <col min="5" max="5" width="4.109375" style="13" customWidth="1"/>
    <col min="6" max="6" width="6.6640625" style="13" customWidth="1"/>
    <col min="7" max="7" width="4.109375" style="13" customWidth="1"/>
    <col min="8" max="8" width="7.33203125" style="13" customWidth="1"/>
    <col min="9" max="9" width="1.6640625" style="13" customWidth="1"/>
    <col min="10" max="10" width="9.33203125" style="13" customWidth="1"/>
    <col min="11" max="11" width="9.6640625" style="13" customWidth="1"/>
    <col min="12" max="12" width="3.44140625" style="13" customWidth="1"/>
    <col min="13" max="13" width="10.21875" style="13" customWidth="1"/>
    <col min="14" max="14" width="4.109375" style="13" customWidth="1"/>
    <col min="15" max="15" width="1.6640625" style="13" customWidth="1"/>
    <col min="16" max="16" width="12.21875" style="13" customWidth="1"/>
    <col min="17" max="17" width="4.109375" style="13" customWidth="1"/>
    <col min="18" max="18" width="1.6640625" style="13" customWidth="1"/>
    <col min="19" max="19" width="8.109375" style="13" customWidth="1"/>
    <col min="20" max="20" width="4.109375" style="13" customWidth="1"/>
    <col min="21" max="16384" width="9" style="13"/>
  </cols>
  <sheetData>
    <row r="1" spans="1:20" ht="18">
      <c r="A1" s="142" t="s">
        <v>15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3"/>
    </row>
    <row r="2" spans="1:20">
      <c r="A2" s="145" t="s">
        <v>16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</row>
    <row r="3" spans="1:20">
      <c r="A3" s="147"/>
      <c r="B3" s="147"/>
      <c r="C3" s="147"/>
      <c r="D3" s="147"/>
      <c r="E3" s="147"/>
      <c r="F3" s="147"/>
      <c r="G3" s="147"/>
      <c r="H3" s="147"/>
      <c r="I3" s="147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</row>
    <row r="4" spans="1:20" ht="17.399999999999999">
      <c r="A4" s="144" t="s">
        <v>134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</row>
    <row r="5" spans="1:20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1:20" ht="16.2">
      <c r="A6" s="18" t="s">
        <v>133</v>
      </c>
      <c r="B6" s="133" t="s">
        <v>17</v>
      </c>
      <c r="C6" s="125"/>
      <c r="D6" s="125"/>
      <c r="E6" s="125"/>
      <c r="F6" s="125"/>
      <c r="G6" s="15"/>
      <c r="H6" s="15"/>
      <c r="I6" s="15"/>
      <c r="J6" s="15"/>
      <c r="K6" s="15"/>
      <c r="L6" s="15"/>
      <c r="N6" s="134" t="s">
        <v>135</v>
      </c>
      <c r="O6" s="148"/>
      <c r="P6" s="149"/>
      <c r="Q6" s="149"/>
      <c r="R6" s="149"/>
      <c r="S6" s="149"/>
      <c r="T6" s="149"/>
    </row>
    <row r="7" spans="1:20" ht="16.2">
      <c r="A7" s="138" t="s">
        <v>132</v>
      </c>
      <c r="B7" s="139"/>
      <c r="C7" s="139"/>
      <c r="D7" s="139"/>
      <c r="E7" s="125" t="s">
        <v>595</v>
      </c>
      <c r="F7" s="125"/>
      <c r="G7" s="125"/>
      <c r="H7" s="125"/>
      <c r="I7" s="125"/>
      <c r="J7" s="125"/>
      <c r="K7" s="125"/>
      <c r="L7" s="125"/>
      <c r="M7" s="125"/>
      <c r="N7" s="116" t="s">
        <v>131</v>
      </c>
      <c r="O7" s="117"/>
      <c r="P7" s="117"/>
      <c r="Q7" s="117"/>
      <c r="R7" s="117"/>
      <c r="S7" s="117"/>
      <c r="T7" s="117"/>
    </row>
    <row r="8" spans="1:20" ht="29.25" customHeight="1">
      <c r="A8" s="134" t="s">
        <v>130</v>
      </c>
      <c r="B8" s="135"/>
      <c r="C8" s="135"/>
      <c r="D8" s="135"/>
      <c r="E8" s="135"/>
      <c r="F8" s="133" t="s">
        <v>19</v>
      </c>
      <c r="G8" s="133"/>
      <c r="H8" s="133"/>
      <c r="I8" s="133"/>
      <c r="J8" s="133"/>
      <c r="K8" s="133"/>
      <c r="L8" s="125"/>
      <c r="M8" s="125"/>
      <c r="N8" s="121"/>
      <c r="O8" s="122"/>
      <c r="P8" s="122"/>
      <c r="Q8" s="122"/>
      <c r="R8" s="122"/>
      <c r="S8" s="122"/>
      <c r="T8" s="122"/>
    </row>
    <row r="9" spans="1:20">
      <c r="A9" s="140" t="s">
        <v>136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22"/>
      <c r="O9" s="122"/>
      <c r="P9" s="122"/>
      <c r="Q9" s="122"/>
      <c r="R9" s="122"/>
      <c r="S9" s="122"/>
      <c r="T9" s="122"/>
    </row>
    <row r="10" spans="1:20">
      <c r="A10" s="140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22"/>
      <c r="O10" s="122"/>
      <c r="P10" s="122"/>
      <c r="Q10" s="122"/>
      <c r="R10" s="122"/>
      <c r="S10" s="122"/>
      <c r="T10" s="122"/>
    </row>
    <row r="11" spans="1:20">
      <c r="A11" s="136" t="s">
        <v>129</v>
      </c>
      <c r="B11" s="136"/>
      <c r="C11" s="136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22"/>
      <c r="O11" s="122"/>
      <c r="P11" s="122"/>
      <c r="Q11" s="122"/>
      <c r="R11" s="122"/>
      <c r="S11" s="122"/>
      <c r="T11" s="122"/>
    </row>
    <row r="12" spans="1:20" ht="16.2">
      <c r="A12" s="128" t="s">
        <v>128</v>
      </c>
      <c r="B12" s="117"/>
      <c r="C12" s="125" t="s">
        <v>21</v>
      </c>
      <c r="D12" s="125"/>
      <c r="E12" s="125"/>
      <c r="F12" s="125"/>
      <c r="G12" s="125"/>
      <c r="H12" s="129"/>
      <c r="I12" s="129"/>
      <c r="J12" s="129"/>
      <c r="K12" s="129"/>
      <c r="L12" s="129"/>
      <c r="M12" s="129"/>
      <c r="N12" s="122"/>
      <c r="O12" s="122"/>
      <c r="P12" s="122"/>
      <c r="Q12" s="122"/>
      <c r="R12" s="122"/>
      <c r="S12" s="122"/>
      <c r="T12" s="122"/>
    </row>
    <row r="13" spans="1:20" ht="16.2">
      <c r="A13" s="128" t="s">
        <v>7</v>
      </c>
      <c r="B13" s="117"/>
      <c r="C13" s="117"/>
      <c r="D13" s="117"/>
      <c r="E13" s="125"/>
      <c r="F13" s="129"/>
      <c r="G13" s="129"/>
      <c r="H13" s="129"/>
      <c r="I13" s="129"/>
      <c r="J13" s="129"/>
      <c r="K13" s="129"/>
      <c r="L13" s="129"/>
      <c r="M13" s="129"/>
      <c r="N13" s="122"/>
      <c r="O13" s="122"/>
      <c r="P13" s="122"/>
      <c r="Q13" s="122"/>
      <c r="R13" s="122"/>
      <c r="S13" s="122"/>
      <c r="T13" s="122"/>
    </row>
    <row r="14" spans="1:20">
      <c r="A14" s="134" t="s">
        <v>6</v>
      </c>
      <c r="B14" s="135"/>
      <c r="C14" s="133" t="s">
        <v>22</v>
      </c>
      <c r="D14" s="125"/>
      <c r="E14" s="125"/>
      <c r="F14" s="125"/>
      <c r="G14" s="16" t="s">
        <v>5</v>
      </c>
      <c r="H14" s="125" t="s">
        <v>23</v>
      </c>
      <c r="I14" s="125"/>
      <c r="J14" s="125"/>
      <c r="K14" s="125"/>
      <c r="L14" s="125"/>
      <c r="M14" s="125"/>
      <c r="N14" s="122"/>
      <c r="O14" s="122"/>
      <c r="P14" s="122"/>
      <c r="Q14" s="122"/>
      <c r="R14" s="122"/>
      <c r="S14" s="122"/>
      <c r="T14" s="122"/>
    </row>
    <row r="15" spans="1:20" ht="14.4" thickBo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4"/>
      <c r="M15" s="14"/>
      <c r="N15" s="123"/>
      <c r="O15" s="123"/>
      <c r="P15" s="123"/>
      <c r="Q15" s="123"/>
      <c r="R15" s="123"/>
      <c r="S15" s="123"/>
      <c r="T15" s="123"/>
    </row>
    <row r="16" spans="1:20" ht="16.8" thickTop="1">
      <c r="A16" s="119" t="s">
        <v>127</v>
      </c>
      <c r="B16" s="126"/>
      <c r="C16" s="127"/>
      <c r="D16" s="118" t="s">
        <v>126</v>
      </c>
      <c r="E16" s="126"/>
      <c r="F16" s="126"/>
      <c r="G16" s="126"/>
      <c r="H16" s="127"/>
      <c r="I16" s="118" t="s">
        <v>125</v>
      </c>
      <c r="J16" s="119"/>
      <c r="K16" s="124"/>
      <c r="L16" s="118" t="s">
        <v>124</v>
      </c>
      <c r="M16" s="131"/>
      <c r="N16" s="132"/>
      <c r="O16" s="130" t="s">
        <v>123</v>
      </c>
      <c r="P16" s="131"/>
      <c r="Q16" s="132"/>
      <c r="R16" s="118" t="s">
        <v>122</v>
      </c>
      <c r="S16" s="119"/>
      <c r="T16" s="120"/>
    </row>
    <row r="17" spans="1:17">
      <c r="D17" s="13" t="s">
        <v>24</v>
      </c>
    </row>
    <row r="18" spans="1:17" ht="16.2">
      <c r="D18" s="20" t="s">
        <v>25</v>
      </c>
    </row>
    <row r="19" spans="1:17">
      <c r="D19" s="13" t="s">
        <v>26</v>
      </c>
    </row>
    <row r="20" spans="1:17">
      <c r="D20" s="13" t="s">
        <v>27</v>
      </c>
    </row>
    <row r="21" spans="1:17" ht="16.2">
      <c r="D21" s="20" t="s">
        <v>28</v>
      </c>
    </row>
    <row r="22" spans="1:17">
      <c r="A22" s="13" t="s">
        <v>137</v>
      </c>
      <c r="D22" s="13" t="s">
        <v>29</v>
      </c>
      <c r="J22" s="23">
        <v>432</v>
      </c>
      <c r="K22" s="13" t="s">
        <v>30</v>
      </c>
      <c r="M22" s="25">
        <v>6.35</v>
      </c>
      <c r="N22" s="13" t="s">
        <v>138</v>
      </c>
      <c r="P22" s="25">
        <v>7.17</v>
      </c>
      <c r="Q22" s="13" t="s">
        <v>138</v>
      </c>
    </row>
    <row r="23" spans="1:17">
      <c r="D23" s="13" t="s">
        <v>32</v>
      </c>
      <c r="M23" s="26"/>
      <c r="P23" s="26"/>
    </row>
    <row r="24" spans="1:17">
      <c r="D24" s="13" t="s">
        <v>33</v>
      </c>
      <c r="M24" s="26"/>
      <c r="P24" s="26"/>
    </row>
    <row r="25" spans="1:17">
      <c r="A25" s="13" t="s">
        <v>139</v>
      </c>
      <c r="D25" s="13" t="s">
        <v>34</v>
      </c>
      <c r="J25" s="24">
        <v>3273</v>
      </c>
      <c r="K25" s="13" t="s">
        <v>30</v>
      </c>
      <c r="M25" s="25">
        <v>48.07</v>
      </c>
      <c r="N25" s="13" t="s">
        <v>138</v>
      </c>
      <c r="P25" s="25">
        <v>52.98</v>
      </c>
      <c r="Q25" s="13" t="s">
        <v>138</v>
      </c>
    </row>
    <row r="26" spans="1:17">
      <c r="D26" s="13" t="s">
        <v>35</v>
      </c>
      <c r="M26" s="26"/>
      <c r="P26" s="26"/>
    </row>
    <row r="27" spans="1:17">
      <c r="D27" s="13" t="s">
        <v>33</v>
      </c>
      <c r="M27" s="26"/>
      <c r="P27" s="26"/>
    </row>
    <row r="28" spans="1:17">
      <c r="A28" s="13" t="s">
        <v>140</v>
      </c>
      <c r="D28" s="13" t="s">
        <v>36</v>
      </c>
      <c r="J28" s="24">
        <v>4280</v>
      </c>
      <c r="K28" s="13" t="s">
        <v>30</v>
      </c>
      <c r="M28" s="25">
        <v>62.86</v>
      </c>
      <c r="N28" s="13" t="s">
        <v>138</v>
      </c>
      <c r="P28" s="25">
        <v>69.16</v>
      </c>
      <c r="Q28" s="13" t="s">
        <v>138</v>
      </c>
    </row>
    <row r="29" spans="1:17">
      <c r="D29" s="13" t="s">
        <v>37</v>
      </c>
      <c r="M29" s="26"/>
      <c r="P29" s="26"/>
    </row>
    <row r="30" spans="1:17">
      <c r="D30" s="13" t="s">
        <v>33</v>
      </c>
      <c r="M30" s="26"/>
      <c r="P30" s="26"/>
    </row>
    <row r="31" spans="1:17">
      <c r="A31" s="13" t="s">
        <v>141</v>
      </c>
      <c r="D31" s="13" t="s">
        <v>38</v>
      </c>
      <c r="J31" s="24">
        <v>1899</v>
      </c>
      <c r="K31" s="13" t="s">
        <v>30</v>
      </c>
      <c r="M31" s="25">
        <v>27.89</v>
      </c>
      <c r="N31" s="13" t="s">
        <v>138</v>
      </c>
      <c r="P31" s="25">
        <v>30.91</v>
      </c>
      <c r="Q31" s="13" t="s">
        <v>138</v>
      </c>
    </row>
    <row r="32" spans="1:17">
      <c r="D32" s="13" t="s">
        <v>39</v>
      </c>
      <c r="M32" s="26"/>
      <c r="P32" s="26"/>
    </row>
    <row r="33" spans="1:17">
      <c r="D33" s="13" t="s">
        <v>33</v>
      </c>
      <c r="M33" s="26"/>
      <c r="P33" s="26"/>
    </row>
    <row r="34" spans="1:17">
      <c r="A34" s="13" t="s">
        <v>137</v>
      </c>
      <c r="D34" s="13" t="s">
        <v>40</v>
      </c>
      <c r="J34" s="23">
        <v>368</v>
      </c>
      <c r="K34" s="13" t="s">
        <v>30</v>
      </c>
      <c r="M34" s="25">
        <v>5.41</v>
      </c>
      <c r="N34" s="13" t="s">
        <v>138</v>
      </c>
      <c r="P34" s="25">
        <v>6.22</v>
      </c>
      <c r="Q34" s="13" t="s">
        <v>138</v>
      </c>
    </row>
    <row r="35" spans="1:17">
      <c r="D35" s="13" t="s">
        <v>41</v>
      </c>
      <c r="M35" s="26"/>
      <c r="P35" s="26"/>
    </row>
    <row r="36" spans="1:17">
      <c r="D36" s="13" t="s">
        <v>33</v>
      </c>
      <c r="M36" s="26"/>
      <c r="P36" s="26"/>
    </row>
    <row r="37" spans="1:17">
      <c r="A37" s="13" t="s">
        <v>137</v>
      </c>
      <c r="D37" s="13" t="s">
        <v>42</v>
      </c>
      <c r="J37" s="23">
        <v>404</v>
      </c>
      <c r="K37" s="13" t="s">
        <v>30</v>
      </c>
      <c r="M37" s="25">
        <v>6.06</v>
      </c>
      <c r="N37" s="13" t="s">
        <v>138</v>
      </c>
      <c r="P37" s="25">
        <v>6.88</v>
      </c>
      <c r="Q37" s="13" t="s">
        <v>138</v>
      </c>
    </row>
    <row r="38" spans="1:17">
      <c r="D38" s="13" t="s">
        <v>43</v>
      </c>
      <c r="M38" s="26"/>
      <c r="P38" s="26"/>
    </row>
    <row r="39" spans="1:17">
      <c r="D39" s="13" t="s">
        <v>33</v>
      </c>
      <c r="M39" s="26"/>
      <c r="P39" s="26"/>
    </row>
    <row r="40" spans="1:17">
      <c r="A40" s="13" t="s">
        <v>137</v>
      </c>
      <c r="D40" s="13" t="s">
        <v>44</v>
      </c>
      <c r="J40" s="23">
        <v>340</v>
      </c>
      <c r="K40" s="13" t="s">
        <v>30</v>
      </c>
      <c r="M40" s="25">
        <v>5.0999999999999996</v>
      </c>
      <c r="N40" s="13" t="s">
        <v>138</v>
      </c>
      <c r="P40" s="25">
        <v>5.92</v>
      </c>
      <c r="Q40" s="13" t="s">
        <v>138</v>
      </c>
    </row>
    <row r="41" spans="1:17">
      <c r="D41" s="13" t="s">
        <v>45</v>
      </c>
      <c r="M41" s="26"/>
      <c r="P41" s="26"/>
    </row>
    <row r="42" spans="1:17">
      <c r="D42" s="13" t="s">
        <v>33</v>
      </c>
      <c r="M42" s="26"/>
      <c r="P42" s="26"/>
    </row>
    <row r="43" spans="1:17">
      <c r="A43" s="13" t="s">
        <v>137</v>
      </c>
      <c r="D43" s="13" t="s">
        <v>46</v>
      </c>
      <c r="J43" s="23">
        <v>862</v>
      </c>
      <c r="K43" s="13" t="s">
        <v>30</v>
      </c>
      <c r="M43" s="25">
        <v>6.88</v>
      </c>
      <c r="N43" s="13" t="s">
        <v>138</v>
      </c>
      <c r="P43" s="25">
        <v>7.44</v>
      </c>
      <c r="Q43" s="13" t="s">
        <v>138</v>
      </c>
    </row>
    <row r="44" spans="1:17">
      <c r="D44" s="13" t="s">
        <v>47</v>
      </c>
      <c r="M44" s="26"/>
      <c r="P44" s="26"/>
    </row>
    <row r="45" spans="1:17">
      <c r="D45" s="13" t="s">
        <v>33</v>
      </c>
      <c r="M45" s="26"/>
      <c r="P45" s="26"/>
    </row>
    <row r="46" spans="1:17">
      <c r="A46" s="13" t="s">
        <v>142</v>
      </c>
      <c r="D46" s="13" t="s">
        <v>48</v>
      </c>
      <c r="J46" s="24">
        <v>6538</v>
      </c>
      <c r="K46" s="13" t="s">
        <v>30</v>
      </c>
      <c r="M46" s="25">
        <v>52.14</v>
      </c>
      <c r="N46" s="13" t="s">
        <v>138</v>
      </c>
      <c r="P46" s="25">
        <v>55.5</v>
      </c>
      <c r="Q46" s="13" t="s">
        <v>138</v>
      </c>
    </row>
    <row r="47" spans="1:17">
      <c r="D47" s="13" t="s">
        <v>49</v>
      </c>
      <c r="M47" s="26"/>
      <c r="P47" s="26"/>
    </row>
    <row r="48" spans="1:17">
      <c r="D48" s="13" t="s">
        <v>33</v>
      </c>
      <c r="M48" s="26"/>
      <c r="P48" s="26"/>
    </row>
    <row r="49" spans="1:17">
      <c r="A49" s="13" t="s">
        <v>139</v>
      </c>
      <c r="D49" s="13" t="s">
        <v>50</v>
      </c>
      <c r="J49" s="24">
        <v>8559</v>
      </c>
      <c r="K49" s="13" t="s">
        <v>30</v>
      </c>
      <c r="M49" s="25">
        <v>68.260000000000005</v>
      </c>
      <c r="N49" s="13" t="s">
        <v>138</v>
      </c>
      <c r="P49" s="25">
        <v>72.92</v>
      </c>
      <c r="Q49" s="13" t="s">
        <v>138</v>
      </c>
    </row>
    <row r="50" spans="1:17">
      <c r="D50" s="13" t="s">
        <v>51</v>
      </c>
      <c r="M50" s="26"/>
      <c r="P50" s="26"/>
    </row>
    <row r="51" spans="1:17">
      <c r="D51" s="13" t="s">
        <v>33</v>
      </c>
      <c r="M51" s="26"/>
      <c r="P51" s="26"/>
    </row>
    <row r="52" spans="1:17">
      <c r="A52" s="13" t="s">
        <v>143</v>
      </c>
      <c r="D52" s="13" t="s">
        <v>52</v>
      </c>
      <c r="J52" s="24">
        <v>3796</v>
      </c>
      <c r="K52" s="13" t="s">
        <v>30</v>
      </c>
      <c r="M52" s="25">
        <v>30.28</v>
      </c>
      <c r="N52" s="13" t="s">
        <v>138</v>
      </c>
      <c r="P52" s="25">
        <v>32.479999999999997</v>
      </c>
      <c r="Q52" s="13" t="s">
        <v>138</v>
      </c>
    </row>
    <row r="53" spans="1:17">
      <c r="D53" s="13" t="s">
        <v>53</v>
      </c>
      <c r="M53" s="26"/>
      <c r="P53" s="26"/>
    </row>
    <row r="54" spans="1:17">
      <c r="D54" s="13" t="s">
        <v>33</v>
      </c>
      <c r="M54" s="26"/>
      <c r="P54" s="26"/>
    </row>
    <row r="55" spans="1:17">
      <c r="A55" s="13" t="s">
        <v>137</v>
      </c>
      <c r="D55" s="13" t="s">
        <v>54</v>
      </c>
      <c r="J55" s="23">
        <v>730</v>
      </c>
      <c r="K55" s="13" t="s">
        <v>30</v>
      </c>
      <c r="M55" s="25">
        <v>5.82</v>
      </c>
      <c r="N55" s="13" t="s">
        <v>138</v>
      </c>
      <c r="P55" s="25">
        <v>6.39</v>
      </c>
      <c r="Q55" s="13" t="s">
        <v>138</v>
      </c>
    </row>
    <row r="56" spans="1:17">
      <c r="D56" s="13" t="s">
        <v>55</v>
      </c>
      <c r="M56" s="26"/>
      <c r="P56" s="26"/>
    </row>
    <row r="57" spans="1:17">
      <c r="D57" s="13" t="s">
        <v>33</v>
      </c>
      <c r="M57" s="26"/>
      <c r="P57" s="26"/>
    </row>
    <row r="58" spans="1:17">
      <c r="A58" s="13" t="s">
        <v>137</v>
      </c>
      <c r="D58" s="13" t="s">
        <v>56</v>
      </c>
      <c r="J58" s="23">
        <v>805</v>
      </c>
      <c r="K58" s="13" t="s">
        <v>30</v>
      </c>
      <c r="M58" s="25">
        <v>6.48</v>
      </c>
      <c r="N58" s="13" t="s">
        <v>138</v>
      </c>
      <c r="P58" s="25">
        <v>7.05</v>
      </c>
      <c r="Q58" s="13" t="s">
        <v>138</v>
      </c>
    </row>
    <row r="59" spans="1:17">
      <c r="D59" s="13" t="s">
        <v>57</v>
      </c>
      <c r="M59" s="26"/>
      <c r="P59" s="26"/>
    </row>
    <row r="60" spans="1:17">
      <c r="D60" s="13" t="s">
        <v>33</v>
      </c>
      <c r="M60" s="26"/>
      <c r="P60" s="26"/>
    </row>
    <row r="61" spans="1:17">
      <c r="A61" s="13" t="s">
        <v>137</v>
      </c>
      <c r="D61" s="13" t="s">
        <v>58</v>
      </c>
      <c r="J61" s="23">
        <v>678</v>
      </c>
      <c r="K61" s="13" t="s">
        <v>30</v>
      </c>
      <c r="M61" s="25">
        <v>5.46</v>
      </c>
      <c r="N61" s="13" t="s">
        <v>138</v>
      </c>
      <c r="P61" s="25">
        <v>6.03</v>
      </c>
      <c r="Q61" s="13" t="s">
        <v>138</v>
      </c>
    </row>
    <row r="62" spans="1:17">
      <c r="D62" s="13" t="s">
        <v>59</v>
      </c>
      <c r="M62" s="26"/>
      <c r="P62" s="26"/>
    </row>
    <row r="63" spans="1:17">
      <c r="D63" s="13" t="s">
        <v>33</v>
      </c>
      <c r="M63" s="26"/>
      <c r="P63" s="26"/>
    </row>
    <row r="64" spans="1:17">
      <c r="A64" s="13" t="s">
        <v>137</v>
      </c>
      <c r="D64" s="13" t="s">
        <v>60</v>
      </c>
      <c r="J64" s="23">
        <v>160</v>
      </c>
      <c r="K64" s="13" t="s">
        <v>30</v>
      </c>
      <c r="M64" s="25">
        <v>2.44</v>
      </c>
      <c r="N64" s="13" t="s">
        <v>138</v>
      </c>
      <c r="P64" s="25">
        <v>3</v>
      </c>
      <c r="Q64" s="13" t="s">
        <v>138</v>
      </c>
    </row>
    <row r="65" spans="1:17">
      <c r="D65" s="13" t="s">
        <v>61</v>
      </c>
      <c r="M65" s="26"/>
      <c r="P65" s="26"/>
    </row>
    <row r="66" spans="1:17">
      <c r="D66" s="13" t="s">
        <v>33</v>
      </c>
      <c r="M66" s="26"/>
      <c r="P66" s="26"/>
    </row>
    <row r="67" spans="1:17">
      <c r="A67" s="13" t="s">
        <v>137</v>
      </c>
      <c r="D67" s="13" t="s">
        <v>62</v>
      </c>
      <c r="J67" s="23">
        <v>105</v>
      </c>
      <c r="K67" s="13" t="s">
        <v>30</v>
      </c>
      <c r="M67" s="25">
        <v>0.84</v>
      </c>
      <c r="N67" s="13" t="s">
        <v>138</v>
      </c>
      <c r="P67" s="25">
        <v>0.93</v>
      </c>
      <c r="Q67" s="13" t="s">
        <v>138</v>
      </c>
    </row>
    <row r="68" spans="1:17">
      <c r="D68" s="13" t="s">
        <v>63</v>
      </c>
      <c r="M68" s="26"/>
      <c r="P68" s="26"/>
    </row>
    <row r="69" spans="1:17">
      <c r="D69" s="13" t="s">
        <v>33</v>
      </c>
      <c r="M69" s="26"/>
      <c r="P69" s="26"/>
    </row>
    <row r="70" spans="1:17">
      <c r="D70" s="13" t="s">
        <v>64</v>
      </c>
      <c r="M70" s="26"/>
      <c r="P70" s="26"/>
    </row>
    <row r="71" spans="1:17">
      <c r="D71" s="13" t="s">
        <v>27</v>
      </c>
      <c r="M71" s="26"/>
      <c r="P71" s="26"/>
    </row>
    <row r="72" spans="1:17" ht="16.2">
      <c r="D72" s="20" t="s">
        <v>28</v>
      </c>
      <c r="M72" s="26"/>
      <c r="P72" s="26"/>
    </row>
    <row r="73" spans="1:17">
      <c r="A73" s="13" t="s">
        <v>137</v>
      </c>
      <c r="D73" s="13" t="s">
        <v>65</v>
      </c>
      <c r="J73" s="23">
        <v>8</v>
      </c>
      <c r="K73" s="13" t="s">
        <v>30</v>
      </c>
      <c r="M73" s="25">
        <v>0.12</v>
      </c>
      <c r="N73" s="13" t="s">
        <v>138</v>
      </c>
      <c r="P73" s="25">
        <v>0.21</v>
      </c>
      <c r="Q73" s="13" t="s">
        <v>138</v>
      </c>
    </row>
    <row r="74" spans="1:17">
      <c r="D74" s="13" t="s">
        <v>33</v>
      </c>
      <c r="M74" s="26"/>
      <c r="P74" s="26"/>
    </row>
    <row r="75" spans="1:17">
      <c r="D75" s="13" t="s">
        <v>66</v>
      </c>
      <c r="M75" s="26"/>
      <c r="P75" s="26"/>
    </row>
    <row r="76" spans="1:17">
      <c r="D76" s="13" t="s">
        <v>67</v>
      </c>
      <c r="M76" s="26"/>
      <c r="P76" s="26"/>
    </row>
    <row r="77" spans="1:17">
      <c r="D77" s="13" t="s">
        <v>68</v>
      </c>
      <c r="M77" s="26"/>
      <c r="P77" s="26"/>
    </row>
    <row r="78" spans="1:17">
      <c r="D78" s="13" t="s">
        <v>69</v>
      </c>
      <c r="M78" s="26"/>
      <c r="P78" s="26"/>
    </row>
    <row r="79" spans="1:17">
      <c r="D79" s="13" t="s">
        <v>70</v>
      </c>
      <c r="M79" s="26"/>
      <c r="P79" s="26"/>
    </row>
    <row r="80" spans="1:17">
      <c r="D80" s="13" t="s">
        <v>71</v>
      </c>
      <c r="M80" s="26"/>
      <c r="P80" s="26"/>
    </row>
    <row r="81" spans="1:25">
      <c r="A81" s="13" t="s">
        <v>141</v>
      </c>
      <c r="D81" s="13" t="s">
        <v>72</v>
      </c>
      <c r="J81" s="24">
        <v>95176</v>
      </c>
      <c r="K81" s="13" t="s">
        <v>30</v>
      </c>
      <c r="M81" s="25">
        <v>47.15</v>
      </c>
      <c r="N81" s="13" t="s">
        <v>138</v>
      </c>
      <c r="P81" s="25">
        <v>49.57</v>
      </c>
      <c r="Q81" s="13" t="s">
        <v>138</v>
      </c>
    </row>
    <row r="82" spans="1:25">
      <c r="D82" s="13" t="s">
        <v>73</v>
      </c>
      <c r="J82" s="24">
        <v>79962</v>
      </c>
      <c r="K82" s="13" t="s">
        <v>30</v>
      </c>
      <c r="M82" s="26"/>
      <c r="P82" s="26"/>
    </row>
    <row r="83" spans="1:25">
      <c r="D83" s="13" t="s">
        <v>33</v>
      </c>
      <c r="M83" s="26"/>
      <c r="P83" s="26"/>
    </row>
    <row r="84" spans="1:25" s="1" customFormat="1" ht="16.2">
      <c r="D84" s="47" t="s">
        <v>256</v>
      </c>
      <c r="H84" s="42"/>
      <c r="I84" s="43"/>
      <c r="K84" s="27"/>
      <c r="N84" s="27"/>
      <c r="P84" s="29"/>
      <c r="S84" s="46"/>
      <c r="T84" s="41"/>
      <c r="U84" s="43"/>
      <c r="V84" s="43"/>
      <c r="X84" s="43"/>
      <c r="Y84" s="46"/>
    </row>
    <row r="85" spans="1:25" s="1" customFormat="1" ht="16.2">
      <c r="D85" s="48" t="s">
        <v>253</v>
      </c>
      <c r="K85" s="27"/>
      <c r="N85" s="27"/>
      <c r="P85" s="29"/>
      <c r="S85" s="46"/>
      <c r="T85" s="41"/>
      <c r="U85" s="43"/>
      <c r="V85" s="43"/>
      <c r="X85" s="43"/>
      <c r="Y85" s="46"/>
    </row>
    <row r="86" spans="1:25" s="1" customFormat="1" ht="16.2">
      <c r="D86" s="43" t="s">
        <v>258</v>
      </c>
      <c r="K86" s="27"/>
      <c r="N86" s="27"/>
      <c r="P86" s="29"/>
    </row>
    <row r="87" spans="1:25" s="1" customFormat="1">
      <c r="A87" s="1" t="s">
        <v>588</v>
      </c>
      <c r="D87" s="49" t="s">
        <v>257</v>
      </c>
      <c r="J87" s="27">
        <v>700</v>
      </c>
      <c r="K87" s="1" t="s">
        <v>259</v>
      </c>
      <c r="M87" s="25">
        <v>21</v>
      </c>
      <c r="N87" s="17" t="s">
        <v>138</v>
      </c>
      <c r="O87" s="17"/>
      <c r="P87" s="25">
        <v>24.728999999999999</v>
      </c>
      <c r="Q87" s="17" t="s">
        <v>138</v>
      </c>
    </row>
    <row r="88" spans="1:25" s="1" customFormat="1">
      <c r="D88" s="49"/>
      <c r="J88" s="27"/>
      <c r="N88" s="27"/>
      <c r="P88" s="29"/>
    </row>
    <row r="89" spans="1:25" s="1" customFormat="1" ht="16.2">
      <c r="D89" s="47" t="s">
        <v>260</v>
      </c>
      <c r="J89" s="27"/>
      <c r="N89" s="27"/>
      <c r="P89" s="29"/>
    </row>
    <row r="90" spans="1:25" s="1" customFormat="1" ht="16.2">
      <c r="A90" s="1" t="s">
        <v>588</v>
      </c>
      <c r="D90" s="43" t="s">
        <v>255</v>
      </c>
    </row>
    <row r="91" spans="1:25" s="1" customFormat="1" ht="16.2">
      <c r="D91" s="43" t="s">
        <v>596</v>
      </c>
      <c r="J91" s="50">
        <v>5273</v>
      </c>
      <c r="K91" s="1" t="s">
        <v>261</v>
      </c>
      <c r="M91" s="25">
        <v>22.7</v>
      </c>
      <c r="N91" s="17" t="s">
        <v>138</v>
      </c>
      <c r="O91" s="17"/>
      <c r="P91" s="25">
        <v>24</v>
      </c>
      <c r="Q91" s="17" t="s">
        <v>138</v>
      </c>
    </row>
    <row r="92" spans="1:25" s="1" customFormat="1" ht="16.2">
      <c r="D92" s="43" t="s">
        <v>597</v>
      </c>
      <c r="J92" s="50">
        <v>3375</v>
      </c>
      <c r="M92" s="25"/>
      <c r="N92" s="17"/>
      <c r="O92" s="17"/>
      <c r="P92" s="25"/>
      <c r="Q92" s="17"/>
    </row>
    <row r="93" spans="1:25" s="1" customFormat="1" ht="16.2">
      <c r="A93" s="1" t="s">
        <v>589</v>
      </c>
      <c r="D93" s="43" t="s">
        <v>598</v>
      </c>
      <c r="J93" s="50">
        <v>6327</v>
      </c>
      <c r="K93" s="1" t="s">
        <v>261</v>
      </c>
      <c r="M93" s="25">
        <v>16.600000000000001</v>
      </c>
      <c r="N93" s="17" t="s">
        <v>138</v>
      </c>
      <c r="O93" s="17"/>
      <c r="P93" s="25">
        <v>17.600000000000001</v>
      </c>
      <c r="Q93" s="17" t="s">
        <v>138</v>
      </c>
    </row>
    <row r="94" spans="1:25" s="1" customFormat="1" ht="16.2">
      <c r="D94" s="43" t="s">
        <v>263</v>
      </c>
      <c r="K94" s="27"/>
      <c r="N94" s="27"/>
      <c r="P94" s="29"/>
    </row>
    <row r="95" spans="1:25" s="1" customFormat="1" ht="16.2">
      <c r="D95" s="43"/>
      <c r="K95" s="27"/>
      <c r="N95" s="27"/>
      <c r="P95" s="29"/>
    </row>
    <row r="96" spans="1:25" s="1" customFormat="1" ht="16.2">
      <c r="A96" s="1" t="s">
        <v>590</v>
      </c>
      <c r="D96" s="43" t="s">
        <v>254</v>
      </c>
      <c r="J96" s="50">
        <v>6775</v>
      </c>
      <c r="K96" s="1" t="s">
        <v>261</v>
      </c>
      <c r="M96" s="25">
        <v>27.8</v>
      </c>
      <c r="N96" s="17" t="s">
        <v>138</v>
      </c>
      <c r="O96" s="17"/>
      <c r="P96" s="25">
        <v>31.9</v>
      </c>
      <c r="Q96" s="17" t="s">
        <v>138</v>
      </c>
    </row>
    <row r="97" spans="1:17" s="1" customFormat="1" ht="16.8" customHeight="1">
      <c r="D97" s="43" t="s">
        <v>262</v>
      </c>
      <c r="J97" s="27"/>
      <c r="N97" s="27"/>
      <c r="P97" s="29"/>
    </row>
    <row r="98" spans="1:17" s="17" customFormat="1">
      <c r="M98" s="26"/>
      <c r="P98" s="26"/>
    </row>
    <row r="99" spans="1:17">
      <c r="D99" s="13" t="s">
        <v>74</v>
      </c>
      <c r="M99" s="26"/>
      <c r="P99" s="26"/>
    </row>
    <row r="100" spans="1:17">
      <c r="D100" s="13" t="s">
        <v>75</v>
      </c>
      <c r="M100" s="26"/>
      <c r="P100" s="26"/>
    </row>
    <row r="101" spans="1:17">
      <c r="D101" s="13" t="s">
        <v>76</v>
      </c>
      <c r="M101" s="26"/>
      <c r="P101" s="26"/>
    </row>
    <row r="102" spans="1:17">
      <c r="D102" s="13" t="s">
        <v>77</v>
      </c>
      <c r="M102" s="26"/>
      <c r="P102" s="26"/>
    </row>
    <row r="103" spans="1:17">
      <c r="D103" s="13" t="s">
        <v>78</v>
      </c>
      <c r="M103" s="26"/>
      <c r="P103" s="26"/>
    </row>
    <row r="104" spans="1:17">
      <c r="D104" s="13" t="s">
        <v>79</v>
      </c>
      <c r="M104" s="26"/>
      <c r="P104" s="26"/>
    </row>
    <row r="105" spans="1:17" ht="16.2">
      <c r="D105" s="20" t="s">
        <v>80</v>
      </c>
      <c r="M105" s="26"/>
      <c r="P105" s="26"/>
    </row>
    <row r="106" spans="1:17">
      <c r="D106" s="13" t="s">
        <v>81</v>
      </c>
      <c r="M106" s="26"/>
      <c r="P106" s="26"/>
    </row>
    <row r="107" spans="1:17">
      <c r="D107" s="13" t="s">
        <v>82</v>
      </c>
      <c r="M107" s="26"/>
      <c r="P107" s="26"/>
    </row>
    <row r="108" spans="1:17">
      <c r="D108" s="22" t="s">
        <v>83</v>
      </c>
      <c r="M108" s="26"/>
      <c r="P108" s="26"/>
    </row>
    <row r="109" spans="1:17">
      <c r="A109" s="13" t="s">
        <v>144</v>
      </c>
      <c r="D109" s="13" t="s">
        <v>84</v>
      </c>
      <c r="J109" s="24">
        <v>1136</v>
      </c>
      <c r="K109" s="1" t="s">
        <v>261</v>
      </c>
      <c r="M109" s="25">
        <v>295.5</v>
      </c>
      <c r="N109" s="13" t="s">
        <v>138</v>
      </c>
      <c r="P109" s="25">
        <v>298.3</v>
      </c>
      <c r="Q109" s="13" t="s">
        <v>138</v>
      </c>
    </row>
    <row r="110" spans="1:17">
      <c r="A110" s="13" t="s">
        <v>145</v>
      </c>
      <c r="D110" s="13" t="s">
        <v>86</v>
      </c>
      <c r="J110" s="23">
        <v>67</v>
      </c>
      <c r="K110" s="1" t="s">
        <v>261</v>
      </c>
      <c r="M110" s="25">
        <v>17.5</v>
      </c>
      <c r="N110" s="13" t="s">
        <v>138</v>
      </c>
      <c r="P110" s="25">
        <v>17.7</v>
      </c>
      <c r="Q110" s="13" t="s">
        <v>138</v>
      </c>
    </row>
    <row r="111" spans="1:17">
      <c r="D111" s="13" t="s">
        <v>33</v>
      </c>
      <c r="M111" s="26"/>
      <c r="P111" s="26"/>
    </row>
    <row r="112" spans="1:17">
      <c r="D112" s="13" t="s">
        <v>87</v>
      </c>
      <c r="M112" s="26"/>
      <c r="P112" s="26"/>
    </row>
    <row r="113" spans="1:17">
      <c r="D113" s="13" t="s">
        <v>88</v>
      </c>
      <c r="M113" s="26"/>
      <c r="P113" s="26"/>
    </row>
    <row r="114" spans="1:17">
      <c r="D114" s="13" t="s">
        <v>78</v>
      </c>
      <c r="M114" s="26"/>
      <c r="P114" s="26"/>
    </row>
    <row r="115" spans="1:17">
      <c r="D115" s="13" t="s">
        <v>89</v>
      </c>
      <c r="M115" s="26"/>
      <c r="P115" s="26"/>
    </row>
    <row r="116" spans="1:17" ht="16.2">
      <c r="D116" s="20" t="s">
        <v>90</v>
      </c>
      <c r="M116" s="26"/>
      <c r="P116" s="26"/>
    </row>
    <row r="117" spans="1:17">
      <c r="D117" s="13" t="s">
        <v>91</v>
      </c>
      <c r="M117" s="26"/>
      <c r="P117" s="26"/>
    </row>
    <row r="118" spans="1:17">
      <c r="D118" s="13" t="s">
        <v>92</v>
      </c>
      <c r="M118" s="26"/>
      <c r="P118" s="26"/>
    </row>
    <row r="119" spans="1:17">
      <c r="D119" s="22" t="s">
        <v>83</v>
      </c>
      <c r="M119" s="26"/>
      <c r="P119" s="26"/>
    </row>
    <row r="120" spans="1:17">
      <c r="A120" s="13" t="s">
        <v>146</v>
      </c>
      <c r="D120" s="13" t="s">
        <v>93</v>
      </c>
      <c r="J120" s="23">
        <v>60</v>
      </c>
      <c r="K120" s="13" t="s">
        <v>85</v>
      </c>
      <c r="M120" s="25">
        <v>15.4</v>
      </c>
      <c r="N120" s="13" t="s">
        <v>138</v>
      </c>
      <c r="P120" s="25">
        <v>15.6</v>
      </c>
      <c r="Q120" s="13" t="s">
        <v>138</v>
      </c>
    </row>
    <row r="121" spans="1:17">
      <c r="D121" s="13" t="s">
        <v>94</v>
      </c>
      <c r="M121" s="26"/>
      <c r="P121" s="26"/>
    </row>
    <row r="122" spans="1:17">
      <c r="D122" s="13" t="s">
        <v>33</v>
      </c>
      <c r="M122" s="26"/>
      <c r="P122" s="26"/>
    </row>
    <row r="123" spans="1:17">
      <c r="D123" s="13" t="s">
        <v>95</v>
      </c>
      <c r="M123" s="26"/>
      <c r="P123" s="26"/>
    </row>
    <row r="124" spans="1:17">
      <c r="D124" s="13" t="s">
        <v>96</v>
      </c>
      <c r="M124" s="26"/>
      <c r="P124" s="26"/>
    </row>
    <row r="125" spans="1:17">
      <c r="D125" s="13" t="s">
        <v>97</v>
      </c>
      <c r="M125" s="26"/>
      <c r="P125" s="26"/>
    </row>
    <row r="126" spans="1:17">
      <c r="D126" s="13" t="s">
        <v>98</v>
      </c>
      <c r="M126" s="26"/>
      <c r="P126" s="26"/>
    </row>
    <row r="127" spans="1:17">
      <c r="D127" s="13" t="s">
        <v>99</v>
      </c>
      <c r="M127" s="26"/>
      <c r="P127" s="26"/>
    </row>
    <row r="128" spans="1:17" ht="16.2">
      <c r="D128" s="20" t="s">
        <v>80</v>
      </c>
      <c r="M128" s="26"/>
      <c r="P128" s="26"/>
    </row>
    <row r="129" spans="1:17">
      <c r="D129" s="13" t="s">
        <v>91</v>
      </c>
      <c r="M129" s="26"/>
      <c r="P129" s="26"/>
    </row>
    <row r="130" spans="1:17">
      <c r="D130" s="13" t="s">
        <v>92</v>
      </c>
      <c r="M130" s="26"/>
      <c r="P130" s="26"/>
    </row>
    <row r="131" spans="1:17">
      <c r="D131" s="22" t="s">
        <v>83</v>
      </c>
      <c r="M131" s="26"/>
      <c r="P131" s="26"/>
    </row>
    <row r="132" spans="1:17">
      <c r="A132" s="13" t="s">
        <v>147</v>
      </c>
      <c r="D132" s="13" t="s">
        <v>100</v>
      </c>
      <c r="J132" s="24">
        <v>3924</v>
      </c>
      <c r="K132" s="13" t="s">
        <v>30</v>
      </c>
      <c r="M132" s="25">
        <v>111.6</v>
      </c>
      <c r="N132" s="13" t="s">
        <v>138</v>
      </c>
      <c r="P132" s="25">
        <v>112.7</v>
      </c>
      <c r="Q132" s="13" t="s">
        <v>138</v>
      </c>
    </row>
    <row r="133" spans="1:17">
      <c r="A133" s="13" t="s">
        <v>148</v>
      </c>
      <c r="D133" s="13" t="s">
        <v>101</v>
      </c>
      <c r="J133" s="24">
        <v>3794</v>
      </c>
      <c r="K133" s="13" t="s">
        <v>30</v>
      </c>
      <c r="M133" s="25">
        <v>107.7</v>
      </c>
      <c r="N133" s="13" t="s">
        <v>138</v>
      </c>
      <c r="P133" s="25">
        <v>108.8</v>
      </c>
      <c r="Q133" s="13" t="s">
        <v>138</v>
      </c>
    </row>
    <row r="134" spans="1:17">
      <c r="A134" s="13" t="s">
        <v>149</v>
      </c>
      <c r="D134" s="13" t="s">
        <v>102</v>
      </c>
      <c r="J134" s="24">
        <v>1040</v>
      </c>
      <c r="K134" s="13" t="s">
        <v>30</v>
      </c>
      <c r="M134" s="25">
        <v>29.8</v>
      </c>
      <c r="N134" s="13" t="s">
        <v>138</v>
      </c>
      <c r="P134" s="25">
        <v>30.7</v>
      </c>
      <c r="Q134" s="13" t="s">
        <v>138</v>
      </c>
    </row>
    <row r="135" spans="1:17">
      <c r="D135" s="13" t="s">
        <v>33</v>
      </c>
      <c r="M135" s="26"/>
      <c r="P135" s="26"/>
    </row>
    <row r="136" spans="1:17">
      <c r="D136" s="13" t="s">
        <v>103</v>
      </c>
      <c r="M136" s="26"/>
      <c r="P136" s="26"/>
    </row>
    <row r="137" spans="1:17" ht="16.2">
      <c r="D137" s="20" t="s">
        <v>80</v>
      </c>
      <c r="M137" s="26"/>
      <c r="P137" s="26"/>
    </row>
    <row r="138" spans="1:17">
      <c r="D138" s="13" t="s">
        <v>81</v>
      </c>
      <c r="M138" s="26"/>
      <c r="P138" s="26"/>
    </row>
    <row r="139" spans="1:17">
      <c r="D139" s="13" t="s">
        <v>82</v>
      </c>
      <c r="M139" s="26"/>
      <c r="P139" s="26"/>
    </row>
    <row r="140" spans="1:17">
      <c r="D140" s="22" t="s">
        <v>83</v>
      </c>
      <c r="M140" s="26"/>
      <c r="P140" s="26"/>
    </row>
    <row r="141" spans="1:17">
      <c r="A141" s="13" t="s">
        <v>150</v>
      </c>
      <c r="D141" s="13" t="s">
        <v>84</v>
      </c>
      <c r="J141" s="24">
        <v>6182</v>
      </c>
      <c r="K141" s="13" t="s">
        <v>30</v>
      </c>
      <c r="M141" s="25">
        <v>156.5</v>
      </c>
      <c r="N141" s="13" t="s">
        <v>138</v>
      </c>
      <c r="P141" s="25">
        <v>157.4</v>
      </c>
      <c r="Q141" s="13" t="s">
        <v>138</v>
      </c>
    </row>
    <row r="142" spans="1:17">
      <c r="A142" s="13" t="s">
        <v>151</v>
      </c>
      <c r="D142" s="13" t="s">
        <v>86</v>
      </c>
      <c r="J142" s="24">
        <v>3299</v>
      </c>
      <c r="K142" s="13" t="s">
        <v>30</v>
      </c>
      <c r="M142" s="25">
        <v>85.3</v>
      </c>
      <c r="N142" s="13" t="s">
        <v>138</v>
      </c>
      <c r="P142" s="25">
        <v>85.9</v>
      </c>
      <c r="Q142" s="13" t="s">
        <v>138</v>
      </c>
    </row>
    <row r="143" spans="1:17">
      <c r="A143" s="13" t="s">
        <v>152</v>
      </c>
      <c r="D143" s="13" t="s">
        <v>102</v>
      </c>
      <c r="J143" s="24">
        <v>5151</v>
      </c>
      <c r="K143" s="13" t="s">
        <v>30</v>
      </c>
      <c r="M143" s="25">
        <v>129.69999999999999</v>
      </c>
      <c r="N143" s="13" t="s">
        <v>138</v>
      </c>
      <c r="P143" s="25">
        <v>130.6</v>
      </c>
      <c r="Q143" s="13" t="s">
        <v>138</v>
      </c>
    </row>
    <row r="144" spans="1:17">
      <c r="D144" s="13" t="s">
        <v>33</v>
      </c>
      <c r="M144" s="26"/>
      <c r="P144" s="26"/>
    </row>
    <row r="145" spans="1:17">
      <c r="D145" s="13" t="s">
        <v>104</v>
      </c>
      <c r="M145" s="26"/>
      <c r="P145" s="26"/>
    </row>
    <row r="146" spans="1:17">
      <c r="D146" s="13" t="s">
        <v>105</v>
      </c>
      <c r="M146" s="26"/>
      <c r="P146" s="26"/>
    </row>
    <row r="147" spans="1:17">
      <c r="D147" s="13" t="s">
        <v>106</v>
      </c>
      <c r="M147" s="26"/>
      <c r="P147" s="26"/>
    </row>
    <row r="148" spans="1:17" ht="16.2">
      <c r="D148" s="20" t="s">
        <v>80</v>
      </c>
      <c r="M148" s="26"/>
      <c r="P148" s="26"/>
    </row>
    <row r="149" spans="1:17">
      <c r="D149" s="13" t="s">
        <v>81</v>
      </c>
      <c r="M149" s="26"/>
      <c r="P149" s="26"/>
    </row>
    <row r="150" spans="1:17">
      <c r="D150" s="13" t="s">
        <v>82</v>
      </c>
      <c r="M150" s="26"/>
      <c r="P150" s="26"/>
    </row>
    <row r="151" spans="1:17">
      <c r="D151" s="22" t="s">
        <v>83</v>
      </c>
      <c r="M151" s="26"/>
      <c r="P151" s="26"/>
    </row>
    <row r="152" spans="1:17">
      <c r="A152" s="13" t="s">
        <v>153</v>
      </c>
      <c r="D152" s="13" t="s">
        <v>84</v>
      </c>
      <c r="J152" s="24">
        <v>12362</v>
      </c>
      <c r="K152" s="13" t="s">
        <v>30</v>
      </c>
      <c r="M152" s="25">
        <v>122.3</v>
      </c>
      <c r="N152" s="13" t="s">
        <v>138</v>
      </c>
      <c r="P152" s="25">
        <v>123.2</v>
      </c>
      <c r="Q152" s="13" t="s">
        <v>138</v>
      </c>
    </row>
    <row r="153" spans="1:17">
      <c r="A153" s="13" t="s">
        <v>154</v>
      </c>
      <c r="D153" s="13" t="s">
        <v>86</v>
      </c>
      <c r="J153" s="24">
        <v>6596</v>
      </c>
      <c r="K153" s="13" t="s">
        <v>30</v>
      </c>
      <c r="M153" s="25">
        <v>67.2</v>
      </c>
      <c r="N153" s="13" t="s">
        <v>138</v>
      </c>
      <c r="P153" s="25">
        <v>67.8</v>
      </c>
      <c r="Q153" s="13" t="s">
        <v>138</v>
      </c>
    </row>
    <row r="154" spans="1:17">
      <c r="A154" s="13" t="s">
        <v>155</v>
      </c>
      <c r="D154" s="13" t="s">
        <v>102</v>
      </c>
      <c r="J154" s="24">
        <v>10300</v>
      </c>
      <c r="K154" s="13" t="s">
        <v>30</v>
      </c>
      <c r="M154" s="25">
        <v>103.9</v>
      </c>
      <c r="N154" s="13" t="s">
        <v>138</v>
      </c>
      <c r="P154" s="25">
        <v>104.7</v>
      </c>
      <c r="Q154" s="13" t="s">
        <v>138</v>
      </c>
    </row>
    <row r="155" spans="1:17" s="17" customFormat="1">
      <c r="J155" s="24"/>
      <c r="M155" s="25"/>
      <c r="P155" s="25"/>
    </row>
    <row r="156" spans="1:17" s="34" customFormat="1" ht="12.75" customHeight="1">
      <c r="A156" s="114"/>
      <c r="B156" s="114"/>
      <c r="C156" s="84"/>
      <c r="D156" s="31" t="s">
        <v>439</v>
      </c>
      <c r="E156" s="31"/>
      <c r="F156" s="31"/>
      <c r="G156" s="36"/>
      <c r="H156" s="35"/>
      <c r="I156" s="36"/>
      <c r="J156" s="35"/>
      <c r="K156" s="36"/>
      <c r="L156" s="35"/>
      <c r="M156" s="36"/>
      <c r="N156" s="84"/>
      <c r="O156" s="35"/>
    </row>
    <row r="157" spans="1:17" s="34" customFormat="1" ht="12.75" customHeight="1">
      <c r="A157" s="114"/>
      <c r="B157" s="114"/>
      <c r="C157" s="84"/>
      <c r="D157" s="31" t="s">
        <v>178</v>
      </c>
      <c r="E157" s="31"/>
      <c r="F157" s="31"/>
      <c r="G157" s="36"/>
      <c r="H157" s="35"/>
      <c r="I157" s="36"/>
      <c r="J157" s="35"/>
      <c r="K157" s="36"/>
      <c r="L157" s="35"/>
      <c r="M157" s="36"/>
      <c r="N157" s="84"/>
      <c r="O157" s="35"/>
    </row>
    <row r="158" spans="1:17" s="34" customFormat="1" ht="12.75" customHeight="1">
      <c r="A158" s="114"/>
      <c r="B158" s="114"/>
      <c r="C158" s="84"/>
      <c r="D158" s="31" t="s">
        <v>440</v>
      </c>
      <c r="E158" s="31"/>
      <c r="F158" s="31"/>
      <c r="G158" s="36"/>
      <c r="H158" s="35"/>
      <c r="I158" s="36"/>
      <c r="J158" s="35"/>
      <c r="K158" s="36"/>
      <c r="L158" s="35"/>
      <c r="M158" s="36"/>
      <c r="N158" s="84"/>
      <c r="O158" s="35"/>
    </row>
    <row r="159" spans="1:17" s="34" customFormat="1" ht="12.75" customHeight="1">
      <c r="A159" s="114"/>
      <c r="B159" s="114"/>
      <c r="C159" s="84"/>
      <c r="D159" s="31" t="s">
        <v>182</v>
      </c>
      <c r="E159" s="31"/>
      <c r="F159" s="31"/>
      <c r="G159" s="36"/>
      <c r="H159" s="35"/>
      <c r="I159" s="36"/>
      <c r="J159" s="35"/>
      <c r="K159" s="36"/>
      <c r="L159" s="35"/>
      <c r="M159" s="36"/>
      <c r="N159" s="84"/>
      <c r="O159" s="35"/>
    </row>
    <row r="160" spans="1:17" s="34" customFormat="1" ht="12.75" customHeight="1">
      <c r="A160" s="114"/>
      <c r="B160" s="114"/>
      <c r="C160" s="84"/>
      <c r="D160" s="31" t="s">
        <v>441</v>
      </c>
      <c r="E160" s="31"/>
      <c r="F160" s="31"/>
      <c r="G160" s="36"/>
      <c r="H160" s="35"/>
      <c r="I160" s="36"/>
      <c r="J160" s="35"/>
      <c r="K160" s="36"/>
      <c r="L160" s="35"/>
      <c r="M160" s="36"/>
      <c r="N160" s="84"/>
      <c r="O160" s="35"/>
    </row>
    <row r="161" spans="1:17" s="34" customFormat="1" ht="12.75" customHeight="1">
      <c r="A161" s="114"/>
      <c r="B161" s="114"/>
      <c r="C161" s="84"/>
      <c r="D161" s="31" t="s">
        <v>442</v>
      </c>
      <c r="E161" s="31"/>
      <c r="F161" s="31"/>
      <c r="G161" s="36"/>
      <c r="H161" s="35"/>
      <c r="I161" s="36"/>
      <c r="J161" s="35"/>
      <c r="K161" s="36"/>
      <c r="L161" s="35"/>
      <c r="M161" s="36"/>
      <c r="N161" s="84"/>
      <c r="O161" s="35"/>
    </row>
    <row r="162" spans="1:17" s="34" customFormat="1" ht="12.75" customHeight="1">
      <c r="A162" s="114"/>
      <c r="B162" s="114"/>
      <c r="C162" s="84"/>
      <c r="D162" s="31" t="s">
        <v>188</v>
      </c>
      <c r="E162" s="31"/>
      <c r="F162" s="31"/>
      <c r="G162" s="36"/>
      <c r="H162" s="35"/>
      <c r="I162" s="36"/>
      <c r="J162" s="35"/>
      <c r="K162" s="36"/>
      <c r="L162" s="35"/>
      <c r="M162" s="36"/>
      <c r="N162" s="84"/>
      <c r="O162" s="35"/>
    </row>
    <row r="163" spans="1:17" s="34" customFormat="1" ht="12.75" customHeight="1">
      <c r="A163" s="114"/>
      <c r="B163" s="114"/>
      <c r="C163" s="84"/>
      <c r="D163" s="31" t="s">
        <v>440</v>
      </c>
      <c r="E163" s="31"/>
      <c r="F163" s="31"/>
      <c r="G163" s="36"/>
      <c r="H163" s="35"/>
      <c r="I163" s="36"/>
      <c r="J163" s="35"/>
      <c r="K163" s="36"/>
      <c r="L163" s="35"/>
      <c r="M163" s="36"/>
      <c r="N163" s="84"/>
      <c r="O163" s="35"/>
    </row>
    <row r="164" spans="1:17" s="34" customFormat="1" ht="12.75" customHeight="1">
      <c r="A164" s="114"/>
      <c r="B164" s="114"/>
      <c r="C164" s="84"/>
      <c r="D164" s="31" t="s">
        <v>443</v>
      </c>
      <c r="E164" s="31"/>
      <c r="F164" s="31"/>
      <c r="G164" s="36"/>
      <c r="H164" s="35"/>
      <c r="I164" s="36"/>
      <c r="J164" s="35"/>
      <c r="K164" s="36"/>
      <c r="L164" s="35"/>
      <c r="M164" s="36"/>
      <c r="N164" s="84"/>
      <c r="O164" s="35"/>
    </row>
    <row r="165" spans="1:17" s="34" customFormat="1" ht="12.75" customHeight="1">
      <c r="A165" s="114"/>
      <c r="B165" s="114"/>
      <c r="C165" s="84"/>
      <c r="D165" s="31" t="s">
        <v>193</v>
      </c>
      <c r="E165" s="31"/>
      <c r="F165" s="31"/>
      <c r="G165" s="36"/>
      <c r="H165" s="35"/>
      <c r="I165" s="36"/>
      <c r="J165" s="35"/>
      <c r="K165" s="36"/>
      <c r="L165" s="35"/>
      <c r="M165" s="36"/>
      <c r="N165" s="84"/>
      <c r="O165" s="35"/>
    </row>
    <row r="166" spans="1:17" s="34" customFormat="1" ht="12.75" customHeight="1">
      <c r="A166" s="114"/>
      <c r="B166" s="114"/>
      <c r="C166" s="84"/>
      <c r="D166" s="31" t="s">
        <v>194</v>
      </c>
      <c r="E166" s="31"/>
      <c r="F166" s="31"/>
      <c r="G166" s="36"/>
      <c r="H166" s="35"/>
      <c r="I166" s="36"/>
      <c r="J166" s="35"/>
      <c r="K166" s="36"/>
      <c r="L166" s="35"/>
      <c r="M166" s="36"/>
      <c r="N166" s="84"/>
      <c r="O166" s="35"/>
    </row>
    <row r="167" spans="1:17" s="34" customFormat="1" ht="12.75" customHeight="1">
      <c r="A167" s="114"/>
      <c r="B167" s="114"/>
      <c r="C167" s="84"/>
      <c r="D167" s="37" t="s">
        <v>195</v>
      </c>
      <c r="E167" s="31"/>
      <c r="F167" s="31"/>
      <c r="G167" s="36"/>
      <c r="H167" s="35"/>
      <c r="I167" s="36"/>
      <c r="J167" s="35"/>
      <c r="K167" s="36"/>
      <c r="L167" s="35"/>
      <c r="M167" s="36"/>
      <c r="N167" s="84"/>
      <c r="O167" s="35"/>
    </row>
    <row r="168" spans="1:17" s="34" customFormat="1" ht="12.75" customHeight="1">
      <c r="A168" s="114"/>
      <c r="B168" s="114"/>
      <c r="C168" s="84"/>
      <c r="D168" s="37" t="s">
        <v>196</v>
      </c>
      <c r="E168" s="31"/>
      <c r="F168" s="31"/>
      <c r="G168" s="36"/>
      <c r="H168" s="35"/>
      <c r="I168" s="36"/>
      <c r="J168" s="35"/>
      <c r="K168" s="36"/>
      <c r="L168" s="35"/>
      <c r="M168" s="36"/>
      <c r="N168" s="84"/>
      <c r="O168" s="35"/>
    </row>
    <row r="169" spans="1:17" s="34" customFormat="1" ht="12.75" customHeight="1">
      <c r="A169" s="114"/>
      <c r="B169" s="114"/>
      <c r="C169" s="84"/>
      <c r="D169" s="31" t="s">
        <v>198</v>
      </c>
      <c r="E169" s="31"/>
      <c r="F169" s="31"/>
      <c r="G169" s="36"/>
      <c r="H169" s="35"/>
      <c r="I169" s="36"/>
      <c r="J169" s="35"/>
      <c r="K169" s="36"/>
      <c r="L169" s="35"/>
      <c r="M169" s="36"/>
      <c r="N169" s="84"/>
      <c r="O169" s="35"/>
    </row>
    <row r="170" spans="1:17" s="34" customFormat="1">
      <c r="A170" s="114"/>
      <c r="B170" s="114"/>
      <c r="C170" s="84"/>
      <c r="D170" s="31" t="s">
        <v>200</v>
      </c>
      <c r="E170" s="31"/>
      <c r="F170" s="31"/>
      <c r="G170" s="36"/>
      <c r="H170" s="35"/>
      <c r="I170" s="36"/>
      <c r="J170" s="35"/>
      <c r="K170" s="36"/>
      <c r="L170" s="35"/>
      <c r="M170" s="36"/>
      <c r="N170" s="84"/>
      <c r="O170" s="35"/>
    </row>
    <row r="171" spans="1:17" s="34" customFormat="1">
      <c r="A171" s="114"/>
      <c r="B171" s="114"/>
      <c r="C171" s="84"/>
      <c r="D171" s="31" t="s">
        <v>201</v>
      </c>
      <c r="E171" s="31"/>
      <c r="F171" s="31"/>
      <c r="G171" s="36"/>
      <c r="H171" s="35"/>
      <c r="I171" s="36"/>
      <c r="J171" s="35"/>
      <c r="K171" s="36"/>
      <c r="L171" s="35"/>
      <c r="M171" s="36"/>
      <c r="N171" s="84"/>
      <c r="O171" s="35"/>
    </row>
    <row r="172" spans="1:17" s="34" customFormat="1">
      <c r="A172" s="115" t="s">
        <v>444</v>
      </c>
      <c r="B172" s="114"/>
      <c r="C172" s="84"/>
      <c r="D172" s="31" t="s">
        <v>445</v>
      </c>
      <c r="E172" s="31"/>
      <c r="F172" s="31"/>
      <c r="G172" s="36"/>
      <c r="J172" s="35">
        <v>93</v>
      </c>
      <c r="K172" s="36" t="s">
        <v>199</v>
      </c>
      <c r="M172" s="35">
        <v>15.54</v>
      </c>
      <c r="N172" s="36" t="s">
        <v>446</v>
      </c>
      <c r="O172" s="35"/>
      <c r="P172" s="35">
        <v>15.84</v>
      </c>
      <c r="Q172" s="36" t="s">
        <v>446</v>
      </c>
    </row>
    <row r="173" spans="1:17" s="34" customFormat="1">
      <c r="A173" s="115" t="s">
        <v>447</v>
      </c>
      <c r="B173" s="114"/>
      <c r="C173" s="84"/>
      <c r="D173" s="31" t="s">
        <v>445</v>
      </c>
      <c r="E173" s="31"/>
      <c r="F173" s="31"/>
      <c r="G173" s="36"/>
      <c r="J173" s="35">
        <v>36</v>
      </c>
      <c r="K173" s="36" t="s">
        <v>199</v>
      </c>
      <c r="M173" s="35">
        <v>6.12</v>
      </c>
      <c r="N173" s="36" t="s">
        <v>446</v>
      </c>
      <c r="O173" s="35"/>
      <c r="P173" s="35">
        <v>6.42</v>
      </c>
      <c r="Q173" s="36" t="s">
        <v>446</v>
      </c>
    </row>
    <row r="174" spans="1:17" s="34" customFormat="1">
      <c r="A174" s="115" t="s">
        <v>448</v>
      </c>
      <c r="B174" s="114"/>
      <c r="C174" s="84"/>
      <c r="D174" s="31" t="s">
        <v>445</v>
      </c>
      <c r="E174" s="31"/>
      <c r="F174" s="31"/>
      <c r="G174" s="36"/>
      <c r="J174" s="35">
        <v>87</v>
      </c>
      <c r="K174" s="36" t="s">
        <v>199</v>
      </c>
      <c r="M174" s="35">
        <v>14.62</v>
      </c>
      <c r="N174" s="36" t="s">
        <v>446</v>
      </c>
      <c r="O174" s="35"/>
      <c r="P174" s="35">
        <v>14.92</v>
      </c>
      <c r="Q174" s="36" t="s">
        <v>446</v>
      </c>
    </row>
    <row r="175" spans="1:17" s="34" customFormat="1">
      <c r="A175" s="115" t="s">
        <v>449</v>
      </c>
      <c r="B175" s="114"/>
      <c r="C175" s="84"/>
      <c r="D175" s="31" t="s">
        <v>445</v>
      </c>
      <c r="E175" s="31"/>
      <c r="F175" s="31"/>
      <c r="G175" s="36"/>
      <c r="J175" s="35">
        <v>99</v>
      </c>
      <c r="K175" s="36" t="s">
        <v>199</v>
      </c>
      <c r="M175" s="35">
        <v>16.59</v>
      </c>
      <c r="N175" s="36" t="s">
        <v>446</v>
      </c>
      <c r="O175" s="35"/>
      <c r="P175" s="35">
        <v>16.89</v>
      </c>
      <c r="Q175" s="36" t="s">
        <v>446</v>
      </c>
    </row>
    <row r="176" spans="1:17" s="34" customFormat="1">
      <c r="A176" s="115" t="s">
        <v>450</v>
      </c>
      <c r="B176" s="114"/>
      <c r="C176" s="84"/>
      <c r="D176" s="31" t="s">
        <v>445</v>
      </c>
      <c r="E176" s="31"/>
      <c r="F176" s="31"/>
      <c r="G176" s="36"/>
      <c r="J176" s="35">
        <v>52</v>
      </c>
      <c r="K176" s="36" t="s">
        <v>199</v>
      </c>
      <c r="M176" s="35">
        <v>8.83</v>
      </c>
      <c r="N176" s="36" t="s">
        <v>446</v>
      </c>
      <c r="O176" s="35"/>
      <c r="P176" s="35">
        <v>9.1300000000000008</v>
      </c>
      <c r="Q176" s="36" t="s">
        <v>446</v>
      </c>
    </row>
    <row r="177" spans="1:17" s="34" customFormat="1">
      <c r="A177" s="115" t="s">
        <v>451</v>
      </c>
      <c r="B177" s="114"/>
      <c r="C177" s="84"/>
      <c r="D177" s="31" t="s">
        <v>445</v>
      </c>
      <c r="E177" s="31"/>
      <c r="F177" s="31"/>
      <c r="G177" s="36"/>
      <c r="J177" s="35">
        <v>51</v>
      </c>
      <c r="K177" s="36" t="s">
        <v>199</v>
      </c>
      <c r="M177" s="35">
        <v>8.66</v>
      </c>
      <c r="N177" s="36" t="s">
        <v>446</v>
      </c>
      <c r="O177" s="35"/>
      <c r="P177" s="35">
        <v>8.9600000000000009</v>
      </c>
      <c r="Q177" s="36" t="s">
        <v>446</v>
      </c>
    </row>
    <row r="178" spans="1:17" s="34" customFormat="1">
      <c r="A178" s="115" t="s">
        <v>452</v>
      </c>
      <c r="B178" s="114"/>
      <c r="C178" s="84"/>
      <c r="D178" s="31" t="s">
        <v>445</v>
      </c>
      <c r="E178" s="31"/>
      <c r="F178" s="31"/>
      <c r="G178" s="36"/>
      <c r="J178" s="35">
        <v>134</v>
      </c>
      <c r="K178" s="36" t="s">
        <v>199</v>
      </c>
      <c r="M178" s="35">
        <v>22.44</v>
      </c>
      <c r="N178" s="36" t="s">
        <v>446</v>
      </c>
      <c r="O178" s="35"/>
      <c r="P178" s="35">
        <v>22.74</v>
      </c>
      <c r="Q178" s="36" t="s">
        <v>446</v>
      </c>
    </row>
    <row r="179" spans="1:17" s="34" customFormat="1">
      <c r="A179" s="115" t="s">
        <v>453</v>
      </c>
      <c r="B179" s="114"/>
      <c r="C179" s="84"/>
      <c r="D179" s="31" t="s">
        <v>454</v>
      </c>
      <c r="E179" s="31"/>
      <c r="F179" s="31"/>
      <c r="G179" s="36"/>
      <c r="J179" s="35">
        <v>111</v>
      </c>
      <c r="K179" s="36" t="s">
        <v>199</v>
      </c>
      <c r="M179" s="35">
        <v>18.72</v>
      </c>
      <c r="N179" s="36" t="s">
        <v>446</v>
      </c>
      <c r="O179" s="35"/>
      <c r="P179" s="35">
        <v>19.02</v>
      </c>
      <c r="Q179" s="36" t="s">
        <v>446</v>
      </c>
    </row>
    <row r="180" spans="1:17" s="34" customFormat="1">
      <c r="A180" s="115" t="s">
        <v>455</v>
      </c>
      <c r="B180" s="114"/>
      <c r="C180" s="84"/>
      <c r="D180" s="31" t="s">
        <v>454</v>
      </c>
      <c r="E180" s="31"/>
      <c r="F180" s="31"/>
      <c r="G180" s="36"/>
      <c r="J180" s="35">
        <v>58</v>
      </c>
      <c r="K180" s="36" t="s">
        <v>199</v>
      </c>
      <c r="M180" s="35">
        <v>9.8699999999999992</v>
      </c>
      <c r="N180" s="36" t="s">
        <v>446</v>
      </c>
      <c r="O180" s="35"/>
      <c r="P180" s="35">
        <v>10.17</v>
      </c>
      <c r="Q180" s="36" t="s">
        <v>446</v>
      </c>
    </row>
    <row r="181" spans="1:17" s="34" customFormat="1">
      <c r="A181" s="115" t="s">
        <v>456</v>
      </c>
      <c r="B181" s="114"/>
      <c r="C181" s="84"/>
      <c r="D181" s="31" t="s">
        <v>454</v>
      </c>
      <c r="E181" s="31"/>
      <c r="F181" s="31"/>
      <c r="G181" s="36"/>
      <c r="J181" s="35">
        <v>53</v>
      </c>
      <c r="K181" s="36" t="s">
        <v>199</v>
      </c>
      <c r="M181" s="35">
        <v>9.0500000000000007</v>
      </c>
      <c r="N181" s="36" t="s">
        <v>446</v>
      </c>
      <c r="O181" s="35"/>
      <c r="P181" s="35">
        <v>9.35</v>
      </c>
      <c r="Q181" s="36" t="s">
        <v>446</v>
      </c>
    </row>
    <row r="182" spans="1:17" s="34" customFormat="1">
      <c r="A182" s="115" t="s">
        <v>457</v>
      </c>
      <c r="B182" s="114"/>
      <c r="C182" s="84"/>
      <c r="D182" s="31" t="s">
        <v>454</v>
      </c>
      <c r="E182" s="31"/>
      <c r="F182" s="31"/>
      <c r="G182" s="36"/>
      <c r="J182" s="35">
        <v>116</v>
      </c>
      <c r="K182" s="36" t="s">
        <v>199</v>
      </c>
      <c r="M182" s="35">
        <v>19.670000000000002</v>
      </c>
      <c r="N182" s="36" t="s">
        <v>446</v>
      </c>
      <c r="O182" s="35"/>
      <c r="P182" s="35">
        <v>19.97</v>
      </c>
      <c r="Q182" s="36" t="s">
        <v>446</v>
      </c>
    </row>
    <row r="183" spans="1:17" s="34" customFormat="1">
      <c r="A183" s="115" t="s">
        <v>458</v>
      </c>
      <c r="B183" s="114"/>
      <c r="C183" s="84"/>
      <c r="D183" s="31" t="s">
        <v>454</v>
      </c>
      <c r="E183" s="31"/>
      <c r="F183" s="31"/>
      <c r="G183" s="36"/>
      <c r="J183" s="35">
        <v>100</v>
      </c>
      <c r="K183" s="36" t="s">
        <v>199</v>
      </c>
      <c r="M183" s="35">
        <v>16.91</v>
      </c>
      <c r="N183" s="36" t="s">
        <v>446</v>
      </c>
      <c r="O183" s="35"/>
      <c r="P183" s="35">
        <v>17.21</v>
      </c>
      <c r="Q183" s="36" t="s">
        <v>446</v>
      </c>
    </row>
    <row r="184" spans="1:17" s="34" customFormat="1">
      <c r="A184" s="115" t="s">
        <v>459</v>
      </c>
      <c r="B184" s="114"/>
      <c r="C184" s="84"/>
      <c r="D184" s="31" t="s">
        <v>454</v>
      </c>
      <c r="E184" s="31"/>
      <c r="F184" s="31"/>
      <c r="G184" s="36"/>
      <c r="J184" s="35">
        <v>82</v>
      </c>
      <c r="K184" s="36" t="s">
        <v>199</v>
      </c>
      <c r="M184" s="35">
        <v>13.91</v>
      </c>
      <c r="N184" s="36" t="s">
        <v>446</v>
      </c>
      <c r="O184" s="35"/>
      <c r="P184" s="35">
        <v>14.21</v>
      </c>
      <c r="Q184" s="36" t="s">
        <v>446</v>
      </c>
    </row>
    <row r="185" spans="1:17" s="34" customFormat="1">
      <c r="A185" s="115" t="s">
        <v>460</v>
      </c>
      <c r="B185" s="114"/>
      <c r="C185" s="84"/>
      <c r="D185" s="31" t="s">
        <v>454</v>
      </c>
      <c r="E185" s="31"/>
      <c r="F185" s="31"/>
      <c r="G185" s="36"/>
      <c r="J185" s="35">
        <v>79</v>
      </c>
      <c r="K185" s="36" t="s">
        <v>199</v>
      </c>
      <c r="M185" s="35">
        <v>13.36</v>
      </c>
      <c r="N185" s="36" t="s">
        <v>446</v>
      </c>
      <c r="O185" s="35"/>
      <c r="P185" s="35">
        <v>13.66</v>
      </c>
      <c r="Q185" s="36" t="s">
        <v>446</v>
      </c>
    </row>
    <row r="186" spans="1:17" s="34" customFormat="1">
      <c r="A186" s="115" t="s">
        <v>461</v>
      </c>
      <c r="B186" s="114"/>
      <c r="C186" s="84"/>
      <c r="D186" s="31" t="s">
        <v>454</v>
      </c>
      <c r="E186" s="31"/>
      <c r="F186" s="31"/>
      <c r="G186" s="36"/>
      <c r="J186" s="35">
        <v>104</v>
      </c>
      <c r="K186" s="36" t="s">
        <v>199</v>
      </c>
      <c r="M186" s="35">
        <v>17.600000000000001</v>
      </c>
      <c r="N186" s="36" t="s">
        <v>446</v>
      </c>
      <c r="O186" s="35"/>
      <c r="P186" s="35">
        <v>17.899999999999999</v>
      </c>
      <c r="Q186" s="36" t="s">
        <v>446</v>
      </c>
    </row>
    <row r="187" spans="1:17" s="34" customFormat="1">
      <c r="A187" s="115" t="s">
        <v>462</v>
      </c>
      <c r="B187" s="114"/>
      <c r="C187" s="84"/>
      <c r="D187" s="31" t="s">
        <v>445</v>
      </c>
      <c r="E187" s="31"/>
      <c r="F187" s="31"/>
      <c r="G187" s="36"/>
      <c r="J187" s="35">
        <v>84</v>
      </c>
      <c r="K187" s="36" t="s">
        <v>199</v>
      </c>
      <c r="M187" s="35">
        <v>14.03</v>
      </c>
      <c r="N187" s="36" t="s">
        <v>446</v>
      </c>
      <c r="O187" s="35"/>
      <c r="P187" s="35">
        <v>14.33</v>
      </c>
      <c r="Q187" s="36" t="s">
        <v>446</v>
      </c>
    </row>
    <row r="188" spans="1:17" s="34" customFormat="1">
      <c r="A188" s="114"/>
      <c r="B188" s="114"/>
      <c r="C188" s="84"/>
      <c r="D188" s="31" t="s">
        <v>204</v>
      </c>
      <c r="E188" s="31"/>
      <c r="F188" s="31"/>
      <c r="G188" s="36"/>
      <c r="J188" s="35"/>
      <c r="K188" s="36"/>
      <c r="M188" s="35"/>
      <c r="N188" s="36"/>
      <c r="O188" s="35"/>
      <c r="P188" s="35"/>
      <c r="Q188" s="36"/>
    </row>
    <row r="189" spans="1:17" s="34" customFormat="1">
      <c r="A189" s="114"/>
      <c r="B189" s="114"/>
      <c r="C189" s="84"/>
      <c r="D189" s="31" t="s">
        <v>205</v>
      </c>
      <c r="E189" s="31"/>
      <c r="F189" s="31"/>
      <c r="G189" s="36"/>
      <c r="J189" s="35"/>
      <c r="K189" s="36"/>
      <c r="M189" s="35"/>
      <c r="N189" s="36"/>
      <c r="O189" s="35"/>
      <c r="P189" s="35"/>
      <c r="Q189" s="36"/>
    </row>
    <row r="190" spans="1:17" s="34" customFormat="1">
      <c r="A190" s="114"/>
      <c r="B190" s="114"/>
      <c r="C190" s="84"/>
      <c r="D190" s="31" t="s">
        <v>206</v>
      </c>
      <c r="E190" s="31"/>
      <c r="F190" s="31"/>
      <c r="G190" s="36"/>
      <c r="J190" s="35"/>
      <c r="K190" s="36"/>
      <c r="M190" s="35"/>
      <c r="N190" s="36"/>
      <c r="O190" s="35"/>
      <c r="P190" s="35"/>
      <c r="Q190" s="36"/>
    </row>
    <row r="191" spans="1:17" s="34" customFormat="1">
      <c r="A191" s="114" t="s">
        <v>463</v>
      </c>
      <c r="B191" s="114"/>
      <c r="C191" s="84"/>
      <c r="D191" s="31" t="s">
        <v>464</v>
      </c>
      <c r="E191" s="31"/>
      <c r="F191" s="31"/>
      <c r="G191" s="36"/>
      <c r="J191" s="35">
        <v>81</v>
      </c>
      <c r="K191" s="36" t="s">
        <v>199</v>
      </c>
      <c r="M191" s="35">
        <v>13.8</v>
      </c>
      <c r="N191" s="36" t="s">
        <v>446</v>
      </c>
      <c r="O191" s="35"/>
      <c r="P191" s="35">
        <v>14.1</v>
      </c>
      <c r="Q191" s="36" t="s">
        <v>446</v>
      </c>
    </row>
    <row r="192" spans="1:17" s="34" customFormat="1">
      <c r="A192" s="114" t="s">
        <v>465</v>
      </c>
      <c r="B192" s="114"/>
      <c r="C192" s="84"/>
      <c r="D192" s="31" t="s">
        <v>464</v>
      </c>
      <c r="E192" s="31"/>
      <c r="F192" s="31"/>
      <c r="G192" s="36"/>
      <c r="J192" s="35">
        <v>115</v>
      </c>
      <c r="K192" s="36" t="s">
        <v>199</v>
      </c>
      <c r="M192" s="35">
        <v>19.600000000000001</v>
      </c>
      <c r="N192" s="36" t="s">
        <v>446</v>
      </c>
      <c r="O192" s="35"/>
      <c r="P192" s="35">
        <v>19.899999999999999</v>
      </c>
      <c r="Q192" s="36" t="s">
        <v>446</v>
      </c>
    </row>
    <row r="193" spans="1:17" s="34" customFormat="1">
      <c r="A193" s="114" t="s">
        <v>466</v>
      </c>
      <c r="B193" s="114"/>
      <c r="C193" s="84"/>
      <c r="D193" s="31" t="s">
        <v>464</v>
      </c>
      <c r="E193" s="31"/>
      <c r="F193" s="31"/>
      <c r="G193" s="36"/>
      <c r="J193" s="35">
        <v>128</v>
      </c>
      <c r="K193" s="36" t="s">
        <v>199</v>
      </c>
      <c r="M193" s="35">
        <v>21.6</v>
      </c>
      <c r="N193" s="36" t="s">
        <v>446</v>
      </c>
      <c r="O193" s="35"/>
      <c r="P193" s="35">
        <v>21.9</v>
      </c>
      <c r="Q193" s="36" t="s">
        <v>446</v>
      </c>
    </row>
    <row r="194" spans="1:17" s="34" customFormat="1">
      <c r="A194" s="114" t="s">
        <v>467</v>
      </c>
      <c r="B194" s="114"/>
      <c r="C194" s="84"/>
      <c r="D194" s="31" t="s">
        <v>464</v>
      </c>
      <c r="E194" s="31"/>
      <c r="F194" s="31"/>
      <c r="G194" s="36"/>
      <c r="J194" s="35">
        <v>53</v>
      </c>
      <c r="K194" s="36" t="s">
        <v>199</v>
      </c>
      <c r="M194" s="35">
        <v>8.8000000000000007</v>
      </c>
      <c r="N194" s="36" t="s">
        <v>446</v>
      </c>
      <c r="O194" s="35"/>
      <c r="P194" s="35">
        <v>9.1</v>
      </c>
      <c r="Q194" s="36" t="s">
        <v>446</v>
      </c>
    </row>
    <row r="195" spans="1:17" s="34" customFormat="1">
      <c r="A195" s="114" t="s">
        <v>468</v>
      </c>
      <c r="B195" s="114"/>
      <c r="C195" s="84"/>
      <c r="D195" s="31" t="s">
        <v>464</v>
      </c>
      <c r="E195" s="31"/>
      <c r="F195" s="31"/>
      <c r="G195" s="36"/>
      <c r="J195" s="35">
        <v>128</v>
      </c>
      <c r="K195" s="36" t="s">
        <v>199</v>
      </c>
      <c r="M195" s="35">
        <v>21.2</v>
      </c>
      <c r="N195" s="36" t="s">
        <v>446</v>
      </c>
      <c r="O195" s="35"/>
      <c r="P195" s="35">
        <v>21.5</v>
      </c>
      <c r="Q195" s="36" t="s">
        <v>446</v>
      </c>
    </row>
    <row r="196" spans="1:17" s="34" customFormat="1">
      <c r="A196" s="114" t="s">
        <v>469</v>
      </c>
      <c r="B196" s="114"/>
      <c r="C196" s="84"/>
      <c r="D196" s="31" t="s">
        <v>464</v>
      </c>
      <c r="E196" s="31"/>
      <c r="F196" s="31"/>
      <c r="G196" s="36"/>
      <c r="J196" s="35">
        <v>130</v>
      </c>
      <c r="K196" s="36" t="s">
        <v>199</v>
      </c>
      <c r="M196" s="35">
        <v>21.5</v>
      </c>
      <c r="N196" s="36" t="s">
        <v>446</v>
      </c>
      <c r="O196" s="35"/>
      <c r="P196" s="35">
        <v>21.8</v>
      </c>
      <c r="Q196" s="36" t="s">
        <v>446</v>
      </c>
    </row>
    <row r="197" spans="1:17" s="34" customFormat="1">
      <c r="A197" s="114" t="s">
        <v>470</v>
      </c>
      <c r="B197" s="114"/>
      <c r="C197" s="84"/>
      <c r="D197" s="31" t="s">
        <v>464</v>
      </c>
      <c r="E197" s="31"/>
      <c r="F197" s="31"/>
      <c r="G197" s="36"/>
      <c r="J197" s="35">
        <v>173</v>
      </c>
      <c r="K197" s="36" t="s">
        <v>199</v>
      </c>
      <c r="M197" s="35">
        <v>28.5</v>
      </c>
      <c r="N197" s="36" t="s">
        <v>446</v>
      </c>
      <c r="O197" s="35"/>
      <c r="P197" s="35">
        <v>28.8</v>
      </c>
      <c r="Q197" s="36" t="s">
        <v>446</v>
      </c>
    </row>
    <row r="198" spans="1:17" s="34" customFormat="1">
      <c r="A198" s="114" t="s">
        <v>471</v>
      </c>
      <c r="B198" s="114"/>
      <c r="C198" s="84"/>
      <c r="D198" s="31" t="s">
        <v>464</v>
      </c>
      <c r="E198" s="31"/>
      <c r="F198" s="31"/>
      <c r="G198" s="36"/>
      <c r="J198" s="35">
        <v>131</v>
      </c>
      <c r="K198" s="36" t="s">
        <v>199</v>
      </c>
      <c r="M198" s="35">
        <v>21.6</v>
      </c>
      <c r="N198" s="36" t="s">
        <v>446</v>
      </c>
      <c r="O198" s="35"/>
      <c r="P198" s="35">
        <v>21.9</v>
      </c>
      <c r="Q198" s="36" t="s">
        <v>446</v>
      </c>
    </row>
    <row r="199" spans="1:17" s="34" customFormat="1">
      <c r="A199" s="114" t="s">
        <v>472</v>
      </c>
      <c r="B199" s="114"/>
      <c r="C199" s="84"/>
      <c r="D199" s="31" t="s">
        <v>464</v>
      </c>
      <c r="E199" s="31"/>
      <c r="F199" s="31"/>
      <c r="G199" s="36"/>
      <c r="J199" s="35">
        <v>79</v>
      </c>
      <c r="K199" s="36" t="s">
        <v>199</v>
      </c>
      <c r="M199" s="35">
        <v>13.2</v>
      </c>
      <c r="N199" s="36" t="s">
        <v>446</v>
      </c>
      <c r="O199" s="35"/>
      <c r="P199" s="35">
        <v>13.5</v>
      </c>
      <c r="Q199" s="36" t="s">
        <v>446</v>
      </c>
    </row>
    <row r="200" spans="1:17" s="34" customFormat="1">
      <c r="A200" s="114" t="s">
        <v>473</v>
      </c>
      <c r="B200" s="114"/>
      <c r="C200" s="84"/>
      <c r="D200" s="31" t="s">
        <v>464</v>
      </c>
      <c r="E200" s="31"/>
      <c r="F200" s="31"/>
      <c r="G200" s="36"/>
      <c r="J200" s="35">
        <v>59</v>
      </c>
      <c r="K200" s="36" t="s">
        <v>199</v>
      </c>
      <c r="M200" s="35">
        <v>9.9</v>
      </c>
      <c r="N200" s="36" t="s">
        <v>446</v>
      </c>
      <c r="O200" s="35"/>
      <c r="P200" s="35">
        <v>10.199999999999999</v>
      </c>
      <c r="Q200" s="36" t="s">
        <v>446</v>
      </c>
    </row>
    <row r="201" spans="1:17" s="34" customFormat="1">
      <c r="A201" s="114" t="s">
        <v>474</v>
      </c>
      <c r="B201" s="114"/>
      <c r="C201" s="84"/>
      <c r="D201" s="31" t="s">
        <v>464</v>
      </c>
      <c r="E201" s="31"/>
      <c r="F201" s="31"/>
      <c r="G201" s="36"/>
      <c r="J201" s="35">
        <v>141</v>
      </c>
      <c r="K201" s="36" t="s">
        <v>199</v>
      </c>
      <c r="M201" s="35">
        <v>23.3</v>
      </c>
      <c r="N201" s="36" t="s">
        <v>446</v>
      </c>
      <c r="O201" s="35"/>
      <c r="P201" s="35">
        <v>23.6</v>
      </c>
      <c r="Q201" s="36" t="s">
        <v>446</v>
      </c>
    </row>
    <row r="202" spans="1:17" s="34" customFormat="1">
      <c r="A202" s="114" t="s">
        <v>475</v>
      </c>
      <c r="B202" s="114"/>
      <c r="C202" s="84"/>
      <c r="D202" s="31" t="s">
        <v>464</v>
      </c>
      <c r="E202" s="31"/>
      <c r="F202" s="31"/>
      <c r="G202" s="36"/>
      <c r="J202" s="35">
        <v>135</v>
      </c>
      <c r="K202" s="36" t="s">
        <v>199</v>
      </c>
      <c r="M202" s="35">
        <v>22.9</v>
      </c>
      <c r="N202" s="36" t="s">
        <v>446</v>
      </c>
      <c r="O202" s="35"/>
      <c r="P202" s="35">
        <v>23.2</v>
      </c>
      <c r="Q202" s="36" t="s">
        <v>446</v>
      </c>
    </row>
    <row r="203" spans="1:17" s="34" customFormat="1">
      <c r="A203" s="114" t="s">
        <v>476</v>
      </c>
      <c r="B203" s="114"/>
      <c r="C203" s="84"/>
      <c r="D203" s="31" t="s">
        <v>477</v>
      </c>
      <c r="E203" s="31"/>
      <c r="F203" s="31"/>
      <c r="G203" s="36"/>
      <c r="J203" s="35">
        <v>130</v>
      </c>
      <c r="K203" s="36" t="s">
        <v>199</v>
      </c>
      <c r="M203" s="35">
        <v>22.2</v>
      </c>
      <c r="N203" s="36" t="s">
        <v>446</v>
      </c>
      <c r="O203" s="35"/>
      <c r="P203" s="35">
        <v>22.5</v>
      </c>
      <c r="Q203" s="36" t="s">
        <v>446</v>
      </c>
    </row>
    <row r="204" spans="1:17" s="34" customFormat="1">
      <c r="A204" s="114" t="s">
        <v>478</v>
      </c>
      <c r="B204" s="114"/>
      <c r="C204" s="84"/>
      <c r="D204" s="31" t="s">
        <v>477</v>
      </c>
      <c r="E204" s="31"/>
      <c r="F204" s="31"/>
      <c r="G204" s="36"/>
      <c r="J204" s="35">
        <v>129</v>
      </c>
      <c r="K204" s="36" t="s">
        <v>199</v>
      </c>
      <c r="M204" s="35">
        <v>21.9</v>
      </c>
      <c r="N204" s="36" t="s">
        <v>446</v>
      </c>
      <c r="O204" s="35"/>
      <c r="P204" s="35">
        <v>22.2</v>
      </c>
      <c r="Q204" s="36" t="s">
        <v>446</v>
      </c>
    </row>
    <row r="205" spans="1:17" s="34" customFormat="1">
      <c r="A205" s="114" t="s">
        <v>479</v>
      </c>
      <c r="B205" s="114"/>
      <c r="C205" s="84"/>
      <c r="D205" s="31" t="s">
        <v>477</v>
      </c>
      <c r="E205" s="31"/>
      <c r="F205" s="31"/>
      <c r="G205" s="36"/>
      <c r="J205" s="35">
        <v>73</v>
      </c>
      <c r="K205" s="36" t="s">
        <v>199</v>
      </c>
      <c r="M205" s="35">
        <v>12.4</v>
      </c>
      <c r="N205" s="36" t="s">
        <v>446</v>
      </c>
      <c r="O205" s="35"/>
      <c r="P205" s="35">
        <v>12.7</v>
      </c>
      <c r="Q205" s="36" t="s">
        <v>446</v>
      </c>
    </row>
    <row r="206" spans="1:17" s="34" customFormat="1">
      <c r="A206" s="114" t="s">
        <v>480</v>
      </c>
      <c r="B206" s="114"/>
      <c r="C206" s="84"/>
      <c r="D206" s="31" t="s">
        <v>477</v>
      </c>
      <c r="E206" s="31"/>
      <c r="F206" s="31"/>
      <c r="G206" s="36"/>
      <c r="J206" s="35">
        <v>72</v>
      </c>
      <c r="K206" s="36" t="s">
        <v>199</v>
      </c>
      <c r="M206" s="35">
        <v>12.2</v>
      </c>
      <c r="N206" s="36" t="s">
        <v>446</v>
      </c>
      <c r="O206" s="35"/>
      <c r="P206" s="35">
        <v>12.5</v>
      </c>
      <c r="Q206" s="36" t="s">
        <v>446</v>
      </c>
    </row>
    <row r="207" spans="1:17" s="34" customFormat="1">
      <c r="A207" s="114" t="s">
        <v>481</v>
      </c>
      <c r="B207" s="114"/>
      <c r="C207" s="84"/>
      <c r="D207" s="31" t="s">
        <v>477</v>
      </c>
      <c r="E207" s="31"/>
      <c r="F207" s="31"/>
      <c r="G207" s="36"/>
      <c r="J207" s="35">
        <v>127</v>
      </c>
      <c r="K207" s="36" t="s">
        <v>199</v>
      </c>
      <c r="M207" s="35">
        <v>21.5</v>
      </c>
      <c r="N207" s="36" t="s">
        <v>446</v>
      </c>
      <c r="O207" s="35"/>
      <c r="P207" s="35">
        <v>21.8</v>
      </c>
      <c r="Q207" s="36" t="s">
        <v>446</v>
      </c>
    </row>
    <row r="208" spans="1:17" s="34" customFormat="1">
      <c r="A208" s="114" t="s">
        <v>482</v>
      </c>
      <c r="B208" s="114"/>
      <c r="C208" s="84"/>
      <c r="D208" s="31" t="s">
        <v>477</v>
      </c>
      <c r="E208" s="31"/>
      <c r="F208" s="31"/>
      <c r="G208" s="36"/>
      <c r="J208" s="35">
        <v>130</v>
      </c>
      <c r="K208" s="36" t="s">
        <v>199</v>
      </c>
      <c r="M208" s="35">
        <v>22</v>
      </c>
      <c r="N208" s="36" t="s">
        <v>446</v>
      </c>
      <c r="O208" s="35"/>
      <c r="P208" s="35">
        <v>22.3</v>
      </c>
      <c r="Q208" s="36" t="s">
        <v>446</v>
      </c>
    </row>
    <row r="209" spans="1:17" s="34" customFormat="1">
      <c r="A209" s="114" t="s">
        <v>483</v>
      </c>
      <c r="B209" s="114"/>
      <c r="C209" s="84"/>
      <c r="D209" s="31" t="s">
        <v>477</v>
      </c>
      <c r="E209" s="31"/>
      <c r="F209" s="31"/>
      <c r="G209" s="36"/>
      <c r="J209" s="35">
        <v>135</v>
      </c>
      <c r="K209" s="36" t="s">
        <v>199</v>
      </c>
      <c r="M209" s="35">
        <v>22.8</v>
      </c>
      <c r="N209" s="36" t="s">
        <v>446</v>
      </c>
      <c r="O209" s="35"/>
      <c r="P209" s="35">
        <v>23.1</v>
      </c>
      <c r="Q209" s="36" t="s">
        <v>446</v>
      </c>
    </row>
    <row r="210" spans="1:17" s="34" customFormat="1">
      <c r="A210" s="114" t="s">
        <v>484</v>
      </c>
      <c r="B210" s="114"/>
      <c r="C210" s="84"/>
      <c r="D210" s="31" t="s">
        <v>477</v>
      </c>
      <c r="E210" s="31"/>
      <c r="F210" s="31"/>
      <c r="G210" s="36"/>
      <c r="J210" s="35">
        <v>110</v>
      </c>
      <c r="K210" s="36" t="s">
        <v>199</v>
      </c>
      <c r="M210" s="35">
        <v>18.8</v>
      </c>
      <c r="N210" s="36" t="s">
        <v>446</v>
      </c>
      <c r="O210" s="35"/>
      <c r="P210" s="35">
        <v>19.100000000000001</v>
      </c>
      <c r="Q210" s="36" t="s">
        <v>446</v>
      </c>
    </row>
    <row r="211" spans="1:17" s="34" customFormat="1">
      <c r="A211" s="114" t="s">
        <v>485</v>
      </c>
      <c r="B211" s="114"/>
      <c r="C211" s="84"/>
      <c r="D211" s="31" t="s">
        <v>477</v>
      </c>
      <c r="E211" s="31"/>
      <c r="F211" s="31"/>
      <c r="G211" s="36"/>
      <c r="J211" s="35">
        <v>143</v>
      </c>
      <c r="K211" s="36" t="s">
        <v>199</v>
      </c>
      <c r="M211" s="35">
        <v>24.2</v>
      </c>
      <c r="N211" s="36" t="s">
        <v>446</v>
      </c>
      <c r="O211" s="35"/>
      <c r="P211" s="35">
        <v>24.5</v>
      </c>
      <c r="Q211" s="36" t="s">
        <v>446</v>
      </c>
    </row>
    <row r="212" spans="1:17" s="34" customFormat="1">
      <c r="A212" s="114" t="s">
        <v>486</v>
      </c>
      <c r="B212" s="114"/>
      <c r="C212" s="84"/>
      <c r="D212" s="31" t="s">
        <v>477</v>
      </c>
      <c r="E212" s="31"/>
      <c r="F212" s="31"/>
      <c r="G212" s="36"/>
      <c r="J212" s="35">
        <v>106</v>
      </c>
      <c r="K212" s="36" t="s">
        <v>199</v>
      </c>
      <c r="M212" s="35">
        <v>18</v>
      </c>
      <c r="N212" s="36" t="s">
        <v>446</v>
      </c>
      <c r="O212" s="35"/>
      <c r="P212" s="35">
        <v>18.3</v>
      </c>
      <c r="Q212" s="36" t="s">
        <v>446</v>
      </c>
    </row>
    <row r="213" spans="1:17" s="34" customFormat="1">
      <c r="A213" s="114" t="s">
        <v>487</v>
      </c>
      <c r="B213" s="114"/>
      <c r="C213" s="84"/>
      <c r="D213" s="31" t="s">
        <v>477</v>
      </c>
      <c r="E213" s="31"/>
      <c r="F213" s="31"/>
      <c r="G213" s="36"/>
      <c r="J213" s="35">
        <v>70</v>
      </c>
      <c r="K213" s="36" t="s">
        <v>199</v>
      </c>
      <c r="M213" s="35">
        <v>12</v>
      </c>
      <c r="N213" s="36" t="s">
        <v>446</v>
      </c>
      <c r="O213" s="35"/>
      <c r="P213" s="35">
        <v>12.3</v>
      </c>
      <c r="Q213" s="36" t="s">
        <v>446</v>
      </c>
    </row>
    <row r="214" spans="1:17" s="34" customFormat="1">
      <c r="A214" s="114"/>
      <c r="B214" s="114"/>
      <c r="C214" s="84"/>
      <c r="D214" s="31" t="s">
        <v>209</v>
      </c>
      <c r="E214" s="31"/>
      <c r="F214" s="31"/>
      <c r="G214" s="36"/>
      <c r="J214" s="35"/>
      <c r="K214" s="36"/>
      <c r="M214" s="35"/>
      <c r="N214" s="36"/>
      <c r="O214" s="35"/>
      <c r="P214" s="35"/>
      <c r="Q214" s="36"/>
    </row>
    <row r="215" spans="1:17" s="34" customFormat="1">
      <c r="A215" s="114"/>
      <c r="B215" s="114"/>
      <c r="C215" s="84"/>
      <c r="D215" s="31" t="s">
        <v>210</v>
      </c>
      <c r="E215" s="31"/>
      <c r="F215" s="31"/>
      <c r="G215" s="36"/>
      <c r="J215" s="35"/>
      <c r="K215" s="36"/>
      <c r="M215" s="35"/>
      <c r="N215" s="36"/>
      <c r="O215" s="35"/>
      <c r="P215" s="35"/>
      <c r="Q215" s="36"/>
    </row>
    <row r="216" spans="1:17" s="34" customFormat="1">
      <c r="A216" s="114"/>
      <c r="B216" s="114"/>
      <c r="C216" s="84"/>
      <c r="D216" s="31" t="s">
        <v>211</v>
      </c>
      <c r="E216" s="31"/>
      <c r="F216" s="31"/>
      <c r="G216" s="36"/>
      <c r="J216" s="35"/>
      <c r="K216" s="36"/>
      <c r="M216" s="35"/>
      <c r="N216" s="36"/>
      <c r="O216" s="35"/>
      <c r="P216" s="35"/>
      <c r="Q216" s="36"/>
    </row>
    <row r="217" spans="1:17" s="34" customFormat="1">
      <c r="A217" s="114" t="s">
        <v>488</v>
      </c>
      <c r="B217" s="114"/>
      <c r="C217" s="84"/>
      <c r="D217" s="31" t="s">
        <v>464</v>
      </c>
      <c r="E217" s="31"/>
      <c r="F217" s="31"/>
      <c r="G217" s="36"/>
      <c r="J217" s="35">
        <v>127</v>
      </c>
      <c r="K217" s="36" t="s">
        <v>199</v>
      </c>
      <c r="M217" s="35">
        <v>21.2</v>
      </c>
      <c r="N217" s="36" t="s">
        <v>446</v>
      </c>
      <c r="O217" s="35"/>
      <c r="P217" s="35">
        <v>21.5</v>
      </c>
      <c r="Q217" s="36" t="s">
        <v>446</v>
      </c>
    </row>
    <row r="218" spans="1:17" s="34" customFormat="1">
      <c r="A218" s="114" t="s">
        <v>489</v>
      </c>
      <c r="B218" s="114"/>
      <c r="C218" s="84"/>
      <c r="D218" s="31" t="s">
        <v>464</v>
      </c>
      <c r="E218" s="31"/>
      <c r="F218" s="31"/>
      <c r="G218" s="36"/>
      <c r="J218" s="35">
        <v>100</v>
      </c>
      <c r="K218" s="36" t="s">
        <v>199</v>
      </c>
      <c r="M218" s="35">
        <v>17</v>
      </c>
      <c r="N218" s="36" t="s">
        <v>446</v>
      </c>
      <c r="O218" s="35"/>
      <c r="P218" s="35">
        <v>17.3</v>
      </c>
      <c r="Q218" s="36" t="s">
        <v>446</v>
      </c>
    </row>
    <row r="219" spans="1:17" s="34" customFormat="1">
      <c r="A219" s="114" t="s">
        <v>490</v>
      </c>
      <c r="B219" s="114"/>
      <c r="C219" s="84"/>
      <c r="D219" s="31" t="s">
        <v>464</v>
      </c>
      <c r="E219" s="31"/>
      <c r="F219" s="31"/>
      <c r="G219" s="36"/>
      <c r="J219" s="35">
        <v>146</v>
      </c>
      <c r="K219" s="36" t="s">
        <v>199</v>
      </c>
      <c r="M219" s="35">
        <v>24.7</v>
      </c>
      <c r="N219" s="36" t="s">
        <v>446</v>
      </c>
      <c r="O219" s="35"/>
      <c r="P219" s="35">
        <v>25</v>
      </c>
      <c r="Q219" s="36" t="s">
        <v>446</v>
      </c>
    </row>
    <row r="220" spans="1:17" s="34" customFormat="1">
      <c r="A220" s="114" t="s">
        <v>491</v>
      </c>
      <c r="B220" s="114"/>
      <c r="C220" s="84"/>
      <c r="D220" s="31" t="s">
        <v>464</v>
      </c>
      <c r="E220" s="31"/>
      <c r="F220" s="31"/>
      <c r="G220" s="36"/>
      <c r="J220" s="35">
        <v>37</v>
      </c>
      <c r="K220" s="36" t="s">
        <v>199</v>
      </c>
      <c r="M220" s="35">
        <v>6.3</v>
      </c>
      <c r="N220" s="36" t="s">
        <v>446</v>
      </c>
      <c r="O220" s="35"/>
      <c r="P220" s="35">
        <v>6.6</v>
      </c>
      <c r="Q220" s="36" t="s">
        <v>446</v>
      </c>
    </row>
    <row r="221" spans="1:17" s="34" customFormat="1">
      <c r="A221" s="114" t="s">
        <v>492</v>
      </c>
      <c r="B221" s="114"/>
      <c r="C221" s="84"/>
      <c r="D221" s="31" t="s">
        <v>477</v>
      </c>
      <c r="E221" s="31"/>
      <c r="F221" s="31"/>
      <c r="G221" s="36"/>
      <c r="J221" s="35">
        <v>128</v>
      </c>
      <c r="K221" s="36" t="s">
        <v>199</v>
      </c>
      <c r="M221" s="35">
        <v>21.1</v>
      </c>
      <c r="N221" s="36" t="s">
        <v>446</v>
      </c>
      <c r="O221" s="35"/>
      <c r="P221" s="35">
        <v>21.4</v>
      </c>
      <c r="Q221" s="36" t="s">
        <v>446</v>
      </c>
    </row>
    <row r="222" spans="1:17" s="34" customFormat="1">
      <c r="A222" s="114" t="s">
        <v>493</v>
      </c>
      <c r="B222" s="114"/>
      <c r="C222" s="84"/>
      <c r="D222" s="31" t="s">
        <v>477</v>
      </c>
      <c r="E222" s="31"/>
      <c r="F222" s="31"/>
      <c r="G222" s="36"/>
      <c r="J222" s="35">
        <v>114</v>
      </c>
      <c r="K222" s="36" t="s">
        <v>199</v>
      </c>
      <c r="M222" s="35">
        <v>19.2</v>
      </c>
      <c r="N222" s="36" t="s">
        <v>446</v>
      </c>
      <c r="O222" s="35"/>
      <c r="P222" s="35">
        <v>19.5</v>
      </c>
      <c r="Q222" s="36" t="s">
        <v>446</v>
      </c>
    </row>
    <row r="223" spans="1:17" s="34" customFormat="1">
      <c r="A223" s="114" t="s">
        <v>494</v>
      </c>
      <c r="B223" s="114"/>
      <c r="C223" s="84"/>
      <c r="D223" s="31" t="s">
        <v>477</v>
      </c>
      <c r="E223" s="31"/>
      <c r="F223" s="31"/>
      <c r="G223" s="36"/>
      <c r="J223" s="35">
        <v>130</v>
      </c>
      <c r="K223" s="36" t="s">
        <v>199</v>
      </c>
      <c r="M223" s="35">
        <v>21.4</v>
      </c>
      <c r="N223" s="36" t="s">
        <v>446</v>
      </c>
      <c r="O223" s="35"/>
      <c r="P223" s="35">
        <v>21.7</v>
      </c>
      <c r="Q223" s="36" t="s">
        <v>446</v>
      </c>
    </row>
    <row r="224" spans="1:17" s="34" customFormat="1">
      <c r="A224" s="114" t="s">
        <v>495</v>
      </c>
      <c r="B224" s="114"/>
      <c r="C224" s="84"/>
      <c r="D224" s="31" t="s">
        <v>477</v>
      </c>
      <c r="E224" s="31"/>
      <c r="F224" s="31"/>
      <c r="G224" s="36"/>
      <c r="J224" s="35">
        <v>105</v>
      </c>
      <c r="K224" s="36" t="s">
        <v>199</v>
      </c>
      <c r="M224" s="35">
        <v>17.5</v>
      </c>
      <c r="N224" s="36" t="s">
        <v>446</v>
      </c>
      <c r="O224" s="35"/>
      <c r="P224" s="35">
        <v>17.8</v>
      </c>
      <c r="Q224" s="36" t="s">
        <v>446</v>
      </c>
    </row>
    <row r="225" spans="1:17" s="34" customFormat="1">
      <c r="A225" s="114"/>
      <c r="B225" s="114"/>
      <c r="C225" s="84"/>
      <c r="D225" s="31" t="s">
        <v>212</v>
      </c>
      <c r="E225" s="31"/>
      <c r="F225" s="31"/>
      <c r="G225" s="36"/>
      <c r="J225" s="35"/>
      <c r="K225" s="36"/>
      <c r="M225" s="35"/>
      <c r="N225" s="36"/>
      <c r="O225" s="35"/>
      <c r="P225" s="35"/>
      <c r="Q225" s="36"/>
    </row>
    <row r="226" spans="1:17" s="34" customFormat="1">
      <c r="A226" s="114"/>
      <c r="B226" s="114"/>
      <c r="C226" s="84"/>
      <c r="D226" s="31" t="s">
        <v>213</v>
      </c>
      <c r="E226" s="31"/>
      <c r="F226" s="31"/>
      <c r="G226" s="36"/>
      <c r="J226" s="35"/>
      <c r="K226" s="36"/>
      <c r="M226" s="35"/>
      <c r="N226" s="36"/>
      <c r="O226" s="35"/>
      <c r="P226" s="35"/>
      <c r="Q226" s="36"/>
    </row>
    <row r="227" spans="1:17" s="34" customFormat="1">
      <c r="A227" s="114"/>
      <c r="B227" s="114"/>
      <c r="C227" s="84"/>
      <c r="D227" s="31" t="s">
        <v>214</v>
      </c>
      <c r="E227" s="31"/>
      <c r="F227" s="31"/>
      <c r="G227" s="36"/>
      <c r="J227" s="35"/>
      <c r="K227" s="36"/>
      <c r="M227" s="35"/>
      <c r="N227" s="36"/>
      <c r="O227" s="35"/>
      <c r="P227" s="35"/>
      <c r="Q227" s="36"/>
    </row>
    <row r="228" spans="1:17" s="34" customFormat="1">
      <c r="A228" s="115" t="s">
        <v>496</v>
      </c>
      <c r="B228" s="114"/>
      <c r="C228" s="84"/>
      <c r="D228" s="31" t="s">
        <v>445</v>
      </c>
      <c r="E228" s="31"/>
      <c r="F228" s="31"/>
      <c r="G228" s="36"/>
      <c r="J228" s="35">
        <v>119</v>
      </c>
      <c r="K228" s="36" t="s">
        <v>199</v>
      </c>
      <c r="M228" s="35">
        <v>20</v>
      </c>
      <c r="N228" s="36" t="s">
        <v>446</v>
      </c>
      <c r="O228" s="35"/>
      <c r="P228" s="35">
        <v>20.3</v>
      </c>
      <c r="Q228" s="36" t="s">
        <v>446</v>
      </c>
    </row>
    <row r="229" spans="1:17" s="34" customFormat="1">
      <c r="A229" s="115" t="s">
        <v>497</v>
      </c>
      <c r="B229" s="114"/>
      <c r="C229" s="84"/>
      <c r="D229" s="31" t="s">
        <v>445</v>
      </c>
      <c r="E229" s="31"/>
      <c r="F229" s="31"/>
      <c r="G229" s="36"/>
      <c r="J229" s="35">
        <v>128</v>
      </c>
      <c r="K229" s="36" t="s">
        <v>199</v>
      </c>
      <c r="M229" s="35">
        <v>21.4</v>
      </c>
      <c r="N229" s="36" t="s">
        <v>446</v>
      </c>
      <c r="O229" s="35"/>
      <c r="P229" s="35">
        <v>21.7</v>
      </c>
      <c r="Q229" s="36" t="s">
        <v>446</v>
      </c>
    </row>
    <row r="230" spans="1:17" s="34" customFormat="1">
      <c r="A230" s="115" t="s">
        <v>498</v>
      </c>
      <c r="B230" s="114"/>
      <c r="C230" s="84"/>
      <c r="D230" s="31" t="s">
        <v>454</v>
      </c>
      <c r="E230" s="31"/>
      <c r="F230" s="31"/>
      <c r="G230" s="36"/>
      <c r="J230" s="35">
        <v>135</v>
      </c>
      <c r="K230" s="36" t="s">
        <v>199</v>
      </c>
      <c r="M230" s="35">
        <v>22.7</v>
      </c>
      <c r="N230" s="36" t="s">
        <v>446</v>
      </c>
      <c r="O230" s="35"/>
      <c r="P230" s="35">
        <v>23</v>
      </c>
      <c r="Q230" s="36" t="s">
        <v>446</v>
      </c>
    </row>
    <row r="231" spans="1:17" s="34" customFormat="1">
      <c r="A231" s="115" t="s">
        <v>499</v>
      </c>
      <c r="B231" s="114"/>
      <c r="C231" s="84"/>
      <c r="D231" s="31" t="s">
        <v>454</v>
      </c>
      <c r="E231" s="31"/>
      <c r="F231" s="31"/>
      <c r="G231" s="36"/>
      <c r="J231" s="35">
        <v>68</v>
      </c>
      <c r="K231" s="36" t="s">
        <v>199</v>
      </c>
      <c r="M231" s="35">
        <v>11.43</v>
      </c>
      <c r="N231" s="36" t="s">
        <v>446</v>
      </c>
      <c r="O231" s="35"/>
      <c r="P231" s="35">
        <v>11.73</v>
      </c>
      <c r="Q231" s="36" t="s">
        <v>446</v>
      </c>
    </row>
    <row r="232" spans="1:17" s="34" customFormat="1">
      <c r="A232" s="114"/>
      <c r="B232" s="114"/>
      <c r="C232" s="84"/>
      <c r="D232" s="31" t="s">
        <v>217</v>
      </c>
      <c r="E232" s="31"/>
      <c r="F232" s="31"/>
      <c r="G232" s="36"/>
      <c r="J232" s="35"/>
      <c r="K232" s="36"/>
      <c r="M232" s="35"/>
      <c r="N232" s="36"/>
      <c r="O232" s="35"/>
      <c r="P232" s="35"/>
      <c r="Q232" s="36"/>
    </row>
    <row r="233" spans="1:17" s="34" customFormat="1">
      <c r="A233" s="114"/>
      <c r="B233" s="114"/>
      <c r="C233" s="84"/>
      <c r="D233" s="31" t="s">
        <v>218</v>
      </c>
      <c r="E233" s="31"/>
      <c r="F233" s="31"/>
      <c r="G233" s="36"/>
      <c r="J233" s="35"/>
      <c r="K233" s="36"/>
      <c r="M233" s="35"/>
      <c r="N233" s="36"/>
      <c r="O233" s="35"/>
      <c r="P233" s="35"/>
      <c r="Q233" s="36"/>
    </row>
    <row r="234" spans="1:17" s="34" customFormat="1">
      <c r="A234" s="114"/>
      <c r="B234" s="114"/>
      <c r="C234" s="84"/>
      <c r="D234" s="31" t="s">
        <v>219</v>
      </c>
      <c r="E234" s="31"/>
      <c r="F234" s="31"/>
      <c r="G234" s="36"/>
      <c r="J234" s="35"/>
      <c r="K234" s="36"/>
      <c r="M234" s="35"/>
      <c r="N234" s="36"/>
      <c r="O234" s="35"/>
      <c r="P234" s="35"/>
      <c r="Q234" s="36"/>
    </row>
    <row r="235" spans="1:17" s="34" customFormat="1">
      <c r="A235" s="114" t="s">
        <v>500</v>
      </c>
      <c r="B235" s="114"/>
      <c r="C235" s="84"/>
      <c r="D235" s="31" t="s">
        <v>501</v>
      </c>
      <c r="E235" s="31"/>
      <c r="F235" s="31"/>
      <c r="G235" s="36"/>
      <c r="J235" s="35">
        <v>89</v>
      </c>
      <c r="K235" s="36" t="s">
        <v>199</v>
      </c>
      <c r="M235" s="35">
        <v>14.8</v>
      </c>
      <c r="N235" s="36" t="s">
        <v>446</v>
      </c>
      <c r="O235" s="35"/>
      <c r="P235" s="35">
        <v>15.1</v>
      </c>
      <c r="Q235" s="36" t="s">
        <v>446</v>
      </c>
    </row>
    <row r="236" spans="1:17" s="34" customFormat="1">
      <c r="A236" s="114" t="s">
        <v>502</v>
      </c>
      <c r="B236" s="114"/>
      <c r="C236" s="84"/>
      <c r="D236" s="31" t="s">
        <v>501</v>
      </c>
      <c r="E236" s="31"/>
      <c r="F236" s="31"/>
      <c r="G236" s="36"/>
      <c r="J236" s="35">
        <v>140</v>
      </c>
      <c r="K236" s="36" t="s">
        <v>199</v>
      </c>
      <c r="M236" s="35">
        <v>23.6</v>
      </c>
      <c r="N236" s="36" t="s">
        <v>446</v>
      </c>
      <c r="O236" s="35"/>
      <c r="P236" s="35">
        <v>23.9</v>
      </c>
      <c r="Q236" s="36" t="s">
        <v>446</v>
      </c>
    </row>
    <row r="237" spans="1:17" s="34" customFormat="1">
      <c r="A237" s="114" t="s">
        <v>503</v>
      </c>
      <c r="B237" s="114"/>
      <c r="C237" s="84"/>
      <c r="D237" s="31" t="s">
        <v>501</v>
      </c>
      <c r="E237" s="31"/>
      <c r="F237" s="31"/>
      <c r="G237" s="36"/>
      <c r="J237" s="35">
        <v>55</v>
      </c>
      <c r="K237" s="36" t="s">
        <v>199</v>
      </c>
      <c r="M237" s="35">
        <v>9.1999999999999993</v>
      </c>
      <c r="N237" s="36" t="s">
        <v>446</v>
      </c>
      <c r="O237" s="35"/>
      <c r="P237" s="35">
        <v>9.5</v>
      </c>
      <c r="Q237" s="36" t="s">
        <v>446</v>
      </c>
    </row>
    <row r="238" spans="1:17" s="34" customFormat="1">
      <c r="A238" s="114" t="s">
        <v>504</v>
      </c>
      <c r="B238" s="114"/>
      <c r="C238" s="84"/>
      <c r="D238" s="31" t="s">
        <v>501</v>
      </c>
      <c r="E238" s="31"/>
      <c r="F238" s="31"/>
      <c r="G238" s="36"/>
      <c r="J238" s="35">
        <v>76</v>
      </c>
      <c r="K238" s="36" t="s">
        <v>199</v>
      </c>
      <c r="M238" s="35">
        <v>12.8</v>
      </c>
      <c r="N238" s="36" t="s">
        <v>446</v>
      </c>
      <c r="O238" s="35"/>
      <c r="P238" s="35">
        <v>13.1</v>
      </c>
      <c r="Q238" s="36" t="s">
        <v>446</v>
      </c>
    </row>
    <row r="239" spans="1:17" s="34" customFormat="1">
      <c r="A239" s="114" t="s">
        <v>505</v>
      </c>
      <c r="B239" s="114"/>
      <c r="C239" s="84"/>
      <c r="D239" s="31" t="s">
        <v>501</v>
      </c>
      <c r="E239" s="31"/>
      <c r="F239" s="31"/>
      <c r="G239" s="36"/>
      <c r="J239" s="35">
        <v>73</v>
      </c>
      <c r="K239" s="36" t="s">
        <v>199</v>
      </c>
      <c r="M239" s="35">
        <v>12.2</v>
      </c>
      <c r="N239" s="36" t="s">
        <v>446</v>
      </c>
      <c r="O239" s="35"/>
      <c r="P239" s="35">
        <v>12.5</v>
      </c>
      <c r="Q239" s="36" t="s">
        <v>446</v>
      </c>
    </row>
    <row r="240" spans="1:17" s="34" customFormat="1">
      <c r="A240" s="114" t="s">
        <v>506</v>
      </c>
      <c r="B240" s="114"/>
      <c r="C240" s="84"/>
      <c r="D240" s="31" t="s">
        <v>501</v>
      </c>
      <c r="E240" s="31"/>
      <c r="F240" s="31"/>
      <c r="G240" s="36"/>
      <c r="J240" s="35">
        <v>62</v>
      </c>
      <c r="K240" s="36" t="s">
        <v>199</v>
      </c>
      <c r="M240" s="35">
        <v>10.4</v>
      </c>
      <c r="N240" s="36" t="s">
        <v>446</v>
      </c>
      <c r="O240" s="35"/>
      <c r="P240" s="35">
        <v>10.7</v>
      </c>
      <c r="Q240" s="36" t="s">
        <v>446</v>
      </c>
    </row>
    <row r="241" spans="1:17" s="34" customFormat="1">
      <c r="A241" s="114" t="s">
        <v>507</v>
      </c>
      <c r="B241" s="114"/>
      <c r="C241" s="84"/>
      <c r="D241" s="31" t="s">
        <v>501</v>
      </c>
      <c r="E241" s="31"/>
      <c r="F241" s="31"/>
      <c r="G241" s="36"/>
      <c r="J241" s="35">
        <v>40</v>
      </c>
      <c r="K241" s="36" t="s">
        <v>199</v>
      </c>
      <c r="M241" s="35">
        <v>6.8</v>
      </c>
      <c r="N241" s="36" t="s">
        <v>446</v>
      </c>
      <c r="O241" s="35"/>
      <c r="P241" s="35">
        <v>7.1</v>
      </c>
      <c r="Q241" s="36" t="s">
        <v>446</v>
      </c>
    </row>
    <row r="242" spans="1:17" s="34" customFormat="1">
      <c r="A242" s="114" t="s">
        <v>508</v>
      </c>
      <c r="B242" s="114"/>
      <c r="C242" s="84"/>
      <c r="D242" s="31" t="s">
        <v>509</v>
      </c>
      <c r="E242" s="31"/>
      <c r="F242" s="31"/>
      <c r="G242" s="36"/>
      <c r="J242" s="35">
        <v>119</v>
      </c>
      <c r="K242" s="36" t="s">
        <v>199</v>
      </c>
      <c r="M242" s="35">
        <v>20.399999999999999</v>
      </c>
      <c r="N242" s="36" t="s">
        <v>446</v>
      </c>
      <c r="O242" s="35"/>
      <c r="P242" s="35">
        <v>20.7</v>
      </c>
      <c r="Q242" s="36" t="s">
        <v>446</v>
      </c>
    </row>
    <row r="243" spans="1:17" s="34" customFormat="1">
      <c r="A243" s="114" t="s">
        <v>510</v>
      </c>
      <c r="B243" s="114"/>
      <c r="C243" s="84"/>
      <c r="D243" s="31" t="s">
        <v>509</v>
      </c>
      <c r="E243" s="31"/>
      <c r="F243" s="31"/>
      <c r="G243" s="36"/>
      <c r="J243" s="35">
        <v>129</v>
      </c>
      <c r="K243" s="36" t="s">
        <v>199</v>
      </c>
      <c r="M243" s="35">
        <v>22.2</v>
      </c>
      <c r="N243" s="36" t="s">
        <v>446</v>
      </c>
      <c r="O243" s="35"/>
      <c r="P243" s="35">
        <v>22.5</v>
      </c>
      <c r="Q243" s="36" t="s">
        <v>446</v>
      </c>
    </row>
    <row r="244" spans="1:17" s="34" customFormat="1">
      <c r="A244" s="114" t="s">
        <v>511</v>
      </c>
      <c r="B244" s="114"/>
      <c r="C244" s="84"/>
      <c r="D244" s="31" t="s">
        <v>509</v>
      </c>
      <c r="E244" s="31"/>
      <c r="F244" s="31"/>
      <c r="G244" s="36"/>
      <c r="J244" s="35">
        <v>82</v>
      </c>
      <c r="K244" s="36" t="s">
        <v>199</v>
      </c>
      <c r="M244" s="35">
        <v>14.2</v>
      </c>
      <c r="N244" s="36" t="s">
        <v>446</v>
      </c>
      <c r="O244" s="35"/>
      <c r="P244" s="35">
        <v>14.5</v>
      </c>
      <c r="Q244" s="36" t="s">
        <v>446</v>
      </c>
    </row>
    <row r="245" spans="1:17" s="34" customFormat="1">
      <c r="A245" s="114" t="s">
        <v>512</v>
      </c>
      <c r="B245" s="114"/>
      <c r="C245" s="84"/>
      <c r="D245" s="31" t="s">
        <v>509</v>
      </c>
      <c r="E245" s="31"/>
      <c r="F245" s="31"/>
      <c r="G245" s="36"/>
      <c r="J245" s="35">
        <v>60</v>
      </c>
      <c r="K245" s="36" t="s">
        <v>199</v>
      </c>
      <c r="M245" s="35">
        <v>10.199999999999999</v>
      </c>
      <c r="N245" s="36" t="s">
        <v>446</v>
      </c>
      <c r="O245" s="35"/>
      <c r="P245" s="35">
        <v>10.5</v>
      </c>
      <c r="Q245" s="36" t="s">
        <v>446</v>
      </c>
    </row>
    <row r="246" spans="1:17" s="34" customFormat="1">
      <c r="A246" s="114" t="s">
        <v>513</v>
      </c>
      <c r="B246" s="114"/>
      <c r="C246" s="84"/>
      <c r="D246" s="31" t="s">
        <v>509</v>
      </c>
      <c r="E246" s="31"/>
      <c r="F246" s="31"/>
      <c r="G246" s="36"/>
      <c r="J246" s="35">
        <v>63</v>
      </c>
      <c r="K246" s="36" t="s">
        <v>199</v>
      </c>
      <c r="M246" s="35">
        <v>10.9</v>
      </c>
      <c r="N246" s="36" t="s">
        <v>446</v>
      </c>
      <c r="O246" s="35"/>
      <c r="P246" s="35">
        <v>11.2</v>
      </c>
      <c r="Q246" s="36" t="s">
        <v>446</v>
      </c>
    </row>
    <row r="247" spans="1:17" s="34" customFormat="1">
      <c r="A247" s="114" t="s">
        <v>514</v>
      </c>
      <c r="B247" s="114"/>
      <c r="C247" s="84"/>
      <c r="D247" s="31" t="s">
        <v>509</v>
      </c>
      <c r="E247" s="31"/>
      <c r="F247" s="31"/>
      <c r="G247" s="36"/>
      <c r="J247" s="35">
        <v>110</v>
      </c>
      <c r="K247" s="36" t="s">
        <v>199</v>
      </c>
      <c r="M247" s="35">
        <v>18.899999999999999</v>
      </c>
      <c r="N247" s="36" t="s">
        <v>446</v>
      </c>
      <c r="O247" s="35"/>
      <c r="P247" s="35">
        <v>19.2</v>
      </c>
      <c r="Q247" s="36" t="s">
        <v>446</v>
      </c>
    </row>
    <row r="248" spans="1:17" s="34" customFormat="1">
      <c r="A248" s="114" t="s">
        <v>515</v>
      </c>
      <c r="B248" s="114"/>
      <c r="C248" s="84"/>
      <c r="D248" s="31" t="s">
        <v>516</v>
      </c>
      <c r="E248" s="31"/>
      <c r="F248" s="31"/>
      <c r="G248" s="36"/>
      <c r="J248" s="35">
        <v>92</v>
      </c>
      <c r="K248" s="36" t="s">
        <v>199</v>
      </c>
      <c r="M248" s="35">
        <v>15.9</v>
      </c>
      <c r="N248" s="36" t="s">
        <v>446</v>
      </c>
      <c r="O248" s="35"/>
      <c r="P248" s="35">
        <v>16.2</v>
      </c>
      <c r="Q248" s="36" t="s">
        <v>446</v>
      </c>
    </row>
    <row r="249" spans="1:17" s="34" customFormat="1">
      <c r="A249" s="114" t="s">
        <v>517</v>
      </c>
      <c r="B249" s="114"/>
      <c r="C249" s="84"/>
      <c r="D249" s="31" t="s">
        <v>516</v>
      </c>
      <c r="E249" s="31"/>
      <c r="F249" s="31"/>
      <c r="G249" s="36"/>
      <c r="J249" s="35">
        <v>136</v>
      </c>
      <c r="K249" s="36" t="s">
        <v>199</v>
      </c>
      <c r="M249" s="35">
        <v>23.8</v>
      </c>
      <c r="N249" s="36" t="s">
        <v>446</v>
      </c>
      <c r="O249" s="35"/>
      <c r="P249" s="35">
        <v>24.1</v>
      </c>
      <c r="Q249" s="36" t="s">
        <v>446</v>
      </c>
    </row>
    <row r="250" spans="1:17" s="34" customFormat="1">
      <c r="A250" s="114" t="s">
        <v>518</v>
      </c>
      <c r="B250" s="114"/>
      <c r="C250" s="84"/>
      <c r="D250" s="31" t="s">
        <v>516</v>
      </c>
      <c r="E250" s="31"/>
      <c r="F250" s="31"/>
      <c r="G250" s="36"/>
      <c r="J250" s="35">
        <v>60</v>
      </c>
      <c r="K250" s="36" t="s">
        <v>199</v>
      </c>
      <c r="M250" s="35">
        <v>10.5</v>
      </c>
      <c r="N250" s="36" t="s">
        <v>446</v>
      </c>
      <c r="O250" s="35"/>
      <c r="P250" s="35">
        <v>10.8</v>
      </c>
      <c r="Q250" s="36" t="s">
        <v>446</v>
      </c>
    </row>
    <row r="251" spans="1:17" s="34" customFormat="1">
      <c r="A251" s="114" t="s">
        <v>519</v>
      </c>
      <c r="B251" s="114"/>
      <c r="C251" s="84"/>
      <c r="D251" s="31" t="s">
        <v>516</v>
      </c>
      <c r="E251" s="31"/>
      <c r="F251" s="31"/>
      <c r="G251" s="36"/>
      <c r="J251" s="35">
        <v>63</v>
      </c>
      <c r="K251" s="36" t="s">
        <v>199</v>
      </c>
      <c r="M251" s="35">
        <v>10.8</v>
      </c>
      <c r="N251" s="36" t="s">
        <v>446</v>
      </c>
      <c r="O251" s="35"/>
      <c r="P251" s="35">
        <v>11.1</v>
      </c>
      <c r="Q251" s="36" t="s">
        <v>446</v>
      </c>
    </row>
    <row r="252" spans="1:17" s="34" customFormat="1">
      <c r="A252" s="114" t="s">
        <v>520</v>
      </c>
      <c r="B252" s="114"/>
      <c r="C252" s="84"/>
      <c r="D252" s="31" t="s">
        <v>516</v>
      </c>
      <c r="E252" s="31"/>
      <c r="F252" s="31"/>
      <c r="G252" s="36"/>
      <c r="J252" s="35">
        <v>84</v>
      </c>
      <c r="K252" s="36" t="s">
        <v>199</v>
      </c>
      <c r="M252" s="35">
        <v>14.5</v>
      </c>
      <c r="N252" s="36" t="s">
        <v>446</v>
      </c>
      <c r="O252" s="35"/>
      <c r="P252" s="35">
        <v>14.8</v>
      </c>
      <c r="Q252" s="36" t="s">
        <v>446</v>
      </c>
    </row>
    <row r="253" spans="1:17" s="34" customFormat="1">
      <c r="A253" s="114" t="s">
        <v>521</v>
      </c>
      <c r="B253" s="114"/>
      <c r="C253" s="84"/>
      <c r="D253" s="31" t="s">
        <v>516</v>
      </c>
      <c r="E253" s="31"/>
      <c r="F253" s="31"/>
      <c r="G253" s="36"/>
      <c r="J253" s="35">
        <v>73</v>
      </c>
      <c r="K253" s="36" t="s">
        <v>199</v>
      </c>
      <c r="M253" s="35">
        <v>12.5</v>
      </c>
      <c r="N253" s="36" t="s">
        <v>446</v>
      </c>
      <c r="O253" s="35"/>
      <c r="P253" s="35">
        <v>12.8</v>
      </c>
      <c r="Q253" s="36" t="s">
        <v>446</v>
      </c>
    </row>
    <row r="254" spans="1:17" s="34" customFormat="1">
      <c r="A254" s="114" t="s">
        <v>522</v>
      </c>
      <c r="B254" s="114"/>
      <c r="C254" s="84"/>
      <c r="D254" s="31" t="s">
        <v>516</v>
      </c>
      <c r="E254" s="31"/>
      <c r="F254" s="31"/>
      <c r="G254" s="36"/>
      <c r="J254" s="35">
        <v>70</v>
      </c>
      <c r="K254" s="36" t="s">
        <v>199</v>
      </c>
      <c r="M254" s="35">
        <v>11.9</v>
      </c>
      <c r="N254" s="36" t="s">
        <v>446</v>
      </c>
      <c r="O254" s="35"/>
      <c r="P254" s="35">
        <v>12.2</v>
      </c>
      <c r="Q254" s="36" t="s">
        <v>446</v>
      </c>
    </row>
    <row r="255" spans="1:17" s="34" customFormat="1">
      <c r="A255" s="114" t="s">
        <v>523</v>
      </c>
      <c r="B255" s="114"/>
      <c r="C255" s="84"/>
      <c r="D255" s="31" t="s">
        <v>524</v>
      </c>
      <c r="E255" s="31"/>
      <c r="F255" s="31"/>
      <c r="G255" s="36"/>
      <c r="J255" s="35">
        <v>143</v>
      </c>
      <c r="K255" s="36" t="s">
        <v>199</v>
      </c>
      <c r="M255" s="35">
        <v>24.8</v>
      </c>
      <c r="N255" s="36" t="s">
        <v>446</v>
      </c>
      <c r="O255" s="35"/>
      <c r="P255" s="35">
        <v>25.1</v>
      </c>
      <c r="Q255" s="36" t="s">
        <v>446</v>
      </c>
    </row>
    <row r="256" spans="1:17" s="34" customFormat="1">
      <c r="A256" s="114" t="s">
        <v>525</v>
      </c>
      <c r="B256" s="114"/>
      <c r="C256" s="84"/>
      <c r="D256" s="31" t="s">
        <v>524</v>
      </c>
      <c r="E256" s="31"/>
      <c r="F256" s="31"/>
      <c r="G256" s="36"/>
      <c r="J256" s="35">
        <v>145</v>
      </c>
      <c r="K256" s="36" t="s">
        <v>199</v>
      </c>
      <c r="M256" s="35">
        <v>24.7</v>
      </c>
      <c r="N256" s="36" t="s">
        <v>446</v>
      </c>
      <c r="O256" s="35"/>
      <c r="P256" s="35">
        <v>25</v>
      </c>
      <c r="Q256" s="36" t="s">
        <v>446</v>
      </c>
    </row>
    <row r="257" spans="1:17" s="34" customFormat="1">
      <c r="A257" s="114" t="s">
        <v>526</v>
      </c>
      <c r="B257" s="114"/>
      <c r="C257" s="84"/>
      <c r="D257" s="31" t="s">
        <v>524</v>
      </c>
      <c r="E257" s="31"/>
      <c r="F257" s="31"/>
      <c r="G257" s="36"/>
      <c r="J257" s="35">
        <v>63</v>
      </c>
      <c r="K257" s="36" t="s">
        <v>199</v>
      </c>
      <c r="M257" s="35">
        <v>10.4</v>
      </c>
      <c r="N257" s="36" t="s">
        <v>446</v>
      </c>
      <c r="O257" s="35"/>
      <c r="P257" s="35">
        <v>10.7</v>
      </c>
      <c r="Q257" s="36" t="s">
        <v>446</v>
      </c>
    </row>
    <row r="258" spans="1:17" s="34" customFormat="1">
      <c r="A258" s="114" t="s">
        <v>527</v>
      </c>
      <c r="B258" s="114"/>
      <c r="C258" s="84"/>
      <c r="D258" s="31" t="s">
        <v>524</v>
      </c>
      <c r="E258" s="31"/>
      <c r="F258" s="31"/>
      <c r="G258" s="36"/>
      <c r="J258" s="35">
        <v>137</v>
      </c>
      <c r="K258" s="36" t="s">
        <v>199</v>
      </c>
      <c r="M258" s="35">
        <v>23.3</v>
      </c>
      <c r="N258" s="36" t="s">
        <v>446</v>
      </c>
      <c r="O258" s="35"/>
      <c r="P258" s="35">
        <v>23.6</v>
      </c>
      <c r="Q258" s="36" t="s">
        <v>446</v>
      </c>
    </row>
    <row r="259" spans="1:17" s="34" customFormat="1">
      <c r="A259" s="114" t="s">
        <v>528</v>
      </c>
      <c r="B259" s="114"/>
      <c r="C259" s="84"/>
      <c r="D259" s="31" t="s">
        <v>524</v>
      </c>
      <c r="E259" s="31"/>
      <c r="F259" s="31"/>
      <c r="G259" s="36"/>
      <c r="J259" s="35">
        <v>100</v>
      </c>
      <c r="K259" s="36" t="s">
        <v>199</v>
      </c>
      <c r="M259" s="35">
        <v>16.8</v>
      </c>
      <c r="N259" s="36" t="s">
        <v>446</v>
      </c>
      <c r="O259" s="35"/>
      <c r="P259" s="35">
        <v>17.100000000000001</v>
      </c>
      <c r="Q259" s="36" t="s">
        <v>446</v>
      </c>
    </row>
    <row r="260" spans="1:17" s="34" customFormat="1">
      <c r="A260" s="114"/>
      <c r="B260" s="114"/>
      <c r="C260" s="84"/>
      <c r="D260" s="31" t="s">
        <v>222</v>
      </c>
      <c r="E260" s="31"/>
      <c r="F260" s="31"/>
      <c r="G260" s="36"/>
      <c r="J260" s="35"/>
      <c r="K260" s="36"/>
      <c r="M260" s="35"/>
      <c r="N260" s="36"/>
      <c r="O260" s="35"/>
      <c r="P260" s="35"/>
      <c r="Q260" s="36"/>
    </row>
    <row r="261" spans="1:17" s="34" customFormat="1">
      <c r="A261" s="114"/>
      <c r="B261" s="114"/>
      <c r="C261" s="84"/>
      <c r="D261" s="31" t="s">
        <v>223</v>
      </c>
      <c r="E261" s="31"/>
      <c r="F261" s="31"/>
      <c r="G261" s="36"/>
      <c r="J261" s="35"/>
      <c r="K261" s="36"/>
      <c r="M261" s="35"/>
      <c r="N261" s="36"/>
      <c r="O261" s="35"/>
      <c r="P261" s="35"/>
      <c r="Q261" s="36"/>
    </row>
    <row r="262" spans="1:17" s="34" customFormat="1">
      <c r="A262" s="114"/>
      <c r="B262" s="114"/>
      <c r="C262" s="84"/>
      <c r="D262" s="31" t="s">
        <v>224</v>
      </c>
      <c r="E262" s="31"/>
      <c r="F262" s="31"/>
      <c r="G262" s="36"/>
      <c r="J262" s="35"/>
      <c r="K262" s="36"/>
      <c r="M262" s="35"/>
      <c r="N262" s="36"/>
      <c r="O262" s="35"/>
      <c r="P262" s="35"/>
      <c r="Q262" s="36"/>
    </row>
    <row r="263" spans="1:17" s="34" customFormat="1">
      <c r="A263" s="115" t="s">
        <v>529</v>
      </c>
      <c r="B263" s="114"/>
      <c r="C263" s="84"/>
      <c r="D263" s="31" t="s">
        <v>445</v>
      </c>
      <c r="E263" s="31"/>
      <c r="F263" s="31"/>
      <c r="G263" s="36"/>
      <c r="J263" s="35">
        <v>55</v>
      </c>
      <c r="K263" s="36" t="s">
        <v>199</v>
      </c>
      <c r="M263" s="35">
        <v>9.5</v>
      </c>
      <c r="N263" s="36" t="s">
        <v>446</v>
      </c>
      <c r="O263" s="35"/>
      <c r="P263" s="35">
        <v>9.8000000000000007</v>
      </c>
      <c r="Q263" s="36" t="s">
        <v>446</v>
      </c>
    </row>
    <row r="264" spans="1:17" s="34" customFormat="1">
      <c r="A264" s="115" t="s">
        <v>530</v>
      </c>
      <c r="B264" s="114"/>
      <c r="C264" s="84"/>
      <c r="D264" s="31" t="s">
        <v>445</v>
      </c>
      <c r="E264" s="31"/>
      <c r="F264" s="31"/>
      <c r="G264" s="36"/>
      <c r="J264" s="35">
        <v>94</v>
      </c>
      <c r="K264" s="36" t="s">
        <v>199</v>
      </c>
      <c r="M264" s="35">
        <v>16.2</v>
      </c>
      <c r="N264" s="36" t="s">
        <v>446</v>
      </c>
      <c r="O264" s="35"/>
      <c r="P264" s="35">
        <v>16.5</v>
      </c>
      <c r="Q264" s="36" t="s">
        <v>446</v>
      </c>
    </row>
    <row r="265" spans="1:17" s="34" customFormat="1">
      <c r="A265" s="115" t="s">
        <v>531</v>
      </c>
      <c r="B265" s="114"/>
      <c r="C265" s="84"/>
      <c r="D265" s="31" t="s">
        <v>445</v>
      </c>
      <c r="E265" s="31"/>
      <c r="F265" s="31"/>
      <c r="G265" s="36"/>
      <c r="J265" s="35">
        <v>66</v>
      </c>
      <c r="K265" s="36" t="s">
        <v>199</v>
      </c>
      <c r="M265" s="35">
        <v>11.45</v>
      </c>
      <c r="N265" s="36" t="s">
        <v>446</v>
      </c>
      <c r="O265" s="35"/>
      <c r="P265" s="35">
        <v>11.75</v>
      </c>
      <c r="Q265" s="36" t="s">
        <v>446</v>
      </c>
    </row>
    <row r="266" spans="1:17" s="34" customFormat="1">
      <c r="A266" s="115" t="s">
        <v>532</v>
      </c>
      <c r="B266" s="114"/>
      <c r="C266" s="84"/>
      <c r="D266" s="31" t="s">
        <v>445</v>
      </c>
      <c r="E266" s="31"/>
      <c r="F266" s="31"/>
      <c r="G266" s="36"/>
      <c r="J266" s="35">
        <v>87</v>
      </c>
      <c r="K266" s="36" t="s">
        <v>199</v>
      </c>
      <c r="M266" s="35">
        <v>14.95</v>
      </c>
      <c r="N266" s="36" t="s">
        <v>446</v>
      </c>
      <c r="O266" s="35"/>
      <c r="P266" s="35">
        <v>15.25</v>
      </c>
      <c r="Q266" s="36" t="s">
        <v>446</v>
      </c>
    </row>
    <row r="267" spans="1:17" s="34" customFormat="1">
      <c r="A267" s="115" t="s">
        <v>533</v>
      </c>
      <c r="B267" s="114"/>
      <c r="C267" s="84"/>
      <c r="D267" s="31" t="s">
        <v>445</v>
      </c>
      <c r="E267" s="31"/>
      <c r="F267" s="31"/>
      <c r="G267" s="36"/>
      <c r="J267" s="35">
        <v>140</v>
      </c>
      <c r="K267" s="36" t="s">
        <v>199</v>
      </c>
      <c r="M267" s="35">
        <v>24.1</v>
      </c>
      <c r="N267" s="36" t="s">
        <v>446</v>
      </c>
      <c r="O267" s="35"/>
      <c r="P267" s="35">
        <v>24.4</v>
      </c>
      <c r="Q267" s="36" t="s">
        <v>446</v>
      </c>
    </row>
    <row r="268" spans="1:17" s="34" customFormat="1">
      <c r="A268" s="115" t="s">
        <v>534</v>
      </c>
      <c r="B268" s="114"/>
      <c r="C268" s="84"/>
      <c r="D268" s="31" t="s">
        <v>445</v>
      </c>
      <c r="E268" s="31"/>
      <c r="F268" s="31"/>
      <c r="G268" s="36"/>
      <c r="J268" s="35">
        <v>73</v>
      </c>
      <c r="K268" s="36" t="s">
        <v>199</v>
      </c>
      <c r="M268" s="35">
        <v>12.55</v>
      </c>
      <c r="N268" s="36" t="s">
        <v>446</v>
      </c>
      <c r="O268" s="35"/>
      <c r="P268" s="35">
        <v>12.85</v>
      </c>
      <c r="Q268" s="36" t="s">
        <v>446</v>
      </c>
    </row>
    <row r="269" spans="1:17" s="34" customFormat="1">
      <c r="A269" s="115" t="s">
        <v>535</v>
      </c>
      <c r="B269" s="114"/>
      <c r="C269" s="84"/>
      <c r="D269" s="31" t="s">
        <v>445</v>
      </c>
      <c r="E269" s="31"/>
      <c r="F269" s="31"/>
      <c r="G269" s="36"/>
      <c r="J269" s="35">
        <v>101</v>
      </c>
      <c r="K269" s="36" t="s">
        <v>199</v>
      </c>
      <c r="M269" s="35">
        <v>17.3</v>
      </c>
      <c r="N269" s="36" t="s">
        <v>446</v>
      </c>
      <c r="O269" s="35"/>
      <c r="P269" s="35">
        <v>17.600000000000001</v>
      </c>
      <c r="Q269" s="36" t="s">
        <v>446</v>
      </c>
    </row>
    <row r="270" spans="1:17" s="34" customFormat="1">
      <c r="A270" s="115" t="s">
        <v>536</v>
      </c>
      <c r="B270" s="114"/>
      <c r="C270" s="84"/>
      <c r="D270" s="31" t="s">
        <v>445</v>
      </c>
      <c r="E270" s="31"/>
      <c r="F270" s="31"/>
      <c r="G270" s="36"/>
      <c r="J270" s="35">
        <v>79</v>
      </c>
      <c r="K270" s="36" t="s">
        <v>199</v>
      </c>
      <c r="M270" s="35">
        <v>13.55</v>
      </c>
      <c r="N270" s="36" t="s">
        <v>446</v>
      </c>
      <c r="O270" s="35"/>
      <c r="P270" s="35">
        <v>13.85</v>
      </c>
      <c r="Q270" s="36" t="s">
        <v>446</v>
      </c>
    </row>
    <row r="271" spans="1:17" s="34" customFormat="1">
      <c r="A271" s="115" t="s">
        <v>537</v>
      </c>
      <c r="B271" s="114"/>
      <c r="C271" s="84"/>
      <c r="D271" s="31" t="s">
        <v>445</v>
      </c>
      <c r="E271" s="31"/>
      <c r="F271" s="31"/>
      <c r="G271" s="36"/>
      <c r="J271" s="35">
        <v>44</v>
      </c>
      <c r="K271" s="36" t="s">
        <v>199</v>
      </c>
      <c r="M271" s="35">
        <v>7.6</v>
      </c>
      <c r="N271" s="36" t="s">
        <v>446</v>
      </c>
      <c r="O271" s="35"/>
      <c r="P271" s="35">
        <v>7.9</v>
      </c>
      <c r="Q271" s="36" t="s">
        <v>446</v>
      </c>
    </row>
    <row r="272" spans="1:17" s="34" customFormat="1">
      <c r="A272" s="115" t="s">
        <v>538</v>
      </c>
      <c r="B272" s="114"/>
      <c r="C272" s="84"/>
      <c r="D272" s="31" t="s">
        <v>445</v>
      </c>
      <c r="E272" s="31"/>
      <c r="F272" s="31"/>
      <c r="G272" s="36"/>
      <c r="J272" s="35">
        <v>138</v>
      </c>
      <c r="K272" s="36" t="s">
        <v>199</v>
      </c>
      <c r="M272" s="35">
        <v>23.65</v>
      </c>
      <c r="N272" s="36" t="s">
        <v>446</v>
      </c>
      <c r="O272" s="35"/>
      <c r="P272" s="35">
        <v>23.95</v>
      </c>
      <c r="Q272" s="36" t="s">
        <v>446</v>
      </c>
    </row>
    <row r="273" spans="1:17" s="34" customFormat="1">
      <c r="A273" s="115" t="s">
        <v>539</v>
      </c>
      <c r="B273" s="114"/>
      <c r="C273" s="84"/>
      <c r="D273" s="31" t="s">
        <v>454</v>
      </c>
      <c r="E273" s="31"/>
      <c r="F273" s="31"/>
      <c r="G273" s="36"/>
      <c r="J273" s="35">
        <v>86</v>
      </c>
      <c r="K273" s="36" t="s">
        <v>199</v>
      </c>
      <c r="M273" s="35">
        <v>14.5</v>
      </c>
      <c r="N273" s="36" t="s">
        <v>446</v>
      </c>
      <c r="O273" s="35"/>
      <c r="P273" s="35">
        <v>14.8</v>
      </c>
      <c r="Q273" s="36" t="s">
        <v>446</v>
      </c>
    </row>
    <row r="274" spans="1:17" s="34" customFormat="1">
      <c r="A274" s="115" t="s">
        <v>540</v>
      </c>
      <c r="B274" s="114"/>
      <c r="C274" s="84"/>
      <c r="D274" s="31" t="s">
        <v>454</v>
      </c>
      <c r="E274" s="31"/>
      <c r="F274" s="31"/>
      <c r="G274" s="36"/>
      <c r="J274" s="35">
        <v>60</v>
      </c>
      <c r="K274" s="36" t="s">
        <v>199</v>
      </c>
      <c r="M274" s="35">
        <v>10.1</v>
      </c>
      <c r="N274" s="36" t="s">
        <v>446</v>
      </c>
      <c r="O274" s="35"/>
      <c r="P274" s="35">
        <v>10.4</v>
      </c>
      <c r="Q274" s="36" t="s">
        <v>446</v>
      </c>
    </row>
    <row r="275" spans="1:17" s="34" customFormat="1">
      <c r="A275" s="115" t="s">
        <v>541</v>
      </c>
      <c r="B275" s="114"/>
      <c r="C275" s="84"/>
      <c r="D275" s="31" t="s">
        <v>454</v>
      </c>
      <c r="E275" s="31"/>
      <c r="F275" s="31"/>
      <c r="G275" s="36"/>
      <c r="J275" s="35">
        <v>96</v>
      </c>
      <c r="K275" s="36" t="s">
        <v>199</v>
      </c>
      <c r="M275" s="35">
        <v>16.149999999999999</v>
      </c>
      <c r="N275" s="36" t="s">
        <v>446</v>
      </c>
      <c r="O275" s="35"/>
      <c r="P275" s="35">
        <v>16.45</v>
      </c>
      <c r="Q275" s="36" t="s">
        <v>446</v>
      </c>
    </row>
    <row r="276" spans="1:17" s="34" customFormat="1">
      <c r="A276" s="115" t="s">
        <v>542</v>
      </c>
      <c r="B276" s="114"/>
      <c r="C276" s="84"/>
      <c r="D276" s="31" t="s">
        <v>454</v>
      </c>
      <c r="E276" s="31"/>
      <c r="F276" s="31"/>
      <c r="G276" s="36"/>
      <c r="J276" s="35">
        <v>50</v>
      </c>
      <c r="K276" s="36" t="s">
        <v>199</v>
      </c>
      <c r="M276" s="35">
        <v>8.5</v>
      </c>
      <c r="N276" s="36" t="s">
        <v>446</v>
      </c>
      <c r="O276" s="35"/>
      <c r="P276" s="35">
        <v>8.8000000000000007</v>
      </c>
      <c r="Q276" s="36" t="s">
        <v>446</v>
      </c>
    </row>
    <row r="277" spans="1:17" s="34" customFormat="1">
      <c r="A277" s="115" t="s">
        <v>543</v>
      </c>
      <c r="B277" s="114"/>
      <c r="C277" s="84"/>
      <c r="D277" s="31" t="s">
        <v>544</v>
      </c>
      <c r="E277" s="31"/>
      <c r="F277" s="31"/>
      <c r="G277" s="36"/>
      <c r="J277" s="35">
        <v>97</v>
      </c>
      <c r="K277" s="36" t="s">
        <v>199</v>
      </c>
      <c r="M277" s="35">
        <v>16.41</v>
      </c>
      <c r="N277" s="36" t="s">
        <v>446</v>
      </c>
      <c r="O277" s="35"/>
      <c r="P277" s="35">
        <v>16.71</v>
      </c>
      <c r="Q277" s="36" t="s">
        <v>446</v>
      </c>
    </row>
    <row r="278" spans="1:17" s="34" customFormat="1">
      <c r="A278" s="115" t="s">
        <v>545</v>
      </c>
      <c r="B278" s="114"/>
      <c r="C278" s="84"/>
      <c r="D278" s="31" t="s">
        <v>454</v>
      </c>
      <c r="E278" s="31"/>
      <c r="F278" s="31"/>
      <c r="G278" s="36"/>
      <c r="J278" s="35">
        <v>61</v>
      </c>
      <c r="K278" s="36" t="s">
        <v>199</v>
      </c>
      <c r="M278" s="35">
        <v>10.3</v>
      </c>
      <c r="N278" s="36" t="s">
        <v>446</v>
      </c>
      <c r="O278" s="35"/>
      <c r="P278" s="35">
        <v>10.6</v>
      </c>
      <c r="Q278" s="36" t="s">
        <v>446</v>
      </c>
    </row>
    <row r="279" spans="1:17" s="34" customFormat="1">
      <c r="A279" s="115" t="s">
        <v>546</v>
      </c>
      <c r="B279" s="114"/>
      <c r="C279" s="84"/>
      <c r="D279" s="31" t="s">
        <v>454</v>
      </c>
      <c r="E279" s="31"/>
      <c r="F279" s="31"/>
      <c r="G279" s="36"/>
      <c r="J279" s="35">
        <v>122</v>
      </c>
      <c r="K279" s="36" t="s">
        <v>199</v>
      </c>
      <c r="M279" s="35">
        <v>20.55</v>
      </c>
      <c r="N279" s="36" t="s">
        <v>446</v>
      </c>
      <c r="O279" s="35"/>
      <c r="P279" s="35">
        <v>20.85</v>
      </c>
      <c r="Q279" s="36" t="s">
        <v>446</v>
      </c>
    </row>
    <row r="280" spans="1:17" s="34" customFormat="1">
      <c r="A280" s="114"/>
      <c r="B280" s="114"/>
      <c r="C280" s="84"/>
      <c r="D280" s="31" t="s">
        <v>225</v>
      </c>
      <c r="E280" s="31"/>
      <c r="F280" s="31"/>
      <c r="G280" s="36"/>
      <c r="J280" s="35"/>
      <c r="K280" s="36"/>
      <c r="M280" s="35"/>
      <c r="N280" s="36"/>
      <c r="O280" s="35"/>
      <c r="P280" s="35"/>
      <c r="Q280" s="36"/>
    </row>
    <row r="281" spans="1:17" s="34" customFormat="1">
      <c r="A281" s="114"/>
      <c r="B281" s="114"/>
      <c r="C281" s="84"/>
      <c r="D281" s="31" t="s">
        <v>226</v>
      </c>
      <c r="E281" s="31"/>
      <c r="F281" s="31"/>
      <c r="G281" s="36"/>
      <c r="J281" s="35"/>
      <c r="K281" s="36"/>
      <c r="M281" s="35"/>
      <c r="N281" s="36"/>
      <c r="O281" s="35"/>
      <c r="P281" s="35"/>
      <c r="Q281" s="36"/>
    </row>
    <row r="282" spans="1:17" s="34" customFormat="1">
      <c r="A282" s="115" t="s">
        <v>547</v>
      </c>
      <c r="B282" s="114"/>
      <c r="C282" s="84"/>
      <c r="D282" s="31" t="s">
        <v>445</v>
      </c>
      <c r="E282" s="31"/>
      <c r="F282" s="31"/>
      <c r="G282" s="36"/>
      <c r="J282" s="35">
        <v>97</v>
      </c>
      <c r="K282" s="36" t="s">
        <v>199</v>
      </c>
      <c r="M282" s="35">
        <v>15.98</v>
      </c>
      <c r="N282" s="36" t="s">
        <v>446</v>
      </c>
      <c r="O282" s="35"/>
      <c r="P282" s="35">
        <v>16.28</v>
      </c>
      <c r="Q282" s="36" t="s">
        <v>446</v>
      </c>
    </row>
    <row r="283" spans="1:17" s="34" customFormat="1">
      <c r="A283" s="115" t="s">
        <v>548</v>
      </c>
      <c r="B283" s="114"/>
      <c r="C283" s="84"/>
      <c r="D283" s="31" t="s">
        <v>445</v>
      </c>
      <c r="E283" s="31"/>
      <c r="F283" s="31"/>
      <c r="G283" s="36"/>
      <c r="J283" s="35">
        <v>69</v>
      </c>
      <c r="K283" s="36" t="s">
        <v>199</v>
      </c>
      <c r="M283" s="35">
        <v>11.39</v>
      </c>
      <c r="N283" s="36" t="s">
        <v>446</v>
      </c>
      <c r="O283" s="35"/>
      <c r="P283" s="35">
        <v>11.69</v>
      </c>
      <c r="Q283" s="36" t="s">
        <v>446</v>
      </c>
    </row>
    <row r="284" spans="1:17" s="34" customFormat="1">
      <c r="A284" s="115" t="s">
        <v>549</v>
      </c>
      <c r="B284" s="114"/>
      <c r="C284" s="84"/>
      <c r="D284" s="31" t="s">
        <v>445</v>
      </c>
      <c r="E284" s="31"/>
      <c r="F284" s="31"/>
      <c r="G284" s="36"/>
      <c r="J284" s="35">
        <v>74</v>
      </c>
      <c r="K284" s="36" t="s">
        <v>199</v>
      </c>
      <c r="M284" s="35">
        <v>12.21</v>
      </c>
      <c r="N284" s="36" t="s">
        <v>446</v>
      </c>
      <c r="O284" s="35"/>
      <c r="P284" s="35">
        <v>12.51</v>
      </c>
      <c r="Q284" s="36" t="s">
        <v>446</v>
      </c>
    </row>
    <row r="285" spans="1:17" s="34" customFormat="1">
      <c r="A285" s="115" t="s">
        <v>550</v>
      </c>
      <c r="B285" s="114"/>
      <c r="C285" s="84"/>
      <c r="D285" s="31" t="s">
        <v>445</v>
      </c>
      <c r="E285" s="31"/>
      <c r="F285" s="31"/>
      <c r="G285" s="36"/>
      <c r="J285" s="35">
        <v>31</v>
      </c>
      <c r="K285" s="36" t="s">
        <v>199</v>
      </c>
      <c r="M285" s="35">
        <v>5.12</v>
      </c>
      <c r="N285" s="36" t="s">
        <v>446</v>
      </c>
      <c r="O285" s="35"/>
      <c r="P285" s="35">
        <v>5.42</v>
      </c>
      <c r="Q285" s="36" t="s">
        <v>446</v>
      </c>
    </row>
    <row r="286" spans="1:17" s="34" customFormat="1">
      <c r="A286" s="115" t="s">
        <v>551</v>
      </c>
      <c r="B286" s="114"/>
      <c r="C286" s="84"/>
      <c r="D286" s="31" t="s">
        <v>445</v>
      </c>
      <c r="E286" s="31"/>
      <c r="F286" s="31"/>
      <c r="G286" s="36"/>
      <c r="J286" s="35">
        <v>144</v>
      </c>
      <c r="K286" s="36" t="s">
        <v>199</v>
      </c>
      <c r="M286" s="35">
        <v>23.7</v>
      </c>
      <c r="N286" s="36" t="s">
        <v>446</v>
      </c>
      <c r="O286" s="35"/>
      <c r="P286" s="35">
        <v>24</v>
      </c>
      <c r="Q286" s="36" t="s">
        <v>446</v>
      </c>
    </row>
    <row r="287" spans="1:17" s="34" customFormat="1">
      <c r="A287" s="114"/>
      <c r="B287" s="114"/>
      <c r="C287" s="84"/>
      <c r="D287" s="31"/>
      <c r="E287" s="31"/>
      <c r="F287" s="31"/>
      <c r="G287" s="36"/>
      <c r="J287" s="35"/>
      <c r="K287" s="36"/>
      <c r="M287" s="35"/>
      <c r="N287" s="36"/>
      <c r="O287" s="35"/>
      <c r="P287" s="35"/>
      <c r="Q287" s="36"/>
    </row>
    <row r="288" spans="1:17" s="34" customFormat="1">
      <c r="A288" s="114"/>
      <c r="B288" s="114"/>
      <c r="C288" s="84"/>
      <c r="D288" s="31" t="s">
        <v>552</v>
      </c>
      <c r="E288" s="31"/>
      <c r="F288" s="31"/>
      <c r="G288" s="36"/>
      <c r="J288" s="35"/>
      <c r="K288" s="36"/>
      <c r="M288" s="35"/>
      <c r="N288" s="36"/>
      <c r="O288" s="35"/>
      <c r="P288" s="35"/>
      <c r="Q288" s="36"/>
    </row>
    <row r="289" spans="1:17" s="34" customFormat="1">
      <c r="A289" s="114"/>
      <c r="B289" s="114"/>
      <c r="C289" s="84"/>
      <c r="D289" s="31" t="s">
        <v>178</v>
      </c>
      <c r="E289" s="31"/>
      <c r="F289" s="31"/>
      <c r="G289" s="36"/>
      <c r="J289" s="35"/>
      <c r="K289" s="36"/>
      <c r="M289" s="35"/>
      <c r="N289" s="36"/>
      <c r="O289" s="35"/>
      <c r="P289" s="35"/>
      <c r="Q289" s="36"/>
    </row>
    <row r="290" spans="1:17" s="34" customFormat="1">
      <c r="A290" s="114"/>
      <c r="B290" s="114"/>
      <c r="C290" s="84"/>
      <c r="D290" s="31" t="s">
        <v>553</v>
      </c>
      <c r="E290" s="31"/>
      <c r="F290" s="31"/>
      <c r="G290" s="36"/>
      <c r="J290" s="35"/>
      <c r="K290" s="36"/>
      <c r="M290" s="35"/>
      <c r="N290" s="36"/>
      <c r="O290" s="35"/>
      <c r="P290" s="35"/>
      <c r="Q290" s="36"/>
    </row>
    <row r="291" spans="1:17" s="34" customFormat="1">
      <c r="A291" s="114"/>
      <c r="B291" s="114"/>
      <c r="C291" s="84"/>
      <c r="D291" s="31" t="s">
        <v>230</v>
      </c>
      <c r="E291" s="31"/>
      <c r="F291" s="31"/>
      <c r="G291" s="36"/>
      <c r="J291" s="35"/>
      <c r="K291" s="36"/>
      <c r="M291" s="35"/>
      <c r="N291" s="36"/>
      <c r="O291" s="35"/>
      <c r="P291" s="35"/>
      <c r="Q291" s="36"/>
    </row>
    <row r="292" spans="1:17" s="34" customFormat="1">
      <c r="A292" s="114"/>
      <c r="B292" s="114"/>
      <c r="C292" s="84"/>
      <c r="D292" s="31" t="s">
        <v>231</v>
      </c>
      <c r="E292" s="31"/>
      <c r="F292" s="31"/>
      <c r="G292" s="36"/>
      <c r="J292" s="35"/>
      <c r="K292" s="36"/>
      <c r="M292" s="35"/>
      <c r="N292" s="36"/>
      <c r="O292" s="35"/>
      <c r="P292" s="35"/>
      <c r="Q292" s="36"/>
    </row>
    <row r="293" spans="1:17" s="34" customFormat="1">
      <c r="A293" s="114"/>
      <c r="B293" s="114"/>
      <c r="C293" s="84"/>
      <c r="D293" s="31" t="s">
        <v>232</v>
      </c>
      <c r="E293" s="31"/>
      <c r="F293" s="31"/>
      <c r="G293" s="36"/>
      <c r="J293" s="35"/>
      <c r="K293" s="36"/>
      <c r="M293" s="35"/>
      <c r="N293" s="36"/>
      <c r="O293" s="35"/>
      <c r="P293" s="35"/>
      <c r="Q293" s="36"/>
    </row>
    <row r="294" spans="1:17" s="34" customFormat="1">
      <c r="A294" s="114"/>
      <c r="B294" s="114"/>
      <c r="C294" s="84"/>
      <c r="D294" s="31" t="s">
        <v>233</v>
      </c>
      <c r="E294" s="31"/>
      <c r="F294" s="31"/>
      <c r="G294" s="36"/>
      <c r="J294" s="35"/>
      <c r="K294" s="36"/>
      <c r="M294" s="35"/>
      <c r="N294" s="36"/>
      <c r="O294" s="35"/>
      <c r="P294" s="35"/>
      <c r="Q294" s="36"/>
    </row>
    <row r="295" spans="1:17" s="34" customFormat="1">
      <c r="A295" s="114"/>
      <c r="B295" s="114"/>
      <c r="C295" s="84"/>
      <c r="D295" s="31" t="s">
        <v>188</v>
      </c>
      <c r="E295" s="31"/>
      <c r="F295" s="31"/>
      <c r="G295" s="36"/>
      <c r="J295" s="35"/>
      <c r="K295" s="36"/>
      <c r="M295" s="35"/>
      <c r="N295" s="36"/>
      <c r="O295" s="35"/>
      <c r="P295" s="35"/>
      <c r="Q295" s="36"/>
    </row>
    <row r="296" spans="1:17" s="34" customFormat="1">
      <c r="A296" s="114"/>
      <c r="B296" s="114"/>
      <c r="C296" s="84"/>
      <c r="D296" s="31" t="s">
        <v>554</v>
      </c>
      <c r="E296" s="31"/>
      <c r="F296" s="31"/>
      <c r="G296" s="36"/>
      <c r="J296" s="35"/>
      <c r="K296" s="36"/>
      <c r="M296" s="35"/>
      <c r="N296" s="36"/>
      <c r="O296" s="35"/>
      <c r="P296" s="35"/>
      <c r="Q296" s="36"/>
    </row>
    <row r="297" spans="1:17" s="34" customFormat="1">
      <c r="A297" s="114"/>
      <c r="B297" s="114"/>
      <c r="C297" s="84"/>
      <c r="D297" s="31" t="s">
        <v>234</v>
      </c>
      <c r="E297" s="31"/>
      <c r="F297" s="31"/>
      <c r="G297" s="36"/>
      <c r="J297" s="35"/>
      <c r="K297" s="36"/>
      <c r="M297" s="35"/>
      <c r="N297" s="36"/>
      <c r="O297" s="35"/>
      <c r="P297" s="35"/>
      <c r="Q297" s="36"/>
    </row>
    <row r="298" spans="1:17" s="34" customFormat="1">
      <c r="A298" s="114"/>
      <c r="B298" s="114"/>
      <c r="C298" s="84"/>
      <c r="D298" s="31" t="s">
        <v>235</v>
      </c>
      <c r="E298" s="31"/>
      <c r="F298" s="31"/>
      <c r="G298" s="36"/>
      <c r="J298" s="35"/>
      <c r="K298" s="36"/>
      <c r="M298" s="35"/>
      <c r="N298" s="36"/>
      <c r="O298" s="35"/>
      <c r="P298" s="35"/>
      <c r="Q298" s="36"/>
    </row>
    <row r="299" spans="1:17" s="34" customFormat="1">
      <c r="A299" s="114"/>
      <c r="B299" s="114"/>
      <c r="C299" s="84"/>
      <c r="D299" s="31" t="s">
        <v>194</v>
      </c>
      <c r="E299" s="31"/>
      <c r="F299" s="31"/>
      <c r="G299" s="36"/>
      <c r="J299" s="35"/>
      <c r="K299" s="36"/>
      <c r="M299" s="35"/>
      <c r="N299" s="36"/>
      <c r="O299" s="35"/>
      <c r="P299" s="35"/>
      <c r="Q299" s="36"/>
    </row>
    <row r="300" spans="1:17" s="34" customFormat="1">
      <c r="A300" s="114"/>
      <c r="B300" s="114"/>
      <c r="C300" s="84"/>
      <c r="D300" s="37" t="s">
        <v>236</v>
      </c>
      <c r="E300" s="31"/>
      <c r="F300" s="31"/>
      <c r="G300" s="36"/>
      <c r="J300" s="35"/>
      <c r="K300" s="36"/>
      <c r="M300" s="35"/>
      <c r="N300" s="36"/>
      <c r="O300" s="35"/>
      <c r="P300" s="35"/>
      <c r="Q300" s="36"/>
    </row>
    <row r="301" spans="1:17" s="34" customFormat="1">
      <c r="A301" s="114"/>
      <c r="B301" s="114"/>
      <c r="C301" s="84"/>
      <c r="D301" s="37" t="s">
        <v>555</v>
      </c>
      <c r="E301" s="31"/>
      <c r="F301" s="31"/>
      <c r="G301" s="36"/>
      <c r="J301" s="35"/>
      <c r="K301" s="36"/>
      <c r="M301" s="35"/>
      <c r="N301" s="36"/>
      <c r="O301" s="35"/>
      <c r="P301" s="35"/>
      <c r="Q301" s="36"/>
    </row>
    <row r="302" spans="1:17" s="34" customFormat="1">
      <c r="A302" s="114"/>
      <c r="B302" s="114"/>
      <c r="C302" s="84"/>
      <c r="D302" s="31" t="s">
        <v>239</v>
      </c>
      <c r="E302" s="31"/>
      <c r="F302" s="31"/>
      <c r="G302" s="36"/>
      <c r="J302" s="35"/>
      <c r="K302" s="36"/>
      <c r="M302" s="35"/>
      <c r="N302" s="36"/>
      <c r="O302" s="35"/>
      <c r="P302" s="35"/>
      <c r="Q302" s="36"/>
    </row>
    <row r="303" spans="1:17" s="34" customFormat="1">
      <c r="A303" s="114"/>
      <c r="B303" s="114"/>
      <c r="C303" s="84"/>
      <c r="D303" s="31" t="s">
        <v>240</v>
      </c>
      <c r="E303" s="31"/>
      <c r="F303" s="31"/>
      <c r="G303" s="36"/>
      <c r="J303" s="35"/>
      <c r="K303" s="36"/>
      <c r="M303" s="35"/>
      <c r="N303" s="36"/>
      <c r="O303" s="35"/>
      <c r="P303" s="35"/>
      <c r="Q303" s="36"/>
    </row>
    <row r="304" spans="1:17" s="34" customFormat="1">
      <c r="A304" s="114" t="s">
        <v>556</v>
      </c>
      <c r="B304" s="114"/>
      <c r="C304" s="84"/>
      <c r="D304" s="31" t="s">
        <v>557</v>
      </c>
      <c r="E304" s="31"/>
      <c r="F304" s="31"/>
      <c r="G304" s="36"/>
      <c r="J304" s="35">
        <v>49</v>
      </c>
      <c r="K304" s="36" t="s">
        <v>199</v>
      </c>
      <c r="M304" s="35">
        <v>18.3</v>
      </c>
      <c r="N304" s="36" t="s">
        <v>446</v>
      </c>
      <c r="O304" s="35"/>
      <c r="P304" s="35">
        <v>18.600000000000001</v>
      </c>
      <c r="Q304" s="36" t="s">
        <v>446</v>
      </c>
    </row>
    <row r="305" spans="1:17" s="34" customFormat="1">
      <c r="A305" s="114" t="s">
        <v>558</v>
      </c>
      <c r="B305" s="114"/>
      <c r="C305" s="84"/>
      <c r="D305" s="31" t="s">
        <v>557</v>
      </c>
      <c r="E305" s="31"/>
      <c r="F305" s="31"/>
      <c r="G305" s="36"/>
      <c r="J305" s="35">
        <v>46</v>
      </c>
      <c r="K305" s="36" t="s">
        <v>199</v>
      </c>
      <c r="M305" s="35">
        <v>16.899999999999999</v>
      </c>
      <c r="N305" s="36" t="s">
        <v>446</v>
      </c>
      <c r="O305" s="35"/>
      <c r="P305" s="35">
        <v>17.2</v>
      </c>
      <c r="Q305" s="36" t="s">
        <v>446</v>
      </c>
    </row>
    <row r="306" spans="1:17" s="34" customFormat="1">
      <c r="A306" s="114" t="s">
        <v>559</v>
      </c>
      <c r="B306" s="114"/>
      <c r="C306" s="84"/>
      <c r="D306" s="31" t="s">
        <v>557</v>
      </c>
      <c r="E306" s="31"/>
      <c r="F306" s="31"/>
      <c r="G306" s="36"/>
      <c r="J306" s="35">
        <v>48</v>
      </c>
      <c r="K306" s="36" t="s">
        <v>199</v>
      </c>
      <c r="M306" s="35">
        <v>17.8</v>
      </c>
      <c r="N306" s="36" t="s">
        <v>446</v>
      </c>
      <c r="O306" s="35"/>
      <c r="P306" s="35">
        <v>18.100000000000001</v>
      </c>
      <c r="Q306" s="36" t="s">
        <v>446</v>
      </c>
    </row>
    <row r="307" spans="1:17" s="34" customFormat="1">
      <c r="A307" s="114" t="s">
        <v>560</v>
      </c>
      <c r="B307" s="114"/>
      <c r="C307" s="84"/>
      <c r="D307" s="31" t="s">
        <v>557</v>
      </c>
      <c r="E307" s="31"/>
      <c r="F307" s="31"/>
      <c r="G307" s="36"/>
      <c r="J307" s="35">
        <v>46</v>
      </c>
      <c r="K307" s="36" t="s">
        <v>199</v>
      </c>
      <c r="M307" s="35">
        <v>17</v>
      </c>
      <c r="N307" s="36" t="s">
        <v>446</v>
      </c>
      <c r="O307" s="35"/>
      <c r="P307" s="35">
        <v>17.3</v>
      </c>
      <c r="Q307" s="36" t="s">
        <v>446</v>
      </c>
    </row>
    <row r="308" spans="1:17" s="34" customFormat="1">
      <c r="A308" s="114" t="s">
        <v>561</v>
      </c>
      <c r="B308" s="114"/>
      <c r="C308" s="84"/>
      <c r="D308" s="31" t="s">
        <v>557</v>
      </c>
      <c r="E308" s="31"/>
      <c r="F308" s="31"/>
      <c r="G308" s="36"/>
      <c r="J308" s="35">
        <v>48</v>
      </c>
      <c r="K308" s="36" t="s">
        <v>199</v>
      </c>
      <c r="M308" s="35">
        <v>17.8</v>
      </c>
      <c r="N308" s="36" t="s">
        <v>446</v>
      </c>
      <c r="O308" s="35"/>
      <c r="P308" s="35">
        <v>18.100000000000001</v>
      </c>
      <c r="Q308" s="36" t="s">
        <v>446</v>
      </c>
    </row>
    <row r="309" spans="1:17" s="34" customFormat="1">
      <c r="A309" s="114" t="s">
        <v>562</v>
      </c>
      <c r="B309" s="114"/>
      <c r="C309" s="84"/>
      <c r="D309" s="31" t="s">
        <v>557</v>
      </c>
      <c r="E309" s="31"/>
      <c r="F309" s="31"/>
      <c r="G309" s="36"/>
      <c r="J309" s="35">
        <v>45</v>
      </c>
      <c r="K309" s="36" t="s">
        <v>199</v>
      </c>
      <c r="M309" s="35">
        <v>16.8</v>
      </c>
      <c r="N309" s="36" t="s">
        <v>446</v>
      </c>
      <c r="O309" s="35"/>
      <c r="P309" s="35">
        <v>17.100000000000001</v>
      </c>
      <c r="Q309" s="36" t="s">
        <v>446</v>
      </c>
    </row>
    <row r="310" spans="1:17" s="34" customFormat="1">
      <c r="A310" s="114" t="s">
        <v>563</v>
      </c>
      <c r="B310" s="114"/>
      <c r="C310" s="84"/>
      <c r="D310" s="31" t="s">
        <v>557</v>
      </c>
      <c r="E310" s="31"/>
      <c r="F310" s="31"/>
      <c r="G310" s="36"/>
      <c r="J310" s="35">
        <v>40</v>
      </c>
      <c r="K310" s="36" t="s">
        <v>199</v>
      </c>
      <c r="M310" s="35">
        <v>14.8</v>
      </c>
      <c r="N310" s="36" t="s">
        <v>446</v>
      </c>
      <c r="O310" s="35"/>
      <c r="P310" s="35">
        <v>15.1</v>
      </c>
      <c r="Q310" s="36" t="s">
        <v>446</v>
      </c>
    </row>
    <row r="311" spans="1:17" s="34" customFormat="1">
      <c r="A311" s="114"/>
      <c r="B311" s="114"/>
      <c r="C311" s="84"/>
      <c r="D311" s="31" t="s">
        <v>243</v>
      </c>
      <c r="E311" s="31"/>
      <c r="F311" s="31"/>
      <c r="G311" s="36"/>
      <c r="J311" s="35"/>
      <c r="K311" s="36"/>
      <c r="M311" s="35"/>
      <c r="N311" s="36"/>
      <c r="O311" s="35"/>
      <c r="P311" s="35"/>
      <c r="Q311" s="36"/>
    </row>
    <row r="312" spans="1:17" s="34" customFormat="1">
      <c r="A312" s="114"/>
      <c r="B312" s="114"/>
      <c r="C312" s="84"/>
      <c r="D312" s="31" t="s">
        <v>244</v>
      </c>
      <c r="E312" s="31"/>
      <c r="F312" s="31"/>
      <c r="G312" s="36"/>
      <c r="J312" s="35"/>
      <c r="K312" s="36"/>
      <c r="M312" s="35"/>
      <c r="N312" s="36"/>
      <c r="O312" s="35"/>
      <c r="P312" s="35"/>
      <c r="Q312" s="36"/>
    </row>
    <row r="313" spans="1:17" s="34" customFormat="1">
      <c r="A313" s="114" t="s">
        <v>564</v>
      </c>
      <c r="B313" s="114"/>
      <c r="C313" s="84"/>
      <c r="D313" s="31" t="s">
        <v>557</v>
      </c>
      <c r="E313" s="31"/>
      <c r="F313" s="31"/>
      <c r="G313" s="36"/>
      <c r="J313" s="35">
        <v>44</v>
      </c>
      <c r="K313" s="36" t="s">
        <v>199</v>
      </c>
      <c r="M313" s="35">
        <v>16.2</v>
      </c>
      <c r="N313" s="36" t="s">
        <v>446</v>
      </c>
      <c r="O313" s="35"/>
      <c r="P313" s="35">
        <v>16.5</v>
      </c>
      <c r="Q313" s="36" t="s">
        <v>446</v>
      </c>
    </row>
    <row r="314" spans="1:17" s="34" customFormat="1">
      <c r="A314" s="114" t="s">
        <v>565</v>
      </c>
      <c r="B314" s="114"/>
      <c r="C314" s="84"/>
      <c r="D314" s="31" t="s">
        <v>557</v>
      </c>
      <c r="E314" s="31"/>
      <c r="F314" s="31"/>
      <c r="G314" s="36"/>
      <c r="J314" s="35">
        <v>51</v>
      </c>
      <c r="K314" s="36" t="s">
        <v>199</v>
      </c>
      <c r="M314" s="35">
        <v>18.7</v>
      </c>
      <c r="N314" s="36" t="s">
        <v>446</v>
      </c>
      <c r="O314" s="35"/>
      <c r="P314" s="35">
        <v>19</v>
      </c>
      <c r="Q314" s="36" t="s">
        <v>446</v>
      </c>
    </row>
    <row r="315" spans="1:17" s="34" customFormat="1">
      <c r="A315" s="114" t="s">
        <v>566</v>
      </c>
      <c r="B315" s="114"/>
      <c r="C315" s="84"/>
      <c r="D315" s="31" t="s">
        <v>557</v>
      </c>
      <c r="E315" s="31"/>
      <c r="F315" s="31"/>
      <c r="G315" s="36"/>
      <c r="J315" s="35">
        <v>49</v>
      </c>
      <c r="K315" s="36" t="s">
        <v>199</v>
      </c>
      <c r="M315" s="35">
        <v>18</v>
      </c>
      <c r="N315" s="36" t="s">
        <v>446</v>
      </c>
      <c r="O315" s="35"/>
      <c r="P315" s="35">
        <v>18.3</v>
      </c>
      <c r="Q315" s="36" t="s">
        <v>446</v>
      </c>
    </row>
    <row r="316" spans="1:17" s="34" customFormat="1">
      <c r="A316" s="114" t="s">
        <v>567</v>
      </c>
      <c r="B316" s="114"/>
      <c r="C316" s="84"/>
      <c r="D316" s="31" t="s">
        <v>557</v>
      </c>
      <c r="E316" s="31"/>
      <c r="F316" s="31"/>
      <c r="G316" s="36"/>
      <c r="J316" s="35">
        <v>38</v>
      </c>
      <c r="K316" s="36" t="s">
        <v>199</v>
      </c>
      <c r="M316" s="35">
        <v>14.3</v>
      </c>
      <c r="N316" s="36" t="s">
        <v>446</v>
      </c>
      <c r="O316" s="35"/>
      <c r="P316" s="35">
        <v>14.6</v>
      </c>
      <c r="Q316" s="36" t="s">
        <v>446</v>
      </c>
    </row>
    <row r="317" spans="1:17" s="34" customFormat="1">
      <c r="A317" s="114"/>
      <c r="B317" s="114"/>
      <c r="C317" s="84"/>
      <c r="D317" s="31" t="s">
        <v>245</v>
      </c>
      <c r="E317" s="31"/>
      <c r="F317" s="31"/>
      <c r="G317" s="36"/>
      <c r="J317" s="35"/>
      <c r="K317" s="36"/>
      <c r="M317" s="35"/>
      <c r="N317" s="36"/>
      <c r="O317" s="35"/>
      <c r="P317" s="35"/>
      <c r="Q317" s="36"/>
    </row>
    <row r="318" spans="1:17" s="34" customFormat="1">
      <c r="A318" s="114"/>
      <c r="B318" s="114"/>
      <c r="C318" s="84"/>
      <c r="D318" s="31" t="s">
        <v>246</v>
      </c>
      <c r="E318" s="31"/>
      <c r="F318" s="31"/>
      <c r="G318" s="36"/>
      <c r="J318" s="35"/>
      <c r="K318" s="36"/>
      <c r="M318" s="35"/>
      <c r="N318" s="36"/>
      <c r="O318" s="35"/>
      <c r="P318" s="35"/>
      <c r="Q318" s="36"/>
    </row>
    <row r="319" spans="1:17" s="34" customFormat="1">
      <c r="A319" s="114" t="s">
        <v>568</v>
      </c>
      <c r="B319" s="114"/>
      <c r="C319" s="84"/>
      <c r="D319" s="31" t="s">
        <v>557</v>
      </c>
      <c r="E319" s="31"/>
      <c r="F319" s="31"/>
      <c r="G319" s="36"/>
      <c r="J319" s="35">
        <v>32</v>
      </c>
      <c r="K319" s="36" t="s">
        <v>199</v>
      </c>
      <c r="M319" s="35">
        <v>11.9</v>
      </c>
      <c r="N319" s="36" t="s">
        <v>446</v>
      </c>
      <c r="O319" s="35"/>
      <c r="P319" s="35">
        <v>12.2</v>
      </c>
      <c r="Q319" s="36" t="s">
        <v>446</v>
      </c>
    </row>
    <row r="320" spans="1:17" s="34" customFormat="1">
      <c r="A320" s="114" t="s">
        <v>569</v>
      </c>
      <c r="B320" s="114"/>
      <c r="C320" s="84"/>
      <c r="D320" s="31" t="s">
        <v>557</v>
      </c>
      <c r="E320" s="31"/>
      <c r="F320" s="31"/>
      <c r="G320" s="36"/>
      <c r="J320" s="35">
        <v>34</v>
      </c>
      <c r="K320" s="36" t="s">
        <v>199</v>
      </c>
      <c r="M320" s="35">
        <v>12.6</v>
      </c>
      <c r="N320" s="36" t="s">
        <v>446</v>
      </c>
      <c r="O320" s="35"/>
      <c r="P320" s="35">
        <v>12.9</v>
      </c>
      <c r="Q320" s="36" t="s">
        <v>446</v>
      </c>
    </row>
    <row r="321" spans="1:17" s="34" customFormat="1">
      <c r="A321" s="114" t="s">
        <v>570</v>
      </c>
      <c r="B321" s="114"/>
      <c r="C321" s="84"/>
      <c r="D321" s="31" t="s">
        <v>557</v>
      </c>
      <c r="E321" s="31"/>
      <c r="F321" s="31"/>
      <c r="G321" s="36"/>
      <c r="J321" s="35">
        <v>43</v>
      </c>
      <c r="K321" s="36" t="s">
        <v>199</v>
      </c>
      <c r="M321" s="35">
        <v>15.8</v>
      </c>
      <c r="N321" s="36" t="s">
        <v>446</v>
      </c>
      <c r="O321" s="35"/>
      <c r="P321" s="35">
        <v>16.100000000000001</v>
      </c>
      <c r="Q321" s="36" t="s">
        <v>446</v>
      </c>
    </row>
    <row r="322" spans="1:17" s="34" customFormat="1">
      <c r="A322" s="114" t="s">
        <v>571</v>
      </c>
      <c r="B322" s="114"/>
      <c r="C322" s="84"/>
      <c r="D322" s="31" t="s">
        <v>557</v>
      </c>
      <c r="E322" s="31"/>
      <c r="F322" s="31"/>
      <c r="G322" s="36"/>
      <c r="J322" s="35">
        <v>34</v>
      </c>
      <c r="K322" s="36" t="s">
        <v>199</v>
      </c>
      <c r="M322" s="35">
        <v>12.6</v>
      </c>
      <c r="N322" s="36" t="s">
        <v>446</v>
      </c>
      <c r="O322" s="35"/>
      <c r="P322" s="35">
        <v>12.9</v>
      </c>
      <c r="Q322" s="36" t="s">
        <v>446</v>
      </c>
    </row>
    <row r="323" spans="1:17" s="34" customFormat="1">
      <c r="A323" s="114" t="s">
        <v>572</v>
      </c>
      <c r="B323" s="114"/>
      <c r="C323" s="84"/>
      <c r="D323" s="31" t="s">
        <v>557</v>
      </c>
      <c r="E323" s="31"/>
      <c r="F323" s="31"/>
      <c r="G323" s="36"/>
      <c r="J323" s="35">
        <v>41</v>
      </c>
      <c r="K323" s="36" t="s">
        <v>199</v>
      </c>
      <c r="M323" s="35">
        <v>15</v>
      </c>
      <c r="N323" s="36" t="s">
        <v>446</v>
      </c>
      <c r="O323" s="35"/>
      <c r="P323" s="35">
        <v>15.3</v>
      </c>
      <c r="Q323" s="36" t="s">
        <v>446</v>
      </c>
    </row>
    <row r="324" spans="1:17" s="34" customFormat="1">
      <c r="A324" s="114"/>
      <c r="B324" s="114"/>
      <c r="C324" s="84"/>
      <c r="D324" s="31" t="s">
        <v>247</v>
      </c>
      <c r="E324" s="31"/>
      <c r="F324" s="31"/>
      <c r="G324" s="36"/>
      <c r="J324" s="35"/>
      <c r="K324" s="36"/>
      <c r="M324" s="35"/>
      <c r="N324" s="36"/>
      <c r="O324" s="35"/>
      <c r="P324" s="35"/>
      <c r="Q324" s="36"/>
    </row>
    <row r="325" spans="1:17" s="34" customFormat="1">
      <c r="A325" s="114"/>
      <c r="B325" s="114"/>
      <c r="C325" s="84"/>
      <c r="D325" s="31" t="s">
        <v>248</v>
      </c>
      <c r="E325" s="31"/>
      <c r="F325" s="31"/>
      <c r="G325" s="36"/>
      <c r="J325" s="35"/>
      <c r="K325" s="36"/>
      <c r="M325" s="35"/>
      <c r="N325" s="36"/>
      <c r="O325" s="35"/>
      <c r="P325" s="35"/>
      <c r="Q325" s="36"/>
    </row>
    <row r="326" spans="1:17" s="34" customFormat="1">
      <c r="A326" s="114" t="s">
        <v>573</v>
      </c>
      <c r="B326" s="114"/>
      <c r="C326" s="84"/>
      <c r="D326" s="31" t="s">
        <v>557</v>
      </c>
      <c r="E326" s="31"/>
      <c r="F326" s="31"/>
      <c r="G326" s="36"/>
      <c r="J326" s="35">
        <v>47</v>
      </c>
      <c r="K326" s="36" t="s">
        <v>199</v>
      </c>
      <c r="M326" s="35">
        <v>17.3</v>
      </c>
      <c r="N326" s="36" t="s">
        <v>446</v>
      </c>
      <c r="O326" s="35"/>
      <c r="P326" s="35">
        <v>17.600000000000001</v>
      </c>
      <c r="Q326" s="36" t="s">
        <v>446</v>
      </c>
    </row>
    <row r="327" spans="1:17" s="34" customFormat="1">
      <c r="A327" s="114" t="s">
        <v>574</v>
      </c>
      <c r="B327" s="114"/>
      <c r="C327" s="84"/>
      <c r="D327" s="31" t="s">
        <v>557</v>
      </c>
      <c r="E327" s="31"/>
      <c r="F327" s="31"/>
      <c r="G327" s="36"/>
      <c r="J327" s="35">
        <v>45</v>
      </c>
      <c r="K327" s="36" t="s">
        <v>199</v>
      </c>
      <c r="M327" s="35">
        <v>16.600000000000001</v>
      </c>
      <c r="N327" s="36" t="s">
        <v>446</v>
      </c>
      <c r="O327" s="35"/>
      <c r="P327" s="35">
        <v>16.899999999999999</v>
      </c>
      <c r="Q327" s="36" t="s">
        <v>446</v>
      </c>
    </row>
    <row r="328" spans="1:17" s="34" customFormat="1">
      <c r="A328" s="114" t="s">
        <v>575</v>
      </c>
      <c r="B328" s="114"/>
      <c r="C328" s="84"/>
      <c r="D328" s="31" t="s">
        <v>557</v>
      </c>
      <c r="E328" s="31"/>
      <c r="F328" s="31"/>
      <c r="G328" s="36"/>
      <c r="J328" s="35">
        <v>48</v>
      </c>
      <c r="K328" s="36" t="s">
        <v>199</v>
      </c>
      <c r="M328" s="35">
        <v>17.8</v>
      </c>
      <c r="N328" s="36" t="s">
        <v>446</v>
      </c>
      <c r="O328" s="35"/>
      <c r="P328" s="35">
        <v>18.100000000000001</v>
      </c>
      <c r="Q328" s="36" t="s">
        <v>446</v>
      </c>
    </row>
    <row r="329" spans="1:17" s="34" customFormat="1">
      <c r="A329" s="114" t="s">
        <v>576</v>
      </c>
      <c r="B329" s="114"/>
      <c r="C329" s="84"/>
      <c r="D329" s="31" t="s">
        <v>557</v>
      </c>
      <c r="E329" s="31"/>
      <c r="F329" s="31"/>
      <c r="G329" s="36"/>
      <c r="J329" s="35">
        <v>28</v>
      </c>
      <c r="K329" s="36" t="s">
        <v>199</v>
      </c>
      <c r="M329" s="35">
        <v>10.4</v>
      </c>
      <c r="N329" s="36" t="s">
        <v>446</v>
      </c>
      <c r="O329" s="35"/>
      <c r="P329" s="35">
        <v>10.7</v>
      </c>
      <c r="Q329" s="36" t="s">
        <v>446</v>
      </c>
    </row>
    <row r="330" spans="1:17" s="34" customFormat="1">
      <c r="A330" s="114"/>
      <c r="B330" s="114"/>
      <c r="C330" s="84"/>
      <c r="D330" s="31" t="s">
        <v>249</v>
      </c>
      <c r="E330" s="31"/>
      <c r="F330" s="31"/>
      <c r="G330" s="36"/>
      <c r="J330" s="35"/>
      <c r="K330" s="36"/>
      <c r="M330" s="35"/>
      <c r="N330" s="36"/>
      <c r="O330" s="35"/>
      <c r="P330" s="35"/>
      <c r="Q330" s="36"/>
    </row>
    <row r="331" spans="1:17" s="34" customFormat="1">
      <c r="A331" s="114"/>
      <c r="B331" s="114"/>
      <c r="C331" s="84"/>
      <c r="D331" s="31" t="s">
        <v>250</v>
      </c>
      <c r="E331" s="31"/>
      <c r="F331" s="31"/>
      <c r="G331" s="36"/>
      <c r="J331" s="35"/>
      <c r="K331" s="36"/>
      <c r="M331" s="35"/>
      <c r="N331" s="36"/>
      <c r="O331" s="35"/>
      <c r="P331" s="35"/>
      <c r="Q331" s="36"/>
    </row>
    <row r="332" spans="1:17" s="34" customFormat="1">
      <c r="A332" s="114" t="s">
        <v>577</v>
      </c>
      <c r="B332" s="114"/>
      <c r="C332" s="84"/>
      <c r="D332" s="31" t="s">
        <v>557</v>
      </c>
      <c r="E332" s="31"/>
      <c r="F332" s="31"/>
      <c r="G332" s="36"/>
      <c r="J332" s="35">
        <v>46</v>
      </c>
      <c r="K332" s="36" t="s">
        <v>199</v>
      </c>
      <c r="M332" s="35">
        <v>16.899999999999999</v>
      </c>
      <c r="N332" s="36" t="s">
        <v>446</v>
      </c>
      <c r="O332" s="35"/>
      <c r="P332" s="35">
        <v>17.2</v>
      </c>
      <c r="Q332" s="36" t="s">
        <v>446</v>
      </c>
    </row>
    <row r="333" spans="1:17" s="34" customFormat="1">
      <c r="A333" s="114" t="s">
        <v>578</v>
      </c>
      <c r="B333" s="114"/>
      <c r="C333" s="84"/>
      <c r="D333" s="31" t="s">
        <v>557</v>
      </c>
      <c r="E333" s="31"/>
      <c r="F333" s="31"/>
      <c r="G333" s="36"/>
      <c r="J333" s="35">
        <v>50</v>
      </c>
      <c r="K333" s="36" t="s">
        <v>199</v>
      </c>
      <c r="M333" s="35">
        <v>18.5</v>
      </c>
      <c r="N333" s="36" t="s">
        <v>446</v>
      </c>
      <c r="O333" s="35"/>
      <c r="P333" s="35">
        <v>18.8</v>
      </c>
      <c r="Q333" s="36" t="s">
        <v>446</v>
      </c>
    </row>
    <row r="334" spans="1:17" s="34" customFormat="1">
      <c r="A334" s="114" t="s">
        <v>579</v>
      </c>
      <c r="B334" s="114"/>
      <c r="C334" s="84"/>
      <c r="D334" s="31" t="s">
        <v>557</v>
      </c>
      <c r="E334" s="31"/>
      <c r="F334" s="31"/>
      <c r="G334" s="36"/>
      <c r="J334" s="35">
        <v>38</v>
      </c>
      <c r="K334" s="36" t="s">
        <v>199</v>
      </c>
      <c r="M334" s="35">
        <v>14.2</v>
      </c>
      <c r="N334" s="36" t="s">
        <v>446</v>
      </c>
      <c r="O334" s="35"/>
      <c r="P334" s="35">
        <v>14.5</v>
      </c>
      <c r="Q334" s="36" t="s">
        <v>446</v>
      </c>
    </row>
    <row r="335" spans="1:17" s="34" customFormat="1">
      <c r="A335" s="114" t="s">
        <v>580</v>
      </c>
      <c r="B335" s="114"/>
      <c r="C335" s="84"/>
      <c r="D335" s="31" t="s">
        <v>557</v>
      </c>
      <c r="E335" s="31"/>
      <c r="F335" s="31"/>
      <c r="G335" s="36"/>
      <c r="J335" s="35">
        <v>47</v>
      </c>
      <c r="K335" s="36" t="s">
        <v>199</v>
      </c>
      <c r="M335" s="35">
        <v>17.3</v>
      </c>
      <c r="N335" s="36" t="s">
        <v>446</v>
      </c>
      <c r="O335" s="35"/>
      <c r="P335" s="35">
        <v>17.600000000000001</v>
      </c>
      <c r="Q335" s="36" t="s">
        <v>446</v>
      </c>
    </row>
    <row r="336" spans="1:17" s="34" customFormat="1">
      <c r="A336" s="114" t="s">
        <v>581</v>
      </c>
      <c r="B336" s="114"/>
      <c r="C336" s="84"/>
      <c r="D336" s="31" t="s">
        <v>557</v>
      </c>
      <c r="E336" s="31"/>
      <c r="F336" s="31"/>
      <c r="G336" s="36"/>
      <c r="J336" s="35">
        <v>46</v>
      </c>
      <c r="K336" s="36" t="s">
        <v>199</v>
      </c>
      <c r="M336" s="35">
        <v>16.899999999999999</v>
      </c>
      <c r="N336" s="36" t="s">
        <v>446</v>
      </c>
      <c r="O336" s="35"/>
      <c r="P336" s="35">
        <v>17.2</v>
      </c>
      <c r="Q336" s="36" t="s">
        <v>446</v>
      </c>
    </row>
    <row r="337" spans="1:17" s="34" customFormat="1">
      <c r="A337" s="114" t="s">
        <v>582</v>
      </c>
      <c r="B337" s="114"/>
      <c r="C337" s="84"/>
      <c r="D337" s="31" t="s">
        <v>557</v>
      </c>
      <c r="E337" s="31"/>
      <c r="F337" s="31"/>
      <c r="G337" s="36"/>
      <c r="J337" s="35">
        <v>32</v>
      </c>
      <c r="K337" s="36" t="s">
        <v>199</v>
      </c>
      <c r="M337" s="35">
        <v>11.7</v>
      </c>
      <c r="N337" s="36" t="s">
        <v>446</v>
      </c>
      <c r="O337" s="35"/>
      <c r="P337" s="35">
        <v>12</v>
      </c>
      <c r="Q337" s="36" t="s">
        <v>446</v>
      </c>
    </row>
    <row r="338" spans="1:17" s="34" customFormat="1">
      <c r="A338" s="114" t="s">
        <v>583</v>
      </c>
      <c r="B338" s="114"/>
      <c r="C338" s="84"/>
      <c r="D338" s="31" t="s">
        <v>557</v>
      </c>
      <c r="E338" s="31"/>
      <c r="F338" s="31"/>
      <c r="G338" s="36"/>
      <c r="J338" s="35">
        <v>46</v>
      </c>
      <c r="K338" s="36" t="s">
        <v>199</v>
      </c>
      <c r="M338" s="35">
        <v>17</v>
      </c>
      <c r="N338" s="36" t="s">
        <v>446</v>
      </c>
      <c r="O338" s="35"/>
      <c r="P338" s="35">
        <v>17.3</v>
      </c>
      <c r="Q338" s="36" t="s">
        <v>446</v>
      </c>
    </row>
    <row r="339" spans="1:17" s="34" customFormat="1">
      <c r="A339" s="114"/>
      <c r="B339" s="114"/>
      <c r="C339" s="84"/>
      <c r="D339" s="31" t="s">
        <v>251</v>
      </c>
      <c r="E339" s="31"/>
      <c r="F339" s="31"/>
      <c r="G339" s="36"/>
      <c r="J339" s="35"/>
      <c r="K339" s="36"/>
      <c r="M339" s="35"/>
      <c r="N339" s="36"/>
      <c r="O339" s="35"/>
      <c r="P339" s="35"/>
      <c r="Q339" s="36"/>
    </row>
    <row r="340" spans="1:17" s="34" customFormat="1">
      <c r="A340" s="114"/>
      <c r="B340" s="114"/>
      <c r="C340" s="84"/>
      <c r="D340" s="31" t="s">
        <v>252</v>
      </c>
      <c r="E340" s="31"/>
      <c r="F340" s="31"/>
      <c r="G340" s="36"/>
      <c r="J340" s="35"/>
      <c r="K340" s="36"/>
      <c r="M340" s="35"/>
      <c r="N340" s="36"/>
      <c r="O340" s="35"/>
      <c r="P340" s="35"/>
      <c r="Q340" s="36"/>
    </row>
    <row r="341" spans="1:17" s="34" customFormat="1">
      <c r="A341" s="114" t="s">
        <v>584</v>
      </c>
      <c r="B341" s="114"/>
      <c r="C341" s="84"/>
      <c r="D341" s="31" t="s">
        <v>557</v>
      </c>
      <c r="E341" s="31"/>
      <c r="F341" s="31"/>
      <c r="G341" s="36"/>
      <c r="J341" s="35">
        <v>46</v>
      </c>
      <c r="K341" s="36" t="s">
        <v>199</v>
      </c>
      <c r="M341" s="35">
        <v>17</v>
      </c>
      <c r="N341" s="36" t="s">
        <v>446</v>
      </c>
      <c r="O341" s="35"/>
      <c r="P341" s="35">
        <v>17.3</v>
      </c>
      <c r="Q341" s="36" t="s">
        <v>446</v>
      </c>
    </row>
    <row r="342" spans="1:17" s="34" customFormat="1">
      <c r="A342" s="114" t="s">
        <v>585</v>
      </c>
      <c r="B342" s="114"/>
      <c r="C342" s="84"/>
      <c r="D342" s="31" t="s">
        <v>557</v>
      </c>
      <c r="E342" s="31"/>
      <c r="F342" s="31"/>
      <c r="G342" s="36"/>
      <c r="J342" s="35">
        <v>47</v>
      </c>
      <c r="K342" s="36" t="s">
        <v>199</v>
      </c>
      <c r="M342" s="35">
        <v>17.399999999999999</v>
      </c>
      <c r="N342" s="36" t="s">
        <v>446</v>
      </c>
      <c r="O342" s="35"/>
      <c r="P342" s="35">
        <v>17.7</v>
      </c>
      <c r="Q342" s="36" t="s">
        <v>446</v>
      </c>
    </row>
    <row r="343" spans="1:17" s="34" customFormat="1">
      <c r="A343" s="114" t="s">
        <v>586</v>
      </c>
      <c r="B343" s="114"/>
      <c r="C343" s="84"/>
      <c r="D343" s="31" t="s">
        <v>557</v>
      </c>
      <c r="E343" s="31"/>
      <c r="F343" s="31"/>
      <c r="G343" s="36"/>
      <c r="J343" s="35">
        <v>47</v>
      </c>
      <c r="K343" s="36" t="s">
        <v>199</v>
      </c>
      <c r="M343" s="35">
        <v>17.399999999999999</v>
      </c>
      <c r="N343" s="36" t="s">
        <v>446</v>
      </c>
      <c r="O343" s="35"/>
      <c r="P343" s="35">
        <v>17.7</v>
      </c>
      <c r="Q343" s="36" t="s">
        <v>446</v>
      </c>
    </row>
    <row r="344" spans="1:17" s="34" customFormat="1">
      <c r="A344" s="114" t="s">
        <v>587</v>
      </c>
      <c r="B344" s="114"/>
      <c r="C344" s="84"/>
      <c r="D344" s="31" t="s">
        <v>557</v>
      </c>
      <c r="E344" s="31"/>
      <c r="F344" s="31"/>
      <c r="G344" s="36"/>
      <c r="J344" s="35">
        <v>29</v>
      </c>
      <c r="K344" s="36" t="s">
        <v>199</v>
      </c>
      <c r="M344" s="35">
        <v>10.8</v>
      </c>
      <c r="N344" s="36" t="s">
        <v>446</v>
      </c>
      <c r="O344" s="35"/>
      <c r="P344" s="35">
        <v>11.1</v>
      </c>
      <c r="Q344" s="36" t="s">
        <v>446</v>
      </c>
    </row>
    <row r="345" spans="1:17" ht="16.2">
      <c r="A345" s="20" t="s">
        <v>156</v>
      </c>
      <c r="M345" s="26"/>
      <c r="P345" s="26"/>
    </row>
    <row r="346" spans="1:17">
      <c r="A346" s="85">
        <v>52</v>
      </c>
      <c r="B346" s="13" t="s">
        <v>157</v>
      </c>
      <c r="J346" s="24">
        <f>SUM(J22:J82)+SUM(J132:J154)</f>
        <v>261023</v>
      </c>
      <c r="K346" s="13" t="s">
        <v>30</v>
      </c>
      <c r="M346" s="25">
        <f>SUM(M21:M345)</f>
        <v>3795.8200000000015</v>
      </c>
      <c r="N346" s="13" t="s">
        <v>138</v>
      </c>
      <c r="P346" s="25">
        <f>SUM(P21:P345)</f>
        <v>3888.7989999999995</v>
      </c>
      <c r="Q346" s="13" t="s">
        <v>138</v>
      </c>
    </row>
    <row r="347" spans="1:17">
      <c r="A347" s="23">
        <f>16+129</f>
        <v>145</v>
      </c>
      <c r="B347" s="13" t="s">
        <v>158</v>
      </c>
      <c r="J347" s="24">
        <f>SUM(J91:J120)+SUM(J172:J344)</f>
        <v>33725</v>
      </c>
      <c r="K347" s="13" t="s">
        <v>85</v>
      </c>
      <c r="M347" s="21" t="s">
        <v>159</v>
      </c>
      <c r="N347" s="13" t="s">
        <v>110</v>
      </c>
      <c r="P347" s="25" t="s">
        <v>159</v>
      </c>
      <c r="Q347" s="13" t="s">
        <v>110</v>
      </c>
    </row>
    <row r="348" spans="1:17">
      <c r="A348" s="23">
        <v>78</v>
      </c>
      <c r="B348" s="13" t="s">
        <v>160</v>
      </c>
      <c r="J348" s="23">
        <v>700</v>
      </c>
      <c r="K348" s="13" t="s">
        <v>259</v>
      </c>
    </row>
    <row r="349" spans="1:17">
      <c r="A349" s="21" t="s">
        <v>110</v>
      </c>
      <c r="B349" s="13" t="s">
        <v>161</v>
      </c>
      <c r="J349" s="21" t="s">
        <v>109</v>
      </c>
      <c r="K349" s="13" t="s">
        <v>110</v>
      </c>
    </row>
    <row r="350" spans="1:17">
      <c r="A350" s="21" t="s">
        <v>591</v>
      </c>
      <c r="B350" s="13" t="s">
        <v>162</v>
      </c>
    </row>
    <row r="351" spans="1:17">
      <c r="D351" s="13" t="s">
        <v>592</v>
      </c>
    </row>
    <row r="352" spans="1:17">
      <c r="D352" s="13" t="s">
        <v>163</v>
      </c>
    </row>
    <row r="353" spans="1:4">
      <c r="D353" s="13" t="s">
        <v>164</v>
      </c>
    </row>
    <row r="354" spans="1:4">
      <c r="A354" s="13" t="s">
        <v>111</v>
      </c>
    </row>
    <row r="355" spans="1:4">
      <c r="A355" s="13" t="s">
        <v>112</v>
      </c>
    </row>
    <row r="356" spans="1:4">
      <c r="A356" s="13" t="s">
        <v>113</v>
      </c>
    </row>
    <row r="357" spans="1:4">
      <c r="A357" s="13" t="s">
        <v>114</v>
      </c>
    </row>
    <row r="358" spans="1:4">
      <c r="A358" s="13" t="s">
        <v>115</v>
      </c>
    </row>
    <row r="360" spans="1:4">
      <c r="A360" s="13" t="s">
        <v>19</v>
      </c>
    </row>
    <row r="361" spans="1:4">
      <c r="A361" s="13" t="s">
        <v>116</v>
      </c>
    </row>
    <row r="362" spans="1:4">
      <c r="A362" s="13" t="s">
        <v>117</v>
      </c>
    </row>
    <row r="363" spans="1:4">
      <c r="A363" s="13" t="s">
        <v>118</v>
      </c>
    </row>
    <row r="364" spans="1:4">
      <c r="A364" s="13" t="s">
        <v>115</v>
      </c>
    </row>
    <row r="365" spans="1:4">
      <c r="A365" s="13" t="s">
        <v>119</v>
      </c>
    </row>
    <row r="367" spans="1:4">
      <c r="A367" s="13" t="s">
        <v>165</v>
      </c>
    </row>
    <row r="368" spans="1:4">
      <c r="A368" s="13" t="s">
        <v>166</v>
      </c>
    </row>
    <row r="369" spans="1:1">
      <c r="A369" s="13" t="s">
        <v>167</v>
      </c>
    </row>
    <row r="370" spans="1:1">
      <c r="A370" s="13" t="s">
        <v>115</v>
      </c>
    </row>
    <row r="371" spans="1:1">
      <c r="A371" s="13" t="s">
        <v>168</v>
      </c>
    </row>
    <row r="372" spans="1:1">
      <c r="A372" s="13" t="s">
        <v>169</v>
      </c>
    </row>
    <row r="373" spans="1:1">
      <c r="A373" s="13" t="s">
        <v>170</v>
      </c>
    </row>
    <row r="374" spans="1:1">
      <c r="A374" s="13" t="s">
        <v>171</v>
      </c>
    </row>
    <row r="375" spans="1:1">
      <c r="A375" s="13" t="s">
        <v>172</v>
      </c>
    </row>
    <row r="376" spans="1:1">
      <c r="A376" s="13" t="s">
        <v>173</v>
      </c>
    </row>
    <row r="377" spans="1:1">
      <c r="A377" s="13" t="s">
        <v>120</v>
      </c>
    </row>
    <row r="378" spans="1:1">
      <c r="A378" s="13" t="s">
        <v>121</v>
      </c>
    </row>
    <row r="380" spans="1:1">
      <c r="A380" s="31" t="s">
        <v>175</v>
      </c>
    </row>
    <row r="381" spans="1:1">
      <c r="A381" s="31" t="s">
        <v>177</v>
      </c>
    </row>
    <row r="382" spans="1:1">
      <c r="A382" s="31" t="s">
        <v>179</v>
      </c>
    </row>
    <row r="383" spans="1:1">
      <c r="A383" s="31" t="s">
        <v>181</v>
      </c>
    </row>
    <row r="384" spans="1:1">
      <c r="A384" s="31" t="s">
        <v>183</v>
      </c>
    </row>
    <row r="385" spans="1:1">
      <c r="A385" s="31" t="s">
        <v>185</v>
      </c>
    </row>
    <row r="386" spans="1:1">
      <c r="A386" s="31" t="s">
        <v>187</v>
      </c>
    </row>
    <row r="387" spans="1:1">
      <c r="A387" s="31" t="s">
        <v>189</v>
      </c>
    </row>
    <row r="388" spans="1:1">
      <c r="A388" s="31" t="s">
        <v>190</v>
      </c>
    </row>
    <row r="389" spans="1:1">
      <c r="A389" s="31" t="s">
        <v>192</v>
      </c>
    </row>
    <row r="390" spans="1:1">
      <c r="A390" s="31" t="s">
        <v>115</v>
      </c>
    </row>
  </sheetData>
  <mergeCells count="218">
    <mergeCell ref="A1:T1"/>
    <mergeCell ref="A4:T4"/>
    <mergeCell ref="A2:T2"/>
    <mergeCell ref="J3:T3"/>
    <mergeCell ref="B6:F6"/>
    <mergeCell ref="A3:I3"/>
    <mergeCell ref="N6:T6"/>
    <mergeCell ref="N7:T7"/>
    <mergeCell ref="R16:T16"/>
    <mergeCell ref="N8:T15"/>
    <mergeCell ref="I16:K16"/>
    <mergeCell ref="H14:M14"/>
    <mergeCell ref="D16:H16"/>
    <mergeCell ref="A13:D13"/>
    <mergeCell ref="E13:M13"/>
    <mergeCell ref="C12:M12"/>
    <mergeCell ref="A12:B12"/>
    <mergeCell ref="O16:Q16"/>
    <mergeCell ref="L16:N16"/>
    <mergeCell ref="C14:F14"/>
    <mergeCell ref="A16:C16"/>
    <mergeCell ref="A14:B14"/>
    <mergeCell ref="A11:C11"/>
    <mergeCell ref="D11:M11"/>
    <mergeCell ref="A7:D7"/>
    <mergeCell ref="E7:M7"/>
    <mergeCell ref="A8:E8"/>
    <mergeCell ref="F8:M8"/>
    <mergeCell ref="A9:M10"/>
    <mergeCell ref="A161:B161"/>
    <mergeCell ref="A162:B162"/>
    <mergeCell ref="A163:B163"/>
    <mergeCell ref="A164:B164"/>
    <mergeCell ref="A165:B165"/>
    <mergeCell ref="A156:B156"/>
    <mergeCell ref="A157:B157"/>
    <mergeCell ref="A158:B158"/>
    <mergeCell ref="A159:B159"/>
    <mergeCell ref="A160:B160"/>
    <mergeCell ref="A171:B171"/>
    <mergeCell ref="A172:B172"/>
    <mergeCell ref="A173:B173"/>
    <mergeCell ref="A174:B174"/>
    <mergeCell ref="A175:B175"/>
    <mergeCell ref="A166:B166"/>
    <mergeCell ref="A167:B167"/>
    <mergeCell ref="A168:B168"/>
    <mergeCell ref="A169:B169"/>
    <mergeCell ref="A170:B170"/>
    <mergeCell ref="A181:B181"/>
    <mergeCell ref="A182:B182"/>
    <mergeCell ref="A183:B183"/>
    <mergeCell ref="A184:B184"/>
    <mergeCell ref="A185:B185"/>
    <mergeCell ref="A176:B176"/>
    <mergeCell ref="A177:B177"/>
    <mergeCell ref="A178:B178"/>
    <mergeCell ref="A179:B179"/>
    <mergeCell ref="A180:B180"/>
    <mergeCell ref="A191:B191"/>
    <mergeCell ref="A192:B192"/>
    <mergeCell ref="A193:B193"/>
    <mergeCell ref="A194:B194"/>
    <mergeCell ref="A195:B195"/>
    <mergeCell ref="A186:B186"/>
    <mergeCell ref="A187:B187"/>
    <mergeCell ref="A188:B188"/>
    <mergeCell ref="A189:B189"/>
    <mergeCell ref="A190:B190"/>
    <mergeCell ref="A201:B201"/>
    <mergeCell ref="A202:B202"/>
    <mergeCell ref="A203:B203"/>
    <mergeCell ref="A204:B204"/>
    <mergeCell ref="A205:B205"/>
    <mergeCell ref="A196:B196"/>
    <mergeCell ref="A197:B197"/>
    <mergeCell ref="A198:B198"/>
    <mergeCell ref="A199:B199"/>
    <mergeCell ref="A200:B200"/>
    <mergeCell ref="A211:B211"/>
    <mergeCell ref="A212:B212"/>
    <mergeCell ref="A213:B213"/>
    <mergeCell ref="A214:B214"/>
    <mergeCell ref="A215:B215"/>
    <mergeCell ref="A206:B206"/>
    <mergeCell ref="A207:B207"/>
    <mergeCell ref="A208:B208"/>
    <mergeCell ref="A209:B209"/>
    <mergeCell ref="A210:B210"/>
    <mergeCell ref="A221:B221"/>
    <mergeCell ref="A222:B222"/>
    <mergeCell ref="A223:B223"/>
    <mergeCell ref="A224:B224"/>
    <mergeCell ref="A225:B225"/>
    <mergeCell ref="A216:B216"/>
    <mergeCell ref="A217:B217"/>
    <mergeCell ref="A218:B218"/>
    <mergeCell ref="A219:B219"/>
    <mergeCell ref="A220:B220"/>
    <mergeCell ref="A231:B231"/>
    <mergeCell ref="A232:B232"/>
    <mergeCell ref="A233:B233"/>
    <mergeCell ref="A234:B234"/>
    <mergeCell ref="A235:B235"/>
    <mergeCell ref="A226:B226"/>
    <mergeCell ref="A227:B227"/>
    <mergeCell ref="A228:B228"/>
    <mergeCell ref="A229:B229"/>
    <mergeCell ref="A230:B230"/>
    <mergeCell ref="A241:B241"/>
    <mergeCell ref="A242:B242"/>
    <mergeCell ref="A243:B243"/>
    <mergeCell ref="A244:B244"/>
    <mergeCell ref="A245:B245"/>
    <mergeCell ref="A236:B236"/>
    <mergeCell ref="A237:B237"/>
    <mergeCell ref="A238:B238"/>
    <mergeCell ref="A239:B239"/>
    <mergeCell ref="A240:B240"/>
    <mergeCell ref="A251:B251"/>
    <mergeCell ref="A252:B252"/>
    <mergeCell ref="A253:B253"/>
    <mergeCell ref="A254:B254"/>
    <mergeCell ref="A255:B255"/>
    <mergeCell ref="A246:B246"/>
    <mergeCell ref="A247:B247"/>
    <mergeCell ref="A248:B248"/>
    <mergeCell ref="A249:B249"/>
    <mergeCell ref="A250:B250"/>
    <mergeCell ref="A261:B261"/>
    <mergeCell ref="A262:B262"/>
    <mergeCell ref="A263:B263"/>
    <mergeCell ref="A264:B264"/>
    <mergeCell ref="A265:B265"/>
    <mergeCell ref="A256:B256"/>
    <mergeCell ref="A257:B257"/>
    <mergeCell ref="A258:B258"/>
    <mergeCell ref="A259:B259"/>
    <mergeCell ref="A260:B260"/>
    <mergeCell ref="A271:B271"/>
    <mergeCell ref="A272:B272"/>
    <mergeCell ref="A273:B273"/>
    <mergeCell ref="A274:B274"/>
    <mergeCell ref="A275:B275"/>
    <mergeCell ref="A266:B266"/>
    <mergeCell ref="A267:B267"/>
    <mergeCell ref="A268:B268"/>
    <mergeCell ref="A269:B269"/>
    <mergeCell ref="A270:B270"/>
    <mergeCell ref="A281:B281"/>
    <mergeCell ref="A282:B282"/>
    <mergeCell ref="A283:B283"/>
    <mergeCell ref="A284:B284"/>
    <mergeCell ref="A285:B285"/>
    <mergeCell ref="A276:B276"/>
    <mergeCell ref="A277:B277"/>
    <mergeCell ref="A278:B278"/>
    <mergeCell ref="A279:B279"/>
    <mergeCell ref="A280:B280"/>
    <mergeCell ref="A291:B291"/>
    <mergeCell ref="A292:B292"/>
    <mergeCell ref="A293:B293"/>
    <mergeCell ref="A294:B294"/>
    <mergeCell ref="A295:B295"/>
    <mergeCell ref="A286:B286"/>
    <mergeCell ref="A287:B287"/>
    <mergeCell ref="A288:B288"/>
    <mergeCell ref="A289:B289"/>
    <mergeCell ref="A290:B290"/>
    <mergeCell ref="A301:B301"/>
    <mergeCell ref="A302:B302"/>
    <mergeCell ref="A303:B303"/>
    <mergeCell ref="A304:B304"/>
    <mergeCell ref="A305:B305"/>
    <mergeCell ref="A296:B296"/>
    <mergeCell ref="A297:B297"/>
    <mergeCell ref="A298:B298"/>
    <mergeCell ref="A299:B299"/>
    <mergeCell ref="A300:B300"/>
    <mergeCell ref="A311:B311"/>
    <mergeCell ref="A312:B312"/>
    <mergeCell ref="A313:B313"/>
    <mergeCell ref="A314:B314"/>
    <mergeCell ref="A315:B315"/>
    <mergeCell ref="A306:B306"/>
    <mergeCell ref="A307:B307"/>
    <mergeCell ref="A308:B308"/>
    <mergeCell ref="A309:B309"/>
    <mergeCell ref="A310:B310"/>
    <mergeCell ref="A321:B321"/>
    <mergeCell ref="A322:B322"/>
    <mergeCell ref="A323:B323"/>
    <mergeCell ref="A324:B324"/>
    <mergeCell ref="A325:B325"/>
    <mergeCell ref="A316:B316"/>
    <mergeCell ref="A317:B317"/>
    <mergeCell ref="A318:B318"/>
    <mergeCell ref="A319:B319"/>
    <mergeCell ref="A320:B320"/>
    <mergeCell ref="A331:B331"/>
    <mergeCell ref="A332:B332"/>
    <mergeCell ref="A333:B333"/>
    <mergeCell ref="A334:B334"/>
    <mergeCell ref="A335:B335"/>
    <mergeCell ref="A326:B326"/>
    <mergeCell ref="A327:B327"/>
    <mergeCell ref="A328:B328"/>
    <mergeCell ref="A329:B329"/>
    <mergeCell ref="A330:B330"/>
    <mergeCell ref="A341:B341"/>
    <mergeCell ref="A342:B342"/>
    <mergeCell ref="A343:B343"/>
    <mergeCell ref="A344:B344"/>
    <mergeCell ref="A336:B336"/>
    <mergeCell ref="A337:B337"/>
    <mergeCell ref="A338:B338"/>
    <mergeCell ref="A339:B339"/>
    <mergeCell ref="A340:B340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3D7F-E18A-4870-BD33-480A6DEE6D50}">
  <sheetPr>
    <pageSetUpPr autoPageBreaks="0"/>
  </sheetPr>
  <dimension ref="A1:M19"/>
  <sheetViews>
    <sheetView topLeftCell="D1" workbookViewId="0">
      <selection activeCell="K3" sqref="K3"/>
    </sheetView>
  </sheetViews>
  <sheetFormatPr defaultColWidth="9.109375" defaultRowHeight="16.5" customHeight="1"/>
  <cols>
    <col min="1" max="1" width="15" style="57" customWidth="1"/>
    <col min="2" max="3" width="16.33203125" style="57" customWidth="1"/>
    <col min="4" max="4" width="31.6640625" style="57" bestFit="1" customWidth="1"/>
    <col min="5" max="6" width="13.44140625" style="57" customWidth="1"/>
    <col min="7" max="7" width="24" style="57" bestFit="1" customWidth="1"/>
    <col min="8" max="8" width="15" style="57" bestFit="1" customWidth="1"/>
    <col min="9" max="10" width="12.44140625" style="57" customWidth="1"/>
    <col min="11" max="11" width="12.44140625" style="62" customWidth="1"/>
    <col min="12" max="12" width="17.109375" style="57" bestFit="1" customWidth="1"/>
    <col min="13" max="13" width="19.44140625" style="57" bestFit="1" customWidth="1"/>
    <col min="14" max="256" width="9.109375" style="57"/>
    <col min="257" max="257" width="15" style="57" customWidth="1"/>
    <col min="258" max="259" width="16.33203125" style="57" customWidth="1"/>
    <col min="260" max="260" width="31.6640625" style="57" bestFit="1" customWidth="1"/>
    <col min="261" max="262" width="13.44140625" style="57" customWidth="1"/>
    <col min="263" max="263" width="24" style="57" bestFit="1" customWidth="1"/>
    <col min="264" max="264" width="15" style="57" bestFit="1" customWidth="1"/>
    <col min="265" max="267" width="12.44140625" style="57" customWidth="1"/>
    <col min="268" max="268" width="17.109375" style="57" bestFit="1" customWidth="1"/>
    <col min="269" max="269" width="19.44140625" style="57" bestFit="1" customWidth="1"/>
    <col min="270" max="512" width="9.109375" style="57"/>
    <col min="513" max="513" width="15" style="57" customWidth="1"/>
    <col min="514" max="515" width="16.33203125" style="57" customWidth="1"/>
    <col min="516" max="516" width="31.6640625" style="57" bestFit="1" customWidth="1"/>
    <col min="517" max="518" width="13.44140625" style="57" customWidth="1"/>
    <col min="519" max="519" width="24" style="57" bestFit="1" customWidth="1"/>
    <col min="520" max="520" width="15" style="57" bestFit="1" customWidth="1"/>
    <col min="521" max="523" width="12.44140625" style="57" customWidth="1"/>
    <col min="524" max="524" width="17.109375" style="57" bestFit="1" customWidth="1"/>
    <col min="525" max="525" width="19.44140625" style="57" bestFit="1" customWidth="1"/>
    <col min="526" max="768" width="9.109375" style="57"/>
    <col min="769" max="769" width="15" style="57" customWidth="1"/>
    <col min="770" max="771" width="16.33203125" style="57" customWidth="1"/>
    <col min="772" max="772" width="31.6640625" style="57" bestFit="1" customWidth="1"/>
    <col min="773" max="774" width="13.44140625" style="57" customWidth="1"/>
    <col min="775" max="775" width="24" style="57" bestFit="1" customWidth="1"/>
    <col min="776" max="776" width="15" style="57" bestFit="1" customWidth="1"/>
    <col min="777" max="779" width="12.44140625" style="57" customWidth="1"/>
    <col min="780" max="780" width="17.109375" style="57" bestFit="1" customWidth="1"/>
    <col min="781" max="781" width="19.44140625" style="57" bestFit="1" customWidth="1"/>
    <col min="782" max="1024" width="9.109375" style="57"/>
    <col min="1025" max="1025" width="15" style="57" customWidth="1"/>
    <col min="1026" max="1027" width="16.33203125" style="57" customWidth="1"/>
    <col min="1028" max="1028" width="31.6640625" style="57" bestFit="1" customWidth="1"/>
    <col min="1029" max="1030" width="13.44140625" style="57" customWidth="1"/>
    <col min="1031" max="1031" width="24" style="57" bestFit="1" customWidth="1"/>
    <col min="1032" max="1032" width="15" style="57" bestFit="1" customWidth="1"/>
    <col min="1033" max="1035" width="12.44140625" style="57" customWidth="1"/>
    <col min="1036" max="1036" width="17.109375" style="57" bestFit="1" customWidth="1"/>
    <col min="1037" max="1037" width="19.44140625" style="57" bestFit="1" customWidth="1"/>
    <col min="1038" max="1280" width="9.109375" style="57"/>
    <col min="1281" max="1281" width="15" style="57" customWidth="1"/>
    <col min="1282" max="1283" width="16.33203125" style="57" customWidth="1"/>
    <col min="1284" max="1284" width="31.6640625" style="57" bestFit="1" customWidth="1"/>
    <col min="1285" max="1286" width="13.44140625" style="57" customWidth="1"/>
    <col min="1287" max="1287" width="24" style="57" bestFit="1" customWidth="1"/>
    <col min="1288" max="1288" width="15" style="57" bestFit="1" customWidth="1"/>
    <col min="1289" max="1291" width="12.44140625" style="57" customWidth="1"/>
    <col min="1292" max="1292" width="17.109375" style="57" bestFit="1" customWidth="1"/>
    <col min="1293" max="1293" width="19.44140625" style="57" bestFit="1" customWidth="1"/>
    <col min="1294" max="1536" width="9.109375" style="57"/>
    <col min="1537" max="1537" width="15" style="57" customWidth="1"/>
    <col min="1538" max="1539" width="16.33203125" style="57" customWidth="1"/>
    <col min="1540" max="1540" width="31.6640625" style="57" bestFit="1" customWidth="1"/>
    <col min="1541" max="1542" width="13.44140625" style="57" customWidth="1"/>
    <col min="1543" max="1543" width="24" style="57" bestFit="1" customWidth="1"/>
    <col min="1544" max="1544" width="15" style="57" bestFit="1" customWidth="1"/>
    <col min="1545" max="1547" width="12.44140625" style="57" customWidth="1"/>
    <col min="1548" max="1548" width="17.109375" style="57" bestFit="1" customWidth="1"/>
    <col min="1549" max="1549" width="19.44140625" style="57" bestFit="1" customWidth="1"/>
    <col min="1550" max="1792" width="9.109375" style="57"/>
    <col min="1793" max="1793" width="15" style="57" customWidth="1"/>
    <col min="1794" max="1795" width="16.33203125" style="57" customWidth="1"/>
    <col min="1796" max="1796" width="31.6640625" style="57" bestFit="1" customWidth="1"/>
    <col min="1797" max="1798" width="13.44140625" style="57" customWidth="1"/>
    <col min="1799" max="1799" width="24" style="57" bestFit="1" customWidth="1"/>
    <col min="1800" max="1800" width="15" style="57" bestFit="1" customWidth="1"/>
    <col min="1801" max="1803" width="12.44140625" style="57" customWidth="1"/>
    <col min="1804" max="1804" width="17.109375" style="57" bestFit="1" customWidth="1"/>
    <col min="1805" max="1805" width="19.44140625" style="57" bestFit="1" customWidth="1"/>
    <col min="1806" max="2048" width="9.109375" style="57"/>
    <col min="2049" max="2049" width="15" style="57" customWidth="1"/>
    <col min="2050" max="2051" width="16.33203125" style="57" customWidth="1"/>
    <col min="2052" max="2052" width="31.6640625" style="57" bestFit="1" customWidth="1"/>
    <col min="2053" max="2054" width="13.44140625" style="57" customWidth="1"/>
    <col min="2055" max="2055" width="24" style="57" bestFit="1" customWidth="1"/>
    <col min="2056" max="2056" width="15" style="57" bestFit="1" customWidth="1"/>
    <col min="2057" max="2059" width="12.44140625" style="57" customWidth="1"/>
    <col min="2060" max="2060" width="17.109375" style="57" bestFit="1" customWidth="1"/>
    <col min="2061" max="2061" width="19.44140625" style="57" bestFit="1" customWidth="1"/>
    <col min="2062" max="2304" width="9.109375" style="57"/>
    <col min="2305" max="2305" width="15" style="57" customWidth="1"/>
    <col min="2306" max="2307" width="16.33203125" style="57" customWidth="1"/>
    <col min="2308" max="2308" width="31.6640625" style="57" bestFit="1" customWidth="1"/>
    <col min="2309" max="2310" width="13.44140625" style="57" customWidth="1"/>
    <col min="2311" max="2311" width="24" style="57" bestFit="1" customWidth="1"/>
    <col min="2312" max="2312" width="15" style="57" bestFit="1" customWidth="1"/>
    <col min="2313" max="2315" width="12.44140625" style="57" customWidth="1"/>
    <col min="2316" max="2316" width="17.109375" style="57" bestFit="1" customWidth="1"/>
    <col min="2317" max="2317" width="19.44140625" style="57" bestFit="1" customWidth="1"/>
    <col min="2318" max="2560" width="9.109375" style="57"/>
    <col min="2561" max="2561" width="15" style="57" customWidth="1"/>
    <col min="2562" max="2563" width="16.33203125" style="57" customWidth="1"/>
    <col min="2564" max="2564" width="31.6640625" style="57" bestFit="1" customWidth="1"/>
    <col min="2565" max="2566" width="13.44140625" style="57" customWidth="1"/>
    <col min="2567" max="2567" width="24" style="57" bestFit="1" customWidth="1"/>
    <col min="2568" max="2568" width="15" style="57" bestFit="1" customWidth="1"/>
    <col min="2569" max="2571" width="12.44140625" style="57" customWidth="1"/>
    <col min="2572" max="2572" width="17.109375" style="57" bestFit="1" customWidth="1"/>
    <col min="2573" max="2573" width="19.44140625" style="57" bestFit="1" customWidth="1"/>
    <col min="2574" max="2816" width="9.109375" style="57"/>
    <col min="2817" max="2817" width="15" style="57" customWidth="1"/>
    <col min="2818" max="2819" width="16.33203125" style="57" customWidth="1"/>
    <col min="2820" max="2820" width="31.6640625" style="57" bestFit="1" customWidth="1"/>
    <col min="2821" max="2822" width="13.44140625" style="57" customWidth="1"/>
    <col min="2823" max="2823" width="24" style="57" bestFit="1" customWidth="1"/>
    <col min="2824" max="2824" width="15" style="57" bestFit="1" customWidth="1"/>
    <col min="2825" max="2827" width="12.44140625" style="57" customWidth="1"/>
    <col min="2828" max="2828" width="17.109375" style="57" bestFit="1" customWidth="1"/>
    <col min="2829" max="2829" width="19.44140625" style="57" bestFit="1" customWidth="1"/>
    <col min="2830" max="3072" width="9.109375" style="57"/>
    <col min="3073" max="3073" width="15" style="57" customWidth="1"/>
    <col min="3074" max="3075" width="16.33203125" style="57" customWidth="1"/>
    <col min="3076" max="3076" width="31.6640625" style="57" bestFit="1" customWidth="1"/>
    <col min="3077" max="3078" width="13.44140625" style="57" customWidth="1"/>
    <col min="3079" max="3079" width="24" style="57" bestFit="1" customWidth="1"/>
    <col min="3080" max="3080" width="15" style="57" bestFit="1" customWidth="1"/>
    <col min="3081" max="3083" width="12.44140625" style="57" customWidth="1"/>
    <col min="3084" max="3084" width="17.109375" style="57" bestFit="1" customWidth="1"/>
    <col min="3085" max="3085" width="19.44140625" style="57" bestFit="1" customWidth="1"/>
    <col min="3086" max="3328" width="9.109375" style="57"/>
    <col min="3329" max="3329" width="15" style="57" customWidth="1"/>
    <col min="3330" max="3331" width="16.33203125" style="57" customWidth="1"/>
    <col min="3332" max="3332" width="31.6640625" style="57" bestFit="1" customWidth="1"/>
    <col min="3333" max="3334" width="13.44140625" style="57" customWidth="1"/>
    <col min="3335" max="3335" width="24" style="57" bestFit="1" customWidth="1"/>
    <col min="3336" max="3336" width="15" style="57" bestFit="1" customWidth="1"/>
    <col min="3337" max="3339" width="12.44140625" style="57" customWidth="1"/>
    <col min="3340" max="3340" width="17.109375" style="57" bestFit="1" customWidth="1"/>
    <col min="3341" max="3341" width="19.44140625" style="57" bestFit="1" customWidth="1"/>
    <col min="3342" max="3584" width="9.109375" style="57"/>
    <col min="3585" max="3585" width="15" style="57" customWidth="1"/>
    <col min="3586" max="3587" width="16.33203125" style="57" customWidth="1"/>
    <col min="3588" max="3588" width="31.6640625" style="57" bestFit="1" customWidth="1"/>
    <col min="3589" max="3590" width="13.44140625" style="57" customWidth="1"/>
    <col min="3591" max="3591" width="24" style="57" bestFit="1" customWidth="1"/>
    <col min="3592" max="3592" width="15" style="57" bestFit="1" customWidth="1"/>
    <col min="3593" max="3595" width="12.44140625" style="57" customWidth="1"/>
    <col min="3596" max="3596" width="17.109375" style="57" bestFit="1" customWidth="1"/>
    <col min="3597" max="3597" width="19.44140625" style="57" bestFit="1" customWidth="1"/>
    <col min="3598" max="3840" width="9.109375" style="57"/>
    <col min="3841" max="3841" width="15" style="57" customWidth="1"/>
    <col min="3842" max="3843" width="16.33203125" style="57" customWidth="1"/>
    <col min="3844" max="3844" width="31.6640625" style="57" bestFit="1" customWidth="1"/>
    <col min="3845" max="3846" width="13.44140625" style="57" customWidth="1"/>
    <col min="3847" max="3847" width="24" style="57" bestFit="1" customWidth="1"/>
    <col min="3848" max="3848" width="15" style="57" bestFit="1" customWidth="1"/>
    <col min="3849" max="3851" width="12.44140625" style="57" customWidth="1"/>
    <col min="3852" max="3852" width="17.109375" style="57" bestFit="1" customWidth="1"/>
    <col min="3853" max="3853" width="19.44140625" style="57" bestFit="1" customWidth="1"/>
    <col min="3854" max="4096" width="9.109375" style="57"/>
    <col min="4097" max="4097" width="15" style="57" customWidth="1"/>
    <col min="4098" max="4099" width="16.33203125" style="57" customWidth="1"/>
    <col min="4100" max="4100" width="31.6640625" style="57" bestFit="1" customWidth="1"/>
    <col min="4101" max="4102" width="13.44140625" style="57" customWidth="1"/>
    <col min="4103" max="4103" width="24" style="57" bestFit="1" customWidth="1"/>
    <col min="4104" max="4104" width="15" style="57" bestFit="1" customWidth="1"/>
    <col min="4105" max="4107" width="12.44140625" style="57" customWidth="1"/>
    <col min="4108" max="4108" width="17.109375" style="57" bestFit="1" customWidth="1"/>
    <col min="4109" max="4109" width="19.44140625" style="57" bestFit="1" customWidth="1"/>
    <col min="4110" max="4352" width="9.109375" style="57"/>
    <col min="4353" max="4353" width="15" style="57" customWidth="1"/>
    <col min="4354" max="4355" width="16.33203125" style="57" customWidth="1"/>
    <col min="4356" max="4356" width="31.6640625" style="57" bestFit="1" customWidth="1"/>
    <col min="4357" max="4358" width="13.44140625" style="57" customWidth="1"/>
    <col min="4359" max="4359" width="24" style="57" bestFit="1" customWidth="1"/>
    <col min="4360" max="4360" width="15" style="57" bestFit="1" customWidth="1"/>
    <col min="4361" max="4363" width="12.44140625" style="57" customWidth="1"/>
    <col min="4364" max="4364" width="17.109375" style="57" bestFit="1" customWidth="1"/>
    <col min="4365" max="4365" width="19.44140625" style="57" bestFit="1" customWidth="1"/>
    <col min="4366" max="4608" width="9.109375" style="57"/>
    <col min="4609" max="4609" width="15" style="57" customWidth="1"/>
    <col min="4610" max="4611" width="16.33203125" style="57" customWidth="1"/>
    <col min="4612" max="4612" width="31.6640625" style="57" bestFit="1" customWidth="1"/>
    <col min="4613" max="4614" width="13.44140625" style="57" customWidth="1"/>
    <col min="4615" max="4615" width="24" style="57" bestFit="1" customWidth="1"/>
    <col min="4616" max="4616" width="15" style="57" bestFit="1" customWidth="1"/>
    <col min="4617" max="4619" width="12.44140625" style="57" customWidth="1"/>
    <col min="4620" max="4620" width="17.109375" style="57" bestFit="1" customWidth="1"/>
    <col min="4621" max="4621" width="19.44140625" style="57" bestFit="1" customWidth="1"/>
    <col min="4622" max="4864" width="9.109375" style="57"/>
    <col min="4865" max="4865" width="15" style="57" customWidth="1"/>
    <col min="4866" max="4867" width="16.33203125" style="57" customWidth="1"/>
    <col min="4868" max="4868" width="31.6640625" style="57" bestFit="1" customWidth="1"/>
    <col min="4869" max="4870" width="13.44140625" style="57" customWidth="1"/>
    <col min="4871" max="4871" width="24" style="57" bestFit="1" customWidth="1"/>
    <col min="4872" max="4872" width="15" style="57" bestFit="1" customWidth="1"/>
    <col min="4873" max="4875" width="12.44140625" style="57" customWidth="1"/>
    <col min="4876" max="4876" width="17.109375" style="57" bestFit="1" customWidth="1"/>
    <col min="4877" max="4877" width="19.44140625" style="57" bestFit="1" customWidth="1"/>
    <col min="4878" max="5120" width="9.109375" style="57"/>
    <col min="5121" max="5121" width="15" style="57" customWidth="1"/>
    <col min="5122" max="5123" width="16.33203125" style="57" customWidth="1"/>
    <col min="5124" max="5124" width="31.6640625" style="57" bestFit="1" customWidth="1"/>
    <col min="5125" max="5126" width="13.44140625" style="57" customWidth="1"/>
    <col min="5127" max="5127" width="24" style="57" bestFit="1" customWidth="1"/>
    <col min="5128" max="5128" width="15" style="57" bestFit="1" customWidth="1"/>
    <col min="5129" max="5131" width="12.44140625" style="57" customWidth="1"/>
    <col min="5132" max="5132" width="17.109375" style="57" bestFit="1" customWidth="1"/>
    <col min="5133" max="5133" width="19.44140625" style="57" bestFit="1" customWidth="1"/>
    <col min="5134" max="5376" width="9.109375" style="57"/>
    <col min="5377" max="5377" width="15" style="57" customWidth="1"/>
    <col min="5378" max="5379" width="16.33203125" style="57" customWidth="1"/>
    <col min="5380" max="5380" width="31.6640625" style="57" bestFit="1" customWidth="1"/>
    <col min="5381" max="5382" width="13.44140625" style="57" customWidth="1"/>
    <col min="5383" max="5383" width="24" style="57" bestFit="1" customWidth="1"/>
    <col min="5384" max="5384" width="15" style="57" bestFit="1" customWidth="1"/>
    <col min="5385" max="5387" width="12.44140625" style="57" customWidth="1"/>
    <col min="5388" max="5388" width="17.109375" style="57" bestFit="1" customWidth="1"/>
    <col min="5389" max="5389" width="19.44140625" style="57" bestFit="1" customWidth="1"/>
    <col min="5390" max="5632" width="9.109375" style="57"/>
    <col min="5633" max="5633" width="15" style="57" customWidth="1"/>
    <col min="5634" max="5635" width="16.33203125" style="57" customWidth="1"/>
    <col min="5636" max="5636" width="31.6640625" style="57" bestFit="1" customWidth="1"/>
    <col min="5637" max="5638" width="13.44140625" style="57" customWidth="1"/>
    <col min="5639" max="5639" width="24" style="57" bestFit="1" customWidth="1"/>
    <col min="5640" max="5640" width="15" style="57" bestFit="1" customWidth="1"/>
    <col min="5641" max="5643" width="12.44140625" style="57" customWidth="1"/>
    <col min="5644" max="5644" width="17.109375" style="57" bestFit="1" customWidth="1"/>
    <col min="5645" max="5645" width="19.44140625" style="57" bestFit="1" customWidth="1"/>
    <col min="5646" max="5888" width="9.109375" style="57"/>
    <col min="5889" max="5889" width="15" style="57" customWidth="1"/>
    <col min="5890" max="5891" width="16.33203125" style="57" customWidth="1"/>
    <col min="5892" max="5892" width="31.6640625" style="57" bestFit="1" customWidth="1"/>
    <col min="5893" max="5894" width="13.44140625" style="57" customWidth="1"/>
    <col min="5895" max="5895" width="24" style="57" bestFit="1" customWidth="1"/>
    <col min="5896" max="5896" width="15" style="57" bestFit="1" customWidth="1"/>
    <col min="5897" max="5899" width="12.44140625" style="57" customWidth="1"/>
    <col min="5900" max="5900" width="17.109375" style="57" bestFit="1" customWidth="1"/>
    <col min="5901" max="5901" width="19.44140625" style="57" bestFit="1" customWidth="1"/>
    <col min="5902" max="6144" width="9.109375" style="57"/>
    <col min="6145" max="6145" width="15" style="57" customWidth="1"/>
    <col min="6146" max="6147" width="16.33203125" style="57" customWidth="1"/>
    <col min="6148" max="6148" width="31.6640625" style="57" bestFit="1" customWidth="1"/>
    <col min="6149" max="6150" width="13.44140625" style="57" customWidth="1"/>
    <col min="6151" max="6151" width="24" style="57" bestFit="1" customWidth="1"/>
    <col min="6152" max="6152" width="15" style="57" bestFit="1" customWidth="1"/>
    <col min="6153" max="6155" width="12.44140625" style="57" customWidth="1"/>
    <col min="6156" max="6156" width="17.109375" style="57" bestFit="1" customWidth="1"/>
    <col min="6157" max="6157" width="19.44140625" style="57" bestFit="1" customWidth="1"/>
    <col min="6158" max="6400" width="9.109375" style="57"/>
    <col min="6401" max="6401" width="15" style="57" customWidth="1"/>
    <col min="6402" max="6403" width="16.33203125" style="57" customWidth="1"/>
    <col min="6404" max="6404" width="31.6640625" style="57" bestFit="1" customWidth="1"/>
    <col min="6405" max="6406" width="13.44140625" style="57" customWidth="1"/>
    <col min="6407" max="6407" width="24" style="57" bestFit="1" customWidth="1"/>
    <col min="6408" max="6408" width="15" style="57" bestFit="1" customWidth="1"/>
    <col min="6409" max="6411" width="12.44140625" style="57" customWidth="1"/>
    <col min="6412" max="6412" width="17.109375" style="57" bestFit="1" customWidth="1"/>
    <col min="6413" max="6413" width="19.44140625" style="57" bestFit="1" customWidth="1"/>
    <col min="6414" max="6656" width="9.109375" style="57"/>
    <col min="6657" max="6657" width="15" style="57" customWidth="1"/>
    <col min="6658" max="6659" width="16.33203125" style="57" customWidth="1"/>
    <col min="6660" max="6660" width="31.6640625" style="57" bestFit="1" customWidth="1"/>
    <col min="6661" max="6662" width="13.44140625" style="57" customWidth="1"/>
    <col min="6663" max="6663" width="24" style="57" bestFit="1" customWidth="1"/>
    <col min="6664" max="6664" width="15" style="57" bestFit="1" customWidth="1"/>
    <col min="6665" max="6667" width="12.44140625" style="57" customWidth="1"/>
    <col min="6668" max="6668" width="17.109375" style="57" bestFit="1" customWidth="1"/>
    <col min="6669" max="6669" width="19.44140625" style="57" bestFit="1" customWidth="1"/>
    <col min="6670" max="6912" width="9.109375" style="57"/>
    <col min="6913" max="6913" width="15" style="57" customWidth="1"/>
    <col min="6914" max="6915" width="16.33203125" style="57" customWidth="1"/>
    <col min="6916" max="6916" width="31.6640625" style="57" bestFit="1" customWidth="1"/>
    <col min="6917" max="6918" width="13.44140625" style="57" customWidth="1"/>
    <col min="6919" max="6919" width="24" style="57" bestFit="1" customWidth="1"/>
    <col min="6920" max="6920" width="15" style="57" bestFit="1" customWidth="1"/>
    <col min="6921" max="6923" width="12.44140625" style="57" customWidth="1"/>
    <col min="6924" max="6924" width="17.109375" style="57" bestFit="1" customWidth="1"/>
    <col min="6925" max="6925" width="19.44140625" style="57" bestFit="1" customWidth="1"/>
    <col min="6926" max="7168" width="9.109375" style="57"/>
    <col min="7169" max="7169" width="15" style="57" customWidth="1"/>
    <col min="7170" max="7171" width="16.33203125" style="57" customWidth="1"/>
    <col min="7172" max="7172" width="31.6640625" style="57" bestFit="1" customWidth="1"/>
    <col min="7173" max="7174" width="13.44140625" style="57" customWidth="1"/>
    <col min="7175" max="7175" width="24" style="57" bestFit="1" customWidth="1"/>
    <col min="7176" max="7176" width="15" style="57" bestFit="1" customWidth="1"/>
    <col min="7177" max="7179" width="12.44140625" style="57" customWidth="1"/>
    <col min="7180" max="7180" width="17.109375" style="57" bestFit="1" customWidth="1"/>
    <col min="7181" max="7181" width="19.44140625" style="57" bestFit="1" customWidth="1"/>
    <col min="7182" max="7424" width="9.109375" style="57"/>
    <col min="7425" max="7425" width="15" style="57" customWidth="1"/>
    <col min="7426" max="7427" width="16.33203125" style="57" customWidth="1"/>
    <col min="7428" max="7428" width="31.6640625" style="57" bestFit="1" customWidth="1"/>
    <col min="7429" max="7430" width="13.44140625" style="57" customWidth="1"/>
    <col min="7431" max="7431" width="24" style="57" bestFit="1" customWidth="1"/>
    <col min="7432" max="7432" width="15" style="57" bestFit="1" customWidth="1"/>
    <col min="7433" max="7435" width="12.44140625" style="57" customWidth="1"/>
    <col min="7436" max="7436" width="17.109375" style="57" bestFit="1" customWidth="1"/>
    <col min="7437" max="7437" width="19.44140625" style="57" bestFit="1" customWidth="1"/>
    <col min="7438" max="7680" width="9.109375" style="57"/>
    <col min="7681" max="7681" width="15" style="57" customWidth="1"/>
    <col min="7682" max="7683" width="16.33203125" style="57" customWidth="1"/>
    <col min="7684" max="7684" width="31.6640625" style="57" bestFit="1" customWidth="1"/>
    <col min="7685" max="7686" width="13.44140625" style="57" customWidth="1"/>
    <col min="7687" max="7687" width="24" style="57" bestFit="1" customWidth="1"/>
    <col min="7688" max="7688" width="15" style="57" bestFit="1" customWidth="1"/>
    <col min="7689" max="7691" width="12.44140625" style="57" customWidth="1"/>
    <col min="7692" max="7692" width="17.109375" style="57" bestFit="1" customWidth="1"/>
    <col min="7693" max="7693" width="19.44140625" style="57" bestFit="1" customWidth="1"/>
    <col min="7694" max="7936" width="9.109375" style="57"/>
    <col min="7937" max="7937" width="15" style="57" customWidth="1"/>
    <col min="7938" max="7939" width="16.33203125" style="57" customWidth="1"/>
    <col min="7940" max="7940" width="31.6640625" style="57" bestFit="1" customWidth="1"/>
    <col min="7941" max="7942" width="13.44140625" style="57" customWidth="1"/>
    <col min="7943" max="7943" width="24" style="57" bestFit="1" customWidth="1"/>
    <col min="7944" max="7944" width="15" style="57" bestFit="1" customWidth="1"/>
    <col min="7945" max="7947" width="12.44140625" style="57" customWidth="1"/>
    <col min="7948" max="7948" width="17.109375" style="57" bestFit="1" customWidth="1"/>
    <col min="7949" max="7949" width="19.44140625" style="57" bestFit="1" customWidth="1"/>
    <col min="7950" max="8192" width="9.109375" style="57"/>
    <col min="8193" max="8193" width="15" style="57" customWidth="1"/>
    <col min="8194" max="8195" width="16.33203125" style="57" customWidth="1"/>
    <col min="8196" max="8196" width="31.6640625" style="57" bestFit="1" customWidth="1"/>
    <col min="8197" max="8198" width="13.44140625" style="57" customWidth="1"/>
    <col min="8199" max="8199" width="24" style="57" bestFit="1" customWidth="1"/>
    <col min="8200" max="8200" width="15" style="57" bestFit="1" customWidth="1"/>
    <col min="8201" max="8203" width="12.44140625" style="57" customWidth="1"/>
    <col min="8204" max="8204" width="17.109375" style="57" bestFit="1" customWidth="1"/>
    <col min="8205" max="8205" width="19.44140625" style="57" bestFit="1" customWidth="1"/>
    <col min="8206" max="8448" width="9.109375" style="57"/>
    <col min="8449" max="8449" width="15" style="57" customWidth="1"/>
    <col min="8450" max="8451" width="16.33203125" style="57" customWidth="1"/>
    <col min="8452" max="8452" width="31.6640625" style="57" bestFit="1" customWidth="1"/>
    <col min="8453" max="8454" width="13.44140625" style="57" customWidth="1"/>
    <col min="8455" max="8455" width="24" style="57" bestFit="1" customWidth="1"/>
    <col min="8456" max="8456" width="15" style="57" bestFit="1" customWidth="1"/>
    <col min="8457" max="8459" width="12.44140625" style="57" customWidth="1"/>
    <col min="8460" max="8460" width="17.109375" style="57" bestFit="1" customWidth="1"/>
    <col min="8461" max="8461" width="19.44140625" style="57" bestFit="1" customWidth="1"/>
    <col min="8462" max="8704" width="9.109375" style="57"/>
    <col min="8705" max="8705" width="15" style="57" customWidth="1"/>
    <col min="8706" max="8707" width="16.33203125" style="57" customWidth="1"/>
    <col min="8708" max="8708" width="31.6640625" style="57" bestFit="1" customWidth="1"/>
    <col min="8709" max="8710" width="13.44140625" style="57" customWidth="1"/>
    <col min="8711" max="8711" width="24" style="57" bestFit="1" customWidth="1"/>
    <col min="8712" max="8712" width="15" style="57" bestFit="1" customWidth="1"/>
    <col min="8713" max="8715" width="12.44140625" style="57" customWidth="1"/>
    <col min="8716" max="8716" width="17.109375" style="57" bestFit="1" customWidth="1"/>
    <col min="8717" max="8717" width="19.44140625" style="57" bestFit="1" customWidth="1"/>
    <col min="8718" max="8960" width="9.109375" style="57"/>
    <col min="8961" max="8961" width="15" style="57" customWidth="1"/>
    <col min="8962" max="8963" width="16.33203125" style="57" customWidth="1"/>
    <col min="8964" max="8964" width="31.6640625" style="57" bestFit="1" customWidth="1"/>
    <col min="8965" max="8966" width="13.44140625" style="57" customWidth="1"/>
    <col min="8967" max="8967" width="24" style="57" bestFit="1" customWidth="1"/>
    <col min="8968" max="8968" width="15" style="57" bestFit="1" customWidth="1"/>
    <col min="8969" max="8971" width="12.44140625" style="57" customWidth="1"/>
    <col min="8972" max="8972" width="17.109375" style="57" bestFit="1" customWidth="1"/>
    <col min="8973" max="8973" width="19.44140625" style="57" bestFit="1" customWidth="1"/>
    <col min="8974" max="9216" width="9.109375" style="57"/>
    <col min="9217" max="9217" width="15" style="57" customWidth="1"/>
    <col min="9218" max="9219" width="16.33203125" style="57" customWidth="1"/>
    <col min="9220" max="9220" width="31.6640625" style="57" bestFit="1" customWidth="1"/>
    <col min="9221" max="9222" width="13.44140625" style="57" customWidth="1"/>
    <col min="9223" max="9223" width="24" style="57" bestFit="1" customWidth="1"/>
    <col min="9224" max="9224" width="15" style="57" bestFit="1" customWidth="1"/>
    <col min="9225" max="9227" width="12.44140625" style="57" customWidth="1"/>
    <col min="9228" max="9228" width="17.109375" style="57" bestFit="1" customWidth="1"/>
    <col min="9229" max="9229" width="19.44140625" style="57" bestFit="1" customWidth="1"/>
    <col min="9230" max="9472" width="9.109375" style="57"/>
    <col min="9473" max="9473" width="15" style="57" customWidth="1"/>
    <col min="9474" max="9475" width="16.33203125" style="57" customWidth="1"/>
    <col min="9476" max="9476" width="31.6640625" style="57" bestFit="1" customWidth="1"/>
    <col min="9477" max="9478" width="13.44140625" style="57" customWidth="1"/>
    <col min="9479" max="9479" width="24" style="57" bestFit="1" customWidth="1"/>
    <col min="9480" max="9480" width="15" style="57" bestFit="1" customWidth="1"/>
    <col min="9481" max="9483" width="12.44140625" style="57" customWidth="1"/>
    <col min="9484" max="9484" width="17.109375" style="57" bestFit="1" customWidth="1"/>
    <col min="9485" max="9485" width="19.44140625" style="57" bestFit="1" customWidth="1"/>
    <col min="9486" max="9728" width="9.109375" style="57"/>
    <col min="9729" max="9729" width="15" style="57" customWidth="1"/>
    <col min="9730" max="9731" width="16.33203125" style="57" customWidth="1"/>
    <col min="9732" max="9732" width="31.6640625" style="57" bestFit="1" customWidth="1"/>
    <col min="9733" max="9734" width="13.44140625" style="57" customWidth="1"/>
    <col min="9735" max="9735" width="24" style="57" bestFit="1" customWidth="1"/>
    <col min="9736" max="9736" width="15" style="57" bestFit="1" customWidth="1"/>
    <col min="9737" max="9739" width="12.44140625" style="57" customWidth="1"/>
    <col min="9740" max="9740" width="17.109375" style="57" bestFit="1" customWidth="1"/>
    <col min="9741" max="9741" width="19.44140625" style="57" bestFit="1" customWidth="1"/>
    <col min="9742" max="9984" width="9.109375" style="57"/>
    <col min="9985" max="9985" width="15" style="57" customWidth="1"/>
    <col min="9986" max="9987" width="16.33203125" style="57" customWidth="1"/>
    <col min="9988" max="9988" width="31.6640625" style="57" bestFit="1" customWidth="1"/>
    <col min="9989" max="9990" width="13.44140625" style="57" customWidth="1"/>
    <col min="9991" max="9991" width="24" style="57" bestFit="1" customWidth="1"/>
    <col min="9992" max="9992" width="15" style="57" bestFit="1" customWidth="1"/>
    <col min="9993" max="9995" width="12.44140625" style="57" customWidth="1"/>
    <col min="9996" max="9996" width="17.109375" style="57" bestFit="1" customWidth="1"/>
    <col min="9997" max="9997" width="19.44140625" style="57" bestFit="1" customWidth="1"/>
    <col min="9998" max="10240" width="9.109375" style="57"/>
    <col min="10241" max="10241" width="15" style="57" customWidth="1"/>
    <col min="10242" max="10243" width="16.33203125" style="57" customWidth="1"/>
    <col min="10244" max="10244" width="31.6640625" style="57" bestFit="1" customWidth="1"/>
    <col min="10245" max="10246" width="13.44140625" style="57" customWidth="1"/>
    <col min="10247" max="10247" width="24" style="57" bestFit="1" customWidth="1"/>
    <col min="10248" max="10248" width="15" style="57" bestFit="1" customWidth="1"/>
    <col min="10249" max="10251" width="12.44140625" style="57" customWidth="1"/>
    <col min="10252" max="10252" width="17.109375" style="57" bestFit="1" customWidth="1"/>
    <col min="10253" max="10253" width="19.44140625" style="57" bestFit="1" customWidth="1"/>
    <col min="10254" max="10496" width="9.109375" style="57"/>
    <col min="10497" max="10497" width="15" style="57" customWidth="1"/>
    <col min="10498" max="10499" width="16.33203125" style="57" customWidth="1"/>
    <col min="10500" max="10500" width="31.6640625" style="57" bestFit="1" customWidth="1"/>
    <col min="10501" max="10502" width="13.44140625" style="57" customWidth="1"/>
    <col min="10503" max="10503" width="24" style="57" bestFit="1" customWidth="1"/>
    <col min="10504" max="10504" width="15" style="57" bestFit="1" customWidth="1"/>
    <col min="10505" max="10507" width="12.44140625" style="57" customWidth="1"/>
    <col min="10508" max="10508" width="17.109375" style="57" bestFit="1" customWidth="1"/>
    <col min="10509" max="10509" width="19.44140625" style="57" bestFit="1" customWidth="1"/>
    <col min="10510" max="10752" width="9.109375" style="57"/>
    <col min="10753" max="10753" width="15" style="57" customWidth="1"/>
    <col min="10754" max="10755" width="16.33203125" style="57" customWidth="1"/>
    <col min="10756" max="10756" width="31.6640625" style="57" bestFit="1" customWidth="1"/>
    <col min="10757" max="10758" width="13.44140625" style="57" customWidth="1"/>
    <col min="10759" max="10759" width="24" style="57" bestFit="1" customWidth="1"/>
    <col min="10760" max="10760" width="15" style="57" bestFit="1" customWidth="1"/>
    <col min="10761" max="10763" width="12.44140625" style="57" customWidth="1"/>
    <col min="10764" max="10764" width="17.109375" style="57" bestFit="1" customWidth="1"/>
    <col min="10765" max="10765" width="19.44140625" style="57" bestFit="1" customWidth="1"/>
    <col min="10766" max="11008" width="9.109375" style="57"/>
    <col min="11009" max="11009" width="15" style="57" customWidth="1"/>
    <col min="11010" max="11011" width="16.33203125" style="57" customWidth="1"/>
    <col min="11012" max="11012" width="31.6640625" style="57" bestFit="1" customWidth="1"/>
    <col min="11013" max="11014" width="13.44140625" style="57" customWidth="1"/>
    <col min="11015" max="11015" width="24" style="57" bestFit="1" customWidth="1"/>
    <col min="11016" max="11016" width="15" style="57" bestFit="1" customWidth="1"/>
    <col min="11017" max="11019" width="12.44140625" style="57" customWidth="1"/>
    <col min="11020" max="11020" width="17.109375" style="57" bestFit="1" customWidth="1"/>
    <col min="11021" max="11021" width="19.44140625" style="57" bestFit="1" customWidth="1"/>
    <col min="11022" max="11264" width="9.109375" style="57"/>
    <col min="11265" max="11265" width="15" style="57" customWidth="1"/>
    <col min="11266" max="11267" width="16.33203125" style="57" customWidth="1"/>
    <col min="11268" max="11268" width="31.6640625" style="57" bestFit="1" customWidth="1"/>
    <col min="11269" max="11270" width="13.44140625" style="57" customWidth="1"/>
    <col min="11271" max="11271" width="24" style="57" bestFit="1" customWidth="1"/>
    <col min="11272" max="11272" width="15" style="57" bestFit="1" customWidth="1"/>
    <col min="11273" max="11275" width="12.44140625" style="57" customWidth="1"/>
    <col min="11276" max="11276" width="17.109375" style="57" bestFit="1" customWidth="1"/>
    <col min="11277" max="11277" width="19.44140625" style="57" bestFit="1" customWidth="1"/>
    <col min="11278" max="11520" width="9.109375" style="57"/>
    <col min="11521" max="11521" width="15" style="57" customWidth="1"/>
    <col min="11522" max="11523" width="16.33203125" style="57" customWidth="1"/>
    <col min="11524" max="11524" width="31.6640625" style="57" bestFit="1" customWidth="1"/>
    <col min="11525" max="11526" width="13.44140625" style="57" customWidth="1"/>
    <col min="11527" max="11527" width="24" style="57" bestFit="1" customWidth="1"/>
    <col min="11528" max="11528" width="15" style="57" bestFit="1" customWidth="1"/>
    <col min="11529" max="11531" width="12.44140625" style="57" customWidth="1"/>
    <col min="11532" max="11532" width="17.109375" style="57" bestFit="1" customWidth="1"/>
    <col min="11533" max="11533" width="19.44140625" style="57" bestFit="1" customWidth="1"/>
    <col min="11534" max="11776" width="9.109375" style="57"/>
    <col min="11777" max="11777" width="15" style="57" customWidth="1"/>
    <col min="11778" max="11779" width="16.33203125" style="57" customWidth="1"/>
    <col min="11780" max="11780" width="31.6640625" style="57" bestFit="1" customWidth="1"/>
    <col min="11781" max="11782" width="13.44140625" style="57" customWidth="1"/>
    <col min="11783" max="11783" width="24" style="57" bestFit="1" customWidth="1"/>
    <col min="11784" max="11784" width="15" style="57" bestFit="1" customWidth="1"/>
    <col min="11785" max="11787" width="12.44140625" style="57" customWidth="1"/>
    <col min="11788" max="11788" width="17.109375" style="57" bestFit="1" customWidth="1"/>
    <col min="11789" max="11789" width="19.44140625" style="57" bestFit="1" customWidth="1"/>
    <col min="11790" max="12032" width="9.109375" style="57"/>
    <col min="12033" max="12033" width="15" style="57" customWidth="1"/>
    <col min="12034" max="12035" width="16.33203125" style="57" customWidth="1"/>
    <col min="12036" max="12036" width="31.6640625" style="57" bestFit="1" customWidth="1"/>
    <col min="12037" max="12038" width="13.44140625" style="57" customWidth="1"/>
    <col min="12039" max="12039" width="24" style="57" bestFit="1" customWidth="1"/>
    <col min="12040" max="12040" width="15" style="57" bestFit="1" customWidth="1"/>
    <col min="12041" max="12043" width="12.44140625" style="57" customWidth="1"/>
    <col min="12044" max="12044" width="17.109375" style="57" bestFit="1" customWidth="1"/>
    <col min="12045" max="12045" width="19.44140625" style="57" bestFit="1" customWidth="1"/>
    <col min="12046" max="12288" width="9.109375" style="57"/>
    <col min="12289" max="12289" width="15" style="57" customWidth="1"/>
    <col min="12290" max="12291" width="16.33203125" style="57" customWidth="1"/>
    <col min="12292" max="12292" width="31.6640625" style="57" bestFit="1" customWidth="1"/>
    <col min="12293" max="12294" width="13.44140625" style="57" customWidth="1"/>
    <col min="12295" max="12295" width="24" style="57" bestFit="1" customWidth="1"/>
    <col min="12296" max="12296" width="15" style="57" bestFit="1" customWidth="1"/>
    <col min="12297" max="12299" width="12.44140625" style="57" customWidth="1"/>
    <col min="12300" max="12300" width="17.109375" style="57" bestFit="1" customWidth="1"/>
    <col min="12301" max="12301" width="19.44140625" style="57" bestFit="1" customWidth="1"/>
    <col min="12302" max="12544" width="9.109375" style="57"/>
    <col min="12545" max="12545" width="15" style="57" customWidth="1"/>
    <col min="12546" max="12547" width="16.33203125" style="57" customWidth="1"/>
    <col min="12548" max="12548" width="31.6640625" style="57" bestFit="1" customWidth="1"/>
    <col min="12549" max="12550" width="13.44140625" style="57" customWidth="1"/>
    <col min="12551" max="12551" width="24" style="57" bestFit="1" customWidth="1"/>
    <col min="12552" max="12552" width="15" style="57" bestFit="1" customWidth="1"/>
    <col min="12553" max="12555" width="12.44140625" style="57" customWidth="1"/>
    <col min="12556" max="12556" width="17.109375" style="57" bestFit="1" customWidth="1"/>
    <col min="12557" max="12557" width="19.44140625" style="57" bestFit="1" customWidth="1"/>
    <col min="12558" max="12800" width="9.109375" style="57"/>
    <col min="12801" max="12801" width="15" style="57" customWidth="1"/>
    <col min="12802" max="12803" width="16.33203125" style="57" customWidth="1"/>
    <col min="12804" max="12804" width="31.6640625" style="57" bestFit="1" customWidth="1"/>
    <col min="12805" max="12806" width="13.44140625" style="57" customWidth="1"/>
    <col min="12807" max="12807" width="24" style="57" bestFit="1" customWidth="1"/>
    <col min="12808" max="12808" width="15" style="57" bestFit="1" customWidth="1"/>
    <col min="12809" max="12811" width="12.44140625" style="57" customWidth="1"/>
    <col min="12812" max="12812" width="17.109375" style="57" bestFit="1" customWidth="1"/>
    <col min="12813" max="12813" width="19.44140625" style="57" bestFit="1" customWidth="1"/>
    <col min="12814" max="13056" width="9.109375" style="57"/>
    <col min="13057" max="13057" width="15" style="57" customWidth="1"/>
    <col min="13058" max="13059" width="16.33203125" style="57" customWidth="1"/>
    <col min="13060" max="13060" width="31.6640625" style="57" bestFit="1" customWidth="1"/>
    <col min="13061" max="13062" width="13.44140625" style="57" customWidth="1"/>
    <col min="13063" max="13063" width="24" style="57" bestFit="1" customWidth="1"/>
    <col min="13064" max="13064" width="15" style="57" bestFit="1" customWidth="1"/>
    <col min="13065" max="13067" width="12.44140625" style="57" customWidth="1"/>
    <col min="13068" max="13068" width="17.109375" style="57" bestFit="1" customWidth="1"/>
    <col min="13069" max="13069" width="19.44140625" style="57" bestFit="1" customWidth="1"/>
    <col min="13070" max="13312" width="9.109375" style="57"/>
    <col min="13313" max="13313" width="15" style="57" customWidth="1"/>
    <col min="13314" max="13315" width="16.33203125" style="57" customWidth="1"/>
    <col min="13316" max="13316" width="31.6640625" style="57" bestFit="1" customWidth="1"/>
    <col min="13317" max="13318" width="13.44140625" style="57" customWidth="1"/>
    <col min="13319" max="13319" width="24" style="57" bestFit="1" customWidth="1"/>
    <col min="13320" max="13320" width="15" style="57" bestFit="1" customWidth="1"/>
    <col min="13321" max="13323" width="12.44140625" style="57" customWidth="1"/>
    <col min="13324" max="13324" width="17.109375" style="57" bestFit="1" customWidth="1"/>
    <col min="13325" max="13325" width="19.44140625" style="57" bestFit="1" customWidth="1"/>
    <col min="13326" max="13568" width="9.109375" style="57"/>
    <col min="13569" max="13569" width="15" style="57" customWidth="1"/>
    <col min="13570" max="13571" width="16.33203125" style="57" customWidth="1"/>
    <col min="13572" max="13572" width="31.6640625" style="57" bestFit="1" customWidth="1"/>
    <col min="13573" max="13574" width="13.44140625" style="57" customWidth="1"/>
    <col min="13575" max="13575" width="24" style="57" bestFit="1" customWidth="1"/>
    <col min="13576" max="13576" width="15" style="57" bestFit="1" customWidth="1"/>
    <col min="13577" max="13579" width="12.44140625" style="57" customWidth="1"/>
    <col min="13580" max="13580" width="17.109375" style="57" bestFit="1" customWidth="1"/>
    <col min="13581" max="13581" width="19.44140625" style="57" bestFit="1" customWidth="1"/>
    <col min="13582" max="13824" width="9.109375" style="57"/>
    <col min="13825" max="13825" width="15" style="57" customWidth="1"/>
    <col min="13826" max="13827" width="16.33203125" style="57" customWidth="1"/>
    <col min="13828" max="13828" width="31.6640625" style="57" bestFit="1" customWidth="1"/>
    <col min="13829" max="13830" width="13.44140625" style="57" customWidth="1"/>
    <col min="13831" max="13831" width="24" style="57" bestFit="1" customWidth="1"/>
    <col min="13832" max="13832" width="15" style="57" bestFit="1" customWidth="1"/>
    <col min="13833" max="13835" width="12.44140625" style="57" customWidth="1"/>
    <col min="13836" max="13836" width="17.109375" style="57" bestFit="1" customWidth="1"/>
    <col min="13837" max="13837" width="19.44140625" style="57" bestFit="1" customWidth="1"/>
    <col min="13838" max="14080" width="9.109375" style="57"/>
    <col min="14081" max="14081" width="15" style="57" customWidth="1"/>
    <col min="14082" max="14083" width="16.33203125" style="57" customWidth="1"/>
    <col min="14084" max="14084" width="31.6640625" style="57" bestFit="1" customWidth="1"/>
    <col min="14085" max="14086" width="13.44140625" style="57" customWidth="1"/>
    <col min="14087" max="14087" width="24" style="57" bestFit="1" customWidth="1"/>
    <col min="14088" max="14088" width="15" style="57" bestFit="1" customWidth="1"/>
    <col min="14089" max="14091" width="12.44140625" style="57" customWidth="1"/>
    <col min="14092" max="14092" width="17.109375" style="57" bestFit="1" customWidth="1"/>
    <col min="14093" max="14093" width="19.44140625" style="57" bestFit="1" customWidth="1"/>
    <col min="14094" max="14336" width="9.109375" style="57"/>
    <col min="14337" max="14337" width="15" style="57" customWidth="1"/>
    <col min="14338" max="14339" width="16.33203125" style="57" customWidth="1"/>
    <col min="14340" max="14340" width="31.6640625" style="57" bestFit="1" customWidth="1"/>
    <col min="14341" max="14342" width="13.44140625" style="57" customWidth="1"/>
    <col min="14343" max="14343" width="24" style="57" bestFit="1" customWidth="1"/>
    <col min="14344" max="14344" width="15" style="57" bestFit="1" customWidth="1"/>
    <col min="14345" max="14347" width="12.44140625" style="57" customWidth="1"/>
    <col min="14348" max="14348" width="17.109375" style="57" bestFit="1" customWidth="1"/>
    <col min="14349" max="14349" width="19.44140625" style="57" bestFit="1" customWidth="1"/>
    <col min="14350" max="14592" width="9.109375" style="57"/>
    <col min="14593" max="14593" width="15" style="57" customWidth="1"/>
    <col min="14594" max="14595" width="16.33203125" style="57" customWidth="1"/>
    <col min="14596" max="14596" width="31.6640625" style="57" bestFit="1" customWidth="1"/>
    <col min="14597" max="14598" width="13.44140625" style="57" customWidth="1"/>
    <col min="14599" max="14599" width="24" style="57" bestFit="1" customWidth="1"/>
    <col min="14600" max="14600" width="15" style="57" bestFit="1" customWidth="1"/>
    <col min="14601" max="14603" width="12.44140625" style="57" customWidth="1"/>
    <col min="14604" max="14604" width="17.109375" style="57" bestFit="1" customWidth="1"/>
    <col min="14605" max="14605" width="19.44140625" style="57" bestFit="1" customWidth="1"/>
    <col min="14606" max="14848" width="9.109375" style="57"/>
    <col min="14849" max="14849" width="15" style="57" customWidth="1"/>
    <col min="14850" max="14851" width="16.33203125" style="57" customWidth="1"/>
    <col min="14852" max="14852" width="31.6640625" style="57" bestFit="1" customWidth="1"/>
    <col min="14853" max="14854" width="13.44140625" style="57" customWidth="1"/>
    <col min="14855" max="14855" width="24" style="57" bestFit="1" customWidth="1"/>
    <col min="14856" max="14856" width="15" style="57" bestFit="1" customWidth="1"/>
    <col min="14857" max="14859" width="12.44140625" style="57" customWidth="1"/>
    <col min="14860" max="14860" width="17.109375" style="57" bestFit="1" customWidth="1"/>
    <col min="14861" max="14861" width="19.44140625" style="57" bestFit="1" customWidth="1"/>
    <col min="14862" max="15104" width="9.109375" style="57"/>
    <col min="15105" max="15105" width="15" style="57" customWidth="1"/>
    <col min="15106" max="15107" width="16.33203125" style="57" customWidth="1"/>
    <col min="15108" max="15108" width="31.6640625" style="57" bestFit="1" customWidth="1"/>
    <col min="15109" max="15110" width="13.44140625" style="57" customWidth="1"/>
    <col min="15111" max="15111" width="24" style="57" bestFit="1" customWidth="1"/>
    <col min="15112" max="15112" width="15" style="57" bestFit="1" customWidth="1"/>
    <col min="15113" max="15115" width="12.44140625" style="57" customWidth="1"/>
    <col min="15116" max="15116" width="17.109375" style="57" bestFit="1" customWidth="1"/>
    <col min="15117" max="15117" width="19.44140625" style="57" bestFit="1" customWidth="1"/>
    <col min="15118" max="15360" width="9.109375" style="57"/>
    <col min="15361" max="15361" width="15" style="57" customWidth="1"/>
    <col min="15362" max="15363" width="16.33203125" style="57" customWidth="1"/>
    <col min="15364" max="15364" width="31.6640625" style="57" bestFit="1" customWidth="1"/>
    <col min="15365" max="15366" width="13.44140625" style="57" customWidth="1"/>
    <col min="15367" max="15367" width="24" style="57" bestFit="1" customWidth="1"/>
    <col min="15368" max="15368" width="15" style="57" bestFit="1" customWidth="1"/>
    <col min="15369" max="15371" width="12.44140625" style="57" customWidth="1"/>
    <col min="15372" max="15372" width="17.109375" style="57" bestFit="1" customWidth="1"/>
    <col min="15373" max="15373" width="19.44140625" style="57" bestFit="1" customWidth="1"/>
    <col min="15374" max="15616" width="9.109375" style="57"/>
    <col min="15617" max="15617" width="15" style="57" customWidth="1"/>
    <col min="15618" max="15619" width="16.33203125" style="57" customWidth="1"/>
    <col min="15620" max="15620" width="31.6640625" style="57" bestFit="1" customWidth="1"/>
    <col min="15621" max="15622" width="13.44140625" style="57" customWidth="1"/>
    <col min="15623" max="15623" width="24" style="57" bestFit="1" customWidth="1"/>
    <col min="15624" max="15624" width="15" style="57" bestFit="1" customWidth="1"/>
    <col min="15625" max="15627" width="12.44140625" style="57" customWidth="1"/>
    <col min="15628" max="15628" width="17.109375" style="57" bestFit="1" customWidth="1"/>
    <col min="15629" max="15629" width="19.44140625" style="57" bestFit="1" customWidth="1"/>
    <col min="15630" max="15872" width="9.109375" style="57"/>
    <col min="15873" max="15873" width="15" style="57" customWidth="1"/>
    <col min="15874" max="15875" width="16.33203125" style="57" customWidth="1"/>
    <col min="15876" max="15876" width="31.6640625" style="57" bestFit="1" customWidth="1"/>
    <col min="15877" max="15878" width="13.44140625" style="57" customWidth="1"/>
    <col min="15879" max="15879" width="24" style="57" bestFit="1" customWidth="1"/>
    <col min="15880" max="15880" width="15" style="57" bestFit="1" customWidth="1"/>
    <col min="15881" max="15883" width="12.44140625" style="57" customWidth="1"/>
    <col min="15884" max="15884" width="17.109375" style="57" bestFit="1" customWidth="1"/>
    <col min="15885" max="15885" width="19.44140625" style="57" bestFit="1" customWidth="1"/>
    <col min="15886" max="16128" width="9.109375" style="57"/>
    <col min="16129" max="16129" width="15" style="57" customWidth="1"/>
    <col min="16130" max="16131" width="16.33203125" style="57" customWidth="1"/>
    <col min="16132" max="16132" width="31.6640625" style="57" bestFit="1" customWidth="1"/>
    <col min="16133" max="16134" width="13.44140625" style="57" customWidth="1"/>
    <col min="16135" max="16135" width="24" style="57" bestFit="1" customWidth="1"/>
    <col min="16136" max="16136" width="15" style="57" bestFit="1" customWidth="1"/>
    <col min="16137" max="16139" width="12.44140625" style="57" customWidth="1"/>
    <col min="16140" max="16140" width="17.109375" style="57" bestFit="1" customWidth="1"/>
    <col min="16141" max="16141" width="19.44140625" style="57" bestFit="1" customWidth="1"/>
    <col min="16142" max="16384" width="9.109375" style="57"/>
  </cols>
  <sheetData>
    <row r="1" spans="1:13" ht="16.5" customHeight="1">
      <c r="A1" s="152" t="s">
        <v>265</v>
      </c>
      <c r="B1" s="152" t="s">
        <v>266</v>
      </c>
      <c r="C1" s="152" t="s">
        <v>267</v>
      </c>
      <c r="D1" s="152" t="s">
        <v>268</v>
      </c>
      <c r="E1" s="152" t="s">
        <v>269</v>
      </c>
      <c r="F1" s="152" t="s">
        <v>270</v>
      </c>
      <c r="G1" s="152" t="s">
        <v>271</v>
      </c>
      <c r="H1" s="152" t="s">
        <v>272</v>
      </c>
      <c r="I1" s="152" t="s">
        <v>273</v>
      </c>
      <c r="J1" s="152" t="s">
        <v>274</v>
      </c>
      <c r="K1" s="150" t="s">
        <v>275</v>
      </c>
      <c r="L1" s="150" t="s">
        <v>276</v>
      </c>
      <c r="M1" s="150" t="s">
        <v>277</v>
      </c>
    </row>
    <row r="2" spans="1:13" ht="15.75" customHeight="1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1"/>
      <c r="L2" s="151"/>
      <c r="M2" s="151"/>
    </row>
    <row r="3" spans="1:13" ht="16.5" customHeight="1">
      <c r="A3" s="58" t="s">
        <v>278</v>
      </c>
      <c r="B3" s="58" t="s">
        <v>279</v>
      </c>
      <c r="C3" s="58" t="s">
        <v>280</v>
      </c>
      <c r="D3" s="58" t="s">
        <v>281</v>
      </c>
      <c r="E3" s="59" t="s">
        <v>282</v>
      </c>
      <c r="F3" s="58" t="s">
        <v>283</v>
      </c>
      <c r="G3" s="58" t="s">
        <v>284</v>
      </c>
      <c r="H3" s="59" t="s">
        <v>285</v>
      </c>
      <c r="I3" s="59" t="s">
        <v>286</v>
      </c>
      <c r="J3" s="59" t="s">
        <v>287</v>
      </c>
      <c r="K3" s="60">
        <v>81</v>
      </c>
      <c r="L3" s="60">
        <v>21.1</v>
      </c>
      <c r="M3" s="60">
        <v>21.6</v>
      </c>
    </row>
    <row r="4" spans="1:13" ht="16.5" customHeight="1">
      <c r="A4" s="58" t="s">
        <v>278</v>
      </c>
      <c r="B4" s="58" t="s">
        <v>279</v>
      </c>
      <c r="C4" s="58" t="s">
        <v>280</v>
      </c>
      <c r="D4" s="58" t="s">
        <v>281</v>
      </c>
      <c r="E4" s="59" t="s">
        <v>282</v>
      </c>
      <c r="F4" s="58" t="s">
        <v>283</v>
      </c>
      <c r="G4" s="58" t="s">
        <v>284</v>
      </c>
      <c r="H4" s="59" t="s">
        <v>285</v>
      </c>
      <c r="I4" s="59" t="s">
        <v>288</v>
      </c>
      <c r="J4" s="59" t="s">
        <v>289</v>
      </c>
      <c r="K4" s="60">
        <v>79</v>
      </c>
      <c r="L4" s="60">
        <v>20.6</v>
      </c>
      <c r="M4" s="60">
        <v>21.1</v>
      </c>
    </row>
    <row r="5" spans="1:13" ht="16.5" customHeight="1">
      <c r="A5" s="58" t="s">
        <v>278</v>
      </c>
      <c r="B5" s="58" t="s">
        <v>279</v>
      </c>
      <c r="C5" s="58" t="s">
        <v>280</v>
      </c>
      <c r="D5" s="58" t="s">
        <v>281</v>
      </c>
      <c r="E5" s="59" t="s">
        <v>282</v>
      </c>
      <c r="F5" s="58" t="s">
        <v>283</v>
      </c>
      <c r="G5" s="58" t="s">
        <v>284</v>
      </c>
      <c r="H5" s="59" t="s">
        <v>285</v>
      </c>
      <c r="I5" s="59" t="s">
        <v>290</v>
      </c>
      <c r="J5" s="59" t="s">
        <v>291</v>
      </c>
      <c r="K5" s="60">
        <v>82</v>
      </c>
      <c r="L5" s="60">
        <v>21.4</v>
      </c>
      <c r="M5" s="60">
        <v>21.9</v>
      </c>
    </row>
    <row r="6" spans="1:13" ht="16.5" customHeight="1">
      <c r="A6" s="58" t="s">
        <v>278</v>
      </c>
      <c r="B6" s="58" t="s">
        <v>279</v>
      </c>
      <c r="C6" s="58" t="s">
        <v>280</v>
      </c>
      <c r="D6" s="58" t="s">
        <v>281</v>
      </c>
      <c r="E6" s="59" t="s">
        <v>282</v>
      </c>
      <c r="F6" s="58" t="s">
        <v>283</v>
      </c>
      <c r="G6" s="58" t="s">
        <v>284</v>
      </c>
      <c r="H6" s="59" t="s">
        <v>285</v>
      </c>
      <c r="I6" s="59" t="s">
        <v>292</v>
      </c>
      <c r="J6" s="59" t="s">
        <v>293</v>
      </c>
      <c r="K6" s="60">
        <v>83</v>
      </c>
      <c r="L6" s="60">
        <v>21.5</v>
      </c>
      <c r="M6" s="60">
        <v>22</v>
      </c>
    </row>
    <row r="7" spans="1:13" ht="16.5" customHeight="1">
      <c r="A7" s="58" t="s">
        <v>278</v>
      </c>
      <c r="B7" s="58" t="s">
        <v>279</v>
      </c>
      <c r="C7" s="58" t="s">
        <v>280</v>
      </c>
      <c r="D7" s="58" t="s">
        <v>281</v>
      </c>
      <c r="E7" s="59" t="s">
        <v>282</v>
      </c>
      <c r="F7" s="58" t="s">
        <v>283</v>
      </c>
      <c r="G7" s="58" t="s">
        <v>284</v>
      </c>
      <c r="H7" s="59" t="s">
        <v>285</v>
      </c>
      <c r="I7" s="59" t="s">
        <v>294</v>
      </c>
      <c r="J7" s="59" t="s">
        <v>295</v>
      </c>
      <c r="K7" s="60">
        <v>83</v>
      </c>
      <c r="L7" s="60">
        <v>21.5</v>
      </c>
      <c r="M7" s="60">
        <v>22</v>
      </c>
    </row>
    <row r="8" spans="1:13" ht="16.5" customHeight="1">
      <c r="A8" s="58" t="s">
        <v>278</v>
      </c>
      <c r="B8" s="58" t="s">
        <v>279</v>
      </c>
      <c r="C8" s="58" t="s">
        <v>280</v>
      </c>
      <c r="D8" s="58" t="s">
        <v>281</v>
      </c>
      <c r="E8" s="59" t="s">
        <v>282</v>
      </c>
      <c r="F8" s="58" t="s">
        <v>283</v>
      </c>
      <c r="G8" s="58" t="s">
        <v>284</v>
      </c>
      <c r="H8" s="59" t="s">
        <v>285</v>
      </c>
      <c r="I8" s="59" t="s">
        <v>296</v>
      </c>
      <c r="J8" s="59" t="s">
        <v>297</v>
      </c>
      <c r="K8" s="60">
        <v>82</v>
      </c>
      <c r="L8" s="60">
        <v>21.2</v>
      </c>
      <c r="M8" s="60">
        <v>21.7</v>
      </c>
    </row>
    <row r="9" spans="1:13" ht="16.5" customHeight="1">
      <c r="A9" s="58" t="s">
        <v>278</v>
      </c>
      <c r="B9" s="58" t="s">
        <v>279</v>
      </c>
      <c r="C9" s="58" t="s">
        <v>280</v>
      </c>
      <c r="D9" s="58" t="s">
        <v>281</v>
      </c>
      <c r="E9" s="59" t="s">
        <v>282</v>
      </c>
      <c r="F9" s="58" t="s">
        <v>283</v>
      </c>
      <c r="G9" s="58" t="s">
        <v>284</v>
      </c>
      <c r="H9" s="59" t="s">
        <v>285</v>
      </c>
      <c r="I9" s="59" t="s">
        <v>298</v>
      </c>
      <c r="J9" s="59" t="s">
        <v>299</v>
      </c>
      <c r="K9" s="60">
        <v>81</v>
      </c>
      <c r="L9" s="60">
        <v>21.1</v>
      </c>
      <c r="M9" s="60">
        <v>21.6</v>
      </c>
    </row>
    <row r="10" spans="1:13" ht="16.5" customHeight="1">
      <c r="A10" s="58" t="s">
        <v>278</v>
      </c>
      <c r="B10" s="58" t="s">
        <v>279</v>
      </c>
      <c r="C10" s="58" t="s">
        <v>280</v>
      </c>
      <c r="D10" s="58" t="s">
        <v>281</v>
      </c>
      <c r="E10" s="59" t="s">
        <v>282</v>
      </c>
      <c r="F10" s="58" t="s">
        <v>283</v>
      </c>
      <c r="G10" s="58" t="s">
        <v>284</v>
      </c>
      <c r="H10" s="59" t="s">
        <v>285</v>
      </c>
      <c r="I10" s="59" t="s">
        <v>300</v>
      </c>
      <c r="J10" s="59" t="s">
        <v>301</v>
      </c>
      <c r="K10" s="60">
        <v>81</v>
      </c>
      <c r="L10" s="60">
        <v>21.1</v>
      </c>
      <c r="M10" s="60">
        <v>21.6</v>
      </c>
    </row>
    <row r="11" spans="1:13" ht="16.5" customHeight="1">
      <c r="A11" s="58" t="s">
        <v>278</v>
      </c>
      <c r="B11" s="58" t="s">
        <v>279</v>
      </c>
      <c r="C11" s="58" t="s">
        <v>280</v>
      </c>
      <c r="D11" s="58" t="s">
        <v>281</v>
      </c>
      <c r="E11" s="59" t="s">
        <v>282</v>
      </c>
      <c r="F11" s="58" t="s">
        <v>283</v>
      </c>
      <c r="G11" s="58" t="s">
        <v>284</v>
      </c>
      <c r="H11" s="59" t="s">
        <v>285</v>
      </c>
      <c r="I11" s="59" t="s">
        <v>302</v>
      </c>
      <c r="J11" s="59" t="s">
        <v>303</v>
      </c>
      <c r="K11" s="60">
        <v>77</v>
      </c>
      <c r="L11" s="60">
        <v>19.899999999999999</v>
      </c>
      <c r="M11" s="60">
        <v>20.399999999999999</v>
      </c>
    </row>
    <row r="12" spans="1:13" ht="16.5" customHeight="1">
      <c r="A12" s="58" t="s">
        <v>278</v>
      </c>
      <c r="B12" s="58" t="s">
        <v>279</v>
      </c>
      <c r="C12" s="58" t="s">
        <v>280</v>
      </c>
      <c r="D12" s="58" t="s">
        <v>281</v>
      </c>
      <c r="E12" s="59" t="s">
        <v>282</v>
      </c>
      <c r="F12" s="58" t="s">
        <v>283</v>
      </c>
      <c r="G12" s="58" t="s">
        <v>284</v>
      </c>
      <c r="H12" s="59" t="s">
        <v>285</v>
      </c>
      <c r="I12" s="59" t="s">
        <v>304</v>
      </c>
      <c r="J12" s="59" t="s">
        <v>305</v>
      </c>
      <c r="K12" s="60">
        <v>82</v>
      </c>
      <c r="L12" s="60">
        <v>21.3</v>
      </c>
      <c r="M12" s="60">
        <v>21.8</v>
      </c>
    </row>
    <row r="13" spans="1:13" ht="16.5" customHeight="1">
      <c r="A13" s="58" t="s">
        <v>278</v>
      </c>
      <c r="B13" s="58" t="s">
        <v>279</v>
      </c>
      <c r="C13" s="58" t="s">
        <v>280</v>
      </c>
      <c r="D13" s="58" t="s">
        <v>281</v>
      </c>
      <c r="E13" s="59" t="s">
        <v>282</v>
      </c>
      <c r="F13" s="58" t="s">
        <v>283</v>
      </c>
      <c r="G13" s="58" t="s">
        <v>284</v>
      </c>
      <c r="H13" s="59" t="s">
        <v>285</v>
      </c>
      <c r="I13" s="59" t="s">
        <v>306</v>
      </c>
      <c r="J13" s="59" t="s">
        <v>307</v>
      </c>
      <c r="K13" s="60">
        <v>80</v>
      </c>
      <c r="L13" s="60">
        <v>20.9</v>
      </c>
      <c r="M13" s="60">
        <v>21.4</v>
      </c>
    </row>
    <row r="14" spans="1:13" ht="16.5" customHeight="1">
      <c r="A14" s="58" t="s">
        <v>278</v>
      </c>
      <c r="B14" s="58" t="s">
        <v>279</v>
      </c>
      <c r="C14" s="58" t="s">
        <v>280</v>
      </c>
      <c r="D14" s="58" t="s">
        <v>281</v>
      </c>
      <c r="E14" s="59" t="s">
        <v>282</v>
      </c>
      <c r="F14" s="58" t="s">
        <v>283</v>
      </c>
      <c r="G14" s="58" t="s">
        <v>284</v>
      </c>
      <c r="H14" s="59" t="s">
        <v>285</v>
      </c>
      <c r="I14" s="59" t="s">
        <v>308</v>
      </c>
      <c r="J14" s="59" t="s">
        <v>309</v>
      </c>
      <c r="K14" s="60">
        <v>85</v>
      </c>
      <c r="L14" s="60">
        <v>22.2</v>
      </c>
      <c r="M14" s="60">
        <v>22.7</v>
      </c>
    </row>
    <row r="15" spans="1:13" ht="16.5" customHeight="1">
      <c r="A15" s="58" t="s">
        <v>278</v>
      </c>
      <c r="B15" s="58" t="s">
        <v>279</v>
      </c>
      <c r="C15" s="58" t="s">
        <v>280</v>
      </c>
      <c r="D15" s="58" t="s">
        <v>281</v>
      </c>
      <c r="E15" s="59" t="s">
        <v>282</v>
      </c>
      <c r="F15" s="58" t="s">
        <v>283</v>
      </c>
      <c r="G15" s="58" t="s">
        <v>284</v>
      </c>
      <c r="H15" s="59" t="s">
        <v>285</v>
      </c>
      <c r="I15" s="59" t="s">
        <v>310</v>
      </c>
      <c r="J15" s="59" t="s">
        <v>311</v>
      </c>
      <c r="K15" s="60">
        <v>82</v>
      </c>
      <c r="L15" s="60">
        <v>21.4</v>
      </c>
      <c r="M15" s="60">
        <v>21.9</v>
      </c>
    </row>
    <row r="16" spans="1:13" ht="16.5" customHeight="1">
      <c r="A16" s="58" t="s">
        <v>278</v>
      </c>
      <c r="B16" s="58" t="s">
        <v>279</v>
      </c>
      <c r="C16" s="58" t="s">
        <v>280</v>
      </c>
      <c r="D16" s="58" t="s">
        <v>281</v>
      </c>
      <c r="E16" s="59" t="s">
        <v>282</v>
      </c>
      <c r="F16" s="58" t="s">
        <v>283</v>
      </c>
      <c r="G16" s="58" t="s">
        <v>284</v>
      </c>
      <c r="H16" s="59" t="s">
        <v>285</v>
      </c>
      <c r="I16" s="59" t="s">
        <v>312</v>
      </c>
      <c r="J16" s="59" t="s">
        <v>313</v>
      </c>
      <c r="K16" s="60">
        <v>78</v>
      </c>
      <c r="L16" s="60">
        <v>20.3</v>
      </c>
      <c r="M16" s="60">
        <v>20.8</v>
      </c>
    </row>
    <row r="17" spans="1:13" ht="16.5" customHeight="1">
      <c r="A17" s="58" t="s">
        <v>278</v>
      </c>
      <c r="B17" s="58" t="s">
        <v>279</v>
      </c>
      <c r="C17" s="58" t="s">
        <v>280</v>
      </c>
      <c r="D17" s="58" t="s">
        <v>281</v>
      </c>
      <c r="E17" s="59" t="s">
        <v>282</v>
      </c>
      <c r="F17" s="58" t="s">
        <v>314</v>
      </c>
      <c r="G17" s="58" t="s">
        <v>315</v>
      </c>
      <c r="H17" s="59" t="s">
        <v>316</v>
      </c>
      <c r="I17" s="59" t="s">
        <v>317</v>
      </c>
      <c r="J17" s="59" t="s">
        <v>318</v>
      </c>
      <c r="K17" s="60">
        <v>67</v>
      </c>
      <c r="L17" s="60">
        <v>17.5</v>
      </c>
      <c r="M17" s="60">
        <v>18</v>
      </c>
    </row>
    <row r="18" spans="1:13" ht="16.5" customHeight="1">
      <c r="A18" s="58" t="s">
        <v>319</v>
      </c>
      <c r="B18" s="58" t="s">
        <v>320</v>
      </c>
      <c r="C18" s="58" t="s">
        <v>321</v>
      </c>
      <c r="D18" s="58" t="s">
        <v>281</v>
      </c>
      <c r="E18" s="59" t="s">
        <v>322</v>
      </c>
      <c r="F18" s="58" t="s">
        <v>323</v>
      </c>
      <c r="G18" s="58" t="s">
        <v>324</v>
      </c>
      <c r="H18" s="59" t="s">
        <v>325</v>
      </c>
      <c r="I18" s="59" t="s">
        <v>146</v>
      </c>
      <c r="J18" s="59" t="s">
        <v>326</v>
      </c>
      <c r="K18" s="60">
        <v>60</v>
      </c>
      <c r="L18" s="60">
        <v>15.4</v>
      </c>
      <c r="M18" s="60">
        <v>15.9</v>
      </c>
    </row>
    <row r="19" spans="1:13" ht="16.5" customHeight="1">
      <c r="J19" s="57" t="s">
        <v>327</v>
      </c>
      <c r="K19" s="61">
        <f>SUM(K3:K18)</f>
        <v>1263</v>
      </c>
      <c r="L19" s="61">
        <f>SUM(L3:L18)</f>
        <v>328.4</v>
      </c>
      <c r="M19" s="61">
        <f>SUM(M3:M18)</f>
        <v>336.4</v>
      </c>
    </row>
  </sheetData>
  <autoFilter ref="A2:M2" xr:uid="{53A7F676-59BA-4FD0-B966-13EDB038D55C}"/>
  <mergeCells count="13">
    <mergeCell ref="F1:F2"/>
    <mergeCell ref="A1:A2"/>
    <mergeCell ref="B1:B2"/>
    <mergeCell ref="C1:C2"/>
    <mergeCell ref="D1:D2"/>
    <mergeCell ref="E1:E2"/>
    <mergeCell ref="M1:M2"/>
    <mergeCell ref="G1:G2"/>
    <mergeCell ref="H1:H2"/>
    <mergeCell ref="I1:I2"/>
    <mergeCell ref="J1:J2"/>
    <mergeCell ref="K1:K2"/>
    <mergeCell ref="L1:L2"/>
  </mergeCells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35EA-5EF8-4EF1-A18E-A4ACDD61D800}">
  <dimension ref="A1:L81"/>
  <sheetViews>
    <sheetView topLeftCell="A61" workbookViewId="0">
      <selection activeCell="D86" sqref="D86"/>
    </sheetView>
  </sheetViews>
  <sheetFormatPr defaultColWidth="9" defaultRowHeight="13.8"/>
  <cols>
    <col min="1" max="1" width="11.109375" style="63" customWidth="1"/>
    <col min="2" max="2" width="13.33203125" style="63" bestFit="1" customWidth="1"/>
    <col min="3" max="3" width="11.88671875" style="63" customWidth="1"/>
    <col min="4" max="4" width="13" style="63" customWidth="1"/>
    <col min="5" max="5" width="10.44140625" style="63" customWidth="1"/>
    <col min="6" max="6" width="9" style="63"/>
    <col min="7" max="7" width="9.21875" style="63" bestFit="1" customWidth="1"/>
    <col min="8" max="256" width="9" style="63"/>
    <col min="257" max="257" width="11.109375" style="63" customWidth="1"/>
    <col min="258" max="258" width="13.33203125" style="63" bestFit="1" customWidth="1"/>
    <col min="259" max="259" width="11.88671875" style="63" customWidth="1"/>
    <col min="260" max="260" width="13" style="63" customWidth="1"/>
    <col min="261" max="261" width="10.44140625" style="63" customWidth="1"/>
    <col min="262" max="262" width="9" style="63"/>
    <col min="263" max="263" width="9.21875" style="63" bestFit="1" customWidth="1"/>
    <col min="264" max="512" width="9" style="63"/>
    <col min="513" max="513" width="11.109375" style="63" customWidth="1"/>
    <col min="514" max="514" width="13.33203125" style="63" bestFit="1" customWidth="1"/>
    <col min="515" max="515" width="11.88671875" style="63" customWidth="1"/>
    <col min="516" max="516" width="13" style="63" customWidth="1"/>
    <col min="517" max="517" width="10.44140625" style="63" customWidth="1"/>
    <col min="518" max="518" width="9" style="63"/>
    <col min="519" max="519" width="9.21875" style="63" bestFit="1" customWidth="1"/>
    <col min="520" max="768" width="9" style="63"/>
    <col min="769" max="769" width="11.109375" style="63" customWidth="1"/>
    <col min="770" max="770" width="13.33203125" style="63" bestFit="1" customWidth="1"/>
    <col min="771" max="771" width="11.88671875" style="63" customWidth="1"/>
    <col min="772" max="772" width="13" style="63" customWidth="1"/>
    <col min="773" max="773" width="10.44140625" style="63" customWidth="1"/>
    <col min="774" max="774" width="9" style="63"/>
    <col min="775" max="775" width="9.21875" style="63" bestFit="1" customWidth="1"/>
    <col min="776" max="1024" width="9" style="63"/>
    <col min="1025" max="1025" width="11.109375" style="63" customWidth="1"/>
    <col min="1026" max="1026" width="13.33203125" style="63" bestFit="1" customWidth="1"/>
    <col min="1027" max="1027" width="11.88671875" style="63" customWidth="1"/>
    <col min="1028" max="1028" width="13" style="63" customWidth="1"/>
    <col min="1029" max="1029" width="10.44140625" style="63" customWidth="1"/>
    <col min="1030" max="1030" width="9" style="63"/>
    <col min="1031" max="1031" width="9.21875" style="63" bestFit="1" customWidth="1"/>
    <col min="1032" max="1280" width="9" style="63"/>
    <col min="1281" max="1281" width="11.109375" style="63" customWidth="1"/>
    <col min="1282" max="1282" width="13.33203125" style="63" bestFit="1" customWidth="1"/>
    <col min="1283" max="1283" width="11.88671875" style="63" customWidth="1"/>
    <col min="1284" max="1284" width="13" style="63" customWidth="1"/>
    <col min="1285" max="1285" width="10.44140625" style="63" customWidth="1"/>
    <col min="1286" max="1286" width="9" style="63"/>
    <col min="1287" max="1287" width="9.21875" style="63" bestFit="1" customWidth="1"/>
    <col min="1288" max="1536" width="9" style="63"/>
    <col min="1537" max="1537" width="11.109375" style="63" customWidth="1"/>
    <col min="1538" max="1538" width="13.33203125" style="63" bestFit="1" customWidth="1"/>
    <col min="1539" max="1539" width="11.88671875" style="63" customWidth="1"/>
    <col min="1540" max="1540" width="13" style="63" customWidth="1"/>
    <col min="1541" max="1541" width="10.44140625" style="63" customWidth="1"/>
    <col min="1542" max="1542" width="9" style="63"/>
    <col min="1543" max="1543" width="9.21875" style="63" bestFit="1" customWidth="1"/>
    <col min="1544" max="1792" width="9" style="63"/>
    <col min="1793" max="1793" width="11.109375" style="63" customWidth="1"/>
    <col min="1794" max="1794" width="13.33203125" style="63" bestFit="1" customWidth="1"/>
    <col min="1795" max="1795" width="11.88671875" style="63" customWidth="1"/>
    <col min="1796" max="1796" width="13" style="63" customWidth="1"/>
    <col min="1797" max="1797" width="10.44140625" style="63" customWidth="1"/>
    <col min="1798" max="1798" width="9" style="63"/>
    <col min="1799" max="1799" width="9.21875" style="63" bestFit="1" customWidth="1"/>
    <col min="1800" max="2048" width="9" style="63"/>
    <col min="2049" max="2049" width="11.109375" style="63" customWidth="1"/>
    <col min="2050" max="2050" width="13.33203125" style="63" bestFit="1" customWidth="1"/>
    <col min="2051" max="2051" width="11.88671875" style="63" customWidth="1"/>
    <col min="2052" max="2052" width="13" style="63" customWidth="1"/>
    <col min="2053" max="2053" width="10.44140625" style="63" customWidth="1"/>
    <col min="2054" max="2054" width="9" style="63"/>
    <col min="2055" max="2055" width="9.21875" style="63" bestFit="1" customWidth="1"/>
    <col min="2056" max="2304" width="9" style="63"/>
    <col min="2305" max="2305" width="11.109375" style="63" customWidth="1"/>
    <col min="2306" max="2306" width="13.33203125" style="63" bestFit="1" customWidth="1"/>
    <col min="2307" max="2307" width="11.88671875" style="63" customWidth="1"/>
    <col min="2308" max="2308" width="13" style="63" customWidth="1"/>
    <col min="2309" max="2309" width="10.44140625" style="63" customWidth="1"/>
    <col min="2310" max="2310" width="9" style="63"/>
    <col min="2311" max="2311" width="9.21875" style="63" bestFit="1" customWidth="1"/>
    <col min="2312" max="2560" width="9" style="63"/>
    <col min="2561" max="2561" width="11.109375" style="63" customWidth="1"/>
    <col min="2562" max="2562" width="13.33203125" style="63" bestFit="1" customWidth="1"/>
    <col min="2563" max="2563" width="11.88671875" style="63" customWidth="1"/>
    <col min="2564" max="2564" width="13" style="63" customWidth="1"/>
    <col min="2565" max="2565" width="10.44140625" style="63" customWidth="1"/>
    <col min="2566" max="2566" width="9" style="63"/>
    <col min="2567" max="2567" width="9.21875" style="63" bestFit="1" customWidth="1"/>
    <col min="2568" max="2816" width="9" style="63"/>
    <col min="2817" max="2817" width="11.109375" style="63" customWidth="1"/>
    <col min="2818" max="2818" width="13.33203125" style="63" bestFit="1" customWidth="1"/>
    <col min="2819" max="2819" width="11.88671875" style="63" customWidth="1"/>
    <col min="2820" max="2820" width="13" style="63" customWidth="1"/>
    <col min="2821" max="2821" width="10.44140625" style="63" customWidth="1"/>
    <col min="2822" max="2822" width="9" style="63"/>
    <col min="2823" max="2823" width="9.21875" style="63" bestFit="1" customWidth="1"/>
    <col min="2824" max="3072" width="9" style="63"/>
    <col min="3073" max="3073" width="11.109375" style="63" customWidth="1"/>
    <col min="3074" max="3074" width="13.33203125" style="63" bestFit="1" customWidth="1"/>
    <col min="3075" max="3075" width="11.88671875" style="63" customWidth="1"/>
    <col min="3076" max="3076" width="13" style="63" customWidth="1"/>
    <col min="3077" max="3077" width="10.44140625" style="63" customWidth="1"/>
    <col min="3078" max="3078" width="9" style="63"/>
    <col min="3079" max="3079" width="9.21875" style="63" bestFit="1" customWidth="1"/>
    <col min="3080" max="3328" width="9" style="63"/>
    <col min="3329" max="3329" width="11.109375" style="63" customWidth="1"/>
    <col min="3330" max="3330" width="13.33203125" style="63" bestFit="1" customWidth="1"/>
    <col min="3331" max="3331" width="11.88671875" style="63" customWidth="1"/>
    <col min="3332" max="3332" width="13" style="63" customWidth="1"/>
    <col min="3333" max="3333" width="10.44140625" style="63" customWidth="1"/>
    <col min="3334" max="3334" width="9" style="63"/>
    <col min="3335" max="3335" width="9.21875" style="63" bestFit="1" customWidth="1"/>
    <col min="3336" max="3584" width="9" style="63"/>
    <col min="3585" max="3585" width="11.109375" style="63" customWidth="1"/>
    <col min="3586" max="3586" width="13.33203125" style="63" bestFit="1" customWidth="1"/>
    <col min="3587" max="3587" width="11.88671875" style="63" customWidth="1"/>
    <col min="3588" max="3588" width="13" style="63" customWidth="1"/>
    <col min="3589" max="3589" width="10.44140625" style="63" customWidth="1"/>
    <col min="3590" max="3590" width="9" style="63"/>
    <col min="3591" max="3591" width="9.21875" style="63" bestFit="1" customWidth="1"/>
    <col min="3592" max="3840" width="9" style="63"/>
    <col min="3841" max="3841" width="11.109375" style="63" customWidth="1"/>
    <col min="3842" max="3842" width="13.33203125" style="63" bestFit="1" customWidth="1"/>
    <col min="3843" max="3843" width="11.88671875" style="63" customWidth="1"/>
    <col min="3844" max="3844" width="13" style="63" customWidth="1"/>
    <col min="3845" max="3845" width="10.44140625" style="63" customWidth="1"/>
    <col min="3846" max="3846" width="9" style="63"/>
    <col min="3847" max="3847" width="9.21875" style="63" bestFit="1" customWidth="1"/>
    <col min="3848" max="4096" width="9" style="63"/>
    <col min="4097" max="4097" width="11.109375" style="63" customWidth="1"/>
    <col min="4098" max="4098" width="13.33203125" style="63" bestFit="1" customWidth="1"/>
    <col min="4099" max="4099" width="11.88671875" style="63" customWidth="1"/>
    <col min="4100" max="4100" width="13" style="63" customWidth="1"/>
    <col min="4101" max="4101" width="10.44140625" style="63" customWidth="1"/>
    <col min="4102" max="4102" width="9" style="63"/>
    <col min="4103" max="4103" width="9.21875" style="63" bestFit="1" customWidth="1"/>
    <col min="4104" max="4352" width="9" style="63"/>
    <col min="4353" max="4353" width="11.109375" style="63" customWidth="1"/>
    <col min="4354" max="4354" width="13.33203125" style="63" bestFit="1" customWidth="1"/>
    <col min="4355" max="4355" width="11.88671875" style="63" customWidth="1"/>
    <col min="4356" max="4356" width="13" style="63" customWidth="1"/>
    <col min="4357" max="4357" width="10.44140625" style="63" customWidth="1"/>
    <col min="4358" max="4358" width="9" style="63"/>
    <col min="4359" max="4359" width="9.21875" style="63" bestFit="1" customWidth="1"/>
    <col min="4360" max="4608" width="9" style="63"/>
    <col min="4609" max="4609" width="11.109375" style="63" customWidth="1"/>
    <col min="4610" max="4610" width="13.33203125" style="63" bestFit="1" customWidth="1"/>
    <col min="4611" max="4611" width="11.88671875" style="63" customWidth="1"/>
    <col min="4612" max="4612" width="13" style="63" customWidth="1"/>
    <col min="4613" max="4613" width="10.44140625" style="63" customWidth="1"/>
    <col min="4614" max="4614" width="9" style="63"/>
    <col min="4615" max="4615" width="9.21875" style="63" bestFit="1" customWidth="1"/>
    <col min="4616" max="4864" width="9" style="63"/>
    <col min="4865" max="4865" width="11.109375" style="63" customWidth="1"/>
    <col min="4866" max="4866" width="13.33203125" style="63" bestFit="1" customWidth="1"/>
    <col min="4867" max="4867" width="11.88671875" style="63" customWidth="1"/>
    <col min="4868" max="4868" width="13" style="63" customWidth="1"/>
    <col min="4869" max="4869" width="10.44140625" style="63" customWidth="1"/>
    <col min="4870" max="4870" width="9" style="63"/>
    <col min="4871" max="4871" width="9.21875" style="63" bestFit="1" customWidth="1"/>
    <col min="4872" max="5120" width="9" style="63"/>
    <col min="5121" max="5121" width="11.109375" style="63" customWidth="1"/>
    <col min="5122" max="5122" width="13.33203125" style="63" bestFit="1" customWidth="1"/>
    <col min="5123" max="5123" width="11.88671875" style="63" customWidth="1"/>
    <col min="5124" max="5124" width="13" style="63" customWidth="1"/>
    <col min="5125" max="5125" width="10.44140625" style="63" customWidth="1"/>
    <col min="5126" max="5126" width="9" style="63"/>
    <col min="5127" max="5127" width="9.21875" style="63" bestFit="1" customWidth="1"/>
    <col min="5128" max="5376" width="9" style="63"/>
    <col min="5377" max="5377" width="11.109375" style="63" customWidth="1"/>
    <col min="5378" max="5378" width="13.33203125" style="63" bestFit="1" customWidth="1"/>
    <col min="5379" max="5379" width="11.88671875" style="63" customWidth="1"/>
    <col min="5380" max="5380" width="13" style="63" customWidth="1"/>
    <col min="5381" max="5381" width="10.44140625" style="63" customWidth="1"/>
    <col min="5382" max="5382" width="9" style="63"/>
    <col min="5383" max="5383" width="9.21875" style="63" bestFit="1" customWidth="1"/>
    <col min="5384" max="5632" width="9" style="63"/>
    <col min="5633" max="5633" width="11.109375" style="63" customWidth="1"/>
    <col min="5634" max="5634" width="13.33203125" style="63" bestFit="1" customWidth="1"/>
    <col min="5635" max="5635" width="11.88671875" style="63" customWidth="1"/>
    <col min="5636" max="5636" width="13" style="63" customWidth="1"/>
    <col min="5637" max="5637" width="10.44140625" style="63" customWidth="1"/>
    <col min="5638" max="5638" width="9" style="63"/>
    <col min="5639" max="5639" width="9.21875" style="63" bestFit="1" customWidth="1"/>
    <col min="5640" max="5888" width="9" style="63"/>
    <col min="5889" max="5889" width="11.109375" style="63" customWidth="1"/>
    <col min="5890" max="5890" width="13.33203125" style="63" bestFit="1" customWidth="1"/>
    <col min="5891" max="5891" width="11.88671875" style="63" customWidth="1"/>
    <col min="5892" max="5892" width="13" style="63" customWidth="1"/>
    <col min="5893" max="5893" width="10.44140625" style="63" customWidth="1"/>
    <col min="5894" max="5894" width="9" style="63"/>
    <col min="5895" max="5895" width="9.21875" style="63" bestFit="1" customWidth="1"/>
    <col min="5896" max="6144" width="9" style="63"/>
    <col min="6145" max="6145" width="11.109375" style="63" customWidth="1"/>
    <col min="6146" max="6146" width="13.33203125" style="63" bestFit="1" customWidth="1"/>
    <col min="6147" max="6147" width="11.88671875" style="63" customWidth="1"/>
    <col min="6148" max="6148" width="13" style="63" customWidth="1"/>
    <col min="6149" max="6149" width="10.44140625" style="63" customWidth="1"/>
    <col min="6150" max="6150" width="9" style="63"/>
    <col min="6151" max="6151" width="9.21875" style="63" bestFit="1" customWidth="1"/>
    <col min="6152" max="6400" width="9" style="63"/>
    <col min="6401" max="6401" width="11.109375" style="63" customWidth="1"/>
    <col min="6402" max="6402" width="13.33203125" style="63" bestFit="1" customWidth="1"/>
    <col min="6403" max="6403" width="11.88671875" style="63" customWidth="1"/>
    <col min="6404" max="6404" width="13" style="63" customWidth="1"/>
    <col min="6405" max="6405" width="10.44140625" style="63" customWidth="1"/>
    <col min="6406" max="6406" width="9" style="63"/>
    <col min="6407" max="6407" width="9.21875" style="63" bestFit="1" customWidth="1"/>
    <col min="6408" max="6656" width="9" style="63"/>
    <col min="6657" max="6657" width="11.109375" style="63" customWidth="1"/>
    <col min="6658" max="6658" width="13.33203125" style="63" bestFit="1" customWidth="1"/>
    <col min="6659" max="6659" width="11.88671875" style="63" customWidth="1"/>
    <col min="6660" max="6660" width="13" style="63" customWidth="1"/>
    <col min="6661" max="6661" width="10.44140625" style="63" customWidth="1"/>
    <col min="6662" max="6662" width="9" style="63"/>
    <col min="6663" max="6663" width="9.21875" style="63" bestFit="1" customWidth="1"/>
    <col min="6664" max="6912" width="9" style="63"/>
    <col min="6913" max="6913" width="11.109375" style="63" customWidth="1"/>
    <col min="6914" max="6914" width="13.33203125" style="63" bestFit="1" customWidth="1"/>
    <col min="6915" max="6915" width="11.88671875" style="63" customWidth="1"/>
    <col min="6916" max="6916" width="13" style="63" customWidth="1"/>
    <col min="6917" max="6917" width="10.44140625" style="63" customWidth="1"/>
    <col min="6918" max="6918" width="9" style="63"/>
    <col min="6919" max="6919" width="9.21875" style="63" bestFit="1" customWidth="1"/>
    <col min="6920" max="7168" width="9" style="63"/>
    <col min="7169" max="7169" width="11.109375" style="63" customWidth="1"/>
    <col min="7170" max="7170" width="13.33203125" style="63" bestFit="1" customWidth="1"/>
    <col min="7171" max="7171" width="11.88671875" style="63" customWidth="1"/>
    <col min="7172" max="7172" width="13" style="63" customWidth="1"/>
    <col min="7173" max="7173" width="10.44140625" style="63" customWidth="1"/>
    <col min="7174" max="7174" width="9" style="63"/>
    <col min="7175" max="7175" width="9.21875" style="63" bestFit="1" customWidth="1"/>
    <col min="7176" max="7424" width="9" style="63"/>
    <col min="7425" max="7425" width="11.109375" style="63" customWidth="1"/>
    <col min="7426" max="7426" width="13.33203125" style="63" bestFit="1" customWidth="1"/>
    <col min="7427" max="7427" width="11.88671875" style="63" customWidth="1"/>
    <col min="7428" max="7428" width="13" style="63" customWidth="1"/>
    <col min="7429" max="7429" width="10.44140625" style="63" customWidth="1"/>
    <col min="7430" max="7430" width="9" style="63"/>
    <col min="7431" max="7431" width="9.21875" style="63" bestFit="1" customWidth="1"/>
    <col min="7432" max="7680" width="9" style="63"/>
    <col min="7681" max="7681" width="11.109375" style="63" customWidth="1"/>
    <col min="7682" max="7682" width="13.33203125" style="63" bestFit="1" customWidth="1"/>
    <col min="7683" max="7683" width="11.88671875" style="63" customWidth="1"/>
    <col min="7684" max="7684" width="13" style="63" customWidth="1"/>
    <col min="7685" max="7685" width="10.44140625" style="63" customWidth="1"/>
    <col min="7686" max="7686" width="9" style="63"/>
    <col min="7687" max="7687" width="9.21875" style="63" bestFit="1" customWidth="1"/>
    <col min="7688" max="7936" width="9" style="63"/>
    <col min="7937" max="7937" width="11.109375" style="63" customWidth="1"/>
    <col min="7938" max="7938" width="13.33203125" style="63" bestFit="1" customWidth="1"/>
    <col min="7939" max="7939" width="11.88671875" style="63" customWidth="1"/>
    <col min="7940" max="7940" width="13" style="63" customWidth="1"/>
    <col min="7941" max="7941" width="10.44140625" style="63" customWidth="1"/>
    <col min="7942" max="7942" width="9" style="63"/>
    <col min="7943" max="7943" width="9.21875" style="63" bestFit="1" customWidth="1"/>
    <col min="7944" max="8192" width="9" style="63"/>
    <col min="8193" max="8193" width="11.109375" style="63" customWidth="1"/>
    <col min="8194" max="8194" width="13.33203125" style="63" bestFit="1" customWidth="1"/>
    <col min="8195" max="8195" width="11.88671875" style="63" customWidth="1"/>
    <col min="8196" max="8196" width="13" style="63" customWidth="1"/>
    <col min="8197" max="8197" width="10.44140625" style="63" customWidth="1"/>
    <col min="8198" max="8198" width="9" style="63"/>
    <col min="8199" max="8199" width="9.21875" style="63" bestFit="1" customWidth="1"/>
    <col min="8200" max="8448" width="9" style="63"/>
    <col min="8449" max="8449" width="11.109375" style="63" customWidth="1"/>
    <col min="8450" max="8450" width="13.33203125" style="63" bestFit="1" customWidth="1"/>
    <col min="8451" max="8451" width="11.88671875" style="63" customWidth="1"/>
    <col min="8452" max="8452" width="13" style="63" customWidth="1"/>
    <col min="8453" max="8453" width="10.44140625" style="63" customWidth="1"/>
    <col min="8454" max="8454" width="9" style="63"/>
    <col min="8455" max="8455" width="9.21875" style="63" bestFit="1" customWidth="1"/>
    <col min="8456" max="8704" width="9" style="63"/>
    <col min="8705" max="8705" width="11.109375" style="63" customWidth="1"/>
    <col min="8706" max="8706" width="13.33203125" style="63" bestFit="1" customWidth="1"/>
    <col min="8707" max="8707" width="11.88671875" style="63" customWidth="1"/>
    <col min="8708" max="8708" width="13" style="63" customWidth="1"/>
    <col min="8709" max="8709" width="10.44140625" style="63" customWidth="1"/>
    <col min="8710" max="8710" width="9" style="63"/>
    <col min="8711" max="8711" width="9.21875" style="63" bestFit="1" customWidth="1"/>
    <col min="8712" max="8960" width="9" style="63"/>
    <col min="8961" max="8961" width="11.109375" style="63" customWidth="1"/>
    <col min="8962" max="8962" width="13.33203125" style="63" bestFit="1" customWidth="1"/>
    <col min="8963" max="8963" width="11.88671875" style="63" customWidth="1"/>
    <col min="8964" max="8964" width="13" style="63" customWidth="1"/>
    <col min="8965" max="8965" width="10.44140625" style="63" customWidth="1"/>
    <col min="8966" max="8966" width="9" style="63"/>
    <col min="8967" max="8967" width="9.21875" style="63" bestFit="1" customWidth="1"/>
    <col min="8968" max="9216" width="9" style="63"/>
    <col min="9217" max="9217" width="11.109375" style="63" customWidth="1"/>
    <col min="9218" max="9218" width="13.33203125" style="63" bestFit="1" customWidth="1"/>
    <col min="9219" max="9219" width="11.88671875" style="63" customWidth="1"/>
    <col min="9220" max="9220" width="13" style="63" customWidth="1"/>
    <col min="9221" max="9221" width="10.44140625" style="63" customWidth="1"/>
    <col min="9222" max="9222" width="9" style="63"/>
    <col min="9223" max="9223" width="9.21875" style="63" bestFit="1" customWidth="1"/>
    <col min="9224" max="9472" width="9" style="63"/>
    <col min="9473" max="9473" width="11.109375" style="63" customWidth="1"/>
    <col min="9474" max="9474" width="13.33203125" style="63" bestFit="1" customWidth="1"/>
    <col min="9475" max="9475" width="11.88671875" style="63" customWidth="1"/>
    <col min="9476" max="9476" width="13" style="63" customWidth="1"/>
    <col min="9477" max="9477" width="10.44140625" style="63" customWidth="1"/>
    <col min="9478" max="9478" width="9" style="63"/>
    <col min="9479" max="9479" width="9.21875" style="63" bestFit="1" customWidth="1"/>
    <col min="9480" max="9728" width="9" style="63"/>
    <col min="9729" max="9729" width="11.109375" style="63" customWidth="1"/>
    <col min="9730" max="9730" width="13.33203125" style="63" bestFit="1" customWidth="1"/>
    <col min="9731" max="9731" width="11.88671875" style="63" customWidth="1"/>
    <col min="9732" max="9732" width="13" style="63" customWidth="1"/>
    <col min="9733" max="9733" width="10.44140625" style="63" customWidth="1"/>
    <col min="9734" max="9734" width="9" style="63"/>
    <col min="9735" max="9735" width="9.21875" style="63" bestFit="1" customWidth="1"/>
    <col min="9736" max="9984" width="9" style="63"/>
    <col min="9985" max="9985" width="11.109375" style="63" customWidth="1"/>
    <col min="9986" max="9986" width="13.33203125" style="63" bestFit="1" customWidth="1"/>
    <col min="9987" max="9987" width="11.88671875" style="63" customWidth="1"/>
    <col min="9988" max="9988" width="13" style="63" customWidth="1"/>
    <col min="9989" max="9989" width="10.44140625" style="63" customWidth="1"/>
    <col min="9990" max="9990" width="9" style="63"/>
    <col min="9991" max="9991" width="9.21875" style="63" bestFit="1" customWidth="1"/>
    <col min="9992" max="10240" width="9" style="63"/>
    <col min="10241" max="10241" width="11.109375" style="63" customWidth="1"/>
    <col min="10242" max="10242" width="13.33203125" style="63" bestFit="1" customWidth="1"/>
    <col min="10243" max="10243" width="11.88671875" style="63" customWidth="1"/>
    <col min="10244" max="10244" width="13" style="63" customWidth="1"/>
    <col min="10245" max="10245" width="10.44140625" style="63" customWidth="1"/>
    <col min="10246" max="10246" width="9" style="63"/>
    <col min="10247" max="10247" width="9.21875" style="63" bestFit="1" customWidth="1"/>
    <col min="10248" max="10496" width="9" style="63"/>
    <col min="10497" max="10497" width="11.109375" style="63" customWidth="1"/>
    <col min="10498" max="10498" width="13.33203125" style="63" bestFit="1" customWidth="1"/>
    <col min="10499" max="10499" width="11.88671875" style="63" customWidth="1"/>
    <col min="10500" max="10500" width="13" style="63" customWidth="1"/>
    <col min="10501" max="10501" width="10.44140625" style="63" customWidth="1"/>
    <col min="10502" max="10502" width="9" style="63"/>
    <col min="10503" max="10503" width="9.21875" style="63" bestFit="1" customWidth="1"/>
    <col min="10504" max="10752" width="9" style="63"/>
    <col min="10753" max="10753" width="11.109375" style="63" customWidth="1"/>
    <col min="10754" max="10754" width="13.33203125" style="63" bestFit="1" customWidth="1"/>
    <col min="10755" max="10755" width="11.88671875" style="63" customWidth="1"/>
    <col min="10756" max="10756" width="13" style="63" customWidth="1"/>
    <col min="10757" max="10757" width="10.44140625" style="63" customWidth="1"/>
    <col min="10758" max="10758" width="9" style="63"/>
    <col min="10759" max="10759" width="9.21875" style="63" bestFit="1" customWidth="1"/>
    <col min="10760" max="11008" width="9" style="63"/>
    <col min="11009" max="11009" width="11.109375" style="63" customWidth="1"/>
    <col min="11010" max="11010" width="13.33203125" style="63" bestFit="1" customWidth="1"/>
    <col min="11011" max="11011" width="11.88671875" style="63" customWidth="1"/>
    <col min="11012" max="11012" width="13" style="63" customWidth="1"/>
    <col min="11013" max="11013" width="10.44140625" style="63" customWidth="1"/>
    <col min="11014" max="11014" width="9" style="63"/>
    <col min="11015" max="11015" width="9.21875" style="63" bestFit="1" customWidth="1"/>
    <col min="11016" max="11264" width="9" style="63"/>
    <col min="11265" max="11265" width="11.109375" style="63" customWidth="1"/>
    <col min="11266" max="11266" width="13.33203125" style="63" bestFit="1" customWidth="1"/>
    <col min="11267" max="11267" width="11.88671875" style="63" customWidth="1"/>
    <col min="11268" max="11268" width="13" style="63" customWidth="1"/>
    <col min="11269" max="11269" width="10.44140625" style="63" customWidth="1"/>
    <col min="11270" max="11270" width="9" style="63"/>
    <col min="11271" max="11271" width="9.21875" style="63" bestFit="1" customWidth="1"/>
    <col min="11272" max="11520" width="9" style="63"/>
    <col min="11521" max="11521" width="11.109375" style="63" customWidth="1"/>
    <col min="11522" max="11522" width="13.33203125" style="63" bestFit="1" customWidth="1"/>
    <col min="11523" max="11523" width="11.88671875" style="63" customWidth="1"/>
    <col min="11524" max="11524" width="13" style="63" customWidth="1"/>
    <col min="11525" max="11525" width="10.44140625" style="63" customWidth="1"/>
    <col min="11526" max="11526" width="9" style="63"/>
    <col min="11527" max="11527" width="9.21875" style="63" bestFit="1" customWidth="1"/>
    <col min="11528" max="11776" width="9" style="63"/>
    <col min="11777" max="11777" width="11.109375" style="63" customWidth="1"/>
    <col min="11778" max="11778" width="13.33203125" style="63" bestFit="1" customWidth="1"/>
    <col min="11779" max="11779" width="11.88671875" style="63" customWidth="1"/>
    <col min="11780" max="11780" width="13" style="63" customWidth="1"/>
    <col min="11781" max="11781" width="10.44140625" style="63" customWidth="1"/>
    <col min="11782" max="11782" width="9" style="63"/>
    <col min="11783" max="11783" width="9.21875" style="63" bestFit="1" customWidth="1"/>
    <col min="11784" max="12032" width="9" style="63"/>
    <col min="12033" max="12033" width="11.109375" style="63" customWidth="1"/>
    <col min="12034" max="12034" width="13.33203125" style="63" bestFit="1" customWidth="1"/>
    <col min="12035" max="12035" width="11.88671875" style="63" customWidth="1"/>
    <col min="12036" max="12036" width="13" style="63" customWidth="1"/>
    <col min="12037" max="12037" width="10.44140625" style="63" customWidth="1"/>
    <col min="12038" max="12038" width="9" style="63"/>
    <col min="12039" max="12039" width="9.21875" style="63" bestFit="1" customWidth="1"/>
    <col min="12040" max="12288" width="9" style="63"/>
    <col min="12289" max="12289" width="11.109375" style="63" customWidth="1"/>
    <col min="12290" max="12290" width="13.33203125" style="63" bestFit="1" customWidth="1"/>
    <col min="12291" max="12291" width="11.88671875" style="63" customWidth="1"/>
    <col min="12292" max="12292" width="13" style="63" customWidth="1"/>
    <col min="12293" max="12293" width="10.44140625" style="63" customWidth="1"/>
    <col min="12294" max="12294" width="9" style="63"/>
    <col min="12295" max="12295" width="9.21875" style="63" bestFit="1" customWidth="1"/>
    <col min="12296" max="12544" width="9" style="63"/>
    <col min="12545" max="12545" width="11.109375" style="63" customWidth="1"/>
    <col min="12546" max="12546" width="13.33203125" style="63" bestFit="1" customWidth="1"/>
    <col min="12547" max="12547" width="11.88671875" style="63" customWidth="1"/>
    <col min="12548" max="12548" width="13" style="63" customWidth="1"/>
    <col min="12549" max="12549" width="10.44140625" style="63" customWidth="1"/>
    <col min="12550" max="12550" width="9" style="63"/>
    <col min="12551" max="12551" width="9.21875" style="63" bestFit="1" customWidth="1"/>
    <col min="12552" max="12800" width="9" style="63"/>
    <col min="12801" max="12801" width="11.109375" style="63" customWidth="1"/>
    <col min="12802" max="12802" width="13.33203125" style="63" bestFit="1" customWidth="1"/>
    <col min="12803" max="12803" width="11.88671875" style="63" customWidth="1"/>
    <col min="12804" max="12804" width="13" style="63" customWidth="1"/>
    <col min="12805" max="12805" width="10.44140625" style="63" customWidth="1"/>
    <col min="12806" max="12806" width="9" style="63"/>
    <col min="12807" max="12807" width="9.21875" style="63" bestFit="1" customWidth="1"/>
    <col min="12808" max="13056" width="9" style="63"/>
    <col min="13057" max="13057" width="11.109375" style="63" customWidth="1"/>
    <col min="13058" max="13058" width="13.33203125" style="63" bestFit="1" customWidth="1"/>
    <col min="13059" max="13059" width="11.88671875" style="63" customWidth="1"/>
    <col min="13060" max="13060" width="13" style="63" customWidth="1"/>
    <col min="13061" max="13061" width="10.44140625" style="63" customWidth="1"/>
    <col min="13062" max="13062" width="9" style="63"/>
    <col min="13063" max="13063" width="9.21875" style="63" bestFit="1" customWidth="1"/>
    <col min="13064" max="13312" width="9" style="63"/>
    <col min="13313" max="13313" width="11.109375" style="63" customWidth="1"/>
    <col min="13314" max="13314" width="13.33203125" style="63" bestFit="1" customWidth="1"/>
    <col min="13315" max="13315" width="11.88671875" style="63" customWidth="1"/>
    <col min="13316" max="13316" width="13" style="63" customWidth="1"/>
    <col min="13317" max="13317" width="10.44140625" style="63" customWidth="1"/>
    <col min="13318" max="13318" width="9" style="63"/>
    <col min="13319" max="13319" width="9.21875" style="63" bestFit="1" customWidth="1"/>
    <col min="13320" max="13568" width="9" style="63"/>
    <col min="13569" max="13569" width="11.109375" style="63" customWidth="1"/>
    <col min="13570" max="13570" width="13.33203125" style="63" bestFit="1" customWidth="1"/>
    <col min="13571" max="13571" width="11.88671875" style="63" customWidth="1"/>
    <col min="13572" max="13572" width="13" style="63" customWidth="1"/>
    <col min="13573" max="13573" width="10.44140625" style="63" customWidth="1"/>
    <col min="13574" max="13574" width="9" style="63"/>
    <col min="13575" max="13575" width="9.21875" style="63" bestFit="1" customWidth="1"/>
    <col min="13576" max="13824" width="9" style="63"/>
    <col min="13825" max="13825" width="11.109375" style="63" customWidth="1"/>
    <col min="13826" max="13826" width="13.33203125" style="63" bestFit="1" customWidth="1"/>
    <col min="13827" max="13827" width="11.88671875" style="63" customWidth="1"/>
    <col min="13828" max="13828" width="13" style="63" customWidth="1"/>
    <col min="13829" max="13829" width="10.44140625" style="63" customWidth="1"/>
    <col min="13830" max="13830" width="9" style="63"/>
    <col min="13831" max="13831" width="9.21875" style="63" bestFit="1" customWidth="1"/>
    <col min="13832" max="14080" width="9" style="63"/>
    <col min="14081" max="14081" width="11.109375" style="63" customWidth="1"/>
    <col min="14082" max="14082" width="13.33203125" style="63" bestFit="1" customWidth="1"/>
    <col min="14083" max="14083" width="11.88671875" style="63" customWidth="1"/>
    <col min="14084" max="14084" width="13" style="63" customWidth="1"/>
    <col min="14085" max="14085" width="10.44140625" style="63" customWidth="1"/>
    <col min="14086" max="14086" width="9" style="63"/>
    <col min="14087" max="14087" width="9.21875" style="63" bestFit="1" customWidth="1"/>
    <col min="14088" max="14336" width="9" style="63"/>
    <col min="14337" max="14337" width="11.109375" style="63" customWidth="1"/>
    <col min="14338" max="14338" width="13.33203125" style="63" bestFit="1" customWidth="1"/>
    <col min="14339" max="14339" width="11.88671875" style="63" customWidth="1"/>
    <col min="14340" max="14340" width="13" style="63" customWidth="1"/>
    <col min="14341" max="14341" width="10.44140625" style="63" customWidth="1"/>
    <col min="14342" max="14342" width="9" style="63"/>
    <col min="14343" max="14343" width="9.21875" style="63" bestFit="1" customWidth="1"/>
    <col min="14344" max="14592" width="9" style="63"/>
    <col min="14593" max="14593" width="11.109375" style="63" customWidth="1"/>
    <col min="14594" max="14594" width="13.33203125" style="63" bestFit="1" customWidth="1"/>
    <col min="14595" max="14595" width="11.88671875" style="63" customWidth="1"/>
    <col min="14596" max="14596" width="13" style="63" customWidth="1"/>
    <col min="14597" max="14597" width="10.44140625" style="63" customWidth="1"/>
    <col min="14598" max="14598" width="9" style="63"/>
    <col min="14599" max="14599" width="9.21875" style="63" bestFit="1" customWidth="1"/>
    <col min="14600" max="14848" width="9" style="63"/>
    <col min="14849" max="14849" width="11.109375" style="63" customWidth="1"/>
    <col min="14850" max="14850" width="13.33203125" style="63" bestFit="1" customWidth="1"/>
    <col min="14851" max="14851" width="11.88671875" style="63" customWidth="1"/>
    <col min="14852" max="14852" width="13" style="63" customWidth="1"/>
    <col min="14853" max="14853" width="10.44140625" style="63" customWidth="1"/>
    <col min="14854" max="14854" width="9" style="63"/>
    <col min="14855" max="14855" width="9.21875" style="63" bestFit="1" customWidth="1"/>
    <col min="14856" max="15104" width="9" style="63"/>
    <col min="15105" max="15105" width="11.109375" style="63" customWidth="1"/>
    <col min="15106" max="15106" width="13.33203125" style="63" bestFit="1" customWidth="1"/>
    <col min="15107" max="15107" width="11.88671875" style="63" customWidth="1"/>
    <col min="15108" max="15108" width="13" style="63" customWidth="1"/>
    <col min="15109" max="15109" width="10.44140625" style="63" customWidth="1"/>
    <col min="15110" max="15110" width="9" style="63"/>
    <col min="15111" max="15111" width="9.21875" style="63" bestFit="1" customWidth="1"/>
    <col min="15112" max="15360" width="9" style="63"/>
    <col min="15361" max="15361" width="11.109375" style="63" customWidth="1"/>
    <col min="15362" max="15362" width="13.33203125" style="63" bestFit="1" customWidth="1"/>
    <col min="15363" max="15363" width="11.88671875" style="63" customWidth="1"/>
    <col min="15364" max="15364" width="13" style="63" customWidth="1"/>
    <col min="15365" max="15365" width="10.44140625" style="63" customWidth="1"/>
    <col min="15366" max="15366" width="9" style="63"/>
    <col min="15367" max="15367" width="9.21875" style="63" bestFit="1" customWidth="1"/>
    <col min="15368" max="15616" width="9" style="63"/>
    <col min="15617" max="15617" width="11.109375" style="63" customWidth="1"/>
    <col min="15618" max="15618" width="13.33203125" style="63" bestFit="1" customWidth="1"/>
    <col min="15619" max="15619" width="11.88671875" style="63" customWidth="1"/>
    <col min="15620" max="15620" width="13" style="63" customWidth="1"/>
    <col min="15621" max="15621" width="10.44140625" style="63" customWidth="1"/>
    <col min="15622" max="15622" width="9" style="63"/>
    <col min="15623" max="15623" width="9.21875" style="63" bestFit="1" customWidth="1"/>
    <col min="15624" max="15872" width="9" style="63"/>
    <col min="15873" max="15873" width="11.109375" style="63" customWidth="1"/>
    <col min="15874" max="15874" width="13.33203125" style="63" bestFit="1" customWidth="1"/>
    <col min="15875" max="15875" width="11.88671875" style="63" customWidth="1"/>
    <col min="15876" max="15876" width="13" style="63" customWidth="1"/>
    <col min="15877" max="15877" width="10.44140625" style="63" customWidth="1"/>
    <col min="15878" max="15878" width="9" style="63"/>
    <col min="15879" max="15879" width="9.21875" style="63" bestFit="1" customWidth="1"/>
    <col min="15880" max="16128" width="9" style="63"/>
    <col min="16129" max="16129" width="11.109375" style="63" customWidth="1"/>
    <col min="16130" max="16130" width="13.33203125" style="63" bestFit="1" customWidth="1"/>
    <col min="16131" max="16131" width="11.88671875" style="63" customWidth="1"/>
    <col min="16132" max="16132" width="13" style="63" customWidth="1"/>
    <col min="16133" max="16133" width="10.44140625" style="63" customWidth="1"/>
    <col min="16134" max="16134" width="9" style="63"/>
    <col min="16135" max="16135" width="9.21875" style="63" bestFit="1" customWidth="1"/>
    <col min="16136" max="16384" width="9" style="63"/>
  </cols>
  <sheetData>
    <row r="1" spans="1:12">
      <c r="A1" s="63" t="s">
        <v>328</v>
      </c>
    </row>
    <row r="2" spans="1:12" ht="16.2">
      <c r="A2" s="64" t="s">
        <v>329</v>
      </c>
      <c r="B2" s="65" t="s">
        <v>330</v>
      </c>
      <c r="C2" s="65" t="s">
        <v>331</v>
      </c>
      <c r="D2" s="65" t="s">
        <v>332</v>
      </c>
      <c r="E2" s="65" t="s">
        <v>333</v>
      </c>
      <c r="F2" s="66" t="s">
        <v>334</v>
      </c>
      <c r="G2" s="65" t="s">
        <v>335</v>
      </c>
      <c r="H2" s="65" t="s">
        <v>336</v>
      </c>
      <c r="I2" s="67" t="s">
        <v>337</v>
      </c>
      <c r="J2" s="67" t="s">
        <v>338</v>
      </c>
      <c r="K2" s="68" t="s">
        <v>339</v>
      </c>
      <c r="L2" s="67" t="s">
        <v>340</v>
      </c>
    </row>
    <row r="3" spans="1:12" ht="15.6">
      <c r="A3" s="69" t="s">
        <v>341</v>
      </c>
      <c r="B3" s="69" t="s">
        <v>342</v>
      </c>
      <c r="C3" s="69" t="s">
        <v>343</v>
      </c>
      <c r="D3" s="69" t="s">
        <v>344</v>
      </c>
      <c r="E3" s="69" t="s">
        <v>345</v>
      </c>
      <c r="F3" s="70">
        <v>16.5</v>
      </c>
      <c r="G3" s="70">
        <v>242</v>
      </c>
      <c r="H3" s="69" t="s">
        <v>346</v>
      </c>
      <c r="I3" s="71">
        <v>242</v>
      </c>
      <c r="J3" s="72">
        <v>3</v>
      </c>
      <c r="K3" s="72">
        <v>6.2</v>
      </c>
      <c r="L3" s="72" t="s">
        <v>347</v>
      </c>
    </row>
    <row r="4" spans="1:12" ht="15.6">
      <c r="A4" s="69" t="s">
        <v>341</v>
      </c>
      <c r="B4" s="69" t="s">
        <v>342</v>
      </c>
      <c r="C4" s="69" t="s">
        <v>343</v>
      </c>
      <c r="D4" s="69" t="s">
        <v>344</v>
      </c>
      <c r="E4" s="69" t="s">
        <v>345</v>
      </c>
      <c r="F4" s="70">
        <v>17.5</v>
      </c>
      <c r="G4" s="70">
        <v>635</v>
      </c>
      <c r="H4" s="69" t="s">
        <v>346</v>
      </c>
      <c r="I4" s="71">
        <v>635</v>
      </c>
      <c r="J4" s="72">
        <v>5</v>
      </c>
      <c r="K4" s="72">
        <v>16.100000000000001</v>
      </c>
      <c r="L4" s="72" t="s">
        <v>348</v>
      </c>
    </row>
    <row r="5" spans="1:12" ht="15.6">
      <c r="A5" s="69" t="s">
        <v>341</v>
      </c>
      <c r="B5" s="69" t="s">
        <v>342</v>
      </c>
      <c r="C5" s="69" t="s">
        <v>343</v>
      </c>
      <c r="D5" s="69" t="s">
        <v>344</v>
      </c>
      <c r="E5" s="69" t="s">
        <v>345</v>
      </c>
      <c r="F5" s="70">
        <v>18.5</v>
      </c>
      <c r="G5" s="70">
        <v>1036</v>
      </c>
      <c r="H5" s="69" t="s">
        <v>346</v>
      </c>
      <c r="I5" s="71">
        <v>600</v>
      </c>
      <c r="J5" s="72"/>
      <c r="K5" s="72">
        <v>15.9</v>
      </c>
      <c r="L5" s="72" t="s">
        <v>349</v>
      </c>
    </row>
    <row r="6" spans="1:12" ht="15.6">
      <c r="A6" s="69"/>
      <c r="B6" s="69" t="s">
        <v>342</v>
      </c>
      <c r="C6" s="69" t="s">
        <v>343</v>
      </c>
      <c r="D6" s="69" t="s">
        <v>344</v>
      </c>
      <c r="E6" s="69" t="s">
        <v>345</v>
      </c>
      <c r="F6" s="70"/>
      <c r="G6" s="70"/>
      <c r="H6" s="69"/>
      <c r="I6" s="71">
        <v>436</v>
      </c>
      <c r="J6" s="72">
        <v>9</v>
      </c>
      <c r="K6" s="72">
        <v>11.9</v>
      </c>
      <c r="L6" s="72" t="s">
        <v>350</v>
      </c>
    </row>
    <row r="7" spans="1:12" ht="15.6">
      <c r="A7" s="69" t="s">
        <v>341</v>
      </c>
      <c r="B7" s="69" t="s">
        <v>342</v>
      </c>
      <c r="C7" s="69" t="s">
        <v>343</v>
      </c>
      <c r="D7" s="69" t="s">
        <v>344</v>
      </c>
      <c r="E7" s="69" t="s">
        <v>345</v>
      </c>
      <c r="F7" s="70">
        <v>19.5</v>
      </c>
      <c r="G7" s="70">
        <v>1048</v>
      </c>
      <c r="H7" s="69" t="s">
        <v>346</v>
      </c>
      <c r="I7" s="71">
        <v>600</v>
      </c>
      <c r="J7" s="72"/>
      <c r="K7" s="72">
        <v>17.399999999999999</v>
      </c>
      <c r="L7" s="72" t="s">
        <v>351</v>
      </c>
    </row>
    <row r="8" spans="1:12" ht="15.6">
      <c r="A8" s="69"/>
      <c r="B8" s="69" t="s">
        <v>342</v>
      </c>
      <c r="C8" s="69" t="s">
        <v>343</v>
      </c>
      <c r="D8" s="69" t="s">
        <v>344</v>
      </c>
      <c r="E8" s="69" t="s">
        <v>345</v>
      </c>
      <c r="F8" s="70"/>
      <c r="G8" s="70"/>
      <c r="H8" s="69"/>
      <c r="I8" s="71">
        <v>448</v>
      </c>
      <c r="J8" s="72">
        <v>7</v>
      </c>
      <c r="K8" s="72">
        <v>13.2</v>
      </c>
      <c r="L8" s="72" t="s">
        <v>352</v>
      </c>
    </row>
    <row r="9" spans="1:12" ht="15.6">
      <c r="A9" s="69" t="s">
        <v>341</v>
      </c>
      <c r="B9" s="69" t="s">
        <v>342</v>
      </c>
      <c r="C9" s="69" t="s">
        <v>343</v>
      </c>
      <c r="D9" s="69" t="s">
        <v>344</v>
      </c>
      <c r="E9" s="69" t="s">
        <v>345</v>
      </c>
      <c r="F9" s="70">
        <v>20.5</v>
      </c>
      <c r="G9" s="70">
        <v>714</v>
      </c>
      <c r="H9" s="69" t="s">
        <v>346</v>
      </c>
      <c r="I9" s="71">
        <v>714</v>
      </c>
      <c r="J9" s="72">
        <v>6</v>
      </c>
      <c r="K9" s="72">
        <v>22.2</v>
      </c>
      <c r="L9" s="72" t="s">
        <v>353</v>
      </c>
    </row>
    <row r="10" spans="1:12" ht="15.6">
      <c r="A10" s="69" t="s">
        <v>341</v>
      </c>
      <c r="B10" s="69" t="s">
        <v>342</v>
      </c>
      <c r="C10" s="69" t="s">
        <v>343</v>
      </c>
      <c r="D10" s="69" t="s">
        <v>344</v>
      </c>
      <c r="E10" s="69" t="s">
        <v>345</v>
      </c>
      <c r="F10" s="70">
        <v>21.5</v>
      </c>
      <c r="G10" s="70">
        <v>136</v>
      </c>
      <c r="H10" s="69" t="s">
        <v>346</v>
      </c>
      <c r="I10" s="71">
        <v>136</v>
      </c>
      <c r="J10" s="72">
        <v>4</v>
      </c>
      <c r="K10" s="72">
        <v>4.4000000000000004</v>
      </c>
      <c r="L10" s="72" t="s">
        <v>354</v>
      </c>
    </row>
    <row r="11" spans="1:12" ht="15.6">
      <c r="A11" s="69" t="s">
        <v>341</v>
      </c>
      <c r="B11" s="69" t="s">
        <v>342</v>
      </c>
      <c r="C11" s="69" t="s">
        <v>343</v>
      </c>
      <c r="D11" s="69" t="s">
        <v>344</v>
      </c>
      <c r="E11" s="69" t="s">
        <v>345</v>
      </c>
      <c r="F11" s="70">
        <v>22.5</v>
      </c>
      <c r="G11" s="70">
        <v>75</v>
      </c>
      <c r="H11" s="69" t="s">
        <v>346</v>
      </c>
      <c r="I11" s="71">
        <v>75</v>
      </c>
      <c r="J11" s="72">
        <v>5</v>
      </c>
      <c r="K11" s="72">
        <v>2.7</v>
      </c>
      <c r="L11" s="72" t="s">
        <v>355</v>
      </c>
    </row>
    <row r="12" spans="1:12" ht="15.6">
      <c r="A12" s="69" t="s">
        <v>341</v>
      </c>
      <c r="B12" s="69" t="s">
        <v>342</v>
      </c>
      <c r="C12" s="69" t="s">
        <v>343</v>
      </c>
      <c r="D12" s="69" t="s">
        <v>344</v>
      </c>
      <c r="E12" s="69" t="s">
        <v>345</v>
      </c>
      <c r="F12" s="70">
        <v>23.5</v>
      </c>
      <c r="G12" s="70">
        <v>27</v>
      </c>
      <c r="H12" s="69" t="s">
        <v>346</v>
      </c>
      <c r="I12" s="71">
        <v>27</v>
      </c>
      <c r="J12" s="72">
        <v>3</v>
      </c>
      <c r="K12" s="72">
        <v>1.1000000000000001</v>
      </c>
      <c r="L12" s="72" t="s">
        <v>356</v>
      </c>
    </row>
    <row r="13" spans="1:12" ht="16.2" thickBot="1">
      <c r="A13" s="69" t="s">
        <v>341</v>
      </c>
      <c r="B13" s="69" t="s">
        <v>342</v>
      </c>
      <c r="C13" s="69" t="s">
        <v>343</v>
      </c>
      <c r="D13" s="73" t="s">
        <v>344</v>
      </c>
      <c r="E13" s="73" t="s">
        <v>345</v>
      </c>
      <c r="F13" s="74">
        <v>24.5</v>
      </c>
      <c r="G13" s="74">
        <v>11</v>
      </c>
      <c r="H13" s="73" t="s">
        <v>346</v>
      </c>
      <c r="I13" s="75">
        <v>11</v>
      </c>
      <c r="J13" s="76">
        <v>2</v>
      </c>
      <c r="K13" s="76">
        <v>0.5</v>
      </c>
      <c r="L13" s="76" t="s">
        <v>357</v>
      </c>
    </row>
    <row r="14" spans="1:12" ht="15.6">
      <c r="A14" s="69" t="s">
        <v>341</v>
      </c>
      <c r="B14" s="69" t="s">
        <v>342</v>
      </c>
      <c r="C14" s="69" t="s">
        <v>343</v>
      </c>
      <c r="D14" s="77" t="s">
        <v>358</v>
      </c>
      <c r="E14" s="77" t="s">
        <v>359</v>
      </c>
      <c r="F14" s="78">
        <v>16.5</v>
      </c>
      <c r="G14" s="78">
        <v>242</v>
      </c>
      <c r="H14" s="77" t="s">
        <v>346</v>
      </c>
      <c r="I14" s="79">
        <v>242</v>
      </c>
      <c r="J14" s="80">
        <v>3</v>
      </c>
      <c r="K14" s="80">
        <v>6.3</v>
      </c>
      <c r="L14" s="80" t="s">
        <v>360</v>
      </c>
    </row>
    <row r="15" spans="1:12" ht="15.6">
      <c r="A15" s="69" t="s">
        <v>341</v>
      </c>
      <c r="B15" s="69" t="s">
        <v>342</v>
      </c>
      <c r="C15" s="69" t="s">
        <v>343</v>
      </c>
      <c r="D15" s="69" t="s">
        <v>358</v>
      </c>
      <c r="E15" s="69" t="s">
        <v>359</v>
      </c>
      <c r="F15" s="70">
        <v>17.5</v>
      </c>
      <c r="G15" s="70">
        <v>635</v>
      </c>
      <c r="H15" s="69" t="s">
        <v>346</v>
      </c>
      <c r="I15" s="71">
        <v>635</v>
      </c>
      <c r="J15" s="72">
        <v>5</v>
      </c>
      <c r="K15" s="72">
        <v>16.399999999999999</v>
      </c>
      <c r="L15" s="72" t="s">
        <v>361</v>
      </c>
    </row>
    <row r="16" spans="1:12" ht="15.6">
      <c r="A16" s="69" t="s">
        <v>341</v>
      </c>
      <c r="B16" s="69" t="s">
        <v>342</v>
      </c>
      <c r="C16" s="69" t="s">
        <v>343</v>
      </c>
      <c r="D16" s="69" t="s">
        <v>358</v>
      </c>
      <c r="E16" s="69" t="s">
        <v>359</v>
      </c>
      <c r="F16" s="70">
        <v>18.5</v>
      </c>
      <c r="G16" s="70">
        <v>906</v>
      </c>
      <c r="H16" s="69" t="s">
        <v>346</v>
      </c>
      <c r="I16" s="71">
        <v>600</v>
      </c>
      <c r="J16" s="72"/>
      <c r="K16" s="72">
        <v>16.100000000000001</v>
      </c>
      <c r="L16" s="72" t="s">
        <v>362</v>
      </c>
    </row>
    <row r="17" spans="1:12" ht="15.6">
      <c r="A17" s="69"/>
      <c r="B17" s="69" t="s">
        <v>342</v>
      </c>
      <c r="C17" s="69" t="s">
        <v>343</v>
      </c>
      <c r="D17" s="69" t="s">
        <v>358</v>
      </c>
      <c r="E17" s="69" t="s">
        <v>359</v>
      </c>
      <c r="F17" s="70"/>
      <c r="G17" s="70"/>
      <c r="H17" s="69"/>
      <c r="I17" s="71">
        <v>306</v>
      </c>
      <c r="J17" s="72">
        <v>9</v>
      </c>
      <c r="K17" s="72">
        <v>8.5</v>
      </c>
      <c r="L17" s="72" t="s">
        <v>363</v>
      </c>
    </row>
    <row r="18" spans="1:12" ht="15.6">
      <c r="A18" s="69" t="s">
        <v>341</v>
      </c>
      <c r="B18" s="69" t="s">
        <v>342</v>
      </c>
      <c r="C18" s="69" t="s">
        <v>343</v>
      </c>
      <c r="D18" s="69" t="s">
        <v>358</v>
      </c>
      <c r="E18" s="69" t="s">
        <v>359</v>
      </c>
      <c r="F18" s="70">
        <v>19.5</v>
      </c>
      <c r="G18" s="70">
        <v>1048</v>
      </c>
      <c r="H18" s="69" t="s">
        <v>346</v>
      </c>
      <c r="I18" s="71">
        <v>600</v>
      </c>
      <c r="J18" s="72"/>
      <c r="K18" s="72">
        <v>17.100000000000001</v>
      </c>
      <c r="L18" s="72" t="s">
        <v>364</v>
      </c>
    </row>
    <row r="19" spans="1:12" ht="15.6">
      <c r="A19" s="69"/>
      <c r="B19" s="69" t="s">
        <v>342</v>
      </c>
      <c r="C19" s="69" t="s">
        <v>343</v>
      </c>
      <c r="D19" s="69" t="s">
        <v>358</v>
      </c>
      <c r="E19" s="69" t="s">
        <v>359</v>
      </c>
      <c r="F19" s="70"/>
      <c r="G19" s="70"/>
      <c r="H19" s="69"/>
      <c r="I19" s="71">
        <v>448</v>
      </c>
      <c r="J19" s="72">
        <v>7</v>
      </c>
      <c r="K19" s="72">
        <v>13.1</v>
      </c>
      <c r="L19" s="72" t="s">
        <v>365</v>
      </c>
    </row>
    <row r="20" spans="1:12" ht="15.6">
      <c r="A20" s="69" t="s">
        <v>341</v>
      </c>
      <c r="B20" s="69" t="s">
        <v>342</v>
      </c>
      <c r="C20" s="69" t="s">
        <v>343</v>
      </c>
      <c r="D20" s="69" t="s">
        <v>358</v>
      </c>
      <c r="E20" s="69" t="s">
        <v>359</v>
      </c>
      <c r="F20" s="70">
        <v>20.5</v>
      </c>
      <c r="G20" s="70">
        <v>714</v>
      </c>
      <c r="H20" s="69" t="s">
        <v>346</v>
      </c>
      <c r="I20" s="71">
        <v>714</v>
      </c>
      <c r="J20" s="72">
        <v>6</v>
      </c>
      <c r="K20" s="72">
        <v>21.5</v>
      </c>
      <c r="L20" s="72" t="s">
        <v>366</v>
      </c>
    </row>
    <row r="21" spans="1:12" ht="15.6">
      <c r="A21" s="69" t="s">
        <v>341</v>
      </c>
      <c r="B21" s="69" t="s">
        <v>342</v>
      </c>
      <c r="C21" s="69" t="s">
        <v>343</v>
      </c>
      <c r="D21" s="69" t="s">
        <v>358</v>
      </c>
      <c r="E21" s="69" t="s">
        <v>359</v>
      </c>
      <c r="F21" s="70">
        <v>21.5</v>
      </c>
      <c r="G21" s="70">
        <v>136</v>
      </c>
      <c r="H21" s="69" t="s">
        <v>346</v>
      </c>
      <c r="I21" s="71">
        <v>136</v>
      </c>
      <c r="J21" s="72">
        <v>4</v>
      </c>
      <c r="K21" s="72">
        <v>4.4000000000000004</v>
      </c>
      <c r="L21" s="72" t="s">
        <v>367</v>
      </c>
    </row>
    <row r="22" spans="1:12" ht="15.6">
      <c r="A22" s="69" t="s">
        <v>341</v>
      </c>
      <c r="B22" s="69" t="s">
        <v>342</v>
      </c>
      <c r="C22" s="69" t="s">
        <v>343</v>
      </c>
      <c r="D22" s="69" t="s">
        <v>358</v>
      </c>
      <c r="E22" s="69" t="s">
        <v>359</v>
      </c>
      <c r="F22" s="70">
        <v>22.5</v>
      </c>
      <c r="G22" s="70">
        <v>75</v>
      </c>
      <c r="H22" s="69" t="s">
        <v>346</v>
      </c>
      <c r="I22" s="71">
        <v>75</v>
      </c>
      <c r="J22" s="72">
        <v>5</v>
      </c>
      <c r="K22" s="72">
        <v>2.7</v>
      </c>
      <c r="L22" s="72" t="s">
        <v>368</v>
      </c>
    </row>
    <row r="23" spans="1:12" ht="15.6">
      <c r="A23" s="69" t="s">
        <v>341</v>
      </c>
      <c r="B23" s="69" t="s">
        <v>342</v>
      </c>
      <c r="C23" s="69" t="s">
        <v>343</v>
      </c>
      <c r="D23" s="69" t="s">
        <v>358</v>
      </c>
      <c r="E23" s="69" t="s">
        <v>359</v>
      </c>
      <c r="F23" s="70">
        <v>23.5</v>
      </c>
      <c r="G23" s="70">
        <v>27</v>
      </c>
      <c r="H23" s="69" t="s">
        <v>346</v>
      </c>
      <c r="I23" s="71">
        <v>27</v>
      </c>
      <c r="J23" s="72">
        <v>3</v>
      </c>
      <c r="K23" s="72">
        <v>1.1000000000000001</v>
      </c>
      <c r="L23" s="72" t="s">
        <v>369</v>
      </c>
    </row>
    <row r="24" spans="1:12" ht="16.2" thickBot="1">
      <c r="A24" s="69" t="s">
        <v>341</v>
      </c>
      <c r="B24" s="69" t="s">
        <v>342</v>
      </c>
      <c r="C24" s="69" t="s">
        <v>343</v>
      </c>
      <c r="D24" s="73" t="s">
        <v>358</v>
      </c>
      <c r="E24" s="73" t="s">
        <v>359</v>
      </c>
      <c r="F24" s="74">
        <v>24.5</v>
      </c>
      <c r="G24" s="74">
        <v>11</v>
      </c>
      <c r="H24" s="73" t="s">
        <v>346</v>
      </c>
      <c r="I24" s="75">
        <v>11</v>
      </c>
      <c r="J24" s="76">
        <v>2</v>
      </c>
      <c r="K24" s="76">
        <v>0.5</v>
      </c>
      <c r="L24" s="76" t="s">
        <v>370</v>
      </c>
    </row>
    <row r="25" spans="1:12" ht="15.6">
      <c r="A25" s="69" t="s">
        <v>341</v>
      </c>
      <c r="B25" s="69" t="s">
        <v>342</v>
      </c>
      <c r="C25" s="69" t="s">
        <v>343</v>
      </c>
      <c r="D25" s="77" t="s">
        <v>371</v>
      </c>
      <c r="E25" s="77" t="s">
        <v>372</v>
      </c>
      <c r="F25" s="78">
        <v>16.5</v>
      </c>
      <c r="G25" s="78">
        <v>64</v>
      </c>
      <c r="H25" s="77" t="s">
        <v>346</v>
      </c>
      <c r="I25" s="79">
        <v>64</v>
      </c>
      <c r="J25" s="80">
        <v>3</v>
      </c>
      <c r="K25" s="80">
        <v>1.7</v>
      </c>
      <c r="L25" s="80" t="s">
        <v>373</v>
      </c>
    </row>
    <row r="26" spans="1:12" ht="15.6">
      <c r="A26" s="69" t="s">
        <v>341</v>
      </c>
      <c r="B26" s="69" t="s">
        <v>342</v>
      </c>
      <c r="C26" s="69" t="s">
        <v>343</v>
      </c>
      <c r="D26" s="69" t="s">
        <v>371</v>
      </c>
      <c r="E26" s="69" t="s">
        <v>372</v>
      </c>
      <c r="F26" s="70">
        <v>17.5</v>
      </c>
      <c r="G26" s="70">
        <v>167</v>
      </c>
      <c r="H26" s="69" t="s">
        <v>346</v>
      </c>
      <c r="I26" s="71">
        <v>167</v>
      </c>
      <c r="J26" s="72">
        <v>3</v>
      </c>
      <c r="K26" s="72">
        <v>4.4000000000000004</v>
      </c>
      <c r="L26" s="72" t="s">
        <v>374</v>
      </c>
    </row>
    <row r="27" spans="1:12" ht="15.6">
      <c r="A27" s="69" t="s">
        <v>341</v>
      </c>
      <c r="B27" s="69" t="s">
        <v>342</v>
      </c>
      <c r="C27" s="69" t="s">
        <v>343</v>
      </c>
      <c r="D27" s="69" t="s">
        <v>371</v>
      </c>
      <c r="E27" s="69" t="s">
        <v>372</v>
      </c>
      <c r="F27" s="70">
        <v>18.5</v>
      </c>
      <c r="G27" s="70">
        <v>274</v>
      </c>
      <c r="H27" s="69" t="s">
        <v>346</v>
      </c>
      <c r="I27" s="71">
        <v>274</v>
      </c>
      <c r="J27" s="72">
        <v>6</v>
      </c>
      <c r="K27" s="72">
        <v>7.3</v>
      </c>
      <c r="L27" s="72" t="s">
        <v>375</v>
      </c>
    </row>
    <row r="28" spans="1:12" ht="15.6">
      <c r="A28" s="69" t="s">
        <v>341</v>
      </c>
      <c r="B28" s="69" t="s">
        <v>342</v>
      </c>
      <c r="C28" s="69" t="s">
        <v>343</v>
      </c>
      <c r="D28" s="69" t="s">
        <v>371</v>
      </c>
      <c r="E28" s="69" t="s">
        <v>372</v>
      </c>
      <c r="F28" s="70">
        <v>19.5</v>
      </c>
      <c r="G28" s="70">
        <v>277</v>
      </c>
      <c r="H28" s="69" t="s">
        <v>346</v>
      </c>
      <c r="I28" s="71">
        <v>277</v>
      </c>
      <c r="J28" s="72">
        <v>3</v>
      </c>
      <c r="K28" s="72">
        <v>8</v>
      </c>
      <c r="L28" s="72" t="s">
        <v>376</v>
      </c>
    </row>
    <row r="29" spans="1:12" ht="15.6">
      <c r="A29" s="69" t="s">
        <v>341</v>
      </c>
      <c r="B29" s="69" t="s">
        <v>342</v>
      </c>
      <c r="C29" s="69" t="s">
        <v>343</v>
      </c>
      <c r="D29" s="69" t="s">
        <v>371</v>
      </c>
      <c r="E29" s="69" t="s">
        <v>372</v>
      </c>
      <c r="F29" s="70">
        <v>20.5</v>
      </c>
      <c r="G29" s="70">
        <v>188</v>
      </c>
      <c r="H29" s="69" t="s">
        <v>346</v>
      </c>
      <c r="I29" s="71">
        <v>188</v>
      </c>
      <c r="J29" s="72">
        <v>7</v>
      </c>
      <c r="K29" s="72">
        <v>5.8</v>
      </c>
      <c r="L29" s="72" t="s">
        <v>377</v>
      </c>
    </row>
    <row r="30" spans="1:12" ht="15.6">
      <c r="A30" s="69" t="s">
        <v>341</v>
      </c>
      <c r="B30" s="69" t="s">
        <v>342</v>
      </c>
      <c r="C30" s="69" t="s">
        <v>343</v>
      </c>
      <c r="D30" s="69" t="s">
        <v>371</v>
      </c>
      <c r="E30" s="69" t="s">
        <v>372</v>
      </c>
      <c r="F30" s="70">
        <v>21.5</v>
      </c>
      <c r="G30" s="70">
        <v>37</v>
      </c>
      <c r="H30" s="69" t="s">
        <v>346</v>
      </c>
      <c r="I30" s="71">
        <v>37</v>
      </c>
      <c r="J30" s="72">
        <v>3</v>
      </c>
      <c r="K30" s="72">
        <v>1.2</v>
      </c>
      <c r="L30" s="72" t="s">
        <v>378</v>
      </c>
    </row>
    <row r="31" spans="1:12" ht="15.6">
      <c r="A31" s="69" t="s">
        <v>341</v>
      </c>
      <c r="B31" s="69" t="s">
        <v>342</v>
      </c>
      <c r="C31" s="69" t="s">
        <v>343</v>
      </c>
      <c r="D31" s="69" t="s">
        <v>371</v>
      </c>
      <c r="E31" s="69" t="s">
        <v>372</v>
      </c>
      <c r="F31" s="70">
        <v>22.5</v>
      </c>
      <c r="G31" s="70">
        <v>21</v>
      </c>
      <c r="H31" s="69" t="s">
        <v>346</v>
      </c>
      <c r="I31" s="71">
        <v>21</v>
      </c>
      <c r="J31" s="72">
        <v>3</v>
      </c>
      <c r="K31" s="72">
        <v>0.8</v>
      </c>
      <c r="L31" s="72" t="s">
        <v>379</v>
      </c>
    </row>
    <row r="32" spans="1:12" ht="15.6">
      <c r="A32" s="69" t="s">
        <v>341</v>
      </c>
      <c r="B32" s="69" t="s">
        <v>342</v>
      </c>
      <c r="C32" s="69" t="s">
        <v>343</v>
      </c>
      <c r="D32" s="69" t="s">
        <v>371</v>
      </c>
      <c r="E32" s="69" t="s">
        <v>372</v>
      </c>
      <c r="F32" s="70">
        <v>23.5</v>
      </c>
      <c r="G32" s="70">
        <v>8</v>
      </c>
      <c r="H32" s="69" t="s">
        <v>346</v>
      </c>
      <c r="I32" s="71">
        <v>8</v>
      </c>
      <c r="J32" s="72">
        <v>2</v>
      </c>
      <c r="K32" s="72">
        <v>0.4</v>
      </c>
      <c r="L32" s="72" t="s">
        <v>380</v>
      </c>
    </row>
    <row r="33" spans="1:12" ht="16.2" thickBot="1">
      <c r="A33" s="69" t="s">
        <v>341</v>
      </c>
      <c r="B33" s="69" t="s">
        <v>342</v>
      </c>
      <c r="C33" s="69" t="s">
        <v>343</v>
      </c>
      <c r="D33" s="73" t="s">
        <v>371</v>
      </c>
      <c r="E33" s="73" t="s">
        <v>372</v>
      </c>
      <c r="F33" s="74">
        <v>24.5</v>
      </c>
      <c r="G33" s="74">
        <v>4</v>
      </c>
      <c r="H33" s="73" t="s">
        <v>346</v>
      </c>
      <c r="I33" s="75">
        <v>4</v>
      </c>
      <c r="J33" s="76">
        <v>2</v>
      </c>
      <c r="K33" s="76">
        <v>0.2</v>
      </c>
      <c r="L33" s="76" t="s">
        <v>381</v>
      </c>
    </row>
    <row r="34" spans="1:12" ht="15.6">
      <c r="A34" s="69" t="s">
        <v>382</v>
      </c>
      <c r="B34" s="69" t="s">
        <v>383</v>
      </c>
      <c r="C34" s="69" t="s">
        <v>343</v>
      </c>
      <c r="D34" s="77" t="s">
        <v>284</v>
      </c>
      <c r="E34" s="77" t="s">
        <v>384</v>
      </c>
      <c r="F34" s="78">
        <v>16.5</v>
      </c>
      <c r="G34" s="78">
        <v>618</v>
      </c>
      <c r="H34" s="77" t="s">
        <v>385</v>
      </c>
      <c r="I34" s="79">
        <v>618</v>
      </c>
      <c r="J34" s="80">
        <v>7</v>
      </c>
      <c r="K34" s="80">
        <v>14.3</v>
      </c>
      <c r="L34" s="80" t="s">
        <v>386</v>
      </c>
    </row>
    <row r="35" spans="1:12" ht="15.6">
      <c r="A35" s="69" t="s">
        <v>382</v>
      </c>
      <c r="B35" s="69" t="s">
        <v>383</v>
      </c>
      <c r="C35" s="69" t="s">
        <v>343</v>
      </c>
      <c r="D35" s="77" t="s">
        <v>284</v>
      </c>
      <c r="E35" s="77" t="s">
        <v>384</v>
      </c>
      <c r="F35" s="70">
        <v>17.5</v>
      </c>
      <c r="G35" s="70">
        <v>1360</v>
      </c>
      <c r="H35" s="69" t="s">
        <v>385</v>
      </c>
      <c r="I35" s="71">
        <v>600</v>
      </c>
      <c r="J35" s="72"/>
      <c r="K35" s="72">
        <v>14</v>
      </c>
      <c r="L35" s="72" t="s">
        <v>387</v>
      </c>
    </row>
    <row r="36" spans="1:12" ht="15.6">
      <c r="A36" s="69"/>
      <c r="B36" s="69" t="s">
        <v>383</v>
      </c>
      <c r="C36" s="69" t="s">
        <v>343</v>
      </c>
      <c r="D36" s="77" t="s">
        <v>284</v>
      </c>
      <c r="E36" s="77" t="s">
        <v>384</v>
      </c>
      <c r="F36" s="70"/>
      <c r="G36" s="70"/>
      <c r="H36" s="69"/>
      <c r="I36" s="71">
        <v>760</v>
      </c>
      <c r="J36" s="72">
        <v>10</v>
      </c>
      <c r="K36" s="72">
        <v>17.899999999999999</v>
      </c>
      <c r="L36" s="72" t="s">
        <v>388</v>
      </c>
    </row>
    <row r="37" spans="1:12" ht="16.2" customHeight="1">
      <c r="A37" s="69" t="s">
        <v>382</v>
      </c>
      <c r="B37" s="69" t="s">
        <v>383</v>
      </c>
      <c r="C37" s="69" t="s">
        <v>343</v>
      </c>
      <c r="D37" s="77" t="s">
        <v>284</v>
      </c>
      <c r="E37" s="77" t="s">
        <v>384</v>
      </c>
      <c r="F37" s="70">
        <v>18.5</v>
      </c>
      <c r="G37" s="70">
        <v>2040</v>
      </c>
      <c r="H37" s="69" t="s">
        <v>385</v>
      </c>
      <c r="I37" s="71">
        <v>750</v>
      </c>
      <c r="J37" s="72"/>
      <c r="K37" s="72">
        <v>18.7</v>
      </c>
      <c r="L37" s="72" t="s">
        <v>389</v>
      </c>
    </row>
    <row r="38" spans="1:12" ht="16.2" customHeight="1">
      <c r="A38" s="69"/>
      <c r="B38" s="69" t="s">
        <v>383</v>
      </c>
      <c r="C38" s="69" t="s">
        <v>343</v>
      </c>
      <c r="D38" s="77" t="s">
        <v>284</v>
      </c>
      <c r="E38" s="77" t="s">
        <v>384</v>
      </c>
      <c r="F38" s="70"/>
      <c r="G38" s="70"/>
      <c r="H38" s="69"/>
      <c r="I38" s="71">
        <v>750</v>
      </c>
      <c r="J38" s="72"/>
      <c r="K38" s="72">
        <v>18.7</v>
      </c>
      <c r="L38" s="72" t="s">
        <v>390</v>
      </c>
    </row>
    <row r="39" spans="1:12" ht="16.2" customHeight="1">
      <c r="A39" s="69"/>
      <c r="B39" s="69" t="s">
        <v>383</v>
      </c>
      <c r="C39" s="69" t="s">
        <v>343</v>
      </c>
      <c r="D39" s="77" t="s">
        <v>284</v>
      </c>
      <c r="E39" s="77" t="s">
        <v>384</v>
      </c>
      <c r="F39" s="70"/>
      <c r="G39" s="70"/>
      <c r="H39" s="69"/>
      <c r="I39" s="71">
        <v>540</v>
      </c>
      <c r="J39" s="72">
        <v>10</v>
      </c>
      <c r="K39" s="72">
        <v>13.7</v>
      </c>
      <c r="L39" s="72" t="s">
        <v>391</v>
      </c>
    </row>
    <row r="40" spans="1:12" ht="15.6">
      <c r="A40" s="69" t="s">
        <v>382</v>
      </c>
      <c r="B40" s="69" t="s">
        <v>383</v>
      </c>
      <c r="C40" s="69" t="s">
        <v>343</v>
      </c>
      <c r="D40" s="77" t="s">
        <v>284</v>
      </c>
      <c r="E40" s="77" t="s">
        <v>384</v>
      </c>
      <c r="F40" s="70">
        <v>19.5</v>
      </c>
      <c r="G40" s="70">
        <v>1422</v>
      </c>
      <c r="H40" s="69" t="s">
        <v>385</v>
      </c>
      <c r="I40" s="71">
        <v>750</v>
      </c>
      <c r="J40" s="72"/>
      <c r="K40" s="72">
        <v>20</v>
      </c>
      <c r="L40" s="72" t="s">
        <v>392</v>
      </c>
    </row>
    <row r="41" spans="1:12" ht="15.6">
      <c r="A41" s="69"/>
      <c r="B41" s="69" t="s">
        <v>383</v>
      </c>
      <c r="C41" s="69" t="s">
        <v>343</v>
      </c>
      <c r="D41" s="77" t="s">
        <v>284</v>
      </c>
      <c r="E41" s="77" t="s">
        <v>384</v>
      </c>
      <c r="F41" s="70"/>
      <c r="G41" s="70"/>
      <c r="H41" s="69"/>
      <c r="I41" s="71">
        <v>672</v>
      </c>
      <c r="J41" s="72">
        <v>8</v>
      </c>
      <c r="K41" s="72">
        <v>18.2</v>
      </c>
      <c r="L41" s="72" t="s">
        <v>393</v>
      </c>
    </row>
    <row r="42" spans="1:12" ht="16.2" thickBot="1">
      <c r="A42" s="69" t="s">
        <v>382</v>
      </c>
      <c r="B42" s="69" t="s">
        <v>383</v>
      </c>
      <c r="C42" s="69" t="s">
        <v>343</v>
      </c>
      <c r="D42" s="73" t="s">
        <v>284</v>
      </c>
      <c r="E42" s="73" t="s">
        <v>384</v>
      </c>
      <c r="F42" s="74">
        <v>20.5</v>
      </c>
      <c r="G42" s="74">
        <v>742</v>
      </c>
      <c r="H42" s="73" t="s">
        <v>385</v>
      </c>
      <c r="I42" s="75">
        <v>742</v>
      </c>
      <c r="J42" s="76">
        <v>2</v>
      </c>
      <c r="K42" s="76">
        <v>21</v>
      </c>
      <c r="L42" s="76" t="s">
        <v>394</v>
      </c>
    </row>
    <row r="43" spans="1:12" ht="15.6">
      <c r="A43" s="69" t="s">
        <v>382</v>
      </c>
      <c r="B43" s="69" t="s">
        <v>383</v>
      </c>
      <c r="C43" s="69" t="s">
        <v>343</v>
      </c>
      <c r="D43" s="77" t="s">
        <v>315</v>
      </c>
      <c r="E43" s="77" t="s">
        <v>395</v>
      </c>
      <c r="F43" s="78">
        <v>16.5</v>
      </c>
      <c r="G43" s="78">
        <v>330</v>
      </c>
      <c r="H43" s="77" t="s">
        <v>385</v>
      </c>
      <c r="I43" s="79">
        <v>330</v>
      </c>
      <c r="J43" s="80">
        <v>5</v>
      </c>
      <c r="K43" s="80">
        <v>8</v>
      </c>
      <c r="L43" s="80" t="s">
        <v>396</v>
      </c>
    </row>
    <row r="44" spans="1:12" ht="15.6">
      <c r="A44" s="69" t="s">
        <v>382</v>
      </c>
      <c r="B44" s="69" t="s">
        <v>383</v>
      </c>
      <c r="C44" s="69" t="s">
        <v>343</v>
      </c>
      <c r="D44" s="69" t="s">
        <v>315</v>
      </c>
      <c r="E44" s="69" t="s">
        <v>395</v>
      </c>
      <c r="F44" s="70">
        <v>17.5</v>
      </c>
      <c r="G44" s="70">
        <v>726</v>
      </c>
      <c r="H44" s="69" t="s">
        <v>385</v>
      </c>
      <c r="I44" s="71">
        <v>726</v>
      </c>
      <c r="J44" s="72">
        <v>9</v>
      </c>
      <c r="K44" s="72">
        <v>17.399999999999999</v>
      </c>
      <c r="L44" s="72" t="s">
        <v>397</v>
      </c>
    </row>
    <row r="45" spans="1:12" ht="15.6">
      <c r="A45" s="69" t="s">
        <v>382</v>
      </c>
      <c r="B45" s="69" t="s">
        <v>383</v>
      </c>
      <c r="C45" s="69" t="s">
        <v>343</v>
      </c>
      <c r="D45" s="69" t="s">
        <v>315</v>
      </c>
      <c r="E45" s="69" t="s">
        <v>395</v>
      </c>
      <c r="F45" s="70">
        <v>18.5</v>
      </c>
      <c r="G45" s="70">
        <v>1088</v>
      </c>
      <c r="H45" s="69" t="s">
        <v>385</v>
      </c>
      <c r="I45" s="71">
        <v>600</v>
      </c>
      <c r="J45" s="72"/>
      <c r="K45" s="72">
        <v>15.2</v>
      </c>
      <c r="L45" s="72" t="s">
        <v>398</v>
      </c>
    </row>
    <row r="46" spans="1:12" ht="15.6">
      <c r="A46" s="69"/>
      <c r="B46" s="69" t="s">
        <v>383</v>
      </c>
      <c r="C46" s="69" t="s">
        <v>343</v>
      </c>
      <c r="D46" s="69" t="s">
        <v>315</v>
      </c>
      <c r="E46" s="69" t="s">
        <v>395</v>
      </c>
      <c r="F46" s="70"/>
      <c r="G46" s="70"/>
      <c r="H46" s="69"/>
      <c r="I46" s="71">
        <v>488</v>
      </c>
      <c r="J46" s="72">
        <v>7</v>
      </c>
      <c r="K46" s="72">
        <v>12.4</v>
      </c>
      <c r="L46" s="72" t="s">
        <v>399</v>
      </c>
    </row>
    <row r="47" spans="1:12" ht="15.6">
      <c r="A47" s="69" t="s">
        <v>382</v>
      </c>
      <c r="B47" s="69" t="s">
        <v>383</v>
      </c>
      <c r="C47" s="69" t="s">
        <v>343</v>
      </c>
      <c r="D47" s="69" t="s">
        <v>315</v>
      </c>
      <c r="E47" s="69" t="s">
        <v>395</v>
      </c>
      <c r="F47" s="70">
        <v>19.5</v>
      </c>
      <c r="G47" s="70">
        <v>759</v>
      </c>
      <c r="H47" s="69" t="s">
        <v>385</v>
      </c>
      <c r="I47" s="71">
        <v>759</v>
      </c>
      <c r="J47" s="72">
        <v>6</v>
      </c>
      <c r="K47" s="72">
        <v>21</v>
      </c>
      <c r="L47" s="72" t="s">
        <v>400</v>
      </c>
    </row>
    <row r="48" spans="1:12" ht="16.2" thickBot="1">
      <c r="A48" s="69" t="s">
        <v>382</v>
      </c>
      <c r="B48" s="69" t="s">
        <v>383</v>
      </c>
      <c r="C48" s="69" t="s">
        <v>343</v>
      </c>
      <c r="D48" s="73" t="s">
        <v>315</v>
      </c>
      <c r="E48" s="73" t="s">
        <v>395</v>
      </c>
      <c r="F48" s="74">
        <v>20.5</v>
      </c>
      <c r="G48" s="74">
        <v>396</v>
      </c>
      <c r="H48" s="73" t="s">
        <v>385</v>
      </c>
      <c r="I48" s="75">
        <v>396</v>
      </c>
      <c r="J48" s="76">
        <v>4</v>
      </c>
      <c r="K48" s="76">
        <v>11.3</v>
      </c>
      <c r="L48" s="76" t="s">
        <v>401</v>
      </c>
    </row>
    <row r="49" spans="1:12" ht="15.6">
      <c r="A49" s="69" t="s">
        <v>382</v>
      </c>
      <c r="B49" s="69" t="s">
        <v>383</v>
      </c>
      <c r="C49" s="69" t="s">
        <v>343</v>
      </c>
      <c r="D49" s="77" t="s">
        <v>371</v>
      </c>
      <c r="E49" s="77" t="s">
        <v>372</v>
      </c>
      <c r="F49" s="78">
        <v>16.5</v>
      </c>
      <c r="G49" s="78">
        <v>515</v>
      </c>
      <c r="H49" s="77" t="s">
        <v>385</v>
      </c>
      <c r="I49" s="79">
        <v>515</v>
      </c>
      <c r="J49" s="80">
        <v>5</v>
      </c>
      <c r="K49" s="80">
        <v>11.9</v>
      </c>
      <c r="L49" s="80" t="s">
        <v>402</v>
      </c>
    </row>
    <row r="50" spans="1:12" ht="15.6">
      <c r="A50" s="69" t="s">
        <v>382</v>
      </c>
      <c r="B50" s="69" t="s">
        <v>383</v>
      </c>
      <c r="C50" s="69" t="s">
        <v>343</v>
      </c>
      <c r="D50" s="77" t="s">
        <v>371</v>
      </c>
      <c r="E50" s="77" t="s">
        <v>372</v>
      </c>
      <c r="F50" s="70">
        <v>17.5</v>
      </c>
      <c r="G50" s="70">
        <v>1133</v>
      </c>
      <c r="H50" s="69" t="s">
        <v>385</v>
      </c>
      <c r="I50" s="71">
        <v>600</v>
      </c>
      <c r="J50" s="72"/>
      <c r="K50" s="72">
        <v>13.8</v>
      </c>
      <c r="L50" s="72" t="s">
        <v>403</v>
      </c>
    </row>
    <row r="51" spans="1:12" ht="15.6">
      <c r="A51" s="69"/>
      <c r="B51" s="69" t="s">
        <v>383</v>
      </c>
      <c r="C51" s="69" t="s">
        <v>343</v>
      </c>
      <c r="D51" s="77" t="s">
        <v>371</v>
      </c>
      <c r="E51" s="77" t="s">
        <v>372</v>
      </c>
      <c r="F51" s="70"/>
      <c r="G51" s="70"/>
      <c r="H51" s="69"/>
      <c r="I51" s="71">
        <v>533</v>
      </c>
      <c r="J51" s="72">
        <v>7</v>
      </c>
      <c r="K51" s="72">
        <v>12.5</v>
      </c>
      <c r="L51" s="72" t="s">
        <v>404</v>
      </c>
    </row>
    <row r="52" spans="1:12" ht="15.6">
      <c r="A52" s="69" t="s">
        <v>382</v>
      </c>
      <c r="B52" s="69" t="s">
        <v>383</v>
      </c>
      <c r="C52" s="69" t="s">
        <v>343</v>
      </c>
      <c r="D52" s="77" t="s">
        <v>371</v>
      </c>
      <c r="E52" s="77" t="s">
        <v>372</v>
      </c>
      <c r="F52" s="70">
        <v>18.5</v>
      </c>
      <c r="G52" s="70">
        <v>1700</v>
      </c>
      <c r="H52" s="69" t="s">
        <v>385</v>
      </c>
      <c r="I52" s="71">
        <v>600</v>
      </c>
      <c r="J52" s="72"/>
      <c r="K52" s="72">
        <v>14.8</v>
      </c>
      <c r="L52" s="72" t="s">
        <v>405</v>
      </c>
    </row>
    <row r="53" spans="1:12" ht="15.6">
      <c r="A53" s="69"/>
      <c r="B53" s="69" t="s">
        <v>383</v>
      </c>
      <c r="C53" s="69" t="s">
        <v>343</v>
      </c>
      <c r="D53" s="77" t="s">
        <v>371</v>
      </c>
      <c r="E53" s="77" t="s">
        <v>372</v>
      </c>
      <c r="F53" s="70"/>
      <c r="G53" s="70"/>
      <c r="H53" s="69"/>
      <c r="I53" s="71">
        <v>600</v>
      </c>
      <c r="J53" s="72"/>
      <c r="K53" s="72">
        <v>14.9</v>
      </c>
      <c r="L53" s="72" t="s">
        <v>406</v>
      </c>
    </row>
    <row r="54" spans="1:12" ht="15.6">
      <c r="A54" s="69"/>
      <c r="B54" s="69" t="s">
        <v>383</v>
      </c>
      <c r="C54" s="69" t="s">
        <v>343</v>
      </c>
      <c r="D54" s="77" t="s">
        <v>371</v>
      </c>
      <c r="E54" s="77" t="s">
        <v>372</v>
      </c>
      <c r="F54" s="70"/>
      <c r="G54" s="70"/>
      <c r="H54" s="69"/>
      <c r="I54" s="71">
        <v>500</v>
      </c>
      <c r="J54" s="72">
        <v>10</v>
      </c>
      <c r="K54" s="72">
        <v>12.6</v>
      </c>
      <c r="L54" s="72" t="s">
        <v>407</v>
      </c>
    </row>
    <row r="55" spans="1:12" ht="15.6">
      <c r="A55" s="69" t="s">
        <v>382</v>
      </c>
      <c r="B55" s="69" t="s">
        <v>383</v>
      </c>
      <c r="C55" s="69" t="s">
        <v>343</v>
      </c>
      <c r="D55" s="77" t="s">
        <v>371</v>
      </c>
      <c r="E55" s="77" t="s">
        <v>372</v>
      </c>
      <c r="F55" s="70">
        <v>19.5</v>
      </c>
      <c r="G55" s="70">
        <v>1185</v>
      </c>
      <c r="H55" s="69" t="s">
        <v>385</v>
      </c>
      <c r="I55" s="71">
        <v>600</v>
      </c>
      <c r="J55" s="72"/>
      <c r="K55" s="72">
        <v>16</v>
      </c>
      <c r="L55" s="72" t="s">
        <v>408</v>
      </c>
    </row>
    <row r="56" spans="1:12" ht="15.6">
      <c r="A56" s="69"/>
      <c r="B56" s="69" t="s">
        <v>383</v>
      </c>
      <c r="C56" s="69" t="s">
        <v>343</v>
      </c>
      <c r="D56" s="77" t="s">
        <v>371</v>
      </c>
      <c r="E56" s="77" t="s">
        <v>372</v>
      </c>
      <c r="F56" s="70"/>
      <c r="G56" s="70"/>
      <c r="H56" s="69"/>
      <c r="I56" s="71">
        <v>585</v>
      </c>
      <c r="J56" s="72">
        <v>5</v>
      </c>
      <c r="K56" s="72">
        <v>15.7</v>
      </c>
      <c r="L56" s="72" t="s">
        <v>409</v>
      </c>
    </row>
    <row r="57" spans="1:12" ht="16.2" thickBot="1">
      <c r="A57" s="69" t="s">
        <v>382</v>
      </c>
      <c r="B57" s="69" t="s">
        <v>383</v>
      </c>
      <c r="C57" s="69" t="s">
        <v>343</v>
      </c>
      <c r="D57" s="73" t="s">
        <v>371</v>
      </c>
      <c r="E57" s="73" t="s">
        <v>372</v>
      </c>
      <c r="F57" s="74">
        <v>20.5</v>
      </c>
      <c r="G57" s="74">
        <v>618</v>
      </c>
      <c r="H57" s="73" t="s">
        <v>385</v>
      </c>
      <c r="I57" s="75">
        <v>618</v>
      </c>
      <c r="J57" s="76">
        <v>7</v>
      </c>
      <c r="K57" s="76">
        <v>17.5</v>
      </c>
      <c r="L57" s="76" t="s">
        <v>410</v>
      </c>
    </row>
    <row r="58" spans="1:12" ht="15.6">
      <c r="A58" s="69" t="s">
        <v>411</v>
      </c>
      <c r="B58" s="69" t="s">
        <v>412</v>
      </c>
      <c r="C58" s="69" t="s">
        <v>413</v>
      </c>
      <c r="D58" s="77" t="s">
        <v>284</v>
      </c>
      <c r="E58" s="77" t="s">
        <v>384</v>
      </c>
      <c r="F58" s="78">
        <v>14.125</v>
      </c>
      <c r="G58" s="78">
        <v>1236</v>
      </c>
      <c r="H58" s="77" t="s">
        <v>414</v>
      </c>
      <c r="I58" s="79">
        <v>1236</v>
      </c>
      <c r="J58" s="80">
        <v>9</v>
      </c>
      <c r="K58" s="80">
        <v>11.3</v>
      </c>
      <c r="L58" s="80" t="s">
        <v>415</v>
      </c>
    </row>
    <row r="59" spans="1:12" ht="15.6">
      <c r="A59" s="69" t="s">
        <v>411</v>
      </c>
      <c r="B59" s="69" t="s">
        <v>412</v>
      </c>
      <c r="C59" s="69" t="s">
        <v>413</v>
      </c>
      <c r="D59" s="77" t="s">
        <v>284</v>
      </c>
      <c r="E59" s="77" t="s">
        <v>384</v>
      </c>
      <c r="F59" s="70">
        <v>14.75</v>
      </c>
      <c r="G59" s="70">
        <v>2720</v>
      </c>
      <c r="H59" s="69" t="s">
        <v>414</v>
      </c>
      <c r="I59" s="71">
        <v>1500</v>
      </c>
      <c r="J59" s="72"/>
      <c r="K59" s="72">
        <v>14.1</v>
      </c>
      <c r="L59" s="72" t="s">
        <v>416</v>
      </c>
    </row>
    <row r="60" spans="1:12" ht="15.6">
      <c r="A60" s="69"/>
      <c r="B60" s="69" t="s">
        <v>412</v>
      </c>
      <c r="C60" s="69" t="s">
        <v>413</v>
      </c>
      <c r="D60" s="77" t="s">
        <v>284</v>
      </c>
      <c r="E60" s="77" t="s">
        <v>384</v>
      </c>
      <c r="F60" s="70"/>
      <c r="G60" s="70"/>
      <c r="H60" s="69"/>
      <c r="I60" s="71">
        <v>1220</v>
      </c>
      <c r="J60" s="72">
        <v>10</v>
      </c>
      <c r="K60" s="72">
        <v>11.6</v>
      </c>
      <c r="L60" s="72" t="s">
        <v>417</v>
      </c>
    </row>
    <row r="61" spans="1:12" ht="15.6">
      <c r="A61" s="69" t="s">
        <v>411</v>
      </c>
      <c r="B61" s="69" t="s">
        <v>412</v>
      </c>
      <c r="C61" s="69" t="s">
        <v>413</v>
      </c>
      <c r="D61" s="77" t="s">
        <v>284</v>
      </c>
      <c r="E61" s="77" t="s">
        <v>384</v>
      </c>
      <c r="F61" s="70">
        <v>15.375</v>
      </c>
      <c r="G61" s="70">
        <v>4079</v>
      </c>
      <c r="H61" s="69" t="s">
        <v>414</v>
      </c>
      <c r="I61" s="71">
        <v>1500</v>
      </c>
      <c r="J61" s="72"/>
      <c r="K61" s="72">
        <v>15</v>
      </c>
      <c r="L61" s="72" t="s">
        <v>418</v>
      </c>
    </row>
    <row r="62" spans="1:12" ht="15.6">
      <c r="A62" s="69"/>
      <c r="B62" s="69" t="s">
        <v>412</v>
      </c>
      <c r="C62" s="69" t="s">
        <v>413</v>
      </c>
      <c r="D62" s="77" t="s">
        <v>284</v>
      </c>
      <c r="E62" s="77" t="s">
        <v>384</v>
      </c>
      <c r="F62" s="70"/>
      <c r="G62" s="70"/>
      <c r="H62" s="69"/>
      <c r="I62" s="71">
        <v>1500</v>
      </c>
      <c r="J62" s="72"/>
      <c r="K62" s="72">
        <v>14.9</v>
      </c>
      <c r="L62" s="72" t="s">
        <v>419</v>
      </c>
    </row>
    <row r="63" spans="1:12" ht="15.6">
      <c r="A63" s="69"/>
      <c r="B63" s="69" t="s">
        <v>412</v>
      </c>
      <c r="C63" s="69" t="s">
        <v>413</v>
      </c>
      <c r="D63" s="77" t="s">
        <v>284</v>
      </c>
      <c r="E63" s="77" t="s">
        <v>384</v>
      </c>
      <c r="F63" s="70"/>
      <c r="G63" s="70"/>
      <c r="H63" s="69"/>
      <c r="I63" s="71">
        <v>1079</v>
      </c>
      <c r="J63" s="72">
        <v>21</v>
      </c>
      <c r="K63" s="72">
        <v>10.7</v>
      </c>
      <c r="L63" s="72" t="s">
        <v>420</v>
      </c>
    </row>
    <row r="64" spans="1:12" ht="15.6">
      <c r="A64" s="69" t="s">
        <v>411</v>
      </c>
      <c r="B64" s="69" t="s">
        <v>412</v>
      </c>
      <c r="C64" s="69" t="s">
        <v>413</v>
      </c>
      <c r="D64" s="77" t="s">
        <v>284</v>
      </c>
      <c r="E64" s="77" t="s">
        <v>384</v>
      </c>
      <c r="F64" s="70">
        <v>16</v>
      </c>
      <c r="G64" s="70">
        <v>2843</v>
      </c>
      <c r="H64" s="69" t="s">
        <v>414</v>
      </c>
      <c r="I64" s="71">
        <v>1500</v>
      </c>
      <c r="J64" s="72"/>
      <c r="K64" s="72">
        <v>15.2</v>
      </c>
      <c r="L64" s="72" t="s">
        <v>421</v>
      </c>
    </row>
    <row r="65" spans="1:12" ht="15.6">
      <c r="A65" s="69"/>
      <c r="B65" s="69" t="s">
        <v>412</v>
      </c>
      <c r="C65" s="69" t="s">
        <v>413</v>
      </c>
      <c r="D65" s="77" t="s">
        <v>284</v>
      </c>
      <c r="E65" s="77" t="s">
        <v>384</v>
      </c>
      <c r="F65" s="70"/>
      <c r="G65" s="70"/>
      <c r="H65" s="69"/>
      <c r="I65" s="71">
        <v>1343</v>
      </c>
      <c r="J65" s="72">
        <v>7</v>
      </c>
      <c r="K65" s="72">
        <v>13.7</v>
      </c>
      <c r="L65" s="72" t="s">
        <v>422</v>
      </c>
    </row>
    <row r="66" spans="1:12" ht="16.2" thickBot="1">
      <c r="A66" s="69" t="s">
        <v>411</v>
      </c>
      <c r="B66" s="69" t="s">
        <v>412</v>
      </c>
      <c r="C66" s="69" t="s">
        <v>413</v>
      </c>
      <c r="D66" s="73" t="s">
        <v>284</v>
      </c>
      <c r="E66" s="73" t="s">
        <v>384</v>
      </c>
      <c r="F66" s="74">
        <v>16.625</v>
      </c>
      <c r="G66" s="74">
        <v>1484</v>
      </c>
      <c r="H66" s="73" t="s">
        <v>414</v>
      </c>
      <c r="I66" s="75">
        <v>1484</v>
      </c>
      <c r="J66" s="76"/>
      <c r="K66" s="76">
        <v>15.8</v>
      </c>
      <c r="L66" s="76" t="s">
        <v>423</v>
      </c>
    </row>
    <row r="67" spans="1:12" ht="15.6">
      <c r="A67" s="69" t="s">
        <v>411</v>
      </c>
      <c r="B67" s="69" t="s">
        <v>412</v>
      </c>
      <c r="C67" s="69" t="s">
        <v>413</v>
      </c>
      <c r="D67" s="77" t="s">
        <v>315</v>
      </c>
      <c r="E67" s="77" t="s">
        <v>395</v>
      </c>
      <c r="F67" s="78">
        <v>14.125</v>
      </c>
      <c r="G67" s="78">
        <v>660</v>
      </c>
      <c r="H67" s="77" t="s">
        <v>414</v>
      </c>
      <c r="I67" s="79">
        <v>660</v>
      </c>
      <c r="J67" s="80">
        <v>5</v>
      </c>
      <c r="K67" s="80">
        <v>6.2</v>
      </c>
      <c r="L67" s="80" t="s">
        <v>424</v>
      </c>
    </row>
    <row r="68" spans="1:12" ht="15.6">
      <c r="A68" s="69" t="s">
        <v>411</v>
      </c>
      <c r="B68" s="69" t="s">
        <v>412</v>
      </c>
      <c r="C68" s="69" t="s">
        <v>413</v>
      </c>
      <c r="D68" s="77" t="s">
        <v>315</v>
      </c>
      <c r="E68" s="77" t="s">
        <v>395</v>
      </c>
      <c r="F68" s="70">
        <v>14.75</v>
      </c>
      <c r="G68" s="70">
        <v>1451</v>
      </c>
      <c r="H68" s="69" t="s">
        <v>414</v>
      </c>
      <c r="I68" s="71">
        <v>1451</v>
      </c>
      <c r="J68" s="72">
        <v>9</v>
      </c>
      <c r="K68" s="72">
        <v>14</v>
      </c>
      <c r="L68" s="72" t="s">
        <v>425</v>
      </c>
    </row>
    <row r="69" spans="1:12" ht="15.6">
      <c r="A69" s="69" t="s">
        <v>411</v>
      </c>
      <c r="B69" s="69" t="s">
        <v>412</v>
      </c>
      <c r="C69" s="69" t="s">
        <v>413</v>
      </c>
      <c r="D69" s="77" t="s">
        <v>315</v>
      </c>
      <c r="E69" s="77" t="s">
        <v>395</v>
      </c>
      <c r="F69" s="70">
        <v>15.375</v>
      </c>
      <c r="G69" s="70">
        <v>2176</v>
      </c>
      <c r="H69" s="69" t="s">
        <v>414</v>
      </c>
      <c r="I69" s="71">
        <v>1000</v>
      </c>
      <c r="J69" s="72"/>
      <c r="K69" s="72">
        <v>9.8000000000000007</v>
      </c>
      <c r="L69" s="72" t="s">
        <v>426</v>
      </c>
    </row>
    <row r="70" spans="1:12" ht="15.6">
      <c r="A70" s="69"/>
      <c r="B70" s="69" t="s">
        <v>412</v>
      </c>
      <c r="C70" s="69" t="s">
        <v>413</v>
      </c>
      <c r="D70" s="77" t="s">
        <v>315</v>
      </c>
      <c r="E70" s="77" t="s">
        <v>395</v>
      </c>
      <c r="F70" s="70"/>
      <c r="G70" s="70"/>
      <c r="H70" s="69"/>
      <c r="I70" s="71">
        <v>1176</v>
      </c>
      <c r="J70" s="72">
        <v>9</v>
      </c>
      <c r="K70" s="72">
        <v>12</v>
      </c>
      <c r="L70" s="72" t="s">
        <v>427</v>
      </c>
    </row>
    <row r="71" spans="1:12" ht="15.6">
      <c r="A71" s="69" t="s">
        <v>411</v>
      </c>
      <c r="B71" s="69" t="s">
        <v>412</v>
      </c>
      <c r="C71" s="69" t="s">
        <v>413</v>
      </c>
      <c r="D71" s="77" t="s">
        <v>315</v>
      </c>
      <c r="E71" s="77" t="s">
        <v>395</v>
      </c>
      <c r="F71" s="70">
        <v>16</v>
      </c>
      <c r="G71" s="70">
        <v>1517</v>
      </c>
      <c r="H71" s="69" t="s">
        <v>414</v>
      </c>
      <c r="I71" s="71">
        <v>1517</v>
      </c>
      <c r="J71" s="72">
        <v>8</v>
      </c>
      <c r="K71" s="72">
        <v>16.2</v>
      </c>
      <c r="L71" s="72" t="s">
        <v>428</v>
      </c>
    </row>
    <row r="72" spans="1:12" ht="16.2" thickBot="1">
      <c r="A72" s="69" t="s">
        <v>411</v>
      </c>
      <c r="B72" s="69" t="s">
        <v>412</v>
      </c>
      <c r="C72" s="69" t="s">
        <v>413</v>
      </c>
      <c r="D72" s="73" t="s">
        <v>315</v>
      </c>
      <c r="E72" s="73" t="s">
        <v>395</v>
      </c>
      <c r="F72" s="74">
        <v>16.625</v>
      </c>
      <c r="G72" s="74">
        <v>792</v>
      </c>
      <c r="H72" s="73" t="s">
        <v>414</v>
      </c>
      <c r="I72" s="75">
        <v>792</v>
      </c>
      <c r="J72" s="76">
        <v>8</v>
      </c>
      <c r="K72" s="76">
        <v>9</v>
      </c>
      <c r="L72" s="76" t="s">
        <v>429</v>
      </c>
    </row>
    <row r="73" spans="1:12" ht="15.6">
      <c r="A73" s="69" t="s">
        <v>411</v>
      </c>
      <c r="B73" s="69" t="s">
        <v>412</v>
      </c>
      <c r="C73" s="69" t="s">
        <v>413</v>
      </c>
      <c r="D73" s="77" t="s">
        <v>371</v>
      </c>
      <c r="E73" s="77" t="s">
        <v>372</v>
      </c>
      <c r="F73" s="78">
        <v>14.125</v>
      </c>
      <c r="G73" s="78">
        <v>1030</v>
      </c>
      <c r="H73" s="77" t="s">
        <v>414</v>
      </c>
      <c r="I73" s="79">
        <v>1030</v>
      </c>
      <c r="J73" s="80">
        <v>10</v>
      </c>
      <c r="K73" s="80">
        <v>9.4</v>
      </c>
      <c r="L73" s="80" t="s">
        <v>430</v>
      </c>
    </row>
    <row r="74" spans="1:12" ht="15.6">
      <c r="A74" s="69" t="s">
        <v>411</v>
      </c>
      <c r="B74" s="69" t="s">
        <v>412</v>
      </c>
      <c r="C74" s="69" t="s">
        <v>413</v>
      </c>
      <c r="D74" s="77" t="s">
        <v>371</v>
      </c>
      <c r="E74" s="77" t="s">
        <v>372</v>
      </c>
      <c r="F74" s="70">
        <v>14.75</v>
      </c>
      <c r="G74" s="70">
        <v>2266</v>
      </c>
      <c r="H74" s="69" t="s">
        <v>414</v>
      </c>
      <c r="I74" s="71">
        <v>1200</v>
      </c>
      <c r="J74" s="72"/>
      <c r="K74" s="72">
        <v>11.3</v>
      </c>
      <c r="L74" s="72" t="s">
        <v>431</v>
      </c>
    </row>
    <row r="75" spans="1:12" ht="15.6">
      <c r="A75" s="69"/>
      <c r="B75" s="69" t="s">
        <v>412</v>
      </c>
      <c r="C75" s="69" t="s">
        <v>413</v>
      </c>
      <c r="D75" s="77" t="s">
        <v>371</v>
      </c>
      <c r="E75" s="77" t="s">
        <v>372</v>
      </c>
      <c r="F75" s="70"/>
      <c r="G75" s="70"/>
      <c r="H75" s="69"/>
      <c r="I75" s="71">
        <v>1066</v>
      </c>
      <c r="J75" s="72">
        <v>9</v>
      </c>
      <c r="K75" s="72">
        <v>10.1</v>
      </c>
      <c r="L75" s="72" t="s">
        <v>432</v>
      </c>
    </row>
    <row r="76" spans="1:12" ht="15.6">
      <c r="A76" s="69" t="s">
        <v>411</v>
      </c>
      <c r="B76" s="69" t="s">
        <v>412</v>
      </c>
      <c r="C76" s="69" t="s">
        <v>413</v>
      </c>
      <c r="D76" s="77" t="s">
        <v>371</v>
      </c>
      <c r="E76" s="77" t="s">
        <v>372</v>
      </c>
      <c r="F76" s="70">
        <v>15.375</v>
      </c>
      <c r="G76" s="70">
        <v>3399</v>
      </c>
      <c r="H76" s="69" t="s">
        <v>414</v>
      </c>
      <c r="I76" s="71">
        <v>1500</v>
      </c>
      <c r="J76" s="72"/>
      <c r="K76" s="72">
        <v>14.9</v>
      </c>
      <c r="L76" s="72" t="s">
        <v>433</v>
      </c>
    </row>
    <row r="77" spans="1:12" ht="15.6">
      <c r="A77" s="69"/>
      <c r="B77" s="69" t="s">
        <v>412</v>
      </c>
      <c r="C77" s="69" t="s">
        <v>413</v>
      </c>
      <c r="D77" s="77" t="s">
        <v>371</v>
      </c>
      <c r="E77" s="77" t="s">
        <v>372</v>
      </c>
      <c r="F77" s="70"/>
      <c r="G77" s="70"/>
      <c r="H77" s="69"/>
      <c r="I77" s="71">
        <v>1899</v>
      </c>
      <c r="J77" s="72">
        <v>11</v>
      </c>
      <c r="K77" s="72">
        <v>20</v>
      </c>
      <c r="L77" s="72" t="s">
        <v>434</v>
      </c>
    </row>
    <row r="78" spans="1:12" ht="15.6">
      <c r="A78" s="69" t="s">
        <v>411</v>
      </c>
      <c r="B78" s="69" t="s">
        <v>412</v>
      </c>
      <c r="C78" s="69" t="s">
        <v>413</v>
      </c>
      <c r="D78" s="77" t="s">
        <v>371</v>
      </c>
      <c r="E78" s="77" t="s">
        <v>372</v>
      </c>
      <c r="F78" s="70">
        <v>16</v>
      </c>
      <c r="G78" s="70">
        <v>2369</v>
      </c>
      <c r="H78" s="69" t="s">
        <v>414</v>
      </c>
      <c r="I78" s="71">
        <v>1200</v>
      </c>
      <c r="J78" s="72"/>
      <c r="K78" s="72">
        <v>12.2</v>
      </c>
      <c r="L78" s="72" t="s">
        <v>435</v>
      </c>
    </row>
    <row r="79" spans="1:12" ht="15.6">
      <c r="A79" s="69"/>
      <c r="B79" s="69" t="s">
        <v>412</v>
      </c>
      <c r="C79" s="69" t="s">
        <v>413</v>
      </c>
      <c r="D79" s="77" t="s">
        <v>371</v>
      </c>
      <c r="E79" s="77" t="s">
        <v>372</v>
      </c>
      <c r="F79" s="70"/>
      <c r="G79" s="70"/>
      <c r="H79" s="69"/>
      <c r="I79" s="71">
        <v>1169</v>
      </c>
      <c r="J79" s="72">
        <v>11</v>
      </c>
      <c r="K79" s="72">
        <v>12</v>
      </c>
      <c r="L79" s="72" t="s">
        <v>436</v>
      </c>
    </row>
    <row r="80" spans="1:12" ht="15.6">
      <c r="A80" s="69" t="s">
        <v>411</v>
      </c>
      <c r="B80" s="69" t="s">
        <v>412</v>
      </c>
      <c r="C80" s="69" t="s">
        <v>413</v>
      </c>
      <c r="D80" s="77" t="s">
        <v>371</v>
      </c>
      <c r="E80" s="77" t="s">
        <v>372</v>
      </c>
      <c r="F80" s="70">
        <v>16.625</v>
      </c>
      <c r="G80" s="70">
        <v>1236</v>
      </c>
      <c r="H80" s="69" t="s">
        <v>414</v>
      </c>
      <c r="I80" s="71">
        <v>1236</v>
      </c>
      <c r="J80" s="72">
        <v>14</v>
      </c>
      <c r="K80" s="72">
        <v>14</v>
      </c>
      <c r="L80" s="72" t="s">
        <v>437</v>
      </c>
    </row>
    <row r="81" spans="7:12" ht="16.2">
      <c r="G81" s="63">
        <f>SUM(G3:G80)</f>
        <v>52648</v>
      </c>
      <c r="I81" s="81">
        <f>SUM(I3:I80)</f>
        <v>52648</v>
      </c>
      <c r="J81" s="81"/>
      <c r="K81" s="81">
        <f>SUM(K3:K80)</f>
        <v>913.99999999999989</v>
      </c>
      <c r="L81" s="81" t="s">
        <v>438</v>
      </c>
    </row>
  </sheetData>
  <autoFilter ref="A2:L2" xr:uid="{5FFE8EAB-2DEE-4CC3-9E2A-10473A6C5DAC}"/>
  <phoneticPr fontId="3" type="noConversion"/>
  <pageMargins left="0" right="0" top="0.39370078740157483" bottom="0" header="0.31496062992125984" footer="0.31496062992125984"/>
  <pageSetup paperSize="9" scale="85" orientation="landscape" r:id="rId1"/>
  <headerFooter>
    <oddHeader>第 &amp;P 頁，共 &amp;N 頁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5</vt:i4>
      </vt:variant>
    </vt:vector>
  </HeadingPairs>
  <TitlesOfParts>
    <vt:vector size="9" baseType="lpstr">
      <vt:lpstr>INVOICE</vt:lpstr>
      <vt:lpstr>PACKING</vt:lpstr>
      <vt:lpstr>fabric packing details</vt:lpstr>
      <vt:lpstr>074419 &amp; 074545</vt:lpstr>
      <vt:lpstr>'074419 &amp; 074545'!Print_Area</vt:lpstr>
      <vt:lpstr>PACKING!Print_Area</vt:lpstr>
      <vt:lpstr>'074419 &amp; 074545'!Print_Titles</vt:lpstr>
      <vt:lpstr>INVOICE!Print_Titles</vt:lpstr>
      <vt:lpstr>PACKING!Print_Titles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colleen Tasi</cp:lastModifiedBy>
  <cp:lastPrinted>2026-06-05T06:55:10Z</cp:lastPrinted>
  <dcterms:created xsi:type="dcterms:W3CDTF">2026-06-05T06:51:26Z</dcterms:created>
  <dcterms:modified xsi:type="dcterms:W3CDTF">2026-06-09T02:27:40Z</dcterms:modified>
</cp:coreProperties>
</file>