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07. JULI\20.07.2026\"/>
    </mc:Choice>
  </mc:AlternateContent>
  <bookViews>
    <workbookView xWindow="-120" yWindow="-120" windowWidth="20730" windowHeight="11160" tabRatio="710" activeTab="6"/>
  </bookViews>
  <sheets>
    <sheet name="Sheet1" sheetId="128" r:id="rId1"/>
    <sheet name="reff" sheetId="162" r:id="rId2"/>
    <sheet name="450" sheetId="138" r:id="rId3"/>
    <sheet name="451" sheetId="129" r:id="rId4"/>
    <sheet name="452" sheetId="133" r:id="rId5"/>
    <sheet name="453" sheetId="134" r:id="rId6"/>
    <sheet name="454" sheetId="135" r:id="rId7"/>
    <sheet name="455" sheetId="137" r:id="rId8"/>
    <sheet name="456" sheetId="141" r:id="rId9"/>
    <sheet name="457" sheetId="142" r:id="rId10"/>
    <sheet name="458" sheetId="143" r:id="rId11"/>
    <sheet name="459" sheetId="163" r:id="rId12"/>
    <sheet name="460" sheetId="164" r:id="rId13"/>
    <sheet name="461" sheetId="165" r:id="rId14"/>
    <sheet name="462" sheetId="166" r:id="rId15"/>
    <sheet name="463" sheetId="167" r:id="rId16"/>
  </sheets>
  <externalReferences>
    <externalReference r:id="rId17"/>
    <externalReference r:id="rId18"/>
    <externalReference r:id="rId1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>[2]xdata!#REF!</definedName>
    <definedName name="INVOICE">[2]xdata!$B$2</definedName>
    <definedName name="_xlnm.Print_Area" localSheetId="2">'450'!$B$1:$I$57</definedName>
    <definedName name="_xlnm.Print_Area" localSheetId="3">'451'!$B$1:$I$57</definedName>
    <definedName name="_xlnm.Print_Area" localSheetId="4">'452'!$B$1:$I$57</definedName>
    <definedName name="_xlnm.Print_Area" localSheetId="5">'453'!$B$1:$I$57</definedName>
    <definedName name="_xlnm.Print_Area" localSheetId="6">'454'!$B$1:$I$57</definedName>
    <definedName name="_xlnm.Print_Area" localSheetId="7">'455'!$B$1:$I$57</definedName>
    <definedName name="_xlnm.Print_Area" localSheetId="8">'456'!$B$1:$I$57</definedName>
    <definedName name="_xlnm.Print_Area" localSheetId="9">'457'!$B$1:$I$57</definedName>
    <definedName name="_xlnm.Print_Area" localSheetId="10">'458'!$B$1:$I$58</definedName>
    <definedName name="_xlnm.Print_Area" localSheetId="11">'459'!$B$1:$I$57</definedName>
    <definedName name="_xlnm.Print_Area" localSheetId="12">'460'!$B$1:$I$58</definedName>
    <definedName name="_xlnm.Print_Area" localSheetId="13">'461'!$B$1:$I$57</definedName>
    <definedName name="_xlnm.Print_Area" localSheetId="14">'462'!$B$1:$I$57</definedName>
    <definedName name="_xlnm.Print_Area" localSheetId="15">'463'!$B$1:$I$57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43" l="1"/>
  <c r="F32" i="138"/>
  <c r="F35" i="164" l="1"/>
  <c r="I33" i="164"/>
  <c r="F32" i="163"/>
  <c r="I32" i="143"/>
  <c r="H52" i="167" l="1"/>
  <c r="F32" i="167"/>
  <c r="F34" i="167" s="1"/>
  <c r="B27" i="167"/>
  <c r="I23" i="167"/>
  <c r="H23" i="167"/>
  <c r="G23" i="167"/>
  <c r="F23" i="167"/>
  <c r="E23" i="167"/>
  <c r="E21" i="167"/>
  <c r="D21" i="167"/>
  <c r="C21" i="167"/>
  <c r="B21" i="167"/>
  <c r="B15" i="167"/>
  <c r="B16" i="167" s="1"/>
  <c r="B17" i="167" s="1"/>
  <c r="B18" i="167" s="1"/>
  <c r="G14" i="167"/>
  <c r="G15" i="167" s="1"/>
  <c r="G16" i="167" s="1"/>
  <c r="G17" i="167" s="1"/>
  <c r="H21" i="167" s="1"/>
  <c r="H52" i="166"/>
  <c r="F32" i="166"/>
  <c r="F34" i="166" s="1"/>
  <c r="B27" i="166"/>
  <c r="I23" i="166"/>
  <c r="H23" i="166"/>
  <c r="G23" i="166"/>
  <c r="F23" i="166"/>
  <c r="E23" i="166"/>
  <c r="E21" i="166"/>
  <c r="D21" i="166"/>
  <c r="C21" i="166"/>
  <c r="B21" i="166"/>
  <c r="B15" i="166"/>
  <c r="B16" i="166" s="1"/>
  <c r="B17" i="166" s="1"/>
  <c r="B18" i="166" s="1"/>
  <c r="G14" i="166"/>
  <c r="G15" i="166" s="1"/>
  <c r="G16" i="166" s="1"/>
  <c r="G17" i="166" s="1"/>
  <c r="H21" i="166" s="1"/>
  <c r="H52" i="165"/>
  <c r="F32" i="165"/>
  <c r="F34" i="165" s="1"/>
  <c r="B27" i="165"/>
  <c r="I23" i="165"/>
  <c r="H23" i="165"/>
  <c r="G23" i="165"/>
  <c r="F23" i="165"/>
  <c r="E23" i="165"/>
  <c r="E21" i="165"/>
  <c r="D21" i="165"/>
  <c r="C21" i="165"/>
  <c r="B21" i="165"/>
  <c r="B16" i="165"/>
  <c r="B17" i="165" s="1"/>
  <c r="B18" i="165" s="1"/>
  <c r="B15" i="165"/>
  <c r="G14" i="165"/>
  <c r="G15" i="165" s="1"/>
  <c r="G16" i="165" s="1"/>
  <c r="G17" i="165" s="1"/>
  <c r="H21" i="165" s="1"/>
  <c r="H53" i="164"/>
  <c r="I32" i="164"/>
  <c r="I35" i="164" s="1"/>
  <c r="I37" i="164" s="1"/>
  <c r="I39" i="164" s="1"/>
  <c r="B27" i="164"/>
  <c r="I23" i="164"/>
  <c r="H23" i="164"/>
  <c r="G23" i="164"/>
  <c r="F23" i="164"/>
  <c r="E23" i="164"/>
  <c r="E21" i="164"/>
  <c r="D21" i="164"/>
  <c r="C21" i="164"/>
  <c r="B21" i="164"/>
  <c r="B15" i="164"/>
  <c r="B16" i="164" s="1"/>
  <c r="B17" i="164" s="1"/>
  <c r="B18" i="164" s="1"/>
  <c r="G14" i="164"/>
  <c r="G15" i="164" s="1"/>
  <c r="G16" i="164" s="1"/>
  <c r="G17" i="164" s="1"/>
  <c r="H21" i="164" s="1"/>
  <c r="H52" i="163"/>
  <c r="F34" i="163"/>
  <c r="I32" i="163"/>
  <c r="I34" i="163" s="1"/>
  <c r="I36" i="163" s="1"/>
  <c r="I38" i="163" s="1"/>
  <c r="B27" i="163"/>
  <c r="I23" i="163"/>
  <c r="H23" i="163"/>
  <c r="G23" i="163"/>
  <c r="F23" i="163"/>
  <c r="E23" i="163"/>
  <c r="E21" i="163"/>
  <c r="D21" i="163"/>
  <c r="C21" i="163"/>
  <c r="B21" i="163"/>
  <c r="B15" i="163"/>
  <c r="B16" i="163" s="1"/>
  <c r="B17" i="163" s="1"/>
  <c r="B18" i="163" s="1"/>
  <c r="G14" i="163"/>
  <c r="G15" i="163" s="1"/>
  <c r="G16" i="163" s="1"/>
  <c r="G17" i="163" s="1"/>
  <c r="H21" i="163" s="1"/>
  <c r="I32" i="167" l="1"/>
  <c r="I34" i="167" s="1"/>
  <c r="I36" i="167" s="1"/>
  <c r="I38" i="167" s="1"/>
  <c r="I32" i="166"/>
  <c r="I34" i="166" s="1"/>
  <c r="I36" i="166" s="1"/>
  <c r="I38" i="166" s="1"/>
  <c r="I32" i="165"/>
  <c r="I34" i="165" s="1"/>
  <c r="I36" i="165" s="1"/>
  <c r="I38" i="165" s="1"/>
  <c r="F34" i="138"/>
  <c r="C3" i="129" l="1"/>
  <c r="F32" i="135" l="1"/>
  <c r="F34" i="135" s="1"/>
  <c r="F32" i="133"/>
  <c r="F32" i="129"/>
  <c r="I32" i="129" s="1"/>
  <c r="F32" i="141"/>
  <c r="F32" i="134" l="1"/>
  <c r="I32" i="138" l="1"/>
  <c r="I34" i="138" s="1"/>
  <c r="F34" i="133" l="1"/>
  <c r="F34" i="129" l="1"/>
  <c r="F32" i="142"/>
  <c r="F34" i="142" s="1"/>
  <c r="I32" i="134"/>
  <c r="C3" i="133"/>
  <c r="F34" i="141"/>
  <c r="F32" i="137"/>
  <c r="I32" i="141" l="1"/>
  <c r="I34" i="141" s="1"/>
  <c r="F34" i="137"/>
  <c r="I34" i="129" l="1"/>
  <c r="I32" i="137"/>
  <c r="F34" i="134"/>
  <c r="I32" i="133"/>
  <c r="B27" i="135" l="1"/>
  <c r="B27" i="134"/>
  <c r="E21" i="129" l="1"/>
  <c r="H52" i="142" l="1"/>
  <c r="E21" i="133"/>
  <c r="E21" i="135"/>
  <c r="E21" i="137"/>
  <c r="E21" i="138"/>
  <c r="E21" i="141"/>
  <c r="E21" i="142"/>
  <c r="E21" i="143"/>
  <c r="E21" i="134"/>
  <c r="H52" i="141"/>
  <c r="C21" i="129"/>
  <c r="C21" i="134"/>
  <c r="C21" i="135"/>
  <c r="C21" i="137"/>
  <c r="C21" i="138"/>
  <c r="C21" i="141"/>
  <c r="C21" i="142"/>
  <c r="C21" i="143"/>
  <c r="C21" i="133"/>
  <c r="H52" i="129"/>
  <c r="H52" i="134"/>
  <c r="H52" i="135"/>
  <c r="H52" i="137"/>
  <c r="H52" i="138"/>
  <c r="H53" i="143"/>
  <c r="H52" i="133"/>
  <c r="F35" i="143" l="1"/>
  <c r="I35" i="143"/>
  <c r="I37" i="143" s="1"/>
  <c r="I39" i="143" s="1"/>
  <c r="B27" i="143"/>
  <c r="I23" i="143"/>
  <c r="H23" i="143"/>
  <c r="G23" i="143"/>
  <c r="F23" i="143"/>
  <c r="E23" i="143"/>
  <c r="D21" i="143"/>
  <c r="B21" i="143"/>
  <c r="B15" i="143"/>
  <c r="B16" i="143" s="1"/>
  <c r="B17" i="143" s="1"/>
  <c r="B18" i="143" s="1"/>
  <c r="G14" i="143"/>
  <c r="G15" i="143" s="1"/>
  <c r="G16" i="143" s="1"/>
  <c r="G17" i="143" s="1"/>
  <c r="H21" i="143" s="1"/>
  <c r="I32" i="142"/>
  <c r="I34" i="142" s="1"/>
  <c r="I36" i="142" s="1"/>
  <c r="I38" i="142" s="1"/>
  <c r="B27" i="142"/>
  <c r="I23" i="142"/>
  <c r="H23" i="142"/>
  <c r="G23" i="142"/>
  <c r="F23" i="142"/>
  <c r="E23" i="142"/>
  <c r="D21" i="142"/>
  <c r="B21" i="142"/>
  <c r="B15" i="142"/>
  <c r="B16" i="142" s="1"/>
  <c r="B17" i="142" s="1"/>
  <c r="B18" i="142" s="1"/>
  <c r="G14" i="142"/>
  <c r="G15" i="142" s="1"/>
  <c r="G16" i="142" s="1"/>
  <c r="G17" i="142" s="1"/>
  <c r="H21" i="142" s="1"/>
  <c r="I36" i="14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2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5" l="1"/>
  <c r="I36" i="135" s="1"/>
  <c r="I38" i="135" s="1"/>
  <c r="I36" i="138"/>
  <c r="I38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41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  <c r="C3" i="142" l="1"/>
  <c r="C3" i="143" l="1"/>
  <c r="C3" i="163" s="1"/>
  <c r="C3" i="164" s="1"/>
  <c r="C3" i="165" s="1"/>
  <c r="C3" i="166" s="1"/>
  <c r="C3" i="167" s="1"/>
</calcChain>
</file>

<file path=xl/sharedStrings.xml><?xml version="1.0" encoding="utf-8"?>
<sst xmlns="http://schemas.openxmlformats.org/spreadsheetml/2006/main" count="1281" uniqueCount="206">
  <si>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</si>
  <si>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</si>
  <si>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</si>
  <si>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</si>
  <si>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</si>
  <si>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</si>
  <si>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</si>
  <si>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</si>
  <si>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</si>
  <si>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</si>
  <si>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</si>
  <si>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</si>
  <si>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</si>
  <si>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</si>
  <si>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</si>
  <si>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</si>
  <si>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</si>
  <si>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</si>
  <si>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</si>
  <si>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</si>
  <si>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</si>
  <si>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</si>
  <si>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</si>
  <si>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</si>
  <si>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</si>
  <si>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</si>
  <si>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</si>
  <si>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</si>
  <si>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</si>
  <si>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</si>
  <si>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</si>
  <si>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</si>
  <si>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</si>
  <si>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</si>
  <si>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</si>
  <si>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</si>
  <si>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</si>
  <si>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</si>
  <si>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</si>
  <si>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</si>
  <si>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</si>
  <si>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</si>
  <si>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</si>
  <si>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</si>
  <si>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</si>
  <si>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</si>
  <si>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</si>
  <si>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</si>
  <si>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</si>
  <si>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</si>
  <si>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</si>
  <si>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</si>
  <si>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</si>
  <si>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</si>
  <si>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</si>
  <si>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</si>
  <si>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</si>
  <si>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</si>
  <si>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</si>
  <si>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</si>
  <si>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</si>
  <si>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</si>
  <si>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</si>
  <si>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</si>
  <si>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</si>
  <si>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</si>
  <si>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</si>
  <si>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</si>
  <si>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</si>
  <si>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</si>
  <si>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</si>
  <si>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</si>
  <si>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</si>
  <si>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</si>
  <si>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</si>
  <si>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</si>
  <si>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</si>
  <si>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</si>
  <si>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</si>
  <si>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</si>
  <si>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</si>
  <si>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</si>
  <si>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</si>
  <si>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</si>
  <si>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</si>
  <si>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</si>
  <si>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</si>
  <si>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</si>
  <si>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</si>
  <si>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</si>
  <si>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</si>
  <si>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</si>
  <si>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</si>
  <si>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</si>
  <si>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</si>
  <si>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</si>
  <si>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</si>
  <si>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</si>
  <si>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</si>
  <si>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</si>
  <si>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</si>
  <si>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</si>
  <si>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</si>
  <si>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</si>
  <si>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</si>
  <si>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</si>
  <si>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</si>
  <si>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</si>
  <si>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</si>
  <si>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</si>
  <si>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</si>
  <si>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</si>
  <si>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</si>
  <si>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</si>
  <si>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</si>
  <si>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</si>
  <si>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</si>
  <si>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</si>
  <si>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</si>
  <si>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</si>
  <si>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</si>
  <si>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</si>
  <si>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</si>
  <si>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</si>
  <si>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</si>
  <si>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</si>
  <si>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</si>
  <si>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</si>
  <si>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</si>
  <si>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</si>
  <si>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</si>
  <si>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</si>
  <si>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</si>
  <si>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</si>
  <si>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</si>
  <si>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</si>
  <si>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</si>
  <si>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</si>
  <si>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</si>
  <si>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</si>
  <si>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</si>
  <si>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</si>
  <si>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</si>
  <si>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</si>
  <si>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</si>
  <si>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</si>
  <si>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</si>
  <si>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</si>
  <si>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</si>
  <si>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</si>
  <si>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</si>
  <si>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</si>
  <si>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</si>
  <si>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</si>
  <si>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</si>
  <si>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</si>
  <si>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</si>
  <si>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</si>
  <si>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</si>
  <si>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</si>
  <si>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</si>
  <si>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</si>
  <si>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</si>
  <si>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</si>
  <si>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</si>
  <si>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</si>
  <si>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</si>
  <si>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</si>
  <si>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</si>
  <si>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</si>
  <si>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</si>
  <si>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</si>
  <si>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</si>
  <si>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</si>
  <si>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</si>
  <si>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</si>
  <si>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</si>
  <si>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265K0051</t>
  </si>
  <si>
    <t xml:space="preserve"> 265K0075 </t>
  </si>
  <si>
    <t>SHOOTING STAR</t>
  </si>
  <si>
    <t>BOYS COTTON FIBERS, KNIT SHIRT, WITH NECK CLOSURE, STITCH COUNT EQUAL OR IS GREATER THAN 10/1CM, HEM BOTTOM [60% COTTON 40% POLYESTER]</t>
  </si>
  <si>
    <t>WOMENS COTTON FIBERS, KNIT PULLOVER, WITH NO NECK CLOSURE, STITCH COUNT IS GREATER THAN 9/2CM, REACHES WAIST, SLEEVELESS [96% COTTON 4% SPANDEX]</t>
  </si>
  <si>
    <t>Retail</t>
  </si>
  <si>
    <t>Online</t>
  </si>
  <si>
    <t>INK BLUE</t>
  </si>
  <si>
    <t>02</t>
  </si>
  <si>
    <t>BRIGHT WHITE</t>
  </si>
  <si>
    <t>04</t>
  </si>
  <si>
    <t>265K0052</t>
  </si>
  <si>
    <t>CALLA LILY 451</t>
  </si>
  <si>
    <t>00</t>
  </si>
  <si>
    <t>GIRLS COTTON FIBERS, KNIT PULLOVER, WITH NO NECK CLOSURE, STITCH COUNT IS GREATER THAN 9/2CM, REACHES WAIST [60% COTTON 40% RECYCLED POLYESTER]</t>
  </si>
  <si>
    <t>Boys Cotton Fibers, Knit Shirt, With Neck Closure, Stitch Count Equal Or Is Greater Than 10/1cm, Hem Bottom [60% Cotton 40% Polyester]</t>
  </si>
  <si>
    <t>CALLA LILY 451, INK BLUE</t>
  </si>
  <si>
    <t>255K0079</t>
  </si>
  <si>
    <t>265K0006</t>
  </si>
  <si>
    <t>265K0057</t>
  </si>
  <si>
    <t>GIRLS COTTON FIBERS, KNIT PULLOVER, WITH NO NECK CLOSURE, STITCH COUNT IS GREATER THAN 9/2CM, REACHES WAIST [60% COTTON 40% POLYESTER]</t>
  </si>
  <si>
    <t>BLACKJACK JAS</t>
  </si>
  <si>
    <t>RED TAPE, BLACK JACK</t>
  </si>
  <si>
    <t>01, 04</t>
  </si>
  <si>
    <t>00. 02</t>
  </si>
  <si>
    <t>FAUX HEATHER GREY</t>
  </si>
  <si>
    <t>BLUSH HUE</t>
  </si>
  <si>
    <t>01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</si>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</sst>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7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06150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06125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4897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K4" sqref="K4"/>
    </sheetView>
  </sheetViews>
  <sheetFormatPr defaultRowHeight="12.75" x14ac:dyDescent="0.2"/>
  <sheetData>
    <row r="2" spans="2:9" ht="15" x14ac:dyDescent="0.25">
      <c r="B2" s="57">
        <v>1</v>
      </c>
      <c r="C2" t="s">
        <v>194</v>
      </c>
      <c r="E2" s="57">
        <v>1</v>
      </c>
      <c r="F2">
        <v>881293</v>
      </c>
      <c r="H2" s="57">
        <v>1</v>
      </c>
      <c r="I2" s="67" t="s">
        <v>182</v>
      </c>
    </row>
    <row r="3" spans="2:9" ht="15" x14ac:dyDescent="0.25">
      <c r="B3" s="57">
        <v>2</v>
      </c>
      <c r="C3" t="s">
        <v>195</v>
      </c>
      <c r="E3" s="57">
        <v>2</v>
      </c>
      <c r="F3">
        <v>878746</v>
      </c>
      <c r="H3" s="57">
        <v>2</v>
      </c>
      <c r="I3" s="67" t="s">
        <v>182</v>
      </c>
    </row>
    <row r="4" spans="2:9" ht="15" x14ac:dyDescent="0.25">
      <c r="B4" s="57">
        <v>3</v>
      </c>
      <c r="C4" t="s">
        <v>188</v>
      </c>
      <c r="E4" s="57">
        <v>3</v>
      </c>
      <c r="F4">
        <v>767468</v>
      </c>
      <c r="H4" s="57">
        <v>3</v>
      </c>
      <c r="I4" s="67" t="s">
        <v>182</v>
      </c>
    </row>
    <row r="5" spans="2:9" ht="15" x14ac:dyDescent="0.25">
      <c r="B5" s="57">
        <v>4</v>
      </c>
      <c r="C5" t="s">
        <v>188</v>
      </c>
      <c r="E5" s="57">
        <v>4</v>
      </c>
      <c r="F5">
        <v>767468</v>
      </c>
      <c r="H5" s="57">
        <v>4</v>
      </c>
      <c r="I5" s="67" t="s">
        <v>182</v>
      </c>
    </row>
    <row r="6" spans="2:9" ht="15" x14ac:dyDescent="0.25">
      <c r="B6" s="57">
        <v>5</v>
      </c>
      <c r="C6" t="s">
        <v>177</v>
      </c>
      <c r="E6" s="57">
        <v>5</v>
      </c>
      <c r="F6">
        <v>416363</v>
      </c>
      <c r="H6" s="57">
        <v>5</v>
      </c>
      <c r="I6" s="67" t="s">
        <v>182</v>
      </c>
    </row>
    <row r="7" spans="2:9" ht="15" x14ac:dyDescent="0.25">
      <c r="B7" s="57">
        <v>6</v>
      </c>
      <c r="C7" t="s">
        <v>177</v>
      </c>
      <c r="E7" s="57">
        <v>6</v>
      </c>
      <c r="F7">
        <v>416363</v>
      </c>
      <c r="H7" s="57">
        <v>6</v>
      </c>
      <c r="I7" s="67" t="s">
        <v>182</v>
      </c>
    </row>
    <row r="8" spans="2:9" ht="15" x14ac:dyDescent="0.25">
      <c r="B8" s="57">
        <v>7</v>
      </c>
      <c r="C8" t="s">
        <v>177</v>
      </c>
      <c r="E8" s="57">
        <v>7</v>
      </c>
      <c r="F8">
        <v>416363</v>
      </c>
      <c r="H8" s="57">
        <v>7</v>
      </c>
      <c r="I8" s="67" t="s">
        <v>182</v>
      </c>
    </row>
    <row r="9" spans="2:9" ht="15" x14ac:dyDescent="0.25">
      <c r="B9" s="57">
        <v>8</v>
      </c>
      <c r="C9" t="s">
        <v>177</v>
      </c>
      <c r="E9" s="57">
        <v>8</v>
      </c>
      <c r="F9">
        <v>416363</v>
      </c>
      <c r="H9" s="57">
        <v>8</v>
      </c>
      <c r="I9" s="67" t="s">
        <v>182</v>
      </c>
    </row>
    <row r="10" spans="2:9" ht="15" x14ac:dyDescent="0.25">
      <c r="B10" s="57">
        <v>9</v>
      </c>
      <c r="C10" t="s">
        <v>196</v>
      </c>
      <c r="E10" s="57">
        <v>9</v>
      </c>
      <c r="F10">
        <v>867788</v>
      </c>
      <c r="H10" s="57">
        <v>9</v>
      </c>
      <c r="I10" s="67" t="s">
        <v>183</v>
      </c>
    </row>
    <row r="11" spans="2:9" ht="15" x14ac:dyDescent="0.25">
      <c r="B11" s="57">
        <v>10</v>
      </c>
      <c r="C11" t="s">
        <v>196</v>
      </c>
      <c r="E11" s="57">
        <v>10</v>
      </c>
      <c r="F11">
        <v>867788</v>
      </c>
      <c r="H11" s="57">
        <v>10</v>
      </c>
      <c r="I11" s="67" t="s">
        <v>183</v>
      </c>
    </row>
    <row r="12" spans="2:9" ht="15" x14ac:dyDescent="0.25">
      <c r="B12" s="57">
        <v>11</v>
      </c>
      <c r="C12" t="s">
        <v>196</v>
      </c>
      <c r="E12" s="57">
        <v>11</v>
      </c>
      <c r="F12">
        <v>867788</v>
      </c>
      <c r="H12" s="57">
        <v>11</v>
      </c>
      <c r="I12" s="67" t="s">
        <v>183</v>
      </c>
    </row>
    <row r="13" spans="2:9" ht="15" x14ac:dyDescent="0.25">
      <c r="B13" s="57">
        <v>12</v>
      </c>
      <c r="C13" t="s">
        <v>196</v>
      </c>
      <c r="E13" s="57">
        <v>12</v>
      </c>
      <c r="F13">
        <v>867788</v>
      </c>
      <c r="H13" s="57">
        <v>12</v>
      </c>
      <c r="I13" s="67" t="s">
        <v>183</v>
      </c>
    </row>
    <row r="14" spans="2:9" ht="15" x14ac:dyDescent="0.25">
      <c r="B14" s="57">
        <v>13</v>
      </c>
      <c r="C14" t="s">
        <v>178</v>
      </c>
      <c r="E14" s="57">
        <v>13</v>
      </c>
      <c r="F14">
        <v>692926</v>
      </c>
      <c r="H14" s="57">
        <v>13</v>
      </c>
      <c r="I14" s="67" t="s">
        <v>183</v>
      </c>
    </row>
    <row r="15" spans="2:9" ht="15" x14ac:dyDescent="0.25">
      <c r="B15" s="57">
        <v>14</v>
      </c>
      <c r="C15" t="s">
        <v>178</v>
      </c>
      <c r="E15" s="57">
        <v>14</v>
      </c>
      <c r="F15">
        <v>692926</v>
      </c>
      <c r="H15" s="57">
        <v>14</v>
      </c>
      <c r="I15" s="67" t="s">
        <v>183</v>
      </c>
    </row>
    <row r="16" spans="2:9" ht="15" x14ac:dyDescent="0.25">
      <c r="B16" s="57">
        <v>15</v>
      </c>
      <c r="E16" s="57">
        <v>15</v>
      </c>
      <c r="H16" s="57">
        <v>15</v>
      </c>
      <c r="I16" s="67"/>
    </row>
    <row r="17" spans="2:11" ht="15" x14ac:dyDescent="0.25">
      <c r="B17" s="57">
        <v>16</v>
      </c>
      <c r="E17" s="57">
        <v>16</v>
      </c>
      <c r="H17" s="57">
        <v>16</v>
      </c>
      <c r="I17" s="67"/>
    </row>
    <row r="18" spans="2:11" ht="15" x14ac:dyDescent="0.25">
      <c r="B18" s="57">
        <v>17</v>
      </c>
      <c r="E18" s="57">
        <v>17</v>
      </c>
      <c r="H18" s="57">
        <v>17</v>
      </c>
      <c r="I18" s="67"/>
    </row>
    <row r="19" spans="2:11" ht="15" x14ac:dyDescent="0.25">
      <c r="B19" s="57">
        <v>18</v>
      </c>
      <c r="E19" s="57">
        <v>18</v>
      </c>
      <c r="H19" s="57">
        <v>18</v>
      </c>
      <c r="I19" s="67"/>
    </row>
    <row r="20" spans="2:11" ht="15" x14ac:dyDescent="0.25">
      <c r="B20" s="57">
        <v>19</v>
      </c>
      <c r="E20" s="57">
        <v>19</v>
      </c>
      <c r="H20" s="57">
        <v>19</v>
      </c>
      <c r="I20" s="58"/>
    </row>
    <row r="21" spans="2:11" ht="15" x14ac:dyDescent="0.25">
      <c r="B21" s="57">
        <v>20</v>
      </c>
      <c r="E21" s="57">
        <v>20</v>
      </c>
      <c r="H21" s="57">
        <v>20</v>
      </c>
      <c r="I21" s="58"/>
    </row>
    <row r="22" spans="2:11" ht="15" x14ac:dyDescent="0.25">
      <c r="B22" s="57">
        <v>21</v>
      </c>
      <c r="E22" s="57">
        <v>21</v>
      </c>
      <c r="H22" s="57">
        <v>21</v>
      </c>
      <c r="I22" s="58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4" sqref="I3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62191721</v>
      </c>
      <c r="K2" s="65">
        <v>2010</v>
      </c>
      <c r="L2" s="66">
        <v>12</v>
      </c>
      <c r="M2" s="66">
        <v>150.38999999999999</v>
      </c>
      <c r="N2" s="66">
        <v>154.41</v>
      </c>
      <c r="O2" s="66">
        <v>166.41</v>
      </c>
      <c r="P2" s="66" t="s">
        <v>54</v>
      </c>
      <c r="Q2" s="66">
        <v>0.80500000000000005</v>
      </c>
      <c r="R2" s="66" t="s">
        <v>62</v>
      </c>
    </row>
    <row r="3" spans="2:22" x14ac:dyDescent="0.2">
      <c r="B3" s="6" t="s">
        <v>53</v>
      </c>
      <c r="C3" s="63">
        <v>450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62191721</v>
      </c>
      <c r="C21" s="56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166.41</v>
      </c>
      <c r="G23" s="23">
        <f>+N2</f>
        <v>154.41</v>
      </c>
      <c r="H23" s="23">
        <f>+M2</f>
        <v>150.38999999999999</v>
      </c>
      <c r="I23" s="55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27.75" customHeight="1" x14ac:dyDescent="0.2">
      <c r="B32" s="41" t="s">
        <v>190</v>
      </c>
      <c r="C32" s="19" t="s">
        <v>189</v>
      </c>
      <c r="D32" s="70"/>
      <c r="E32" s="71"/>
      <c r="F32" s="70">
        <f>+K2</f>
        <v>2010</v>
      </c>
      <c r="G32" s="71"/>
      <c r="H32" s="17">
        <v>0.57999999999999996</v>
      </c>
      <c r="I32" s="18">
        <f>+H32*F32</f>
        <v>1165.8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1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2010</v>
      </c>
      <c r="G34" s="71"/>
      <c r="H34" s="15"/>
      <c r="I34" s="14">
        <f>SUM(I32:I33)</f>
        <v>1165.8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1165.8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1165.8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62191736</v>
      </c>
      <c r="K2" s="65">
        <v>2000</v>
      </c>
      <c r="L2" s="66">
        <v>12</v>
      </c>
      <c r="M2" s="66">
        <v>151.30000000000001</v>
      </c>
      <c r="N2" s="66">
        <v>155.30000000000001</v>
      </c>
      <c r="O2" s="66">
        <v>167.3</v>
      </c>
      <c r="P2" s="66" t="s">
        <v>54</v>
      </c>
      <c r="Q2" s="66">
        <v>0.80500000000000005</v>
      </c>
      <c r="R2" s="66" t="s">
        <v>62</v>
      </c>
    </row>
    <row r="3" spans="2:22" x14ac:dyDescent="0.2">
      <c r="B3" s="6" t="s">
        <v>53</v>
      </c>
      <c r="C3" s="63">
        <f>+'450'!C3+1</f>
        <v>451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197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62191736</v>
      </c>
      <c r="C21" s="49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167.3</v>
      </c>
      <c r="G23" s="23">
        <f>+N2</f>
        <v>155.30000000000001</v>
      </c>
      <c r="H23" s="23">
        <f>+M2</f>
        <v>151.30000000000001</v>
      </c>
      <c r="I23" s="48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1" t="s">
        <v>19</v>
      </c>
      <c r="E31" s="81"/>
      <c r="F31" s="81" t="s">
        <v>18</v>
      </c>
      <c r="G31" s="81"/>
      <c r="H31" s="48" t="s">
        <v>17</v>
      </c>
      <c r="I31" s="19" t="s">
        <v>16</v>
      </c>
      <c r="M31"/>
    </row>
    <row r="32" spans="2:13" ht="30.75" customHeight="1" x14ac:dyDescent="0.2">
      <c r="B32" s="41" t="s">
        <v>185</v>
      </c>
      <c r="C32" s="19" t="s">
        <v>198</v>
      </c>
      <c r="D32" s="70"/>
      <c r="E32" s="71"/>
      <c r="F32" s="70">
        <f>+K2</f>
        <v>2000</v>
      </c>
      <c r="G32" s="71"/>
      <c r="H32" s="17">
        <v>0.57999999999999996</v>
      </c>
      <c r="I32" s="18">
        <f>+H32*F32</f>
        <v>1160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48"/>
    </row>
    <row r="34" spans="2:11" ht="21.75" customHeight="1" x14ac:dyDescent="0.2">
      <c r="B34" s="15" t="s">
        <v>14</v>
      </c>
      <c r="C34" s="15"/>
      <c r="D34" s="86"/>
      <c r="E34" s="87"/>
      <c r="F34" s="70">
        <f>SUM(F31:G33)</f>
        <v>2000</v>
      </c>
      <c r="G34" s="71"/>
      <c r="H34" s="15"/>
      <c r="I34" s="14">
        <f>SUM(I32:I33)</f>
        <v>1160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1160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61479201</v>
      </c>
      <c r="K2" s="66">
        <v>200</v>
      </c>
      <c r="L2" s="66">
        <v>6</v>
      </c>
      <c r="M2" s="66">
        <v>26.24</v>
      </c>
      <c r="N2" s="66">
        <v>30.24</v>
      </c>
      <c r="O2" s="66">
        <v>34.04</v>
      </c>
      <c r="P2" s="66" t="s">
        <v>54</v>
      </c>
      <c r="Q2" s="66">
        <v>0.20100000000000001</v>
      </c>
      <c r="R2" s="66" t="s">
        <v>62</v>
      </c>
    </row>
    <row r="3" spans="2:22" x14ac:dyDescent="0.2">
      <c r="B3" s="6" t="s">
        <v>53</v>
      </c>
      <c r="C3" s="63">
        <f>+'451'!C3+1</f>
        <v>452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61479201</v>
      </c>
      <c r="C21" s="49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48" t="s">
        <v>35</v>
      </c>
      <c r="G21" s="48"/>
      <c r="H21" s="47" t="str">
        <f>IF(LEFT(G17,2)="CA","CA",IF(LEFT(G17,2)="UN","US",IF(LEFT(G17,2)="PA","PA",IF(LEFT(G17,2)="JA","JP"))))</f>
        <v>CA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34.04</v>
      </c>
      <c r="G23" s="23">
        <f>+N2</f>
        <v>30.24</v>
      </c>
      <c r="H23" s="23">
        <f>+M2</f>
        <v>26.24</v>
      </c>
      <c r="I23" s="48">
        <f>+L2</f>
        <v>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1" t="s">
        <v>19</v>
      </c>
      <c r="E31" s="81"/>
      <c r="F31" s="81" t="s">
        <v>18</v>
      </c>
      <c r="G31" s="81"/>
      <c r="H31" s="48" t="s">
        <v>17</v>
      </c>
      <c r="I31" s="19" t="s">
        <v>16</v>
      </c>
      <c r="M31"/>
    </row>
    <row r="32" spans="2:13" ht="41.25" customHeight="1" x14ac:dyDescent="0.2">
      <c r="B32" s="41" t="s">
        <v>200</v>
      </c>
      <c r="C32" s="19" t="s">
        <v>199</v>
      </c>
      <c r="D32" s="70"/>
      <c r="E32" s="71"/>
      <c r="F32" s="70">
        <f>+K2</f>
        <v>200</v>
      </c>
      <c r="G32" s="71"/>
      <c r="H32" s="17">
        <v>1.05</v>
      </c>
      <c r="I32" s="18">
        <f>+H32*F32</f>
        <v>210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48"/>
    </row>
    <row r="34" spans="2:11" ht="21.75" customHeight="1" x14ac:dyDescent="0.2">
      <c r="B34" s="15" t="s">
        <v>14</v>
      </c>
      <c r="C34" s="15"/>
      <c r="D34" s="86"/>
      <c r="E34" s="87"/>
      <c r="F34" s="70">
        <f>SUM(F31:G33)</f>
        <v>200</v>
      </c>
      <c r="G34" s="71"/>
      <c r="H34" s="15"/>
      <c r="I34" s="14">
        <f>SUM(I32:I33)</f>
        <v>210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210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210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61751667</v>
      </c>
      <c r="K2" s="65">
        <v>4413</v>
      </c>
      <c r="L2" s="66">
        <v>67</v>
      </c>
      <c r="M2" s="66">
        <v>590.96</v>
      </c>
      <c r="N2" s="66">
        <v>679.22</v>
      </c>
      <c r="O2" s="66">
        <v>739.62</v>
      </c>
      <c r="P2" s="66" t="s">
        <v>54</v>
      </c>
      <c r="Q2" s="66">
        <v>3.7240000000000002</v>
      </c>
      <c r="R2" s="66" t="s">
        <v>62</v>
      </c>
    </row>
    <row r="3" spans="2:22" x14ac:dyDescent="0.2">
      <c r="B3" s="6" t="s">
        <v>53</v>
      </c>
      <c r="C3" s="63">
        <f>+'452'!C3+1</f>
        <v>453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61751667</v>
      </c>
      <c r="C21" s="53">
        <f>VLOOKUP($K56,reff!E2:F29,2,0)</f>
        <v>767468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7" t="str">
        <f>IF(LEFT(G17,2)="CA","CA",IF(LEFT(G17,2)="UN","US",IF(LEFT(G17,2)="PA","PA",IF(LEFT(G17,2)="JA","JP"))))</f>
        <v>CA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739.62</v>
      </c>
      <c r="G23" s="23">
        <f>+N2</f>
        <v>679.22</v>
      </c>
      <c r="H23" s="23">
        <f>+M2</f>
        <v>590.96</v>
      </c>
      <c r="I23" s="54">
        <f>+L2</f>
        <v>67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1" t="s">
        <v>19</v>
      </c>
      <c r="E31" s="81"/>
      <c r="F31" s="81" t="s">
        <v>18</v>
      </c>
      <c r="G31" s="81"/>
      <c r="H31" s="54" t="s">
        <v>17</v>
      </c>
      <c r="I31" s="19" t="s">
        <v>16</v>
      </c>
      <c r="M31"/>
    </row>
    <row r="32" spans="2:13" ht="39" customHeight="1" x14ac:dyDescent="0.2">
      <c r="B32" s="41" t="s">
        <v>201</v>
      </c>
      <c r="C32" s="19" t="s">
        <v>193</v>
      </c>
      <c r="D32" s="70"/>
      <c r="E32" s="71"/>
      <c r="F32" s="70">
        <f>+K2</f>
        <v>4413</v>
      </c>
      <c r="G32" s="71"/>
      <c r="H32" s="17">
        <v>1.05</v>
      </c>
      <c r="I32" s="18">
        <f>+H32*F32</f>
        <v>4633.6500000000005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4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4413</v>
      </c>
      <c r="G34" s="71"/>
      <c r="H34" s="15"/>
      <c r="I34" s="14">
        <f>SUM(I32:I33)</f>
        <v>4633.6500000000005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4633.6500000000005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4633.6500000000005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265K0052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tabSelected="1" view="pageBreakPreview" topLeftCell="A22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61478933</v>
      </c>
      <c r="K2" s="66">
        <v>650</v>
      </c>
      <c r="L2" s="66">
        <v>9</v>
      </c>
      <c r="M2" s="66">
        <v>76.11</v>
      </c>
      <c r="N2" s="66">
        <v>77.41</v>
      </c>
      <c r="O2" s="66">
        <v>85.06</v>
      </c>
      <c r="P2" s="66" t="s">
        <v>54</v>
      </c>
      <c r="Q2" s="66">
        <v>0.41899999999999998</v>
      </c>
      <c r="R2" s="66" t="s">
        <v>62</v>
      </c>
    </row>
    <row r="3" spans="2:22" x14ac:dyDescent="0.2">
      <c r="B3" s="6" t="s">
        <v>53</v>
      </c>
      <c r="C3" s="63">
        <f>+'453'!C3+1</f>
        <v>454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61478933</v>
      </c>
      <c r="C21" s="56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85.06</v>
      </c>
      <c r="G23" s="23">
        <f>+N2</f>
        <v>77.41</v>
      </c>
      <c r="H23" s="23">
        <f>+M2</f>
        <v>76.11</v>
      </c>
      <c r="I23" s="55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27.75" customHeight="1" x14ac:dyDescent="0.2">
      <c r="B32" s="41" t="s">
        <v>190</v>
      </c>
      <c r="C32" s="19" t="s">
        <v>202</v>
      </c>
      <c r="D32" s="70"/>
      <c r="E32" s="71"/>
      <c r="F32" s="70">
        <f>+K2</f>
        <v>650</v>
      </c>
      <c r="G32" s="71"/>
      <c r="H32" s="17">
        <v>0.9</v>
      </c>
      <c r="I32" s="18">
        <f>+H32*F32</f>
        <v>585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9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650</v>
      </c>
      <c r="G34" s="71"/>
      <c r="H34" s="15"/>
      <c r="I34" s="14">
        <f>SUM(I32:I32)</f>
        <v>585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585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585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61717926</v>
      </c>
      <c r="K2" s="65">
        <v>2220</v>
      </c>
      <c r="L2" s="66">
        <v>25</v>
      </c>
      <c r="M2" s="66">
        <v>255.47</v>
      </c>
      <c r="N2" s="66">
        <v>259.91000000000003</v>
      </c>
      <c r="O2" s="66">
        <v>282.61</v>
      </c>
      <c r="P2" s="66" t="s">
        <v>54</v>
      </c>
      <c r="Q2" s="66">
        <v>1.3759999999999999</v>
      </c>
      <c r="R2" s="66" t="s">
        <v>62</v>
      </c>
    </row>
    <row r="3" spans="2:22" x14ac:dyDescent="0.2">
      <c r="B3" s="6" t="s">
        <v>53</v>
      </c>
      <c r="C3" s="63">
        <f>+'454'!C3+1</f>
        <v>455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61717926</v>
      </c>
      <c r="C21" s="56">
        <f>VLOOKUP($K56,reff!E2:F29,2,0)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282.61</v>
      </c>
      <c r="G23" s="23">
        <f>+N2</f>
        <v>259.91000000000003</v>
      </c>
      <c r="H23" s="23">
        <f>+M2</f>
        <v>255.47</v>
      </c>
      <c r="I23" s="55">
        <f>+L2</f>
        <v>25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37.5" customHeight="1" x14ac:dyDescent="0.2">
      <c r="B32" s="62" t="s">
        <v>185</v>
      </c>
      <c r="C32" s="19" t="s">
        <v>184</v>
      </c>
      <c r="D32" s="70"/>
      <c r="E32" s="71"/>
      <c r="F32" s="70">
        <f>+K2</f>
        <v>2220</v>
      </c>
      <c r="G32" s="71"/>
      <c r="H32" s="17">
        <v>0.9</v>
      </c>
      <c r="I32" s="18">
        <f>+H32*F32</f>
        <v>1998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5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2220</v>
      </c>
      <c r="G34" s="71"/>
      <c r="H34" s="15"/>
      <c r="I34" s="14">
        <f>SUM(I32:I33)</f>
        <v>1998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1998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1998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61751694</v>
      </c>
      <c r="K2" s="65">
        <v>3372</v>
      </c>
      <c r="L2" s="66">
        <v>36</v>
      </c>
      <c r="M2" s="66">
        <v>395.56599999999997</v>
      </c>
      <c r="N2" s="66">
        <v>402.31</v>
      </c>
      <c r="O2" s="66">
        <v>435.51</v>
      </c>
      <c r="P2" s="66" t="s">
        <v>54</v>
      </c>
      <c r="Q2" s="66">
        <v>2.1139999999999999</v>
      </c>
      <c r="R2" s="66" t="s">
        <v>62</v>
      </c>
    </row>
    <row r="3" spans="2:22" x14ac:dyDescent="0.2">
      <c r="B3" s="6" t="s">
        <v>53</v>
      </c>
      <c r="C3" s="63">
        <f>+'455'!C3+1</f>
        <v>456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126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61751694</v>
      </c>
      <c r="C21" s="56">
        <f>VLOOKUP($K55,reff!E2:F29,2,0)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CA</v>
      </c>
      <c r="I21" s="55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435.51</v>
      </c>
      <c r="G23" s="23">
        <f>+N2</f>
        <v>402.31</v>
      </c>
      <c r="H23" s="23">
        <f>+M2</f>
        <v>395.56599999999997</v>
      </c>
      <c r="I23" s="55">
        <f>+L2</f>
        <v>36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30" customHeight="1" x14ac:dyDescent="0.2">
      <c r="B32" s="41" t="s">
        <v>187</v>
      </c>
      <c r="C32" s="19" t="s">
        <v>186</v>
      </c>
      <c r="D32" s="70"/>
      <c r="E32" s="71"/>
      <c r="F32" s="70">
        <f>+K2</f>
        <v>3372</v>
      </c>
      <c r="G32" s="71"/>
      <c r="H32" s="17">
        <v>0.9</v>
      </c>
      <c r="I32" s="18">
        <f>+H32*F32</f>
        <v>3034.8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0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3372</v>
      </c>
      <c r="G34" s="71"/>
      <c r="H34" s="15"/>
      <c r="I34" s="14">
        <f>SUM(I32:I33)</f>
        <v>3034.8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3034.8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3034.8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7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  <c r="K55">
        <v>7</v>
      </c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61760727</v>
      </c>
      <c r="K2" s="66">
        <v>900</v>
      </c>
      <c r="L2" s="66">
        <v>12</v>
      </c>
      <c r="M2" s="66">
        <v>105.095</v>
      </c>
      <c r="N2" s="66">
        <v>106.895</v>
      </c>
      <c r="O2" s="66">
        <v>116.995</v>
      </c>
      <c r="P2" s="66" t="s">
        <v>54</v>
      </c>
      <c r="Q2" s="66">
        <v>0.56999999999999995</v>
      </c>
      <c r="R2" s="66" t="s">
        <v>62</v>
      </c>
    </row>
    <row r="3" spans="2:22" x14ac:dyDescent="0.2">
      <c r="B3" s="6" t="s">
        <v>53</v>
      </c>
      <c r="C3" s="63">
        <f>+'456'!C3+1</f>
        <v>457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61760727</v>
      </c>
      <c r="C21" s="56">
        <f>VLOOKUP($K55,reff!E2:F29,2,0)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116.995</v>
      </c>
      <c r="G23" s="23">
        <f>+N2</f>
        <v>106.895</v>
      </c>
      <c r="H23" s="23">
        <f>+M2</f>
        <v>105.095</v>
      </c>
      <c r="I23" s="55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BOYS COTTON FIBERS, KNIT SHIRT, WITH NECK CLOSURE, STITCH COUNT EQUAL OR IS GREATER THAN 10/1CM, HEM BOTTOM [60% COTTON 40%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26.25" customHeight="1" x14ac:dyDescent="0.2">
      <c r="B32" s="41" t="s">
        <v>187</v>
      </c>
      <c r="C32" s="19" t="s">
        <v>186</v>
      </c>
      <c r="D32" s="70"/>
      <c r="E32" s="71"/>
      <c r="F32" s="70">
        <f>+K2</f>
        <v>900</v>
      </c>
      <c r="G32" s="71"/>
      <c r="H32" s="17">
        <v>0.9</v>
      </c>
      <c r="I32" s="18">
        <f>+H32*F32</f>
        <v>810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55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900</v>
      </c>
      <c r="G34" s="71"/>
      <c r="H34" s="15"/>
      <c r="I34" s="14">
        <f>SUM(I32:I33)</f>
        <v>810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810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810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265K0051</v>
      </c>
      <c r="I52" s="8"/>
      <c r="K52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  <c r="K55">
        <v>8</v>
      </c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61733962</v>
      </c>
      <c r="K2" s="65">
        <v>1288</v>
      </c>
      <c r="L2" s="66">
        <v>13</v>
      </c>
      <c r="M2" s="66">
        <v>91.659000000000006</v>
      </c>
      <c r="N2" s="66">
        <v>94.234999999999999</v>
      </c>
      <c r="O2" s="66">
        <v>105.035</v>
      </c>
      <c r="P2" s="66" t="s">
        <v>54</v>
      </c>
      <c r="Q2" s="66">
        <v>0.52600000000000002</v>
      </c>
      <c r="R2" s="66" t="s">
        <v>62</v>
      </c>
    </row>
    <row r="3" spans="2:22" x14ac:dyDescent="0.2">
      <c r="B3" s="6" t="s">
        <v>53</v>
      </c>
      <c r="C3" s="63">
        <f>+'457'!C3+1</f>
        <v>458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61733962</v>
      </c>
      <c r="C21" s="56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105.035</v>
      </c>
      <c r="G23" s="23">
        <f>+N2</f>
        <v>94.234999999999999</v>
      </c>
      <c r="H23" s="23">
        <f>+M2</f>
        <v>91.659000000000006</v>
      </c>
      <c r="I23" s="55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1" t="s">
        <v>19</v>
      </c>
      <c r="E31" s="81"/>
      <c r="F31" s="81" t="s">
        <v>18</v>
      </c>
      <c r="G31" s="81"/>
      <c r="H31" s="55" t="s">
        <v>17</v>
      </c>
      <c r="I31" s="19" t="s">
        <v>16</v>
      </c>
      <c r="M31"/>
    </row>
    <row r="32" spans="2:13" ht="26.25" customHeight="1" x14ac:dyDescent="0.2">
      <c r="B32" s="41" t="s">
        <v>190</v>
      </c>
      <c r="C32" s="19" t="s">
        <v>189</v>
      </c>
      <c r="D32" s="70"/>
      <c r="E32" s="71"/>
      <c r="F32" s="70">
        <v>729</v>
      </c>
      <c r="G32" s="71"/>
      <c r="H32" s="17">
        <v>0.71</v>
      </c>
      <c r="I32" s="18">
        <f>+H32*F32</f>
        <v>517.58999999999992</v>
      </c>
      <c r="K32" s="46"/>
      <c r="M32" s="39"/>
    </row>
    <row r="33" spans="2:13" ht="26.25" customHeight="1" x14ac:dyDescent="0.2">
      <c r="B33" s="41" t="s">
        <v>185</v>
      </c>
      <c r="C33" s="19" t="s">
        <v>203</v>
      </c>
      <c r="D33" s="70"/>
      <c r="E33" s="71"/>
      <c r="F33" s="70">
        <v>559</v>
      </c>
      <c r="G33" s="71"/>
      <c r="H33" s="17">
        <v>0.71</v>
      </c>
      <c r="I33" s="18">
        <f>+H33*F33</f>
        <v>396.89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55"/>
    </row>
    <row r="35" spans="2:13" ht="21.75" customHeight="1" x14ac:dyDescent="0.2">
      <c r="B35" s="15" t="s">
        <v>14</v>
      </c>
      <c r="C35" s="15"/>
      <c r="D35" s="86"/>
      <c r="E35" s="87"/>
      <c r="F35" s="70">
        <f>SUM(F32:G34)</f>
        <v>1288</v>
      </c>
      <c r="G35" s="71"/>
      <c r="H35" s="15"/>
      <c r="I35" s="14">
        <f>SUM(I32:I34)</f>
        <v>914.4799999999999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55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914.4799999999999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914.4799999999999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>
        <v>9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>
        <v>9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61754373</v>
      </c>
      <c r="K2" s="65">
        <v>1212</v>
      </c>
      <c r="L2" s="66">
        <v>13</v>
      </c>
      <c r="M2" s="66">
        <v>87.370999999999995</v>
      </c>
      <c r="N2" s="66">
        <v>89.795000000000002</v>
      </c>
      <c r="O2" s="66">
        <v>100.395</v>
      </c>
      <c r="P2" s="66" t="s">
        <v>54</v>
      </c>
      <c r="Q2" s="66">
        <v>0.503</v>
      </c>
      <c r="R2" s="66" t="s">
        <v>62</v>
      </c>
    </row>
    <row r="3" spans="2:22" x14ac:dyDescent="0.2">
      <c r="B3" s="6" t="s">
        <v>53</v>
      </c>
      <c r="C3" s="63">
        <f>+'458'!C3+1</f>
        <v>459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61754373</v>
      </c>
      <c r="C21" s="68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100.395</v>
      </c>
      <c r="G23" s="23">
        <f>+N2</f>
        <v>89.795000000000002</v>
      </c>
      <c r="H23" s="23">
        <f>+M2</f>
        <v>87.370999999999995</v>
      </c>
      <c r="I23" s="69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1" t="s">
        <v>19</v>
      </c>
      <c r="E31" s="81"/>
      <c r="F31" s="81" t="s">
        <v>18</v>
      </c>
      <c r="G31" s="81"/>
      <c r="H31" s="69" t="s">
        <v>17</v>
      </c>
      <c r="I31" s="19" t="s">
        <v>16</v>
      </c>
      <c r="M31"/>
    </row>
    <row r="32" spans="2:13" ht="27.75" customHeight="1" x14ac:dyDescent="0.2">
      <c r="B32" s="41" t="s">
        <v>204</v>
      </c>
      <c r="C32" s="19" t="s">
        <v>198</v>
      </c>
      <c r="D32" s="70"/>
      <c r="E32" s="71"/>
      <c r="F32" s="70">
        <f>+K2</f>
        <v>1212</v>
      </c>
      <c r="G32" s="71"/>
      <c r="H32" s="17">
        <v>0.71</v>
      </c>
      <c r="I32" s="18">
        <f>+H32*F32</f>
        <v>860.52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9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1212</v>
      </c>
      <c r="G34" s="71"/>
      <c r="H34" s="15"/>
      <c r="I34" s="14">
        <f>SUM(I32:I33)</f>
        <v>860.52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860.52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860.52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265K0057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6:D56"/>
    <mergeCell ref="C57:D57"/>
    <mergeCell ref="D35:E35"/>
    <mergeCell ref="F35:G35"/>
    <mergeCell ref="D36:E36"/>
    <mergeCell ref="F36:G36"/>
    <mergeCell ref="C37:H37"/>
    <mergeCell ref="B46:D46"/>
    <mergeCell ref="D33:E33"/>
    <mergeCell ref="F33:G33"/>
    <mergeCell ref="D34:E34"/>
    <mergeCell ref="F34:G34"/>
    <mergeCell ref="C55:D5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H34" sqref="H3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61733968</v>
      </c>
      <c r="K2" s="66">
        <v>642</v>
      </c>
      <c r="L2" s="66">
        <v>7</v>
      </c>
      <c r="M2" s="66">
        <v>45.665999999999997</v>
      </c>
      <c r="N2" s="66">
        <v>46.95</v>
      </c>
      <c r="O2" s="66">
        <v>52.65</v>
      </c>
      <c r="P2" s="66" t="s">
        <v>54</v>
      </c>
      <c r="Q2" s="66">
        <v>0.26800000000000002</v>
      </c>
      <c r="R2" s="66" t="s">
        <v>62</v>
      </c>
    </row>
    <row r="3" spans="2:22" x14ac:dyDescent="0.2">
      <c r="B3" s="6" t="s">
        <v>53</v>
      </c>
      <c r="C3" s="63">
        <f>+'459'!C3+1</f>
        <v>460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61733968</v>
      </c>
      <c r="C21" s="68">
        <f>VLOOKUP($K57,reff!E2:F29,2,0)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52.65</v>
      </c>
      <c r="G23" s="23">
        <f>+N2</f>
        <v>46.95</v>
      </c>
      <c r="H23" s="23">
        <f>+M2</f>
        <v>45.665999999999997</v>
      </c>
      <c r="I23" s="69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1" t="s">
        <v>19</v>
      </c>
      <c r="E31" s="81"/>
      <c r="F31" s="81" t="s">
        <v>18</v>
      </c>
      <c r="G31" s="81"/>
      <c r="H31" s="69" t="s">
        <v>17</v>
      </c>
      <c r="I31" s="19" t="s">
        <v>16</v>
      </c>
      <c r="M31"/>
    </row>
    <row r="32" spans="2:13" ht="30.75" customHeight="1" x14ac:dyDescent="0.2">
      <c r="B32" s="41" t="s">
        <v>190</v>
      </c>
      <c r="C32" s="19" t="s">
        <v>189</v>
      </c>
      <c r="D32" s="70"/>
      <c r="E32" s="71"/>
      <c r="F32" s="70">
        <v>364</v>
      </c>
      <c r="G32" s="71"/>
      <c r="H32" s="17">
        <v>0.71</v>
      </c>
      <c r="I32" s="18">
        <f>+H32*F32</f>
        <v>258.44</v>
      </c>
      <c r="K32" s="46"/>
      <c r="M32" s="39"/>
    </row>
    <row r="33" spans="2:13" ht="30.75" customHeight="1" x14ac:dyDescent="0.2">
      <c r="B33" s="41" t="s">
        <v>185</v>
      </c>
      <c r="C33" s="19" t="s">
        <v>203</v>
      </c>
      <c r="D33" s="70"/>
      <c r="E33" s="71"/>
      <c r="F33" s="70">
        <v>278</v>
      </c>
      <c r="G33" s="71"/>
      <c r="H33" s="17">
        <v>0.71</v>
      </c>
      <c r="I33" s="18">
        <f>+H33*F33</f>
        <v>197.38</v>
      </c>
      <c r="K33" s="46"/>
      <c r="M33" s="39"/>
    </row>
    <row r="34" spans="2:13" ht="21" customHeight="1" x14ac:dyDescent="0.2">
      <c r="B34" s="15" t="s">
        <v>15</v>
      </c>
      <c r="C34" s="15"/>
      <c r="D34" s="75"/>
      <c r="E34" s="77"/>
      <c r="F34" s="75"/>
      <c r="G34" s="77"/>
      <c r="H34" s="17"/>
      <c r="I34" s="69"/>
    </row>
    <row r="35" spans="2:13" ht="21.75" customHeight="1" x14ac:dyDescent="0.2">
      <c r="B35" s="15" t="s">
        <v>14</v>
      </c>
      <c r="C35" s="15"/>
      <c r="D35" s="86"/>
      <c r="E35" s="87"/>
      <c r="F35" s="70">
        <f>SUM(F31:G34)</f>
        <v>642</v>
      </c>
      <c r="G35" s="71"/>
      <c r="H35" s="15"/>
      <c r="I35" s="14">
        <f>SUM(I32:I34)</f>
        <v>455.82</v>
      </c>
      <c r="J35" s="40"/>
      <c r="K35" s="40"/>
    </row>
    <row r="36" spans="2:13" ht="21.75" customHeight="1" x14ac:dyDescent="0.2">
      <c r="B36" s="16" t="s">
        <v>13</v>
      </c>
      <c r="C36" s="15"/>
      <c r="D36" s="75"/>
      <c r="E36" s="77"/>
      <c r="F36" s="75"/>
      <c r="G36" s="77"/>
      <c r="H36" s="15"/>
      <c r="I36" s="69"/>
      <c r="J36" s="40"/>
    </row>
    <row r="37" spans="2:13" ht="21.75" customHeight="1" x14ac:dyDescent="0.2">
      <c r="B37" s="16" t="s">
        <v>12</v>
      </c>
      <c r="C37" s="15"/>
      <c r="D37" s="75"/>
      <c r="E37" s="77"/>
      <c r="F37" s="75"/>
      <c r="G37" s="77"/>
      <c r="H37" s="15"/>
      <c r="I37" s="14">
        <f>+I35</f>
        <v>455.82</v>
      </c>
    </row>
    <row r="38" spans="2:13" ht="20.25" customHeight="1" x14ac:dyDescent="0.2">
      <c r="B38" s="15" t="s">
        <v>80</v>
      </c>
      <c r="C38" s="75" t="s">
        <v>11</v>
      </c>
      <c r="D38" s="76"/>
      <c r="E38" s="76"/>
      <c r="F38" s="76"/>
      <c r="G38" s="76"/>
      <c r="H38" s="77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455.82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3" t="s">
        <v>7</v>
      </c>
      <c r="C47" s="83"/>
      <c r="D47" s="83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265K0057</v>
      </c>
      <c r="I53" s="8"/>
      <c r="K53" s="20">
        <v>11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4" t="s">
        <v>1</v>
      </c>
      <c r="D56" s="84"/>
      <c r="E56" s="5"/>
      <c r="F56" s="5"/>
      <c r="G56" s="5"/>
      <c r="H56" s="5"/>
      <c r="I56" s="4"/>
    </row>
    <row r="57" spans="2:11" x14ac:dyDescent="0.2">
      <c r="B57" s="6"/>
      <c r="C57" s="85" t="s">
        <v>0</v>
      </c>
      <c r="D57" s="85"/>
      <c r="E57" s="5"/>
      <c r="F57" s="5"/>
      <c r="G57" s="5"/>
      <c r="H57" s="5"/>
      <c r="I57" s="4"/>
      <c r="K57" s="20">
        <v>11</v>
      </c>
    </row>
    <row r="58" spans="2:11" x14ac:dyDescent="0.2">
      <c r="B58" s="2"/>
      <c r="C58" s="82"/>
      <c r="D58" s="82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61754375</v>
      </c>
      <c r="K2" s="66">
        <v>605</v>
      </c>
      <c r="L2" s="66">
        <v>7</v>
      </c>
      <c r="M2" s="66">
        <v>43.604999999999997</v>
      </c>
      <c r="N2" s="66">
        <v>44.814999999999998</v>
      </c>
      <c r="O2" s="66">
        <v>50.515000000000001</v>
      </c>
      <c r="P2" s="66" t="s">
        <v>54</v>
      </c>
      <c r="Q2" s="66">
        <v>0.25700000000000001</v>
      </c>
      <c r="R2" s="66" t="s">
        <v>62</v>
      </c>
    </row>
    <row r="3" spans="2:22" x14ac:dyDescent="0.2">
      <c r="B3" s="6" t="s">
        <v>53</v>
      </c>
      <c r="C3" s="63">
        <f>+'460'!C3+1</f>
        <v>461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61754375</v>
      </c>
      <c r="C21" s="68">
        <f>VLOOKUP($K56,reff!E2:F29,2,0)</f>
        <v>867788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50.515000000000001</v>
      </c>
      <c r="G23" s="23">
        <f>+N2</f>
        <v>44.814999999999998</v>
      </c>
      <c r="H23" s="23">
        <f>+M2</f>
        <v>43.604999999999997</v>
      </c>
      <c r="I23" s="69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GIRLS COTTON FIBERS, KNIT PULLOVER, WITH NO NECK CLOSURE, STITCH COUNT IS GREATER THAN 9/2CM, REACHES WAIST [60% COTTON 40% RECYCLED POLYESTER]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1" t="s">
        <v>19</v>
      </c>
      <c r="E31" s="81"/>
      <c r="F31" s="81" t="s">
        <v>18</v>
      </c>
      <c r="G31" s="81"/>
      <c r="H31" s="69" t="s">
        <v>17</v>
      </c>
      <c r="I31" s="19" t="s">
        <v>16</v>
      </c>
      <c r="M31"/>
    </row>
    <row r="32" spans="2:13" ht="24.75" customHeight="1" x14ac:dyDescent="0.2">
      <c r="B32" s="41" t="s">
        <v>204</v>
      </c>
      <c r="C32" s="19" t="s">
        <v>198</v>
      </c>
      <c r="D32" s="70"/>
      <c r="E32" s="71"/>
      <c r="F32" s="70">
        <f>+K2</f>
        <v>605</v>
      </c>
      <c r="G32" s="71"/>
      <c r="H32" s="17">
        <v>0.71</v>
      </c>
      <c r="I32" s="18">
        <f>+H32*F32</f>
        <v>429.54999999999995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9"/>
    </row>
    <row r="34" spans="2:11" ht="21.75" customHeight="1" x14ac:dyDescent="0.2">
      <c r="B34" s="15" t="s">
        <v>14</v>
      </c>
      <c r="C34" s="15"/>
      <c r="D34" s="86"/>
      <c r="E34" s="87"/>
      <c r="F34" s="70">
        <f>SUM(F31:G33)</f>
        <v>605</v>
      </c>
      <c r="G34" s="71"/>
      <c r="H34" s="15"/>
      <c r="I34" s="14">
        <f>SUM(I32:I33)</f>
        <v>429.54999999999995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429.54999999999995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429.54999999999995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265K0057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61969458</v>
      </c>
      <c r="K2" s="65">
        <v>1186</v>
      </c>
      <c r="L2" s="66">
        <v>22</v>
      </c>
      <c r="M2" s="66">
        <v>127.85</v>
      </c>
      <c r="N2" s="66">
        <v>139.71</v>
      </c>
      <c r="O2" s="66">
        <v>157.51</v>
      </c>
      <c r="P2" s="66" t="s">
        <v>54</v>
      </c>
      <c r="Q2" s="66">
        <v>0.81599999999999995</v>
      </c>
      <c r="R2" s="66" t="s">
        <v>62</v>
      </c>
    </row>
    <row r="3" spans="2:22" x14ac:dyDescent="0.2">
      <c r="B3" s="6" t="s">
        <v>53</v>
      </c>
      <c r="C3" s="63">
        <f>+'461'!C3+1</f>
        <v>462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61969458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157.51</v>
      </c>
      <c r="G23" s="23">
        <f>+N2</f>
        <v>139.71</v>
      </c>
      <c r="H23" s="23">
        <f>+M2</f>
        <v>127.85</v>
      </c>
      <c r="I23" s="69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[96% COTTON 4% SPANDEX]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1" t="s">
        <v>19</v>
      </c>
      <c r="E31" s="81"/>
      <c r="F31" s="81" t="s">
        <v>18</v>
      </c>
      <c r="G31" s="81"/>
      <c r="H31" s="69" t="s">
        <v>17</v>
      </c>
      <c r="I31" s="19" t="s">
        <v>16</v>
      </c>
      <c r="M31"/>
    </row>
    <row r="32" spans="2:13" ht="39" customHeight="1" x14ac:dyDescent="0.2">
      <c r="B32" s="41">
        <v>21</v>
      </c>
      <c r="C32" s="19" t="s">
        <v>179</v>
      </c>
      <c r="D32" s="70"/>
      <c r="E32" s="71"/>
      <c r="F32" s="70">
        <f>+K2</f>
        <v>1186</v>
      </c>
      <c r="G32" s="71"/>
      <c r="H32" s="17">
        <v>0.76</v>
      </c>
      <c r="I32" s="18">
        <f>+H32*F32</f>
        <v>901.36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9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1186</v>
      </c>
      <c r="G34" s="71"/>
      <c r="H34" s="15"/>
      <c r="I34" s="14">
        <f>SUM(I32:I33)</f>
        <v>901.36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901.36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901.36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13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H33" sqref="H3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2" t="s">
        <v>205</v>
      </c>
      <c r="C2" s="73"/>
      <c r="D2" s="73"/>
      <c r="E2" s="73"/>
      <c r="F2" s="73"/>
      <c r="G2" s="73"/>
      <c r="H2" s="73"/>
      <c r="I2" s="74"/>
      <c r="J2" s="64">
        <v>61969460</v>
      </c>
      <c r="K2" s="66">
        <v>629</v>
      </c>
      <c r="L2" s="66">
        <v>15</v>
      </c>
      <c r="M2" s="66">
        <v>67.69</v>
      </c>
      <c r="N2" s="66">
        <v>73.98</v>
      </c>
      <c r="O2" s="66">
        <v>85.28</v>
      </c>
      <c r="P2" s="66" t="s">
        <v>54</v>
      </c>
      <c r="Q2" s="66">
        <v>0.44700000000000001</v>
      </c>
      <c r="R2" s="66" t="s">
        <v>62</v>
      </c>
    </row>
    <row r="3" spans="2:22" x14ac:dyDescent="0.2">
      <c r="B3" s="6" t="s">
        <v>53</v>
      </c>
      <c r="C3" s="63">
        <f>+'462'!C3+1</f>
        <v>463</v>
      </c>
      <c r="D3" s="5"/>
      <c r="E3" s="5"/>
      <c r="F3" s="5"/>
      <c r="G3" s="5" t="s">
        <v>52</v>
      </c>
      <c r="H3" s="31">
        <v>46223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9">
        <f>J2</f>
        <v>61969460</v>
      </c>
      <c r="C21" s="68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9" t="s">
        <v>35</v>
      </c>
      <c r="G21" s="69"/>
      <c r="H21" s="47" t="str">
        <f>IF(LEFT(G17,2)="CA","CA",IF(LEFT(G17,2)="UN","US",IF(LEFT(G17,2)="PA","PA",IF(LEFT(G17,2)="JA","JP"))))</f>
        <v>US</v>
      </c>
      <c r="I21" s="69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9" t="s">
        <v>25</v>
      </c>
      <c r="C23" s="69"/>
      <c r="D23" s="69" t="s">
        <v>24</v>
      </c>
      <c r="E23" s="69" t="str">
        <f>+D23</f>
        <v>JAKARTA,ID</v>
      </c>
      <c r="F23" s="23">
        <f>+O2</f>
        <v>85.28</v>
      </c>
      <c r="G23" s="23">
        <f>+N2</f>
        <v>73.98</v>
      </c>
      <c r="H23" s="23">
        <f>+M2</f>
        <v>67.69</v>
      </c>
      <c r="I23" s="69">
        <f>+L2</f>
        <v>15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5" t="s">
        <v>23</v>
      </c>
      <c r="C26" s="76"/>
      <c r="D26" s="76"/>
      <c r="E26" s="76"/>
      <c r="F26" s="76"/>
      <c r="G26" s="76"/>
      <c r="H26" s="76"/>
      <c r="I26" s="77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[96% COTTON 4% SPANDEX]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9" t="s">
        <v>21</v>
      </c>
      <c r="C31" s="69" t="s">
        <v>20</v>
      </c>
      <c r="D31" s="81" t="s">
        <v>19</v>
      </c>
      <c r="E31" s="81"/>
      <c r="F31" s="81" t="s">
        <v>18</v>
      </c>
      <c r="G31" s="81"/>
      <c r="H31" s="69" t="s">
        <v>17</v>
      </c>
      <c r="I31" s="19" t="s">
        <v>16</v>
      </c>
      <c r="M31"/>
    </row>
    <row r="32" spans="2:13" ht="35.25" customHeight="1" x14ac:dyDescent="0.2">
      <c r="B32" s="41">
        <v>21</v>
      </c>
      <c r="C32" s="19" t="s">
        <v>179</v>
      </c>
      <c r="D32" s="70"/>
      <c r="E32" s="71"/>
      <c r="F32" s="70">
        <f>+K2</f>
        <v>629</v>
      </c>
      <c r="G32" s="71"/>
      <c r="H32" s="17">
        <v>0.76</v>
      </c>
      <c r="I32" s="18">
        <f>+H32*F32</f>
        <v>478.04</v>
      </c>
      <c r="K32" s="46"/>
      <c r="M32" s="39"/>
    </row>
    <row r="33" spans="2:11" ht="21" customHeight="1" x14ac:dyDescent="0.2">
      <c r="B33" s="15" t="s">
        <v>15</v>
      </c>
      <c r="C33" s="15"/>
      <c r="D33" s="75"/>
      <c r="E33" s="77"/>
      <c r="F33" s="75"/>
      <c r="G33" s="77"/>
      <c r="H33" s="17"/>
      <c r="I33" s="69"/>
    </row>
    <row r="34" spans="2:11" ht="21.75" customHeight="1" x14ac:dyDescent="0.2">
      <c r="B34" s="15" t="s">
        <v>14</v>
      </c>
      <c r="C34" s="15"/>
      <c r="D34" s="86"/>
      <c r="E34" s="87"/>
      <c r="F34" s="70">
        <f>SUM(F32:G33)</f>
        <v>629</v>
      </c>
      <c r="G34" s="71"/>
      <c r="H34" s="15"/>
      <c r="I34" s="14">
        <f>SUM(I32:I32)</f>
        <v>478.04</v>
      </c>
      <c r="J34" s="40"/>
      <c r="K34" s="40"/>
    </row>
    <row r="35" spans="2:11" ht="21.75" customHeight="1" x14ac:dyDescent="0.2">
      <c r="B35" s="16" t="s">
        <v>13</v>
      </c>
      <c r="C35" s="15"/>
      <c r="D35" s="75"/>
      <c r="E35" s="77"/>
      <c r="F35" s="75"/>
      <c r="G35" s="77"/>
      <c r="H35" s="15"/>
      <c r="I35" s="69"/>
      <c r="J35" s="40"/>
    </row>
    <row r="36" spans="2:11" ht="21.75" customHeight="1" x14ac:dyDescent="0.2">
      <c r="B36" s="16" t="s">
        <v>12</v>
      </c>
      <c r="C36" s="15"/>
      <c r="D36" s="75"/>
      <c r="E36" s="77"/>
      <c r="F36" s="75"/>
      <c r="G36" s="77"/>
      <c r="H36" s="15"/>
      <c r="I36" s="14">
        <f>+I34</f>
        <v>478.04</v>
      </c>
    </row>
    <row r="37" spans="2:11" ht="20.25" customHeight="1" x14ac:dyDescent="0.2">
      <c r="B37" s="15" t="s">
        <v>80</v>
      </c>
      <c r="C37" s="75" t="s">
        <v>11</v>
      </c>
      <c r="D37" s="76"/>
      <c r="E37" s="76"/>
      <c r="F37" s="76"/>
      <c r="G37" s="76"/>
      <c r="H37" s="77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478.04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3" t="s">
        <v>7</v>
      </c>
      <c r="C46" s="83"/>
      <c r="D46" s="83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 xml:space="preserve"> 265K0075 </v>
      </c>
      <c r="I52" s="8"/>
      <c r="K52" s="20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4" t="s">
        <v>1</v>
      </c>
      <c r="D55" s="84"/>
      <c r="E55" s="5"/>
      <c r="F55" s="5"/>
      <c r="G55" s="5"/>
      <c r="H55" s="5"/>
      <c r="I55" s="4"/>
    </row>
    <row r="56" spans="2:11" x14ac:dyDescent="0.2">
      <c r="B56" s="6"/>
      <c r="C56" s="85" t="s">
        <v>0</v>
      </c>
      <c r="D56" s="85"/>
      <c r="E56" s="5"/>
      <c r="F56" s="5"/>
      <c r="G56" s="5"/>
      <c r="H56" s="5"/>
      <c r="I56" s="4"/>
      <c r="K56" s="20">
        <v>14</v>
      </c>
    </row>
    <row r="57" spans="2:11" x14ac:dyDescent="0.2">
      <c r="B57" s="2"/>
      <c r="C57" s="82"/>
      <c r="D57" s="82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Sheet1</vt:lpstr>
      <vt:lpstr>reff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'450'!Print_Area</vt:lpstr>
      <vt:lpstr>'451'!Print_Area</vt:lpstr>
      <vt:lpstr>'452'!Print_Area</vt:lpstr>
      <vt:lpstr>'453'!Print_Area</vt:lpstr>
      <vt:lpstr>'454'!Print_Area</vt:lpstr>
      <vt:lpstr>'455'!Print_Area</vt:lpstr>
      <vt:lpstr>'456'!Print_Area</vt:lpstr>
      <vt:lpstr>'457'!Print_Area</vt:lpstr>
      <vt:lpstr>'458'!Print_Area</vt:lpstr>
      <vt:lpstr>'459'!Print_Area</vt:lpstr>
      <vt:lpstr>'460'!Print_Area</vt:lpstr>
      <vt:lpstr>'461'!Print_Area</vt:lpstr>
      <vt:lpstr>'462'!Print_Area</vt:lpstr>
      <vt:lpstr>'463'!Print_Area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2026-07-20T01:09:44Z</cp:lastPrinted>
  <dcterms:created xsi:type="dcterms:W3CDTF">2024-04-17T09:56:05Z</dcterms:created>
  <dcterms:modified xsi:type="dcterms:W3CDTF">2026-07-20T01:10:44Z</dcterms:modified>
</cp:coreProperties>
</file>