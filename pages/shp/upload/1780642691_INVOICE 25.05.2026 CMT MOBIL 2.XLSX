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5.05.2026\MOBIL 2\"/>
    </mc:Choice>
  </mc:AlternateContent>
  <xr:revisionPtr revIDLastSave="0" documentId="13_ncr:1_{5A7E26D5-2CF5-4789-930C-72AFB5204397}" xr6:coauthVersionLast="47" xr6:coauthVersionMax="47" xr10:uidLastSave="{00000000-0000-0000-0000-000000000000}"/>
  <bookViews>
    <workbookView xWindow="-120" yWindow="-120" windowWidth="20730" windowHeight="11160" firstSheet="4" activeTab="17" xr2:uid="{00000000-000D-0000-FFFF-FFFF00000000}"/>
  </bookViews>
  <sheets>
    <sheet name="Sheet1" sheetId="128" r:id="rId1"/>
    <sheet name="reff" sheetId="162" r:id="rId2"/>
    <sheet name="402" sheetId="133" r:id="rId3"/>
    <sheet name="403" sheetId="134" r:id="rId4"/>
    <sheet name="404" sheetId="135" r:id="rId5"/>
    <sheet name="405" sheetId="137" r:id="rId6"/>
    <sheet name="406" sheetId="138" r:id="rId7"/>
    <sheet name="407" sheetId="141" r:id="rId8"/>
    <sheet name="408" sheetId="142" r:id="rId9"/>
    <sheet name="409" sheetId="143" r:id="rId10"/>
    <sheet name="410" sheetId="163" r:id="rId11"/>
    <sheet name="411" sheetId="164" r:id="rId12"/>
    <sheet name="412" sheetId="165" r:id="rId13"/>
    <sheet name="413" sheetId="166" r:id="rId14"/>
    <sheet name="414" sheetId="167" r:id="rId15"/>
    <sheet name="415" sheetId="168" r:id="rId16"/>
    <sheet name="416" sheetId="169" r:id="rId17"/>
    <sheet name="417" sheetId="170" r:id="rId18"/>
  </sheets>
  <externalReferences>
    <externalReference r:id="rId19"/>
    <externalReference r:id="rId20"/>
    <externalReference r:id="rId2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>[2]xdata!#REF!</definedName>
    <definedName name="INVOICE">[2]xdata!$B$2</definedName>
    <definedName name="_xlnm.Print_Area" localSheetId="2">'402'!$B$1:$I$57</definedName>
    <definedName name="_xlnm.Print_Area" localSheetId="3">'403'!$B$1:$I$57</definedName>
    <definedName name="_xlnm.Print_Area" localSheetId="4">'404'!$B$1:$I$57</definedName>
    <definedName name="_xlnm.Print_Area" localSheetId="5">'405'!$B$1:$I$57</definedName>
    <definedName name="_xlnm.Print_Area" localSheetId="6">'406'!$B$1:$I$58</definedName>
    <definedName name="_xlnm.Print_Area" localSheetId="7">'407'!$B$1:$I$58</definedName>
    <definedName name="_xlnm.Print_Area" localSheetId="8">'408'!$B$1:$I$58</definedName>
    <definedName name="_xlnm.Print_Area" localSheetId="9">'409'!$B$1:$I$57</definedName>
    <definedName name="_xlnm.Print_Area" localSheetId="10">'410'!$B$1:$I$57</definedName>
    <definedName name="_xlnm.Print_Area" localSheetId="11">'411'!$B$1:$I$57</definedName>
    <definedName name="_xlnm.Print_Area" localSheetId="12">'412'!$B$1:$I$57</definedName>
    <definedName name="_xlnm.Print_Area" localSheetId="13">'413'!$B$1:$I$57</definedName>
    <definedName name="_xlnm.Print_Area" localSheetId="14">'414'!$B$1:$I$57</definedName>
    <definedName name="_xlnm.Print_Area" localSheetId="15">'415'!$B$1:$I$57</definedName>
    <definedName name="_xlnm.Print_Area" localSheetId="16">'416'!$B$1:$I$57</definedName>
    <definedName name="_xlnm.Print_Area" localSheetId="17">'417'!$B$1:$I$57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69" l="1"/>
  <c r="F34" i="169" s="1"/>
  <c r="F32" i="168"/>
  <c r="F32" i="165"/>
  <c r="I33" i="142"/>
  <c r="F32" i="134"/>
  <c r="I33" i="141"/>
  <c r="I32" i="138"/>
  <c r="I33" i="138"/>
  <c r="F35" i="138"/>
  <c r="I35" i="138" l="1"/>
  <c r="F32" i="133" l="1"/>
  <c r="F34" i="133" s="1"/>
  <c r="F32" i="167"/>
  <c r="F32" i="170" l="1"/>
  <c r="F34" i="170" s="1"/>
  <c r="F32" i="143"/>
  <c r="F35" i="142"/>
  <c r="I32" i="134"/>
  <c r="H52" i="170"/>
  <c r="B27" i="170"/>
  <c r="I23" i="170"/>
  <c r="H23" i="170"/>
  <c r="G23" i="170"/>
  <c r="F23" i="170"/>
  <c r="E23" i="170"/>
  <c r="E21" i="170"/>
  <c r="D21" i="170"/>
  <c r="C21" i="170"/>
  <c r="B21" i="170"/>
  <c r="B16" i="170"/>
  <c r="B17" i="170" s="1"/>
  <c r="B18" i="170" s="1"/>
  <c r="B15" i="170"/>
  <c r="G14" i="170"/>
  <c r="G15" i="170" s="1"/>
  <c r="G16" i="170" s="1"/>
  <c r="G17" i="170" s="1"/>
  <c r="H21" i="170" s="1"/>
  <c r="H3" i="170"/>
  <c r="H52" i="169"/>
  <c r="I32" i="169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3" i="169"/>
  <c r="H52" i="168"/>
  <c r="F34" i="168"/>
  <c r="B27" i="168"/>
  <c r="I23" i="168"/>
  <c r="H23" i="168"/>
  <c r="G23" i="168"/>
  <c r="F23" i="168"/>
  <c r="E23" i="168"/>
  <c r="E21" i="168"/>
  <c r="D21" i="168"/>
  <c r="C21" i="168"/>
  <c r="B21" i="168"/>
  <c r="B15" i="168"/>
  <c r="B16" i="168" s="1"/>
  <c r="B17" i="168" s="1"/>
  <c r="B18" i="168" s="1"/>
  <c r="G14" i="168"/>
  <c r="G15" i="168" s="1"/>
  <c r="G16" i="168" s="1"/>
  <c r="G17" i="168" s="1"/>
  <c r="H21" i="168" s="1"/>
  <c r="H3" i="168"/>
  <c r="H52" i="167"/>
  <c r="I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3" i="167"/>
  <c r="H52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3" i="166"/>
  <c r="H52" i="165"/>
  <c r="I32" i="165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3" i="165"/>
  <c r="F35" i="141"/>
  <c r="F32" i="137"/>
  <c r="H3" i="164"/>
  <c r="H3" i="163"/>
  <c r="H3" i="143"/>
  <c r="H3" i="142"/>
  <c r="H3" i="141"/>
  <c r="H3" i="138"/>
  <c r="H3" i="137"/>
  <c r="H3" i="135"/>
  <c r="H3" i="134"/>
  <c r="F32" i="164"/>
  <c r="F32" i="163"/>
  <c r="F32" i="135"/>
  <c r="I34" i="169" l="1"/>
  <c r="I36" i="169" s="1"/>
  <c r="I38" i="169" s="1"/>
  <c r="F34" i="166"/>
  <c r="F34" i="167"/>
  <c r="I34" i="167"/>
  <c r="I36" i="167" s="1"/>
  <c r="I38" i="167" s="1"/>
  <c r="F34" i="165"/>
  <c r="I32" i="170"/>
  <c r="I34" i="170" s="1"/>
  <c r="I36" i="170" s="1"/>
  <c r="I38" i="170" s="1"/>
  <c r="I32" i="168"/>
  <c r="I34" i="168" s="1"/>
  <c r="I36" i="168" s="1"/>
  <c r="I38" i="168" s="1"/>
  <c r="I32" i="141"/>
  <c r="I35" i="141" s="1"/>
  <c r="F34" i="137"/>
  <c r="F34" i="135"/>
  <c r="I32" i="137" l="1"/>
  <c r="F34" i="134"/>
  <c r="I32" i="133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B27" i="135"/>
  <c r="B27" i="134"/>
  <c r="I34" i="163" l="1"/>
  <c r="I36" i="163" s="1"/>
  <c r="I38" i="163" s="1"/>
  <c r="I32" i="164"/>
  <c r="I34" i="164" s="1"/>
  <c r="I36" i="164" s="1"/>
  <c r="I38" i="164" s="1"/>
  <c r="H53" i="142" l="1"/>
  <c r="E21" i="133"/>
  <c r="E21" i="135"/>
  <c r="E21" i="137"/>
  <c r="E21" i="138"/>
  <c r="E21" i="141"/>
  <c r="E21" i="142"/>
  <c r="E21" i="143"/>
  <c r="E21" i="134"/>
  <c r="H53" i="141"/>
  <c r="C21" i="134"/>
  <c r="C21" i="135"/>
  <c r="C21" i="137"/>
  <c r="C21" i="138"/>
  <c r="C21" i="141"/>
  <c r="C21" i="142"/>
  <c r="C21" i="143"/>
  <c r="C21" i="133"/>
  <c r="H52" i="134"/>
  <c r="H52" i="135"/>
  <c r="H52" i="137"/>
  <c r="H53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5" i="142" s="1"/>
  <c r="I37" i="142" s="1"/>
  <c r="I39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7" i="141"/>
  <c r="I39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8" l="1"/>
  <c r="I39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  <c r="C3" i="163" s="1"/>
  <c r="C3" i="164" l="1"/>
  <c r="C3" i="165" s="1"/>
  <c r="C3" i="166" s="1"/>
  <c r="C3" i="167" s="1"/>
  <c r="C3" i="168" s="1"/>
  <c r="C3" i="169" s="1"/>
  <c r="C3" i="170" s="1"/>
</calcChain>
</file>

<file path=xl/sharedStrings.xml><?xml version="1.0" encoding="utf-8"?>
<sst xmlns="http://schemas.openxmlformats.org/spreadsheetml/2006/main" count="1447" uniqueCount="211">
  <si>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</si>
  <si>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</si>
  <si>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</si>
  <si>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</si>
  <si>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</si>
  <si>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</si>
  <si>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</si>
  <si>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</si>
  <si>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</si>
  <si>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</si>
  <si>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</si>
  <si>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</si>
  <si>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</si>
  <si>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</si>
  <si>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</si>
  <si>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</si>
  <si>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</si>
  <si>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</si>
  <si>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</si>
  <si>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</si>
  <si>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</si>
  <si>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</si>
  <si>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</si>
  <si>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</si>
  <si>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</si>
  <si>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</si>
  <si>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</si>
  <si>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</si>
  <si>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</si>
  <si>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</si>
  <si>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</si>
  <si>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</si>
  <si>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</si>
  <si>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</si>
  <si>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</si>
  <si>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</si>
  <si>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</si>
  <si>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</si>
  <si>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</si>
  <si>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</si>
  <si>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</si>
  <si>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</si>
  <si>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</si>
  <si>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</si>
  <si>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</si>
  <si>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</si>
  <si>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</si>
  <si>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</si>
  <si>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</si>
  <si>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</si>
  <si>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</si>
  <si>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</si>
  <si>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</si>
  <si>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</si>
  <si>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</si>
  <si>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</si>
  <si>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</si>
  <si>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</si>
  <si>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</si>
  <si>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</si>
  <si>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</si>
  <si>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</si>
  <si>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</si>
  <si>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</si>
  <si>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</si>
  <si>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</si>
  <si>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</si>
  <si>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</si>
  <si>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</si>
  <si>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</si>
  <si>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</si>
  <si>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</si>
  <si>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</si>
  <si>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</si>
  <si>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</si>
  <si>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</si>
  <si>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</si>
  <si>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</si>
  <si>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</si>
  <si>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</si>
  <si>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</si>
  <si>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</si>
  <si>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</si>
  <si>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</si>
  <si>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</si>
  <si>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</si>
  <si>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</si>
  <si>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</si>
  <si>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</si>
  <si>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</si>
  <si>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</si>
  <si>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</si>
  <si>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</si>
  <si>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</si>
  <si>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</si>
  <si>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</si>
  <si>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</si>
  <si>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</si>
  <si>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</si>
  <si>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</si>
  <si>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</si>
  <si>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</si>
  <si>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</si>
  <si>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</si>
  <si>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</si>
  <si>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</si>
  <si>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</si>
  <si>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</si>
  <si>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</si>
  <si>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</si>
  <si>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</si>
  <si>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</si>
  <si>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</si>
  <si>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</si>
  <si>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</si>
  <si>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</si>
  <si>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</si>
  <si>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</si>
  <si>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</si>
  <si>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</si>
  <si>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</si>
  <si>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</si>
  <si>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</si>
  <si>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</si>
  <si>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</si>
  <si>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</si>
  <si>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</si>
  <si>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</si>
  <si>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</si>
  <si>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</si>
  <si>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</si>
  <si>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</si>
  <si>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</si>
  <si>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</si>
  <si>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</si>
  <si>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</si>
  <si>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</si>
  <si>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</si>
  <si>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</si>
  <si>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</si>
  <si>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</si>
  <si>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</si>
  <si>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</si>
  <si>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</si>
  <si>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</si>
  <si>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</si>
  <si>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</si>
  <si>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</si>
  <si>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</si>
  <si>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</si>
  <si>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</si>
  <si>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</si>
  <si>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</si>
  <si>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</si>
  <si>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</si>
  <si>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</si>
  <si>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</si>
  <si>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</si>
  <si>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</si>
  <si>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</si>
  <si>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</si>
  <si>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</si>
  <si>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</si>
  <si>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</si>
  <si>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</si>
  <si>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</si>
  <si>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</si>
  <si>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</si>
  <si>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</si>
  <si>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</si>
  <si>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</si>
  <si>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</si>
  <si>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</si>
  <si>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</si>
  <si>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</si>
  <si>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</si>
  <si>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</si>
  <si>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</si>
  <si>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CALLA LILY 451</t>
  </si>
  <si>
    <t>ONLINE</t>
  </si>
  <si>
    <t>RETAIL</t>
  </si>
  <si>
    <t>00, 01</t>
  </si>
  <si>
    <t>BLACK LEOPARD, PINK LEOPARD HEART</t>
  </si>
  <si>
    <t>GIRLS COTTON FIBERS, KNIT PULLOVER, WITH NO NECK CLOSURE, STITCH COUNT IS GREATER THAN 9/2CM, REACHES WAIST [100% COTTON]</t>
  </si>
  <si>
    <t>DUSKY LAVENDER, PRESSED FLOWER</t>
  </si>
  <si>
    <t>265K0051</t>
  </si>
  <si>
    <t>265K0057</t>
  </si>
  <si>
    <t>265K0058</t>
  </si>
  <si>
    <t>265K0056</t>
  </si>
  <si>
    <t>BLACKJACK JAS, BLUSH HUE</t>
  </si>
  <si>
    <t>01, 02</t>
  </si>
  <si>
    <t>01, 00</t>
  </si>
  <si>
    <t>GIRLS COTTON FIBERS, KNIT PULLOVER, WITH NO NECK CLOSURE, STITCH COUNT IS GREATER THAN 9/2CM, REACHES WAIST [60% COTTON 40% RECYCLED POLYESTER]</t>
  </si>
  <si>
    <t>255K0079</t>
  </si>
  <si>
    <t xml:space="preserve"> 265K0075 </t>
  </si>
  <si>
    <t>265K0006</t>
  </si>
  <si>
    <t>FRANCHISE</t>
  </si>
  <si>
    <t>GIRLS COTTON FIBERS, KNIT T-SHIRT, WITH NO NECK CLOSURE, STITCH COUNT IS GREATER THAN 9/2CM, REACHES WAIST [100% COTTON]</t>
  </si>
  <si>
    <t>IRLS COTTON FIBERS, KNIT PULLOVER, WITH NO NECK CLOSURE, STITCH COUNT IS GREATER THAN 9/2CM, REACHES WAIST [60% COTTON 40% RECYCLED POLYESTER]</t>
  </si>
  <si>
    <t>02, 01</t>
  </si>
  <si>
    <t>GIRLS COTTON FIBERS, KNIT PULLOVER, WITH NO NECK CLOSURE, STITCH COUNT IS GREATER THAN 9/2CM, REACHES WAIST [60% COTTON 40% POLYESTER]</t>
  </si>
  <si>
    <t>BLACK JACK 3, CALLA LILY 2, IN THE NAVY</t>
  </si>
  <si>
    <t>15, 20, 16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</si>
  <si>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</si>
  <si>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</si>
  <si>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</si>
  <si>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>BLACK JACK 3</t>
  </si>
  <si>
    <t>15</t>
  </si>
  <si>
    <t>BLACKJACK JAS</t>
  </si>
  <si>
    <t>02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</si>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</sst>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0C5909B-F016-4DE8-AE85-7AC45977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6688F-BC2D-48D6-9D9D-9DD71976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A08B9F40-FE0A-4508-B974-441FAA12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7BBF2-9A2F-4908-B3E2-29907A8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509D1C96-1BD2-4706-95F0-6B7F272E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A44F2-D137-4AB0-A499-7E672390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D22CA3B-F326-45C5-AAFB-101E7979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68F4-CAEB-469F-8131-1393C74D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18D38F5-E63E-440B-B72E-2DB8446B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22A7-5509-40BE-B908-50CEC928B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5C28DDD-6B21-4CD2-9A05-E4B7FE9E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C9DAD-26C1-480A-AA55-50EB1A09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18" sqref="I18"/>
    </sheetView>
  </sheetViews>
  <sheetFormatPr defaultRowHeight="12.75" x14ac:dyDescent="0.2"/>
  <sheetData>
    <row r="2" spans="2:9" ht="15" x14ac:dyDescent="0.25">
      <c r="B2" s="57">
        <v>1</v>
      </c>
      <c r="C2" t="s">
        <v>185</v>
      </c>
      <c r="E2" s="57">
        <v>1</v>
      </c>
      <c r="F2">
        <v>416363</v>
      </c>
      <c r="H2" s="57">
        <v>1</v>
      </c>
      <c r="I2" s="58" t="s">
        <v>179</v>
      </c>
    </row>
    <row r="3" spans="2:9" ht="15" x14ac:dyDescent="0.25">
      <c r="B3" s="57">
        <v>2</v>
      </c>
      <c r="C3" t="s">
        <v>188</v>
      </c>
      <c r="E3" s="57">
        <v>2</v>
      </c>
      <c r="F3">
        <v>903770</v>
      </c>
      <c r="H3" s="57">
        <v>2</v>
      </c>
      <c r="I3" s="58" t="s">
        <v>179</v>
      </c>
    </row>
    <row r="4" spans="2:9" ht="15" x14ac:dyDescent="0.25">
      <c r="B4" s="57">
        <v>3</v>
      </c>
      <c r="C4" t="s">
        <v>188</v>
      </c>
      <c r="E4" s="57">
        <v>3</v>
      </c>
      <c r="F4">
        <v>903770</v>
      </c>
      <c r="H4" s="57">
        <v>3</v>
      </c>
      <c r="I4" s="58" t="s">
        <v>180</v>
      </c>
    </row>
    <row r="5" spans="2:9" ht="15" x14ac:dyDescent="0.25">
      <c r="B5" s="57">
        <v>4</v>
      </c>
      <c r="C5" t="s">
        <v>188</v>
      </c>
      <c r="E5" s="57">
        <v>4</v>
      </c>
      <c r="F5">
        <v>903770</v>
      </c>
      <c r="H5" s="57">
        <v>4</v>
      </c>
      <c r="I5" s="58" t="s">
        <v>180</v>
      </c>
    </row>
    <row r="6" spans="2:9" ht="15" x14ac:dyDescent="0.25">
      <c r="B6" s="57">
        <v>5</v>
      </c>
      <c r="C6" t="s">
        <v>187</v>
      </c>
      <c r="E6" s="57">
        <v>5</v>
      </c>
      <c r="F6">
        <v>905994</v>
      </c>
      <c r="H6" s="57">
        <v>5</v>
      </c>
      <c r="I6" s="58" t="s">
        <v>196</v>
      </c>
    </row>
    <row r="7" spans="2:9" ht="15" x14ac:dyDescent="0.25">
      <c r="B7" s="57">
        <v>6</v>
      </c>
      <c r="C7" t="s">
        <v>186</v>
      </c>
      <c r="E7" s="57">
        <v>6</v>
      </c>
      <c r="F7">
        <v>867788</v>
      </c>
      <c r="H7" s="57">
        <v>6</v>
      </c>
      <c r="I7" s="58" t="s">
        <v>179</v>
      </c>
    </row>
    <row r="8" spans="2:9" ht="15" x14ac:dyDescent="0.25">
      <c r="B8" s="57">
        <v>7</v>
      </c>
      <c r="C8" t="s">
        <v>186</v>
      </c>
      <c r="E8" s="57">
        <v>7</v>
      </c>
      <c r="F8">
        <v>867788</v>
      </c>
      <c r="H8" s="57">
        <v>7</v>
      </c>
      <c r="I8" s="58" t="s">
        <v>179</v>
      </c>
    </row>
    <row r="9" spans="2:9" ht="15" x14ac:dyDescent="0.25">
      <c r="B9" s="57">
        <v>8</v>
      </c>
      <c r="C9" t="s">
        <v>186</v>
      </c>
      <c r="E9" s="57">
        <v>8</v>
      </c>
      <c r="F9">
        <v>867788</v>
      </c>
      <c r="H9" s="57">
        <v>8</v>
      </c>
      <c r="I9" s="58" t="s">
        <v>179</v>
      </c>
    </row>
    <row r="10" spans="2:9" ht="15" x14ac:dyDescent="0.25">
      <c r="B10" s="57">
        <v>9</v>
      </c>
      <c r="C10" t="s">
        <v>193</v>
      </c>
      <c r="E10" s="57">
        <v>9</v>
      </c>
      <c r="F10">
        <v>881293</v>
      </c>
      <c r="H10" s="57">
        <v>9</v>
      </c>
      <c r="I10" s="58" t="s">
        <v>180</v>
      </c>
    </row>
    <row r="11" spans="2:9" ht="15" x14ac:dyDescent="0.25">
      <c r="B11" s="57">
        <v>10</v>
      </c>
      <c r="C11" t="s">
        <v>193</v>
      </c>
      <c r="E11" s="57">
        <v>10</v>
      </c>
      <c r="F11">
        <v>881293</v>
      </c>
      <c r="H11" s="57">
        <v>10</v>
      </c>
      <c r="I11" s="58" t="s">
        <v>180</v>
      </c>
    </row>
    <row r="12" spans="2:9" ht="15" x14ac:dyDescent="0.25">
      <c r="B12" s="57">
        <v>11</v>
      </c>
      <c r="C12" t="s">
        <v>193</v>
      </c>
      <c r="E12" s="57">
        <v>11</v>
      </c>
      <c r="F12">
        <v>881293</v>
      </c>
      <c r="H12" s="57">
        <v>11</v>
      </c>
      <c r="I12" s="58" t="s">
        <v>180</v>
      </c>
    </row>
    <row r="13" spans="2:9" ht="15" x14ac:dyDescent="0.25">
      <c r="B13" s="57">
        <v>12</v>
      </c>
      <c r="C13" t="s">
        <v>194</v>
      </c>
      <c r="E13" s="57">
        <v>12</v>
      </c>
      <c r="F13">
        <v>692926</v>
      </c>
      <c r="H13" s="57">
        <v>12</v>
      </c>
      <c r="I13" s="58" t="s">
        <v>179</v>
      </c>
    </row>
    <row r="14" spans="2:9" ht="15" x14ac:dyDescent="0.25">
      <c r="B14" s="57">
        <v>13</v>
      </c>
      <c r="C14" t="s">
        <v>194</v>
      </c>
      <c r="E14" s="57">
        <v>13</v>
      </c>
      <c r="F14">
        <v>692926</v>
      </c>
      <c r="H14" s="57">
        <v>13</v>
      </c>
      <c r="I14" s="58" t="s">
        <v>180</v>
      </c>
    </row>
    <row r="15" spans="2:9" ht="15" x14ac:dyDescent="0.25">
      <c r="B15" s="57">
        <v>14</v>
      </c>
      <c r="C15" t="s">
        <v>194</v>
      </c>
      <c r="E15" s="57">
        <v>14</v>
      </c>
      <c r="F15">
        <v>692926</v>
      </c>
      <c r="H15" s="57">
        <v>14</v>
      </c>
      <c r="I15" s="58" t="s">
        <v>180</v>
      </c>
    </row>
    <row r="16" spans="2:9" ht="15" x14ac:dyDescent="0.25">
      <c r="B16" s="57">
        <v>15</v>
      </c>
      <c r="C16" t="s">
        <v>195</v>
      </c>
      <c r="E16" s="57">
        <v>15</v>
      </c>
      <c r="F16">
        <v>878746</v>
      </c>
      <c r="H16" s="57">
        <v>15</v>
      </c>
      <c r="I16" s="58" t="s">
        <v>180</v>
      </c>
    </row>
    <row r="17" spans="2:11" ht="15" x14ac:dyDescent="0.25">
      <c r="B17" s="57">
        <v>16</v>
      </c>
      <c r="C17" t="s">
        <v>195</v>
      </c>
      <c r="E17" s="57">
        <v>16</v>
      </c>
      <c r="F17">
        <v>878746</v>
      </c>
      <c r="H17" s="57">
        <v>16</v>
      </c>
      <c r="I17" s="58" t="s">
        <v>180</v>
      </c>
    </row>
    <row r="18" spans="2:11" ht="15" x14ac:dyDescent="0.25">
      <c r="B18" s="57">
        <v>17</v>
      </c>
      <c r="C18" t="s">
        <v>195</v>
      </c>
      <c r="E18" s="57">
        <v>17</v>
      </c>
      <c r="F18">
        <v>878746</v>
      </c>
      <c r="H18" s="57">
        <v>17</v>
      </c>
      <c r="I18" s="58" t="s">
        <v>180</v>
      </c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61411865</v>
      </c>
      <c r="K2" s="69">
        <v>445</v>
      </c>
      <c r="L2" s="69">
        <v>4</v>
      </c>
      <c r="M2" s="69">
        <v>31.03</v>
      </c>
      <c r="N2" s="69">
        <v>31.92</v>
      </c>
      <c r="O2" s="69">
        <v>35.32</v>
      </c>
      <c r="P2" s="69" t="s">
        <v>54</v>
      </c>
      <c r="Q2" s="69">
        <v>0.17899999999999999</v>
      </c>
      <c r="R2" s="69" t="s">
        <v>62</v>
      </c>
    </row>
    <row r="3" spans="2:22" x14ac:dyDescent="0.2">
      <c r="B3" s="6" t="s">
        <v>53</v>
      </c>
      <c r="C3" s="65">
        <v>402</v>
      </c>
      <c r="D3" s="5"/>
      <c r="E3" s="5"/>
      <c r="F3" s="5"/>
      <c r="G3" s="5" t="s">
        <v>52</v>
      </c>
      <c r="H3" s="31">
        <v>46167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61411865</v>
      </c>
      <c r="C21" s="49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35.32</v>
      </c>
      <c r="G23" s="23">
        <f>+N2</f>
        <v>31.92</v>
      </c>
      <c r="H23" s="23">
        <f>+M2</f>
        <v>31.03</v>
      </c>
      <c r="I23" s="48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T-SHIRT, WITH NO NECK CLOSURE, STITCH COUNT IS GREATER THAN 9/2CM, REACHES WAIST [100% COTTON]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2" t="s">
        <v>19</v>
      </c>
      <c r="E31" s="82"/>
      <c r="F31" s="82" t="s">
        <v>18</v>
      </c>
      <c r="G31" s="82"/>
      <c r="H31" s="48" t="s">
        <v>17</v>
      </c>
      <c r="I31" s="19" t="s">
        <v>16</v>
      </c>
      <c r="M31"/>
    </row>
    <row r="32" spans="2:13" ht="27.75" customHeight="1" x14ac:dyDescent="0.2">
      <c r="B32" s="41" t="s">
        <v>191</v>
      </c>
      <c r="C32" s="19" t="s">
        <v>184</v>
      </c>
      <c r="D32" s="71"/>
      <c r="E32" s="72"/>
      <c r="F32" s="71">
        <f>+K2</f>
        <v>445</v>
      </c>
      <c r="G32" s="72"/>
      <c r="H32" s="17">
        <v>0.81</v>
      </c>
      <c r="I32" s="18">
        <f>+H32*F32</f>
        <v>360.45000000000005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48"/>
    </row>
    <row r="34" spans="2:11" ht="21.75" customHeight="1" x14ac:dyDescent="0.2">
      <c r="B34" s="15" t="s">
        <v>14</v>
      </c>
      <c r="C34" s="15"/>
      <c r="D34" s="87"/>
      <c r="E34" s="88"/>
      <c r="F34" s="71">
        <f>SUM(F31:G33)</f>
        <v>445</v>
      </c>
      <c r="G34" s="72"/>
      <c r="H34" s="15"/>
      <c r="I34" s="14">
        <f>SUM(I32:I33)</f>
        <v>360.45000000000005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360.45000000000005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360.45000000000005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61554194</v>
      </c>
      <c r="K2" s="69">
        <v>969</v>
      </c>
      <c r="L2" s="69">
        <v>15</v>
      </c>
      <c r="M2" s="69">
        <v>67.251999999999995</v>
      </c>
      <c r="N2" s="69">
        <v>69.19</v>
      </c>
      <c r="O2" s="69">
        <v>79.290000000000006</v>
      </c>
      <c r="P2" s="69" t="s">
        <v>54</v>
      </c>
      <c r="Q2" s="69">
        <v>0.436</v>
      </c>
      <c r="R2" s="69" t="s">
        <v>62</v>
      </c>
    </row>
    <row r="3" spans="2:22" x14ac:dyDescent="0.2">
      <c r="B3" s="6" t="s">
        <v>53</v>
      </c>
      <c r="C3" s="65">
        <f>+'402'!C3+1</f>
        <v>403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61554194</v>
      </c>
      <c r="C21" s="53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CA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79.290000000000006</v>
      </c>
      <c r="G23" s="23">
        <f>+N2</f>
        <v>69.19</v>
      </c>
      <c r="H23" s="23">
        <f>+M2</f>
        <v>67.251999999999995</v>
      </c>
      <c r="I23" s="54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T-SHIRT, WITH NO NECK CLOSURE, STITCH COUNT IS GREATER THAN 9/2CM, REACHES WAIST [100% COTTON]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2" t="s">
        <v>19</v>
      </c>
      <c r="E31" s="82"/>
      <c r="F31" s="82" t="s">
        <v>18</v>
      </c>
      <c r="G31" s="82"/>
      <c r="H31" s="54" t="s">
        <v>17</v>
      </c>
      <c r="I31" s="19" t="s">
        <v>16</v>
      </c>
      <c r="M31"/>
    </row>
    <row r="32" spans="2:13" ht="27.75" customHeight="1" x14ac:dyDescent="0.2">
      <c r="B32" s="41" t="s">
        <v>181</v>
      </c>
      <c r="C32" s="19" t="s">
        <v>184</v>
      </c>
      <c r="D32" s="71"/>
      <c r="E32" s="72"/>
      <c r="F32" s="71">
        <f>+K2</f>
        <v>969</v>
      </c>
      <c r="G32" s="72"/>
      <c r="H32" s="17">
        <v>0.81</v>
      </c>
      <c r="I32" s="18">
        <f>+H32*F32</f>
        <v>784.8900000000001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54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969</v>
      </c>
      <c r="G34" s="72"/>
      <c r="H34" s="15"/>
      <c r="I34" s="14">
        <f>SUM(I32:I33)</f>
        <v>784.8900000000001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784.8900000000001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784.8900000000001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61420127</v>
      </c>
      <c r="K2" s="68">
        <v>2842</v>
      </c>
      <c r="L2" s="69">
        <v>30</v>
      </c>
      <c r="M2" s="69">
        <v>201.32599999999999</v>
      </c>
      <c r="N2" s="69">
        <v>207.01</v>
      </c>
      <c r="O2" s="69">
        <v>229.56</v>
      </c>
      <c r="P2" s="69" t="s">
        <v>54</v>
      </c>
      <c r="Q2" s="69">
        <v>1.2250000000000001</v>
      </c>
      <c r="R2" s="69" t="s">
        <v>62</v>
      </c>
    </row>
    <row r="3" spans="2:22" x14ac:dyDescent="0.2">
      <c r="B3" s="6" t="s">
        <v>53</v>
      </c>
      <c r="C3" s="65">
        <f>+'403'!C3+1</f>
        <v>404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61420127</v>
      </c>
      <c r="C21" s="56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229.56</v>
      </c>
      <c r="G23" s="23">
        <f>+N2</f>
        <v>207.01</v>
      </c>
      <c r="H23" s="23">
        <f>+M2</f>
        <v>201.32599999999999</v>
      </c>
      <c r="I23" s="55">
        <f>+L2</f>
        <v>30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[100% COTTON]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2" t="s">
        <v>19</v>
      </c>
      <c r="E31" s="82"/>
      <c r="F31" s="82" t="s">
        <v>18</v>
      </c>
      <c r="G31" s="82"/>
      <c r="H31" s="55" t="s">
        <v>17</v>
      </c>
      <c r="I31" s="19" t="s">
        <v>16</v>
      </c>
      <c r="M31"/>
    </row>
    <row r="32" spans="2:13" ht="39" customHeight="1" x14ac:dyDescent="0.2">
      <c r="B32" s="41" t="s">
        <v>181</v>
      </c>
      <c r="C32" s="19" t="s">
        <v>184</v>
      </c>
      <c r="D32" s="71"/>
      <c r="E32" s="72"/>
      <c r="F32" s="71">
        <f>+K2</f>
        <v>2842</v>
      </c>
      <c r="G32" s="72"/>
      <c r="H32" s="17">
        <v>0.81</v>
      </c>
      <c r="I32" s="18">
        <f>+H32*F32</f>
        <v>2302.02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1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2842</v>
      </c>
      <c r="G34" s="72"/>
      <c r="H34" s="15"/>
      <c r="I34" s="14">
        <f>SUM(I32:I32)</f>
        <v>2302.02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2302.02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2302.02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4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61642668</v>
      </c>
      <c r="K2" s="68">
        <v>1296</v>
      </c>
      <c r="L2" s="69">
        <v>23</v>
      </c>
      <c r="M2" s="69">
        <v>90.513000000000005</v>
      </c>
      <c r="N2" s="69">
        <v>93.105000000000004</v>
      </c>
      <c r="O2" s="69">
        <v>107.505</v>
      </c>
      <c r="P2" s="69" t="s">
        <v>54</v>
      </c>
      <c r="Q2" s="69">
        <v>0.60399999999999998</v>
      </c>
      <c r="R2" s="69" t="s">
        <v>62</v>
      </c>
    </row>
    <row r="3" spans="2:22" x14ac:dyDescent="0.2">
      <c r="B3" s="6" t="s">
        <v>53</v>
      </c>
      <c r="C3" s="65">
        <f>+'404'!C3+1</f>
        <v>405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61642668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107.505</v>
      </c>
      <c r="G23" s="23">
        <f>+N2</f>
        <v>93.105000000000004</v>
      </c>
      <c r="H23" s="23">
        <f>+M2</f>
        <v>90.513000000000005</v>
      </c>
      <c r="I23" s="55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[100% COTTON]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2" t="s">
        <v>19</v>
      </c>
      <c r="E31" s="82"/>
      <c r="F31" s="82" t="s">
        <v>18</v>
      </c>
      <c r="G31" s="82"/>
      <c r="H31" s="55" t="s">
        <v>17</v>
      </c>
      <c r="I31" s="19" t="s">
        <v>16</v>
      </c>
      <c r="M31"/>
    </row>
    <row r="32" spans="2:13" ht="35.25" customHeight="1" x14ac:dyDescent="0.2">
      <c r="B32" s="41" t="s">
        <v>191</v>
      </c>
      <c r="C32" s="19" t="s">
        <v>182</v>
      </c>
      <c r="D32" s="71"/>
      <c r="E32" s="72"/>
      <c r="F32" s="71">
        <f>+K2</f>
        <v>1296</v>
      </c>
      <c r="G32" s="72"/>
      <c r="H32" s="17">
        <v>0.81</v>
      </c>
      <c r="I32" s="18">
        <f>+H32*F32</f>
        <v>1049.76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55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1296</v>
      </c>
      <c r="G34" s="72"/>
      <c r="H34" s="15"/>
      <c r="I34" s="14">
        <f>SUM(I32:I33)</f>
        <v>1049.76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1049.76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1049.76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9"/>
  <sheetViews>
    <sheetView view="pageBreakPreview" topLeftCell="A23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61657287</v>
      </c>
      <c r="K2" s="68">
        <v>14802</v>
      </c>
      <c r="L2" s="69">
        <v>108</v>
      </c>
      <c r="M2" s="70">
        <v>1050.941</v>
      </c>
      <c r="N2" s="70">
        <v>1080.5450000000001</v>
      </c>
      <c r="O2" s="70">
        <v>1181.145</v>
      </c>
      <c r="P2" s="69" t="s">
        <v>54</v>
      </c>
      <c r="Q2" s="69">
        <v>6.0609999999999999</v>
      </c>
      <c r="R2" s="69" t="s">
        <v>62</v>
      </c>
    </row>
    <row r="3" spans="2:22" x14ac:dyDescent="0.2">
      <c r="B3" s="6" t="s">
        <v>53</v>
      </c>
      <c r="C3" s="65">
        <f>+'405'!C3+1</f>
        <v>406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61657287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1181.145</v>
      </c>
      <c r="G23" s="23">
        <f>+N2</f>
        <v>1080.5450000000001</v>
      </c>
      <c r="H23" s="23">
        <f>+M2</f>
        <v>1050.941</v>
      </c>
      <c r="I23" s="55">
        <f>+L2</f>
        <v>108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[60% COTTON 40% RECYCLED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2" t="s">
        <v>19</v>
      </c>
      <c r="E31" s="82"/>
      <c r="F31" s="82" t="s">
        <v>18</v>
      </c>
      <c r="G31" s="82"/>
      <c r="H31" s="55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189</v>
      </c>
      <c r="D32" s="71"/>
      <c r="E32" s="72"/>
      <c r="F32" s="71">
        <v>11461</v>
      </c>
      <c r="G32" s="72"/>
      <c r="H32" s="17">
        <v>0.71</v>
      </c>
      <c r="I32" s="18">
        <f>+H32*F32</f>
        <v>8137.3099999999995</v>
      </c>
      <c r="K32" s="46"/>
      <c r="M32" s="39"/>
    </row>
    <row r="33" spans="2:13" ht="27.75" customHeight="1" x14ac:dyDescent="0.2">
      <c r="B33" s="41" t="s">
        <v>177</v>
      </c>
      <c r="C33" s="19" t="s">
        <v>178</v>
      </c>
      <c r="D33" s="71"/>
      <c r="E33" s="72"/>
      <c r="F33" s="71">
        <v>3341</v>
      </c>
      <c r="G33" s="72"/>
      <c r="H33" s="17">
        <v>0.71</v>
      </c>
      <c r="I33" s="18">
        <f>+H33*F33</f>
        <v>2372.1099999999997</v>
      </c>
      <c r="K33" s="46"/>
      <c r="M33" s="39"/>
    </row>
    <row r="34" spans="2:13" ht="21" customHeight="1" x14ac:dyDescent="0.2">
      <c r="B34" s="15" t="s">
        <v>15</v>
      </c>
      <c r="C34" s="15"/>
      <c r="D34" s="76"/>
      <c r="E34" s="78"/>
      <c r="F34" s="76"/>
      <c r="G34" s="78"/>
      <c r="H34" s="17"/>
      <c r="I34" s="66"/>
    </row>
    <row r="35" spans="2:13" ht="21.75" customHeight="1" x14ac:dyDescent="0.2">
      <c r="B35" s="15" t="s">
        <v>14</v>
      </c>
      <c r="C35" s="15"/>
      <c r="D35" s="87"/>
      <c r="E35" s="88"/>
      <c r="F35" s="71">
        <f>SUM(F32:G33)</f>
        <v>14802</v>
      </c>
      <c r="G35" s="72"/>
      <c r="H35" s="15"/>
      <c r="I35" s="14">
        <f>SUM(I32:I33)</f>
        <v>10509.419999999998</v>
      </c>
      <c r="J35" s="40"/>
      <c r="K35" s="40"/>
    </row>
    <row r="36" spans="2:13" ht="21.75" customHeight="1" x14ac:dyDescent="0.2">
      <c r="B36" s="16" t="s">
        <v>13</v>
      </c>
      <c r="C36" s="15"/>
      <c r="D36" s="76"/>
      <c r="E36" s="78"/>
      <c r="F36" s="76"/>
      <c r="G36" s="78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6"/>
      <c r="E37" s="78"/>
      <c r="F37" s="76"/>
      <c r="G37" s="78"/>
      <c r="H37" s="15"/>
      <c r="I37" s="14">
        <f>+I35</f>
        <v>10509.419999999998</v>
      </c>
    </row>
    <row r="38" spans="2:13" ht="20.25" customHeight="1" x14ac:dyDescent="0.2">
      <c r="B38" s="15" t="s">
        <v>80</v>
      </c>
      <c r="C38" s="76" t="s">
        <v>11</v>
      </c>
      <c r="D38" s="77"/>
      <c r="E38" s="77"/>
      <c r="F38" s="77"/>
      <c r="G38" s="77"/>
      <c r="H38" s="78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10509.419999999998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4" t="s">
        <v>7</v>
      </c>
      <c r="C47" s="84"/>
      <c r="D47" s="8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5" t="s">
        <v>1</v>
      </c>
      <c r="D56" s="85"/>
      <c r="E56" s="5"/>
      <c r="F56" s="5"/>
      <c r="G56" s="5"/>
      <c r="H56" s="5"/>
      <c r="I56" s="4"/>
    </row>
    <row r="57" spans="2:11" x14ac:dyDescent="0.2">
      <c r="B57" s="6"/>
      <c r="C57" s="86" t="s">
        <v>0</v>
      </c>
      <c r="D57" s="86"/>
      <c r="E57" s="5"/>
      <c r="F57" s="5"/>
      <c r="G57" s="5"/>
      <c r="H57" s="5"/>
      <c r="I57" s="4"/>
      <c r="K57">
        <v>6</v>
      </c>
    </row>
    <row r="58" spans="2:11" x14ac:dyDescent="0.2">
      <c r="B58" s="2"/>
      <c r="C58" s="83"/>
      <c r="D58" s="8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9"/>
  <sheetViews>
    <sheetView view="pageBreakPreview" topLeftCell="A26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61657285</v>
      </c>
      <c r="K2" s="68">
        <v>11320</v>
      </c>
      <c r="L2" s="69">
        <v>83</v>
      </c>
      <c r="M2" s="69">
        <v>803.745</v>
      </c>
      <c r="N2" s="69">
        <v>826.38499999999999</v>
      </c>
      <c r="O2" s="69">
        <v>903.68499999999995</v>
      </c>
      <c r="P2" s="69" t="s">
        <v>54</v>
      </c>
      <c r="Q2" s="69">
        <v>4.641</v>
      </c>
      <c r="R2" s="69" t="s">
        <v>62</v>
      </c>
    </row>
    <row r="3" spans="2:22" x14ac:dyDescent="0.2">
      <c r="B3" s="6" t="s">
        <v>53</v>
      </c>
      <c r="C3" s="65">
        <f>+'406'!C3+1</f>
        <v>407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61657285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903.68499999999995</v>
      </c>
      <c r="G23" s="23">
        <f>+N2</f>
        <v>826.38499999999999</v>
      </c>
      <c r="H23" s="23">
        <f>+M2</f>
        <v>803.745</v>
      </c>
      <c r="I23" s="55">
        <f>+L2</f>
        <v>83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IRLS COTTON FIBERS, KNIT PULLOVER, WITH NO NECK CLOSURE, STITCH COUNT IS GREATER THAN 9/2CM, REACHES WAIST [60% COTTON 40% RECYCLED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2" t="s">
        <v>19</v>
      </c>
      <c r="E31" s="82"/>
      <c r="F31" s="82" t="s">
        <v>18</v>
      </c>
      <c r="G31" s="82"/>
      <c r="H31" s="55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189</v>
      </c>
      <c r="D32" s="71"/>
      <c r="E32" s="72"/>
      <c r="F32" s="71">
        <v>8764</v>
      </c>
      <c r="G32" s="72"/>
      <c r="H32" s="17">
        <v>0.71</v>
      </c>
      <c r="I32" s="18">
        <f>+H32*F32</f>
        <v>6222.44</v>
      </c>
      <c r="K32" s="46"/>
      <c r="M32" s="39"/>
    </row>
    <row r="33" spans="2:13" ht="27.75" customHeight="1" x14ac:dyDescent="0.2">
      <c r="B33" s="41" t="s">
        <v>177</v>
      </c>
      <c r="C33" s="19" t="s">
        <v>178</v>
      </c>
      <c r="D33" s="71"/>
      <c r="E33" s="72"/>
      <c r="F33" s="71">
        <v>2556</v>
      </c>
      <c r="G33" s="72"/>
      <c r="H33" s="17">
        <v>0.71</v>
      </c>
      <c r="I33" s="18">
        <f>+H33*F33</f>
        <v>1814.76</v>
      </c>
      <c r="K33" s="46"/>
      <c r="M33" s="39"/>
    </row>
    <row r="34" spans="2:13" ht="21" customHeight="1" x14ac:dyDescent="0.2">
      <c r="B34" s="15" t="s">
        <v>15</v>
      </c>
      <c r="C34" s="15"/>
      <c r="D34" s="76"/>
      <c r="E34" s="78"/>
      <c r="F34" s="76"/>
      <c r="G34" s="78"/>
      <c r="H34" s="17"/>
      <c r="I34" s="62"/>
    </row>
    <row r="35" spans="2:13" ht="21.75" customHeight="1" x14ac:dyDescent="0.2">
      <c r="B35" s="15" t="s">
        <v>14</v>
      </c>
      <c r="C35" s="15"/>
      <c r="D35" s="87"/>
      <c r="E35" s="88"/>
      <c r="F35" s="71">
        <f>SUM(F32:G34)</f>
        <v>11320</v>
      </c>
      <c r="G35" s="72"/>
      <c r="H35" s="15"/>
      <c r="I35" s="14">
        <f>SUM(I32:I34)</f>
        <v>8037.2</v>
      </c>
      <c r="J35" s="40"/>
      <c r="K35" s="40"/>
    </row>
    <row r="36" spans="2:13" ht="21.75" customHeight="1" x14ac:dyDescent="0.2">
      <c r="B36" s="16" t="s">
        <v>13</v>
      </c>
      <c r="C36" s="15"/>
      <c r="D36" s="76"/>
      <c r="E36" s="78"/>
      <c r="F36" s="76"/>
      <c r="G36" s="78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6"/>
      <c r="E37" s="78"/>
      <c r="F37" s="76"/>
      <c r="G37" s="78"/>
      <c r="H37" s="15"/>
      <c r="I37" s="14">
        <f>+I35</f>
        <v>8037.2</v>
      </c>
    </row>
    <row r="38" spans="2:13" ht="20.25" customHeight="1" x14ac:dyDescent="0.2">
      <c r="B38" s="15" t="s">
        <v>80</v>
      </c>
      <c r="C38" s="76" t="s">
        <v>11</v>
      </c>
      <c r="D38" s="77"/>
      <c r="E38" s="77"/>
      <c r="F38" s="77"/>
      <c r="G38" s="77"/>
      <c r="H38" s="78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8037.2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4" t="s">
        <v>7</v>
      </c>
      <c r="C47" s="84"/>
      <c r="D47" s="8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5" t="s">
        <v>1</v>
      </c>
      <c r="D56" s="85"/>
      <c r="E56" s="5"/>
      <c r="F56" s="5"/>
      <c r="G56" s="5"/>
      <c r="H56" s="5"/>
      <c r="I56" s="4"/>
      <c r="K56">
        <v>7</v>
      </c>
    </row>
    <row r="57" spans="2:11" x14ac:dyDescent="0.2">
      <c r="B57" s="6"/>
      <c r="C57" s="86" t="s">
        <v>0</v>
      </c>
      <c r="D57" s="86"/>
      <c r="E57" s="5"/>
      <c r="F57" s="5"/>
      <c r="G57" s="5"/>
      <c r="H57" s="5"/>
      <c r="I57" s="4"/>
    </row>
    <row r="58" spans="2:11" x14ac:dyDescent="0.2">
      <c r="B58" s="2"/>
      <c r="C58" s="83"/>
      <c r="D58" s="8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9"/>
  <sheetViews>
    <sheetView view="pageBreakPreview" topLeftCell="A24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61657289</v>
      </c>
      <c r="K2" s="68">
        <v>5657</v>
      </c>
      <c r="L2" s="69">
        <v>52</v>
      </c>
      <c r="M2" s="69">
        <v>401.61599999999999</v>
      </c>
      <c r="N2" s="69">
        <v>412.93</v>
      </c>
      <c r="O2" s="69">
        <v>457.83</v>
      </c>
      <c r="P2" s="69" t="s">
        <v>54</v>
      </c>
      <c r="Q2" s="69">
        <v>2.36</v>
      </c>
      <c r="R2" s="69" t="s">
        <v>62</v>
      </c>
    </row>
    <row r="3" spans="2:22" x14ac:dyDescent="0.2">
      <c r="B3" s="6" t="s">
        <v>53</v>
      </c>
      <c r="C3" s="65">
        <f>+'407'!C3+1</f>
        <v>408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61657289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457.83</v>
      </c>
      <c r="G23" s="23">
        <f>+N2</f>
        <v>412.93</v>
      </c>
      <c r="H23" s="23">
        <f>+M2</f>
        <v>401.61599999999999</v>
      </c>
      <c r="I23" s="55">
        <f>+L2</f>
        <v>52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[60% COTTON 40% RECYCLED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2" t="s">
        <v>19</v>
      </c>
      <c r="E31" s="82"/>
      <c r="F31" s="82" t="s">
        <v>18</v>
      </c>
      <c r="G31" s="82"/>
      <c r="H31" s="55" t="s">
        <v>17</v>
      </c>
      <c r="I31" s="19" t="s">
        <v>16</v>
      </c>
      <c r="M31"/>
    </row>
    <row r="32" spans="2:13" ht="27.75" customHeight="1" x14ac:dyDescent="0.2">
      <c r="B32" s="41" t="s">
        <v>199</v>
      </c>
      <c r="C32" s="19" t="s">
        <v>189</v>
      </c>
      <c r="D32" s="71"/>
      <c r="E32" s="72"/>
      <c r="F32" s="71">
        <v>4382</v>
      </c>
      <c r="G32" s="72"/>
      <c r="H32" s="17">
        <v>0.71</v>
      </c>
      <c r="I32" s="18">
        <f>+H32*F32</f>
        <v>3111.22</v>
      </c>
      <c r="K32" s="46"/>
      <c r="M32" s="39"/>
    </row>
    <row r="33" spans="2:13" ht="27.75" customHeight="1" x14ac:dyDescent="0.2">
      <c r="B33" s="41" t="s">
        <v>177</v>
      </c>
      <c r="C33" s="19" t="s">
        <v>178</v>
      </c>
      <c r="D33" s="71"/>
      <c r="E33" s="72"/>
      <c r="F33" s="71">
        <v>1275</v>
      </c>
      <c r="G33" s="72"/>
      <c r="H33" s="17">
        <v>0.71</v>
      </c>
      <c r="I33" s="18">
        <f>+H33*F33</f>
        <v>905.25</v>
      </c>
      <c r="K33" s="46"/>
      <c r="M33" s="39"/>
    </row>
    <row r="34" spans="2:13" ht="21" customHeight="1" x14ac:dyDescent="0.2">
      <c r="B34" s="15" t="s">
        <v>15</v>
      </c>
      <c r="C34" s="15"/>
      <c r="D34" s="76"/>
      <c r="E34" s="78"/>
      <c r="F34" s="76"/>
      <c r="G34" s="78"/>
      <c r="H34" s="17"/>
      <c r="I34" s="55"/>
    </row>
    <row r="35" spans="2:13" ht="21.75" customHeight="1" x14ac:dyDescent="0.2">
      <c r="B35" s="15" t="s">
        <v>14</v>
      </c>
      <c r="C35" s="15"/>
      <c r="D35" s="87"/>
      <c r="E35" s="88"/>
      <c r="F35" s="71">
        <f>SUM(F32:G34)</f>
        <v>5657</v>
      </c>
      <c r="G35" s="72"/>
      <c r="H35" s="15"/>
      <c r="I35" s="14">
        <f>SUM(I32:I34)</f>
        <v>4016.47</v>
      </c>
      <c r="J35" s="40"/>
      <c r="K35" s="40"/>
    </row>
    <row r="36" spans="2:13" ht="21.75" customHeight="1" x14ac:dyDescent="0.2">
      <c r="B36" s="16" t="s">
        <v>13</v>
      </c>
      <c r="C36" s="15"/>
      <c r="D36" s="76"/>
      <c r="E36" s="78"/>
      <c r="F36" s="76"/>
      <c r="G36" s="78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6"/>
      <c r="E37" s="78"/>
      <c r="F37" s="76"/>
      <c r="G37" s="78"/>
      <c r="H37" s="15"/>
      <c r="I37" s="14">
        <f>+I35</f>
        <v>4016.47</v>
      </c>
    </row>
    <row r="38" spans="2:13" ht="20.25" customHeight="1" x14ac:dyDescent="0.2">
      <c r="B38" s="15" t="s">
        <v>80</v>
      </c>
      <c r="C38" s="76" t="s">
        <v>11</v>
      </c>
      <c r="D38" s="77"/>
      <c r="E38" s="77"/>
      <c r="F38" s="77"/>
      <c r="G38" s="77"/>
      <c r="H38" s="78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4016.47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4" t="s">
        <v>7</v>
      </c>
      <c r="C47" s="84"/>
      <c r="D47" s="8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8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5" t="s">
        <v>1</v>
      </c>
      <c r="D56" s="85"/>
      <c r="E56" s="5"/>
      <c r="F56" s="5"/>
      <c r="G56" s="5"/>
      <c r="H56" s="5"/>
      <c r="I56" s="4"/>
      <c r="K56">
        <v>8</v>
      </c>
    </row>
    <row r="57" spans="2:11" x14ac:dyDescent="0.2">
      <c r="B57" s="6"/>
      <c r="C57" s="86" t="s">
        <v>0</v>
      </c>
      <c r="D57" s="86"/>
      <c r="E57" s="5"/>
      <c r="F57" s="5"/>
      <c r="G57" s="5"/>
      <c r="H57" s="5"/>
      <c r="I57" s="4"/>
    </row>
    <row r="58" spans="2:11" x14ac:dyDescent="0.2">
      <c r="B58" s="2"/>
      <c r="C58" s="83"/>
      <c r="D58" s="8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61944935</v>
      </c>
      <c r="K2" s="68">
        <v>2010</v>
      </c>
      <c r="L2" s="69">
        <v>12</v>
      </c>
      <c r="M2" s="69">
        <v>149.16</v>
      </c>
      <c r="N2" s="69">
        <v>153.18</v>
      </c>
      <c r="O2" s="69">
        <v>165.18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+'408'!C3+1</f>
        <v>409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61944935</v>
      </c>
      <c r="C21" s="56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[60% COTTON 40%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2" t="s">
        <v>19</v>
      </c>
      <c r="E31" s="82"/>
      <c r="F31" s="82" t="s">
        <v>18</v>
      </c>
      <c r="G31" s="82"/>
      <c r="H31" s="55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178</v>
      </c>
      <c r="D32" s="71"/>
      <c r="E32" s="72"/>
      <c r="F32" s="71">
        <f>+K2</f>
        <v>2010</v>
      </c>
      <c r="G32" s="72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55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2010</v>
      </c>
      <c r="G34" s="72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61944932</v>
      </c>
      <c r="K2" s="68">
        <v>2030</v>
      </c>
      <c r="L2" s="69">
        <v>12</v>
      </c>
      <c r="M2" s="69">
        <v>146.32</v>
      </c>
      <c r="N2" s="69">
        <v>150.38</v>
      </c>
      <c r="O2" s="69">
        <v>162.38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'409'!C3+1</f>
        <v>410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61944932</v>
      </c>
      <c r="C21" s="59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162.38</v>
      </c>
      <c r="G23" s="23">
        <f>+N2</f>
        <v>150.38</v>
      </c>
      <c r="H23" s="23">
        <f>+M2</f>
        <v>146.32</v>
      </c>
      <c r="I23" s="60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[60% COTTON 40%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2" t="s">
        <v>19</v>
      </c>
      <c r="E31" s="82"/>
      <c r="F31" s="82" t="s">
        <v>18</v>
      </c>
      <c r="G31" s="82"/>
      <c r="H31" s="60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178</v>
      </c>
      <c r="D32" s="71"/>
      <c r="E32" s="72"/>
      <c r="F32" s="71">
        <f>+K2</f>
        <v>2030</v>
      </c>
      <c r="G32" s="72"/>
      <c r="H32" s="17">
        <v>0.57999999999999996</v>
      </c>
      <c r="I32" s="18">
        <f>+H32*F32</f>
        <v>1177.3999999999999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0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2030</v>
      </c>
      <c r="G34" s="72"/>
      <c r="H34" s="15"/>
      <c r="I34" s="14">
        <f>SUM(I32:I33)</f>
        <v>1177.3999999999999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60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1177.3999999999999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1177.3999999999999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10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8"/>
  <sheetViews>
    <sheetView view="pageBreakPreview" topLeftCell="A20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61944936</v>
      </c>
      <c r="K2" s="68">
        <v>2010</v>
      </c>
      <c r="L2" s="69">
        <v>12</v>
      </c>
      <c r="M2" s="69">
        <v>149.16</v>
      </c>
      <c r="N2" s="69">
        <v>153.18</v>
      </c>
      <c r="O2" s="69">
        <v>165.18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'410'!C3+1</f>
        <v>411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61944936</v>
      </c>
      <c r="C21" s="59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60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[60% COTTON 40%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2" t="s">
        <v>19</v>
      </c>
      <c r="E31" s="82"/>
      <c r="F31" s="82" t="s">
        <v>18</v>
      </c>
      <c r="G31" s="82"/>
      <c r="H31" s="60" t="s">
        <v>17</v>
      </c>
      <c r="I31" s="19" t="s">
        <v>16</v>
      </c>
      <c r="M31"/>
    </row>
    <row r="32" spans="2:13" ht="39" customHeight="1" x14ac:dyDescent="0.2">
      <c r="B32" s="41" t="s">
        <v>177</v>
      </c>
      <c r="C32" s="19" t="s">
        <v>178</v>
      </c>
      <c r="D32" s="71"/>
      <c r="E32" s="72"/>
      <c r="F32" s="71">
        <f>+K2</f>
        <v>2010</v>
      </c>
      <c r="G32" s="72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0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2010</v>
      </c>
      <c r="G34" s="72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60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622-0C14-4DE1-B095-6F38E9934A5C}">
  <sheetPr>
    <pageSetUpPr fitToPage="1"/>
  </sheetPr>
  <dimension ref="B1:V58"/>
  <sheetViews>
    <sheetView view="pageBreakPreview" topLeftCell="A16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61734573</v>
      </c>
      <c r="K2" s="68">
        <v>3000</v>
      </c>
      <c r="L2" s="69">
        <v>77</v>
      </c>
      <c r="M2" s="69">
        <v>328.19</v>
      </c>
      <c r="N2" s="69">
        <v>358.19</v>
      </c>
      <c r="O2" s="69">
        <v>416.69</v>
      </c>
      <c r="P2" s="69" t="s">
        <v>54</v>
      </c>
      <c r="Q2" s="69">
        <v>2.3149999999999999</v>
      </c>
      <c r="R2" s="69" t="s">
        <v>62</v>
      </c>
    </row>
    <row r="3" spans="2:22" x14ac:dyDescent="0.2">
      <c r="B3" s="6" t="s">
        <v>53</v>
      </c>
      <c r="C3" s="65">
        <f>+'411'!C3+1</f>
        <v>412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61734573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4" t="s">
        <v>35</v>
      </c>
      <c r="G21" s="64"/>
      <c r="H21" s="47" t="str">
        <f>IF(LEFT(G17,2)="CA","CA",IF(LEFT(G17,2)="UN","US",IF(LEFT(G17,2)="PA","PA",IF(LEFT(G17,2)="JA","JP"))))</f>
        <v>CA</v>
      </c>
      <c r="I21" s="64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416.69</v>
      </c>
      <c r="G23" s="23">
        <f>+N2</f>
        <v>358.19</v>
      </c>
      <c r="H23" s="23">
        <f>+M2</f>
        <v>328.19</v>
      </c>
      <c r="I23" s="64">
        <f>+L2</f>
        <v>77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WOMENS COTTON FIBERS, KNIT PULLOVER, WITH NO NECK CLOSURE, STITCH COUNT IS GREATER THAN 9/2CM, REACHES WAIST, SLEEVELESS [95% COTTON 5% ELASTANE]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2" t="s">
        <v>19</v>
      </c>
      <c r="E31" s="82"/>
      <c r="F31" s="82" t="s">
        <v>18</v>
      </c>
      <c r="G31" s="82"/>
      <c r="H31" s="64" t="s">
        <v>17</v>
      </c>
      <c r="I31" s="19" t="s">
        <v>16</v>
      </c>
      <c r="M31"/>
    </row>
    <row r="32" spans="2:13" ht="39" customHeight="1" x14ac:dyDescent="0.2">
      <c r="B32" s="41" t="s">
        <v>202</v>
      </c>
      <c r="C32" s="19" t="s">
        <v>201</v>
      </c>
      <c r="D32" s="71"/>
      <c r="E32" s="72"/>
      <c r="F32" s="71">
        <f>+K2</f>
        <v>3000</v>
      </c>
      <c r="G32" s="72"/>
      <c r="H32" s="17">
        <v>0.76</v>
      </c>
      <c r="I32" s="18">
        <f>+H32*F32</f>
        <v>2280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4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3000</v>
      </c>
      <c r="G34" s="72"/>
      <c r="H34" s="15"/>
      <c r="I34" s="14">
        <f>SUM(I32:I33)</f>
        <v>2280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2280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2280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12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FC6512-9B06-421B-AFF0-7835EC1108E8}">
          <x14:formula1>
            <xm:f>Sheet1!$K$5:$K$12</xm:f>
          </x14:formula1>
          <xm:sqref>B14</xm:sqref>
        </x14:dataValidation>
        <x14:dataValidation type="list" allowBlank="1" showInputMessage="1" showErrorMessage="1" xr:uid="{845F5CD3-75AC-4BC8-B90C-B97FA977A87C}">
          <x14:formula1>
            <xm:f>Sheet1!$B$17:$B$18</xm:f>
          </x14:formula1>
          <xm:sqref>G5</xm:sqref>
        </x14:dataValidation>
        <x14:dataValidation type="list" allowBlank="1" showInputMessage="1" showErrorMessage="1" xr:uid="{63B3F182-BA30-4E9F-9DFC-60A60C700FEF}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DA6-9D0E-4919-8EA7-82A26E7A99A8}">
  <sheetPr>
    <pageSetUpPr fitToPage="1"/>
  </sheetPr>
  <dimension ref="B1:V58"/>
  <sheetViews>
    <sheetView view="pageBreakPreview" topLeftCell="A21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61737880</v>
      </c>
      <c r="K2" s="68">
        <v>6739</v>
      </c>
      <c r="L2" s="69">
        <v>155</v>
      </c>
      <c r="M2" s="69">
        <v>705.07</v>
      </c>
      <c r="N2" s="69">
        <v>940.93499999999995</v>
      </c>
      <c r="O2" s="70">
        <v>1085.5350000000001</v>
      </c>
      <c r="P2" s="69" t="s">
        <v>54</v>
      </c>
      <c r="Q2" s="69">
        <v>8.6560000000000006</v>
      </c>
      <c r="R2" s="69" t="s">
        <v>62</v>
      </c>
    </row>
    <row r="3" spans="2:22" x14ac:dyDescent="0.2">
      <c r="B3" s="6" t="s">
        <v>53</v>
      </c>
      <c r="C3" s="65">
        <f>+'412'!C3+1</f>
        <v>413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61737880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CA</v>
      </c>
      <c r="I21" s="64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1085.5350000000001</v>
      </c>
      <c r="G23" s="23">
        <f>+N2</f>
        <v>940.93499999999995</v>
      </c>
      <c r="H23" s="23">
        <f>+M2</f>
        <v>705.07</v>
      </c>
      <c r="I23" s="64">
        <f>+L2</f>
        <v>155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WOMENS COTTON FIBERS, KNIT PULLOVER, WITH NO NECK CLOSURE, STITCH COUNT IS GREATER THAN 9/2CM, REACHES WAIST, SLEEVELESS [95% COTTON 5% ELASTANE]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2" t="s">
        <v>19</v>
      </c>
      <c r="E31" s="82"/>
      <c r="F31" s="82" t="s">
        <v>18</v>
      </c>
      <c r="G31" s="82"/>
      <c r="H31" s="64" t="s">
        <v>17</v>
      </c>
      <c r="I31" s="19" t="s">
        <v>16</v>
      </c>
      <c r="M31"/>
    </row>
    <row r="32" spans="2:13" ht="38.25" x14ac:dyDescent="0.2">
      <c r="B32" s="41" t="s">
        <v>205</v>
      </c>
      <c r="C32" s="19" t="s">
        <v>204</v>
      </c>
      <c r="D32" s="71"/>
      <c r="E32" s="72"/>
      <c r="F32" s="71">
        <f>+K2</f>
        <v>6739</v>
      </c>
      <c r="G32" s="72"/>
      <c r="H32" s="17">
        <v>0.76</v>
      </c>
      <c r="I32" s="18">
        <f>+H32*F32</f>
        <v>5121.6400000000003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4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6739</v>
      </c>
      <c r="G34" s="72"/>
      <c r="H34" s="15"/>
      <c r="I34" s="14">
        <f>SUM(I32:I33)</f>
        <v>5121.6400000000003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5121.6400000000003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5121.6400000000003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3B75E7-ACBA-46AA-8C70-8C98EBADC7EA}">
          <x14:formula1>
            <xm:f>Sheet1!$L$5:$L$25</xm:f>
          </x14:formula1>
          <xm:sqref>G13</xm:sqref>
        </x14:dataValidation>
        <x14:dataValidation type="list" allowBlank="1" showInputMessage="1" showErrorMessage="1" xr:uid="{AC79E212-3EA6-4BDB-8C91-8ADAB50900C8}">
          <x14:formula1>
            <xm:f>Sheet1!$B$17:$B$18</xm:f>
          </x14:formula1>
          <xm:sqref>G5</xm:sqref>
        </x14:dataValidation>
        <x14:dataValidation type="list" allowBlank="1" showInputMessage="1" showErrorMessage="1" xr:uid="{5A53E507-43A5-41F1-8FD3-C00E11684353}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DF-D78C-4BD5-A59A-4CB6E8E43A86}">
  <sheetPr>
    <pageSetUpPr fitToPage="1"/>
  </sheetPr>
  <dimension ref="B1:V58"/>
  <sheetViews>
    <sheetView view="pageBreakPreview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61738892</v>
      </c>
      <c r="K2" s="68">
        <v>8602</v>
      </c>
      <c r="L2" s="69">
        <v>163</v>
      </c>
      <c r="M2" s="69">
        <v>901.9</v>
      </c>
      <c r="N2" s="70">
        <v>1202.97</v>
      </c>
      <c r="O2" s="70">
        <v>1364.17</v>
      </c>
      <c r="P2" s="69" t="s">
        <v>54</v>
      </c>
      <c r="Q2" s="69">
        <v>10.635</v>
      </c>
      <c r="R2" s="69" t="s">
        <v>62</v>
      </c>
    </row>
    <row r="3" spans="2:22" x14ac:dyDescent="0.2">
      <c r="B3" s="6" t="s">
        <v>53</v>
      </c>
      <c r="C3" s="65">
        <f>+'413'!C3+1</f>
        <v>414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61738892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1364.17</v>
      </c>
      <c r="G23" s="23">
        <f>+N2</f>
        <v>1202.97</v>
      </c>
      <c r="H23" s="23">
        <f>+M2</f>
        <v>901.9</v>
      </c>
      <c r="I23" s="64">
        <f>+L2</f>
        <v>163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WOMENS COTTON FIBERS, KNIT PULLOVER, WITH NO NECK CLOSURE, STITCH COUNT IS GREATER THAN 9/2CM, REACHES WAIST, SLEEVELESS [95% COTTON 5% ELASTANE]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2" t="s">
        <v>19</v>
      </c>
      <c r="E31" s="82"/>
      <c r="F31" s="82" t="s">
        <v>18</v>
      </c>
      <c r="G31" s="82"/>
      <c r="H31" s="64" t="s">
        <v>17</v>
      </c>
      <c r="I31" s="19" t="s">
        <v>16</v>
      </c>
      <c r="M31"/>
    </row>
    <row r="32" spans="2:13" ht="39" customHeight="1" x14ac:dyDescent="0.2">
      <c r="B32" s="41" t="s">
        <v>207</v>
      </c>
      <c r="C32" s="19" t="s">
        <v>206</v>
      </c>
      <c r="D32" s="71"/>
      <c r="E32" s="72"/>
      <c r="F32" s="71">
        <f>+K2</f>
        <v>8602</v>
      </c>
      <c r="G32" s="72"/>
      <c r="H32" s="17">
        <v>0.76</v>
      </c>
      <c r="I32" s="18">
        <f>+H32*F32</f>
        <v>6537.52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4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8602</v>
      </c>
      <c r="G34" s="72"/>
      <c r="H34" s="15"/>
      <c r="I34" s="14">
        <f>SUM(I32:I33)</f>
        <v>6537.52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6537.52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6537.52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385FA0-00A2-4BF3-B1F4-76598AD3B19E}">
          <x14:formula1>
            <xm:f>Sheet1!$K$5:$K$12</xm:f>
          </x14:formula1>
          <xm:sqref>B14</xm:sqref>
        </x14:dataValidation>
        <x14:dataValidation type="list" allowBlank="1" showInputMessage="1" showErrorMessage="1" xr:uid="{B9DEF07A-1FF0-49EB-8209-A913FE833878}">
          <x14:formula1>
            <xm:f>Sheet1!$B$17:$B$18</xm:f>
          </x14:formula1>
          <xm:sqref>G5</xm:sqref>
        </x14:dataValidation>
        <x14:dataValidation type="list" allowBlank="1" showInputMessage="1" showErrorMessage="1" xr:uid="{DBE23F1E-C6D8-4134-8DE8-B0E944B506E4}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D0C0-839C-43AA-A48C-27453BFD2E53}">
  <sheetPr>
    <pageSetUpPr fitToPage="1"/>
  </sheetPr>
  <dimension ref="B1:V58"/>
  <sheetViews>
    <sheetView view="pageBreakPreview" topLeftCell="A21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61945032</v>
      </c>
      <c r="K2" s="68">
        <v>2010</v>
      </c>
      <c r="L2" s="69">
        <v>12</v>
      </c>
      <c r="M2" s="69">
        <v>149.16</v>
      </c>
      <c r="N2" s="69">
        <v>153.18</v>
      </c>
      <c r="O2" s="69">
        <v>165.18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'414'!C3+1</f>
        <v>415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61945032</v>
      </c>
      <c r="C21" s="63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6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[60% COTTON 40%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2" t="s">
        <v>19</v>
      </c>
      <c r="E31" s="82"/>
      <c r="F31" s="82" t="s">
        <v>18</v>
      </c>
      <c r="G31" s="82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208</v>
      </c>
      <c r="D32" s="71"/>
      <c r="E32" s="72"/>
      <c r="F32" s="71">
        <f>+K2</f>
        <v>2010</v>
      </c>
      <c r="G32" s="72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4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2010</v>
      </c>
      <c r="G34" s="72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15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C14458-43FE-4821-871D-20F1CA0ADC79}">
          <x14:formula1>
            <xm:f>Sheet1!$L$5:$L$25</xm:f>
          </x14:formula1>
          <xm:sqref>G13</xm:sqref>
        </x14:dataValidation>
        <x14:dataValidation type="list" allowBlank="1" showInputMessage="1" showErrorMessage="1" xr:uid="{1C0341E8-5D8F-4E00-B1A2-D65DA0616BAB}">
          <x14:formula1>
            <xm:f>Sheet1!$B$17:$B$18</xm:f>
          </x14:formula1>
          <xm:sqref>G5</xm:sqref>
        </x14:dataValidation>
        <x14:dataValidation type="list" allowBlank="1" showInputMessage="1" showErrorMessage="1" xr:uid="{C14BC80E-9E41-47E5-AB23-76C4DA9ABC11}">
          <x14:formula1>
            <xm:f>Sheet1!$K$5:$K$12</xm:f>
          </x14:formula1>
          <xm:sqref>B14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6B2E-8706-42C0-8489-AEEFB43EAF90}">
  <sheetPr>
    <pageSetUpPr fitToPage="1"/>
  </sheetPr>
  <dimension ref="B1:V58"/>
  <sheetViews>
    <sheetView view="pageBreakPreview" topLeftCell="A21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61945030</v>
      </c>
      <c r="K2" s="68">
        <v>2030</v>
      </c>
      <c r="L2" s="69">
        <v>12</v>
      </c>
      <c r="M2" s="69">
        <v>146.32</v>
      </c>
      <c r="N2" s="69">
        <v>150.38</v>
      </c>
      <c r="O2" s="69">
        <v>162.38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'415'!C3+1</f>
        <v>416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61945030</v>
      </c>
      <c r="C21" s="63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162.38</v>
      </c>
      <c r="G23" s="23">
        <f>+N2</f>
        <v>150.38</v>
      </c>
      <c r="H23" s="23">
        <f>+M2</f>
        <v>146.32</v>
      </c>
      <c r="I23" s="6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[60% COTTON 40%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2" t="s">
        <v>19</v>
      </c>
      <c r="E31" s="82"/>
      <c r="F31" s="82" t="s">
        <v>18</v>
      </c>
      <c r="G31" s="82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208</v>
      </c>
      <c r="D32" s="71"/>
      <c r="E32" s="72"/>
      <c r="F32" s="71">
        <f>+K2</f>
        <v>2030</v>
      </c>
      <c r="G32" s="72"/>
      <c r="H32" s="17">
        <v>0.57999999999999996</v>
      </c>
      <c r="I32" s="18">
        <f>+H32*F32</f>
        <v>1177.3999999999999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4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2030</v>
      </c>
      <c r="G34" s="72"/>
      <c r="H34" s="15"/>
      <c r="I34" s="14">
        <f>SUM(I32:I33)</f>
        <v>1177.3999999999999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1177.3999999999999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1177.3999999999999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16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FF53B-25F1-4A47-B074-04D7C1F6B135}">
          <x14:formula1>
            <xm:f>Sheet1!$K$5:$K$12</xm:f>
          </x14:formula1>
          <xm:sqref>B14</xm:sqref>
        </x14:dataValidation>
        <x14:dataValidation type="list" allowBlank="1" showInputMessage="1" showErrorMessage="1" xr:uid="{C0457828-C7EA-43AF-A56E-15EDA2A7A2E8}">
          <x14:formula1>
            <xm:f>Sheet1!$B$17:$B$18</xm:f>
          </x14:formula1>
          <xm:sqref>G5</xm:sqref>
        </x14:dataValidation>
        <x14:dataValidation type="list" allowBlank="1" showInputMessage="1" showErrorMessage="1" xr:uid="{60F58A6D-9B01-4421-A21B-3CE2D342C83A}">
          <x14:formula1>
            <xm:f>Sheet1!$L$5:$L$25</xm:f>
          </x14:formula1>
          <xm:sqref>G13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C045-2D25-40E7-A1EE-72AAADF43FF8}">
  <sheetPr>
    <pageSetUpPr fitToPage="1"/>
  </sheetPr>
  <dimension ref="B1:V58"/>
  <sheetViews>
    <sheetView tabSelected="1" view="pageBreakPreview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3" t="s">
        <v>210</v>
      </c>
      <c r="C2" s="74"/>
      <c r="D2" s="74"/>
      <c r="E2" s="74"/>
      <c r="F2" s="74"/>
      <c r="G2" s="74"/>
      <c r="H2" s="74"/>
      <c r="I2" s="75"/>
      <c r="J2" s="67">
        <v>61945034</v>
      </c>
      <c r="K2" s="68">
        <v>2010</v>
      </c>
      <c r="L2" s="69">
        <v>12</v>
      </c>
      <c r="M2" s="69">
        <v>149.16</v>
      </c>
      <c r="N2" s="69">
        <v>153.18</v>
      </c>
      <c r="O2" s="69">
        <v>165.18</v>
      </c>
      <c r="P2" s="69" t="s">
        <v>54</v>
      </c>
      <c r="Q2" s="69">
        <v>0.80500000000000005</v>
      </c>
      <c r="R2" s="69" t="s">
        <v>62</v>
      </c>
    </row>
    <row r="3" spans="2:22" x14ac:dyDescent="0.2">
      <c r="B3" s="6" t="s">
        <v>53</v>
      </c>
      <c r="C3" s="65">
        <f>'416'!C3+1</f>
        <v>417</v>
      </c>
      <c r="D3" s="5"/>
      <c r="E3" s="5"/>
      <c r="F3" s="5"/>
      <c r="G3" s="5" t="s">
        <v>52</v>
      </c>
      <c r="H3" s="31" t="e">
        <f>+#REF!+0</f>
        <v>#REF!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61945034</v>
      </c>
      <c r="C21" s="63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165.18</v>
      </c>
      <c r="G23" s="23">
        <f>+N2</f>
        <v>153.18</v>
      </c>
      <c r="H23" s="23">
        <f>+M2</f>
        <v>149.16</v>
      </c>
      <c r="I23" s="6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6" t="s">
        <v>23</v>
      </c>
      <c r="C26" s="77"/>
      <c r="D26" s="77"/>
      <c r="E26" s="77"/>
      <c r="F26" s="77"/>
      <c r="G26" s="77"/>
      <c r="H26" s="77"/>
      <c r="I26" s="78"/>
    </row>
    <row r="27" spans="2:13" ht="24.75" customHeight="1" x14ac:dyDescent="0.2">
      <c r="B27" s="79" t="str">
        <f>+K4</f>
        <v>GIRLS COTTON FIBERS, KNIT PULLOVER, WITH NO NECK CLOSURE, STITCH COUNT IS GREATER THAN 9/2CM, REACHES WAIST [60% COTTON 40% POLYESTER]</v>
      </c>
      <c r="C27" s="80"/>
      <c r="D27" s="80"/>
      <c r="E27" s="80"/>
      <c r="F27" s="80"/>
      <c r="G27" s="80"/>
      <c r="H27" s="80"/>
      <c r="I27" s="8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2" t="s">
        <v>19</v>
      </c>
      <c r="E31" s="82"/>
      <c r="F31" s="82" t="s">
        <v>18</v>
      </c>
      <c r="G31" s="82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208</v>
      </c>
      <c r="D32" s="71"/>
      <c r="E32" s="72"/>
      <c r="F32" s="71">
        <f>+K2</f>
        <v>2010</v>
      </c>
      <c r="G32" s="72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6"/>
      <c r="E33" s="78"/>
      <c r="F33" s="76"/>
      <c r="G33" s="78"/>
      <c r="H33" s="17"/>
      <c r="I33" s="64"/>
    </row>
    <row r="34" spans="2:11" ht="21.75" customHeight="1" x14ac:dyDescent="0.2">
      <c r="B34" s="15" t="s">
        <v>14</v>
      </c>
      <c r="C34" s="15"/>
      <c r="D34" s="87"/>
      <c r="E34" s="88"/>
      <c r="F34" s="71">
        <f>SUM(F32:G33)</f>
        <v>2010</v>
      </c>
      <c r="G34" s="72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6"/>
      <c r="E35" s="78"/>
      <c r="F35" s="76"/>
      <c r="G35" s="78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6"/>
      <c r="E36" s="78"/>
      <c r="F36" s="76"/>
      <c r="G36" s="78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6" t="s">
        <v>11</v>
      </c>
      <c r="D37" s="77"/>
      <c r="E37" s="77"/>
      <c r="F37" s="77"/>
      <c r="G37" s="77"/>
      <c r="H37" s="78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17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19B34E-BDA4-4D35-A1EF-5877DEDD1966}">
          <x14:formula1>
            <xm:f>Sheet1!$L$5:$L$25</xm:f>
          </x14:formula1>
          <xm:sqref>G13</xm:sqref>
        </x14:dataValidation>
        <x14:dataValidation type="list" allowBlank="1" showInputMessage="1" showErrorMessage="1" xr:uid="{A1836E8F-FB22-4361-888E-49262A10B299}">
          <x14:formula1>
            <xm:f>Sheet1!$B$17:$B$18</xm:f>
          </x14:formula1>
          <xm:sqref>G5</xm:sqref>
        </x14:dataValidation>
        <x14:dataValidation type="list" allowBlank="1" showInputMessage="1" showErrorMessage="1" xr:uid="{4A3E3AE3-8B36-4463-93F7-CC9915F86495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Sheet1</vt:lpstr>
      <vt:lpstr>reff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'402'!Print_Area</vt:lpstr>
      <vt:lpstr>'403'!Print_Area</vt:lpstr>
      <vt:lpstr>'404'!Print_Area</vt:lpstr>
      <vt:lpstr>'405'!Print_Area</vt:lpstr>
      <vt:lpstr>'406'!Print_Area</vt:lpstr>
      <vt:lpstr>'407'!Print_Area</vt:lpstr>
      <vt:lpstr>'408'!Print_Area</vt:lpstr>
      <vt:lpstr>'409'!Print_Area</vt:lpstr>
      <vt:lpstr>'410'!Print_Area</vt:lpstr>
      <vt:lpstr>'411'!Print_Area</vt:lpstr>
      <vt:lpstr>'412'!Print_Area</vt:lpstr>
      <vt:lpstr>'413'!Print_Area</vt:lpstr>
      <vt:lpstr>'414'!Print_Area</vt:lpstr>
      <vt:lpstr>'415'!Print_Area</vt:lpstr>
      <vt:lpstr>'416'!Print_Area</vt:lpstr>
      <vt:lpstr>'417'!Print_Area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2026-05-25T03:17:58Z</cp:lastPrinted>
  <dcterms:created xsi:type="dcterms:W3CDTF">2024-04-17T09:56:05Z</dcterms:created>
  <dcterms:modified xsi:type="dcterms:W3CDTF">2026-05-25T04:47:39Z</dcterms:modified>
</cp:coreProperties>
</file>