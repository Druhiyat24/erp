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07. JULI\16.07.2026\"/>
    </mc:Choice>
  </mc:AlternateContent>
  <bookViews>
    <workbookView xWindow="-120" yWindow="-120" windowWidth="20730" windowHeight="11160" firstSheet="1" activeTab="13"/>
  </bookViews>
  <sheets>
    <sheet name="Sheet1" sheetId="128" r:id="rId1"/>
    <sheet name="reff" sheetId="162" r:id="rId2"/>
    <sheet name="387" sheetId="138" r:id="rId3"/>
    <sheet name="388" sheetId="129" r:id="rId4"/>
    <sheet name="389" sheetId="133" r:id="rId5"/>
    <sheet name="390" sheetId="134" r:id="rId6"/>
    <sheet name="391" sheetId="135" r:id="rId7"/>
    <sheet name="392" sheetId="137" r:id="rId8"/>
    <sheet name="393" sheetId="141" r:id="rId9"/>
    <sheet name="394" sheetId="142" r:id="rId10"/>
    <sheet name="395" sheetId="143" r:id="rId11"/>
    <sheet name="396" sheetId="163" r:id="rId12"/>
    <sheet name="397" sheetId="164" r:id="rId13"/>
    <sheet name="398" sheetId="165" r:id="rId14"/>
  </sheets>
  <externalReferences>
    <externalReference r:id="rId15"/>
    <externalReference r:id="rId16"/>
    <externalReference r:id="rId17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>[2]xdata!#REF!</definedName>
    <definedName name="INVOICE">[2]xdata!$B$2</definedName>
    <definedName name="_xlnm.Print_Area" localSheetId="2">'387'!$B$1:$I$58</definedName>
    <definedName name="_xlnm.Print_Area" localSheetId="3">'388'!$B$1:$I$58</definedName>
    <definedName name="_xlnm.Print_Area" localSheetId="4">'389'!$B$1:$I$57</definedName>
    <definedName name="_xlnm.Print_Area" localSheetId="5">'390'!$B$1:$I$58</definedName>
    <definedName name="_xlnm.Print_Area" localSheetId="6">'391'!$B$1:$I$57</definedName>
    <definedName name="_xlnm.Print_Area" localSheetId="7">'392'!$B$1:$I$58</definedName>
    <definedName name="_xlnm.Print_Area" localSheetId="8">'393'!$B$1:$I$57</definedName>
    <definedName name="_xlnm.Print_Area" localSheetId="9">'394'!$B$1:$I$57</definedName>
    <definedName name="_xlnm.Print_Area" localSheetId="10">'395'!$B$1:$I$57</definedName>
    <definedName name="_xlnm.Print_Area" localSheetId="11">'396'!$B$1:$I$57</definedName>
    <definedName name="_xlnm.Print_Area" localSheetId="12">'397'!$B$1:$I$57</definedName>
    <definedName name="_xlnm.Print_Area" localSheetId="13">'398'!$B$1:$I$57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65" l="1"/>
  <c r="I32" i="165" s="1"/>
  <c r="F32" i="164"/>
  <c r="I32" i="164" s="1"/>
  <c r="F33" i="137"/>
  <c r="F32" i="137"/>
  <c r="I33" i="137"/>
  <c r="F32" i="135"/>
  <c r="F33" i="134"/>
  <c r="F32" i="134"/>
  <c r="I33" i="134"/>
  <c r="F33" i="129"/>
  <c r="F32" i="129"/>
  <c r="I33" i="129"/>
  <c r="F33" i="138"/>
  <c r="F32" i="138"/>
  <c r="F34" i="164" l="1"/>
  <c r="F32" i="163"/>
  <c r="F32" i="143"/>
  <c r="I32" i="143" s="1"/>
  <c r="H52" i="165" l="1"/>
  <c r="F34" i="165"/>
  <c r="B27" i="165"/>
  <c r="I23" i="165"/>
  <c r="H23" i="165"/>
  <c r="G23" i="165"/>
  <c r="F23" i="165"/>
  <c r="E23" i="165"/>
  <c r="E21" i="165"/>
  <c r="D21" i="165"/>
  <c r="C21" i="165"/>
  <c r="B21" i="165"/>
  <c r="B16" i="165"/>
  <c r="B17" i="165" s="1"/>
  <c r="B18" i="165" s="1"/>
  <c r="B15" i="165"/>
  <c r="G14" i="165"/>
  <c r="G15" i="165" s="1"/>
  <c r="G16" i="165" s="1"/>
  <c r="G17" i="165" s="1"/>
  <c r="H21" i="165" s="1"/>
  <c r="H52" i="164"/>
  <c r="I34" i="164"/>
  <c r="I36" i="164" s="1"/>
  <c r="I38" i="164" s="1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I34" i="165" l="1"/>
  <c r="I36" i="165" s="1"/>
  <c r="I38" i="165" s="1"/>
  <c r="F35" i="138"/>
  <c r="I33" i="138"/>
  <c r="C3" i="129" l="1"/>
  <c r="F34" i="135" l="1"/>
  <c r="F32" i="133"/>
  <c r="I32" i="129"/>
  <c r="F32" i="141"/>
  <c r="I32" i="138" l="1"/>
  <c r="I35" i="138" s="1"/>
  <c r="F34" i="133" l="1"/>
  <c r="F35" i="129" l="1"/>
  <c r="F32" i="142"/>
  <c r="F34" i="142" s="1"/>
  <c r="I32" i="134"/>
  <c r="C3" i="133"/>
  <c r="F34" i="141"/>
  <c r="I32" i="141" l="1"/>
  <c r="I34" i="141" s="1"/>
  <c r="F35" i="137"/>
  <c r="I35" i="129" l="1"/>
  <c r="I32" i="137"/>
  <c r="F35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3" i="129"/>
  <c r="H53" i="134"/>
  <c r="H52" i="135"/>
  <c r="H53" i="137"/>
  <c r="H53" i="138"/>
  <c r="H52" i="143"/>
  <c r="H52" i="133"/>
  <c r="F34" i="143" l="1"/>
  <c r="I34" i="143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5" i="137"/>
  <c r="I37" i="137" s="1"/>
  <c r="I39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7" i="138"/>
  <c r="I39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</calcChain>
</file>

<file path=xl/sharedStrings.xml><?xml version="1.0" encoding="utf-8"?>
<sst xmlns="http://schemas.openxmlformats.org/spreadsheetml/2006/main" count="1125" uniqueCount="204">
  <si>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</si>
  <si>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</si>
  <si>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</si>
  <si>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</si>
  <si>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</si>
  <si>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</si>
  <si>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</si>
  <si>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</si>
  <si>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</si>
  <si>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</si>
  <si>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</si>
  <si>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</si>
  <si>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</si>
  <si>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</si>
  <si>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</si>
  <si>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</si>
  <si>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</si>
  <si>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</si>
  <si>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</si>
  <si>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</si>
  <si>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</si>
  <si>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</si>
  <si>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</si>
  <si>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</si>
  <si>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</si>
  <si>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</si>
  <si>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</si>
  <si>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</si>
  <si>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</si>
  <si>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</si>
  <si>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</si>
  <si>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</si>
  <si>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</si>
  <si>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</si>
  <si>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</si>
  <si>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</si>
  <si>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</si>
  <si>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</si>
  <si>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</si>
  <si>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</si>
  <si>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</si>
  <si>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</si>
  <si>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</si>
  <si>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</si>
  <si>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</si>
  <si>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</si>
  <si>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</si>
  <si>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</si>
  <si>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</si>
  <si>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</si>
  <si>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</si>
  <si>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</si>
  <si>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</si>
  <si>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</si>
  <si>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</si>
  <si>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</si>
  <si>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</si>
  <si>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</si>
  <si>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</si>
  <si>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</si>
  <si>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</si>
  <si>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</si>
  <si>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</si>
  <si>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</si>
  <si>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</si>
  <si>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</si>
  <si>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</si>
  <si>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</si>
  <si>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</si>
  <si>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</si>
  <si>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</si>
  <si>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</si>
  <si>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</si>
  <si>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</si>
  <si>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</si>
  <si>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</si>
  <si>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</si>
  <si>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</si>
  <si>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</si>
  <si>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</si>
  <si>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</si>
  <si>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</si>
  <si>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</si>
  <si>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</si>
  <si>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</si>
  <si>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</si>
  <si>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</si>
  <si>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</si>
  <si>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</si>
  <si>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</si>
  <si>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</si>
  <si>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</si>
  <si>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</si>
  <si>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</si>
  <si>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</si>
  <si>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</si>
  <si>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</si>
  <si>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</si>
  <si>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</si>
  <si>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</si>
  <si>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</si>
  <si>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</si>
  <si>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</si>
  <si>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</si>
  <si>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</si>
  <si>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</si>
  <si>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</si>
  <si>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</si>
  <si>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</si>
  <si>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</si>
  <si>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</si>
  <si>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</si>
  <si>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</si>
  <si>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</si>
  <si>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</si>
  <si>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</si>
  <si>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</si>
  <si>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</si>
  <si>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</si>
  <si>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</si>
  <si>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</si>
  <si>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</si>
  <si>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</si>
  <si>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</si>
  <si>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</si>
  <si>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</si>
  <si>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</si>
  <si>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</si>
  <si>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</si>
  <si>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</si>
  <si>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</si>
  <si>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</si>
  <si>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</si>
  <si>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</si>
  <si>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</si>
  <si>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</si>
  <si>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</si>
  <si>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</si>
  <si>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</si>
  <si>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</si>
  <si>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</si>
  <si>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</si>
  <si>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</si>
  <si>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</si>
  <si>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</si>
  <si>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</si>
  <si>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</si>
  <si>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</si>
  <si>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</si>
  <si>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</si>
  <si>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</si>
  <si>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</si>
  <si>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</si>
  <si>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</si>
  <si>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</si>
  <si>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</si>
  <si>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</si>
  <si>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</si>
  <si>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</si>
  <si>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</si>
  <si>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</si>
  <si>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</si>
  <si>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</si>
  <si>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</si>
  <si>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</si>
  <si>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</si>
  <si>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</si>
  <si>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</si>
  <si>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</si>
  <si>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</si>
  <si>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</si>
  <si>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</si>
  <si>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</si>
  <si>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</si>
  <si>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</si>
  <si>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</si>
  <si>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</si>
  <si>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265K0051</t>
  </si>
  <si>
    <t xml:space="preserve"> 265K0075 </t>
  </si>
  <si>
    <t>SHOOTING STAR</t>
  </si>
  <si>
    <t>BOYS COTTON FIBERS, KNIT SHIRT, WITH NECK CLOSURE, STITCH COUNT EQUAL OR IS GREATER THAN 10/1CM, HEM BOTTOM [60% COTTON 40% POLYESTER]</t>
  </si>
  <si>
    <t>WOMENS COTTON FIBERS, KNIT PULLOVER, WITH NO NECK CLOSURE, STITCH COUNT IS GREATER THAN 9/2CM, REACHES WAIST, SLEEVELESS [96% COTTON 4% SPANDEX]</t>
  </si>
  <si>
    <t>Retail</t>
  </si>
  <si>
    <t>Online</t>
  </si>
  <si>
    <t>INK BLUE</t>
  </si>
  <si>
    <t>02</t>
  </si>
  <si>
    <t>BRIGHT WHITE</t>
  </si>
  <si>
    <t>04</t>
  </si>
  <si>
    <t>MONET BLUE</t>
  </si>
  <si>
    <t>05</t>
  </si>
  <si>
    <t>265K0005</t>
  </si>
  <si>
    <t>CALLA LILY 451</t>
  </si>
  <si>
    <t>00</t>
  </si>
  <si>
    <t>GIRLS COTTON FIBERS, KNIT PULLOVER, WITH NO NECK CLOSURE, STITCH COUNT IS GREATER THAN 9/2CM, REACHES WAIST [60% COTTON 40% RECYCLED POLYESTER]</t>
  </si>
  <si>
    <t>IN THE NAVY</t>
  </si>
  <si>
    <t>BLACK COFFEE, BLACK JACK 3, IN THE NAVY, CALLA LILY 2</t>
  </si>
  <si>
    <t>13, 15, 16, 20</t>
  </si>
  <si>
    <t>BLACK COFFEE, IN THE NAVY, CALLA LILY 2</t>
  </si>
  <si>
    <t>13, 16, 20</t>
  </si>
  <si>
    <t>265K0057</t>
  </si>
  <si>
    <t>BLACKJACK JAS</t>
  </si>
  <si>
    <t>01</t>
  </si>
  <si>
    <t>BLUSH HUE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</si>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</sst>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284060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061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061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0" sqref="I10"/>
    </sheetView>
  </sheetViews>
  <sheetFormatPr defaultRowHeight="12.75" x14ac:dyDescent="0.2"/>
  <sheetData>
    <row r="2" spans="2:9" ht="15" x14ac:dyDescent="0.25">
      <c r="B2" s="57">
        <v>1</v>
      </c>
      <c r="C2" t="s">
        <v>190</v>
      </c>
      <c r="E2" s="57">
        <v>1</v>
      </c>
      <c r="F2">
        <v>867788</v>
      </c>
      <c r="H2" s="57">
        <v>1</v>
      </c>
      <c r="I2" s="58" t="s">
        <v>182</v>
      </c>
    </row>
    <row r="3" spans="2:9" ht="15" x14ac:dyDescent="0.25">
      <c r="B3" s="57">
        <v>2</v>
      </c>
      <c r="C3" t="s">
        <v>190</v>
      </c>
      <c r="E3" s="57">
        <v>2</v>
      </c>
      <c r="F3">
        <v>867788</v>
      </c>
      <c r="H3" s="57">
        <v>2</v>
      </c>
      <c r="I3" s="58" t="s">
        <v>182</v>
      </c>
    </row>
    <row r="4" spans="2:9" ht="15" x14ac:dyDescent="0.25">
      <c r="B4" s="57">
        <v>3</v>
      </c>
      <c r="C4" t="s">
        <v>177</v>
      </c>
      <c r="E4" s="57">
        <v>3</v>
      </c>
      <c r="F4">
        <v>416363</v>
      </c>
      <c r="H4" s="57">
        <v>3</v>
      </c>
      <c r="I4" s="58" t="s">
        <v>182</v>
      </c>
    </row>
    <row r="5" spans="2:9" ht="15" x14ac:dyDescent="0.25">
      <c r="B5" s="57">
        <v>4</v>
      </c>
      <c r="C5" t="s">
        <v>177</v>
      </c>
      <c r="E5" s="57">
        <v>4</v>
      </c>
      <c r="F5">
        <v>416363</v>
      </c>
      <c r="H5" s="57">
        <v>4</v>
      </c>
      <c r="I5" s="66" t="s">
        <v>182</v>
      </c>
    </row>
    <row r="6" spans="2:9" ht="15" x14ac:dyDescent="0.25">
      <c r="B6" s="57">
        <v>5</v>
      </c>
      <c r="C6" t="s">
        <v>177</v>
      </c>
      <c r="E6" s="57">
        <v>5</v>
      </c>
      <c r="F6">
        <v>416363</v>
      </c>
      <c r="H6" s="57">
        <v>5</v>
      </c>
      <c r="I6" s="66" t="s">
        <v>182</v>
      </c>
    </row>
    <row r="7" spans="2:9" ht="15" x14ac:dyDescent="0.25">
      <c r="B7" s="57">
        <v>6</v>
      </c>
      <c r="C7" t="s">
        <v>199</v>
      </c>
      <c r="E7" s="57">
        <v>6</v>
      </c>
      <c r="F7">
        <v>867788</v>
      </c>
      <c r="H7" s="57">
        <v>6</v>
      </c>
      <c r="I7" s="66" t="s">
        <v>183</v>
      </c>
    </row>
    <row r="8" spans="2:9" ht="15" x14ac:dyDescent="0.25">
      <c r="B8" s="57">
        <v>7</v>
      </c>
      <c r="C8" t="s">
        <v>199</v>
      </c>
      <c r="E8" s="57">
        <v>7</v>
      </c>
      <c r="F8">
        <v>867788</v>
      </c>
      <c r="H8" s="57">
        <v>7</v>
      </c>
      <c r="I8" s="66" t="s">
        <v>183</v>
      </c>
    </row>
    <row r="9" spans="2:9" ht="15" x14ac:dyDescent="0.25">
      <c r="B9" s="57">
        <v>8</v>
      </c>
      <c r="C9" t="s">
        <v>178</v>
      </c>
      <c r="E9" s="57">
        <v>8</v>
      </c>
      <c r="F9">
        <v>692926</v>
      </c>
      <c r="H9" s="57">
        <v>8</v>
      </c>
      <c r="I9" s="66" t="s">
        <v>183</v>
      </c>
    </row>
    <row r="10" spans="2:9" ht="15" x14ac:dyDescent="0.25">
      <c r="B10" s="57">
        <v>9</v>
      </c>
      <c r="C10" t="s">
        <v>178</v>
      </c>
      <c r="E10" s="57">
        <v>9</v>
      </c>
      <c r="F10">
        <v>692926</v>
      </c>
      <c r="H10" s="57">
        <v>9</v>
      </c>
      <c r="I10" s="66" t="s">
        <v>183</v>
      </c>
    </row>
    <row r="11" spans="2:9" ht="15" x14ac:dyDescent="0.25">
      <c r="B11" s="57">
        <v>10</v>
      </c>
      <c r="C11" t="s">
        <v>178</v>
      </c>
      <c r="E11" s="57">
        <v>10</v>
      </c>
      <c r="F11">
        <v>692926</v>
      </c>
      <c r="H11" s="57">
        <v>10</v>
      </c>
      <c r="I11" s="66" t="s">
        <v>182</v>
      </c>
    </row>
    <row r="12" spans="2:9" ht="15" x14ac:dyDescent="0.25">
      <c r="B12" s="57">
        <v>11</v>
      </c>
      <c r="C12" t="s">
        <v>178</v>
      </c>
      <c r="E12" s="57">
        <v>11</v>
      </c>
      <c r="F12">
        <v>692926</v>
      </c>
      <c r="H12" s="57">
        <v>11</v>
      </c>
      <c r="I12" s="66" t="s">
        <v>182</v>
      </c>
    </row>
    <row r="13" spans="2:9" ht="15" x14ac:dyDescent="0.25">
      <c r="B13" s="57">
        <v>12</v>
      </c>
      <c r="C13" t="s">
        <v>178</v>
      </c>
      <c r="E13" s="57">
        <v>12</v>
      </c>
      <c r="F13">
        <v>692926</v>
      </c>
      <c r="H13" s="57">
        <v>12</v>
      </c>
      <c r="I13" s="66" t="s">
        <v>182</v>
      </c>
    </row>
    <row r="14" spans="2:9" ht="15" x14ac:dyDescent="0.25">
      <c r="B14" s="57">
        <v>13</v>
      </c>
      <c r="E14" s="57">
        <v>13</v>
      </c>
      <c r="H14" s="57">
        <v>13</v>
      </c>
      <c r="I14" s="66"/>
    </row>
    <row r="15" spans="2:9" ht="15" x14ac:dyDescent="0.25">
      <c r="B15" s="57">
        <v>14</v>
      </c>
      <c r="E15" s="57">
        <v>14</v>
      </c>
      <c r="H15" s="57">
        <v>14</v>
      </c>
      <c r="I15" s="66"/>
    </row>
    <row r="16" spans="2:9" ht="15" x14ac:dyDescent="0.25">
      <c r="B16" s="57">
        <v>15</v>
      </c>
      <c r="E16" s="57">
        <v>15</v>
      </c>
      <c r="H16" s="57">
        <v>15</v>
      </c>
      <c r="I16" s="66"/>
    </row>
    <row r="17" spans="2:11" ht="15" x14ac:dyDescent="0.25">
      <c r="B17" s="57">
        <v>16</v>
      </c>
      <c r="E17" s="57">
        <v>16</v>
      </c>
      <c r="H17" s="57">
        <v>16</v>
      </c>
      <c r="I17" s="66"/>
    </row>
    <row r="18" spans="2:11" ht="15" x14ac:dyDescent="0.25">
      <c r="B18" s="57">
        <v>17</v>
      </c>
      <c r="E18" s="57">
        <v>17</v>
      </c>
      <c r="H18" s="57">
        <v>17</v>
      </c>
      <c r="I18" s="66"/>
    </row>
    <row r="19" spans="2:11" ht="15" x14ac:dyDescent="0.25">
      <c r="B19" s="57">
        <v>18</v>
      </c>
      <c r="E19" s="57">
        <v>18</v>
      </c>
      <c r="H19" s="57">
        <v>18</v>
      </c>
      <c r="I19" s="66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C4" sqref="C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62148387</v>
      </c>
      <c r="K2" s="64">
        <v>5340</v>
      </c>
      <c r="L2" s="65">
        <v>32</v>
      </c>
      <c r="M2" s="65">
        <v>397.86</v>
      </c>
      <c r="N2" s="65">
        <v>408.54</v>
      </c>
      <c r="O2" s="65">
        <v>440.54</v>
      </c>
      <c r="P2" s="65" t="s">
        <v>54</v>
      </c>
      <c r="Q2" s="65">
        <v>2.1469999999999998</v>
      </c>
      <c r="R2" s="65" t="s">
        <v>62</v>
      </c>
    </row>
    <row r="3" spans="2:22" x14ac:dyDescent="0.2">
      <c r="B3" s="6" t="s">
        <v>53</v>
      </c>
      <c r="C3" s="62">
        <v>387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62148387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440.54</v>
      </c>
      <c r="G23" s="23">
        <f>+N2</f>
        <v>408.54</v>
      </c>
      <c r="H23" s="23">
        <f>+M2</f>
        <v>397.86</v>
      </c>
      <c r="I23" s="55">
        <f>+L2</f>
        <v>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70"/>
      <c r="E32" s="71"/>
      <c r="F32" s="70">
        <f>360+360+340+160+150</f>
        <v>1370</v>
      </c>
      <c r="G32" s="71"/>
      <c r="H32" s="17">
        <v>0.71</v>
      </c>
      <c r="I32" s="18">
        <f>+H32*F32</f>
        <v>972.69999999999993</v>
      </c>
      <c r="K32" s="46"/>
      <c r="M32" s="39"/>
    </row>
    <row r="33" spans="2:13" ht="27.75" customHeight="1" x14ac:dyDescent="0.2">
      <c r="B33" s="41" t="s">
        <v>201</v>
      </c>
      <c r="C33" s="19" t="s">
        <v>200</v>
      </c>
      <c r="D33" s="70"/>
      <c r="E33" s="71"/>
      <c r="F33" s="70">
        <f>5340-1370</f>
        <v>3970</v>
      </c>
      <c r="G33" s="71"/>
      <c r="H33" s="17">
        <v>0.71</v>
      </c>
      <c r="I33" s="18">
        <f>+H33*F33</f>
        <v>2818.7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61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5340</v>
      </c>
      <c r="G35" s="71"/>
      <c r="H35" s="15"/>
      <c r="I35" s="14">
        <f>SUM(I32:I34)</f>
        <v>3791.3999999999996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3791.3999999999996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3791.3999999999996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D34" sqref="D34:E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62148390</v>
      </c>
      <c r="K2" s="64">
        <v>6160</v>
      </c>
      <c r="L2" s="65">
        <v>37</v>
      </c>
      <c r="M2" s="65">
        <v>463.07</v>
      </c>
      <c r="N2" s="65">
        <v>475.39</v>
      </c>
      <c r="O2" s="65">
        <v>512.39</v>
      </c>
      <c r="P2" s="65" t="s">
        <v>54</v>
      </c>
      <c r="Q2" s="65">
        <v>2.4830000000000001</v>
      </c>
      <c r="R2" s="65" t="s">
        <v>62</v>
      </c>
    </row>
    <row r="3" spans="2:22" x14ac:dyDescent="0.2">
      <c r="B3" s="6" t="s">
        <v>53</v>
      </c>
      <c r="C3" s="62">
        <f>+'387'!C3+1</f>
        <v>388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62148390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512.39</v>
      </c>
      <c r="G23" s="23">
        <f>+N2</f>
        <v>475.39</v>
      </c>
      <c r="H23" s="23">
        <f>+M2</f>
        <v>463.07</v>
      </c>
      <c r="I23" s="48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7" t="s">
        <v>19</v>
      </c>
      <c r="E31" s="87"/>
      <c r="F31" s="87" t="s">
        <v>18</v>
      </c>
      <c r="G31" s="87"/>
      <c r="H31" s="48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70"/>
      <c r="E32" s="71"/>
      <c r="F32" s="70">
        <f>180+540+170+320</f>
        <v>1210</v>
      </c>
      <c r="G32" s="71"/>
      <c r="H32" s="17">
        <v>0.71</v>
      </c>
      <c r="I32" s="18">
        <f>+H32*F32</f>
        <v>859.09999999999991</v>
      </c>
      <c r="K32" s="46"/>
      <c r="M32" s="39"/>
    </row>
    <row r="33" spans="2:13" ht="27.75" customHeight="1" x14ac:dyDescent="0.2">
      <c r="B33" s="41" t="s">
        <v>201</v>
      </c>
      <c r="C33" s="19" t="s">
        <v>200</v>
      </c>
      <c r="D33" s="70"/>
      <c r="E33" s="71"/>
      <c r="F33" s="70">
        <f>6160-1210</f>
        <v>4950</v>
      </c>
      <c r="G33" s="71"/>
      <c r="H33" s="17">
        <v>0.71</v>
      </c>
      <c r="I33" s="18">
        <f>+H33*F33</f>
        <v>3514.5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48"/>
    </row>
    <row r="35" spans="2:13" ht="21.75" customHeight="1" x14ac:dyDescent="0.2">
      <c r="B35" s="15" t="s">
        <v>14</v>
      </c>
      <c r="C35" s="15"/>
      <c r="D35" s="74"/>
      <c r="E35" s="75"/>
      <c r="F35" s="70">
        <f>SUM(F31:G34)</f>
        <v>6160</v>
      </c>
      <c r="G35" s="71"/>
      <c r="H35" s="15"/>
      <c r="I35" s="14">
        <f>SUM(I32:I34)</f>
        <v>4373.6000000000004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4373.6000000000004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4373.6000000000004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61763740</v>
      </c>
      <c r="K2" s="64">
        <v>1716</v>
      </c>
      <c r="L2" s="65">
        <v>18</v>
      </c>
      <c r="M2" s="65">
        <v>181.566</v>
      </c>
      <c r="N2" s="65">
        <v>195.29400000000001</v>
      </c>
      <c r="O2" s="65">
        <v>212.14400000000001</v>
      </c>
      <c r="P2" s="65" t="s">
        <v>54</v>
      </c>
      <c r="Q2" s="65">
        <v>1.0569999999999999</v>
      </c>
      <c r="R2" s="65" t="s">
        <v>62</v>
      </c>
    </row>
    <row r="3" spans="2:22" x14ac:dyDescent="0.2">
      <c r="B3" s="6" t="s">
        <v>53</v>
      </c>
      <c r="C3" s="62">
        <f>+'388'!C3+1</f>
        <v>389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61763740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212.14400000000001</v>
      </c>
      <c r="G23" s="23">
        <f>+N2</f>
        <v>195.29400000000001</v>
      </c>
      <c r="H23" s="23">
        <f>+M2</f>
        <v>181.566</v>
      </c>
      <c r="I23" s="48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7" t="s">
        <v>19</v>
      </c>
      <c r="E31" s="87"/>
      <c r="F31" s="87" t="s">
        <v>18</v>
      </c>
      <c r="G31" s="87"/>
      <c r="H31" s="48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70"/>
      <c r="E32" s="71"/>
      <c r="F32" s="70">
        <f>+K2</f>
        <v>1716</v>
      </c>
      <c r="G32" s="71"/>
      <c r="H32" s="17">
        <v>0.9</v>
      </c>
      <c r="I32" s="18">
        <f>+H32*F32</f>
        <v>1544.4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48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1716</v>
      </c>
      <c r="G34" s="71"/>
      <c r="H34" s="15"/>
      <c r="I34" s="14">
        <f>SUM(I32:I33)</f>
        <v>1544.4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1544.4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1544.4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D31" sqref="D31:E31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61760761</v>
      </c>
      <c r="K2" s="64">
        <v>4355</v>
      </c>
      <c r="L2" s="65">
        <v>51</v>
      </c>
      <c r="M2" s="65">
        <v>502.935</v>
      </c>
      <c r="N2" s="65">
        <v>511.64499999999998</v>
      </c>
      <c r="O2" s="65">
        <v>556.245</v>
      </c>
      <c r="P2" s="65" t="s">
        <v>54</v>
      </c>
      <c r="Q2" s="65">
        <v>2.6840000000000002</v>
      </c>
      <c r="R2" s="65" t="s">
        <v>62</v>
      </c>
    </row>
    <row r="3" spans="2:22" x14ac:dyDescent="0.2">
      <c r="B3" s="6" t="s">
        <v>53</v>
      </c>
      <c r="C3" s="62">
        <f>+'389'!C3+1</f>
        <v>390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61760761</v>
      </c>
      <c r="C21" s="53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556.245</v>
      </c>
      <c r="G23" s="23">
        <f>+N2</f>
        <v>511.64499999999998</v>
      </c>
      <c r="H23" s="23">
        <f>+M2</f>
        <v>502.935</v>
      </c>
      <c r="I23" s="54">
        <f>+L2</f>
        <v>51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7" t="s">
        <v>19</v>
      </c>
      <c r="E31" s="87"/>
      <c r="F31" s="87" t="s">
        <v>18</v>
      </c>
      <c r="G31" s="87"/>
      <c r="H31" s="54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184</v>
      </c>
      <c r="D32" s="70"/>
      <c r="E32" s="71"/>
      <c r="F32" s="70">
        <f>188+409+507+652+607</f>
        <v>2363</v>
      </c>
      <c r="G32" s="71"/>
      <c r="H32" s="17">
        <v>0.9</v>
      </c>
      <c r="I32" s="18">
        <f>+H32*F32</f>
        <v>2126.7000000000003</v>
      </c>
      <c r="K32" s="46"/>
      <c r="M32" s="39"/>
    </row>
    <row r="33" spans="2:13" ht="27.75" customHeight="1" x14ac:dyDescent="0.2">
      <c r="B33" s="41" t="s">
        <v>187</v>
      </c>
      <c r="C33" s="19" t="s">
        <v>186</v>
      </c>
      <c r="D33" s="70"/>
      <c r="E33" s="71"/>
      <c r="F33" s="70">
        <f>139+345+433+544+531</f>
        <v>1992</v>
      </c>
      <c r="G33" s="71"/>
      <c r="H33" s="17">
        <v>0.9</v>
      </c>
      <c r="I33" s="18">
        <f>+H33*F33</f>
        <v>1792.8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4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4355</v>
      </c>
      <c r="G35" s="71"/>
      <c r="H35" s="15"/>
      <c r="I35" s="14">
        <f>SUM(I32:I34)</f>
        <v>3919.5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3919.5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3919.5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F33" sqref="F33:G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61760726</v>
      </c>
      <c r="K2" s="64">
        <v>1544</v>
      </c>
      <c r="L2" s="65">
        <v>19</v>
      </c>
      <c r="M2" s="65">
        <v>180.52699999999999</v>
      </c>
      <c r="N2" s="65">
        <v>183.61500000000001</v>
      </c>
      <c r="O2" s="65">
        <v>199.965</v>
      </c>
      <c r="P2" s="65" t="s">
        <v>54</v>
      </c>
      <c r="Q2" s="65">
        <v>0.95599999999999996</v>
      </c>
      <c r="R2" s="65" t="s">
        <v>62</v>
      </c>
    </row>
    <row r="3" spans="2:22" x14ac:dyDescent="0.2">
      <c r="B3" s="6" t="s">
        <v>53</v>
      </c>
      <c r="C3" s="62">
        <f>+'390'!C3+1</f>
        <v>391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61760726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199.965</v>
      </c>
      <c r="G23" s="23">
        <f>+N2</f>
        <v>183.61500000000001</v>
      </c>
      <c r="H23" s="23">
        <f>+M2</f>
        <v>180.52699999999999</v>
      </c>
      <c r="I23" s="55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BOYS COTTON FIBERS, KNIT SHIRT, WITH NECK CLOSURE, STITCH COUNT EQUAL OR IS GREATER THAN 10/1CM, HEM BOTTOM [60% COTTON 40%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70"/>
      <c r="E32" s="71"/>
      <c r="F32" s="70">
        <f>+K2</f>
        <v>1544</v>
      </c>
      <c r="G32" s="71"/>
      <c r="H32" s="17">
        <v>0.9</v>
      </c>
      <c r="I32" s="18">
        <f>+H32*F32</f>
        <v>1389.6000000000001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9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1544</v>
      </c>
      <c r="G34" s="71"/>
      <c r="H34" s="15"/>
      <c r="I34" s="14">
        <f>SUM(I32:I32)</f>
        <v>1389.6000000000001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1389.6000000000001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1389.6000000000001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E40" sqref="E4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61733971</v>
      </c>
      <c r="K2" s="64">
        <v>1336</v>
      </c>
      <c r="L2" s="65">
        <v>15</v>
      </c>
      <c r="M2" s="65">
        <v>95.067999999999998</v>
      </c>
      <c r="N2" s="65">
        <v>97.74</v>
      </c>
      <c r="O2" s="65">
        <v>109.94</v>
      </c>
      <c r="P2" s="65" t="s">
        <v>54</v>
      </c>
      <c r="Q2" s="65">
        <v>0.56999999999999995</v>
      </c>
      <c r="R2" s="65" t="s">
        <v>62</v>
      </c>
    </row>
    <row r="3" spans="2:22" x14ac:dyDescent="0.2">
      <c r="B3" s="6" t="s">
        <v>53</v>
      </c>
      <c r="C3" s="62">
        <f>+'391'!C3+1</f>
        <v>392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61733971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109.94</v>
      </c>
      <c r="G23" s="23">
        <f>+N2</f>
        <v>97.74</v>
      </c>
      <c r="H23" s="23">
        <f>+M2</f>
        <v>95.067999999999998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70"/>
      <c r="E32" s="71"/>
      <c r="F32" s="70">
        <f>48+174+183+174+99+43+6+12+19</f>
        <v>758</v>
      </c>
      <c r="G32" s="71"/>
      <c r="H32" s="17">
        <v>0.71</v>
      </c>
      <c r="I32" s="18">
        <f>+H32*F32</f>
        <v>538.17999999999995</v>
      </c>
      <c r="K32" s="46"/>
      <c r="M32" s="39"/>
    </row>
    <row r="33" spans="2:13" ht="27.75" customHeight="1" x14ac:dyDescent="0.2">
      <c r="B33" s="41" t="s">
        <v>185</v>
      </c>
      <c r="C33" s="19" t="s">
        <v>202</v>
      </c>
      <c r="D33" s="70"/>
      <c r="E33" s="71"/>
      <c r="F33" s="70">
        <f>1336-758</f>
        <v>578</v>
      </c>
      <c r="G33" s="71"/>
      <c r="H33" s="17">
        <v>0.71</v>
      </c>
      <c r="I33" s="18">
        <f>+H33*F33</f>
        <v>410.38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3"/>
      <c r="F34" s="72"/>
      <c r="G34" s="73"/>
      <c r="H34" s="17"/>
      <c r="I34" s="55"/>
    </row>
    <row r="35" spans="2:13" ht="21.75" customHeight="1" x14ac:dyDescent="0.2">
      <c r="B35" s="15" t="s">
        <v>14</v>
      </c>
      <c r="C35" s="15"/>
      <c r="D35" s="74"/>
      <c r="E35" s="75"/>
      <c r="F35" s="70">
        <f>SUM(F32:G34)</f>
        <v>1336</v>
      </c>
      <c r="G35" s="71"/>
      <c r="H35" s="15"/>
      <c r="I35" s="14">
        <f>SUM(I32:I34)</f>
        <v>948.56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3"/>
      <c r="F36" s="72"/>
      <c r="G36" s="73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3"/>
      <c r="F37" s="72"/>
      <c r="G37" s="73"/>
      <c r="H37" s="15"/>
      <c r="I37" s="14">
        <f>+I35</f>
        <v>948.56</v>
      </c>
    </row>
    <row r="38" spans="2:13" ht="20.25" customHeight="1" x14ac:dyDescent="0.2">
      <c r="B38" s="15" t="s">
        <v>80</v>
      </c>
      <c r="C38" s="72" t="s">
        <v>11</v>
      </c>
      <c r="D38" s="77"/>
      <c r="E38" s="77"/>
      <c r="F38" s="77"/>
      <c r="G38" s="77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948.56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8" t="s">
        <v>7</v>
      </c>
      <c r="C47" s="78"/>
      <c r="D47" s="78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9" t="s">
        <v>1</v>
      </c>
      <c r="D56" s="79"/>
      <c r="E56" s="5"/>
      <c r="F56" s="5"/>
      <c r="G56" s="5"/>
      <c r="H56" s="5"/>
      <c r="I56" s="4"/>
    </row>
    <row r="57" spans="2:11" x14ac:dyDescent="0.2">
      <c r="B57" s="6"/>
      <c r="C57" s="80" t="s">
        <v>0</v>
      </c>
      <c r="D57" s="80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76"/>
      <c r="D58" s="7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E39" sqref="E3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61754376</v>
      </c>
      <c r="K2" s="64">
        <v>1258</v>
      </c>
      <c r="L2" s="65">
        <v>13</v>
      </c>
      <c r="M2" s="65">
        <v>90.698999999999998</v>
      </c>
      <c r="N2" s="65">
        <v>93.215000000000003</v>
      </c>
      <c r="O2" s="65">
        <v>104.015</v>
      </c>
      <c r="P2" s="65" t="s">
        <v>54</v>
      </c>
      <c r="Q2" s="65">
        <v>0.52600000000000002</v>
      </c>
      <c r="R2" s="65" t="s">
        <v>62</v>
      </c>
    </row>
    <row r="3" spans="2:22" x14ac:dyDescent="0.2">
      <c r="B3" s="6" t="s">
        <v>53</v>
      </c>
      <c r="C3" s="62">
        <f>+'392'!C3+1</f>
        <v>393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61754376</v>
      </c>
      <c r="C21" s="56">
        <f>VLOOKUP($K55,reff!E2:F29,2,0)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104.015</v>
      </c>
      <c r="G23" s="23">
        <f>+N2</f>
        <v>93.215000000000003</v>
      </c>
      <c r="H23" s="23">
        <f>+M2</f>
        <v>90.698999999999998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GIRLS COTTON FIBERS, KNIT PULLOVER, WITH NO NECK CLOSURE, STITCH COUNT IS GREATER THAN 9/2CM, REACHES WAIST [60% COTTON 40% RECYCLED POLYESTER]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7.75" customHeight="1" x14ac:dyDescent="0.2">
      <c r="B32" s="41" t="s">
        <v>201</v>
      </c>
      <c r="C32" s="19" t="s">
        <v>200</v>
      </c>
      <c r="D32" s="70"/>
      <c r="E32" s="71"/>
      <c r="F32" s="70">
        <f>+K2</f>
        <v>1258</v>
      </c>
      <c r="G32" s="71"/>
      <c r="H32" s="17">
        <v>0.71</v>
      </c>
      <c r="I32" s="18">
        <f>+H32*F32</f>
        <v>893.18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0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1258</v>
      </c>
      <c r="G34" s="71"/>
      <c r="H34" s="15"/>
      <c r="I34" s="14">
        <f>SUM(I32:I33)</f>
        <v>893.18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893.18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893.18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265K0057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61969461</v>
      </c>
      <c r="K2" s="65">
        <v>943</v>
      </c>
      <c r="L2" s="65">
        <v>22</v>
      </c>
      <c r="M2" s="65">
        <v>101.56</v>
      </c>
      <c r="N2" s="65">
        <v>110.99</v>
      </c>
      <c r="O2" s="65">
        <v>127.79</v>
      </c>
      <c r="P2" s="65" t="s">
        <v>54</v>
      </c>
      <c r="Q2" s="65">
        <v>0.68200000000000005</v>
      </c>
      <c r="R2" s="65" t="s">
        <v>62</v>
      </c>
    </row>
    <row r="3" spans="2:22" x14ac:dyDescent="0.2">
      <c r="B3" s="6" t="s">
        <v>53</v>
      </c>
      <c r="C3" s="62">
        <f>+'393'!C3+1</f>
        <v>394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61969461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127.79</v>
      </c>
      <c r="G23" s="23">
        <f>+N2</f>
        <v>110.99</v>
      </c>
      <c r="H23" s="23">
        <f>+M2</f>
        <v>101.56</v>
      </c>
      <c r="I23" s="55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7.75" customHeight="1" x14ac:dyDescent="0.2">
      <c r="B32" s="41">
        <v>21</v>
      </c>
      <c r="C32" s="19" t="s">
        <v>179</v>
      </c>
      <c r="D32" s="70"/>
      <c r="E32" s="71"/>
      <c r="F32" s="70">
        <f>+K2</f>
        <v>943</v>
      </c>
      <c r="G32" s="71"/>
      <c r="H32" s="17">
        <v>0.76</v>
      </c>
      <c r="I32" s="18">
        <f>+H32*F32</f>
        <v>716.68000000000006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5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943</v>
      </c>
      <c r="G34" s="71"/>
      <c r="H34" s="15"/>
      <c r="I34" s="14">
        <f>SUM(I32:I33)</f>
        <v>716.68000000000006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716.68000000000006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716.68000000000006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62015001</v>
      </c>
      <c r="K2" s="65">
        <v>828</v>
      </c>
      <c r="L2" s="65">
        <v>15</v>
      </c>
      <c r="M2" s="65">
        <v>85.55</v>
      </c>
      <c r="N2" s="65">
        <v>93.83</v>
      </c>
      <c r="O2" s="65">
        <v>105.83</v>
      </c>
      <c r="P2" s="65" t="s">
        <v>54</v>
      </c>
      <c r="Q2" s="65">
        <v>0.53700000000000003</v>
      </c>
      <c r="R2" s="65" t="s">
        <v>62</v>
      </c>
    </row>
    <row r="3" spans="2:22" x14ac:dyDescent="0.2">
      <c r="B3" s="6" t="s">
        <v>53</v>
      </c>
      <c r="C3" s="62">
        <f>+'394'!C3+1</f>
        <v>395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62015001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105.83</v>
      </c>
      <c r="G23" s="23">
        <f>+N2</f>
        <v>93.83</v>
      </c>
      <c r="H23" s="23">
        <f>+M2</f>
        <v>85.55</v>
      </c>
      <c r="I23" s="5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7" t="s">
        <v>19</v>
      </c>
      <c r="E31" s="87"/>
      <c r="F31" s="87" t="s">
        <v>18</v>
      </c>
      <c r="G31" s="87"/>
      <c r="H31" s="55" t="s">
        <v>17</v>
      </c>
      <c r="I31" s="19" t="s">
        <v>16</v>
      </c>
      <c r="M31"/>
    </row>
    <row r="32" spans="2:13" ht="27.75" customHeight="1" x14ac:dyDescent="0.2">
      <c r="B32" s="41">
        <v>16</v>
      </c>
      <c r="C32" s="19" t="s">
        <v>194</v>
      </c>
      <c r="D32" s="70"/>
      <c r="E32" s="71"/>
      <c r="F32" s="70">
        <f>+K2</f>
        <v>828</v>
      </c>
      <c r="G32" s="71"/>
      <c r="H32" s="17">
        <v>0.76</v>
      </c>
      <c r="I32" s="18">
        <f>+H32*F32</f>
        <v>629.28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55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828</v>
      </c>
      <c r="G34" s="71"/>
      <c r="H34" s="15"/>
      <c r="I34" s="14">
        <f>SUM(I32:I33)</f>
        <v>629.28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629.28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629.28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62015066</v>
      </c>
      <c r="K2" s="64">
        <v>7215</v>
      </c>
      <c r="L2" s="65">
        <v>156</v>
      </c>
      <c r="M2" s="65">
        <v>732.87</v>
      </c>
      <c r="N2" s="65">
        <v>985.39499999999998</v>
      </c>
      <c r="O2" s="69">
        <v>1133.395</v>
      </c>
      <c r="P2" s="65" t="s">
        <v>54</v>
      </c>
      <c r="Q2" s="65">
        <v>9.125</v>
      </c>
      <c r="R2" s="65" t="s">
        <v>62</v>
      </c>
    </row>
    <row r="3" spans="2:22" x14ac:dyDescent="0.2">
      <c r="B3" s="6" t="s">
        <v>53</v>
      </c>
      <c r="C3" s="62">
        <f>+'395'!C3+1</f>
        <v>396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8">
        <f>J2</f>
        <v>62015066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8" t="s">
        <v>35</v>
      </c>
      <c r="G21" s="68"/>
      <c r="H21" s="47" t="str">
        <f>IF(LEFT(G17,2)="CA","CA",IF(LEFT(G17,2)="UN","US",IF(LEFT(G17,2)="PA","PA",IF(LEFT(G17,2)="JA","JP"))))</f>
        <v>US</v>
      </c>
      <c r="I21" s="68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8" t="s">
        <v>25</v>
      </c>
      <c r="C23" s="68"/>
      <c r="D23" s="68" t="s">
        <v>24</v>
      </c>
      <c r="E23" s="68" t="str">
        <f>+D23</f>
        <v>JAKARTA,ID</v>
      </c>
      <c r="F23" s="23">
        <f>+O2</f>
        <v>1133.395</v>
      </c>
      <c r="G23" s="23">
        <f>+N2</f>
        <v>985.39499999999998</v>
      </c>
      <c r="H23" s="23">
        <f>+M2</f>
        <v>732.87</v>
      </c>
      <c r="I23" s="68">
        <f>+L2</f>
        <v>156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8" t="s">
        <v>21</v>
      </c>
      <c r="C31" s="68" t="s">
        <v>20</v>
      </c>
      <c r="D31" s="87" t="s">
        <v>19</v>
      </c>
      <c r="E31" s="87"/>
      <c r="F31" s="87" t="s">
        <v>18</v>
      </c>
      <c r="G31" s="87"/>
      <c r="H31" s="68" t="s">
        <v>17</v>
      </c>
      <c r="I31" s="19" t="s">
        <v>16</v>
      </c>
      <c r="M31"/>
    </row>
    <row r="32" spans="2:13" ht="51" customHeight="1" x14ac:dyDescent="0.2">
      <c r="B32" s="41" t="s">
        <v>198</v>
      </c>
      <c r="C32" s="19" t="s">
        <v>197</v>
      </c>
      <c r="D32" s="70"/>
      <c r="E32" s="71"/>
      <c r="F32" s="70">
        <f>+K2</f>
        <v>7215</v>
      </c>
      <c r="G32" s="71"/>
      <c r="H32" s="17">
        <v>0.76</v>
      </c>
      <c r="I32" s="18">
        <f>+H32*F32</f>
        <v>5483.4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8"/>
    </row>
    <row r="34" spans="2:11" ht="21.75" customHeight="1" x14ac:dyDescent="0.2">
      <c r="B34" s="15" t="s">
        <v>14</v>
      </c>
      <c r="C34" s="15"/>
      <c r="D34" s="74"/>
      <c r="E34" s="75"/>
      <c r="F34" s="70">
        <f>SUM(F32:G33)</f>
        <v>7215</v>
      </c>
      <c r="G34" s="71"/>
      <c r="H34" s="15"/>
      <c r="I34" s="14">
        <f>SUM(I32:I33)</f>
        <v>5483.4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5483.4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5483.4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61953784</v>
      </c>
      <c r="K2" s="64">
        <v>11681</v>
      </c>
      <c r="L2" s="65">
        <v>258</v>
      </c>
      <c r="M2" s="69">
        <v>1214.8699999999999</v>
      </c>
      <c r="N2" s="69">
        <v>1623.7049999999999</v>
      </c>
      <c r="O2" s="69">
        <v>1866.905</v>
      </c>
      <c r="P2" s="65" t="s">
        <v>54</v>
      </c>
      <c r="Q2" s="65">
        <v>14.829000000000001</v>
      </c>
      <c r="R2" s="65" t="s">
        <v>62</v>
      </c>
    </row>
    <row r="3" spans="2:22" x14ac:dyDescent="0.2">
      <c r="B3" s="6" t="s">
        <v>53</v>
      </c>
      <c r="C3" s="62">
        <f>+'396'!C3+1</f>
        <v>397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8">
        <f>J2</f>
        <v>61953784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8" t="s">
        <v>35</v>
      </c>
      <c r="G21" s="68"/>
      <c r="H21" s="47" t="str">
        <f>IF(LEFT(G17,2)="CA","CA",IF(LEFT(G17,2)="UN","US",IF(LEFT(G17,2)="PA","PA",IF(LEFT(G17,2)="JA","JP"))))</f>
        <v>US</v>
      </c>
      <c r="I21" s="68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8" t="s">
        <v>25</v>
      </c>
      <c r="C23" s="68"/>
      <c r="D23" s="68" t="s">
        <v>24</v>
      </c>
      <c r="E23" s="68" t="str">
        <f>+D23</f>
        <v>JAKARTA,ID</v>
      </c>
      <c r="F23" s="23">
        <f>+O2</f>
        <v>1866.905</v>
      </c>
      <c r="G23" s="23">
        <f>+N2</f>
        <v>1623.7049999999999</v>
      </c>
      <c r="H23" s="23">
        <f>+M2</f>
        <v>1214.8699999999999</v>
      </c>
      <c r="I23" s="68">
        <f>+L2</f>
        <v>258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8" t="s">
        <v>21</v>
      </c>
      <c r="C31" s="68" t="s">
        <v>20</v>
      </c>
      <c r="D31" s="87" t="s">
        <v>19</v>
      </c>
      <c r="E31" s="87"/>
      <c r="F31" s="87" t="s">
        <v>18</v>
      </c>
      <c r="G31" s="87"/>
      <c r="H31" s="68" t="s">
        <v>17</v>
      </c>
      <c r="I31" s="19" t="s">
        <v>16</v>
      </c>
      <c r="M31"/>
    </row>
    <row r="32" spans="2:13" ht="54.75" customHeight="1" x14ac:dyDescent="0.2">
      <c r="B32" s="41" t="s">
        <v>196</v>
      </c>
      <c r="C32" s="19" t="s">
        <v>195</v>
      </c>
      <c r="D32" s="70"/>
      <c r="E32" s="71"/>
      <c r="F32" s="70">
        <f>+K2</f>
        <v>11681</v>
      </c>
      <c r="G32" s="71"/>
      <c r="H32" s="17">
        <v>0.76</v>
      </c>
      <c r="I32" s="18">
        <f>+H32*F32</f>
        <v>8877.56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8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11681</v>
      </c>
      <c r="G34" s="71"/>
      <c r="H34" s="15"/>
      <c r="I34" s="14">
        <f>SUM(I32:I33)</f>
        <v>8877.56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8877.56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8877.56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1" t="s">
        <v>203</v>
      </c>
      <c r="C2" s="82"/>
      <c r="D2" s="82"/>
      <c r="E2" s="82"/>
      <c r="F2" s="82"/>
      <c r="G2" s="82"/>
      <c r="H2" s="82"/>
      <c r="I2" s="83"/>
      <c r="J2" s="63">
        <v>62023870</v>
      </c>
      <c r="K2" s="64">
        <v>13556</v>
      </c>
      <c r="L2" s="65">
        <v>194</v>
      </c>
      <c r="M2" s="69">
        <v>1444.29</v>
      </c>
      <c r="N2" s="69">
        <v>1579.85</v>
      </c>
      <c r="O2" s="69">
        <v>1744.95</v>
      </c>
      <c r="P2" s="65" t="s">
        <v>54</v>
      </c>
      <c r="Q2" s="65">
        <v>8.577</v>
      </c>
      <c r="R2" s="65" t="s">
        <v>62</v>
      </c>
    </row>
    <row r="3" spans="2:22" x14ac:dyDescent="0.2">
      <c r="B3" s="6" t="s">
        <v>53</v>
      </c>
      <c r="C3" s="62">
        <f>+'397'!C3+1</f>
        <v>398</v>
      </c>
      <c r="D3" s="5"/>
      <c r="E3" s="5"/>
      <c r="F3" s="5"/>
      <c r="G3" s="5" t="s">
        <v>52</v>
      </c>
      <c r="H3" s="31">
        <v>46231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8">
        <f>J2</f>
        <v>62023870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8" t="s">
        <v>35</v>
      </c>
      <c r="G21" s="68"/>
      <c r="H21" s="47" t="str">
        <f>IF(LEFT(G17,2)="CA","CA",IF(LEFT(G17,2)="UN","US",IF(LEFT(G17,2)="PA","PA",IF(LEFT(G17,2)="JA","JP"))))</f>
        <v>US</v>
      </c>
      <c r="I21" s="68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8" t="s">
        <v>25</v>
      </c>
      <c r="C23" s="68"/>
      <c r="D23" s="68" t="s">
        <v>24</v>
      </c>
      <c r="E23" s="68" t="str">
        <f>+D23</f>
        <v>JAKARTA,ID</v>
      </c>
      <c r="F23" s="23">
        <f>+O2</f>
        <v>1744.95</v>
      </c>
      <c r="G23" s="23">
        <f>+N2</f>
        <v>1579.85</v>
      </c>
      <c r="H23" s="23">
        <f>+M2</f>
        <v>1444.29</v>
      </c>
      <c r="I23" s="68">
        <f>+L2</f>
        <v>194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7"/>
      <c r="D26" s="77"/>
      <c r="E26" s="77"/>
      <c r="F26" s="77"/>
      <c r="G26" s="77"/>
      <c r="H26" s="77"/>
      <c r="I26" s="73"/>
    </row>
    <row r="27" spans="2:13" ht="24.75" customHeight="1" x14ac:dyDescent="0.2">
      <c r="B27" s="84" t="str">
        <f>+K4</f>
        <v>WOMENS COTTON FIBERS, KNIT PULLOVER, WITH NO NECK CLOSURE, STITCH COUNT IS GREATER THAN 9/2CM, REACHES WAIST, SLEEVELESS [96% COTTON 4% SPANDEX]</v>
      </c>
      <c r="C27" s="85"/>
      <c r="D27" s="85"/>
      <c r="E27" s="85"/>
      <c r="F27" s="85"/>
      <c r="G27" s="85"/>
      <c r="H27" s="85"/>
      <c r="I27" s="8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8" t="s">
        <v>21</v>
      </c>
      <c r="C31" s="68" t="s">
        <v>20</v>
      </c>
      <c r="D31" s="87" t="s">
        <v>19</v>
      </c>
      <c r="E31" s="87"/>
      <c r="F31" s="87" t="s">
        <v>18</v>
      </c>
      <c r="G31" s="87"/>
      <c r="H31" s="68" t="s">
        <v>17</v>
      </c>
      <c r="I31" s="19" t="s">
        <v>16</v>
      </c>
      <c r="M31"/>
    </row>
    <row r="32" spans="2:13" ht="55.5" customHeight="1" x14ac:dyDescent="0.2">
      <c r="B32" s="41" t="s">
        <v>196</v>
      </c>
      <c r="C32" s="19" t="s">
        <v>195</v>
      </c>
      <c r="D32" s="70"/>
      <c r="E32" s="71"/>
      <c r="F32" s="70">
        <f>+K2</f>
        <v>13556</v>
      </c>
      <c r="G32" s="71"/>
      <c r="H32" s="17">
        <v>0.76</v>
      </c>
      <c r="I32" s="18">
        <f>+H32*F32</f>
        <v>10302.56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3"/>
      <c r="F33" s="72"/>
      <c r="G33" s="73"/>
      <c r="H33" s="17"/>
      <c r="I33" s="68"/>
    </row>
    <row r="34" spans="2:11" ht="21.75" customHeight="1" x14ac:dyDescent="0.2">
      <c r="B34" s="15" t="s">
        <v>14</v>
      </c>
      <c r="C34" s="15"/>
      <c r="D34" s="74"/>
      <c r="E34" s="75"/>
      <c r="F34" s="70">
        <f>SUM(F31:G33)</f>
        <v>13556</v>
      </c>
      <c r="G34" s="71"/>
      <c r="H34" s="15"/>
      <c r="I34" s="14">
        <f>SUM(I32:I33)</f>
        <v>10302.56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3"/>
      <c r="F35" s="72"/>
      <c r="G35" s="73"/>
      <c r="H35" s="15"/>
      <c r="I35" s="68"/>
      <c r="J35" s="40"/>
    </row>
    <row r="36" spans="2:11" ht="21.75" customHeight="1" x14ac:dyDescent="0.2">
      <c r="B36" s="16" t="s">
        <v>12</v>
      </c>
      <c r="C36" s="15"/>
      <c r="D36" s="72"/>
      <c r="E36" s="73"/>
      <c r="F36" s="72"/>
      <c r="G36" s="73"/>
      <c r="H36" s="15"/>
      <c r="I36" s="14">
        <f>+I34</f>
        <v>10302.56</v>
      </c>
    </row>
    <row r="37" spans="2:11" ht="20.25" customHeight="1" x14ac:dyDescent="0.2">
      <c r="B37" s="15" t="s">
        <v>80</v>
      </c>
      <c r="C37" s="72" t="s">
        <v>11</v>
      </c>
      <c r="D37" s="77"/>
      <c r="E37" s="77"/>
      <c r="F37" s="77"/>
      <c r="G37" s="77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10302.56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8" t="s">
        <v>7</v>
      </c>
      <c r="C46" s="78"/>
      <c r="D46" s="7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9" t="s">
        <v>1</v>
      </c>
      <c r="D55" s="79"/>
      <c r="E55" s="5"/>
      <c r="F55" s="5"/>
      <c r="G55" s="5"/>
      <c r="H55" s="5"/>
      <c r="I55" s="4"/>
    </row>
    <row r="56" spans="2:11" x14ac:dyDescent="0.2">
      <c r="B56" s="6"/>
      <c r="C56" s="80" t="s">
        <v>0</v>
      </c>
      <c r="D56" s="80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Sheet1</vt:lpstr>
      <vt:lpstr>reff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'387'!Print_Area</vt:lpstr>
      <vt:lpstr>'388'!Print_Area</vt:lpstr>
      <vt:lpstr>'389'!Print_Area</vt:lpstr>
      <vt:lpstr>'390'!Print_Area</vt:lpstr>
      <vt:lpstr>'391'!Print_Area</vt:lpstr>
      <vt:lpstr>'392'!Print_Area</vt:lpstr>
      <vt:lpstr>'393'!Print_Area</vt:lpstr>
      <vt:lpstr>'394'!Print_Area</vt:lpstr>
      <vt:lpstr>'395'!Print_Area</vt:lpstr>
      <vt:lpstr>'396'!Print_Area</vt:lpstr>
      <vt:lpstr>'397'!Print_Area</vt:lpstr>
      <vt:lpstr>'398'!Print_Area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2026-07-13T01:37:58Z</cp:lastPrinted>
  <dcterms:created xsi:type="dcterms:W3CDTF">2024-04-17T09:56:05Z</dcterms:created>
  <dcterms:modified xsi:type="dcterms:W3CDTF">2026-07-17T00:50:25Z</dcterms:modified>
</cp:coreProperties>
</file>