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9. SEPTEMBER\07.09.2026\"/>
    </mc:Choice>
  </mc:AlternateContent>
  <bookViews>
    <workbookView xWindow="-120" yWindow="-120" windowWidth="20730" windowHeight="11160" tabRatio="804" firstSheet="1" activeTab="2"/>
  </bookViews>
  <sheets>
    <sheet name="Sheet1" sheetId="128" r:id="rId1"/>
    <sheet name="reff" sheetId="162" r:id="rId2"/>
    <sheet name="99" sheetId="138" r:id="rId3"/>
    <sheet name="100" sheetId="129" r:id="rId4"/>
    <sheet name="101" sheetId="133" r:id="rId5"/>
    <sheet name="102" sheetId="134" r:id="rId6"/>
    <sheet name="103" sheetId="135" r:id="rId7"/>
    <sheet name="104" sheetId="137" r:id="rId8"/>
    <sheet name="105" sheetId="172" r:id="rId9"/>
    <sheet name="106" sheetId="173" r:id="rId10"/>
  </sheets>
  <externalReferences>
    <externalReference r:id="rId11"/>
    <externalReference r:id="rId12"/>
    <externalReference r:id="rId13"/>
  </externalReferences>
  <definedNames>
    <definedName name="_box2">[1]参数!$B$3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2">[2]xdata!#REF!</definedName>
    <definedName name="a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2">[2]xdata!#REF!</definedName>
    <definedName name="b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'100'!$B$1:$I$58</definedName>
    <definedName name="_xlnm.Print_Area" localSheetId="4">'101'!$B$1:$I$57</definedName>
    <definedName name="_xlnm.Print_Area" localSheetId="5">'102'!$B$1:$I$57</definedName>
    <definedName name="_xlnm.Print_Area" localSheetId="6">'103'!$B$1:$I$57</definedName>
    <definedName name="_xlnm.Print_Area" localSheetId="7">'104'!$B$1:$I$57</definedName>
    <definedName name="_xlnm.Print_Area" localSheetId="8">'105'!$B$1:$I$58</definedName>
    <definedName name="_xlnm.Print_Area" localSheetId="9">'106'!$B$1:$I$57</definedName>
    <definedName name="_xlnm.Print_Area" localSheetId="2">'99'!$B$1:$I$58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172" l="1"/>
  <c r="I33" i="172"/>
  <c r="F32" i="135" l="1"/>
  <c r="F32" i="133"/>
  <c r="F33" i="129"/>
  <c r="F33" i="138"/>
  <c r="F34" i="135" l="1"/>
  <c r="I32" i="135"/>
  <c r="I32" i="133"/>
  <c r="I32" i="172" l="1"/>
  <c r="F32" i="137"/>
  <c r="F32" i="134"/>
  <c r="I33" i="129"/>
  <c r="I32" i="129"/>
  <c r="B21" i="138"/>
  <c r="I33" i="138"/>
  <c r="F35" i="129" l="1"/>
  <c r="F34" i="133" l="1"/>
  <c r="I34" i="133"/>
  <c r="F35" i="138" l="1"/>
  <c r="I32" i="138"/>
  <c r="I35" i="138" s="1"/>
  <c r="H52" i="173"/>
  <c r="F32" i="173"/>
  <c r="F34" i="173" s="1"/>
  <c r="B27" i="173"/>
  <c r="I23" i="173"/>
  <c r="H23" i="173"/>
  <c r="G23" i="173"/>
  <c r="F23" i="173"/>
  <c r="E23" i="173"/>
  <c r="E21" i="173"/>
  <c r="D21" i="173"/>
  <c r="C21" i="173"/>
  <c r="B21" i="173"/>
  <c r="B15" i="173"/>
  <c r="B16" i="173" s="1"/>
  <c r="B17" i="173" s="1"/>
  <c r="B18" i="173" s="1"/>
  <c r="G14" i="173"/>
  <c r="G15" i="173" s="1"/>
  <c r="G16" i="173" s="1"/>
  <c r="G17" i="173" s="1"/>
  <c r="H21" i="173" s="1"/>
  <c r="H53" i="172"/>
  <c r="F35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5" i="129" l="1"/>
  <c r="I32" i="173"/>
  <c r="I34" i="173" s="1"/>
  <c r="I36" i="173" s="1"/>
  <c r="I38" i="173" s="1"/>
  <c r="I35" i="172"/>
  <c r="I37" i="172" s="1"/>
  <c r="I39" i="172" s="1"/>
  <c r="I34" i="135" l="1"/>
  <c r="B27" i="135"/>
  <c r="C3" i="129" l="1"/>
  <c r="I32" i="134" l="1"/>
  <c r="C3" i="133"/>
  <c r="F34" i="137" l="1"/>
  <c r="I32" i="137" l="1"/>
  <c r="F34" i="134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3" i="129"/>
  <c r="H52" i="134"/>
  <c r="H52" i="135"/>
  <c r="H52" i="137"/>
  <c r="H53" i="138"/>
  <c r="H52" i="133"/>
  <c r="B27" i="138" l="1"/>
  <c r="I23" i="138"/>
  <c r="H23" i="138"/>
  <c r="G23" i="138"/>
  <c r="F23" i="138"/>
  <c r="E23" i="138"/>
  <c r="D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7" i="138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6" i="133" l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<sst xmlns="http://schemas.openxmlformats.org/spreadsheetml/2006/main" count="805" uniqueCount="201">
  <si>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</si>
  <si>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</si>
  <si>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</si>
  <si>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</si>
  <si>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</si>
  <si>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</si>
  <si>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</si>
  <si>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</si>
  <si>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</si>
  <si>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</si>
  <si>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</si>
  <si>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</si>
  <si>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</si>
  <si>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</si>
  <si>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</si>
  <si>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</si>
  <si>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</si>
  <si>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</si>
  <si>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</si>
  <si>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</si>
  <si>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</si>
  <si>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</si>
  <si>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</si>
  <si>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</si>
  <si>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</si>
  <si>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</si>
  <si>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</si>
  <si>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</si>
  <si>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</si>
  <si>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</si>
  <si>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</si>
  <si>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</si>
  <si>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</si>
  <si>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</si>
  <si>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</si>
  <si>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</si>
  <si>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</si>
  <si>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</si>
  <si>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</si>
  <si>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</si>
  <si>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</si>
  <si>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</si>
  <si>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</si>
  <si>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</si>
  <si>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</si>
  <si>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</si>
  <si>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</si>
  <si>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</si>
  <si>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</si>
  <si>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</si>
  <si>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</si>
  <si>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</si>
  <si>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</si>
  <si>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</si>
  <si>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</si>
  <si>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</si>
  <si>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</si>
  <si>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</si>
  <si>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</si>
  <si>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</si>
  <si>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</si>
  <si>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</si>
  <si>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</si>
  <si>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</si>
  <si>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</si>
  <si>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</si>
  <si>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</si>
  <si>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</si>
  <si>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</si>
  <si>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</si>
  <si>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</si>
  <si>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</si>
  <si>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</si>
  <si>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</si>
  <si>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</si>
  <si>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</si>
  <si>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</si>
  <si>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</si>
  <si>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</si>
  <si>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</si>
  <si>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</si>
  <si>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</si>
  <si>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</si>
  <si>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</si>
  <si>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</si>
  <si>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</si>
  <si>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</si>
  <si>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</si>
  <si>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</si>
  <si>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</si>
  <si>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</si>
  <si>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</si>
  <si>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</si>
  <si>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</si>
  <si>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</si>
  <si>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</si>
  <si>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</si>
  <si>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</si>
  <si>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</si>
  <si>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</si>
  <si>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</si>
  <si>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</si>
  <si>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</si>
  <si>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</si>
  <si>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</si>
  <si>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</si>
  <si>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</si>
  <si>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</si>
  <si>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</si>
  <si>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</si>
  <si>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</si>
  <si>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</si>
  <si>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</si>
  <si>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</si>
  <si>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</si>
  <si>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</si>
  <si>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</si>
  <si>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</si>
  <si>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</si>
  <si>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</si>
  <si>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</si>
  <si>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</si>
  <si>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</si>
  <si>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</si>
  <si>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</si>
  <si>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</si>
  <si>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</si>
  <si>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</si>
  <si>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</si>
  <si>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</si>
  <si>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</si>
  <si>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</si>
  <si>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</si>
  <si>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</si>
  <si>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</si>
  <si>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</si>
  <si>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</si>
  <si>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</si>
  <si>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</si>
  <si>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</si>
  <si>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</si>
  <si>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</si>
  <si>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</si>
  <si>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</si>
  <si>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</si>
  <si>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</si>
  <si>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</si>
  <si>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</si>
  <si>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</si>
  <si>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</si>
  <si>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</si>
  <si>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</si>
  <si>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</si>
  <si>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</si>
  <si>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</si>
  <si>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</si>
  <si>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</si>
  <si>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</si>
  <si>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</si>
  <si>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</si>
  <si>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</si>
  <si>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</si>
  <si>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</si>
  <si>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</si>
  <si>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</si>
  <si>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</si>
  <si>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</si>
  <si>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</si>
  <si>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</si>
  <si>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</si>
  <si>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</si>
  <si>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</si>
  <si>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</si>
  <si>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</si>
  <si>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</si>
  <si>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</si>
  <si>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</si>
  <si>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GIRLS COTTON FIBERS, KNIT PULLOVER, WITH NO NECK CLOSURE, STITCH COUNT IS GREATER THAN 9/2CM, REACHES WAIST [100% COTTON]</t>
  </si>
  <si>
    <t>Online</t>
  </si>
  <si>
    <t>Retail</t>
  </si>
  <si>
    <t>00</t>
  </si>
  <si>
    <t>265K0076</t>
  </si>
  <si>
    <t>265K0090</t>
  </si>
  <si>
    <t>BRIGHT WHITE</t>
  </si>
  <si>
    <t>04</t>
  </si>
  <si>
    <t>BOYS COTTON FIBERS, KNIT SHIRT, WITH NECK CLOSURE, STITCH COUNT EQUAL OR IS GREATER THAN 10/1CM, HEM BOTTOM [60% COTTON 40% POLYESTER]</t>
  </si>
  <si>
    <t>PINK FLORAL</t>
  </si>
  <si>
    <t>265K0005</t>
  </si>
  <si>
    <t>265K0088</t>
  </si>
  <si>
    <t>CALLA LILY 451</t>
  </si>
  <si>
    <t>BLACKJACK JAS,
BLUSH HUE</t>
  </si>
  <si>
    <t>01, 02</t>
  </si>
  <si>
    <t>GIRLS COTTON FIBERS, KNIT PULLOVER, WITH NO NECK CLOSURE, STITCH COUNT IS GREATER THAN 9/2CM, REACHES WAIST [60% COTTON 40% RECYCLED POLYESTER]</t>
  </si>
  <si>
    <t>MONET BLUE</t>
  </si>
  <si>
    <t>05</t>
  </si>
  <si>
    <t>Girls Cotton Fibers, Knit T-Shirt, With No Neck Closure, Stitch Count Is Greater Than 9/2cm, Reaches Waist [60% Cotton 40% Recycled Polyester]</t>
  </si>
  <si>
    <t>BLACKJACK JAS</t>
  </si>
  <si>
    <t>01</t>
  </si>
  <si>
    <t>BLUSH HUE</t>
  </si>
  <si>
    <t>02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</si>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</sst>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9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9" sqref="I9"/>
    </sheetView>
  </sheetViews>
  <sheetFormatPr defaultRowHeight="12.75" x14ac:dyDescent="0.2"/>
  <sheetData>
    <row r="2" spans="2:9" ht="15" x14ac:dyDescent="0.25">
      <c r="B2" s="57">
        <v>1</v>
      </c>
      <c r="C2" t="s">
        <v>187</v>
      </c>
      <c r="E2" s="57">
        <v>1</v>
      </c>
      <c r="F2">
        <v>867788</v>
      </c>
      <c r="H2" s="57">
        <v>1</v>
      </c>
      <c r="I2" s="65" t="s">
        <v>179</v>
      </c>
    </row>
    <row r="3" spans="2:9" ht="15" x14ac:dyDescent="0.25">
      <c r="B3" s="57">
        <v>2</v>
      </c>
      <c r="C3" t="s">
        <v>181</v>
      </c>
      <c r="E3" s="57">
        <v>2</v>
      </c>
      <c r="F3">
        <v>416363</v>
      </c>
      <c r="H3" s="57">
        <v>2</v>
      </c>
      <c r="I3" s="65" t="s">
        <v>179</v>
      </c>
    </row>
    <row r="4" spans="2:9" ht="15" x14ac:dyDescent="0.25">
      <c r="B4" s="57">
        <v>3</v>
      </c>
      <c r="C4" t="s">
        <v>182</v>
      </c>
      <c r="E4" s="57">
        <v>3</v>
      </c>
      <c r="F4">
        <v>906033</v>
      </c>
      <c r="H4" s="57">
        <v>3</v>
      </c>
      <c r="I4" s="65" t="s">
        <v>178</v>
      </c>
    </row>
    <row r="5" spans="2:9" ht="15" x14ac:dyDescent="0.25">
      <c r="B5" s="57">
        <v>4</v>
      </c>
      <c r="C5" t="s">
        <v>182</v>
      </c>
      <c r="E5" s="57">
        <v>4</v>
      </c>
      <c r="F5">
        <v>906033</v>
      </c>
      <c r="H5" s="57">
        <v>4</v>
      </c>
      <c r="I5" s="65" t="s">
        <v>178</v>
      </c>
    </row>
    <row r="6" spans="2:9" ht="15" x14ac:dyDescent="0.25">
      <c r="B6" s="57">
        <v>5</v>
      </c>
      <c r="C6" t="s">
        <v>188</v>
      </c>
      <c r="E6" s="57">
        <v>5</v>
      </c>
      <c r="F6">
        <v>867788</v>
      </c>
      <c r="H6" s="57">
        <v>5</v>
      </c>
      <c r="I6" s="65" t="s">
        <v>179</v>
      </c>
    </row>
    <row r="7" spans="2:9" ht="15" x14ac:dyDescent="0.25">
      <c r="B7" s="57">
        <v>6</v>
      </c>
      <c r="C7" t="s">
        <v>188</v>
      </c>
      <c r="E7" s="57">
        <v>6</v>
      </c>
      <c r="F7">
        <v>867788</v>
      </c>
      <c r="H7" s="57">
        <v>6</v>
      </c>
      <c r="I7" s="65" t="s">
        <v>179</v>
      </c>
    </row>
    <row r="8" spans="2:9" ht="15" x14ac:dyDescent="0.25">
      <c r="B8" s="57">
        <v>7</v>
      </c>
      <c r="C8" t="s">
        <v>188</v>
      </c>
      <c r="E8" s="57">
        <v>7</v>
      </c>
      <c r="F8">
        <v>867788</v>
      </c>
      <c r="H8" s="57">
        <v>7</v>
      </c>
      <c r="I8" s="65" t="s">
        <v>178</v>
      </c>
    </row>
    <row r="9" spans="2:9" ht="15" x14ac:dyDescent="0.25">
      <c r="B9" s="57">
        <v>8</v>
      </c>
      <c r="C9" t="s">
        <v>188</v>
      </c>
      <c r="E9" s="57">
        <v>8</v>
      </c>
      <c r="F9">
        <v>867788</v>
      </c>
      <c r="H9" s="57">
        <v>8</v>
      </c>
      <c r="I9" s="65" t="s">
        <v>178</v>
      </c>
    </row>
    <row r="10" spans="2:9" ht="15" x14ac:dyDescent="0.25">
      <c r="B10" s="57">
        <v>9</v>
      </c>
      <c r="E10" s="57">
        <v>9</v>
      </c>
      <c r="H10" s="57">
        <v>9</v>
      </c>
      <c r="I10" s="65"/>
    </row>
    <row r="11" spans="2:9" ht="15" x14ac:dyDescent="0.25">
      <c r="B11" s="57">
        <v>10</v>
      </c>
      <c r="E11" s="57">
        <v>10</v>
      </c>
      <c r="H11" s="57">
        <v>10</v>
      </c>
      <c r="I11" s="65"/>
    </row>
    <row r="12" spans="2:9" ht="15" x14ac:dyDescent="0.25">
      <c r="B12" s="57">
        <v>11</v>
      </c>
      <c r="E12" s="57">
        <v>11</v>
      </c>
      <c r="H12" s="57">
        <v>11</v>
      </c>
      <c r="I12" s="65"/>
    </row>
    <row r="13" spans="2:9" ht="15" x14ac:dyDescent="0.25">
      <c r="B13" s="57">
        <v>12</v>
      </c>
      <c r="E13" s="57">
        <v>12</v>
      </c>
      <c r="H13" s="57">
        <v>12</v>
      </c>
      <c r="I13" s="65"/>
    </row>
    <row r="14" spans="2:9" ht="15" x14ac:dyDescent="0.25">
      <c r="B14" s="57">
        <v>13</v>
      </c>
      <c r="E14" s="57">
        <v>13</v>
      </c>
      <c r="H14" s="57">
        <v>13</v>
      </c>
      <c r="I14" s="65"/>
    </row>
    <row r="15" spans="2:9" ht="15" x14ac:dyDescent="0.25">
      <c r="B15" s="57">
        <v>14</v>
      </c>
      <c r="E15" s="57">
        <v>14</v>
      </c>
      <c r="H15" s="57">
        <v>14</v>
      </c>
      <c r="I15" s="65"/>
    </row>
    <row r="16" spans="2:9" ht="15" x14ac:dyDescent="0.25">
      <c r="B16" s="57">
        <v>15</v>
      </c>
      <c r="E16" s="57">
        <v>15</v>
      </c>
      <c r="H16" s="57">
        <v>15</v>
      </c>
      <c r="I16" s="65"/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65"/>
    </row>
    <row r="21" spans="2:11" ht="15" x14ac:dyDescent="0.25">
      <c r="B21" s="57">
        <v>20</v>
      </c>
      <c r="E21" s="57">
        <v>20</v>
      </c>
      <c r="H21" s="57">
        <v>20</v>
      </c>
      <c r="I21" s="65"/>
    </row>
    <row r="22" spans="2:11" ht="15" x14ac:dyDescent="0.25">
      <c r="B22" s="57">
        <v>21</v>
      </c>
      <c r="E22" s="57">
        <v>21</v>
      </c>
      <c r="H22" s="57">
        <v>21</v>
      </c>
      <c r="I22" s="65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200</v>
      </c>
      <c r="C2" s="70"/>
      <c r="D2" s="70"/>
      <c r="E2" s="70"/>
      <c r="F2" s="70"/>
      <c r="G2" s="70"/>
      <c r="H2" s="70"/>
      <c r="I2" s="71"/>
      <c r="J2" s="62">
        <v>62356164</v>
      </c>
      <c r="K2" s="63">
        <v>7560</v>
      </c>
      <c r="L2" s="64">
        <v>45</v>
      </c>
      <c r="M2" s="64">
        <v>558.03</v>
      </c>
      <c r="N2" s="64">
        <v>573.15</v>
      </c>
      <c r="O2" s="64">
        <v>618.15</v>
      </c>
      <c r="P2" s="64" t="s">
        <v>54</v>
      </c>
      <c r="Q2" s="64">
        <v>3.0190000000000001</v>
      </c>
      <c r="R2" s="64" t="s">
        <v>62</v>
      </c>
    </row>
    <row r="3" spans="2:22" x14ac:dyDescent="0.2">
      <c r="B3" s="6" t="s">
        <v>53</v>
      </c>
      <c r="C3" s="68">
        <v>99</v>
      </c>
      <c r="D3" s="5"/>
      <c r="E3" s="5"/>
      <c r="F3" s="5"/>
      <c r="G3" s="5" t="s">
        <v>52</v>
      </c>
      <c r="H3" s="31">
        <v>46280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62356164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618.15</v>
      </c>
      <c r="G23" s="23">
        <f>+N2</f>
        <v>573.15</v>
      </c>
      <c r="H23" s="23">
        <f>+M2</f>
        <v>558.03</v>
      </c>
      <c r="I23" s="55">
        <f>+L2</f>
        <v>45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RECYCLED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24.95" customHeight="1" x14ac:dyDescent="0.2">
      <c r="B32" s="41" t="s">
        <v>180</v>
      </c>
      <c r="C32" s="19" t="s">
        <v>189</v>
      </c>
      <c r="D32" s="85"/>
      <c r="E32" s="86"/>
      <c r="F32" s="85">
        <v>4210</v>
      </c>
      <c r="G32" s="86"/>
      <c r="H32" s="17">
        <v>0.71</v>
      </c>
      <c r="I32" s="18">
        <f>+H32*F32</f>
        <v>2989.1</v>
      </c>
      <c r="K32" s="46"/>
      <c r="M32" s="39"/>
    </row>
    <row r="33" spans="2:13" ht="39" customHeight="1" x14ac:dyDescent="0.2">
      <c r="B33" s="41" t="s">
        <v>191</v>
      </c>
      <c r="C33" s="19" t="s">
        <v>190</v>
      </c>
      <c r="D33" s="85"/>
      <c r="E33" s="86"/>
      <c r="F33" s="85">
        <f>+K2-F32</f>
        <v>3350</v>
      </c>
      <c r="G33" s="86"/>
      <c r="H33" s="17">
        <v>0.71</v>
      </c>
      <c r="I33" s="18">
        <f>+H33*F33</f>
        <v>2378.5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60"/>
    </row>
    <row r="35" spans="2:13" ht="21.75" customHeight="1" x14ac:dyDescent="0.2">
      <c r="B35" s="15" t="s">
        <v>14</v>
      </c>
      <c r="C35" s="15"/>
      <c r="D35" s="83"/>
      <c r="E35" s="84"/>
      <c r="F35" s="85">
        <f>SUM(F32:G34)</f>
        <v>7560</v>
      </c>
      <c r="G35" s="86"/>
      <c r="H35" s="15"/>
      <c r="I35" s="14">
        <f>SUM(I32:I34)</f>
        <v>5367.6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5367.6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5367.6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2:E32"/>
    <mergeCell ref="F32:G32"/>
    <mergeCell ref="D33:E33"/>
    <mergeCell ref="F33:G33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200</v>
      </c>
      <c r="C2" s="70"/>
      <c r="D2" s="70"/>
      <c r="E2" s="70"/>
      <c r="F2" s="70"/>
      <c r="G2" s="70"/>
      <c r="H2" s="70"/>
      <c r="I2" s="71"/>
      <c r="J2" s="62">
        <v>62042087</v>
      </c>
      <c r="K2" s="63">
        <v>2043</v>
      </c>
      <c r="L2" s="64">
        <v>26</v>
      </c>
      <c r="M2" s="64">
        <v>250.16399999999999</v>
      </c>
      <c r="N2" s="64">
        <v>254.25</v>
      </c>
      <c r="O2" s="64">
        <v>276.5</v>
      </c>
      <c r="P2" s="64" t="s">
        <v>54</v>
      </c>
      <c r="Q2" s="64">
        <v>1.325</v>
      </c>
      <c r="R2" s="64" t="s">
        <v>62</v>
      </c>
    </row>
    <row r="3" spans="2:22" x14ac:dyDescent="0.2">
      <c r="B3" s="6" t="s">
        <v>53</v>
      </c>
      <c r="C3" s="68">
        <f>+'99'!C3+1</f>
        <v>100</v>
      </c>
      <c r="D3" s="5"/>
      <c r="E3" s="5"/>
      <c r="F3" s="5"/>
      <c r="G3" s="5" t="s">
        <v>52</v>
      </c>
      <c r="H3" s="31">
        <v>46280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62042087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276.5</v>
      </c>
      <c r="G23" s="23">
        <f>+N2</f>
        <v>254.25</v>
      </c>
      <c r="H23" s="23">
        <f>+M2</f>
        <v>250.16399999999999</v>
      </c>
      <c r="I23" s="48">
        <f>+L2</f>
        <v>26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24.95" customHeight="1" x14ac:dyDescent="0.2">
      <c r="B32" s="41" t="s">
        <v>184</v>
      </c>
      <c r="C32" s="19" t="s">
        <v>183</v>
      </c>
      <c r="D32" s="85"/>
      <c r="E32" s="86"/>
      <c r="F32" s="85">
        <v>1007</v>
      </c>
      <c r="G32" s="86"/>
      <c r="H32" s="17">
        <v>0.9</v>
      </c>
      <c r="I32" s="18">
        <f>+H32*F32</f>
        <v>906.30000000000007</v>
      </c>
      <c r="K32" s="46"/>
      <c r="M32" s="39"/>
    </row>
    <row r="33" spans="2:13" ht="24.95" customHeight="1" x14ac:dyDescent="0.2">
      <c r="B33" s="41" t="s">
        <v>194</v>
      </c>
      <c r="C33" s="19" t="s">
        <v>193</v>
      </c>
      <c r="D33" s="85"/>
      <c r="E33" s="86"/>
      <c r="F33" s="85">
        <f>+K2-F32</f>
        <v>1036</v>
      </c>
      <c r="G33" s="86"/>
      <c r="H33" s="17">
        <v>0.9</v>
      </c>
      <c r="I33" s="18">
        <f>+H33*F33</f>
        <v>932.4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48"/>
    </row>
    <row r="35" spans="2:13" ht="21.75" customHeight="1" x14ac:dyDescent="0.2">
      <c r="B35" s="15" t="s">
        <v>14</v>
      </c>
      <c r="C35" s="15"/>
      <c r="D35" s="83"/>
      <c r="E35" s="84"/>
      <c r="F35" s="85">
        <f>SUM(F32:G34)</f>
        <v>2043</v>
      </c>
      <c r="G35" s="86"/>
      <c r="H35" s="15"/>
      <c r="I35" s="14">
        <f>SUM(I32:I34)</f>
        <v>1838.7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1838.7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1838.7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265K0076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6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200</v>
      </c>
      <c r="C2" s="70"/>
      <c r="D2" s="70"/>
      <c r="E2" s="70"/>
      <c r="F2" s="70"/>
      <c r="G2" s="70"/>
      <c r="H2" s="70"/>
      <c r="I2" s="71"/>
      <c r="J2" s="62">
        <v>61996986</v>
      </c>
      <c r="K2" s="63">
        <v>3258</v>
      </c>
      <c r="L2" s="64">
        <v>31</v>
      </c>
      <c r="M2" s="64">
        <v>273.43900000000002</v>
      </c>
      <c r="N2" s="64">
        <v>279.95499999999998</v>
      </c>
      <c r="O2" s="64">
        <v>308.85500000000002</v>
      </c>
      <c r="P2" s="64" t="s">
        <v>54</v>
      </c>
      <c r="Q2" s="64">
        <v>1.7450000000000001</v>
      </c>
      <c r="R2" s="64" t="s">
        <v>62</v>
      </c>
    </row>
    <row r="3" spans="2:22" x14ac:dyDescent="0.2">
      <c r="B3" s="6" t="s">
        <v>53</v>
      </c>
      <c r="C3" s="68">
        <f>+'100'!C3+1</f>
        <v>101</v>
      </c>
      <c r="D3" s="5"/>
      <c r="E3" s="5"/>
      <c r="F3" s="5"/>
      <c r="G3" s="5" t="s">
        <v>52</v>
      </c>
      <c r="H3" s="31">
        <v>46280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61996986</v>
      </c>
      <c r="C21" s="49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308.85500000000002</v>
      </c>
      <c r="G23" s="23">
        <f>+N2</f>
        <v>279.95499999999998</v>
      </c>
      <c r="H23" s="23">
        <f>+M2</f>
        <v>273.43900000000002</v>
      </c>
      <c r="I23" s="48">
        <f>+L2</f>
        <v>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28.5" customHeight="1" x14ac:dyDescent="0.2">
      <c r="B32" s="41" t="s">
        <v>184</v>
      </c>
      <c r="C32" s="19" t="s">
        <v>186</v>
      </c>
      <c r="D32" s="85"/>
      <c r="E32" s="86"/>
      <c r="F32" s="85">
        <f>+K2</f>
        <v>3258</v>
      </c>
      <c r="G32" s="86"/>
      <c r="H32" s="17">
        <v>0.84</v>
      </c>
      <c r="I32" s="18">
        <f>+H32*F32</f>
        <v>2736.72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48"/>
    </row>
    <row r="34" spans="2:11" ht="21.75" customHeight="1" x14ac:dyDescent="0.2">
      <c r="B34" s="15" t="s">
        <v>14</v>
      </c>
      <c r="C34" s="15"/>
      <c r="D34" s="83"/>
      <c r="E34" s="84"/>
      <c r="F34" s="85">
        <f>SUM(F31:G33)</f>
        <v>3258</v>
      </c>
      <c r="G34" s="86"/>
      <c r="H34" s="15"/>
      <c r="I34" s="14">
        <f>SUM(I32:I33)</f>
        <v>2736.72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2736.72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2736.72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2:E32"/>
    <mergeCell ref="F32:G32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200</v>
      </c>
      <c r="C2" s="70"/>
      <c r="D2" s="70"/>
      <c r="E2" s="70"/>
      <c r="F2" s="70"/>
      <c r="G2" s="70"/>
      <c r="H2" s="70"/>
      <c r="I2" s="71"/>
      <c r="J2" s="62">
        <v>61996990</v>
      </c>
      <c r="K2" s="63">
        <v>1786</v>
      </c>
      <c r="L2" s="64">
        <v>20</v>
      </c>
      <c r="M2" s="64">
        <v>149.85300000000001</v>
      </c>
      <c r="N2" s="64">
        <v>153.42500000000001</v>
      </c>
      <c r="O2" s="64">
        <v>171.125</v>
      </c>
      <c r="P2" s="64" t="s">
        <v>54</v>
      </c>
      <c r="Q2" s="64">
        <v>0.98399999999999999</v>
      </c>
      <c r="R2" s="64" t="s">
        <v>62</v>
      </c>
    </row>
    <row r="3" spans="2:22" x14ac:dyDescent="0.2">
      <c r="B3" s="6" t="s">
        <v>53</v>
      </c>
      <c r="C3" s="68">
        <f>+'101'!C3+1</f>
        <v>102</v>
      </c>
      <c r="D3" s="5"/>
      <c r="E3" s="5"/>
      <c r="F3" s="5"/>
      <c r="G3" s="5" t="s">
        <v>52</v>
      </c>
      <c r="H3" s="31">
        <v>46280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61996990</v>
      </c>
      <c r="C21" s="53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171.125</v>
      </c>
      <c r="G23" s="23">
        <f>+N2</f>
        <v>153.42500000000001</v>
      </c>
      <c r="H23" s="23">
        <f>+M2</f>
        <v>149.85300000000001</v>
      </c>
      <c r="I23" s="54">
        <f>+L2</f>
        <v>20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26.25" customHeight="1" x14ac:dyDescent="0.2">
      <c r="B32" s="41" t="s">
        <v>184</v>
      </c>
      <c r="C32" s="19" t="s">
        <v>186</v>
      </c>
      <c r="D32" s="85"/>
      <c r="E32" s="86"/>
      <c r="F32" s="85">
        <f>+K2</f>
        <v>1786</v>
      </c>
      <c r="G32" s="86"/>
      <c r="H32" s="17">
        <v>0.84</v>
      </c>
      <c r="I32" s="18">
        <f>+H32*F32</f>
        <v>1500.24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4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1786</v>
      </c>
      <c r="G34" s="86"/>
      <c r="H34" s="15"/>
      <c r="I34" s="14">
        <f>SUM(I32:I33)</f>
        <v>1500.24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1500.24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1500.24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200</v>
      </c>
      <c r="C2" s="70"/>
      <c r="D2" s="70"/>
      <c r="E2" s="70"/>
      <c r="F2" s="70"/>
      <c r="G2" s="70"/>
      <c r="H2" s="70"/>
      <c r="I2" s="71"/>
      <c r="J2" s="62">
        <v>61995940</v>
      </c>
      <c r="K2" s="64">
        <v>500</v>
      </c>
      <c r="L2" s="64">
        <v>7</v>
      </c>
      <c r="M2" s="64">
        <v>34.524999999999999</v>
      </c>
      <c r="N2" s="64">
        <v>35.524999999999999</v>
      </c>
      <c r="O2" s="64">
        <v>40.274999999999999</v>
      </c>
      <c r="P2" s="64" t="s">
        <v>54</v>
      </c>
      <c r="Q2" s="64">
        <v>0.218</v>
      </c>
      <c r="R2" s="64" t="s">
        <v>62</v>
      </c>
    </row>
    <row r="3" spans="2:22" x14ac:dyDescent="0.2">
      <c r="B3" s="6" t="s">
        <v>53</v>
      </c>
      <c r="C3" s="68">
        <f>+'102'!C3+1</f>
        <v>103</v>
      </c>
      <c r="D3" s="5"/>
      <c r="E3" s="5"/>
      <c r="F3" s="5"/>
      <c r="G3" s="5" t="s">
        <v>52</v>
      </c>
      <c r="H3" s="31">
        <v>46280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61995940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40.274999999999999</v>
      </c>
      <c r="G23" s="23">
        <f>+N2</f>
        <v>35.524999999999999</v>
      </c>
      <c r="H23" s="23">
        <f>+M2</f>
        <v>34.524999999999999</v>
      </c>
      <c r="I23" s="55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T-Shirt, With No Neck Closure, Stitch Count Is Greater Than 9/2cm, Reaches Waist [60% Cotton 40% Recycled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24.75" customHeight="1" x14ac:dyDescent="0.2">
      <c r="B32" s="41" t="s">
        <v>180</v>
      </c>
      <c r="C32" s="19" t="s">
        <v>189</v>
      </c>
      <c r="D32" s="85"/>
      <c r="E32" s="86"/>
      <c r="F32" s="85">
        <f>+K2</f>
        <v>500</v>
      </c>
      <c r="G32" s="86"/>
      <c r="H32" s="17">
        <v>0.71</v>
      </c>
      <c r="I32" s="18">
        <f>+H32*F32</f>
        <v>355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9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500</v>
      </c>
      <c r="G34" s="86"/>
      <c r="H34" s="15"/>
      <c r="I34" s="14">
        <f>SUM(I32:I32)</f>
        <v>355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355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355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D32:E32"/>
    <mergeCell ref="F32:G32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200</v>
      </c>
      <c r="C2" s="70"/>
      <c r="D2" s="70"/>
      <c r="E2" s="70"/>
      <c r="F2" s="70"/>
      <c r="G2" s="70"/>
      <c r="H2" s="70"/>
      <c r="I2" s="71"/>
      <c r="J2" s="62">
        <v>62031201</v>
      </c>
      <c r="K2" s="64">
        <v>500</v>
      </c>
      <c r="L2" s="64">
        <v>7</v>
      </c>
      <c r="M2" s="64">
        <v>34.424999999999997</v>
      </c>
      <c r="N2" s="64">
        <v>35.424999999999997</v>
      </c>
      <c r="O2" s="64">
        <v>40.524999999999999</v>
      </c>
      <c r="P2" s="64" t="s">
        <v>54</v>
      </c>
      <c r="Q2" s="64">
        <v>0.23499999999999999</v>
      </c>
      <c r="R2" s="64" t="s">
        <v>62</v>
      </c>
    </row>
    <row r="3" spans="2:22" x14ac:dyDescent="0.2">
      <c r="B3" s="6" t="s">
        <v>53</v>
      </c>
      <c r="C3" s="68">
        <f>+'103'!C3+1</f>
        <v>104</v>
      </c>
      <c r="D3" s="5"/>
      <c r="E3" s="5"/>
      <c r="F3" s="5"/>
      <c r="G3" s="5" t="s">
        <v>52</v>
      </c>
      <c r="H3" s="31">
        <v>46280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62031201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40.524999999999999</v>
      </c>
      <c r="G23" s="23">
        <f>+N2</f>
        <v>35.424999999999997</v>
      </c>
      <c r="H23" s="23">
        <f>+M2</f>
        <v>34.424999999999997</v>
      </c>
      <c r="I23" s="55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T-Shirt, With No Neck Closure, Stitch Count Is Greater Than 9/2cm, Reaches Waist [60% Cotton 40% Recycled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27" customHeight="1" x14ac:dyDescent="0.2">
      <c r="B32" s="61" t="s">
        <v>197</v>
      </c>
      <c r="C32" s="19" t="s">
        <v>196</v>
      </c>
      <c r="D32" s="85"/>
      <c r="E32" s="86"/>
      <c r="F32" s="85">
        <f>+K2</f>
        <v>500</v>
      </c>
      <c r="G32" s="86"/>
      <c r="H32" s="17">
        <v>0.71</v>
      </c>
      <c r="I32" s="18">
        <f>+H32*F32</f>
        <v>355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5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500</v>
      </c>
      <c r="G34" s="86"/>
      <c r="H34" s="15"/>
      <c r="I34" s="14">
        <f>SUM(I32:I33)</f>
        <v>355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355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355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200</v>
      </c>
      <c r="C2" s="70"/>
      <c r="D2" s="70"/>
      <c r="E2" s="70"/>
      <c r="F2" s="70"/>
      <c r="G2" s="70"/>
      <c r="H2" s="70"/>
      <c r="I2" s="71"/>
      <c r="J2" s="62">
        <v>61997356</v>
      </c>
      <c r="K2" s="64">
        <v>253</v>
      </c>
      <c r="L2" s="64">
        <v>4</v>
      </c>
      <c r="M2" s="64">
        <v>16.724</v>
      </c>
      <c r="N2" s="64">
        <v>17.23</v>
      </c>
      <c r="O2" s="64">
        <v>20.23</v>
      </c>
      <c r="P2" s="64" t="s">
        <v>54</v>
      </c>
      <c r="Q2" s="64">
        <v>0.112</v>
      </c>
      <c r="R2" s="64" t="s">
        <v>62</v>
      </c>
    </row>
    <row r="3" spans="2:22" x14ac:dyDescent="0.2">
      <c r="B3" s="6" t="s">
        <v>53</v>
      </c>
      <c r="C3" s="68">
        <f>+'104'!C3+1</f>
        <v>105</v>
      </c>
      <c r="D3" s="5"/>
      <c r="E3" s="5"/>
      <c r="F3" s="5"/>
      <c r="G3" s="5" t="s">
        <v>52</v>
      </c>
      <c r="H3" s="31">
        <v>46280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61997356</v>
      </c>
      <c r="C21" s="67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CA</v>
      </c>
      <c r="I21" s="66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20.23</v>
      </c>
      <c r="G23" s="23">
        <f>+N2</f>
        <v>17.23</v>
      </c>
      <c r="H23" s="23">
        <f>+M2</f>
        <v>16.724</v>
      </c>
      <c r="I23" s="66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T-Shirt, With No Neck Closure, Stitch Count Is Greater Than 9/2cm, Reaches Waist [60% Cotton 40% Recycled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24.95" customHeight="1" x14ac:dyDescent="0.2">
      <c r="B32" s="41" t="s">
        <v>180</v>
      </c>
      <c r="C32" s="19" t="s">
        <v>189</v>
      </c>
      <c r="D32" s="85"/>
      <c r="E32" s="86"/>
      <c r="F32" s="85">
        <v>153</v>
      </c>
      <c r="G32" s="86"/>
      <c r="H32" s="17">
        <v>0.71</v>
      </c>
      <c r="I32" s="18">
        <f>+H32*F32</f>
        <v>108.63</v>
      </c>
      <c r="K32" s="46"/>
      <c r="M32" s="39"/>
    </row>
    <row r="33" spans="2:13" ht="24.95" customHeight="1" x14ac:dyDescent="0.2">
      <c r="B33" s="41" t="s">
        <v>199</v>
      </c>
      <c r="C33" s="19" t="s">
        <v>198</v>
      </c>
      <c r="D33" s="85"/>
      <c r="E33" s="86"/>
      <c r="F33" s="85">
        <f>+K2-F32</f>
        <v>100</v>
      </c>
      <c r="G33" s="86"/>
      <c r="H33" s="17">
        <v>0.71</v>
      </c>
      <c r="I33" s="18">
        <f>+H33*F33</f>
        <v>71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66"/>
    </row>
    <row r="35" spans="2:13" ht="21.75" customHeight="1" x14ac:dyDescent="0.2">
      <c r="B35" s="15" t="s">
        <v>14</v>
      </c>
      <c r="C35" s="15"/>
      <c r="D35" s="83"/>
      <c r="E35" s="84"/>
      <c r="F35" s="85">
        <f>SUM(F32:G34)</f>
        <v>253</v>
      </c>
      <c r="G35" s="86"/>
      <c r="H35" s="15"/>
      <c r="I35" s="14">
        <f>SUM(I32:I34)</f>
        <v>179.63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66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179.63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179.63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>
        <v>7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7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200</v>
      </c>
      <c r="C2" s="70"/>
      <c r="D2" s="70"/>
      <c r="E2" s="70"/>
      <c r="F2" s="70"/>
      <c r="G2" s="70"/>
      <c r="H2" s="70"/>
      <c r="I2" s="71"/>
      <c r="J2" s="62">
        <v>62031271</v>
      </c>
      <c r="K2" s="64">
        <v>131</v>
      </c>
      <c r="L2" s="64">
        <v>2</v>
      </c>
      <c r="M2" s="64">
        <v>9.1329999999999991</v>
      </c>
      <c r="N2" s="64">
        <v>9.3949999999999996</v>
      </c>
      <c r="O2" s="64">
        <v>10.994999999999999</v>
      </c>
      <c r="P2" s="64" t="s">
        <v>54</v>
      </c>
      <c r="Q2" s="64">
        <v>6.7000000000000004E-2</v>
      </c>
      <c r="R2" s="64" t="s">
        <v>62</v>
      </c>
    </row>
    <row r="3" spans="2:22" x14ac:dyDescent="0.2">
      <c r="B3" s="6" t="s">
        <v>53</v>
      </c>
      <c r="C3" s="68">
        <f>+'105'!C3+1</f>
        <v>106</v>
      </c>
      <c r="D3" s="5"/>
      <c r="E3" s="5"/>
      <c r="F3" s="5"/>
      <c r="G3" s="5" t="s">
        <v>52</v>
      </c>
      <c r="H3" s="31">
        <v>46280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62031271</v>
      </c>
      <c r="C21" s="67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CA</v>
      </c>
      <c r="I21" s="66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10.994999999999999</v>
      </c>
      <c r="G23" s="23">
        <f>+N2</f>
        <v>9.3949999999999996</v>
      </c>
      <c r="H23" s="23">
        <f>+M2</f>
        <v>9.1329999999999991</v>
      </c>
      <c r="I23" s="66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T-Shirt, With No Neck Closure, Stitch Count Is Greater Than 9/2cm, Reaches Waist [60% Cotton 40% Recycled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30.75" customHeight="1" x14ac:dyDescent="0.2">
      <c r="B32" s="41" t="s">
        <v>197</v>
      </c>
      <c r="C32" s="19" t="s">
        <v>196</v>
      </c>
      <c r="D32" s="85"/>
      <c r="E32" s="86"/>
      <c r="F32" s="85">
        <f>+K2</f>
        <v>131</v>
      </c>
      <c r="G32" s="86"/>
      <c r="H32" s="17">
        <v>0.71</v>
      </c>
      <c r="I32" s="18">
        <f>+H32*F32</f>
        <v>93.009999999999991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SUM(F31:G33)</f>
        <v>131</v>
      </c>
      <c r="G34" s="86"/>
      <c r="H34" s="15"/>
      <c r="I34" s="14">
        <f>SUM(I32:I33)</f>
        <v>93.009999999999991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93.009999999999991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93.009999999999991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Sheet1</vt:lpstr>
      <vt:lpstr>reff</vt:lpstr>
      <vt:lpstr>99</vt:lpstr>
      <vt:lpstr>100</vt:lpstr>
      <vt:lpstr>101</vt:lpstr>
      <vt:lpstr>102</vt:lpstr>
      <vt:lpstr>103</vt:lpstr>
      <vt:lpstr>104</vt:lpstr>
      <vt:lpstr>105</vt:lpstr>
      <vt:lpstr>106</vt:lpstr>
      <vt:lpstr>'100'!Print_Area</vt:lpstr>
      <vt:lpstr>'101'!Print_Area</vt:lpstr>
      <vt:lpstr>'102'!Print_Area</vt:lpstr>
      <vt:lpstr>'103'!Print_Area</vt:lpstr>
      <vt:lpstr>'104'!Print_Area</vt:lpstr>
      <vt:lpstr>'105'!Print_Area</vt:lpstr>
      <vt:lpstr>'106'!Print_Area</vt:lpstr>
      <vt:lpstr>'99'!Print_Area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2026-09-03T02:09:43Z</cp:lastPrinted>
  <dcterms:created xsi:type="dcterms:W3CDTF">2024-04-17T09:56:05Z</dcterms:created>
  <dcterms:modified xsi:type="dcterms:W3CDTF">2026-09-08T01:27:25Z</dcterms:modified>
</cp:coreProperties>
</file>