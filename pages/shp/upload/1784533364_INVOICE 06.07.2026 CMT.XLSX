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07. JULI\06.07.2026\"/>
    </mc:Choice>
  </mc:AlternateContent>
  <bookViews>
    <workbookView xWindow="-120" yWindow="-120" windowWidth="20730" windowHeight="11160" activeTab="2"/>
  </bookViews>
  <sheets>
    <sheet name="Sheet1" sheetId="128" r:id="rId1"/>
    <sheet name="reff" sheetId="162" r:id="rId2"/>
    <sheet name="114" sheetId="138" r:id="rId3"/>
    <sheet name="115" sheetId="129" r:id="rId4"/>
    <sheet name="116" sheetId="133" r:id="rId5"/>
    <sheet name="117" sheetId="134" r:id="rId6"/>
    <sheet name="118" sheetId="135" r:id="rId7"/>
    <sheet name="119" sheetId="137" r:id="rId8"/>
    <sheet name="120" sheetId="141" r:id="rId9"/>
    <sheet name="121" sheetId="142" r:id="rId10"/>
    <sheet name="122" sheetId="143" r:id="rId11"/>
    <sheet name="123" sheetId="163" r:id="rId12"/>
  </sheets>
  <externalReferences>
    <externalReference r:id="rId13"/>
    <externalReference r:id="rId14"/>
    <externalReference r:id="rId15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>[2]xdata!#REF!</definedName>
    <definedName name="INVOICE">[2]xdata!$B$2</definedName>
    <definedName name="_xlnm.Print_Area" localSheetId="2">'114'!$B$1:$I$57</definedName>
    <definedName name="_xlnm.Print_Area" localSheetId="3">'115'!$B$1:$I$57</definedName>
    <definedName name="_xlnm.Print_Area" localSheetId="4">'116'!$B$1:$I$57</definedName>
    <definedName name="_xlnm.Print_Area" localSheetId="5">'117'!$B$1:$I$57</definedName>
    <definedName name="_xlnm.Print_Area" localSheetId="6">'118'!$B$1:$I$57</definedName>
    <definedName name="_xlnm.Print_Area" localSheetId="7">'119'!$B$1:$I$57</definedName>
    <definedName name="_xlnm.Print_Area" localSheetId="8">'120'!$B$1:$I$57</definedName>
    <definedName name="_xlnm.Print_Area" localSheetId="9">'121'!$B$1:$I$57</definedName>
    <definedName name="_xlnm.Print_Area" localSheetId="10">'122'!$B$1:$I$57</definedName>
    <definedName name="_xlnm.Print_Area" localSheetId="11">'123'!$B$1:$I$57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138" l="1"/>
  <c r="F32" i="138" l="1"/>
  <c r="C3" i="129"/>
  <c r="F32" i="163" l="1"/>
  <c r="F34" i="163" s="1"/>
  <c r="F32" i="143"/>
  <c r="F32" i="135"/>
  <c r="F34" i="135" s="1"/>
  <c r="F32" i="133"/>
  <c r="F32" i="129"/>
  <c r="H5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F32" i="141"/>
  <c r="I32" i="163" l="1"/>
  <c r="I34" i="163" s="1"/>
  <c r="I36" i="163" s="1"/>
  <c r="I38" i="163" s="1"/>
  <c r="F32" i="134"/>
  <c r="F34" i="138" l="1"/>
  <c r="I34" i="138" l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2" i="129" l="1"/>
  <c r="I34" i="129" s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2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</calcChain>
</file>

<file path=xl/sharedStrings.xml><?xml version="1.0" encoding="utf-8"?>
<sst xmlns="http://schemas.openxmlformats.org/spreadsheetml/2006/main" count="960" uniqueCount="195">
  <si>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</si>
  <si>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</si>
  <si>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</si>
  <si>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</si>
  <si>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</si>
  <si>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</si>
  <si>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</si>
  <si>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</si>
  <si>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</si>
  <si>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</si>
  <si>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</si>
  <si>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</si>
  <si>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</si>
  <si>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</si>
  <si>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</si>
  <si>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</si>
  <si>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</si>
  <si>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</si>
  <si>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</si>
  <si>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</si>
  <si>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</si>
  <si>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</si>
  <si>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</si>
  <si>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</si>
  <si>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</si>
  <si>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</si>
  <si>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</si>
  <si>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</si>
  <si>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</si>
  <si>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</si>
  <si>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</si>
  <si>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</si>
  <si>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</si>
  <si>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</si>
  <si>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</si>
  <si>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</si>
  <si>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</si>
  <si>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</si>
  <si>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</si>
  <si>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</si>
  <si>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</si>
  <si>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</si>
  <si>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</si>
  <si>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</si>
  <si>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</si>
  <si>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</si>
  <si>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</si>
  <si>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</si>
  <si>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</si>
  <si>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</si>
  <si>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</si>
  <si>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</si>
  <si>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</si>
  <si>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</si>
  <si>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</si>
  <si>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</si>
  <si>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</si>
  <si>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</si>
  <si>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</si>
  <si>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</si>
  <si>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</si>
  <si>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</si>
  <si>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</si>
  <si>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</si>
  <si>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</si>
  <si>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</si>
  <si>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</si>
  <si>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</si>
  <si>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</si>
  <si>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</si>
  <si>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</si>
  <si>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</si>
  <si>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</si>
  <si>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</si>
  <si>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</si>
  <si>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</si>
  <si>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</si>
  <si>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</si>
  <si>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</si>
  <si>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</si>
  <si>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</si>
  <si>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</si>
  <si>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</si>
  <si>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</si>
  <si>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</si>
  <si>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</si>
  <si>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</si>
  <si>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</si>
  <si>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</si>
  <si>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</si>
  <si>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</si>
  <si>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</si>
  <si>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</si>
  <si>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</si>
  <si>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</si>
  <si>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</si>
  <si>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</si>
  <si>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</si>
  <si>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</si>
  <si>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</si>
  <si>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</si>
  <si>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</si>
  <si>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</si>
  <si>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</si>
  <si>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</si>
  <si>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</si>
  <si>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</si>
  <si>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</si>
  <si>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</si>
  <si>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</si>
  <si>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</si>
  <si>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</si>
  <si>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</si>
  <si>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</si>
  <si>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</si>
  <si>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</si>
  <si>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</si>
  <si>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</si>
  <si>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</si>
  <si>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</si>
  <si>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</si>
  <si>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</si>
  <si>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</si>
  <si>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</si>
  <si>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</si>
  <si>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</si>
  <si>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</si>
  <si>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</si>
  <si>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</si>
  <si>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</si>
  <si>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</si>
  <si>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</si>
  <si>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</si>
  <si>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</si>
  <si>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</si>
  <si>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</si>
  <si>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</si>
  <si>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</si>
  <si>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</si>
  <si>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</si>
  <si>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</si>
  <si>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</si>
  <si>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</si>
  <si>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</si>
  <si>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</si>
  <si>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</si>
  <si>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</si>
  <si>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</si>
  <si>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</si>
  <si>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</si>
  <si>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</si>
  <si>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</si>
  <si>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</si>
  <si>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</si>
  <si>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</si>
  <si>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</si>
  <si>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</si>
  <si>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</si>
  <si>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</si>
  <si>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</si>
  <si>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</si>
  <si>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</si>
  <si>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</si>
  <si>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</si>
  <si>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</si>
  <si>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</si>
  <si>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</si>
  <si>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</si>
  <si>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</si>
  <si>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</si>
  <si>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</si>
  <si>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</si>
  <si>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</si>
  <si>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</si>
  <si>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</si>
  <si>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</si>
  <si>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</si>
  <si>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</si>
  <si>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</si>
  <si>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</si>
  <si>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BLACK LEOPARD, PINK LEOPARD HEART</t>
  </si>
  <si>
    <t>GIRLS COTTON FIBERS, KNIT PULLOVER, WITH NO NECK CLOSURE, STITCH COUNT IS GREATER THAN 9/2CM, REACHES WAIST [100% COTTON]</t>
  </si>
  <si>
    <t>265K0051</t>
  </si>
  <si>
    <t xml:space="preserve"> 265K0075 </t>
  </si>
  <si>
    <t>SHOOTING STAR</t>
  </si>
  <si>
    <t>21</t>
  </si>
  <si>
    <t>BOYS COTTON FIBERS, KNIT SHIRT, WITH NECK CLOSURE, STITCH COUNT EQUAL OR IS GREATER THAN 10/1CM, HEM BOTTOM [60% COTTON 40% POLYESTER]</t>
  </si>
  <si>
    <t>265K0059</t>
  </si>
  <si>
    <t>WOMENS COTTON FIBERS, KNIT PULLOVER, WITH NO NECK CLOSURE, STITCH COUNT IS GREATER THAN 9/2CM, REACHES WAIST, SLEEVELESS [96% COTTON 4% SPANDEX]</t>
  </si>
  <si>
    <t>BLUSH ON YOU</t>
  </si>
  <si>
    <t>22</t>
  </si>
  <si>
    <t>265K0058</t>
  </si>
  <si>
    <t>DARK FOREST GREEN, RON BURGUNDY</t>
  </si>
  <si>
    <t>09, 10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</si>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</sst>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5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46FA3E08-21C0-4433-A716-B1F45A60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7D257-BA55-4372-8490-FC4D30351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>
      <c r="B3" t="s">
        <v>95</v>
      </c>
      <c r="D3" t="s">
        <v>94</v>
      </c>
      <c r="F3" t="s">
        <v>37</v>
      </c>
    </row>
    <row r="5" spans="2:1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>
      <c r="K10" t="str">
        <f>D35</f>
        <v>GPS STRATEGIC ALLIANCES, LLC</v>
      </c>
      <c r="L10" t="str">
        <f>G11</f>
        <v>LVO LONGVIEW OMNI-0047</v>
      </c>
    </row>
    <row r="11" spans="2:1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>
      <c r="L16" t="str">
        <f>I17</f>
        <v>MULTIBRAND WHLSL GPS STRATEGIC ALLIANCES, LLC</v>
      </c>
    </row>
    <row r="17" spans="2:1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>
      <c r="L22" t="str">
        <f>G29</f>
        <v>US EASTERN EAO-0004</v>
      </c>
    </row>
    <row r="23" spans="2:1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>
      <c r="D28" s="10"/>
    </row>
    <row r="29" spans="2:1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>
      <c r="D35" s="10" t="s">
        <v>117</v>
      </c>
      <c r="F35" s="10" t="s">
        <v>172</v>
      </c>
    </row>
    <row r="36" spans="4:9">
      <c r="D36" s="51" t="s">
        <v>118</v>
      </c>
      <c r="F36" s="51" t="s">
        <v>173</v>
      </c>
    </row>
    <row r="37" spans="4:9">
      <c r="D37" s="51" t="s">
        <v>119</v>
      </c>
      <c r="F37" s="51" t="s">
        <v>174</v>
      </c>
    </row>
    <row r="38" spans="4:9">
      <c r="D38" s="52" t="s">
        <v>120</v>
      </c>
      <c r="F38" s="51" t="s">
        <v>175</v>
      </c>
    </row>
    <row r="39" spans="4:9">
      <c r="D39" s="9" t="s">
        <v>67</v>
      </c>
      <c r="F39" s="9" t="s">
        <v>176</v>
      </c>
    </row>
    <row r="41" spans="4:9">
      <c r="D41" s="10" t="s">
        <v>155</v>
      </c>
    </row>
    <row r="42" spans="4:9">
      <c r="D42" s="51" t="s">
        <v>65</v>
      </c>
    </row>
    <row r="43" spans="4:9">
      <c r="D43" s="51" t="s">
        <v>66</v>
      </c>
    </row>
    <row r="44" spans="4:9">
      <c r="D44" s="52" t="s">
        <v>75</v>
      </c>
    </row>
    <row r="45" spans="4:9">
      <c r="D45" s="9" t="s">
        <v>67</v>
      </c>
    </row>
    <row r="47" spans="4:9">
      <c r="D47" s="10" t="s">
        <v>167</v>
      </c>
    </row>
    <row r="48" spans="4:9">
      <c r="D48" s="51" t="s">
        <v>168</v>
      </c>
    </row>
    <row r="49" spans="4:4">
      <c r="D49" s="51" t="s">
        <v>169</v>
      </c>
    </row>
    <row r="50" spans="4:4">
      <c r="D50" s="52" t="s">
        <v>170</v>
      </c>
    </row>
    <row r="51" spans="4:4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G6" sqref="G6"/>
    </sheetView>
  </sheetViews>
  <sheetFormatPr defaultRowHeight="12.75"/>
  <sheetData>
    <row r="2" spans="2:9" ht="15">
      <c r="B2" s="57">
        <v>1</v>
      </c>
      <c r="C2" t="s">
        <v>182</v>
      </c>
      <c r="E2" s="57">
        <v>1</v>
      </c>
      <c r="F2">
        <v>416363</v>
      </c>
      <c r="H2" s="57">
        <v>1</v>
      </c>
      <c r="I2" s="58" t="s">
        <v>177</v>
      </c>
    </row>
    <row r="3" spans="2:9" ht="15">
      <c r="B3" s="57">
        <v>2</v>
      </c>
      <c r="C3" t="s">
        <v>191</v>
      </c>
      <c r="E3" s="57">
        <v>2</v>
      </c>
      <c r="F3">
        <v>905994</v>
      </c>
      <c r="H3" s="57">
        <v>2</v>
      </c>
      <c r="I3" s="58" t="s">
        <v>177</v>
      </c>
    </row>
    <row r="4" spans="2:9" ht="15">
      <c r="B4" s="57">
        <v>3</v>
      </c>
      <c r="C4" t="s">
        <v>187</v>
      </c>
      <c r="E4" s="57">
        <v>3</v>
      </c>
      <c r="F4">
        <v>906033</v>
      </c>
      <c r="H4" s="57">
        <v>3</v>
      </c>
      <c r="I4" s="58" t="s">
        <v>177</v>
      </c>
    </row>
    <row r="5" spans="2:9" ht="15">
      <c r="B5" s="57">
        <v>4</v>
      </c>
      <c r="C5" t="s">
        <v>191</v>
      </c>
      <c r="E5" s="57">
        <v>4</v>
      </c>
      <c r="F5">
        <v>905994</v>
      </c>
      <c r="H5" s="57">
        <v>4</v>
      </c>
      <c r="I5" s="58" t="s">
        <v>177</v>
      </c>
    </row>
    <row r="6" spans="2:9" ht="15">
      <c r="B6" s="57">
        <v>5</v>
      </c>
      <c r="C6" t="s">
        <v>187</v>
      </c>
      <c r="E6" s="57">
        <v>5</v>
      </c>
      <c r="F6">
        <v>906033</v>
      </c>
      <c r="H6" s="57">
        <v>5</v>
      </c>
      <c r="I6" s="58" t="s">
        <v>178</v>
      </c>
    </row>
    <row r="7" spans="2:9" ht="15">
      <c r="B7" s="57">
        <v>6</v>
      </c>
      <c r="C7" t="s">
        <v>187</v>
      </c>
      <c r="E7" s="57">
        <v>6</v>
      </c>
      <c r="F7">
        <v>906033</v>
      </c>
      <c r="H7" s="57">
        <v>6</v>
      </c>
      <c r="I7" s="58" t="s">
        <v>177</v>
      </c>
    </row>
    <row r="8" spans="2:9" ht="15">
      <c r="B8" s="57">
        <v>7</v>
      </c>
      <c r="C8" t="s">
        <v>183</v>
      </c>
      <c r="E8" s="57">
        <v>7</v>
      </c>
      <c r="F8">
        <v>692926</v>
      </c>
      <c r="H8" s="57">
        <v>7</v>
      </c>
      <c r="I8" s="58" t="s">
        <v>177</v>
      </c>
    </row>
    <row r="9" spans="2:9" ht="15">
      <c r="B9" s="57">
        <v>8</v>
      </c>
      <c r="C9" t="s">
        <v>183</v>
      </c>
      <c r="E9" s="57">
        <v>8</v>
      </c>
      <c r="F9">
        <v>692926</v>
      </c>
      <c r="H9" s="57">
        <v>8</v>
      </c>
      <c r="I9" s="58" t="s">
        <v>178</v>
      </c>
    </row>
    <row r="10" spans="2:9" ht="15">
      <c r="B10" s="57">
        <v>9</v>
      </c>
      <c r="C10" t="s">
        <v>183</v>
      </c>
      <c r="E10" s="57">
        <v>9</v>
      </c>
      <c r="F10">
        <v>692926</v>
      </c>
      <c r="H10" s="57">
        <v>9</v>
      </c>
      <c r="I10" s="58" t="s">
        <v>178</v>
      </c>
    </row>
    <row r="11" spans="2:9" ht="15">
      <c r="B11" s="57">
        <v>10</v>
      </c>
      <c r="C11" t="s">
        <v>183</v>
      </c>
      <c r="E11" s="57">
        <v>10</v>
      </c>
      <c r="F11">
        <v>692926</v>
      </c>
      <c r="H11" s="57">
        <v>10</v>
      </c>
      <c r="I11" s="58" t="s">
        <v>177</v>
      </c>
    </row>
    <row r="12" spans="2:9" ht="15">
      <c r="B12" s="57">
        <v>11</v>
      </c>
      <c r="E12" s="57">
        <v>11</v>
      </c>
      <c r="H12" s="57">
        <v>11</v>
      </c>
      <c r="I12" s="58"/>
    </row>
    <row r="13" spans="2:9" ht="15">
      <c r="B13" s="57">
        <v>12</v>
      </c>
      <c r="E13" s="57">
        <v>12</v>
      </c>
      <c r="H13" s="57">
        <v>12</v>
      </c>
      <c r="I13" s="58"/>
    </row>
    <row r="14" spans="2:9" ht="15">
      <c r="B14" s="57">
        <v>13</v>
      </c>
      <c r="E14" s="57">
        <v>13</v>
      </c>
      <c r="H14" s="57">
        <v>13</v>
      </c>
      <c r="I14" s="58"/>
    </row>
    <row r="15" spans="2:9" ht="15">
      <c r="B15" s="57">
        <v>14</v>
      </c>
      <c r="E15" s="57">
        <v>14</v>
      </c>
      <c r="H15" s="57">
        <v>14</v>
      </c>
      <c r="I15" s="58"/>
    </row>
    <row r="16" spans="2:9" ht="15">
      <c r="B16" s="57">
        <v>15</v>
      </c>
      <c r="E16" s="57">
        <v>15</v>
      </c>
      <c r="H16" s="57">
        <v>15</v>
      </c>
      <c r="I16" s="58"/>
    </row>
    <row r="17" spans="2:11" ht="15">
      <c r="B17" s="57">
        <v>16</v>
      </c>
      <c r="E17" s="57">
        <v>16</v>
      </c>
      <c r="H17" s="57">
        <v>16</v>
      </c>
      <c r="I17" s="58"/>
    </row>
    <row r="18" spans="2:11" ht="15">
      <c r="B18" s="57">
        <v>17</v>
      </c>
      <c r="E18" s="57">
        <v>17</v>
      </c>
      <c r="H18" s="57">
        <v>17</v>
      </c>
      <c r="I18" s="58"/>
    </row>
    <row r="19" spans="2:11" ht="15">
      <c r="B19" s="57">
        <v>18</v>
      </c>
      <c r="E19" s="57">
        <v>18</v>
      </c>
      <c r="H19" s="57">
        <v>18</v>
      </c>
      <c r="I19" s="58"/>
    </row>
    <row r="20" spans="2:11" ht="15">
      <c r="B20" s="57">
        <v>19</v>
      </c>
      <c r="E20" s="57">
        <v>19</v>
      </c>
      <c r="H20" s="57">
        <v>19</v>
      </c>
      <c r="I20" s="58"/>
    </row>
    <row r="21" spans="2:11" ht="15">
      <c r="B21" s="57">
        <v>20</v>
      </c>
      <c r="E21" s="57">
        <v>20</v>
      </c>
      <c r="H21" s="57">
        <v>20</v>
      </c>
      <c r="I21" s="58"/>
    </row>
    <row r="22" spans="2:11" ht="1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>
      <c r="B23" s="57">
        <v>22</v>
      </c>
      <c r="E23" s="57">
        <v>22</v>
      </c>
      <c r="H23" s="57">
        <v>22</v>
      </c>
      <c r="I23" s="58"/>
    </row>
    <row r="24" spans="2:11" ht="15">
      <c r="B24" s="57">
        <v>23</v>
      </c>
      <c r="E24" s="57">
        <v>23</v>
      </c>
      <c r="H24" s="57">
        <v>23</v>
      </c>
      <c r="I24" s="58"/>
    </row>
    <row r="25" spans="2:11" ht="15">
      <c r="B25" s="57">
        <v>24</v>
      </c>
      <c r="E25" s="57">
        <v>24</v>
      </c>
      <c r="H25" s="57">
        <v>24</v>
      </c>
      <c r="I25" s="58"/>
    </row>
    <row r="26" spans="2:11" ht="15">
      <c r="B26" s="57">
        <v>25</v>
      </c>
      <c r="E26" s="57">
        <v>25</v>
      </c>
      <c r="H26" s="57">
        <v>25</v>
      </c>
      <c r="I26" s="58"/>
    </row>
    <row r="27" spans="2:11" ht="15">
      <c r="B27" s="57">
        <v>26</v>
      </c>
      <c r="E27" s="57">
        <v>26</v>
      </c>
      <c r="H27" s="57">
        <v>26</v>
      </c>
      <c r="I27" s="58"/>
    </row>
    <row r="28" spans="2:11">
      <c r="B28" s="57">
        <v>27</v>
      </c>
      <c r="E28" s="57">
        <v>27</v>
      </c>
      <c r="H28" s="57">
        <v>27</v>
      </c>
    </row>
    <row r="29" spans="2:11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61472727</v>
      </c>
      <c r="K2" s="63">
        <v>981</v>
      </c>
      <c r="L2" s="63">
        <v>18</v>
      </c>
      <c r="M2" s="63">
        <v>115.643</v>
      </c>
      <c r="N2" s="63">
        <v>117.605</v>
      </c>
      <c r="O2" s="63">
        <v>131.905</v>
      </c>
      <c r="P2" s="63" t="s">
        <v>54</v>
      </c>
      <c r="Q2" s="63">
        <v>0.626</v>
      </c>
      <c r="R2" s="63" t="s">
        <v>62</v>
      </c>
    </row>
    <row r="3" spans="2:22">
      <c r="B3" s="6" t="s">
        <v>53</v>
      </c>
      <c r="C3" s="68">
        <v>114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5">
        <f>J2</f>
        <v>61472727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1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131.905</v>
      </c>
      <c r="G23" s="23">
        <f>+N2</f>
        <v>117.605</v>
      </c>
      <c r="H23" s="23">
        <f>+M2</f>
        <v>115.643</v>
      </c>
      <c r="I23" s="55">
        <f>+L2</f>
        <v>18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>
      <c r="B32" s="41" t="s">
        <v>193</v>
      </c>
      <c r="C32" s="19" t="s">
        <v>192</v>
      </c>
      <c r="D32" s="69"/>
      <c r="E32" s="70"/>
      <c r="F32" s="69">
        <f>+K2</f>
        <v>981</v>
      </c>
      <c r="G32" s="70"/>
      <c r="H32" s="17">
        <v>0.9</v>
      </c>
      <c r="I32" s="18">
        <f>+H32*F32</f>
        <v>882.9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64"/>
    </row>
    <row r="34" spans="2:11" ht="21.75" customHeight="1">
      <c r="B34" s="15" t="s">
        <v>14</v>
      </c>
      <c r="C34" s="15"/>
      <c r="D34" s="85"/>
      <c r="E34" s="86"/>
      <c r="F34" s="69">
        <f>SUM(F32:G32)</f>
        <v>981</v>
      </c>
      <c r="G34" s="70"/>
      <c r="H34" s="15"/>
      <c r="I34" s="14">
        <f>SUM(I32:I32)</f>
        <v>882.9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882.9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882.9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1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61646959</v>
      </c>
      <c r="K2" s="62">
        <v>1306</v>
      </c>
      <c r="L2" s="63">
        <v>16</v>
      </c>
      <c r="M2" s="63">
        <v>95.998000000000005</v>
      </c>
      <c r="N2" s="63">
        <v>98.61</v>
      </c>
      <c r="O2" s="63">
        <v>111.31</v>
      </c>
      <c r="P2" s="63" t="s">
        <v>54</v>
      </c>
      <c r="Q2" s="63">
        <v>0.54800000000000004</v>
      </c>
      <c r="R2" s="63" t="s">
        <v>62</v>
      </c>
    </row>
    <row r="3" spans="2:22">
      <c r="B3" s="6" t="s">
        <v>53</v>
      </c>
      <c r="C3" s="68">
        <f>+'114'!C3+1</f>
        <v>115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48">
        <f>J2</f>
        <v>61646959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111.31</v>
      </c>
      <c r="G23" s="23">
        <f>+N2</f>
        <v>98.61</v>
      </c>
      <c r="H23" s="23">
        <f>+M2</f>
        <v>95.998000000000005</v>
      </c>
      <c r="I23" s="48">
        <f>+L2</f>
        <v>16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30.75" customHeight="1">
      <c r="B32" s="41" t="s">
        <v>179</v>
      </c>
      <c r="C32" s="19" t="s">
        <v>180</v>
      </c>
      <c r="D32" s="69"/>
      <c r="E32" s="70"/>
      <c r="F32" s="69">
        <f>+K2</f>
        <v>1306</v>
      </c>
      <c r="G32" s="70"/>
      <c r="H32" s="17">
        <v>0.81</v>
      </c>
      <c r="I32" s="18">
        <f>+H32*F32</f>
        <v>1057.8600000000001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>
      <c r="B34" s="15" t="s">
        <v>14</v>
      </c>
      <c r="C34" s="15"/>
      <c r="D34" s="85"/>
      <c r="E34" s="86"/>
      <c r="F34" s="69">
        <f>SUM(F31:G33)</f>
        <v>1306</v>
      </c>
      <c r="G34" s="70"/>
      <c r="H34" s="15"/>
      <c r="I34" s="14">
        <f>SUM(I32:I33)</f>
        <v>1057.8600000000001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1057.8600000000001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1057.8600000000001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2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2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61646964</v>
      </c>
      <c r="K2" s="62">
        <v>2969</v>
      </c>
      <c r="L2" s="63">
        <v>31</v>
      </c>
      <c r="M2" s="63">
        <v>248.607</v>
      </c>
      <c r="N2" s="63">
        <v>254.54499999999999</v>
      </c>
      <c r="O2" s="63">
        <v>282.44499999999999</v>
      </c>
      <c r="P2" s="63" t="s">
        <v>54</v>
      </c>
      <c r="Q2" s="63">
        <v>1.5880000000000001</v>
      </c>
      <c r="R2" s="63" t="s">
        <v>62</v>
      </c>
    </row>
    <row r="3" spans="2:22">
      <c r="B3" s="6" t="s">
        <v>53</v>
      </c>
      <c r="C3" s="68">
        <f>+'115'!C3+1</f>
        <v>116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48">
        <f>J2</f>
        <v>61646964</v>
      </c>
      <c r="C21" s="49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282.44499999999999</v>
      </c>
      <c r="G23" s="23">
        <f>+N2</f>
        <v>254.54499999999999</v>
      </c>
      <c r="H23" s="23">
        <f>+M2</f>
        <v>248.607</v>
      </c>
      <c r="I23" s="48">
        <f>+L2</f>
        <v>31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27.75" customHeight="1">
      <c r="B32" s="41" t="s">
        <v>179</v>
      </c>
      <c r="C32" s="19" t="s">
        <v>180</v>
      </c>
      <c r="D32" s="69"/>
      <c r="E32" s="70"/>
      <c r="F32" s="69">
        <f>+K2</f>
        <v>2969</v>
      </c>
      <c r="G32" s="70"/>
      <c r="H32" s="17">
        <v>0.84</v>
      </c>
      <c r="I32" s="18">
        <f>+H32*F32</f>
        <v>2493.96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>
      <c r="B34" s="15" t="s">
        <v>14</v>
      </c>
      <c r="C34" s="15"/>
      <c r="D34" s="85"/>
      <c r="E34" s="86"/>
      <c r="F34" s="69">
        <f>SUM(F31:G33)</f>
        <v>2969</v>
      </c>
      <c r="G34" s="70"/>
      <c r="H34" s="15"/>
      <c r="I34" s="14">
        <f>SUM(I32:I33)</f>
        <v>2493.96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2493.96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2493.96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3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3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61646969</v>
      </c>
      <c r="K2" s="63">
        <v>648</v>
      </c>
      <c r="L2" s="63">
        <v>7</v>
      </c>
      <c r="M2" s="63">
        <v>47.558999999999997</v>
      </c>
      <c r="N2" s="63">
        <v>48.854999999999997</v>
      </c>
      <c r="O2" s="63">
        <v>54.555</v>
      </c>
      <c r="P2" s="63" t="s">
        <v>54</v>
      </c>
      <c r="Q2" s="63">
        <v>0.26800000000000002</v>
      </c>
      <c r="R2" s="63" t="s">
        <v>62</v>
      </c>
    </row>
    <row r="3" spans="2:22">
      <c r="B3" s="6" t="s">
        <v>53</v>
      </c>
      <c r="C3" s="68">
        <f>+'116'!C3+1</f>
        <v>117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4">
        <f>J2</f>
        <v>61646969</v>
      </c>
      <c r="C21" s="53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54.555</v>
      </c>
      <c r="G23" s="23">
        <f>+N2</f>
        <v>48.854999999999997</v>
      </c>
      <c r="H23" s="23">
        <f>+M2</f>
        <v>47.558999999999997</v>
      </c>
      <c r="I23" s="54">
        <f>+L2</f>
        <v>7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4" t="s">
        <v>21</v>
      </c>
      <c r="C31" s="54" t="s">
        <v>20</v>
      </c>
      <c r="D31" s="80" t="s">
        <v>19</v>
      </c>
      <c r="E31" s="80"/>
      <c r="F31" s="80" t="s">
        <v>18</v>
      </c>
      <c r="G31" s="80"/>
      <c r="H31" s="54" t="s">
        <v>17</v>
      </c>
      <c r="I31" s="19" t="s">
        <v>16</v>
      </c>
      <c r="M31"/>
    </row>
    <row r="32" spans="2:13" ht="27.75" customHeight="1">
      <c r="B32" s="41" t="s">
        <v>179</v>
      </c>
      <c r="C32" s="19" t="s">
        <v>180</v>
      </c>
      <c r="D32" s="69"/>
      <c r="E32" s="70"/>
      <c r="F32" s="69">
        <f>+K2</f>
        <v>648</v>
      </c>
      <c r="G32" s="70"/>
      <c r="H32" s="17">
        <v>0.81</v>
      </c>
      <c r="I32" s="18">
        <f>+H32*F32</f>
        <v>524.88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54"/>
    </row>
    <row r="34" spans="2:11" ht="21.75" customHeight="1">
      <c r="B34" s="15" t="s">
        <v>14</v>
      </c>
      <c r="C34" s="15"/>
      <c r="D34" s="85"/>
      <c r="E34" s="86"/>
      <c r="F34" s="69">
        <f>SUM(F32:G33)</f>
        <v>648</v>
      </c>
      <c r="G34" s="70"/>
      <c r="H34" s="15"/>
      <c r="I34" s="14">
        <f>SUM(I32:I33)</f>
        <v>524.88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4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524.88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524.88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4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4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61646973</v>
      </c>
      <c r="K2" s="62">
        <v>1624</v>
      </c>
      <c r="L2" s="63">
        <v>19</v>
      </c>
      <c r="M2" s="63">
        <v>135.95699999999999</v>
      </c>
      <c r="N2" s="63">
        <v>139.20500000000001</v>
      </c>
      <c r="O2" s="63">
        <v>155.70500000000001</v>
      </c>
      <c r="P2" s="63" t="s">
        <v>54</v>
      </c>
      <c r="Q2" s="63">
        <v>0.872</v>
      </c>
      <c r="R2" s="63" t="s">
        <v>62</v>
      </c>
    </row>
    <row r="3" spans="2:22">
      <c r="B3" s="6" t="s">
        <v>53</v>
      </c>
      <c r="C3" s="68">
        <f>+'117'!C3+1</f>
        <v>118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5">
        <f>J2</f>
        <v>61646973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155.70500000000001</v>
      </c>
      <c r="G23" s="23">
        <f>+N2</f>
        <v>139.20500000000001</v>
      </c>
      <c r="H23" s="23">
        <f>+M2</f>
        <v>135.95699999999999</v>
      </c>
      <c r="I23" s="55">
        <f>+L2</f>
        <v>19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33" customHeight="1">
      <c r="B32" s="41" t="s">
        <v>179</v>
      </c>
      <c r="C32" s="19" t="s">
        <v>180</v>
      </c>
      <c r="D32" s="69"/>
      <c r="E32" s="70"/>
      <c r="F32" s="69">
        <f>+K2</f>
        <v>1624</v>
      </c>
      <c r="G32" s="70"/>
      <c r="H32" s="17">
        <v>0.84</v>
      </c>
      <c r="I32" s="18">
        <f>+H32*F32</f>
        <v>1364.1599999999999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59"/>
    </row>
    <row r="34" spans="2:11" ht="21.75" customHeight="1">
      <c r="B34" s="15" t="s">
        <v>14</v>
      </c>
      <c r="C34" s="15"/>
      <c r="D34" s="85"/>
      <c r="E34" s="86"/>
      <c r="F34" s="69">
        <f>SUM(F32:G33)</f>
        <v>1624</v>
      </c>
      <c r="G34" s="70"/>
      <c r="H34" s="15"/>
      <c r="I34" s="14">
        <f>SUM(I32:I32)</f>
        <v>1364.1599999999999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1364.1599999999999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1364.1599999999999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5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5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61613702</v>
      </c>
      <c r="K2" s="62">
        <v>8644</v>
      </c>
      <c r="L2" s="63">
        <v>81</v>
      </c>
      <c r="M2" s="63">
        <v>702.28700000000003</v>
      </c>
      <c r="N2" s="63">
        <v>719.57500000000005</v>
      </c>
      <c r="O2" s="63">
        <v>793.97500000000002</v>
      </c>
      <c r="P2" s="63" t="s">
        <v>54</v>
      </c>
      <c r="Q2" s="63">
        <v>4.6630000000000003</v>
      </c>
      <c r="R2" s="63" t="s">
        <v>62</v>
      </c>
    </row>
    <row r="3" spans="2:22">
      <c r="B3" s="6" t="s">
        <v>53</v>
      </c>
      <c r="C3" s="68">
        <f>+'118'!C3+1</f>
        <v>119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5">
        <f>J2</f>
        <v>61613702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793.97500000000002</v>
      </c>
      <c r="G23" s="23">
        <f>+N2</f>
        <v>719.57500000000005</v>
      </c>
      <c r="H23" s="23">
        <f>+M2</f>
        <v>702.28700000000003</v>
      </c>
      <c r="I23" s="55">
        <f>+L2</f>
        <v>81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37.5" customHeight="1">
      <c r="B32" s="65" t="s">
        <v>179</v>
      </c>
      <c r="C32" s="19" t="s">
        <v>180</v>
      </c>
      <c r="D32" s="69"/>
      <c r="E32" s="70"/>
      <c r="F32" s="69">
        <f>+K2</f>
        <v>8644</v>
      </c>
      <c r="G32" s="70"/>
      <c r="H32" s="17">
        <v>0.84</v>
      </c>
      <c r="I32" s="18">
        <f>+H32*F32</f>
        <v>7260.96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>
      <c r="B34" s="15" t="s">
        <v>14</v>
      </c>
      <c r="C34" s="15"/>
      <c r="D34" s="85"/>
      <c r="E34" s="86"/>
      <c r="F34" s="69">
        <f>SUM(F32:G33)</f>
        <v>8644</v>
      </c>
      <c r="G34" s="70"/>
      <c r="H34" s="15"/>
      <c r="I34" s="14">
        <f>SUM(I32:I33)</f>
        <v>7260.96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7260.96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7260.96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6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6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61969484</v>
      </c>
      <c r="K2" s="63">
        <v>549</v>
      </c>
      <c r="L2" s="63">
        <v>9</v>
      </c>
      <c r="M2" s="63">
        <v>59.18</v>
      </c>
      <c r="N2" s="63">
        <v>64.67</v>
      </c>
      <c r="O2" s="63">
        <v>72.069999999999993</v>
      </c>
      <c r="P2" s="63" t="s">
        <v>54</v>
      </c>
      <c r="Q2" s="63">
        <v>0.35799999999999998</v>
      </c>
      <c r="R2" s="63" t="s">
        <v>62</v>
      </c>
    </row>
    <row r="3" spans="2:22">
      <c r="B3" s="6" t="s">
        <v>53</v>
      </c>
      <c r="C3" s="68">
        <f>+'119'!C3+1</f>
        <v>120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5">
        <f>J2</f>
        <v>61969484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72.069999999999993</v>
      </c>
      <c r="G23" s="23">
        <f>+N2</f>
        <v>64.67</v>
      </c>
      <c r="H23" s="23">
        <f>+M2</f>
        <v>59.18</v>
      </c>
      <c r="I23" s="55">
        <f>+L2</f>
        <v>9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>
      <c r="B32" s="41" t="s">
        <v>185</v>
      </c>
      <c r="C32" s="19" t="s">
        <v>184</v>
      </c>
      <c r="D32" s="69"/>
      <c r="E32" s="70"/>
      <c r="F32" s="69">
        <f>+K2</f>
        <v>549</v>
      </c>
      <c r="G32" s="70"/>
      <c r="H32" s="17">
        <v>0.76</v>
      </c>
      <c r="I32" s="18">
        <f>+H32*F32</f>
        <v>417.24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60"/>
    </row>
    <row r="34" spans="2:11" ht="21.75" customHeight="1">
      <c r="B34" s="15" t="s">
        <v>14</v>
      </c>
      <c r="C34" s="15"/>
      <c r="D34" s="85"/>
      <c r="E34" s="86"/>
      <c r="F34" s="69">
        <f>SUM(F32:G33)</f>
        <v>549</v>
      </c>
      <c r="G34" s="70"/>
      <c r="H34" s="15"/>
      <c r="I34" s="14">
        <f>SUM(I32:I33)</f>
        <v>417.24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417.24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417.24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  <c r="K55">
        <v>7</v>
      </c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62023767</v>
      </c>
      <c r="K2" s="62">
        <v>1139</v>
      </c>
      <c r="L2" s="63">
        <v>23</v>
      </c>
      <c r="M2" s="63">
        <v>115.77</v>
      </c>
      <c r="N2" s="63">
        <v>155.63499999999999</v>
      </c>
      <c r="O2" s="63">
        <v>177.83500000000001</v>
      </c>
      <c r="P2" s="63" t="s">
        <v>54</v>
      </c>
      <c r="Q2" s="63">
        <v>1.409</v>
      </c>
      <c r="R2" s="63" t="s">
        <v>62</v>
      </c>
    </row>
    <row r="3" spans="2:22">
      <c r="B3" s="6" t="s">
        <v>53</v>
      </c>
      <c r="C3" s="68">
        <f>+'120'!C3+1</f>
        <v>121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5">
        <f>J2</f>
        <v>62023767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177.83500000000001</v>
      </c>
      <c r="G23" s="23">
        <f>+N2</f>
        <v>155.63499999999999</v>
      </c>
      <c r="H23" s="23">
        <f>+M2</f>
        <v>115.77</v>
      </c>
      <c r="I23" s="55">
        <f>+L2</f>
        <v>23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>
      <c r="B32" s="41" t="s">
        <v>185</v>
      </c>
      <c r="C32" s="19" t="s">
        <v>184</v>
      </c>
      <c r="D32" s="69"/>
      <c r="E32" s="70"/>
      <c r="F32" s="69">
        <f>+K2</f>
        <v>1139</v>
      </c>
      <c r="G32" s="70"/>
      <c r="H32" s="17">
        <v>0.76</v>
      </c>
      <c r="I32" s="18">
        <f>+H32*F32</f>
        <v>865.64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>
      <c r="B34" s="15" t="s">
        <v>14</v>
      </c>
      <c r="C34" s="15"/>
      <c r="D34" s="85"/>
      <c r="E34" s="86"/>
      <c r="F34" s="69">
        <f>SUM(F32:G33)</f>
        <v>1139</v>
      </c>
      <c r="G34" s="70"/>
      <c r="H34" s="15"/>
      <c r="I34" s="14">
        <f>SUM(I32:I33)</f>
        <v>865.64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865.64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865.64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  <c r="K55">
        <v>8</v>
      </c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62023770</v>
      </c>
      <c r="K2" s="62">
        <v>1174</v>
      </c>
      <c r="L2" s="63">
        <v>23</v>
      </c>
      <c r="M2" s="63">
        <v>120.24</v>
      </c>
      <c r="N2" s="63">
        <v>161.33000000000001</v>
      </c>
      <c r="O2" s="63">
        <v>183.93</v>
      </c>
      <c r="P2" s="63" t="s">
        <v>54</v>
      </c>
      <c r="Q2" s="63">
        <v>1.476</v>
      </c>
      <c r="R2" s="63" t="s">
        <v>62</v>
      </c>
    </row>
    <row r="3" spans="2:22">
      <c r="B3" s="6" t="s">
        <v>53</v>
      </c>
      <c r="C3" s="68">
        <f>+'121'!C3+1</f>
        <v>122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55">
        <f>J2</f>
        <v>62023770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183.93</v>
      </c>
      <c r="G23" s="23">
        <f>+N2</f>
        <v>161.33000000000001</v>
      </c>
      <c r="H23" s="23">
        <f>+M2</f>
        <v>120.24</v>
      </c>
      <c r="I23" s="55">
        <f>+L2</f>
        <v>23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40.5" customHeight="1">
      <c r="B32" s="41" t="s">
        <v>190</v>
      </c>
      <c r="C32" s="19" t="s">
        <v>189</v>
      </c>
      <c r="D32" s="69"/>
      <c r="E32" s="70"/>
      <c r="F32" s="69">
        <f>+K2</f>
        <v>1174</v>
      </c>
      <c r="G32" s="70"/>
      <c r="H32" s="17">
        <v>0.76</v>
      </c>
      <c r="I32" s="18">
        <f>+H32*F32</f>
        <v>892.24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>
      <c r="B34" s="15" t="s">
        <v>14</v>
      </c>
      <c r="C34" s="15"/>
      <c r="D34" s="85"/>
      <c r="E34" s="86"/>
      <c r="F34" s="69">
        <f>SUM(F32:G33)</f>
        <v>1174</v>
      </c>
      <c r="G34" s="70"/>
      <c r="H34" s="15"/>
      <c r="I34" s="14">
        <f>SUM(I32:I33)</f>
        <v>892.24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892.24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892.24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9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9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>
      <c r="B2" s="71" t="s">
        <v>194</v>
      </c>
      <c r="C2" s="72"/>
      <c r="D2" s="72"/>
      <c r="E2" s="72"/>
      <c r="F2" s="72"/>
      <c r="G2" s="72"/>
      <c r="H2" s="72"/>
      <c r="I2" s="73"/>
      <c r="J2" s="61">
        <v>61969482</v>
      </c>
      <c r="K2" s="62">
        <v>1040</v>
      </c>
      <c r="L2" s="63">
        <v>20</v>
      </c>
      <c r="M2" s="63">
        <v>112.06</v>
      </c>
      <c r="N2" s="63">
        <v>122.46</v>
      </c>
      <c r="O2" s="63">
        <v>138.46</v>
      </c>
      <c r="P2" s="63" t="s">
        <v>54</v>
      </c>
      <c r="Q2" s="63">
        <v>0.72699999999999998</v>
      </c>
      <c r="R2" s="63" t="s">
        <v>62</v>
      </c>
    </row>
    <row r="3" spans="2:22">
      <c r="B3" s="6" t="s">
        <v>53</v>
      </c>
      <c r="C3" s="68">
        <f>+'122'!C3+1</f>
        <v>123</v>
      </c>
      <c r="D3" s="5"/>
      <c r="E3" s="5"/>
      <c r="F3" s="5"/>
      <c r="G3" s="5" t="s">
        <v>52</v>
      </c>
      <c r="H3" s="31">
        <v>46215</v>
      </c>
      <c r="I3" s="43" t="s">
        <v>63</v>
      </c>
    </row>
    <row r="4" spans="2:22" ht="15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>
      <c r="B9" s="6" t="s">
        <v>47</v>
      </c>
      <c r="C9" s="5"/>
      <c r="D9" s="5"/>
      <c r="E9" s="5"/>
      <c r="F9" s="5"/>
      <c r="G9" s="5"/>
      <c r="H9" s="5"/>
      <c r="I9" s="4"/>
    </row>
    <row r="10" spans="2:22">
      <c r="B10" s="6" t="s">
        <v>46</v>
      </c>
      <c r="C10" s="5"/>
      <c r="D10" s="5"/>
      <c r="E10" s="5"/>
      <c r="F10" s="5"/>
      <c r="G10" s="5"/>
      <c r="H10" s="5"/>
      <c r="I10" s="4"/>
    </row>
    <row r="11" spans="2:22">
      <c r="B11" s="6"/>
      <c r="C11" s="5"/>
      <c r="D11" s="5"/>
      <c r="E11" s="5"/>
      <c r="F11" s="5"/>
      <c r="G11" s="5"/>
      <c r="H11" s="5"/>
      <c r="I11" s="4"/>
    </row>
    <row r="12" spans="2:22">
      <c r="B12" s="6"/>
      <c r="C12" s="5"/>
      <c r="D12" s="5"/>
      <c r="E12" s="5"/>
      <c r="F12" s="5"/>
      <c r="G12" s="5"/>
      <c r="H12" s="5"/>
      <c r="I12" s="4"/>
    </row>
    <row r="13" spans="2:2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 t="s">
        <v>63</v>
      </c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>
      <c r="B21" s="66">
        <f>J2</f>
        <v>61969482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10</v>
      </c>
    </row>
    <row r="22" spans="2:13" s="24" customFormat="1" ht="30.75" customHeight="1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138.46</v>
      </c>
      <c r="G23" s="23">
        <f>+N2</f>
        <v>122.46</v>
      </c>
      <c r="H23" s="23">
        <f>+M2</f>
        <v>112.06</v>
      </c>
      <c r="I23" s="66">
        <f>+L2</f>
        <v>20</v>
      </c>
    </row>
    <row r="24" spans="2:13">
      <c r="B24" s="6"/>
      <c r="C24" s="5"/>
      <c r="D24" s="5"/>
      <c r="E24" s="5"/>
      <c r="F24" s="22"/>
      <c r="G24" s="5"/>
      <c r="H24" s="5"/>
      <c r="I24" s="4"/>
    </row>
    <row r="25" spans="2:13">
      <c r="B25" s="6"/>
      <c r="C25" s="5"/>
      <c r="D25" s="5"/>
      <c r="E25" s="5"/>
      <c r="F25" s="5"/>
      <c r="G25" s="5"/>
      <c r="H25" s="5"/>
      <c r="I25" s="4"/>
    </row>
    <row r="26" spans="2:13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>
      <c r="B28" s="21"/>
      <c r="C28" s="5"/>
      <c r="D28" s="5"/>
      <c r="E28" s="5"/>
      <c r="F28" s="5"/>
      <c r="G28" s="5"/>
      <c r="H28" s="5"/>
      <c r="I28" s="4"/>
    </row>
    <row r="29" spans="2:13">
      <c r="B29" s="6" t="s">
        <v>22</v>
      </c>
      <c r="C29" s="5"/>
      <c r="D29" s="5"/>
      <c r="E29" s="5"/>
      <c r="F29" s="5"/>
      <c r="G29" s="5"/>
      <c r="H29" s="5"/>
      <c r="I29" s="4"/>
    </row>
    <row r="30" spans="2:13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37.5" customHeight="1">
      <c r="B32" s="41" t="s">
        <v>185</v>
      </c>
      <c r="C32" s="19" t="s">
        <v>184</v>
      </c>
      <c r="D32" s="69"/>
      <c r="E32" s="70"/>
      <c r="F32" s="69">
        <f>+K2</f>
        <v>1040</v>
      </c>
      <c r="G32" s="70"/>
      <c r="H32" s="17">
        <v>0.76</v>
      </c>
      <c r="I32" s="18">
        <f>+H32*F32</f>
        <v>790.4</v>
      </c>
      <c r="K32" s="46"/>
      <c r="M32" s="39"/>
    </row>
    <row r="33" spans="2:11" ht="21" customHeight="1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>
      <c r="B34" s="15" t="s">
        <v>14</v>
      </c>
      <c r="C34" s="15"/>
      <c r="D34" s="85"/>
      <c r="E34" s="86"/>
      <c r="F34" s="69">
        <f>SUM(F32:G33)</f>
        <v>1040</v>
      </c>
      <c r="G34" s="70"/>
      <c r="H34" s="15"/>
      <c r="I34" s="14">
        <f>SUM(I32:I33)</f>
        <v>790.4</v>
      </c>
      <c r="J34" s="40"/>
      <c r="K34" s="40"/>
    </row>
    <row r="35" spans="2:11" ht="21.75" customHeight="1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>
      <c r="B36" s="16" t="s">
        <v>12</v>
      </c>
      <c r="C36" s="15"/>
      <c r="D36" s="74"/>
      <c r="E36" s="76"/>
      <c r="F36" s="74"/>
      <c r="G36" s="76"/>
      <c r="H36" s="15"/>
      <c r="I36" s="14">
        <f>+I34</f>
        <v>790.4</v>
      </c>
    </row>
    <row r="37" spans="2:11" ht="20.25" customHeight="1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790.4</v>
      </c>
    </row>
    <row r="39" spans="2:11" ht="18.75" customHeight="1">
      <c r="B39" s="6"/>
      <c r="C39" s="5"/>
      <c r="D39" s="5"/>
      <c r="E39" s="5"/>
      <c r="F39" s="5"/>
      <c r="G39" s="5"/>
      <c r="H39" s="5"/>
      <c r="I39" s="4"/>
    </row>
    <row r="40" spans="2:11">
      <c r="B40" s="6"/>
      <c r="C40" s="5"/>
      <c r="D40" s="5"/>
      <c r="E40" s="5"/>
      <c r="F40" s="5"/>
      <c r="G40" s="5"/>
      <c r="H40" s="5"/>
      <c r="I40" s="4"/>
    </row>
    <row r="41" spans="2:11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>
      <c r="B42" s="2" t="s">
        <v>86</v>
      </c>
      <c r="C42" s="1"/>
      <c r="D42" s="1"/>
      <c r="E42" s="1"/>
      <c r="F42" s="1"/>
      <c r="G42" s="1"/>
      <c r="H42" s="1"/>
      <c r="I42" s="3"/>
    </row>
    <row r="43" spans="2:11">
      <c r="B43" s="6"/>
      <c r="C43" s="5"/>
      <c r="D43" s="5"/>
      <c r="E43" s="5"/>
      <c r="F43" s="5"/>
      <c r="G43" s="5"/>
      <c r="H43" s="5"/>
      <c r="I43" s="4"/>
    </row>
    <row r="44" spans="2:11">
      <c r="B44" s="6" t="s">
        <v>8</v>
      </c>
      <c r="C44" s="5"/>
      <c r="D44" s="5"/>
      <c r="E44" s="5"/>
      <c r="F44" s="5"/>
      <c r="G44" s="5"/>
      <c r="H44" s="5"/>
      <c r="I44" s="4"/>
    </row>
    <row r="45" spans="2:11">
      <c r="B45" s="6"/>
      <c r="C45" s="5"/>
      <c r="D45" s="5"/>
      <c r="E45" s="5"/>
      <c r="F45" s="5"/>
      <c r="G45" s="5"/>
      <c r="H45" s="5"/>
      <c r="I45" s="4"/>
    </row>
    <row r="46" spans="2:11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>
      <c r="B47" s="2"/>
      <c r="C47" s="1"/>
      <c r="D47" s="3"/>
      <c r="E47" s="9" t="s">
        <v>5</v>
      </c>
      <c r="F47" s="9"/>
      <c r="G47" s="9"/>
      <c r="H47" s="2"/>
      <c r="I47" s="3"/>
    </row>
    <row r="48" spans="2:11">
      <c r="B48" s="6"/>
      <c r="C48" s="5"/>
      <c r="D48" s="5"/>
      <c r="E48" s="5"/>
      <c r="F48" s="5"/>
      <c r="G48" s="5"/>
      <c r="H48" s="5"/>
      <c r="I48" s="4"/>
    </row>
    <row r="49" spans="2:11">
      <c r="B49" s="6" t="s">
        <v>4</v>
      </c>
      <c r="C49" s="5"/>
      <c r="D49" s="5"/>
      <c r="E49" s="5"/>
      <c r="F49" s="5"/>
      <c r="G49" s="5"/>
      <c r="H49" s="5"/>
      <c r="I49" s="4"/>
    </row>
    <row r="50" spans="2:11">
      <c r="B50" s="6" t="s">
        <v>3</v>
      </c>
      <c r="C50" s="5"/>
      <c r="D50" s="5"/>
      <c r="E50" s="5"/>
      <c r="F50" s="5"/>
      <c r="G50" s="5"/>
      <c r="H50" s="5"/>
      <c r="I50" s="4"/>
    </row>
    <row r="51" spans="2:11">
      <c r="B51" s="6"/>
      <c r="C51" s="5"/>
      <c r="D51" s="5"/>
      <c r="E51" s="5"/>
      <c r="F51" s="5"/>
      <c r="G51" s="5"/>
      <c r="H51" s="5"/>
      <c r="I51" s="4"/>
    </row>
    <row r="52" spans="2:11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10</v>
      </c>
    </row>
    <row r="53" spans="2:11">
      <c r="B53" s="6"/>
      <c r="C53" s="5"/>
      <c r="D53" s="5"/>
      <c r="E53" s="5"/>
      <c r="F53" s="5"/>
      <c r="G53" s="5"/>
      <c r="H53" s="7"/>
      <c r="I53" s="4"/>
    </row>
    <row r="54" spans="2:11">
      <c r="B54" s="6"/>
      <c r="C54" s="5"/>
      <c r="D54" s="5"/>
      <c r="E54" s="5"/>
      <c r="F54" s="5"/>
      <c r="G54" s="5"/>
      <c r="H54" s="5"/>
      <c r="I54" s="4"/>
    </row>
    <row r="55" spans="2:11">
      <c r="B55" s="6"/>
      <c r="C55" s="83" t="s">
        <v>1</v>
      </c>
      <c r="D55" s="83"/>
      <c r="E55" s="5"/>
      <c r="F55" s="5"/>
      <c r="G55" s="5"/>
      <c r="H55" s="5"/>
      <c r="I55" s="4"/>
    </row>
    <row r="56" spans="2:11">
      <c r="B56" s="6"/>
      <c r="C56" s="84" t="s">
        <v>0</v>
      </c>
      <c r="D56" s="84"/>
      <c r="E56" s="5"/>
      <c r="F56" s="5"/>
      <c r="G56" s="5"/>
      <c r="H56" s="5"/>
      <c r="I56" s="4"/>
      <c r="K56">
        <v>10</v>
      </c>
    </row>
    <row r="57" spans="2:11">
      <c r="B57" s="2"/>
      <c r="C57" s="81"/>
      <c r="D57" s="81"/>
      <c r="E57" s="1"/>
      <c r="F57" s="1"/>
      <c r="G57" s="1"/>
      <c r="H57" s="1"/>
      <c r="I57" s="1"/>
    </row>
    <row r="58" spans="2:11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Sheet1</vt:lpstr>
      <vt:lpstr>reff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'114'!Print_Area</vt:lpstr>
      <vt:lpstr>'115'!Print_Area</vt:lpstr>
      <vt:lpstr>'116'!Print_Area</vt:lpstr>
      <vt:lpstr>'117'!Print_Area</vt:lpstr>
      <vt:lpstr>'118'!Print_Area</vt:lpstr>
      <vt:lpstr>'119'!Print_Area</vt:lpstr>
      <vt:lpstr>'120'!Print_Area</vt:lpstr>
      <vt:lpstr>'121'!Print_Area</vt:lpstr>
      <vt:lpstr>'122'!Print_Area</vt:lpstr>
      <vt:lpstr>'123'!Print_Area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2026-07-06T02:42:06Z</cp:lastPrinted>
  <dcterms:created xsi:type="dcterms:W3CDTF">2024-04-17T09:56:05Z</dcterms:created>
  <dcterms:modified xsi:type="dcterms:W3CDTF">2026-07-07T01:44:58Z</dcterms:modified>
</cp:coreProperties>
</file>