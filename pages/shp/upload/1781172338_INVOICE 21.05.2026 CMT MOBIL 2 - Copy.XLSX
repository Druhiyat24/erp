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1.05.2026\MOBIL 2\"/>
    </mc:Choice>
  </mc:AlternateContent>
  <xr:revisionPtr revIDLastSave="0" documentId="13_ncr:1_{419179DF-D627-4D18-8305-8E86DC4EA20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353" sheetId="129" r:id="rId3"/>
    <sheet name="354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'353'!$B$1:$I$58</definedName>
    <definedName name="_xlnm.Print_Area" localSheetId="3">'354'!$B$1:$I$58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3" l="1"/>
  <c r="I33" i="129"/>
  <c r="F35" i="133" l="1"/>
  <c r="F35" i="129" l="1"/>
  <c r="C3" i="133"/>
  <c r="H3" i="133"/>
  <c r="I32" i="129" l="1"/>
  <c r="I32" i="133"/>
  <c r="E21" i="129" l="1"/>
  <c r="E21" i="133" l="1"/>
  <c r="C21" i="129"/>
  <c r="C21" i="133"/>
  <c r="H53" i="129"/>
  <c r="H53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<sst xmlns="http://schemas.openxmlformats.org/spreadsheetml/2006/main" count="323" uniqueCount="185">
  <si>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</si>
  <si>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</si>
  <si>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</si>
  <si>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</si>
  <si>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</si>
  <si>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</si>
  <si>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</si>
  <si>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</si>
  <si>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</si>
  <si>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</si>
  <si>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</si>
  <si>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</si>
  <si>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</si>
  <si>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</si>
  <si>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</si>
  <si>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</si>
  <si>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</si>
  <si>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</si>
  <si>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</si>
  <si>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</si>
  <si>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</si>
  <si>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</si>
  <si>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</si>
  <si>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</si>
  <si>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</si>
  <si>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</si>
  <si>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</si>
  <si>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</si>
  <si>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</si>
  <si>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</si>
  <si>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</si>
  <si>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</si>
  <si>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</si>
  <si>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</si>
  <si>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</si>
  <si>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</si>
  <si>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</si>
  <si>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</si>
  <si>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</si>
  <si>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</si>
  <si>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</si>
  <si>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</si>
  <si>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</si>
  <si>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</si>
  <si>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</si>
  <si>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</si>
  <si>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</si>
  <si>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</si>
  <si>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</si>
  <si>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</si>
  <si>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</si>
  <si>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</si>
  <si>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</si>
  <si>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</si>
  <si>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</si>
  <si>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</si>
  <si>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</si>
  <si>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</si>
  <si>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</si>
  <si>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</si>
  <si>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</si>
  <si>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</si>
  <si>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</si>
  <si>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</si>
  <si>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</si>
  <si>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</si>
  <si>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</si>
  <si>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</si>
  <si>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</si>
  <si>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</si>
  <si>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</si>
  <si>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</si>
  <si>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</si>
  <si>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</si>
  <si>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</si>
  <si>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</si>
  <si>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</si>
  <si>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</si>
  <si>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</si>
  <si>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</si>
  <si>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</si>
  <si>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</si>
  <si>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</si>
  <si>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</si>
  <si>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</si>
  <si>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</si>
  <si>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</si>
  <si>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</si>
  <si>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</si>
  <si>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</si>
  <si>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</si>
  <si>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</si>
  <si>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</si>
  <si>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</si>
  <si>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</si>
  <si>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</si>
  <si>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</si>
  <si>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</si>
  <si>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</si>
  <si>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</si>
  <si>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</si>
  <si>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</si>
  <si>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</si>
  <si>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</si>
  <si>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</si>
  <si>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</si>
  <si>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</si>
  <si>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</si>
  <si>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</si>
  <si>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</si>
  <si>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</si>
  <si>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</si>
  <si>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</si>
  <si>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</si>
  <si>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</si>
  <si>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</si>
  <si>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</si>
  <si>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</si>
  <si>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</si>
  <si>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</si>
  <si>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</si>
  <si>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</si>
  <si>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</si>
  <si>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</si>
  <si>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</si>
  <si>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</si>
  <si>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</si>
  <si>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</si>
  <si>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</si>
  <si>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</si>
  <si>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</si>
  <si>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</si>
  <si>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</si>
  <si>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</si>
  <si>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</si>
  <si>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</si>
  <si>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</si>
  <si>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</si>
  <si>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</si>
  <si>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</si>
  <si>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</si>
  <si>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</si>
  <si>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</si>
  <si>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</si>
  <si>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</si>
  <si>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</si>
  <si>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</si>
  <si>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</si>
  <si>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</si>
  <si>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</si>
  <si>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</si>
  <si>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</si>
  <si>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</si>
  <si>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</si>
  <si>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</si>
  <si>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</si>
  <si>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</si>
  <si>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</si>
  <si>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</si>
  <si>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</si>
  <si>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</si>
  <si>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</si>
  <si>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</si>
  <si>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</si>
  <si>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</si>
  <si>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</si>
  <si>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</si>
  <si>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</si>
  <si>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</si>
  <si>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</si>
  <si>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</si>
  <si>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</si>
  <si>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</si>
  <si>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</si>
  <si>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</si>
  <si>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</si>
  <si>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</si>
  <si>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</si>
  <si>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</si>
  <si>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RETAIL</t>
  </si>
  <si>
    <t>01</t>
  </si>
  <si>
    <t>GIRLS COTTON FIBERS, KNIT PULLOVER, WITH NO NECK CLOSURE, STITCH COUNT IS GREATER THAN 9/2CM, REACHES WAIST [60% COTTON 40% RECYCLED POLYESTER]</t>
  </si>
  <si>
    <t>265K0005</t>
  </si>
  <si>
    <t>BLACKJACK JAS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</si>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</sst>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5" sqref="I5"/>
    </sheetView>
  </sheetViews>
  <sheetFormatPr defaultRowHeight="12.75" x14ac:dyDescent="0.2"/>
  <sheetData>
    <row r="2" spans="2:9" ht="15" x14ac:dyDescent="0.25">
      <c r="B2" s="53">
        <v>1</v>
      </c>
      <c r="C2" t="s">
        <v>182</v>
      </c>
      <c r="E2" s="53">
        <v>1</v>
      </c>
      <c r="F2">
        <v>867788</v>
      </c>
      <c r="H2" s="53">
        <v>1</v>
      </c>
      <c r="I2" s="54" t="s">
        <v>179</v>
      </c>
    </row>
    <row r="3" spans="2:9" ht="15" x14ac:dyDescent="0.25">
      <c r="B3" s="53">
        <v>2</v>
      </c>
      <c r="C3" t="s">
        <v>182</v>
      </c>
      <c r="E3" s="53">
        <v>2</v>
      </c>
      <c r="F3">
        <v>867788</v>
      </c>
      <c r="H3" s="53">
        <v>2</v>
      </c>
      <c r="I3" s="54" t="s">
        <v>179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6">
        <v>61863612</v>
      </c>
      <c r="K2" s="57">
        <v>12120</v>
      </c>
      <c r="L2" s="58">
        <v>73</v>
      </c>
      <c r="M2" s="58">
        <v>914.43</v>
      </c>
      <c r="N2" s="58">
        <v>938.67</v>
      </c>
      <c r="O2" s="59">
        <v>1011.67</v>
      </c>
      <c r="P2" s="58" t="s">
        <v>54</v>
      </c>
      <c r="Q2" s="58">
        <v>4.8979999999999997</v>
      </c>
      <c r="R2" s="58" t="s">
        <v>62</v>
      </c>
    </row>
    <row r="3" spans="2:22" x14ac:dyDescent="0.2">
      <c r="B3" s="6" t="s">
        <v>53</v>
      </c>
      <c r="C3" s="55">
        <v>353</v>
      </c>
      <c r="D3" s="5"/>
      <c r="E3" s="5"/>
      <c r="F3" s="5"/>
      <c r="G3" s="5" t="s">
        <v>52</v>
      </c>
      <c r="H3" s="31">
        <v>46173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61863612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1011.67</v>
      </c>
      <c r="G23" s="23">
        <f>+N2</f>
        <v>938.67</v>
      </c>
      <c r="H23" s="23">
        <f>+M2</f>
        <v>914.43</v>
      </c>
      <c r="I23" s="48">
        <f>+L2</f>
        <v>73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[60% COTTON 40% RECYCLED POLYESTER]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30.75" customHeight="1" x14ac:dyDescent="0.2">
      <c r="B32" s="41" t="s">
        <v>177</v>
      </c>
      <c r="C32" s="19" t="s">
        <v>178</v>
      </c>
      <c r="D32" s="60"/>
      <c r="E32" s="61"/>
      <c r="F32" s="60">
        <v>9610</v>
      </c>
      <c r="G32" s="61"/>
      <c r="H32" s="17">
        <v>0.71</v>
      </c>
      <c r="I32" s="18">
        <f>+H32*F32</f>
        <v>6823.0999999999995</v>
      </c>
      <c r="K32" s="46"/>
      <c r="M32" s="39"/>
    </row>
    <row r="33" spans="2:13" ht="30.75" customHeight="1" x14ac:dyDescent="0.2">
      <c r="B33" s="41" t="s">
        <v>180</v>
      </c>
      <c r="C33" s="19" t="s">
        <v>183</v>
      </c>
      <c r="D33" s="60"/>
      <c r="E33" s="61"/>
      <c r="F33" s="60">
        <v>2510</v>
      </c>
      <c r="G33" s="61"/>
      <c r="H33" s="17">
        <v>0.71</v>
      </c>
      <c r="I33" s="18">
        <f>+H33*F33</f>
        <v>1782.1</v>
      </c>
      <c r="K33" s="46"/>
      <c r="M33" s="39"/>
    </row>
    <row r="34" spans="2:13" ht="21" customHeight="1" x14ac:dyDescent="0.2">
      <c r="B34" s="15" t="s">
        <v>15</v>
      </c>
      <c r="C34" s="15"/>
      <c r="D34" s="65"/>
      <c r="E34" s="67"/>
      <c r="F34" s="65"/>
      <c r="G34" s="67"/>
      <c r="H34" s="17"/>
      <c r="I34" s="48"/>
    </row>
    <row r="35" spans="2:13" ht="21.75" customHeight="1" x14ac:dyDescent="0.2">
      <c r="B35" s="15" t="s">
        <v>14</v>
      </c>
      <c r="C35" s="15"/>
      <c r="D35" s="76"/>
      <c r="E35" s="77"/>
      <c r="F35" s="60">
        <f>SUM(F31:G34)</f>
        <v>12120</v>
      </c>
      <c r="G35" s="61"/>
      <c r="H35" s="15"/>
      <c r="I35" s="14">
        <f>SUM(I32:I34)</f>
        <v>8605.1999999999989</v>
      </c>
      <c r="J35" s="40"/>
      <c r="K35" s="40"/>
    </row>
    <row r="36" spans="2:13" ht="21.75" customHeight="1" x14ac:dyDescent="0.2">
      <c r="B36" s="16" t="s">
        <v>13</v>
      </c>
      <c r="C36" s="15"/>
      <c r="D36" s="65"/>
      <c r="E36" s="67"/>
      <c r="F36" s="65"/>
      <c r="G36" s="67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5"/>
      <c r="E37" s="67"/>
      <c r="F37" s="65"/>
      <c r="G37" s="67"/>
      <c r="H37" s="15"/>
      <c r="I37" s="14">
        <f>+I35</f>
        <v>8605.1999999999989</v>
      </c>
    </row>
    <row r="38" spans="2:13" ht="20.25" customHeight="1" x14ac:dyDescent="0.2">
      <c r="B38" s="15" t="s">
        <v>80</v>
      </c>
      <c r="C38" s="65" t="s">
        <v>11</v>
      </c>
      <c r="D38" s="66"/>
      <c r="E38" s="66"/>
      <c r="F38" s="66"/>
      <c r="G38" s="66"/>
      <c r="H38" s="6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8605.1999999999989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2"/>
      <c r="D58" s="7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tabSelected="1" view="pageBreakPreview" zoomScaleNormal="100" zoomScaleSheetLayoutView="100" workbookViewId="0">
      <selection activeCell="D9" sqref="D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6">
        <v>61863620</v>
      </c>
      <c r="K2" s="57">
        <v>12000</v>
      </c>
      <c r="L2" s="58">
        <v>72</v>
      </c>
      <c r="M2" s="58">
        <v>898.14</v>
      </c>
      <c r="N2" s="58">
        <v>922.14</v>
      </c>
      <c r="O2" s="58">
        <v>994.14</v>
      </c>
      <c r="P2" s="58" t="s">
        <v>54</v>
      </c>
      <c r="Q2" s="58">
        <v>4.8310000000000004</v>
      </c>
      <c r="R2" s="58" t="s">
        <v>62</v>
      </c>
    </row>
    <row r="3" spans="2:22" x14ac:dyDescent="0.2">
      <c r="B3" s="6" t="s">
        <v>53</v>
      </c>
      <c r="C3" s="55">
        <f>+'353'!C3+1</f>
        <v>354</v>
      </c>
      <c r="D3" s="5"/>
      <c r="E3" s="5"/>
      <c r="F3" s="5"/>
      <c r="G3" s="5" t="s">
        <v>52</v>
      </c>
      <c r="H3" s="31">
        <f>+'353'!H3+0</f>
        <v>46173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61863620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994.14</v>
      </c>
      <c r="G23" s="23">
        <f>+N2</f>
        <v>922.14</v>
      </c>
      <c r="H23" s="23">
        <f>+M2</f>
        <v>898.14</v>
      </c>
      <c r="I23" s="48">
        <f>+L2</f>
        <v>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[60% COTTON 40% RECYCLED POLYESTER]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178</v>
      </c>
      <c r="D32" s="60"/>
      <c r="E32" s="61"/>
      <c r="F32" s="60">
        <v>9320</v>
      </c>
      <c r="G32" s="61"/>
      <c r="H32" s="17">
        <v>0.71</v>
      </c>
      <c r="I32" s="18">
        <f>+H32*F32</f>
        <v>6617.2</v>
      </c>
      <c r="K32" s="46"/>
      <c r="M32" s="39"/>
    </row>
    <row r="33" spans="2:13" ht="27.75" customHeight="1" x14ac:dyDescent="0.2">
      <c r="B33" s="41" t="s">
        <v>180</v>
      </c>
      <c r="C33" s="19" t="s">
        <v>183</v>
      </c>
      <c r="D33" s="60"/>
      <c r="E33" s="61"/>
      <c r="F33" s="60">
        <v>2680</v>
      </c>
      <c r="G33" s="61"/>
      <c r="H33" s="17">
        <v>0.71</v>
      </c>
      <c r="I33" s="18">
        <f>+H33*F33</f>
        <v>1902.8</v>
      </c>
      <c r="K33" s="46"/>
      <c r="M33" s="39"/>
    </row>
    <row r="34" spans="2:13" ht="21" customHeight="1" x14ac:dyDescent="0.2">
      <c r="B34" s="15" t="s">
        <v>15</v>
      </c>
      <c r="C34" s="15"/>
      <c r="D34" s="65"/>
      <c r="E34" s="67"/>
      <c r="F34" s="65"/>
      <c r="G34" s="67"/>
      <c r="H34" s="17"/>
      <c r="I34" s="48"/>
    </row>
    <row r="35" spans="2:13" ht="21.75" customHeight="1" x14ac:dyDescent="0.2">
      <c r="B35" s="15" t="s">
        <v>14</v>
      </c>
      <c r="C35" s="15"/>
      <c r="D35" s="76"/>
      <c r="E35" s="77"/>
      <c r="F35" s="60">
        <f>SUM(F31:G34)</f>
        <v>12000</v>
      </c>
      <c r="G35" s="61"/>
      <c r="H35" s="15"/>
      <c r="I35" s="14">
        <f>SUM(I32:I34)</f>
        <v>8520</v>
      </c>
      <c r="J35" s="40"/>
      <c r="K35" s="40"/>
    </row>
    <row r="36" spans="2:13" ht="21.75" customHeight="1" x14ac:dyDescent="0.2">
      <c r="B36" s="16" t="s">
        <v>13</v>
      </c>
      <c r="C36" s="15"/>
      <c r="D36" s="65"/>
      <c r="E36" s="67"/>
      <c r="F36" s="65"/>
      <c r="G36" s="67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5"/>
      <c r="E37" s="67"/>
      <c r="F37" s="65"/>
      <c r="G37" s="67"/>
      <c r="H37" s="15"/>
      <c r="I37" s="14">
        <f>+I35</f>
        <v>8520</v>
      </c>
    </row>
    <row r="38" spans="2:13" ht="20.25" customHeight="1" x14ac:dyDescent="0.2">
      <c r="B38" s="15" t="s">
        <v>80</v>
      </c>
      <c r="C38" s="65" t="s">
        <v>11</v>
      </c>
      <c r="D38" s="66"/>
      <c r="E38" s="66"/>
      <c r="F38" s="66"/>
      <c r="G38" s="66"/>
      <c r="H38" s="6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8520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3" t="s">
        <v>7</v>
      </c>
      <c r="C47" s="73"/>
      <c r="D47" s="7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4" t="s">
        <v>1</v>
      </c>
      <c r="D56" s="74"/>
      <c r="E56" s="5"/>
      <c r="F56" s="5"/>
      <c r="G56" s="5"/>
      <c r="H56" s="5"/>
      <c r="I56" s="4"/>
    </row>
    <row r="57" spans="2:11" x14ac:dyDescent="0.2">
      <c r="B57" s="6"/>
      <c r="C57" s="75" t="s">
        <v>0</v>
      </c>
      <c r="D57" s="75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2"/>
      <c r="D58" s="7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353</vt:lpstr>
      <vt:lpstr>354</vt:lpstr>
      <vt:lpstr>'353'!Print_Area</vt:lpstr>
      <vt:lpstr>'354'!Print_Area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2026-05-21T01:06:11Z</cp:lastPrinted>
  <dcterms:created xsi:type="dcterms:W3CDTF">2024-04-17T09:56:05Z</dcterms:created>
  <dcterms:modified xsi:type="dcterms:W3CDTF">2026-05-22T10:34:11Z</dcterms:modified>
</cp:coreProperties>
</file>