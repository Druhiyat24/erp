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0 DATA SRI\EKSPORT\1. GAP\Shipment GAP\2026\7. JULI\23.07.2026\"/>
    </mc:Choice>
  </mc:AlternateContent>
  <bookViews>
    <workbookView xWindow="-120" yWindow="-120" windowWidth="20730" windowHeight="11160" tabRatio="751" activeTab="2"/>
  </bookViews>
  <sheets>
    <sheet name="Sheet1" sheetId="128" r:id="rId1"/>
    <sheet name="reff" sheetId="162" r:id="rId2"/>
    <sheet name="566" sheetId="138" r:id="rId3"/>
    <sheet name="567" sheetId="129" r:id="rId4"/>
    <sheet name="568" sheetId="133" r:id="rId5"/>
    <sheet name="569" sheetId="134" r:id="rId6"/>
    <sheet name="570" sheetId="135" r:id="rId7"/>
    <sheet name="571" sheetId="137" r:id="rId8"/>
    <sheet name="572" sheetId="141" r:id="rId9"/>
    <sheet name="573" sheetId="142" r:id="rId10"/>
    <sheet name="574" sheetId="143" r:id="rId11"/>
    <sheet name="575" sheetId="163" r:id="rId12"/>
    <sheet name="576" sheetId="164" r:id="rId13"/>
    <sheet name="577" sheetId="165" r:id="rId14"/>
    <sheet name="578" sheetId="166" r:id="rId15"/>
    <sheet name="579" sheetId="167" r:id="rId16"/>
    <sheet name="580" sheetId="168" r:id="rId17"/>
    <sheet name="581" sheetId="169" r:id="rId18"/>
  </sheets>
  <externalReferences>
    <externalReference r:id="rId19"/>
    <externalReference r:id="rId20"/>
    <externalReference r:id="rId21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 localSheetId="5">[2]xdata!#REF!</definedName>
    <definedName name="a" localSheetId="6">[2]xdata!#REF!</definedName>
    <definedName name="a" localSheetId="7">[2]xdata!#REF!</definedName>
    <definedName name="a" localSheetId="8">[2]xdata!#REF!</definedName>
    <definedName name="a" localSheetId="9">[2]xdata!#REF!</definedName>
    <definedName name="a" localSheetId="10">[2]xdata!#REF!</definedName>
    <definedName name="a" localSheetId="11">[2]xdata!#REF!</definedName>
    <definedName name="a" localSheetId="12">[2]xdata!#REF!</definedName>
    <definedName name="a" localSheetId="13">[2]xdata!#REF!</definedName>
    <definedName name="a" localSheetId="14">[2]xdata!#REF!</definedName>
    <definedName name="a" localSheetId="15">[2]xdata!#REF!</definedName>
    <definedName name="a" localSheetId="16">[2]xdata!#REF!</definedName>
    <definedName name="a" localSheetId="17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 localSheetId="5">[2]xdata!#REF!</definedName>
    <definedName name="b" localSheetId="6">[2]xdata!#REF!</definedName>
    <definedName name="b" localSheetId="7">[2]xdata!#REF!</definedName>
    <definedName name="b" localSheetId="8">[2]xdata!#REF!</definedName>
    <definedName name="b" localSheetId="9">[2]xdata!#REF!</definedName>
    <definedName name="b" localSheetId="10">[2]xdata!#REF!</definedName>
    <definedName name="b" localSheetId="11">[2]xdata!#REF!</definedName>
    <definedName name="b" localSheetId="12">[2]xdata!#REF!</definedName>
    <definedName name="b" localSheetId="13">[2]xdata!#REF!</definedName>
    <definedName name="b" localSheetId="14">[2]xdata!#REF!</definedName>
    <definedName name="b" localSheetId="15">[2]xdata!#REF!</definedName>
    <definedName name="b" localSheetId="16">[2]xdata!#REF!</definedName>
    <definedName name="b" localSheetId="17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 localSheetId="5">[2]xdata!#REF!</definedName>
    <definedName name="C_O" localSheetId="6">[2]xdata!#REF!</definedName>
    <definedName name="C_O" localSheetId="7">[2]xdata!#REF!</definedName>
    <definedName name="C_O" localSheetId="8">[2]xdata!#REF!</definedName>
    <definedName name="C_O" localSheetId="9">[2]xdata!#REF!</definedName>
    <definedName name="C_O" localSheetId="10">[2]xdata!#REF!</definedName>
    <definedName name="C_O" localSheetId="11">[2]xdata!#REF!</definedName>
    <definedName name="C_O" localSheetId="12">[2]xdata!#REF!</definedName>
    <definedName name="C_O" localSheetId="13">[2]xdata!#REF!</definedName>
    <definedName name="C_O" localSheetId="14">[2]xdata!#REF!</definedName>
    <definedName name="C_O" localSheetId="15">[2]xdata!#REF!</definedName>
    <definedName name="C_O" localSheetId="16">[2]xdata!#REF!</definedName>
    <definedName name="C_O" localSheetId="17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 localSheetId="5">[2]xdata!#REF!</definedName>
    <definedName name="Dept_no" localSheetId="6">[2]xdata!#REF!</definedName>
    <definedName name="Dept_no" localSheetId="7">[2]xdata!#REF!</definedName>
    <definedName name="Dept_no" localSheetId="8">[2]xdata!#REF!</definedName>
    <definedName name="Dept_no" localSheetId="9">[2]xdata!#REF!</definedName>
    <definedName name="Dept_no" localSheetId="10">[2]xdata!#REF!</definedName>
    <definedName name="Dept_no" localSheetId="11">[2]xdata!#REF!</definedName>
    <definedName name="Dept_no" localSheetId="12">[2]xdata!#REF!</definedName>
    <definedName name="Dept_no" localSheetId="13">[2]xdata!#REF!</definedName>
    <definedName name="Dept_no" localSheetId="14">[2]xdata!#REF!</definedName>
    <definedName name="Dept_no" localSheetId="15">[2]xdata!#REF!</definedName>
    <definedName name="Dept_no" localSheetId="16">[2]xdata!#REF!</definedName>
    <definedName name="Dept_no" localSheetId="17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 localSheetId="5">[2]xdata!#REF!</definedName>
    <definedName name="E_L" localSheetId="6">[2]xdata!#REF!</definedName>
    <definedName name="E_L" localSheetId="7">[2]xdata!#REF!</definedName>
    <definedName name="E_L" localSheetId="8">[2]xdata!#REF!</definedName>
    <definedName name="E_L" localSheetId="9">[2]xdata!#REF!</definedName>
    <definedName name="E_L" localSheetId="10">[2]xdata!#REF!</definedName>
    <definedName name="E_L" localSheetId="11">[2]xdata!#REF!</definedName>
    <definedName name="E_L" localSheetId="12">[2]xdata!#REF!</definedName>
    <definedName name="E_L" localSheetId="13">[2]xdata!#REF!</definedName>
    <definedName name="E_L" localSheetId="14">[2]xdata!#REF!</definedName>
    <definedName name="E_L" localSheetId="15">[2]xdata!#REF!</definedName>
    <definedName name="E_L" localSheetId="16">[2]xdata!#REF!</definedName>
    <definedName name="E_L" localSheetId="17">[2]xdata!#REF!</definedName>
    <definedName name="E_L">[2]xdata!#REF!</definedName>
    <definedName name="INVOICE">[2]xdata!$B$2</definedName>
    <definedName name="_xlnm.Print_Area" localSheetId="2">'566'!$B$1:$I$57</definedName>
    <definedName name="_xlnm.Print_Area" localSheetId="3">'567'!$B$1:$I$57</definedName>
    <definedName name="_xlnm.Print_Area" localSheetId="4">'568'!$B$1:$I$57</definedName>
    <definedName name="_xlnm.Print_Area" localSheetId="5">'569'!$B$1:$I$57</definedName>
    <definedName name="_xlnm.Print_Area" localSheetId="6">'570'!$B$1:$I$57</definedName>
    <definedName name="_xlnm.Print_Area" localSheetId="7">'571'!$B$1:$I$57</definedName>
    <definedName name="_xlnm.Print_Area" localSheetId="8">'572'!$B$1:$I$57</definedName>
    <definedName name="_xlnm.Print_Area" localSheetId="9">'573'!$B$1:$I$57</definedName>
    <definedName name="_xlnm.Print_Area" localSheetId="10">'574'!$B$1:$I$57</definedName>
    <definedName name="_xlnm.Print_Area" localSheetId="11">'575'!$B$1:$I$58</definedName>
    <definedName name="_xlnm.Print_Area" localSheetId="12">'576'!$B$1:$I$57</definedName>
    <definedName name="_xlnm.Print_Area" localSheetId="13">'577'!$B$1:$I$57</definedName>
    <definedName name="_xlnm.Print_Area" localSheetId="14">'578'!$B$1:$I$57</definedName>
    <definedName name="_xlnm.Print_Area" localSheetId="15">'579'!$B$1:$I$57</definedName>
    <definedName name="_xlnm.Print_Area" localSheetId="16">'580'!$B$1:$I$57</definedName>
    <definedName name="_xlnm.Print_Area" localSheetId="17">'581'!$B$1:$I$57</definedName>
    <definedName name="v" localSheetId="2">[2]xdata!#REF!</definedName>
    <definedName name="v" localSheetId="3">[2]xdata!#REF!</definedName>
    <definedName name="v" localSheetId="4">[2]xdata!#REF!</definedName>
    <definedName name="v" localSheetId="5">[2]xdata!#REF!</definedName>
    <definedName name="v" localSheetId="6">[2]xdata!#REF!</definedName>
    <definedName name="v" localSheetId="7">[2]xdata!#REF!</definedName>
    <definedName name="v" localSheetId="8">[2]xdata!#REF!</definedName>
    <definedName name="v" localSheetId="9">[2]xdata!#REF!</definedName>
    <definedName name="v" localSheetId="10">[2]xdata!#REF!</definedName>
    <definedName name="v" localSheetId="11">[2]xdata!#REF!</definedName>
    <definedName name="v" localSheetId="12">[2]xdata!#REF!</definedName>
    <definedName name="v" localSheetId="13">[2]xdata!#REF!</definedName>
    <definedName name="v" localSheetId="14">[2]xdata!#REF!</definedName>
    <definedName name="v" localSheetId="15">[2]xdata!#REF!</definedName>
    <definedName name="v" localSheetId="16">[2]xdata!#REF!</definedName>
    <definedName name="v" localSheetId="17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2" i="169" l="1"/>
  <c r="I32" i="169" s="1"/>
  <c r="F32" i="164"/>
  <c r="I33" i="163"/>
  <c r="F32" i="138"/>
  <c r="G14" i="138"/>
  <c r="G15" i="138" s="1"/>
  <c r="G16" i="138" s="1"/>
  <c r="G17" i="138" s="1"/>
  <c r="F34" i="164" l="1"/>
  <c r="F32" i="143"/>
  <c r="I32" i="143" s="1"/>
  <c r="H52" i="169" l="1"/>
  <c r="F34" i="169"/>
  <c r="B27" i="169"/>
  <c r="I23" i="169"/>
  <c r="H23" i="169"/>
  <c r="G23" i="169"/>
  <c r="F23" i="169"/>
  <c r="E23" i="169"/>
  <c r="E21" i="169"/>
  <c r="D21" i="169"/>
  <c r="C21" i="169"/>
  <c r="B21" i="169"/>
  <c r="B15" i="169"/>
  <c r="B16" i="169" s="1"/>
  <c r="B17" i="169" s="1"/>
  <c r="B18" i="169" s="1"/>
  <c r="G14" i="169"/>
  <c r="G15" i="169" s="1"/>
  <c r="G16" i="169" s="1"/>
  <c r="G17" i="169" s="1"/>
  <c r="H21" i="169" s="1"/>
  <c r="H52" i="168"/>
  <c r="F34" i="168"/>
  <c r="F32" i="168"/>
  <c r="I32" i="168" s="1"/>
  <c r="I34" i="168" s="1"/>
  <c r="I36" i="168" s="1"/>
  <c r="I38" i="168" s="1"/>
  <c r="B27" i="168"/>
  <c r="I23" i="168"/>
  <c r="H23" i="168"/>
  <c r="G23" i="168"/>
  <c r="F23" i="168"/>
  <c r="E23" i="168"/>
  <c r="E21" i="168"/>
  <c r="D21" i="168"/>
  <c r="C21" i="168"/>
  <c r="B21" i="168"/>
  <c r="B15" i="168"/>
  <c r="B16" i="168" s="1"/>
  <c r="B17" i="168" s="1"/>
  <c r="B18" i="168" s="1"/>
  <c r="G14" i="168"/>
  <c r="G15" i="168" s="1"/>
  <c r="G16" i="168" s="1"/>
  <c r="G17" i="168" s="1"/>
  <c r="H21" i="168" s="1"/>
  <c r="H52" i="167"/>
  <c r="F34" i="167"/>
  <c r="I32" i="167"/>
  <c r="I34" i="167" s="1"/>
  <c r="I36" i="167" s="1"/>
  <c r="I38" i="167" s="1"/>
  <c r="F32" i="167"/>
  <c r="B27" i="167"/>
  <c r="I23" i="167"/>
  <c r="H23" i="167"/>
  <c r="G23" i="167"/>
  <c r="F23" i="167"/>
  <c r="E23" i="167"/>
  <c r="E21" i="167"/>
  <c r="D21" i="167"/>
  <c r="C21" i="167"/>
  <c r="B21" i="167"/>
  <c r="B15" i="167"/>
  <c r="B16" i="167" s="1"/>
  <c r="B17" i="167" s="1"/>
  <c r="B18" i="167" s="1"/>
  <c r="G14" i="167"/>
  <c r="G15" i="167" s="1"/>
  <c r="G16" i="167" s="1"/>
  <c r="G17" i="167" s="1"/>
  <c r="H21" i="167" s="1"/>
  <c r="H52" i="166"/>
  <c r="F32" i="166"/>
  <c r="F34" i="166" s="1"/>
  <c r="B27" i="166"/>
  <c r="I23" i="166"/>
  <c r="H23" i="166"/>
  <c r="G23" i="166"/>
  <c r="F23" i="166"/>
  <c r="E23" i="166"/>
  <c r="E21" i="166"/>
  <c r="D21" i="166"/>
  <c r="C21" i="166"/>
  <c r="B21" i="166"/>
  <c r="B15" i="166"/>
  <c r="B16" i="166" s="1"/>
  <c r="B17" i="166" s="1"/>
  <c r="B18" i="166" s="1"/>
  <c r="G14" i="166"/>
  <c r="G15" i="166" s="1"/>
  <c r="G16" i="166" s="1"/>
  <c r="G17" i="166" s="1"/>
  <c r="H21" i="166" s="1"/>
  <c r="H52" i="165"/>
  <c r="F32" i="165"/>
  <c r="F34" i="165" s="1"/>
  <c r="B27" i="165"/>
  <c r="I23" i="165"/>
  <c r="H23" i="165"/>
  <c r="G23" i="165"/>
  <c r="F23" i="165"/>
  <c r="E23" i="165"/>
  <c r="E21" i="165"/>
  <c r="D21" i="165"/>
  <c r="C21" i="165"/>
  <c r="B21" i="165"/>
  <c r="B16" i="165"/>
  <c r="B17" i="165" s="1"/>
  <c r="B18" i="165" s="1"/>
  <c r="B15" i="165"/>
  <c r="G14" i="165"/>
  <c r="G15" i="165" s="1"/>
  <c r="G16" i="165" s="1"/>
  <c r="G17" i="165" s="1"/>
  <c r="H21" i="165" s="1"/>
  <c r="H52" i="164"/>
  <c r="I32" i="164"/>
  <c r="I34" i="164" s="1"/>
  <c r="I36" i="164" s="1"/>
  <c r="I38" i="164" s="1"/>
  <c r="B27" i="164"/>
  <c r="I23" i="164"/>
  <c r="H23" i="164"/>
  <c r="G23" i="164"/>
  <c r="F23" i="164"/>
  <c r="E23" i="164"/>
  <c r="E21" i="164"/>
  <c r="D21" i="164"/>
  <c r="C21" i="164"/>
  <c r="B21" i="164"/>
  <c r="B15" i="164"/>
  <c r="B16" i="164" s="1"/>
  <c r="B17" i="164" s="1"/>
  <c r="B18" i="164" s="1"/>
  <c r="G14" i="164"/>
  <c r="G15" i="164" s="1"/>
  <c r="G16" i="164" s="1"/>
  <c r="G17" i="164" s="1"/>
  <c r="H21" i="164" s="1"/>
  <c r="H53" i="163"/>
  <c r="F35" i="163"/>
  <c r="I32" i="163"/>
  <c r="I35" i="163" s="1"/>
  <c r="I37" i="163" s="1"/>
  <c r="I39" i="163" s="1"/>
  <c r="B27" i="163"/>
  <c r="I23" i="163"/>
  <c r="H23" i="163"/>
  <c r="G23" i="163"/>
  <c r="F23" i="163"/>
  <c r="E23" i="163"/>
  <c r="E21" i="163"/>
  <c r="D21" i="163"/>
  <c r="C21" i="163"/>
  <c r="B21" i="163"/>
  <c r="B15" i="163"/>
  <c r="B16" i="163" s="1"/>
  <c r="B17" i="163" s="1"/>
  <c r="B18" i="163" s="1"/>
  <c r="G14" i="163"/>
  <c r="G15" i="163" s="1"/>
  <c r="G16" i="163" s="1"/>
  <c r="G17" i="163" s="1"/>
  <c r="H21" i="163" s="1"/>
  <c r="I34" i="169" l="1"/>
  <c r="I36" i="169" s="1"/>
  <c r="I38" i="169" s="1"/>
  <c r="I32" i="166"/>
  <c r="I34" i="166" s="1"/>
  <c r="I36" i="166" s="1"/>
  <c r="I38" i="166" s="1"/>
  <c r="I32" i="165"/>
  <c r="I34" i="165" s="1"/>
  <c r="I36" i="165" s="1"/>
  <c r="I38" i="165" s="1"/>
  <c r="F34" i="138"/>
  <c r="C3" i="129" l="1"/>
  <c r="F32" i="135" l="1"/>
  <c r="F34" i="135" s="1"/>
  <c r="F32" i="133"/>
  <c r="F32" i="129"/>
  <c r="I32" i="129" s="1"/>
  <c r="F32" i="141"/>
  <c r="F32" i="134" l="1"/>
  <c r="I32" i="138" l="1"/>
  <c r="I34" i="138" s="1"/>
  <c r="F34" i="133" l="1"/>
  <c r="F34" i="129" l="1"/>
  <c r="F32" i="142"/>
  <c r="F34" i="142" s="1"/>
  <c r="I32" i="134"/>
  <c r="C3" i="133"/>
  <c r="F34" i="141"/>
  <c r="F32" i="137"/>
  <c r="I32" i="141" l="1"/>
  <c r="I34" i="141" s="1"/>
  <c r="F34" i="137"/>
  <c r="I34" i="129" l="1"/>
  <c r="I32" i="137"/>
  <c r="F34" i="134"/>
  <c r="I32" i="133"/>
  <c r="B27" i="135" l="1"/>
  <c r="B27" i="134"/>
  <c r="E21" i="129" l="1"/>
  <c r="H52" i="142" l="1"/>
  <c r="E21" i="133"/>
  <c r="E21" i="135"/>
  <c r="E21" i="137"/>
  <c r="E21" i="138"/>
  <c r="E21" i="141"/>
  <c r="E21" i="142"/>
  <c r="E21" i="143"/>
  <c r="E21" i="134"/>
  <c r="H52" i="141"/>
  <c r="C21" i="129"/>
  <c r="C21" i="134"/>
  <c r="C21" i="135"/>
  <c r="C21" i="137"/>
  <c r="C21" i="138"/>
  <c r="C21" i="141"/>
  <c r="C21" i="142"/>
  <c r="C21" i="143"/>
  <c r="C21" i="133"/>
  <c r="H52" i="129"/>
  <c r="H52" i="134"/>
  <c r="H52" i="135"/>
  <c r="H52" i="137"/>
  <c r="H52" i="138"/>
  <c r="H52" i="143"/>
  <c r="H52" i="133"/>
  <c r="F34" i="143" l="1"/>
  <c r="I34" i="143"/>
  <c r="I36" i="143" s="1"/>
  <c r="I38" i="143" s="1"/>
  <c r="B27" i="143"/>
  <c r="I23" i="143"/>
  <c r="H23" i="143"/>
  <c r="G23" i="143"/>
  <c r="F23" i="143"/>
  <c r="E23" i="143"/>
  <c r="D21" i="143"/>
  <c r="B21" i="143"/>
  <c r="B15" i="143"/>
  <c r="B16" i="143" s="1"/>
  <c r="B17" i="143" s="1"/>
  <c r="B18" i="143" s="1"/>
  <c r="G14" i="143"/>
  <c r="G15" i="143" s="1"/>
  <c r="G16" i="143" s="1"/>
  <c r="G17" i="143" s="1"/>
  <c r="H21" i="143" s="1"/>
  <c r="I32" i="142"/>
  <c r="I34" i="142" s="1"/>
  <c r="I36" i="142" s="1"/>
  <c r="I38" i="142" s="1"/>
  <c r="B27" i="142"/>
  <c r="I23" i="142"/>
  <c r="H23" i="142"/>
  <c r="G23" i="142"/>
  <c r="F23" i="142"/>
  <c r="E23" i="142"/>
  <c r="D21" i="142"/>
  <c r="B21" i="142"/>
  <c r="B15" i="142"/>
  <c r="B16" i="142" s="1"/>
  <c r="B17" i="142" s="1"/>
  <c r="B18" i="142" s="1"/>
  <c r="G14" i="142"/>
  <c r="G15" i="142" s="1"/>
  <c r="G16" i="142" s="1"/>
  <c r="G17" i="142" s="1"/>
  <c r="H21" i="142" s="1"/>
  <c r="I36" i="141"/>
  <c r="I38" i="141" s="1"/>
  <c r="B27" i="141"/>
  <c r="I23" i="141"/>
  <c r="H23" i="141"/>
  <c r="G23" i="141"/>
  <c r="F23" i="141"/>
  <c r="E23" i="141"/>
  <c r="D21" i="141"/>
  <c r="B21" i="141"/>
  <c r="B15" i="141"/>
  <c r="B16" i="141" s="1"/>
  <c r="B17" i="141" s="1"/>
  <c r="B18" i="141" s="1"/>
  <c r="G14" i="141"/>
  <c r="G15" i="141" s="1"/>
  <c r="G16" i="141" s="1"/>
  <c r="G17" i="141" s="1"/>
  <c r="H21" i="141" s="1"/>
  <c r="B27" i="138"/>
  <c r="I23" i="138"/>
  <c r="H23" i="138"/>
  <c r="G23" i="138"/>
  <c r="F23" i="138"/>
  <c r="E23" i="138"/>
  <c r="D21" i="138"/>
  <c r="B21" i="138"/>
  <c r="B15" i="138"/>
  <c r="B16" i="138" s="1"/>
  <c r="B17" i="138" s="1"/>
  <c r="B18" i="138" s="1"/>
  <c r="H21" i="138"/>
  <c r="I34" i="137"/>
  <c r="I36" i="137" s="1"/>
  <c r="I38" i="137" s="1"/>
  <c r="B27" i="137"/>
  <c r="I23" i="137"/>
  <c r="H23" i="137"/>
  <c r="G23" i="137"/>
  <c r="F23" i="137"/>
  <c r="E23" i="137"/>
  <c r="D21" i="137"/>
  <c r="B21" i="137"/>
  <c r="B15" i="137"/>
  <c r="B16" i="137" s="1"/>
  <c r="B17" i="137" s="1"/>
  <c r="B18" i="137" s="1"/>
  <c r="G14" i="137"/>
  <c r="G15" i="137" s="1"/>
  <c r="G16" i="137" s="1"/>
  <c r="G17" i="137" s="1"/>
  <c r="H21" i="137" s="1"/>
  <c r="I32" i="135"/>
  <c r="I23" i="135"/>
  <c r="H23" i="135"/>
  <c r="G23" i="135"/>
  <c r="F23" i="135"/>
  <c r="E23" i="135"/>
  <c r="D21" i="135"/>
  <c r="B21" i="135"/>
  <c r="B15" i="135"/>
  <c r="B16" i="135" s="1"/>
  <c r="B17" i="135" s="1"/>
  <c r="B18" i="135" s="1"/>
  <c r="G14" i="135"/>
  <c r="G15" i="135" s="1"/>
  <c r="G16" i="135" s="1"/>
  <c r="G17" i="135" s="1"/>
  <c r="H21" i="135" s="1"/>
  <c r="I34" i="135" l="1"/>
  <c r="I36" i="135" s="1"/>
  <c r="I38" i="135" s="1"/>
  <c r="I36" i="138"/>
  <c r="I38" i="138" s="1"/>
  <c r="I34" i="134"/>
  <c r="I36" i="134" s="1"/>
  <c r="I38" i="134" s="1"/>
  <c r="I23" i="134"/>
  <c r="H23" i="134"/>
  <c r="G23" i="134"/>
  <c r="F23" i="134"/>
  <c r="E23" i="134"/>
  <c r="D21" i="134"/>
  <c r="B21" i="134"/>
  <c r="B15" i="134"/>
  <c r="G14" i="134"/>
  <c r="G15" i="134" s="1"/>
  <c r="G16" i="134" s="1"/>
  <c r="G17" i="134" s="1"/>
  <c r="H21" i="134" s="1"/>
  <c r="B16" i="134" l="1"/>
  <c r="B17" i="134" s="1"/>
  <c r="B18" i="134" s="1"/>
  <c r="C3" i="134" l="1"/>
  <c r="C3" i="135" s="1"/>
  <c r="C3" i="137" s="1"/>
  <c r="C3" i="141" s="1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6" i="129"/>
  <c r="I38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4" i="133" l="1"/>
  <c r="I36" i="133" s="1"/>
  <c r="I38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  <c r="C3" i="142" l="1"/>
  <c r="C3" i="143" l="1"/>
  <c r="C3" i="163" s="1"/>
  <c r="C3" i="164" s="1"/>
  <c r="C3" i="165" s="1"/>
  <c r="C3" i="166" s="1"/>
  <c r="C3" i="167" s="1"/>
  <c r="C3" i="168" s="1"/>
  <c r="C3" i="169" s="1"/>
</calcChain>
</file>

<file path=xl/sharedStrings.xml><?xml version="1.0" encoding="utf-8"?>
<sst xmlns="http://schemas.openxmlformats.org/spreadsheetml/2006/main" count="1439" uniqueCount="212">
  <si>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</si>
  <si>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</si>
  <si>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</si>
  <si>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</si>
  <si>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</si>
  <si>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</si>
  <si>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</si>
  <si>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</si>
  <si>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</si>
  <si>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</si>
  <si>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</si>
  <si>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</si>
  <si>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</si>
  <si>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</si>
  <si>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</si>
  <si>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</si>
  <si>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</si>
  <si>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</si>
  <si>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</si>
  <si>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</si>
  <si>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</si>
  <si>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</si>
  <si>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</si>
  <si>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</si>
  <si>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</si>
  <si>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</si>
  <si>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</si>
  <si>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</si>
  <si>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</si>
  <si>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</si>
  <si>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</si>
  <si>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</si>
  <si>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</si>
  <si>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</si>
  <si>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</si>
  <si>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</si>
  <si>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</si>
  <si>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</si>
  <si>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</si>
  <si>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</si>
  <si>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</si>
  <si>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</si>
  <si>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</si>
  <si>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</si>
  <si>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</si>
  <si>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</si>
  <si>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</si>
  <si>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</si>
  <si>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</si>
  <si>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</si>
  <si>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</si>
  <si>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</si>
  <si>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</si>
  <si>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</si>
  <si>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</si>
  <si>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</si>
  <si>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</si>
  <si>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</si>
  <si>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</si>
  <si>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</si>
  <si>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</si>
  <si>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</si>
  <si>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</si>
  <si>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</si>
  <si>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</si>
  <si>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</si>
  <si>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</si>
  <si>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</si>
  <si>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</si>
  <si>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</si>
  <si>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</si>
  <si>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</si>
  <si>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</si>
  <si>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</si>
  <si>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</si>
  <si>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</si>
  <si>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</si>
  <si>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</si>
  <si>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</si>
  <si>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</si>
  <si>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</si>
  <si>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</si>
  <si>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</si>
  <si>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</si>
  <si>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</si>
  <si>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</si>
  <si>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</si>
  <si>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</si>
  <si>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</si>
  <si>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</si>
  <si>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</si>
  <si>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</si>
  <si>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</si>
  <si>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</si>
  <si>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</si>
  <si>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</si>
  <si>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</si>
  <si>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</si>
  <si>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</si>
  <si>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</si>
  <si>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</si>
  <si>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</si>
  <si>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</si>
  <si>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</si>
  <si>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</si>
  <si>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</si>
  <si>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</si>
  <si>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</si>
  <si>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</si>
  <si>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</si>
  <si>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</si>
  <si>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</si>
  <si>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</si>
  <si>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</si>
  <si>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</si>
  <si>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</si>
  <si>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</si>
  <si>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</si>
  <si>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</si>
  <si>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</si>
  <si>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</si>
  <si>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</si>
  <si>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</si>
  <si>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</si>
  <si>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</si>
  <si>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</si>
  <si>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</si>
  <si>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</si>
  <si>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</si>
  <si>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</si>
  <si>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</si>
  <si>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</si>
  <si>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</si>
  <si>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</si>
  <si>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</si>
  <si>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</si>
  <si>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</si>
  <si>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</si>
  <si>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</si>
  <si>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</si>
  <si>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</si>
  <si>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</si>
  <si>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</si>
  <si>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</si>
  <si>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</si>
  <si>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</si>
  <si>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</si>
  <si>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</si>
  <si>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</si>
  <si>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</si>
  <si>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</si>
  <si>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</si>
  <si>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</si>
  <si>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</si>
  <si>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</si>
  <si>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</si>
  <si>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</si>
  <si>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</si>
  <si>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</si>
  <si>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</si>
  <si>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</si>
  <si>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</si>
  <si>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</si>
  <si>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</si>
  <si>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</si>
  <si>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</si>
  <si>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</si>
  <si>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</si>
  <si>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</si>
  <si>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</si>
  <si>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</si>
  <si>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</si>
  <si>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</si>
  <si>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</si>
  <si>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</si>
  <si>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</si>
  <si>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</si>
  <si>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265K0051</t>
  </si>
  <si>
    <t xml:space="preserve"> 265K0075 </t>
  </si>
  <si>
    <t>SHOOTING STAR</t>
  </si>
  <si>
    <t>BOYS COTTON FIBERS, KNIT SHIRT, WITH NECK CLOSURE, STITCH COUNT EQUAL OR IS GREATER THAN 10/1CM, HEM BOTTOM [60% COTTON 40% POLYESTER]</t>
  </si>
  <si>
    <t>WOMENS COTTON FIBERS, KNIT PULLOVER, WITH NO NECK CLOSURE, STITCH COUNT IS GREATER THAN 9/2CM, REACHES WAIST, SLEEVELESS [96% COTTON 4% SPANDEX]</t>
  </si>
  <si>
    <t>Retail</t>
  </si>
  <si>
    <t>Online</t>
  </si>
  <si>
    <t>02</t>
  </si>
  <si>
    <t>BRIGHT WHITE</t>
  </si>
  <si>
    <t>04</t>
  </si>
  <si>
    <t>MONET BLUE</t>
  </si>
  <si>
    <t>265K0052</t>
  </si>
  <si>
    <t>CALLA LILY 451</t>
  </si>
  <si>
    <t>00</t>
  </si>
  <si>
    <t>GIRLS COTTON FIBERS, KNIT PULLOVER, WITH NO NECK CLOSURE, STITCH COUNT IS GREATER THAN 9/2CM, REACHES WAIST [60% COTTON 40% RECYCLED POLYESTER]</t>
  </si>
  <si>
    <t>IN THE NAVY</t>
  </si>
  <si>
    <t>BLACK COFFEE, BLACK JACK 3, IN THE NAVY, CALLA LILY 2</t>
  </si>
  <si>
    <t>13, 15, 16, 20</t>
  </si>
  <si>
    <t>BLACK COFFEE, IN THE NAVY, CALLA LILY 2</t>
  </si>
  <si>
    <t>13, 16, 20</t>
  </si>
  <si>
    <t>03</t>
  </si>
  <si>
    <t>CALLA LILY 451, INK BLUE</t>
  </si>
  <si>
    <t>00, 02</t>
  </si>
  <si>
    <t>255K0079</t>
  </si>
  <si>
    <t>265K0006</t>
  </si>
  <si>
    <t>265K0057</t>
  </si>
  <si>
    <t>GIRLS COTTON FIBERS, KNIT PULLOVER, WITH NO NECK CLOSURE, STITCH COUNT IS GREATER THAN 9/2CM, REACHES WAIST [60% COTTON 40% POLYESTER]</t>
  </si>
  <si>
    <t>BLACKJACK JAS</t>
  </si>
  <si>
    <t>RED TAPE, RON BURGUNDY, BLACK JACK, BLUE TANGO</t>
  </si>
  <si>
    <t>01, 04, 05, 07</t>
  </si>
  <si>
    <t>DARK GREEN</t>
  </si>
  <si>
    <t>06</t>
  </si>
  <si>
    <t>BLUSH HUE</t>
  </si>
  <si>
    <t>01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</si>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</sst>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726&quot;"/>
  </numFmts>
  <fonts count="16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sz val="11"/>
      <color rgb="FF1A1A1A"/>
      <name val="Arial"/>
      <family val="2"/>
    </font>
    <font>
      <b/>
      <sz val="11"/>
      <color rgb="FF1616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NumberFormat="1"/>
    <xf numFmtId="0" fontId="13" fillId="0" borderId="0" xfId="0" applyFont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169" fontId="0" fillId="0" borderId="0" xfId="0" quotePrefix="1" applyNumberFormat="1" applyBorder="1" applyAlignment="1">
      <alignment horizontal="left"/>
    </xf>
    <xf numFmtId="0" fontId="14" fillId="3" borderId="0" xfId="0" applyFont="1" applyFill="1" applyAlignment="1">
      <alignment horizontal="left" vertical="center" wrapText="1"/>
    </xf>
    <xf numFmtId="3" fontId="14" fillId="3" borderId="0" xfId="0" applyNumberFormat="1" applyFont="1" applyFill="1" applyAlignment="1">
      <alignment horizontal="right" vertical="center" wrapText="1"/>
    </xf>
    <xf numFmtId="0" fontId="14" fillId="3" borderId="0" xfId="0" applyFont="1" applyFill="1" applyAlignment="1">
      <alignment horizontal="right" vertical="center" wrapText="1"/>
    </xf>
    <xf numFmtId="0" fontId="15" fillId="0" borderId="0" xfId="0" applyFont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" fontId="14" fillId="3" borderId="0" xfId="0" applyNumberFormat="1" applyFont="1" applyFill="1" applyAlignment="1">
      <alignment horizontal="right" vertical="center" wrapText="1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284060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245960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1106150"/>
          <a:ext cx="2846285" cy="139065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91825"/>
          <a:ext cx="2846285" cy="139065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906125"/>
          <a:ext cx="2846285" cy="139065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925175"/>
          <a:ext cx="2846285" cy="139065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245960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48975"/>
          <a:ext cx="2846285" cy="139065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77550"/>
          <a:ext cx="2846285" cy="139065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9"/>
  <sheetViews>
    <sheetView workbookViewId="0">
      <selection activeCell="I17" sqref="I17"/>
    </sheetView>
  </sheetViews>
  <sheetFormatPr defaultRowHeight="12.75" x14ac:dyDescent="0.2"/>
  <sheetData>
    <row r="2" spans="2:9" ht="15" x14ac:dyDescent="0.25">
      <c r="B2" s="57">
        <v>1</v>
      </c>
      <c r="C2" t="s">
        <v>200</v>
      </c>
      <c r="E2" s="57">
        <v>1</v>
      </c>
      <c r="F2">
        <v>881293</v>
      </c>
      <c r="H2" s="57">
        <v>1</v>
      </c>
      <c r="I2" s="67" t="s">
        <v>182</v>
      </c>
    </row>
    <row r="3" spans="2:9" ht="15" x14ac:dyDescent="0.25">
      <c r="B3" s="57">
        <v>2</v>
      </c>
      <c r="C3" t="s">
        <v>200</v>
      </c>
      <c r="E3" s="57">
        <v>2</v>
      </c>
      <c r="F3">
        <v>881293</v>
      </c>
      <c r="H3" s="57">
        <v>2</v>
      </c>
      <c r="I3" s="67" t="s">
        <v>182</v>
      </c>
    </row>
    <row r="4" spans="2:9" ht="15" x14ac:dyDescent="0.25">
      <c r="B4" s="57">
        <v>3</v>
      </c>
      <c r="C4" t="s">
        <v>201</v>
      </c>
      <c r="E4" s="57">
        <v>3</v>
      </c>
      <c r="F4">
        <v>878746</v>
      </c>
      <c r="H4" s="57">
        <v>3</v>
      </c>
      <c r="I4" s="67" t="s">
        <v>182</v>
      </c>
    </row>
    <row r="5" spans="2:9" ht="15" x14ac:dyDescent="0.25">
      <c r="B5" s="57">
        <v>4</v>
      </c>
      <c r="C5" t="s">
        <v>201</v>
      </c>
      <c r="E5" s="57">
        <v>4</v>
      </c>
      <c r="F5">
        <v>878746</v>
      </c>
      <c r="H5" s="57">
        <v>4</v>
      </c>
      <c r="I5" s="67" t="s">
        <v>182</v>
      </c>
    </row>
    <row r="6" spans="2:9" ht="15" x14ac:dyDescent="0.25">
      <c r="B6" s="57">
        <v>5</v>
      </c>
      <c r="C6" t="s">
        <v>177</v>
      </c>
      <c r="E6" s="57">
        <v>5</v>
      </c>
      <c r="F6">
        <v>416363</v>
      </c>
      <c r="H6" s="57">
        <v>5</v>
      </c>
      <c r="I6" s="67" t="s">
        <v>182</v>
      </c>
    </row>
    <row r="7" spans="2:9" ht="15" x14ac:dyDescent="0.25">
      <c r="B7" s="57">
        <v>6</v>
      </c>
      <c r="C7" t="s">
        <v>188</v>
      </c>
      <c r="E7" s="57">
        <v>6</v>
      </c>
      <c r="F7">
        <v>767468</v>
      </c>
      <c r="H7" s="57">
        <v>6</v>
      </c>
      <c r="I7" s="67" t="s">
        <v>183</v>
      </c>
    </row>
    <row r="8" spans="2:9" ht="15" x14ac:dyDescent="0.25">
      <c r="B8" s="57">
        <v>7</v>
      </c>
      <c r="C8" t="s">
        <v>188</v>
      </c>
      <c r="E8" s="57">
        <v>7</v>
      </c>
      <c r="F8">
        <v>767468</v>
      </c>
      <c r="H8" s="57">
        <v>7</v>
      </c>
      <c r="I8" s="67" t="s">
        <v>183</v>
      </c>
    </row>
    <row r="9" spans="2:9" ht="15" x14ac:dyDescent="0.25">
      <c r="B9" s="57">
        <v>8</v>
      </c>
      <c r="C9" t="s">
        <v>188</v>
      </c>
      <c r="E9" s="57">
        <v>8</v>
      </c>
      <c r="F9">
        <v>767468</v>
      </c>
      <c r="H9" s="57">
        <v>8</v>
      </c>
      <c r="I9" s="67" t="s">
        <v>183</v>
      </c>
    </row>
    <row r="10" spans="2:9" ht="15" x14ac:dyDescent="0.25">
      <c r="B10" s="57">
        <v>9</v>
      </c>
      <c r="C10" t="s">
        <v>188</v>
      </c>
      <c r="E10" s="57">
        <v>9</v>
      </c>
      <c r="F10">
        <v>767468</v>
      </c>
      <c r="H10" s="57">
        <v>9</v>
      </c>
      <c r="I10" s="67" t="s">
        <v>183</v>
      </c>
    </row>
    <row r="11" spans="2:9" ht="15" x14ac:dyDescent="0.25">
      <c r="B11" s="57">
        <v>10</v>
      </c>
      <c r="C11" t="s">
        <v>202</v>
      </c>
      <c r="E11" s="57">
        <v>10</v>
      </c>
      <c r="F11">
        <v>867788</v>
      </c>
      <c r="H11" s="57">
        <v>10</v>
      </c>
      <c r="I11" s="67" t="s">
        <v>183</v>
      </c>
    </row>
    <row r="12" spans="2:9" ht="15" x14ac:dyDescent="0.25">
      <c r="B12" s="57">
        <v>11</v>
      </c>
      <c r="C12" t="s">
        <v>202</v>
      </c>
      <c r="E12" s="57">
        <v>11</v>
      </c>
      <c r="F12">
        <v>867788</v>
      </c>
      <c r="H12" s="57">
        <v>11</v>
      </c>
      <c r="I12" s="67" t="s">
        <v>183</v>
      </c>
    </row>
    <row r="13" spans="2:9" ht="15" x14ac:dyDescent="0.25">
      <c r="B13" s="57">
        <v>12</v>
      </c>
      <c r="C13" t="s">
        <v>178</v>
      </c>
      <c r="E13" s="57">
        <v>12</v>
      </c>
      <c r="F13">
        <v>692926</v>
      </c>
      <c r="H13" s="57">
        <v>12</v>
      </c>
      <c r="I13" s="67" t="s">
        <v>183</v>
      </c>
    </row>
    <row r="14" spans="2:9" ht="15" x14ac:dyDescent="0.25">
      <c r="B14" s="57">
        <v>13</v>
      </c>
      <c r="C14" t="s">
        <v>178</v>
      </c>
      <c r="E14" s="57">
        <v>13</v>
      </c>
      <c r="F14">
        <v>692926</v>
      </c>
      <c r="H14" s="57">
        <v>13</v>
      </c>
      <c r="I14" s="67" t="s">
        <v>183</v>
      </c>
    </row>
    <row r="15" spans="2:9" ht="15" x14ac:dyDescent="0.25">
      <c r="B15" s="57">
        <v>14</v>
      </c>
      <c r="C15" t="s">
        <v>178</v>
      </c>
      <c r="E15" s="57">
        <v>14</v>
      </c>
      <c r="F15">
        <v>692926</v>
      </c>
      <c r="H15" s="57">
        <v>14</v>
      </c>
      <c r="I15" s="67" t="s">
        <v>182</v>
      </c>
    </row>
    <row r="16" spans="2:9" ht="15" x14ac:dyDescent="0.25">
      <c r="B16" s="57">
        <v>15</v>
      </c>
      <c r="C16" t="s">
        <v>178</v>
      </c>
      <c r="E16" s="57">
        <v>15</v>
      </c>
      <c r="F16">
        <v>692926</v>
      </c>
      <c r="H16" s="57">
        <v>15</v>
      </c>
      <c r="I16" s="67" t="s">
        <v>183</v>
      </c>
    </row>
    <row r="17" spans="2:11" ht="15" x14ac:dyDescent="0.25">
      <c r="B17" s="57">
        <v>16</v>
      </c>
      <c r="C17" t="s">
        <v>178</v>
      </c>
      <c r="E17" s="57">
        <v>16</v>
      </c>
      <c r="F17">
        <v>692926</v>
      </c>
      <c r="H17" s="57">
        <v>16</v>
      </c>
      <c r="I17" s="67" t="s">
        <v>182</v>
      </c>
    </row>
    <row r="18" spans="2:11" ht="15" x14ac:dyDescent="0.25">
      <c r="B18" s="57">
        <v>17</v>
      </c>
      <c r="E18" s="57">
        <v>17</v>
      </c>
      <c r="H18" s="57">
        <v>17</v>
      </c>
      <c r="I18" s="67"/>
    </row>
    <row r="19" spans="2:11" ht="15" x14ac:dyDescent="0.25">
      <c r="B19" s="57">
        <v>18</v>
      </c>
      <c r="E19" s="57">
        <v>18</v>
      </c>
      <c r="H19" s="57">
        <v>18</v>
      </c>
      <c r="I19" s="67"/>
    </row>
    <row r="20" spans="2:11" ht="15" x14ac:dyDescent="0.25">
      <c r="B20" s="57">
        <v>19</v>
      </c>
      <c r="E20" s="57">
        <v>19</v>
      </c>
      <c r="H20" s="57">
        <v>19</v>
      </c>
      <c r="I20" s="58"/>
    </row>
    <row r="21" spans="2:11" ht="15" x14ac:dyDescent="0.25">
      <c r="B21" s="57">
        <v>20</v>
      </c>
      <c r="E21" s="57">
        <v>20</v>
      </c>
      <c r="H21" s="57">
        <v>20</v>
      </c>
      <c r="I21" s="58"/>
    </row>
    <row r="22" spans="2:11" ht="15" x14ac:dyDescent="0.25">
      <c r="B22" s="57">
        <v>21</v>
      </c>
      <c r="E22" s="57">
        <v>21</v>
      </c>
      <c r="H22" s="57">
        <v>21</v>
      </c>
      <c r="I22" s="58"/>
      <c r="K22" t="s">
        <v>63</v>
      </c>
    </row>
    <row r="23" spans="2:11" ht="15" x14ac:dyDescent="0.25">
      <c r="B23" s="57">
        <v>22</v>
      </c>
      <c r="E23" s="57">
        <v>22</v>
      </c>
      <c r="H23" s="57">
        <v>22</v>
      </c>
      <c r="I23" s="58"/>
    </row>
    <row r="24" spans="2:11" ht="15" x14ac:dyDescent="0.25">
      <c r="B24" s="57">
        <v>23</v>
      </c>
      <c r="E24" s="57">
        <v>23</v>
      </c>
      <c r="H24" s="57">
        <v>23</v>
      </c>
      <c r="I24" s="58"/>
    </row>
    <row r="25" spans="2:11" ht="15" x14ac:dyDescent="0.25">
      <c r="B25" s="57">
        <v>24</v>
      </c>
      <c r="E25" s="57">
        <v>24</v>
      </c>
      <c r="H25" s="57">
        <v>24</v>
      </c>
      <c r="I25" s="58"/>
    </row>
    <row r="26" spans="2:11" ht="15" x14ac:dyDescent="0.25">
      <c r="B26" s="57">
        <v>25</v>
      </c>
      <c r="E26" s="57">
        <v>25</v>
      </c>
      <c r="H26" s="57">
        <v>25</v>
      </c>
      <c r="I26" s="58"/>
    </row>
    <row r="27" spans="2:11" ht="15" x14ac:dyDescent="0.25">
      <c r="B27" s="57">
        <v>26</v>
      </c>
      <c r="E27" s="57">
        <v>26</v>
      </c>
      <c r="H27" s="57">
        <v>26</v>
      </c>
      <c r="I27" s="58"/>
    </row>
    <row r="28" spans="2:11" x14ac:dyDescent="0.2">
      <c r="B28" s="57">
        <v>27</v>
      </c>
      <c r="E28" s="57">
        <v>27</v>
      </c>
      <c r="H28" s="57">
        <v>27</v>
      </c>
    </row>
    <row r="29" spans="2:11" x14ac:dyDescent="0.2">
      <c r="B29" s="57">
        <v>28</v>
      </c>
      <c r="E29" s="57">
        <v>28</v>
      </c>
      <c r="H29" s="57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tabSelected="1"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2" t="s">
        <v>211</v>
      </c>
      <c r="C2" s="83"/>
      <c r="D2" s="83"/>
      <c r="E2" s="83"/>
      <c r="F2" s="83"/>
      <c r="G2" s="83"/>
      <c r="H2" s="83"/>
      <c r="I2" s="84"/>
      <c r="J2" s="64">
        <v>62191722</v>
      </c>
      <c r="K2" s="65">
        <v>2010</v>
      </c>
      <c r="L2" s="66">
        <v>12</v>
      </c>
      <c r="M2" s="66">
        <v>149.16</v>
      </c>
      <c r="N2" s="66">
        <v>153.18</v>
      </c>
      <c r="O2" s="66">
        <v>165.18</v>
      </c>
      <c r="P2" s="66" t="s">
        <v>54</v>
      </c>
      <c r="Q2" s="66">
        <v>0.80500000000000005</v>
      </c>
      <c r="R2" s="66" t="s">
        <v>62</v>
      </c>
    </row>
    <row r="3" spans="2:22" x14ac:dyDescent="0.2">
      <c r="B3" s="6" t="s">
        <v>53</v>
      </c>
      <c r="C3" s="63">
        <v>566</v>
      </c>
      <c r="D3" s="5"/>
      <c r="E3" s="5"/>
      <c r="F3" s="5"/>
      <c r="G3" s="5" t="s">
        <v>52</v>
      </c>
      <c r="H3" s="31">
        <v>46236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203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62191722</v>
      </c>
      <c r="C21" s="56">
        <f>VLOOKUP($K56,reff!E2:F29,2,0)</f>
        <v>881293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165.18</v>
      </c>
      <c r="G23" s="23">
        <f>+N2</f>
        <v>153.18</v>
      </c>
      <c r="H23" s="23">
        <f>+M2</f>
        <v>149.16</v>
      </c>
      <c r="I23" s="55">
        <f>+L2</f>
        <v>12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1" t="s">
        <v>23</v>
      </c>
      <c r="C26" s="78"/>
      <c r="D26" s="78"/>
      <c r="E26" s="78"/>
      <c r="F26" s="78"/>
      <c r="G26" s="78"/>
      <c r="H26" s="78"/>
      <c r="I26" s="72"/>
    </row>
    <row r="27" spans="2:13" ht="24.75" customHeight="1" x14ac:dyDescent="0.2">
      <c r="B27" s="85" t="str">
        <f>+K4</f>
        <v>GIRLS COTTON FIBERS, KNIT PULLOVER, WITH NO NECK CLOSURE, STITCH COUNT IS GREATER THAN 9/2CM, REACHES WAIST [60% COTTON 40% POLYESTER]</v>
      </c>
      <c r="C27" s="86"/>
      <c r="D27" s="86"/>
      <c r="E27" s="86"/>
      <c r="F27" s="86"/>
      <c r="G27" s="86"/>
      <c r="H27" s="86"/>
      <c r="I27" s="8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8" t="s">
        <v>19</v>
      </c>
      <c r="E31" s="88"/>
      <c r="F31" s="88" t="s">
        <v>18</v>
      </c>
      <c r="G31" s="88"/>
      <c r="H31" s="55" t="s">
        <v>17</v>
      </c>
      <c r="I31" s="19" t="s">
        <v>16</v>
      </c>
      <c r="M31"/>
    </row>
    <row r="32" spans="2:13" ht="27.75" customHeight="1" x14ac:dyDescent="0.2">
      <c r="B32" s="41" t="s">
        <v>190</v>
      </c>
      <c r="C32" s="19" t="s">
        <v>189</v>
      </c>
      <c r="D32" s="75"/>
      <c r="E32" s="76"/>
      <c r="F32" s="75">
        <f>+K2</f>
        <v>2010</v>
      </c>
      <c r="G32" s="76"/>
      <c r="H32" s="17">
        <v>0.57999999999999996</v>
      </c>
      <c r="I32" s="18">
        <f>+H32*F32</f>
        <v>1165.8</v>
      </c>
      <c r="K32" s="46"/>
      <c r="M32" s="39"/>
    </row>
    <row r="33" spans="2:11" ht="21" customHeight="1" x14ac:dyDescent="0.2">
      <c r="B33" s="15" t="s">
        <v>15</v>
      </c>
      <c r="C33" s="15"/>
      <c r="D33" s="71"/>
      <c r="E33" s="72"/>
      <c r="F33" s="71"/>
      <c r="G33" s="72"/>
      <c r="H33" s="17"/>
      <c r="I33" s="61"/>
    </row>
    <row r="34" spans="2:11" ht="21.75" customHeight="1" x14ac:dyDescent="0.2">
      <c r="B34" s="15" t="s">
        <v>14</v>
      </c>
      <c r="C34" s="15"/>
      <c r="D34" s="73"/>
      <c r="E34" s="74"/>
      <c r="F34" s="75">
        <f>SUM(F32:G33)</f>
        <v>2010</v>
      </c>
      <c r="G34" s="76"/>
      <c r="H34" s="15"/>
      <c r="I34" s="14">
        <f>SUM(I32:I33)</f>
        <v>1165.8</v>
      </c>
      <c r="J34" s="40"/>
      <c r="K34" s="40"/>
    </row>
    <row r="35" spans="2:11" ht="21.75" customHeight="1" x14ac:dyDescent="0.2">
      <c r="B35" s="16" t="s">
        <v>13</v>
      </c>
      <c r="C35" s="15"/>
      <c r="D35" s="71"/>
      <c r="E35" s="72"/>
      <c r="F35" s="71"/>
      <c r="G35" s="72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1"/>
      <c r="E36" s="72"/>
      <c r="F36" s="71"/>
      <c r="G36" s="72"/>
      <c r="H36" s="15"/>
      <c r="I36" s="14">
        <f>+I34</f>
        <v>1165.8</v>
      </c>
    </row>
    <row r="37" spans="2:11" ht="20.25" customHeight="1" x14ac:dyDescent="0.2">
      <c r="B37" s="15" t="s">
        <v>80</v>
      </c>
      <c r="C37" s="71" t="s">
        <v>11</v>
      </c>
      <c r="D37" s="78"/>
      <c r="E37" s="78"/>
      <c r="F37" s="78"/>
      <c r="G37" s="78"/>
      <c r="H37" s="72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1165.8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9" t="s">
        <v>7</v>
      </c>
      <c r="C46" s="79"/>
      <c r="D46" s="79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255K0079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0" t="s">
        <v>1</v>
      </c>
      <c r="D55" s="80"/>
      <c r="E55" s="5"/>
      <c r="F55" s="5"/>
      <c r="G55" s="5"/>
      <c r="H55" s="5"/>
      <c r="I55" s="4"/>
    </row>
    <row r="56" spans="2:11" x14ac:dyDescent="0.2">
      <c r="B56" s="6"/>
      <c r="C56" s="81" t="s">
        <v>0</v>
      </c>
      <c r="D56" s="81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77"/>
      <c r="D57" s="77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2" t="s">
        <v>211</v>
      </c>
      <c r="C2" s="83"/>
      <c r="D2" s="83"/>
      <c r="E2" s="83"/>
      <c r="F2" s="83"/>
      <c r="G2" s="83"/>
      <c r="H2" s="83"/>
      <c r="I2" s="84"/>
      <c r="J2" s="64">
        <v>62191720</v>
      </c>
      <c r="K2" s="65">
        <v>2010</v>
      </c>
      <c r="L2" s="66">
        <v>12</v>
      </c>
      <c r="M2" s="66">
        <v>149.16</v>
      </c>
      <c r="N2" s="66">
        <v>153.18</v>
      </c>
      <c r="O2" s="66">
        <v>165.18</v>
      </c>
      <c r="P2" s="66" t="s">
        <v>54</v>
      </c>
      <c r="Q2" s="66">
        <v>0.80500000000000005</v>
      </c>
      <c r="R2" s="66" t="s">
        <v>62</v>
      </c>
    </row>
    <row r="3" spans="2:22" x14ac:dyDescent="0.2">
      <c r="B3" s="6" t="s">
        <v>53</v>
      </c>
      <c r="C3" s="63">
        <f>+'566'!C3+1</f>
        <v>567</v>
      </c>
      <c r="D3" s="5"/>
      <c r="E3" s="5"/>
      <c r="F3" s="5"/>
      <c r="G3" s="5" t="s">
        <v>52</v>
      </c>
      <c r="H3" s="31">
        <v>46236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203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62191720</v>
      </c>
      <c r="C21" s="49">
        <f>VLOOKUP($K56,reff!E2:F29,2,0)</f>
        <v>881293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165.18</v>
      </c>
      <c r="G23" s="23">
        <f>+N2</f>
        <v>153.18</v>
      </c>
      <c r="H23" s="23">
        <f>+M2</f>
        <v>149.16</v>
      </c>
      <c r="I23" s="48">
        <f>+L2</f>
        <v>12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1" t="s">
        <v>23</v>
      </c>
      <c r="C26" s="78"/>
      <c r="D26" s="78"/>
      <c r="E26" s="78"/>
      <c r="F26" s="78"/>
      <c r="G26" s="78"/>
      <c r="H26" s="78"/>
      <c r="I26" s="72"/>
    </row>
    <row r="27" spans="2:13" ht="24.75" customHeight="1" x14ac:dyDescent="0.2">
      <c r="B27" s="85" t="str">
        <f>+K4</f>
        <v>GIRLS COTTON FIBERS, KNIT PULLOVER, WITH NO NECK CLOSURE, STITCH COUNT IS GREATER THAN 9/2CM, REACHES WAIST [60% COTTON 40% POLYESTER]</v>
      </c>
      <c r="C27" s="86"/>
      <c r="D27" s="86"/>
      <c r="E27" s="86"/>
      <c r="F27" s="86"/>
      <c r="G27" s="86"/>
      <c r="H27" s="86"/>
      <c r="I27" s="8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88" t="s">
        <v>19</v>
      </c>
      <c r="E31" s="88"/>
      <c r="F31" s="88" t="s">
        <v>18</v>
      </c>
      <c r="G31" s="88"/>
      <c r="H31" s="48" t="s">
        <v>17</v>
      </c>
      <c r="I31" s="19" t="s">
        <v>16</v>
      </c>
      <c r="M31"/>
    </row>
    <row r="32" spans="2:13" ht="30.75" customHeight="1" x14ac:dyDescent="0.2">
      <c r="B32" s="41" t="s">
        <v>190</v>
      </c>
      <c r="C32" s="19" t="s">
        <v>189</v>
      </c>
      <c r="D32" s="75"/>
      <c r="E32" s="76"/>
      <c r="F32" s="75">
        <f>+K2</f>
        <v>2010</v>
      </c>
      <c r="G32" s="76"/>
      <c r="H32" s="17">
        <v>0.57999999999999996</v>
      </c>
      <c r="I32" s="18">
        <f>+H32*F32</f>
        <v>1165.8</v>
      </c>
      <c r="K32" s="46"/>
      <c r="M32" s="39"/>
    </row>
    <row r="33" spans="2:11" ht="21" customHeight="1" x14ac:dyDescent="0.2">
      <c r="B33" s="15" t="s">
        <v>15</v>
      </c>
      <c r="C33" s="15"/>
      <c r="D33" s="71"/>
      <c r="E33" s="72"/>
      <c r="F33" s="71"/>
      <c r="G33" s="72"/>
      <c r="H33" s="17"/>
      <c r="I33" s="48"/>
    </row>
    <row r="34" spans="2:11" ht="21.75" customHeight="1" x14ac:dyDescent="0.2">
      <c r="B34" s="15" t="s">
        <v>14</v>
      </c>
      <c r="C34" s="15"/>
      <c r="D34" s="73"/>
      <c r="E34" s="74"/>
      <c r="F34" s="75">
        <f>SUM(F31:G33)</f>
        <v>2010</v>
      </c>
      <c r="G34" s="76"/>
      <c r="H34" s="15"/>
      <c r="I34" s="14">
        <f>SUM(I32:I33)</f>
        <v>1165.8</v>
      </c>
      <c r="J34" s="40"/>
      <c r="K34" s="40"/>
    </row>
    <row r="35" spans="2:11" ht="21.75" customHeight="1" x14ac:dyDescent="0.2">
      <c r="B35" s="16" t="s">
        <v>13</v>
      </c>
      <c r="C35" s="15"/>
      <c r="D35" s="71"/>
      <c r="E35" s="72"/>
      <c r="F35" s="71"/>
      <c r="G35" s="72"/>
      <c r="H35" s="15"/>
      <c r="I35" s="48"/>
      <c r="J35" s="40"/>
    </row>
    <row r="36" spans="2:11" ht="21.75" customHeight="1" x14ac:dyDescent="0.2">
      <c r="B36" s="16" t="s">
        <v>12</v>
      </c>
      <c r="C36" s="15"/>
      <c r="D36" s="71"/>
      <c r="E36" s="72"/>
      <c r="F36" s="71"/>
      <c r="G36" s="72"/>
      <c r="H36" s="15"/>
      <c r="I36" s="14">
        <f>+I34</f>
        <v>1165.8</v>
      </c>
    </row>
    <row r="37" spans="2:11" ht="20.25" customHeight="1" x14ac:dyDescent="0.2">
      <c r="B37" s="15" t="s">
        <v>80</v>
      </c>
      <c r="C37" s="71" t="s">
        <v>11</v>
      </c>
      <c r="D37" s="78"/>
      <c r="E37" s="78"/>
      <c r="F37" s="78"/>
      <c r="G37" s="78"/>
      <c r="H37" s="72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1165.8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9" t="s">
        <v>7</v>
      </c>
      <c r="C46" s="79"/>
      <c r="D46" s="79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255K0079</v>
      </c>
      <c r="I52" s="8"/>
      <c r="K52">
        <v>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0" t="s">
        <v>1</v>
      </c>
      <c r="D55" s="80"/>
      <c r="E55" s="5"/>
      <c r="F55" s="5"/>
      <c r="G55" s="5"/>
      <c r="H55" s="5"/>
      <c r="I55" s="4"/>
    </row>
    <row r="56" spans="2:11" x14ac:dyDescent="0.2">
      <c r="B56" s="6"/>
      <c r="C56" s="81" t="s">
        <v>0</v>
      </c>
      <c r="D56" s="81"/>
      <c r="E56" s="5"/>
      <c r="F56" s="5"/>
      <c r="G56" s="5"/>
      <c r="H56" s="5"/>
      <c r="I56" s="4"/>
      <c r="K56">
        <v>2</v>
      </c>
    </row>
    <row r="57" spans="2:11" x14ac:dyDescent="0.2">
      <c r="B57" s="2"/>
      <c r="C57" s="77"/>
      <c r="D57" s="77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B2:I2"/>
    <mergeCell ref="B26:I26"/>
    <mergeCell ref="B27:I27"/>
    <mergeCell ref="D31:E31"/>
    <mergeCell ref="F31:G31"/>
    <mergeCell ref="F32:G32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2" t="s">
        <v>211</v>
      </c>
      <c r="C2" s="83"/>
      <c r="D2" s="83"/>
      <c r="E2" s="83"/>
      <c r="F2" s="83"/>
      <c r="G2" s="83"/>
      <c r="H2" s="83"/>
      <c r="I2" s="84"/>
      <c r="J2" s="64">
        <v>62191738</v>
      </c>
      <c r="K2" s="65">
        <v>2000</v>
      </c>
      <c r="L2" s="66">
        <v>12</v>
      </c>
      <c r="M2" s="66">
        <v>151.30000000000001</v>
      </c>
      <c r="N2" s="66">
        <v>155.30000000000001</v>
      </c>
      <c r="O2" s="66">
        <v>167.3</v>
      </c>
      <c r="P2" s="66" t="s">
        <v>54</v>
      </c>
      <c r="Q2" s="66">
        <v>0.80500000000000005</v>
      </c>
      <c r="R2" s="66" t="s">
        <v>62</v>
      </c>
    </row>
    <row r="3" spans="2:22" x14ac:dyDescent="0.2">
      <c r="B3" s="6" t="s">
        <v>53</v>
      </c>
      <c r="C3" s="63">
        <f>+'567'!C3+1</f>
        <v>568</v>
      </c>
      <c r="D3" s="5"/>
      <c r="E3" s="5"/>
      <c r="F3" s="5"/>
      <c r="G3" s="5" t="s">
        <v>52</v>
      </c>
      <c r="H3" s="31">
        <v>46236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203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62191738</v>
      </c>
      <c r="C21" s="49">
        <f>VLOOKUP($K56,reff!E2:F29,2,0)</f>
        <v>878746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167.3</v>
      </c>
      <c r="G23" s="23">
        <f>+N2</f>
        <v>155.30000000000001</v>
      </c>
      <c r="H23" s="23">
        <f>+M2</f>
        <v>151.30000000000001</v>
      </c>
      <c r="I23" s="48">
        <f>+L2</f>
        <v>12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1" t="s">
        <v>23</v>
      </c>
      <c r="C26" s="78"/>
      <c r="D26" s="78"/>
      <c r="E26" s="78"/>
      <c r="F26" s="78"/>
      <c r="G26" s="78"/>
      <c r="H26" s="78"/>
      <c r="I26" s="72"/>
    </row>
    <row r="27" spans="2:13" ht="24.75" customHeight="1" x14ac:dyDescent="0.2">
      <c r="B27" s="85" t="str">
        <f>+K4</f>
        <v>GIRLS COTTON FIBERS, KNIT PULLOVER, WITH NO NECK CLOSURE, STITCH COUNT IS GREATER THAN 9/2CM, REACHES WAIST [60% COTTON 40% POLYESTER]</v>
      </c>
      <c r="C27" s="86"/>
      <c r="D27" s="86"/>
      <c r="E27" s="86"/>
      <c r="F27" s="86"/>
      <c r="G27" s="86"/>
      <c r="H27" s="86"/>
      <c r="I27" s="8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88" t="s">
        <v>19</v>
      </c>
      <c r="E31" s="88"/>
      <c r="F31" s="88" t="s">
        <v>18</v>
      </c>
      <c r="G31" s="88"/>
      <c r="H31" s="48" t="s">
        <v>17</v>
      </c>
      <c r="I31" s="19" t="s">
        <v>16</v>
      </c>
      <c r="M31"/>
    </row>
    <row r="32" spans="2:13" ht="30.75" customHeight="1" x14ac:dyDescent="0.2">
      <c r="B32" s="41" t="s">
        <v>184</v>
      </c>
      <c r="C32" s="19" t="s">
        <v>204</v>
      </c>
      <c r="D32" s="75"/>
      <c r="E32" s="76"/>
      <c r="F32" s="75">
        <f>+K2</f>
        <v>2000</v>
      </c>
      <c r="G32" s="76"/>
      <c r="H32" s="17">
        <v>0.57999999999999996</v>
      </c>
      <c r="I32" s="18">
        <f>+H32*F32</f>
        <v>1160</v>
      </c>
      <c r="K32" s="46"/>
      <c r="M32" s="39"/>
    </row>
    <row r="33" spans="2:11" ht="21" customHeight="1" x14ac:dyDescent="0.2">
      <c r="B33" s="15" t="s">
        <v>15</v>
      </c>
      <c r="C33" s="15"/>
      <c r="D33" s="71"/>
      <c r="E33" s="72"/>
      <c r="F33" s="71"/>
      <c r="G33" s="72"/>
      <c r="H33" s="17"/>
      <c r="I33" s="48"/>
    </row>
    <row r="34" spans="2:11" ht="21.75" customHeight="1" x14ac:dyDescent="0.2">
      <c r="B34" s="15" t="s">
        <v>14</v>
      </c>
      <c r="C34" s="15"/>
      <c r="D34" s="73"/>
      <c r="E34" s="74"/>
      <c r="F34" s="75">
        <f>SUM(F31:G33)</f>
        <v>2000</v>
      </c>
      <c r="G34" s="76"/>
      <c r="H34" s="15"/>
      <c r="I34" s="14">
        <f>SUM(I32:I33)</f>
        <v>1160</v>
      </c>
      <c r="J34" s="40"/>
      <c r="K34" s="40"/>
    </row>
    <row r="35" spans="2:11" ht="21.75" customHeight="1" x14ac:dyDescent="0.2">
      <c r="B35" s="16" t="s">
        <v>13</v>
      </c>
      <c r="C35" s="15"/>
      <c r="D35" s="71"/>
      <c r="E35" s="72"/>
      <c r="F35" s="71"/>
      <c r="G35" s="72"/>
      <c r="H35" s="15"/>
      <c r="I35" s="48"/>
      <c r="J35" s="40"/>
    </row>
    <row r="36" spans="2:11" ht="21.75" customHeight="1" x14ac:dyDescent="0.2">
      <c r="B36" s="16" t="s">
        <v>12</v>
      </c>
      <c r="C36" s="15"/>
      <c r="D36" s="71"/>
      <c r="E36" s="72"/>
      <c r="F36" s="71"/>
      <c r="G36" s="72"/>
      <c r="H36" s="15"/>
      <c r="I36" s="14">
        <f>+I34</f>
        <v>1160</v>
      </c>
    </row>
    <row r="37" spans="2:11" ht="20.25" customHeight="1" x14ac:dyDescent="0.2">
      <c r="B37" s="15" t="s">
        <v>80</v>
      </c>
      <c r="C37" s="71" t="s">
        <v>11</v>
      </c>
      <c r="D37" s="78"/>
      <c r="E37" s="78"/>
      <c r="F37" s="78"/>
      <c r="G37" s="78"/>
      <c r="H37" s="72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1160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9" t="s">
        <v>7</v>
      </c>
      <c r="C46" s="79"/>
      <c r="D46" s="79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265K0006</v>
      </c>
      <c r="I52" s="8"/>
      <c r="K52">
        <v>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0" t="s">
        <v>1</v>
      </c>
      <c r="D55" s="80"/>
      <c r="E55" s="5"/>
      <c r="F55" s="5"/>
      <c r="G55" s="5"/>
      <c r="H55" s="5"/>
      <c r="I55" s="4"/>
    </row>
    <row r="56" spans="2:11" x14ac:dyDescent="0.2">
      <c r="B56" s="6"/>
      <c r="C56" s="81" t="s">
        <v>0</v>
      </c>
      <c r="D56" s="81"/>
      <c r="E56" s="5"/>
      <c r="F56" s="5"/>
      <c r="G56" s="5"/>
      <c r="H56" s="5"/>
      <c r="I56" s="4"/>
      <c r="K56">
        <v>3</v>
      </c>
    </row>
    <row r="57" spans="2:11" x14ac:dyDescent="0.2">
      <c r="B57" s="2"/>
      <c r="C57" s="77"/>
      <c r="D57" s="77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6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2.2851562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2" t="s">
        <v>211</v>
      </c>
      <c r="C2" s="83"/>
      <c r="D2" s="83"/>
      <c r="E2" s="83"/>
      <c r="F2" s="83"/>
      <c r="G2" s="83"/>
      <c r="H2" s="83"/>
      <c r="I2" s="84"/>
      <c r="J2" s="64">
        <v>62191734</v>
      </c>
      <c r="K2" s="65">
        <v>2010</v>
      </c>
      <c r="L2" s="66">
        <v>12</v>
      </c>
      <c r="M2" s="66">
        <v>149.16</v>
      </c>
      <c r="N2" s="66">
        <v>153.18</v>
      </c>
      <c r="O2" s="66">
        <v>165.18</v>
      </c>
      <c r="P2" s="66" t="s">
        <v>54</v>
      </c>
      <c r="Q2" s="66">
        <v>0.80500000000000005</v>
      </c>
      <c r="R2" s="66" t="s">
        <v>62</v>
      </c>
    </row>
    <row r="3" spans="2:22" x14ac:dyDescent="0.2">
      <c r="B3" s="6" t="s">
        <v>53</v>
      </c>
      <c r="C3" s="63">
        <f>+'568'!C3+1</f>
        <v>569</v>
      </c>
      <c r="D3" s="5"/>
      <c r="E3" s="5"/>
      <c r="F3" s="5"/>
      <c r="G3" s="5" t="s">
        <v>52</v>
      </c>
      <c r="H3" s="31">
        <v>46236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203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62191734</v>
      </c>
      <c r="C21" s="53">
        <f>VLOOKUP($K56,reff!E2:F29,2,0)</f>
        <v>878746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4" t="s">
        <v>35</v>
      </c>
      <c r="G21" s="54"/>
      <c r="H21" s="47" t="str">
        <f>IF(LEFT(G17,2)="CA","CA",IF(LEFT(G17,2)="UN","US",IF(LEFT(G17,2)="PA","PA",IF(LEFT(G17,2)="JA","JP"))))</f>
        <v>US</v>
      </c>
      <c r="I21" s="54" t="s">
        <v>34</v>
      </c>
      <c r="K21" s="20">
        <v>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165.18</v>
      </c>
      <c r="G23" s="23">
        <f>+N2</f>
        <v>153.18</v>
      </c>
      <c r="H23" s="23">
        <f>+M2</f>
        <v>149.16</v>
      </c>
      <c r="I23" s="54">
        <f>+L2</f>
        <v>12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1" t="s">
        <v>23</v>
      </c>
      <c r="C26" s="78"/>
      <c r="D26" s="78"/>
      <c r="E26" s="78"/>
      <c r="F26" s="78"/>
      <c r="G26" s="78"/>
      <c r="H26" s="78"/>
      <c r="I26" s="72"/>
    </row>
    <row r="27" spans="2:13" ht="24.75" customHeight="1" x14ac:dyDescent="0.2">
      <c r="B27" s="85" t="str">
        <f>+K4</f>
        <v>GIRLS COTTON FIBERS, KNIT PULLOVER, WITH NO NECK CLOSURE, STITCH COUNT IS GREATER THAN 9/2CM, REACHES WAIST [60% COTTON 40% POLYESTER]</v>
      </c>
      <c r="C27" s="86"/>
      <c r="D27" s="86"/>
      <c r="E27" s="86"/>
      <c r="F27" s="86"/>
      <c r="G27" s="86"/>
      <c r="H27" s="86"/>
      <c r="I27" s="8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88" t="s">
        <v>19</v>
      </c>
      <c r="E31" s="88"/>
      <c r="F31" s="88" t="s">
        <v>18</v>
      </c>
      <c r="G31" s="88"/>
      <c r="H31" s="54" t="s">
        <v>17</v>
      </c>
      <c r="I31" s="19" t="s">
        <v>16</v>
      </c>
      <c r="M31"/>
    </row>
    <row r="32" spans="2:13" ht="33" customHeight="1" x14ac:dyDescent="0.2">
      <c r="B32" s="41" t="s">
        <v>184</v>
      </c>
      <c r="C32" s="19" t="s">
        <v>204</v>
      </c>
      <c r="D32" s="75"/>
      <c r="E32" s="76"/>
      <c r="F32" s="75">
        <f>+K2</f>
        <v>2010</v>
      </c>
      <c r="G32" s="76"/>
      <c r="H32" s="17">
        <v>0.57999999999999996</v>
      </c>
      <c r="I32" s="18">
        <f>+H32*F32</f>
        <v>1165.8</v>
      </c>
      <c r="K32" s="46"/>
      <c r="M32" s="39"/>
    </row>
    <row r="33" spans="2:11" ht="21" customHeight="1" x14ac:dyDescent="0.2">
      <c r="B33" s="15" t="s">
        <v>15</v>
      </c>
      <c r="C33" s="15"/>
      <c r="D33" s="71"/>
      <c r="E33" s="72"/>
      <c r="F33" s="71"/>
      <c r="G33" s="72"/>
      <c r="H33" s="17"/>
      <c r="I33" s="54"/>
    </row>
    <row r="34" spans="2:11" ht="21.75" customHeight="1" x14ac:dyDescent="0.2">
      <c r="B34" s="15" t="s">
        <v>14</v>
      </c>
      <c r="C34" s="15"/>
      <c r="D34" s="73"/>
      <c r="E34" s="74"/>
      <c r="F34" s="75">
        <f>SUM(F32:G33)</f>
        <v>2010</v>
      </c>
      <c r="G34" s="76"/>
      <c r="H34" s="15"/>
      <c r="I34" s="14">
        <f>SUM(I32:I33)</f>
        <v>1165.8</v>
      </c>
      <c r="J34" s="40"/>
      <c r="K34" s="40"/>
    </row>
    <row r="35" spans="2:11" ht="21.75" customHeight="1" x14ac:dyDescent="0.2">
      <c r="B35" s="16" t="s">
        <v>13</v>
      </c>
      <c r="C35" s="15"/>
      <c r="D35" s="71"/>
      <c r="E35" s="72"/>
      <c r="F35" s="71"/>
      <c r="G35" s="72"/>
      <c r="H35" s="15"/>
      <c r="I35" s="54"/>
      <c r="J35" s="40"/>
    </row>
    <row r="36" spans="2:11" ht="21.75" customHeight="1" x14ac:dyDescent="0.2">
      <c r="B36" s="16" t="s">
        <v>12</v>
      </c>
      <c r="C36" s="15"/>
      <c r="D36" s="71"/>
      <c r="E36" s="72"/>
      <c r="F36" s="71"/>
      <c r="G36" s="72"/>
      <c r="H36" s="15"/>
      <c r="I36" s="14">
        <f>+I34</f>
        <v>1165.8</v>
      </c>
    </row>
    <row r="37" spans="2:11" ht="20.25" customHeight="1" x14ac:dyDescent="0.2">
      <c r="B37" s="15" t="s">
        <v>80</v>
      </c>
      <c r="C37" s="71" t="s">
        <v>11</v>
      </c>
      <c r="D37" s="78"/>
      <c r="E37" s="78"/>
      <c r="F37" s="78"/>
      <c r="G37" s="78"/>
      <c r="H37" s="72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1165.8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9" t="s">
        <v>7</v>
      </c>
      <c r="C46" s="79"/>
      <c r="D46" s="79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265K0006</v>
      </c>
      <c r="I52" s="8"/>
      <c r="K52">
        <v>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0" t="s">
        <v>1</v>
      </c>
      <c r="D55" s="80"/>
      <c r="E55" s="5"/>
      <c r="F55" s="5"/>
      <c r="G55" s="5"/>
      <c r="H55" s="5"/>
      <c r="I55" s="4"/>
    </row>
    <row r="56" spans="2:11" x14ac:dyDescent="0.2">
      <c r="B56" s="6"/>
      <c r="C56" s="81" t="s">
        <v>0</v>
      </c>
      <c r="D56" s="81"/>
      <c r="E56" s="5"/>
      <c r="F56" s="5"/>
      <c r="G56" s="5"/>
      <c r="H56" s="5"/>
      <c r="I56" s="4"/>
      <c r="K56">
        <v>4</v>
      </c>
    </row>
    <row r="57" spans="2:11" x14ac:dyDescent="0.2">
      <c r="B57" s="2"/>
      <c r="C57" s="77"/>
      <c r="D57" s="77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9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2" t="s">
        <v>211</v>
      </c>
      <c r="C2" s="83"/>
      <c r="D2" s="83"/>
      <c r="E2" s="83"/>
      <c r="F2" s="83"/>
      <c r="G2" s="83"/>
      <c r="H2" s="83"/>
      <c r="I2" s="84"/>
      <c r="J2" s="64">
        <v>61760728</v>
      </c>
      <c r="K2" s="65">
        <v>1366</v>
      </c>
      <c r="L2" s="66">
        <v>19</v>
      </c>
      <c r="M2" s="66">
        <v>159.99299999999999</v>
      </c>
      <c r="N2" s="66">
        <v>162.72499999999999</v>
      </c>
      <c r="O2" s="66">
        <v>177.97499999999999</v>
      </c>
      <c r="P2" s="66" t="s">
        <v>54</v>
      </c>
      <c r="Q2" s="66">
        <v>0.85599999999999998</v>
      </c>
      <c r="R2" s="66" t="s">
        <v>62</v>
      </c>
    </row>
    <row r="3" spans="2:22" x14ac:dyDescent="0.2">
      <c r="B3" s="6" t="s">
        <v>53</v>
      </c>
      <c r="C3" s="63">
        <f>+'569'!C3+1</f>
        <v>570</v>
      </c>
      <c r="D3" s="5"/>
      <c r="E3" s="5"/>
      <c r="F3" s="5"/>
      <c r="G3" s="5" t="s">
        <v>52</v>
      </c>
      <c r="H3" s="31">
        <v>46236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180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61760728</v>
      </c>
      <c r="C21" s="56">
        <f>VLOOKUP($K56,reff!E2:F29,2,0)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177.97499999999999</v>
      </c>
      <c r="G23" s="23">
        <f>+N2</f>
        <v>162.72499999999999</v>
      </c>
      <c r="H23" s="23">
        <f>+M2</f>
        <v>159.99299999999999</v>
      </c>
      <c r="I23" s="55">
        <f>+L2</f>
        <v>19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1" t="s">
        <v>23</v>
      </c>
      <c r="C26" s="78"/>
      <c r="D26" s="78"/>
      <c r="E26" s="78"/>
      <c r="F26" s="78"/>
      <c r="G26" s="78"/>
      <c r="H26" s="78"/>
      <c r="I26" s="72"/>
    </row>
    <row r="27" spans="2:13" ht="24.75" customHeight="1" x14ac:dyDescent="0.2">
      <c r="B27" s="85" t="str">
        <f>+K4</f>
        <v>BOYS COTTON FIBERS, KNIT SHIRT, WITH NECK CLOSURE, STITCH COUNT EQUAL OR IS GREATER THAN 10/1CM, HEM BOTTOM [60% COTTON 40% POLYESTER]</v>
      </c>
      <c r="C27" s="86"/>
      <c r="D27" s="86"/>
      <c r="E27" s="86"/>
      <c r="F27" s="86"/>
      <c r="G27" s="86"/>
      <c r="H27" s="86"/>
      <c r="I27" s="8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8" t="s">
        <v>19</v>
      </c>
      <c r="E31" s="88"/>
      <c r="F31" s="88" t="s">
        <v>18</v>
      </c>
      <c r="G31" s="88"/>
      <c r="H31" s="55" t="s">
        <v>17</v>
      </c>
      <c r="I31" s="19" t="s">
        <v>16</v>
      </c>
      <c r="M31"/>
    </row>
    <row r="32" spans="2:13" ht="33" customHeight="1" x14ac:dyDescent="0.2">
      <c r="B32" s="41" t="s">
        <v>186</v>
      </c>
      <c r="C32" s="19" t="s">
        <v>185</v>
      </c>
      <c r="D32" s="75"/>
      <c r="E32" s="76"/>
      <c r="F32" s="75">
        <f>+K2</f>
        <v>1366</v>
      </c>
      <c r="G32" s="76"/>
      <c r="H32" s="17">
        <v>0.9</v>
      </c>
      <c r="I32" s="18">
        <f>+H32*F32</f>
        <v>1229.4000000000001</v>
      </c>
      <c r="K32" s="46"/>
      <c r="M32" s="39"/>
    </row>
    <row r="33" spans="2:11" ht="21" customHeight="1" x14ac:dyDescent="0.2">
      <c r="B33" s="15" t="s">
        <v>15</v>
      </c>
      <c r="C33" s="15"/>
      <c r="D33" s="71"/>
      <c r="E33" s="72"/>
      <c r="F33" s="71"/>
      <c r="G33" s="72"/>
      <c r="H33" s="17"/>
      <c r="I33" s="59"/>
    </row>
    <row r="34" spans="2:11" ht="21.75" customHeight="1" x14ac:dyDescent="0.2">
      <c r="B34" s="15" t="s">
        <v>14</v>
      </c>
      <c r="C34" s="15"/>
      <c r="D34" s="73"/>
      <c r="E34" s="74"/>
      <c r="F34" s="75">
        <f>SUM(F32:G33)</f>
        <v>1366</v>
      </c>
      <c r="G34" s="76"/>
      <c r="H34" s="15"/>
      <c r="I34" s="14">
        <f>SUM(I32:I32)</f>
        <v>1229.4000000000001</v>
      </c>
      <c r="J34" s="40"/>
      <c r="K34" s="40"/>
    </row>
    <row r="35" spans="2:11" ht="21.75" customHeight="1" x14ac:dyDescent="0.2">
      <c r="B35" s="16" t="s">
        <v>13</v>
      </c>
      <c r="C35" s="15"/>
      <c r="D35" s="71"/>
      <c r="E35" s="72"/>
      <c r="F35" s="71"/>
      <c r="G35" s="72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1"/>
      <c r="E36" s="72"/>
      <c r="F36" s="71"/>
      <c r="G36" s="72"/>
      <c r="H36" s="15"/>
      <c r="I36" s="14">
        <f>+I34</f>
        <v>1229.4000000000001</v>
      </c>
    </row>
    <row r="37" spans="2:11" ht="20.25" customHeight="1" x14ac:dyDescent="0.2">
      <c r="B37" s="15" t="s">
        <v>80</v>
      </c>
      <c r="C37" s="71" t="s">
        <v>11</v>
      </c>
      <c r="D37" s="78"/>
      <c r="E37" s="78"/>
      <c r="F37" s="78"/>
      <c r="G37" s="78"/>
      <c r="H37" s="72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1229.4000000000001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9" t="s">
        <v>7</v>
      </c>
      <c r="C46" s="79"/>
      <c r="D46" s="79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265K0051</v>
      </c>
      <c r="I52" s="8"/>
      <c r="K52">
        <v>5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0" t="s">
        <v>1</v>
      </c>
      <c r="D55" s="80"/>
      <c r="E55" s="5"/>
      <c r="F55" s="5"/>
      <c r="G55" s="5"/>
      <c r="H55" s="5"/>
      <c r="I55" s="4"/>
    </row>
    <row r="56" spans="2:11" x14ac:dyDescent="0.2">
      <c r="B56" s="6"/>
      <c r="C56" s="81" t="s">
        <v>0</v>
      </c>
      <c r="D56" s="81"/>
      <c r="E56" s="5"/>
      <c r="F56" s="5"/>
      <c r="G56" s="5"/>
      <c r="H56" s="5"/>
      <c r="I56" s="4"/>
      <c r="K56">
        <v>5</v>
      </c>
    </row>
    <row r="57" spans="2:11" x14ac:dyDescent="0.2">
      <c r="B57" s="2"/>
      <c r="C57" s="77"/>
      <c r="D57" s="77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F35:G35"/>
    <mergeCell ref="D32:E32"/>
    <mergeCell ref="F32:G32"/>
    <mergeCell ref="B2:I2"/>
    <mergeCell ref="B26:I26"/>
    <mergeCell ref="B27:I27"/>
    <mergeCell ref="D31:E31"/>
    <mergeCell ref="F31:G31"/>
    <mergeCell ref="D34:E34"/>
    <mergeCell ref="F34:G34"/>
    <mergeCell ref="D35:E35"/>
    <mergeCell ref="D33:E33"/>
    <mergeCell ref="F33:G33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2" t="s">
        <v>211</v>
      </c>
      <c r="C2" s="83"/>
      <c r="D2" s="83"/>
      <c r="E2" s="83"/>
      <c r="F2" s="83"/>
      <c r="G2" s="83"/>
      <c r="H2" s="83"/>
      <c r="I2" s="84"/>
      <c r="J2" s="64">
        <v>61475306</v>
      </c>
      <c r="K2" s="65">
        <v>1228</v>
      </c>
      <c r="L2" s="66">
        <v>34</v>
      </c>
      <c r="M2" s="66">
        <v>173.09899999999999</v>
      </c>
      <c r="N2" s="66">
        <v>189.715</v>
      </c>
      <c r="O2" s="66">
        <v>215.815</v>
      </c>
      <c r="P2" s="66" t="s">
        <v>54</v>
      </c>
      <c r="Q2" s="66">
        <v>1.0740000000000001</v>
      </c>
      <c r="R2" s="66" t="s">
        <v>62</v>
      </c>
    </row>
    <row r="3" spans="2:22" x14ac:dyDescent="0.2">
      <c r="B3" s="6" t="s">
        <v>53</v>
      </c>
      <c r="C3" s="63">
        <f>+'570'!C3+1</f>
        <v>571</v>
      </c>
      <c r="D3" s="5"/>
      <c r="E3" s="5"/>
      <c r="F3" s="5"/>
      <c r="G3" s="5" t="s">
        <v>52</v>
      </c>
      <c r="H3" s="31">
        <v>46236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180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61475306</v>
      </c>
      <c r="C21" s="56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6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215.815</v>
      </c>
      <c r="G23" s="23">
        <f>+N2</f>
        <v>189.715</v>
      </c>
      <c r="H23" s="23">
        <f>+M2</f>
        <v>173.09899999999999</v>
      </c>
      <c r="I23" s="55">
        <f>+L2</f>
        <v>34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1" t="s">
        <v>23</v>
      </c>
      <c r="C26" s="78"/>
      <c r="D26" s="78"/>
      <c r="E26" s="78"/>
      <c r="F26" s="78"/>
      <c r="G26" s="78"/>
      <c r="H26" s="78"/>
      <c r="I26" s="72"/>
    </row>
    <row r="27" spans="2:13" ht="24.75" customHeight="1" x14ac:dyDescent="0.2">
      <c r="B27" s="85" t="str">
        <f>+K4</f>
        <v>BOYS COTTON FIBERS, KNIT SHIRT, WITH NECK CLOSURE, STITCH COUNT EQUAL OR IS GREATER THAN 10/1CM, HEM BOTTOM [60% COTTON 40% POLYESTER]</v>
      </c>
      <c r="C27" s="86"/>
      <c r="D27" s="86"/>
      <c r="E27" s="86"/>
      <c r="F27" s="86"/>
      <c r="G27" s="86"/>
      <c r="H27" s="86"/>
      <c r="I27" s="8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8" t="s">
        <v>19</v>
      </c>
      <c r="E31" s="88"/>
      <c r="F31" s="88" t="s">
        <v>18</v>
      </c>
      <c r="G31" s="88"/>
      <c r="H31" s="55" t="s">
        <v>17</v>
      </c>
      <c r="I31" s="19" t="s">
        <v>16</v>
      </c>
      <c r="M31"/>
    </row>
    <row r="32" spans="2:13" ht="47.25" customHeight="1" x14ac:dyDescent="0.2">
      <c r="B32" s="62" t="s">
        <v>206</v>
      </c>
      <c r="C32" s="19" t="s">
        <v>205</v>
      </c>
      <c r="D32" s="75"/>
      <c r="E32" s="76"/>
      <c r="F32" s="75">
        <f>+K2</f>
        <v>1228</v>
      </c>
      <c r="G32" s="76"/>
      <c r="H32" s="17">
        <v>1.05</v>
      </c>
      <c r="I32" s="18">
        <f>+H32*F32</f>
        <v>1289.4000000000001</v>
      </c>
      <c r="K32" s="46"/>
      <c r="M32" s="39"/>
    </row>
    <row r="33" spans="2:11" ht="21" customHeight="1" x14ac:dyDescent="0.2">
      <c r="B33" s="15" t="s">
        <v>15</v>
      </c>
      <c r="C33" s="15"/>
      <c r="D33" s="71"/>
      <c r="E33" s="72"/>
      <c r="F33" s="71"/>
      <c r="G33" s="72"/>
      <c r="H33" s="17"/>
      <c r="I33" s="55"/>
    </row>
    <row r="34" spans="2:11" ht="21.75" customHeight="1" x14ac:dyDescent="0.2">
      <c r="B34" s="15" t="s">
        <v>14</v>
      </c>
      <c r="C34" s="15"/>
      <c r="D34" s="73"/>
      <c r="E34" s="74"/>
      <c r="F34" s="75">
        <f>SUM(F32:G33)</f>
        <v>1228</v>
      </c>
      <c r="G34" s="76"/>
      <c r="H34" s="15"/>
      <c r="I34" s="14">
        <f>SUM(I32:I33)</f>
        <v>1289.4000000000001</v>
      </c>
      <c r="J34" s="40"/>
      <c r="K34" s="40"/>
    </row>
    <row r="35" spans="2:11" ht="21.75" customHeight="1" x14ac:dyDescent="0.2">
      <c r="B35" s="16" t="s">
        <v>13</v>
      </c>
      <c r="C35" s="15"/>
      <c r="D35" s="71"/>
      <c r="E35" s="72"/>
      <c r="F35" s="71"/>
      <c r="G35" s="72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1"/>
      <c r="E36" s="72"/>
      <c r="F36" s="71"/>
      <c r="G36" s="72"/>
      <c r="H36" s="15"/>
      <c r="I36" s="14">
        <f>+I34</f>
        <v>1289.4000000000001</v>
      </c>
    </row>
    <row r="37" spans="2:11" ht="20.25" customHeight="1" x14ac:dyDescent="0.2">
      <c r="B37" s="15" t="s">
        <v>80</v>
      </c>
      <c r="C37" s="71" t="s">
        <v>11</v>
      </c>
      <c r="D37" s="78"/>
      <c r="E37" s="78"/>
      <c r="F37" s="78"/>
      <c r="G37" s="78"/>
      <c r="H37" s="72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1289.4000000000001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9" t="s">
        <v>7</v>
      </c>
      <c r="C46" s="79"/>
      <c r="D46" s="79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265K0052</v>
      </c>
      <c r="I52" s="8"/>
      <c r="K52">
        <v>6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0" t="s">
        <v>1</v>
      </c>
      <c r="D55" s="80"/>
      <c r="E55" s="5"/>
      <c r="F55" s="5"/>
      <c r="G55" s="5"/>
      <c r="H55" s="5"/>
      <c r="I55" s="4"/>
    </row>
    <row r="56" spans="2:11" x14ac:dyDescent="0.2">
      <c r="B56" s="6"/>
      <c r="C56" s="81" t="s">
        <v>0</v>
      </c>
      <c r="D56" s="81"/>
      <c r="E56" s="5"/>
      <c r="F56" s="5"/>
      <c r="G56" s="5"/>
      <c r="H56" s="5"/>
      <c r="I56" s="4"/>
      <c r="K56">
        <v>6</v>
      </c>
    </row>
    <row r="57" spans="2:11" x14ac:dyDescent="0.2">
      <c r="B57" s="2"/>
      <c r="C57" s="77"/>
      <c r="D57" s="77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2" t="s">
        <v>211</v>
      </c>
      <c r="C2" s="83"/>
      <c r="D2" s="83"/>
      <c r="E2" s="83"/>
      <c r="F2" s="83"/>
      <c r="G2" s="83"/>
      <c r="H2" s="83"/>
      <c r="I2" s="84"/>
      <c r="J2" s="64">
        <v>61558651</v>
      </c>
      <c r="K2" s="66">
        <v>508</v>
      </c>
      <c r="L2" s="66">
        <v>10</v>
      </c>
      <c r="M2" s="66">
        <v>68.099999999999994</v>
      </c>
      <c r="N2" s="66">
        <v>78.260000000000005</v>
      </c>
      <c r="O2" s="66">
        <v>86.76</v>
      </c>
      <c r="P2" s="66" t="s">
        <v>54</v>
      </c>
      <c r="Q2" s="66">
        <v>0.436</v>
      </c>
      <c r="R2" s="66" t="s">
        <v>62</v>
      </c>
    </row>
    <row r="3" spans="2:22" x14ac:dyDescent="0.2">
      <c r="B3" s="6" t="s">
        <v>53</v>
      </c>
      <c r="C3" s="63">
        <f>+'571'!C3+1</f>
        <v>572</v>
      </c>
      <c r="D3" s="5"/>
      <c r="E3" s="5"/>
      <c r="F3" s="5"/>
      <c r="G3" s="5" t="s">
        <v>52</v>
      </c>
      <c r="H3" s="31">
        <v>46236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180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61558651</v>
      </c>
      <c r="C21" s="56">
        <f>VLOOKUP($K55,reff!E2:F29,2,0)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7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86.76</v>
      </c>
      <c r="G23" s="23">
        <f>+N2</f>
        <v>78.260000000000005</v>
      </c>
      <c r="H23" s="23">
        <f>+M2</f>
        <v>68.099999999999994</v>
      </c>
      <c r="I23" s="55">
        <f>+L2</f>
        <v>10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1" t="s">
        <v>23</v>
      </c>
      <c r="C26" s="78"/>
      <c r="D26" s="78"/>
      <c r="E26" s="78"/>
      <c r="F26" s="78"/>
      <c r="G26" s="78"/>
      <c r="H26" s="78"/>
      <c r="I26" s="72"/>
    </row>
    <row r="27" spans="2:13" ht="24.75" customHeight="1" x14ac:dyDescent="0.2">
      <c r="B27" s="85" t="str">
        <f>+K4</f>
        <v>BOYS COTTON FIBERS, KNIT SHIRT, WITH NECK CLOSURE, STITCH COUNT EQUAL OR IS GREATER THAN 10/1CM, HEM BOTTOM [60% COTTON 40% POLYESTER]</v>
      </c>
      <c r="C27" s="86"/>
      <c r="D27" s="86"/>
      <c r="E27" s="86"/>
      <c r="F27" s="86"/>
      <c r="G27" s="86"/>
      <c r="H27" s="86"/>
      <c r="I27" s="8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8" t="s">
        <v>19</v>
      </c>
      <c r="E31" s="88"/>
      <c r="F31" s="88" t="s">
        <v>18</v>
      </c>
      <c r="G31" s="88"/>
      <c r="H31" s="55" t="s">
        <v>17</v>
      </c>
      <c r="I31" s="19" t="s">
        <v>16</v>
      </c>
      <c r="M31"/>
    </row>
    <row r="32" spans="2:13" ht="27.75" customHeight="1" x14ac:dyDescent="0.2">
      <c r="B32" s="41" t="s">
        <v>208</v>
      </c>
      <c r="C32" s="19" t="s">
        <v>207</v>
      </c>
      <c r="D32" s="75"/>
      <c r="E32" s="76"/>
      <c r="F32" s="75">
        <f>+K2</f>
        <v>508</v>
      </c>
      <c r="G32" s="76"/>
      <c r="H32" s="17">
        <v>1.05</v>
      </c>
      <c r="I32" s="18">
        <f>+H32*F32</f>
        <v>533.4</v>
      </c>
      <c r="K32" s="46"/>
      <c r="M32" s="39"/>
    </row>
    <row r="33" spans="2:11" ht="21" customHeight="1" x14ac:dyDescent="0.2">
      <c r="B33" s="15" t="s">
        <v>15</v>
      </c>
      <c r="C33" s="15"/>
      <c r="D33" s="71"/>
      <c r="E33" s="72"/>
      <c r="F33" s="71"/>
      <c r="G33" s="72"/>
      <c r="H33" s="17"/>
      <c r="I33" s="60"/>
    </row>
    <row r="34" spans="2:11" ht="21.75" customHeight="1" x14ac:dyDescent="0.2">
      <c r="B34" s="15" t="s">
        <v>14</v>
      </c>
      <c r="C34" s="15"/>
      <c r="D34" s="73"/>
      <c r="E34" s="74"/>
      <c r="F34" s="75">
        <f>SUM(F32:G33)</f>
        <v>508</v>
      </c>
      <c r="G34" s="76"/>
      <c r="H34" s="15"/>
      <c r="I34" s="14">
        <f>SUM(I32:I33)</f>
        <v>533.4</v>
      </c>
      <c r="J34" s="40"/>
      <c r="K34" s="40"/>
    </row>
    <row r="35" spans="2:11" ht="21.75" customHeight="1" x14ac:dyDescent="0.2">
      <c r="B35" s="16" t="s">
        <v>13</v>
      </c>
      <c r="C35" s="15"/>
      <c r="D35" s="71"/>
      <c r="E35" s="72"/>
      <c r="F35" s="71"/>
      <c r="G35" s="72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1"/>
      <c r="E36" s="72"/>
      <c r="F36" s="71"/>
      <c r="G36" s="72"/>
      <c r="H36" s="15"/>
      <c r="I36" s="14">
        <f>+I34</f>
        <v>533.4</v>
      </c>
    </row>
    <row r="37" spans="2:11" ht="20.25" customHeight="1" x14ac:dyDescent="0.2">
      <c r="B37" s="15" t="s">
        <v>80</v>
      </c>
      <c r="C37" s="71" t="s">
        <v>11</v>
      </c>
      <c r="D37" s="78"/>
      <c r="E37" s="78"/>
      <c r="F37" s="78"/>
      <c r="G37" s="78"/>
      <c r="H37" s="72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533.4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9" t="s">
        <v>7</v>
      </c>
      <c r="C46" s="79"/>
      <c r="D46" s="79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265K0052</v>
      </c>
      <c r="I52" s="8"/>
      <c r="K52">
        <v>7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0" t="s">
        <v>1</v>
      </c>
      <c r="D55" s="80"/>
      <c r="E55" s="5"/>
      <c r="F55" s="5"/>
      <c r="G55" s="5"/>
      <c r="H55" s="5"/>
      <c r="I55" s="4"/>
      <c r="K55">
        <v>7</v>
      </c>
    </row>
    <row r="56" spans="2:11" x14ac:dyDescent="0.2">
      <c r="B56" s="6"/>
      <c r="C56" s="81" t="s">
        <v>0</v>
      </c>
      <c r="D56" s="81"/>
      <c r="E56" s="5"/>
      <c r="F56" s="5"/>
      <c r="G56" s="5"/>
      <c r="H56" s="5"/>
      <c r="I56" s="4"/>
    </row>
    <row r="57" spans="2:11" x14ac:dyDescent="0.2">
      <c r="B57" s="2"/>
      <c r="C57" s="77"/>
      <c r="D57" s="77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5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2" t="s">
        <v>211</v>
      </c>
      <c r="C2" s="83"/>
      <c r="D2" s="83"/>
      <c r="E2" s="83"/>
      <c r="F2" s="83"/>
      <c r="G2" s="83"/>
      <c r="H2" s="83"/>
      <c r="I2" s="84"/>
      <c r="J2" s="64">
        <v>61717416</v>
      </c>
      <c r="K2" s="66">
        <v>453</v>
      </c>
      <c r="L2" s="66">
        <v>8</v>
      </c>
      <c r="M2" s="66">
        <v>66.335999999999999</v>
      </c>
      <c r="N2" s="66">
        <v>69.959999999999994</v>
      </c>
      <c r="O2" s="66">
        <v>77.06</v>
      </c>
      <c r="P2" s="66" t="s">
        <v>54</v>
      </c>
      <c r="Q2" s="66">
        <v>0.39100000000000001</v>
      </c>
      <c r="R2" s="66" t="s">
        <v>62</v>
      </c>
    </row>
    <row r="3" spans="2:22" x14ac:dyDescent="0.2">
      <c r="B3" s="6" t="s">
        <v>53</v>
      </c>
      <c r="C3" s="63">
        <f>+'572'!C3+1</f>
        <v>573</v>
      </c>
      <c r="D3" s="5"/>
      <c r="E3" s="5"/>
      <c r="F3" s="5"/>
      <c r="G3" s="5" t="s">
        <v>52</v>
      </c>
      <c r="H3" s="31">
        <v>46236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180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61717416</v>
      </c>
      <c r="C21" s="56">
        <f>VLOOKUP($K55,reff!E2:F29,2,0)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8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77.06</v>
      </c>
      <c r="G23" s="23">
        <f>+N2</f>
        <v>69.959999999999994</v>
      </c>
      <c r="H23" s="23">
        <f>+M2</f>
        <v>66.335999999999999</v>
      </c>
      <c r="I23" s="55">
        <f>+L2</f>
        <v>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1" t="s">
        <v>23</v>
      </c>
      <c r="C26" s="78"/>
      <c r="D26" s="78"/>
      <c r="E26" s="78"/>
      <c r="F26" s="78"/>
      <c r="G26" s="78"/>
      <c r="H26" s="78"/>
      <c r="I26" s="72"/>
    </row>
    <row r="27" spans="2:13" ht="24.75" customHeight="1" x14ac:dyDescent="0.2">
      <c r="B27" s="85" t="str">
        <f>+K4</f>
        <v>BOYS COTTON FIBERS, KNIT SHIRT, WITH NECK CLOSURE, STITCH COUNT EQUAL OR IS GREATER THAN 10/1CM, HEM BOTTOM [60% COTTON 40% POLYESTER]</v>
      </c>
      <c r="C27" s="86"/>
      <c r="D27" s="86"/>
      <c r="E27" s="86"/>
      <c r="F27" s="86"/>
      <c r="G27" s="86"/>
      <c r="H27" s="86"/>
      <c r="I27" s="8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8" t="s">
        <v>19</v>
      </c>
      <c r="E31" s="88"/>
      <c r="F31" s="88" t="s">
        <v>18</v>
      </c>
      <c r="G31" s="88"/>
      <c r="H31" s="55" t="s">
        <v>17</v>
      </c>
      <c r="I31" s="19" t="s">
        <v>16</v>
      </c>
      <c r="M31"/>
    </row>
    <row r="32" spans="2:13" ht="27.75" customHeight="1" x14ac:dyDescent="0.2">
      <c r="B32" s="41" t="s">
        <v>197</v>
      </c>
      <c r="C32" s="19" t="s">
        <v>187</v>
      </c>
      <c r="D32" s="75"/>
      <c r="E32" s="76"/>
      <c r="F32" s="75">
        <f>+K2</f>
        <v>453</v>
      </c>
      <c r="G32" s="76"/>
      <c r="H32" s="17">
        <v>1.05</v>
      </c>
      <c r="I32" s="18">
        <f>+H32*F32</f>
        <v>475.65000000000003</v>
      </c>
      <c r="K32" s="46"/>
      <c r="M32" s="39"/>
    </row>
    <row r="33" spans="2:11" ht="21" customHeight="1" x14ac:dyDescent="0.2">
      <c r="B33" s="15" t="s">
        <v>15</v>
      </c>
      <c r="C33" s="15"/>
      <c r="D33" s="71"/>
      <c r="E33" s="72"/>
      <c r="F33" s="71"/>
      <c r="G33" s="72"/>
      <c r="H33" s="17"/>
      <c r="I33" s="55"/>
    </row>
    <row r="34" spans="2:11" ht="21.75" customHeight="1" x14ac:dyDescent="0.2">
      <c r="B34" s="15" t="s">
        <v>14</v>
      </c>
      <c r="C34" s="15"/>
      <c r="D34" s="73"/>
      <c r="E34" s="74"/>
      <c r="F34" s="75">
        <f>SUM(F32:G33)</f>
        <v>453</v>
      </c>
      <c r="G34" s="76"/>
      <c r="H34" s="15"/>
      <c r="I34" s="14">
        <f>SUM(I32:I33)</f>
        <v>475.65000000000003</v>
      </c>
      <c r="J34" s="40"/>
      <c r="K34" s="40"/>
    </row>
    <row r="35" spans="2:11" ht="21.75" customHeight="1" x14ac:dyDescent="0.2">
      <c r="B35" s="16" t="s">
        <v>13</v>
      </c>
      <c r="C35" s="15"/>
      <c r="D35" s="71"/>
      <c r="E35" s="72"/>
      <c r="F35" s="71"/>
      <c r="G35" s="72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1"/>
      <c r="E36" s="72"/>
      <c r="F36" s="71"/>
      <c r="G36" s="72"/>
      <c r="H36" s="15"/>
      <c r="I36" s="14">
        <f>+I34</f>
        <v>475.65000000000003</v>
      </c>
    </row>
    <row r="37" spans="2:11" ht="20.25" customHeight="1" x14ac:dyDescent="0.2">
      <c r="B37" s="15" t="s">
        <v>80</v>
      </c>
      <c r="C37" s="71" t="s">
        <v>11</v>
      </c>
      <c r="D37" s="78"/>
      <c r="E37" s="78"/>
      <c r="F37" s="78"/>
      <c r="G37" s="78"/>
      <c r="H37" s="72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475.65000000000003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9" t="s">
        <v>7</v>
      </c>
      <c r="C46" s="79"/>
      <c r="D46" s="79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265K0052</v>
      </c>
      <c r="I52" s="8"/>
      <c r="K52">
        <v>8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0" t="s">
        <v>1</v>
      </c>
      <c r="D55" s="80"/>
      <c r="E55" s="5"/>
      <c r="F55" s="5"/>
      <c r="G55" s="5"/>
      <c r="H55" s="5"/>
      <c r="I55" s="4"/>
      <c r="K55">
        <v>8</v>
      </c>
    </row>
    <row r="56" spans="2:11" x14ac:dyDescent="0.2">
      <c r="B56" s="6"/>
      <c r="C56" s="81" t="s">
        <v>0</v>
      </c>
      <c r="D56" s="81"/>
      <c r="E56" s="5"/>
      <c r="F56" s="5"/>
      <c r="G56" s="5"/>
      <c r="H56" s="5"/>
      <c r="I56" s="4"/>
    </row>
    <row r="57" spans="2:11" x14ac:dyDescent="0.2">
      <c r="B57" s="2"/>
      <c r="C57" s="77"/>
      <c r="D57" s="77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9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2" t="s">
        <v>211</v>
      </c>
      <c r="C2" s="83"/>
      <c r="D2" s="83"/>
      <c r="E2" s="83"/>
      <c r="F2" s="83"/>
      <c r="G2" s="83"/>
      <c r="H2" s="83"/>
      <c r="I2" s="84"/>
      <c r="J2" s="64">
        <v>61751308</v>
      </c>
      <c r="K2" s="65">
        <v>1487</v>
      </c>
      <c r="L2" s="66">
        <v>27</v>
      </c>
      <c r="M2" s="66">
        <v>199.89</v>
      </c>
      <c r="N2" s="66">
        <v>229.63</v>
      </c>
      <c r="O2" s="66">
        <v>253.33</v>
      </c>
      <c r="P2" s="66" t="s">
        <v>54</v>
      </c>
      <c r="Q2" s="66">
        <v>1.2969999999999999</v>
      </c>
      <c r="R2" s="66" t="s">
        <v>62</v>
      </c>
    </row>
    <row r="3" spans="2:22" x14ac:dyDescent="0.2">
      <c r="B3" s="6" t="s">
        <v>53</v>
      </c>
      <c r="C3" s="63">
        <f>+'573'!C3+1</f>
        <v>574</v>
      </c>
      <c r="D3" s="5"/>
      <c r="E3" s="5"/>
      <c r="F3" s="5"/>
      <c r="G3" s="5" t="s">
        <v>52</v>
      </c>
      <c r="H3" s="31">
        <v>46236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180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61751308</v>
      </c>
      <c r="C21" s="56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9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253.33</v>
      </c>
      <c r="G23" s="23">
        <f>+N2</f>
        <v>229.63</v>
      </c>
      <c r="H23" s="23">
        <f>+M2</f>
        <v>199.89</v>
      </c>
      <c r="I23" s="55">
        <f>+L2</f>
        <v>27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1" t="s">
        <v>23</v>
      </c>
      <c r="C26" s="78"/>
      <c r="D26" s="78"/>
      <c r="E26" s="78"/>
      <c r="F26" s="78"/>
      <c r="G26" s="78"/>
      <c r="H26" s="78"/>
      <c r="I26" s="72"/>
    </row>
    <row r="27" spans="2:13" ht="24.75" customHeight="1" x14ac:dyDescent="0.2">
      <c r="B27" s="85" t="str">
        <f>+K4</f>
        <v>BOYS COTTON FIBERS, KNIT SHIRT, WITH NECK CLOSURE, STITCH COUNT EQUAL OR IS GREATER THAN 10/1CM, HEM BOTTOM [60% COTTON 40% POLYESTER]</v>
      </c>
      <c r="C27" s="86"/>
      <c r="D27" s="86"/>
      <c r="E27" s="86"/>
      <c r="F27" s="86"/>
      <c r="G27" s="86"/>
      <c r="H27" s="86"/>
      <c r="I27" s="8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8" t="s">
        <v>19</v>
      </c>
      <c r="E31" s="88"/>
      <c r="F31" s="88" t="s">
        <v>18</v>
      </c>
      <c r="G31" s="88"/>
      <c r="H31" s="55" t="s">
        <v>17</v>
      </c>
      <c r="I31" s="19" t="s">
        <v>16</v>
      </c>
      <c r="M31"/>
    </row>
    <row r="32" spans="2:13" ht="40.5" customHeight="1" x14ac:dyDescent="0.2">
      <c r="B32" s="41" t="s">
        <v>199</v>
      </c>
      <c r="C32" s="19" t="s">
        <v>198</v>
      </c>
      <c r="D32" s="75"/>
      <c r="E32" s="76"/>
      <c r="F32" s="75">
        <f>+K2</f>
        <v>1487</v>
      </c>
      <c r="G32" s="76"/>
      <c r="H32" s="17">
        <v>1.05</v>
      </c>
      <c r="I32" s="18">
        <f>+H32*F32</f>
        <v>1561.3500000000001</v>
      </c>
      <c r="K32" s="46"/>
      <c r="M32" s="39"/>
    </row>
    <row r="33" spans="2:11" ht="21" customHeight="1" x14ac:dyDescent="0.2">
      <c r="B33" s="15" t="s">
        <v>15</v>
      </c>
      <c r="C33" s="15"/>
      <c r="D33" s="71"/>
      <c r="E33" s="72"/>
      <c r="F33" s="71"/>
      <c r="G33" s="72"/>
      <c r="H33" s="17"/>
      <c r="I33" s="55"/>
    </row>
    <row r="34" spans="2:11" ht="21.75" customHeight="1" x14ac:dyDescent="0.2">
      <c r="B34" s="15" t="s">
        <v>14</v>
      </c>
      <c r="C34" s="15"/>
      <c r="D34" s="73"/>
      <c r="E34" s="74"/>
      <c r="F34" s="75">
        <f>SUM(F32:G33)</f>
        <v>1487</v>
      </c>
      <c r="G34" s="76"/>
      <c r="H34" s="15"/>
      <c r="I34" s="14">
        <f>SUM(I32:I33)</f>
        <v>1561.3500000000001</v>
      </c>
      <c r="J34" s="40"/>
      <c r="K34" s="40"/>
    </row>
    <row r="35" spans="2:11" ht="21.75" customHeight="1" x14ac:dyDescent="0.2">
      <c r="B35" s="16" t="s">
        <v>13</v>
      </c>
      <c r="C35" s="15"/>
      <c r="D35" s="71"/>
      <c r="E35" s="72"/>
      <c r="F35" s="71"/>
      <c r="G35" s="72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1"/>
      <c r="E36" s="72"/>
      <c r="F36" s="71"/>
      <c r="G36" s="72"/>
      <c r="H36" s="15"/>
      <c r="I36" s="14">
        <f>+I34</f>
        <v>1561.3500000000001</v>
      </c>
    </row>
    <row r="37" spans="2:11" ht="20.25" customHeight="1" x14ac:dyDescent="0.2">
      <c r="B37" s="15" t="s">
        <v>80</v>
      </c>
      <c r="C37" s="71" t="s">
        <v>11</v>
      </c>
      <c r="D37" s="78"/>
      <c r="E37" s="78"/>
      <c r="F37" s="78"/>
      <c r="G37" s="78"/>
      <c r="H37" s="72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1561.3500000000001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9" t="s">
        <v>7</v>
      </c>
      <c r="C46" s="79"/>
      <c r="D46" s="79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265K0052</v>
      </c>
      <c r="I52" s="8"/>
      <c r="K52">
        <v>9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0" t="s">
        <v>1</v>
      </c>
      <c r="D55" s="80"/>
      <c r="E55" s="5"/>
      <c r="F55" s="5"/>
      <c r="G55" s="5"/>
      <c r="H55" s="5"/>
      <c r="I55" s="4"/>
    </row>
    <row r="56" spans="2:11" x14ac:dyDescent="0.2">
      <c r="B56" s="6"/>
      <c r="C56" s="81" t="s">
        <v>0</v>
      </c>
      <c r="D56" s="81"/>
      <c r="E56" s="5"/>
      <c r="F56" s="5"/>
      <c r="G56" s="5"/>
      <c r="H56" s="5"/>
      <c r="I56" s="4"/>
      <c r="K56">
        <v>9</v>
      </c>
    </row>
    <row r="57" spans="2:11" x14ac:dyDescent="0.2">
      <c r="B57" s="2"/>
      <c r="C57" s="77"/>
      <c r="D57" s="77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view="pageBreakPreview" topLeftCell="A20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2" t="s">
        <v>211</v>
      </c>
      <c r="C2" s="83"/>
      <c r="D2" s="83"/>
      <c r="E2" s="83"/>
      <c r="F2" s="83"/>
      <c r="G2" s="83"/>
      <c r="H2" s="83"/>
      <c r="I2" s="84"/>
      <c r="J2" s="64">
        <v>61733965</v>
      </c>
      <c r="K2" s="65">
        <v>1683</v>
      </c>
      <c r="L2" s="66">
        <v>17</v>
      </c>
      <c r="M2" s="66">
        <v>119.749</v>
      </c>
      <c r="N2" s="66">
        <v>123.11499999999999</v>
      </c>
      <c r="O2" s="66">
        <v>137.41499999999999</v>
      </c>
      <c r="P2" s="66" t="s">
        <v>54</v>
      </c>
      <c r="Q2" s="66">
        <v>0.71599999999999997</v>
      </c>
      <c r="R2" s="66" t="s">
        <v>62</v>
      </c>
    </row>
    <row r="3" spans="2:22" x14ac:dyDescent="0.2">
      <c r="B3" s="6" t="s">
        <v>53</v>
      </c>
      <c r="C3" s="63">
        <f>+'574'!C3+1</f>
        <v>575</v>
      </c>
      <c r="D3" s="5"/>
      <c r="E3" s="5"/>
      <c r="F3" s="5"/>
      <c r="G3" s="5" t="s">
        <v>52</v>
      </c>
      <c r="H3" s="31">
        <v>46236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9">
        <f>J2</f>
        <v>61733965</v>
      </c>
      <c r="C21" s="68">
        <f>VLOOKUP($K57,reff!E2:F29,2,0)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9" t="s">
        <v>35</v>
      </c>
      <c r="G21" s="69"/>
      <c r="H21" s="47" t="str">
        <f>IF(LEFT(G17,2)="CA","CA",IF(LEFT(G17,2)="UN","US",IF(LEFT(G17,2)="PA","PA",IF(LEFT(G17,2)="JA","JP"))))</f>
        <v>US</v>
      </c>
      <c r="I21" s="69" t="s">
        <v>34</v>
      </c>
      <c r="K21" s="20">
        <v>10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9" t="s">
        <v>25</v>
      </c>
      <c r="C23" s="69"/>
      <c r="D23" s="69" t="s">
        <v>24</v>
      </c>
      <c r="E23" s="69" t="str">
        <f>+D23</f>
        <v>JAKARTA,ID</v>
      </c>
      <c r="F23" s="23">
        <f>+O2</f>
        <v>137.41499999999999</v>
      </c>
      <c r="G23" s="23">
        <f>+N2</f>
        <v>123.11499999999999</v>
      </c>
      <c r="H23" s="23">
        <f>+M2</f>
        <v>119.749</v>
      </c>
      <c r="I23" s="69">
        <f>+L2</f>
        <v>17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1" t="s">
        <v>23</v>
      </c>
      <c r="C26" s="78"/>
      <c r="D26" s="78"/>
      <c r="E26" s="78"/>
      <c r="F26" s="78"/>
      <c r="G26" s="78"/>
      <c r="H26" s="78"/>
      <c r="I26" s="72"/>
    </row>
    <row r="27" spans="2:13" ht="24.75" customHeight="1" x14ac:dyDescent="0.2">
      <c r="B27" s="85" t="str">
        <f>+K4</f>
        <v>GIRLS COTTON FIBERS, KNIT PULLOVER, WITH NO NECK CLOSURE, STITCH COUNT IS GREATER THAN 9/2CM, REACHES WAIST [60% COTTON 40% RECYCLED POLYESTER]</v>
      </c>
      <c r="C27" s="86"/>
      <c r="D27" s="86"/>
      <c r="E27" s="86"/>
      <c r="F27" s="86"/>
      <c r="G27" s="86"/>
      <c r="H27" s="86"/>
      <c r="I27" s="8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9" t="s">
        <v>21</v>
      </c>
      <c r="C31" s="69" t="s">
        <v>20</v>
      </c>
      <c r="D31" s="88" t="s">
        <v>19</v>
      </c>
      <c r="E31" s="88"/>
      <c r="F31" s="88" t="s">
        <v>18</v>
      </c>
      <c r="G31" s="88"/>
      <c r="H31" s="69" t="s">
        <v>17</v>
      </c>
      <c r="I31" s="19" t="s">
        <v>16</v>
      </c>
      <c r="M31"/>
    </row>
    <row r="32" spans="2:13" ht="27.75" customHeight="1" x14ac:dyDescent="0.2">
      <c r="B32" s="41" t="s">
        <v>190</v>
      </c>
      <c r="C32" s="19" t="s">
        <v>189</v>
      </c>
      <c r="D32" s="75"/>
      <c r="E32" s="76"/>
      <c r="F32" s="75">
        <v>955</v>
      </c>
      <c r="G32" s="76"/>
      <c r="H32" s="17">
        <v>0.71</v>
      </c>
      <c r="I32" s="18">
        <f>+H32*F32</f>
        <v>678.05</v>
      </c>
      <c r="K32" s="46"/>
      <c r="M32" s="39"/>
    </row>
    <row r="33" spans="2:13" ht="27.75" customHeight="1" x14ac:dyDescent="0.2">
      <c r="B33" s="41" t="s">
        <v>184</v>
      </c>
      <c r="C33" s="19" t="s">
        <v>209</v>
      </c>
      <c r="D33" s="75"/>
      <c r="E33" s="76"/>
      <c r="F33" s="75">
        <v>728</v>
      </c>
      <c r="G33" s="76"/>
      <c r="H33" s="17">
        <v>0.71</v>
      </c>
      <c r="I33" s="18">
        <f>+H33*F33</f>
        <v>516.88</v>
      </c>
      <c r="K33" s="46"/>
      <c r="M33" s="39"/>
    </row>
    <row r="34" spans="2:13" ht="21" customHeight="1" x14ac:dyDescent="0.2">
      <c r="B34" s="15" t="s">
        <v>15</v>
      </c>
      <c r="C34" s="15"/>
      <c r="D34" s="71"/>
      <c r="E34" s="72"/>
      <c r="F34" s="71"/>
      <c r="G34" s="72"/>
      <c r="H34" s="17"/>
      <c r="I34" s="69"/>
    </row>
    <row r="35" spans="2:13" ht="21.75" customHeight="1" x14ac:dyDescent="0.2">
      <c r="B35" s="15" t="s">
        <v>14</v>
      </c>
      <c r="C35" s="15"/>
      <c r="D35" s="73"/>
      <c r="E35" s="74"/>
      <c r="F35" s="75">
        <f>SUM(F32:G34)</f>
        <v>1683</v>
      </c>
      <c r="G35" s="76"/>
      <c r="H35" s="15"/>
      <c r="I35" s="14">
        <f>SUM(I32:I34)</f>
        <v>1194.9299999999998</v>
      </c>
      <c r="J35" s="40"/>
      <c r="K35" s="40"/>
    </row>
    <row r="36" spans="2:13" ht="21.75" customHeight="1" x14ac:dyDescent="0.2">
      <c r="B36" s="16" t="s">
        <v>13</v>
      </c>
      <c r="C36" s="15"/>
      <c r="D36" s="71"/>
      <c r="E36" s="72"/>
      <c r="F36" s="71"/>
      <c r="G36" s="72"/>
      <c r="H36" s="15"/>
      <c r="I36" s="69"/>
      <c r="J36" s="40"/>
    </row>
    <row r="37" spans="2:13" ht="21.75" customHeight="1" x14ac:dyDescent="0.2">
      <c r="B37" s="16" t="s">
        <v>12</v>
      </c>
      <c r="C37" s="15"/>
      <c r="D37" s="71"/>
      <c r="E37" s="72"/>
      <c r="F37" s="71"/>
      <c r="G37" s="72"/>
      <c r="H37" s="15"/>
      <c r="I37" s="14">
        <f>+I35</f>
        <v>1194.9299999999998</v>
      </c>
    </row>
    <row r="38" spans="2:13" ht="20.25" customHeight="1" x14ac:dyDescent="0.2">
      <c r="B38" s="15" t="s">
        <v>80</v>
      </c>
      <c r="C38" s="71" t="s">
        <v>11</v>
      </c>
      <c r="D38" s="78"/>
      <c r="E38" s="78"/>
      <c r="F38" s="78"/>
      <c r="G38" s="78"/>
      <c r="H38" s="72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1194.9299999999998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9" t="s">
        <v>7</v>
      </c>
      <c r="C47" s="79"/>
      <c r="D47" s="79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265K0057</v>
      </c>
      <c r="I53" s="8"/>
      <c r="K53" s="20">
        <v>10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0" t="s">
        <v>1</v>
      </c>
      <c r="D56" s="80"/>
      <c r="E56" s="5"/>
      <c r="F56" s="5"/>
      <c r="G56" s="5"/>
      <c r="H56" s="5"/>
      <c r="I56" s="4"/>
    </row>
    <row r="57" spans="2:11" x14ac:dyDescent="0.2">
      <c r="B57" s="6"/>
      <c r="C57" s="81" t="s">
        <v>0</v>
      </c>
      <c r="D57" s="81"/>
      <c r="E57" s="5"/>
      <c r="F57" s="5"/>
      <c r="G57" s="5"/>
      <c r="H57" s="5"/>
      <c r="I57" s="4"/>
      <c r="K57" s="20">
        <v>10</v>
      </c>
    </row>
    <row r="58" spans="2:11" x14ac:dyDescent="0.2">
      <c r="B58" s="2"/>
      <c r="C58" s="77"/>
      <c r="D58" s="77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3:E33"/>
    <mergeCell ref="F33:G33"/>
    <mergeCell ref="D32:E32"/>
    <mergeCell ref="F32:G32"/>
    <mergeCell ref="B2:I2"/>
    <mergeCell ref="B26:I26"/>
    <mergeCell ref="B27:I27"/>
    <mergeCell ref="D31:E31"/>
    <mergeCell ref="F31:G31"/>
    <mergeCell ref="D34:E34"/>
    <mergeCell ref="F34:G34"/>
    <mergeCell ref="D35:E35"/>
    <mergeCell ref="F35:G35"/>
    <mergeCell ref="C56:D56"/>
    <mergeCell ref="C57:D57"/>
    <mergeCell ref="C58:D58"/>
    <mergeCell ref="D36:E36"/>
    <mergeCell ref="F36:G36"/>
    <mergeCell ref="D37:E37"/>
    <mergeCell ref="F37:G37"/>
    <mergeCell ref="C38:H38"/>
    <mergeCell ref="B47:D47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2" t="s">
        <v>211</v>
      </c>
      <c r="C2" s="83"/>
      <c r="D2" s="83"/>
      <c r="E2" s="83"/>
      <c r="F2" s="83"/>
      <c r="G2" s="83"/>
      <c r="H2" s="83"/>
      <c r="I2" s="84"/>
      <c r="J2" s="64">
        <v>61754374</v>
      </c>
      <c r="K2" s="65">
        <v>1583</v>
      </c>
      <c r="L2" s="66">
        <v>14</v>
      </c>
      <c r="M2" s="66">
        <v>114.134</v>
      </c>
      <c r="N2" s="66">
        <v>117.3</v>
      </c>
      <c r="O2" s="66">
        <v>129.5</v>
      </c>
      <c r="P2" s="66" t="s">
        <v>54</v>
      </c>
      <c r="Q2" s="66">
        <v>0.66</v>
      </c>
      <c r="R2" s="66" t="s">
        <v>62</v>
      </c>
    </row>
    <row r="3" spans="2:22" x14ac:dyDescent="0.2">
      <c r="B3" s="6" t="s">
        <v>53</v>
      </c>
      <c r="C3" s="63">
        <f>+'575'!C3+1</f>
        <v>576</v>
      </c>
      <c r="D3" s="5"/>
      <c r="E3" s="5"/>
      <c r="F3" s="5"/>
      <c r="G3" s="5" t="s">
        <v>52</v>
      </c>
      <c r="H3" s="31">
        <v>46236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9">
        <f>J2</f>
        <v>61754374</v>
      </c>
      <c r="C21" s="68">
        <f>VLOOKUP($K56,reff!E2:F29,2,0)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9" t="s">
        <v>35</v>
      </c>
      <c r="G21" s="69"/>
      <c r="H21" s="47" t="str">
        <f>IF(LEFT(G17,2)="CA","CA",IF(LEFT(G17,2)="UN","US",IF(LEFT(G17,2)="PA","PA",IF(LEFT(G17,2)="JA","JP"))))</f>
        <v>US</v>
      </c>
      <c r="I21" s="69" t="s">
        <v>34</v>
      </c>
      <c r="K21" s="20">
        <v>11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9" t="s">
        <v>25</v>
      </c>
      <c r="C23" s="69"/>
      <c r="D23" s="69" t="s">
        <v>24</v>
      </c>
      <c r="E23" s="69" t="str">
        <f>+D23</f>
        <v>JAKARTA,ID</v>
      </c>
      <c r="F23" s="23">
        <f>+O2</f>
        <v>129.5</v>
      </c>
      <c r="G23" s="23">
        <f>+N2</f>
        <v>117.3</v>
      </c>
      <c r="H23" s="23">
        <f>+M2</f>
        <v>114.134</v>
      </c>
      <c r="I23" s="69">
        <f>+L2</f>
        <v>14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1" t="s">
        <v>23</v>
      </c>
      <c r="C26" s="78"/>
      <c r="D26" s="78"/>
      <c r="E26" s="78"/>
      <c r="F26" s="78"/>
      <c r="G26" s="78"/>
      <c r="H26" s="78"/>
      <c r="I26" s="72"/>
    </row>
    <row r="27" spans="2:13" ht="24.75" customHeight="1" x14ac:dyDescent="0.2">
      <c r="B27" s="85" t="str">
        <f>+K4</f>
        <v>GIRLS COTTON FIBERS, KNIT PULLOVER, WITH NO NECK CLOSURE, STITCH COUNT IS GREATER THAN 9/2CM, REACHES WAIST [60% COTTON 40% RECYCLED POLYESTER]</v>
      </c>
      <c r="C27" s="86"/>
      <c r="D27" s="86"/>
      <c r="E27" s="86"/>
      <c r="F27" s="86"/>
      <c r="G27" s="86"/>
      <c r="H27" s="86"/>
      <c r="I27" s="8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9" t="s">
        <v>21</v>
      </c>
      <c r="C31" s="69" t="s">
        <v>20</v>
      </c>
      <c r="D31" s="88" t="s">
        <v>19</v>
      </c>
      <c r="E31" s="88"/>
      <c r="F31" s="88" t="s">
        <v>18</v>
      </c>
      <c r="G31" s="88"/>
      <c r="H31" s="69" t="s">
        <v>17</v>
      </c>
      <c r="I31" s="19" t="s">
        <v>16</v>
      </c>
      <c r="M31"/>
    </row>
    <row r="32" spans="2:13" ht="30.75" customHeight="1" x14ac:dyDescent="0.2">
      <c r="B32" s="41" t="s">
        <v>210</v>
      </c>
      <c r="C32" s="19" t="s">
        <v>204</v>
      </c>
      <c r="D32" s="75"/>
      <c r="E32" s="76"/>
      <c r="F32" s="75">
        <f>+K2</f>
        <v>1583</v>
      </c>
      <c r="G32" s="76"/>
      <c r="H32" s="17">
        <v>0.71</v>
      </c>
      <c r="I32" s="18">
        <f>+H32*F32</f>
        <v>1123.9299999999998</v>
      </c>
      <c r="K32" s="46"/>
      <c r="M32" s="39"/>
    </row>
    <row r="33" spans="2:11" ht="21" customHeight="1" x14ac:dyDescent="0.2">
      <c r="B33" s="15" t="s">
        <v>15</v>
      </c>
      <c r="C33" s="15"/>
      <c r="D33" s="71"/>
      <c r="E33" s="72"/>
      <c r="F33" s="71"/>
      <c r="G33" s="72"/>
      <c r="H33" s="17"/>
      <c r="I33" s="69"/>
    </row>
    <row r="34" spans="2:11" ht="21.75" customHeight="1" x14ac:dyDescent="0.2">
      <c r="B34" s="15" t="s">
        <v>14</v>
      </c>
      <c r="C34" s="15"/>
      <c r="D34" s="73"/>
      <c r="E34" s="74"/>
      <c r="F34" s="75">
        <f>SUM(F31:G33)</f>
        <v>1583</v>
      </c>
      <c r="G34" s="76"/>
      <c r="H34" s="15"/>
      <c r="I34" s="14">
        <f>SUM(I32:I33)</f>
        <v>1123.9299999999998</v>
      </c>
      <c r="J34" s="40"/>
      <c r="K34" s="40"/>
    </row>
    <row r="35" spans="2:11" ht="21.75" customHeight="1" x14ac:dyDescent="0.2">
      <c r="B35" s="16" t="s">
        <v>13</v>
      </c>
      <c r="C35" s="15"/>
      <c r="D35" s="71"/>
      <c r="E35" s="72"/>
      <c r="F35" s="71"/>
      <c r="G35" s="72"/>
      <c r="H35" s="15"/>
      <c r="I35" s="69"/>
      <c r="J35" s="40"/>
    </row>
    <row r="36" spans="2:11" ht="21.75" customHeight="1" x14ac:dyDescent="0.2">
      <c r="B36" s="16" t="s">
        <v>12</v>
      </c>
      <c r="C36" s="15"/>
      <c r="D36" s="71"/>
      <c r="E36" s="72"/>
      <c r="F36" s="71"/>
      <c r="G36" s="72"/>
      <c r="H36" s="15"/>
      <c r="I36" s="14">
        <f>+I34</f>
        <v>1123.9299999999998</v>
      </c>
    </row>
    <row r="37" spans="2:11" ht="20.25" customHeight="1" x14ac:dyDescent="0.2">
      <c r="B37" s="15" t="s">
        <v>80</v>
      </c>
      <c r="C37" s="71" t="s">
        <v>11</v>
      </c>
      <c r="D37" s="78"/>
      <c r="E37" s="78"/>
      <c r="F37" s="78"/>
      <c r="G37" s="78"/>
      <c r="H37" s="72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1123.9299999999998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9" t="s">
        <v>7</v>
      </c>
      <c r="C46" s="79"/>
      <c r="D46" s="79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265K0057</v>
      </c>
      <c r="I52" s="8"/>
      <c r="K52" s="20">
        <v>11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0" t="s">
        <v>1</v>
      </c>
      <c r="D55" s="80"/>
      <c r="E55" s="5"/>
      <c r="F55" s="5"/>
      <c r="G55" s="5"/>
      <c r="H55" s="5"/>
      <c r="I55" s="4"/>
    </row>
    <row r="56" spans="2:11" x14ac:dyDescent="0.2">
      <c r="B56" s="6"/>
      <c r="C56" s="81" t="s">
        <v>0</v>
      </c>
      <c r="D56" s="81"/>
      <c r="E56" s="5"/>
      <c r="F56" s="5"/>
      <c r="G56" s="5"/>
      <c r="H56" s="5"/>
      <c r="I56" s="4"/>
      <c r="K56" s="20">
        <v>11</v>
      </c>
    </row>
    <row r="57" spans="2:11" x14ac:dyDescent="0.2">
      <c r="B57" s="2"/>
      <c r="C57" s="77"/>
      <c r="D57" s="77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2" t="s">
        <v>211</v>
      </c>
      <c r="C2" s="83"/>
      <c r="D2" s="83"/>
      <c r="E2" s="83"/>
      <c r="F2" s="83"/>
      <c r="G2" s="83"/>
      <c r="H2" s="83"/>
      <c r="I2" s="84"/>
      <c r="J2" s="64">
        <v>61969459</v>
      </c>
      <c r="K2" s="65">
        <v>1177</v>
      </c>
      <c r="L2" s="66">
        <v>22</v>
      </c>
      <c r="M2" s="66">
        <v>126.78</v>
      </c>
      <c r="N2" s="66">
        <v>138.55000000000001</v>
      </c>
      <c r="O2" s="66">
        <v>156.25</v>
      </c>
      <c r="P2" s="66" t="s">
        <v>54</v>
      </c>
      <c r="Q2" s="66">
        <v>0.80500000000000005</v>
      </c>
      <c r="R2" s="66" t="s">
        <v>62</v>
      </c>
    </row>
    <row r="3" spans="2:22" x14ac:dyDescent="0.2">
      <c r="B3" s="6" t="s">
        <v>53</v>
      </c>
      <c r="C3" s="63">
        <f>+'576'!C3+1</f>
        <v>577</v>
      </c>
      <c r="D3" s="5"/>
      <c r="E3" s="5"/>
      <c r="F3" s="5"/>
      <c r="G3" s="5" t="s">
        <v>52</v>
      </c>
      <c r="H3" s="31">
        <v>46236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9">
        <f>J2</f>
        <v>61969459</v>
      </c>
      <c r="C21" s="68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9" t="s">
        <v>35</v>
      </c>
      <c r="G21" s="69"/>
      <c r="H21" s="47" t="str">
        <f>IF(LEFT(G17,2)="CA","CA",IF(LEFT(G17,2)="UN","US",IF(LEFT(G17,2)="PA","PA",IF(LEFT(G17,2)="JA","JP"))))</f>
        <v>US</v>
      </c>
      <c r="I21" s="69" t="s">
        <v>34</v>
      </c>
      <c r="K21" s="20">
        <v>12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9" t="s">
        <v>25</v>
      </c>
      <c r="C23" s="69"/>
      <c r="D23" s="69" t="s">
        <v>24</v>
      </c>
      <c r="E23" s="69" t="str">
        <f>+D23</f>
        <v>JAKARTA,ID</v>
      </c>
      <c r="F23" s="23">
        <f>+O2</f>
        <v>156.25</v>
      </c>
      <c r="G23" s="23">
        <f>+N2</f>
        <v>138.55000000000001</v>
      </c>
      <c r="H23" s="23">
        <f>+M2</f>
        <v>126.78</v>
      </c>
      <c r="I23" s="69">
        <f>+L2</f>
        <v>22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1" t="s">
        <v>23</v>
      </c>
      <c r="C26" s="78"/>
      <c r="D26" s="78"/>
      <c r="E26" s="78"/>
      <c r="F26" s="78"/>
      <c r="G26" s="78"/>
      <c r="H26" s="78"/>
      <c r="I26" s="72"/>
    </row>
    <row r="27" spans="2:13" ht="24.75" customHeight="1" x14ac:dyDescent="0.2">
      <c r="B27" s="85" t="str">
        <f>+K4</f>
        <v>WOMENS COTTON FIBERS, KNIT PULLOVER, WITH NO NECK CLOSURE, STITCH COUNT IS GREATER THAN 9/2CM, REACHES WAIST, SLEEVELESS [96% COTTON 4% SPANDEX]</v>
      </c>
      <c r="C27" s="86"/>
      <c r="D27" s="86"/>
      <c r="E27" s="86"/>
      <c r="F27" s="86"/>
      <c r="G27" s="86"/>
      <c r="H27" s="86"/>
      <c r="I27" s="8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9" t="s">
        <v>21</v>
      </c>
      <c r="C31" s="69" t="s">
        <v>20</v>
      </c>
      <c r="D31" s="88" t="s">
        <v>19</v>
      </c>
      <c r="E31" s="88"/>
      <c r="F31" s="88" t="s">
        <v>18</v>
      </c>
      <c r="G31" s="88"/>
      <c r="H31" s="69" t="s">
        <v>17</v>
      </c>
      <c r="I31" s="19" t="s">
        <v>16</v>
      </c>
      <c r="M31"/>
    </row>
    <row r="32" spans="2:13" ht="24.75" customHeight="1" x14ac:dyDescent="0.2">
      <c r="B32" s="41">
        <v>21</v>
      </c>
      <c r="C32" s="19" t="s">
        <v>179</v>
      </c>
      <c r="D32" s="75"/>
      <c r="E32" s="76"/>
      <c r="F32" s="75">
        <f>+K2</f>
        <v>1177</v>
      </c>
      <c r="G32" s="76"/>
      <c r="H32" s="17">
        <v>0.76</v>
      </c>
      <c r="I32" s="18">
        <f>+H32*F32</f>
        <v>894.52</v>
      </c>
      <c r="K32" s="46"/>
      <c r="M32" s="39"/>
    </row>
    <row r="33" spans="2:11" ht="21" customHeight="1" x14ac:dyDescent="0.2">
      <c r="B33" s="15" t="s">
        <v>15</v>
      </c>
      <c r="C33" s="15"/>
      <c r="D33" s="71"/>
      <c r="E33" s="72"/>
      <c r="F33" s="71"/>
      <c r="G33" s="72"/>
      <c r="H33" s="17"/>
      <c r="I33" s="69"/>
    </row>
    <row r="34" spans="2:11" ht="21.75" customHeight="1" x14ac:dyDescent="0.2">
      <c r="B34" s="15" t="s">
        <v>14</v>
      </c>
      <c r="C34" s="15"/>
      <c r="D34" s="73"/>
      <c r="E34" s="74"/>
      <c r="F34" s="75">
        <f>SUM(F31:G33)</f>
        <v>1177</v>
      </c>
      <c r="G34" s="76"/>
      <c r="H34" s="15"/>
      <c r="I34" s="14">
        <f>SUM(I32:I33)</f>
        <v>894.52</v>
      </c>
      <c r="J34" s="40"/>
      <c r="K34" s="40"/>
    </row>
    <row r="35" spans="2:11" ht="21.75" customHeight="1" x14ac:dyDescent="0.2">
      <c r="B35" s="16" t="s">
        <v>13</v>
      </c>
      <c r="C35" s="15"/>
      <c r="D35" s="71"/>
      <c r="E35" s="72"/>
      <c r="F35" s="71"/>
      <c r="G35" s="72"/>
      <c r="H35" s="15"/>
      <c r="I35" s="69"/>
      <c r="J35" s="40"/>
    </row>
    <row r="36" spans="2:11" ht="21.75" customHeight="1" x14ac:dyDescent="0.2">
      <c r="B36" s="16" t="s">
        <v>12</v>
      </c>
      <c r="C36" s="15"/>
      <c r="D36" s="71"/>
      <c r="E36" s="72"/>
      <c r="F36" s="71"/>
      <c r="G36" s="72"/>
      <c r="H36" s="15"/>
      <c r="I36" s="14">
        <f>+I34</f>
        <v>894.52</v>
      </c>
    </row>
    <row r="37" spans="2:11" ht="20.25" customHeight="1" x14ac:dyDescent="0.2">
      <c r="B37" s="15" t="s">
        <v>80</v>
      </c>
      <c r="C37" s="71" t="s">
        <v>11</v>
      </c>
      <c r="D37" s="78"/>
      <c r="E37" s="78"/>
      <c r="F37" s="78"/>
      <c r="G37" s="78"/>
      <c r="H37" s="72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894.52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9" t="s">
        <v>7</v>
      </c>
      <c r="C46" s="79"/>
      <c r="D46" s="79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 s="20">
        <v>12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0" t="s">
        <v>1</v>
      </c>
      <c r="D55" s="80"/>
      <c r="E55" s="5"/>
      <c r="F55" s="5"/>
      <c r="G55" s="5"/>
      <c r="H55" s="5"/>
      <c r="I55" s="4"/>
    </row>
    <row r="56" spans="2:11" x14ac:dyDescent="0.2">
      <c r="B56" s="6"/>
      <c r="C56" s="81" t="s">
        <v>0</v>
      </c>
      <c r="D56" s="81"/>
      <c r="E56" s="5"/>
      <c r="F56" s="5"/>
      <c r="G56" s="5"/>
      <c r="H56" s="5"/>
      <c r="I56" s="4"/>
      <c r="K56" s="20">
        <v>12</v>
      </c>
    </row>
    <row r="57" spans="2:11" x14ac:dyDescent="0.2">
      <c r="B57" s="2"/>
      <c r="C57" s="77"/>
      <c r="D57" s="77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2" t="s">
        <v>211</v>
      </c>
      <c r="C2" s="83"/>
      <c r="D2" s="83"/>
      <c r="E2" s="83"/>
      <c r="F2" s="83"/>
      <c r="G2" s="83"/>
      <c r="H2" s="83"/>
      <c r="I2" s="84"/>
      <c r="J2" s="64">
        <v>62014999</v>
      </c>
      <c r="K2" s="65">
        <v>1034</v>
      </c>
      <c r="L2" s="66">
        <v>17</v>
      </c>
      <c r="M2" s="66">
        <v>106.85</v>
      </c>
      <c r="N2" s="66">
        <v>117.19</v>
      </c>
      <c r="O2" s="66">
        <v>131.09</v>
      </c>
      <c r="P2" s="66" t="s">
        <v>54</v>
      </c>
      <c r="Q2" s="66">
        <v>0.66</v>
      </c>
      <c r="R2" s="66" t="s">
        <v>62</v>
      </c>
    </row>
    <row r="3" spans="2:22" x14ac:dyDescent="0.2">
      <c r="B3" s="6" t="s">
        <v>53</v>
      </c>
      <c r="C3" s="63">
        <f>+'577'!C3+1</f>
        <v>578</v>
      </c>
      <c r="D3" s="5"/>
      <c r="E3" s="5"/>
      <c r="F3" s="5"/>
      <c r="G3" s="5" t="s">
        <v>52</v>
      </c>
      <c r="H3" s="31">
        <v>46236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9">
        <f>J2</f>
        <v>62014999</v>
      </c>
      <c r="C21" s="68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9" t="s">
        <v>35</v>
      </c>
      <c r="G21" s="69"/>
      <c r="H21" s="47" t="str">
        <f>IF(LEFT(G17,2)="CA","CA",IF(LEFT(G17,2)="UN","US",IF(LEFT(G17,2)="PA","PA",IF(LEFT(G17,2)="JA","JP"))))</f>
        <v>US</v>
      </c>
      <c r="I21" s="69" t="s">
        <v>34</v>
      </c>
      <c r="K21" s="20">
        <v>13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9" t="s">
        <v>25</v>
      </c>
      <c r="C23" s="69"/>
      <c r="D23" s="69" t="s">
        <v>24</v>
      </c>
      <c r="E23" s="69" t="str">
        <f>+D23</f>
        <v>JAKARTA,ID</v>
      </c>
      <c r="F23" s="23">
        <f>+O2</f>
        <v>131.09</v>
      </c>
      <c r="G23" s="23">
        <f>+N2</f>
        <v>117.19</v>
      </c>
      <c r="H23" s="23">
        <f>+M2</f>
        <v>106.85</v>
      </c>
      <c r="I23" s="69">
        <f>+L2</f>
        <v>17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1" t="s">
        <v>23</v>
      </c>
      <c r="C26" s="78"/>
      <c r="D26" s="78"/>
      <c r="E26" s="78"/>
      <c r="F26" s="78"/>
      <c r="G26" s="78"/>
      <c r="H26" s="78"/>
      <c r="I26" s="72"/>
    </row>
    <row r="27" spans="2:13" ht="24.75" customHeight="1" x14ac:dyDescent="0.2">
      <c r="B27" s="85" t="str">
        <f>+K4</f>
        <v>WOMENS COTTON FIBERS, KNIT PULLOVER, WITH NO NECK CLOSURE, STITCH COUNT IS GREATER THAN 9/2CM, REACHES WAIST, SLEEVELESS [96% COTTON 4% SPANDEX]</v>
      </c>
      <c r="C27" s="86"/>
      <c r="D27" s="86"/>
      <c r="E27" s="86"/>
      <c r="F27" s="86"/>
      <c r="G27" s="86"/>
      <c r="H27" s="86"/>
      <c r="I27" s="8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9" t="s">
        <v>21</v>
      </c>
      <c r="C31" s="69" t="s">
        <v>20</v>
      </c>
      <c r="D31" s="88" t="s">
        <v>19</v>
      </c>
      <c r="E31" s="88"/>
      <c r="F31" s="88" t="s">
        <v>18</v>
      </c>
      <c r="G31" s="88"/>
      <c r="H31" s="69" t="s">
        <v>17</v>
      </c>
      <c r="I31" s="19" t="s">
        <v>16</v>
      </c>
      <c r="M31"/>
    </row>
    <row r="32" spans="2:13" ht="30" customHeight="1" x14ac:dyDescent="0.2">
      <c r="B32" s="41">
        <v>16</v>
      </c>
      <c r="C32" s="19" t="s">
        <v>192</v>
      </c>
      <c r="D32" s="75"/>
      <c r="E32" s="76"/>
      <c r="F32" s="75">
        <f>+K2</f>
        <v>1034</v>
      </c>
      <c r="G32" s="76"/>
      <c r="H32" s="17">
        <v>0.76</v>
      </c>
      <c r="I32" s="18">
        <f>+H32*F32</f>
        <v>785.84</v>
      </c>
      <c r="K32" s="46"/>
      <c r="M32" s="39"/>
    </row>
    <row r="33" spans="2:11" ht="21" customHeight="1" x14ac:dyDescent="0.2">
      <c r="B33" s="15" t="s">
        <v>15</v>
      </c>
      <c r="C33" s="15"/>
      <c r="D33" s="71"/>
      <c r="E33" s="72"/>
      <c r="F33" s="71"/>
      <c r="G33" s="72"/>
      <c r="H33" s="17"/>
      <c r="I33" s="69"/>
    </row>
    <row r="34" spans="2:11" ht="21.75" customHeight="1" x14ac:dyDescent="0.2">
      <c r="B34" s="15" t="s">
        <v>14</v>
      </c>
      <c r="C34" s="15"/>
      <c r="D34" s="73"/>
      <c r="E34" s="74"/>
      <c r="F34" s="75">
        <f>SUM(F32:G33)</f>
        <v>1034</v>
      </c>
      <c r="G34" s="76"/>
      <c r="H34" s="15"/>
      <c r="I34" s="14">
        <f>SUM(I32:I33)</f>
        <v>785.84</v>
      </c>
      <c r="J34" s="40"/>
      <c r="K34" s="40"/>
    </row>
    <row r="35" spans="2:11" ht="21.75" customHeight="1" x14ac:dyDescent="0.2">
      <c r="B35" s="16" t="s">
        <v>13</v>
      </c>
      <c r="C35" s="15"/>
      <c r="D35" s="71"/>
      <c r="E35" s="72"/>
      <c r="F35" s="71"/>
      <c r="G35" s="72"/>
      <c r="H35" s="15"/>
      <c r="I35" s="69"/>
      <c r="J35" s="40"/>
    </row>
    <row r="36" spans="2:11" ht="21.75" customHeight="1" x14ac:dyDescent="0.2">
      <c r="B36" s="16" t="s">
        <v>12</v>
      </c>
      <c r="C36" s="15"/>
      <c r="D36" s="71"/>
      <c r="E36" s="72"/>
      <c r="F36" s="71"/>
      <c r="G36" s="72"/>
      <c r="H36" s="15"/>
      <c r="I36" s="14">
        <f>+I34</f>
        <v>785.84</v>
      </c>
    </row>
    <row r="37" spans="2:11" ht="20.25" customHeight="1" x14ac:dyDescent="0.2">
      <c r="B37" s="15" t="s">
        <v>80</v>
      </c>
      <c r="C37" s="71" t="s">
        <v>11</v>
      </c>
      <c r="D37" s="78"/>
      <c r="E37" s="78"/>
      <c r="F37" s="78"/>
      <c r="G37" s="78"/>
      <c r="H37" s="72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785.84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9" t="s">
        <v>7</v>
      </c>
      <c r="C46" s="79"/>
      <c r="D46" s="79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 s="20">
        <v>13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0" t="s">
        <v>1</v>
      </c>
      <c r="D55" s="80"/>
      <c r="E55" s="5"/>
      <c r="F55" s="5"/>
      <c r="G55" s="5"/>
      <c r="H55" s="5"/>
      <c r="I55" s="4"/>
    </row>
    <row r="56" spans="2:11" x14ac:dyDescent="0.2">
      <c r="B56" s="6"/>
      <c r="C56" s="81" t="s">
        <v>0</v>
      </c>
      <c r="D56" s="81"/>
      <c r="E56" s="5"/>
      <c r="F56" s="5"/>
      <c r="G56" s="5"/>
      <c r="H56" s="5"/>
      <c r="I56" s="4"/>
      <c r="K56" s="20">
        <v>13</v>
      </c>
    </row>
    <row r="57" spans="2:11" x14ac:dyDescent="0.2">
      <c r="B57" s="2"/>
      <c r="C57" s="77"/>
      <c r="D57" s="77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5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2" t="s">
        <v>211</v>
      </c>
      <c r="C2" s="83"/>
      <c r="D2" s="83"/>
      <c r="E2" s="83"/>
      <c r="F2" s="83"/>
      <c r="G2" s="83"/>
      <c r="H2" s="83"/>
      <c r="I2" s="84"/>
      <c r="J2" s="64">
        <v>62015068</v>
      </c>
      <c r="K2" s="65">
        <v>10132</v>
      </c>
      <c r="L2" s="66">
        <v>210</v>
      </c>
      <c r="M2" s="70">
        <v>1044.95</v>
      </c>
      <c r="N2" s="70">
        <v>1399.57</v>
      </c>
      <c r="O2" s="70">
        <v>1601.37</v>
      </c>
      <c r="P2" s="66" t="s">
        <v>54</v>
      </c>
      <c r="Q2" s="66">
        <v>12.715</v>
      </c>
      <c r="R2" s="66" t="s">
        <v>62</v>
      </c>
    </row>
    <row r="3" spans="2:22" x14ac:dyDescent="0.2">
      <c r="B3" s="6" t="s">
        <v>53</v>
      </c>
      <c r="C3" s="63">
        <f>+'578'!C3+1</f>
        <v>579</v>
      </c>
      <c r="D3" s="5"/>
      <c r="E3" s="5"/>
      <c r="F3" s="5"/>
      <c r="G3" s="5" t="s">
        <v>52</v>
      </c>
      <c r="H3" s="31">
        <v>46236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9">
        <f>J2</f>
        <v>62015068</v>
      </c>
      <c r="C21" s="68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9" t="s">
        <v>35</v>
      </c>
      <c r="G21" s="69"/>
      <c r="H21" s="47" t="str">
        <f>IF(LEFT(G17,2)="CA","CA",IF(LEFT(G17,2)="UN","US",IF(LEFT(G17,2)="PA","PA",IF(LEFT(G17,2)="JA","JP"))))</f>
        <v>US</v>
      </c>
      <c r="I21" s="69" t="s">
        <v>34</v>
      </c>
      <c r="K21" s="20">
        <v>14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9" t="s">
        <v>25</v>
      </c>
      <c r="C23" s="69"/>
      <c r="D23" s="69" t="s">
        <v>24</v>
      </c>
      <c r="E23" s="69" t="str">
        <f>+D23</f>
        <v>JAKARTA,ID</v>
      </c>
      <c r="F23" s="23">
        <f>+O2</f>
        <v>1601.37</v>
      </c>
      <c r="G23" s="23">
        <f>+N2</f>
        <v>1399.57</v>
      </c>
      <c r="H23" s="23">
        <f>+M2</f>
        <v>1044.95</v>
      </c>
      <c r="I23" s="69">
        <f>+L2</f>
        <v>210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1" t="s">
        <v>23</v>
      </c>
      <c r="C26" s="78"/>
      <c r="D26" s="78"/>
      <c r="E26" s="78"/>
      <c r="F26" s="78"/>
      <c r="G26" s="78"/>
      <c r="H26" s="78"/>
      <c r="I26" s="72"/>
    </row>
    <row r="27" spans="2:13" ht="24.75" customHeight="1" x14ac:dyDescent="0.2">
      <c r="B27" s="85" t="str">
        <f>+K4</f>
        <v>WOMENS COTTON FIBERS, KNIT PULLOVER, WITH NO NECK CLOSURE, STITCH COUNT IS GREATER THAN 9/2CM, REACHES WAIST, SLEEVELESS [96% COTTON 4% SPANDEX]</v>
      </c>
      <c r="C27" s="86"/>
      <c r="D27" s="86"/>
      <c r="E27" s="86"/>
      <c r="F27" s="86"/>
      <c r="G27" s="86"/>
      <c r="H27" s="86"/>
      <c r="I27" s="8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9" t="s">
        <v>21</v>
      </c>
      <c r="C31" s="69" t="s">
        <v>20</v>
      </c>
      <c r="D31" s="88" t="s">
        <v>19</v>
      </c>
      <c r="E31" s="88"/>
      <c r="F31" s="88" t="s">
        <v>18</v>
      </c>
      <c r="G31" s="88"/>
      <c r="H31" s="69" t="s">
        <v>17</v>
      </c>
      <c r="I31" s="19" t="s">
        <v>16</v>
      </c>
      <c r="M31"/>
    </row>
    <row r="32" spans="2:13" ht="35.25" customHeight="1" x14ac:dyDescent="0.2">
      <c r="B32" s="41" t="s">
        <v>196</v>
      </c>
      <c r="C32" s="19" t="s">
        <v>195</v>
      </c>
      <c r="D32" s="75"/>
      <c r="E32" s="76"/>
      <c r="F32" s="75">
        <f>+K2</f>
        <v>10132</v>
      </c>
      <c r="G32" s="76"/>
      <c r="H32" s="17">
        <v>0.76</v>
      </c>
      <c r="I32" s="18">
        <f>+H32*F32</f>
        <v>7700.32</v>
      </c>
      <c r="K32" s="46"/>
      <c r="M32" s="39"/>
    </row>
    <row r="33" spans="2:11" ht="21" customHeight="1" x14ac:dyDescent="0.2">
      <c r="B33" s="15" t="s">
        <v>15</v>
      </c>
      <c r="C33" s="15"/>
      <c r="D33" s="71"/>
      <c r="E33" s="72"/>
      <c r="F33" s="71"/>
      <c r="G33" s="72"/>
      <c r="H33" s="17"/>
      <c r="I33" s="69"/>
    </row>
    <row r="34" spans="2:11" ht="21.75" customHeight="1" x14ac:dyDescent="0.2">
      <c r="B34" s="15" t="s">
        <v>14</v>
      </c>
      <c r="C34" s="15"/>
      <c r="D34" s="73"/>
      <c r="E34" s="74"/>
      <c r="F34" s="75">
        <f>SUM(F32:G33)</f>
        <v>10132</v>
      </c>
      <c r="G34" s="76"/>
      <c r="H34" s="15"/>
      <c r="I34" s="14">
        <f>SUM(I32:I32)</f>
        <v>7700.32</v>
      </c>
      <c r="J34" s="40"/>
      <c r="K34" s="40"/>
    </row>
    <row r="35" spans="2:11" ht="21.75" customHeight="1" x14ac:dyDescent="0.2">
      <c r="B35" s="16" t="s">
        <v>13</v>
      </c>
      <c r="C35" s="15"/>
      <c r="D35" s="71"/>
      <c r="E35" s="72"/>
      <c r="F35" s="71"/>
      <c r="G35" s="72"/>
      <c r="H35" s="15"/>
      <c r="I35" s="69"/>
      <c r="J35" s="40"/>
    </row>
    <row r="36" spans="2:11" ht="21.75" customHeight="1" x14ac:dyDescent="0.2">
      <c r="B36" s="16" t="s">
        <v>12</v>
      </c>
      <c r="C36" s="15"/>
      <c r="D36" s="71"/>
      <c r="E36" s="72"/>
      <c r="F36" s="71"/>
      <c r="G36" s="72"/>
      <c r="H36" s="15"/>
      <c r="I36" s="14">
        <f>+I34</f>
        <v>7700.32</v>
      </c>
    </row>
    <row r="37" spans="2:11" ht="20.25" customHeight="1" x14ac:dyDescent="0.2">
      <c r="B37" s="15" t="s">
        <v>80</v>
      </c>
      <c r="C37" s="71" t="s">
        <v>11</v>
      </c>
      <c r="D37" s="78"/>
      <c r="E37" s="78"/>
      <c r="F37" s="78"/>
      <c r="G37" s="78"/>
      <c r="H37" s="72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7700.32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9" t="s">
        <v>7</v>
      </c>
      <c r="C46" s="79"/>
      <c r="D46" s="79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 s="20">
        <v>14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0" t="s">
        <v>1</v>
      </c>
      <c r="D55" s="80"/>
      <c r="E55" s="5"/>
      <c r="F55" s="5"/>
      <c r="G55" s="5"/>
      <c r="H55" s="5"/>
      <c r="I55" s="4"/>
    </row>
    <row r="56" spans="2:11" x14ac:dyDescent="0.2">
      <c r="B56" s="6"/>
      <c r="C56" s="81" t="s">
        <v>0</v>
      </c>
      <c r="D56" s="81"/>
      <c r="E56" s="5"/>
      <c r="F56" s="5"/>
      <c r="G56" s="5"/>
      <c r="H56" s="5"/>
      <c r="I56" s="4"/>
      <c r="K56" s="20">
        <v>14</v>
      </c>
    </row>
    <row r="57" spans="2:11" x14ac:dyDescent="0.2">
      <c r="B57" s="2"/>
      <c r="C57" s="77"/>
      <c r="D57" s="77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2" t="s">
        <v>211</v>
      </c>
      <c r="C2" s="83"/>
      <c r="D2" s="83"/>
      <c r="E2" s="83"/>
      <c r="F2" s="83"/>
      <c r="G2" s="83"/>
      <c r="H2" s="83"/>
      <c r="I2" s="84"/>
      <c r="J2" s="64">
        <v>62023872</v>
      </c>
      <c r="K2" s="65">
        <v>10852</v>
      </c>
      <c r="L2" s="66">
        <v>162</v>
      </c>
      <c r="M2" s="70">
        <v>1156.33</v>
      </c>
      <c r="N2" s="70">
        <v>1264.8499999999999</v>
      </c>
      <c r="O2" s="70">
        <v>1401.95</v>
      </c>
      <c r="P2" s="66" t="s">
        <v>54</v>
      </c>
      <c r="Q2" s="66">
        <v>7.0229999999999997</v>
      </c>
      <c r="R2" s="66" t="s">
        <v>62</v>
      </c>
    </row>
    <row r="3" spans="2:22" x14ac:dyDescent="0.2">
      <c r="B3" s="6" t="s">
        <v>53</v>
      </c>
      <c r="C3" s="63">
        <f>+'579'!C3+1</f>
        <v>580</v>
      </c>
      <c r="D3" s="5"/>
      <c r="E3" s="5"/>
      <c r="F3" s="5"/>
      <c r="G3" s="5" t="s">
        <v>52</v>
      </c>
      <c r="H3" s="31">
        <v>46236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9">
        <f>J2</f>
        <v>62023872</v>
      </c>
      <c r="C21" s="68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9" t="s">
        <v>35</v>
      </c>
      <c r="G21" s="69"/>
      <c r="H21" s="47" t="str">
        <f>IF(LEFT(G17,2)="CA","CA",IF(LEFT(G17,2)="UN","US",IF(LEFT(G17,2)="PA","PA",IF(LEFT(G17,2)="JA","JP"))))</f>
        <v>US</v>
      </c>
      <c r="I21" s="69" t="s">
        <v>34</v>
      </c>
      <c r="K21" s="20">
        <v>15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9" t="s">
        <v>25</v>
      </c>
      <c r="C23" s="69"/>
      <c r="D23" s="69" t="s">
        <v>24</v>
      </c>
      <c r="E23" s="69" t="str">
        <f>+D23</f>
        <v>JAKARTA,ID</v>
      </c>
      <c r="F23" s="23">
        <f>+O2</f>
        <v>1401.95</v>
      </c>
      <c r="G23" s="23">
        <f>+N2</f>
        <v>1264.8499999999999</v>
      </c>
      <c r="H23" s="23">
        <f>+M2</f>
        <v>1156.33</v>
      </c>
      <c r="I23" s="69">
        <f>+L2</f>
        <v>162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1" t="s">
        <v>23</v>
      </c>
      <c r="C26" s="78"/>
      <c r="D26" s="78"/>
      <c r="E26" s="78"/>
      <c r="F26" s="78"/>
      <c r="G26" s="78"/>
      <c r="H26" s="78"/>
      <c r="I26" s="72"/>
    </row>
    <row r="27" spans="2:13" ht="24.75" customHeight="1" x14ac:dyDescent="0.2">
      <c r="B27" s="85" t="str">
        <f>+K4</f>
        <v>WOMENS COTTON FIBERS, KNIT PULLOVER, WITH NO NECK CLOSURE, STITCH COUNT IS GREATER THAN 9/2CM, REACHES WAIST, SLEEVELESS [96% COTTON 4% SPANDEX]</v>
      </c>
      <c r="C27" s="86"/>
      <c r="D27" s="86"/>
      <c r="E27" s="86"/>
      <c r="F27" s="86"/>
      <c r="G27" s="86"/>
      <c r="H27" s="86"/>
      <c r="I27" s="8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9" t="s">
        <v>21</v>
      </c>
      <c r="C31" s="69" t="s">
        <v>20</v>
      </c>
      <c r="D31" s="88" t="s">
        <v>19</v>
      </c>
      <c r="E31" s="88"/>
      <c r="F31" s="88" t="s">
        <v>18</v>
      </c>
      <c r="G31" s="88"/>
      <c r="H31" s="69" t="s">
        <v>17</v>
      </c>
      <c r="I31" s="19" t="s">
        <v>16</v>
      </c>
      <c r="M31"/>
    </row>
    <row r="32" spans="2:13" ht="48" customHeight="1" x14ac:dyDescent="0.2">
      <c r="B32" s="62" t="s">
        <v>194</v>
      </c>
      <c r="C32" s="19" t="s">
        <v>193</v>
      </c>
      <c r="D32" s="75"/>
      <c r="E32" s="76"/>
      <c r="F32" s="75">
        <f>+K2</f>
        <v>10852</v>
      </c>
      <c r="G32" s="76"/>
      <c r="H32" s="17">
        <v>0.76</v>
      </c>
      <c r="I32" s="18">
        <f>+H32*F32</f>
        <v>8247.52</v>
      </c>
      <c r="K32" s="46"/>
      <c r="M32" s="39"/>
    </row>
    <row r="33" spans="2:11" ht="21" customHeight="1" x14ac:dyDescent="0.2">
      <c r="B33" s="15" t="s">
        <v>15</v>
      </c>
      <c r="C33" s="15"/>
      <c r="D33" s="71"/>
      <c r="E33" s="72"/>
      <c r="F33" s="71"/>
      <c r="G33" s="72"/>
      <c r="H33" s="17"/>
      <c r="I33" s="69"/>
    </row>
    <row r="34" spans="2:11" ht="21.75" customHeight="1" x14ac:dyDescent="0.2">
      <c r="B34" s="15" t="s">
        <v>14</v>
      </c>
      <c r="C34" s="15"/>
      <c r="D34" s="73"/>
      <c r="E34" s="74"/>
      <c r="F34" s="75">
        <f>SUM(F32:G33)</f>
        <v>10852</v>
      </c>
      <c r="G34" s="76"/>
      <c r="H34" s="15"/>
      <c r="I34" s="14">
        <f>SUM(I32:I33)</f>
        <v>8247.52</v>
      </c>
      <c r="J34" s="40"/>
      <c r="K34" s="40"/>
    </row>
    <row r="35" spans="2:11" ht="21.75" customHeight="1" x14ac:dyDescent="0.2">
      <c r="B35" s="16" t="s">
        <v>13</v>
      </c>
      <c r="C35" s="15"/>
      <c r="D35" s="71"/>
      <c r="E35" s="72"/>
      <c r="F35" s="71"/>
      <c r="G35" s="72"/>
      <c r="H35" s="15"/>
      <c r="I35" s="69"/>
      <c r="J35" s="40"/>
    </row>
    <row r="36" spans="2:11" ht="21.75" customHeight="1" x14ac:dyDescent="0.2">
      <c r="B36" s="16" t="s">
        <v>12</v>
      </c>
      <c r="C36" s="15"/>
      <c r="D36" s="71"/>
      <c r="E36" s="72"/>
      <c r="F36" s="71"/>
      <c r="G36" s="72"/>
      <c r="H36" s="15"/>
      <c r="I36" s="14">
        <f>+I34</f>
        <v>8247.52</v>
      </c>
    </row>
    <row r="37" spans="2:11" ht="20.25" customHeight="1" x14ac:dyDescent="0.2">
      <c r="B37" s="15" t="s">
        <v>80</v>
      </c>
      <c r="C37" s="71" t="s">
        <v>11</v>
      </c>
      <c r="D37" s="78"/>
      <c r="E37" s="78"/>
      <c r="F37" s="78"/>
      <c r="G37" s="78"/>
      <c r="H37" s="72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8247.52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9" t="s">
        <v>7</v>
      </c>
      <c r="C46" s="79"/>
      <c r="D46" s="79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 s="20">
        <v>15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0" t="s">
        <v>1</v>
      </c>
      <c r="D55" s="80"/>
      <c r="E55" s="5"/>
      <c r="F55" s="5"/>
      <c r="G55" s="5"/>
      <c r="H55" s="5"/>
      <c r="I55" s="4"/>
    </row>
    <row r="56" spans="2:11" x14ac:dyDescent="0.2">
      <c r="B56" s="6"/>
      <c r="C56" s="81" t="s">
        <v>0</v>
      </c>
      <c r="D56" s="81"/>
      <c r="E56" s="5"/>
      <c r="F56" s="5"/>
      <c r="G56" s="5"/>
      <c r="H56" s="5"/>
      <c r="I56" s="4"/>
      <c r="K56" s="20">
        <v>15</v>
      </c>
    </row>
    <row r="57" spans="2:11" x14ac:dyDescent="0.2">
      <c r="B57" s="2"/>
      <c r="C57" s="77"/>
      <c r="D57" s="77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2" t="s">
        <v>211</v>
      </c>
      <c r="C2" s="83"/>
      <c r="D2" s="83"/>
      <c r="E2" s="83"/>
      <c r="F2" s="83"/>
      <c r="G2" s="83"/>
      <c r="H2" s="83"/>
      <c r="I2" s="84"/>
      <c r="J2" s="64">
        <v>61953782</v>
      </c>
      <c r="K2" s="65">
        <v>10541</v>
      </c>
      <c r="L2" s="66">
        <v>232</v>
      </c>
      <c r="M2" s="65">
        <v>1093</v>
      </c>
      <c r="N2" s="70">
        <v>1461.9349999999999</v>
      </c>
      <c r="O2" s="70">
        <v>1680.7349999999999</v>
      </c>
      <c r="P2" s="66" t="s">
        <v>54</v>
      </c>
      <c r="Q2" s="66">
        <v>13.353</v>
      </c>
      <c r="R2" s="66" t="s">
        <v>62</v>
      </c>
    </row>
    <row r="3" spans="2:22" x14ac:dyDescent="0.2">
      <c r="B3" s="6" t="s">
        <v>53</v>
      </c>
      <c r="C3" s="63">
        <f>+'580'!C3+1</f>
        <v>581</v>
      </c>
      <c r="D3" s="5"/>
      <c r="E3" s="5"/>
      <c r="F3" s="5"/>
      <c r="G3" s="5" t="s">
        <v>52</v>
      </c>
      <c r="H3" s="31">
        <v>46236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9">
        <f>J2</f>
        <v>61953782</v>
      </c>
      <c r="C21" s="68">
        <f>VLOOKUP($K55,reff!E2:F29,2,0)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9" t="s">
        <v>35</v>
      </c>
      <c r="G21" s="69"/>
      <c r="H21" s="47" t="str">
        <f>IF(LEFT(G17,2)="CA","CA",IF(LEFT(G17,2)="UN","US",IF(LEFT(G17,2)="PA","PA",IF(LEFT(G17,2)="JA","JP"))))</f>
        <v>US</v>
      </c>
      <c r="I21" s="69" t="s">
        <v>34</v>
      </c>
      <c r="K21" s="20">
        <v>16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9" t="s">
        <v>25</v>
      </c>
      <c r="C23" s="69"/>
      <c r="D23" s="69" t="s">
        <v>24</v>
      </c>
      <c r="E23" s="69" t="str">
        <f>+D23</f>
        <v>JAKARTA,ID</v>
      </c>
      <c r="F23" s="23">
        <f>+O2</f>
        <v>1680.7349999999999</v>
      </c>
      <c r="G23" s="23">
        <f>+N2</f>
        <v>1461.9349999999999</v>
      </c>
      <c r="H23" s="23">
        <f>+M2</f>
        <v>1093</v>
      </c>
      <c r="I23" s="69">
        <f>+L2</f>
        <v>232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1" t="s">
        <v>23</v>
      </c>
      <c r="C26" s="78"/>
      <c r="D26" s="78"/>
      <c r="E26" s="78"/>
      <c r="F26" s="78"/>
      <c r="G26" s="78"/>
      <c r="H26" s="78"/>
      <c r="I26" s="72"/>
    </row>
    <row r="27" spans="2:13" ht="24.75" customHeight="1" x14ac:dyDescent="0.2">
      <c r="B27" s="85" t="str">
        <f>+K4</f>
        <v>WOMENS COTTON FIBERS, KNIT PULLOVER, WITH NO NECK CLOSURE, STITCH COUNT IS GREATER THAN 9/2CM, REACHES WAIST, SLEEVELESS [96% COTTON 4% SPANDEX]</v>
      </c>
      <c r="C27" s="86"/>
      <c r="D27" s="86"/>
      <c r="E27" s="86"/>
      <c r="F27" s="86"/>
      <c r="G27" s="86"/>
      <c r="H27" s="86"/>
      <c r="I27" s="8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9" t="s">
        <v>21</v>
      </c>
      <c r="C31" s="69" t="s">
        <v>20</v>
      </c>
      <c r="D31" s="88" t="s">
        <v>19</v>
      </c>
      <c r="E31" s="88"/>
      <c r="F31" s="88" t="s">
        <v>18</v>
      </c>
      <c r="G31" s="88"/>
      <c r="H31" s="69" t="s">
        <v>17</v>
      </c>
      <c r="I31" s="19" t="s">
        <v>16</v>
      </c>
      <c r="M31"/>
    </row>
    <row r="32" spans="2:13" ht="42.75" customHeight="1" x14ac:dyDescent="0.2">
      <c r="B32" s="62" t="s">
        <v>194</v>
      </c>
      <c r="C32" s="19" t="s">
        <v>193</v>
      </c>
      <c r="D32" s="75"/>
      <c r="E32" s="76"/>
      <c r="F32" s="75">
        <f>+K2</f>
        <v>10541</v>
      </c>
      <c r="G32" s="76"/>
      <c r="H32" s="17">
        <v>0.76</v>
      </c>
      <c r="I32" s="18">
        <f>+H32*F32</f>
        <v>8011.16</v>
      </c>
      <c r="K32" s="46"/>
      <c r="M32" s="39"/>
    </row>
    <row r="33" spans="2:11" ht="21" customHeight="1" x14ac:dyDescent="0.2">
      <c r="B33" s="15" t="s">
        <v>15</v>
      </c>
      <c r="C33" s="15"/>
      <c r="D33" s="71"/>
      <c r="E33" s="72"/>
      <c r="F33" s="71"/>
      <c r="G33" s="72"/>
      <c r="H33" s="17"/>
      <c r="I33" s="69"/>
    </row>
    <row r="34" spans="2:11" ht="21.75" customHeight="1" x14ac:dyDescent="0.2">
      <c r="B34" s="15" t="s">
        <v>14</v>
      </c>
      <c r="C34" s="15"/>
      <c r="D34" s="73"/>
      <c r="E34" s="74"/>
      <c r="F34" s="75">
        <f>SUM(F32:G33)</f>
        <v>10541</v>
      </c>
      <c r="G34" s="76"/>
      <c r="H34" s="15"/>
      <c r="I34" s="14">
        <f>SUM(I32:I33)</f>
        <v>8011.16</v>
      </c>
      <c r="J34" s="40"/>
      <c r="K34" s="40"/>
    </row>
    <row r="35" spans="2:11" ht="21.75" customHeight="1" x14ac:dyDescent="0.2">
      <c r="B35" s="16" t="s">
        <v>13</v>
      </c>
      <c r="C35" s="15"/>
      <c r="D35" s="71"/>
      <c r="E35" s="72"/>
      <c r="F35" s="71"/>
      <c r="G35" s="72"/>
      <c r="H35" s="15"/>
      <c r="I35" s="69"/>
      <c r="J35" s="40"/>
    </row>
    <row r="36" spans="2:11" ht="21.75" customHeight="1" x14ac:dyDescent="0.2">
      <c r="B36" s="16" t="s">
        <v>12</v>
      </c>
      <c r="C36" s="15"/>
      <c r="D36" s="71"/>
      <c r="E36" s="72"/>
      <c r="F36" s="71"/>
      <c r="G36" s="72"/>
      <c r="H36" s="15"/>
      <c r="I36" s="14">
        <f>+I34</f>
        <v>8011.16</v>
      </c>
    </row>
    <row r="37" spans="2:11" ht="20.25" customHeight="1" x14ac:dyDescent="0.2">
      <c r="B37" s="15" t="s">
        <v>80</v>
      </c>
      <c r="C37" s="71" t="s">
        <v>11</v>
      </c>
      <c r="D37" s="78"/>
      <c r="E37" s="78"/>
      <c r="F37" s="78"/>
      <c r="G37" s="78"/>
      <c r="H37" s="72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8011.16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9" t="s">
        <v>7</v>
      </c>
      <c r="C46" s="79"/>
      <c r="D46" s="79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 s="20">
        <v>16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0" t="s">
        <v>1</v>
      </c>
      <c r="D55" s="80"/>
      <c r="E55" s="5"/>
      <c r="F55" s="5"/>
      <c r="G55" s="5"/>
      <c r="H55" s="5"/>
      <c r="I55" s="4"/>
      <c r="K55" s="20">
        <v>16</v>
      </c>
    </row>
    <row r="56" spans="2:11" x14ac:dyDescent="0.2">
      <c r="B56" s="6"/>
      <c r="C56" s="81" t="s">
        <v>0</v>
      </c>
      <c r="D56" s="81"/>
      <c r="E56" s="5"/>
      <c r="F56" s="5"/>
      <c r="G56" s="5"/>
      <c r="H56" s="5"/>
      <c r="I56" s="4"/>
    </row>
    <row r="57" spans="2:11" x14ac:dyDescent="0.2">
      <c r="B57" s="2"/>
      <c r="C57" s="77"/>
      <c r="D57" s="77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16</vt:i4>
      </vt:variant>
    </vt:vector>
  </HeadingPairs>
  <TitlesOfParts>
    <vt:vector size="34" baseType="lpstr">
      <vt:lpstr>Sheet1</vt:lpstr>
      <vt:lpstr>reff</vt:lpstr>
      <vt:lpstr>566</vt:lpstr>
      <vt:lpstr>567</vt:lpstr>
      <vt:lpstr>568</vt:lpstr>
      <vt:lpstr>569</vt:lpstr>
      <vt:lpstr>570</vt:lpstr>
      <vt:lpstr>571</vt:lpstr>
      <vt:lpstr>572</vt:lpstr>
      <vt:lpstr>573</vt:lpstr>
      <vt:lpstr>574</vt:lpstr>
      <vt:lpstr>575</vt:lpstr>
      <vt:lpstr>576</vt:lpstr>
      <vt:lpstr>577</vt:lpstr>
      <vt:lpstr>578</vt:lpstr>
      <vt:lpstr>579</vt:lpstr>
      <vt:lpstr>580</vt:lpstr>
      <vt:lpstr>581</vt:lpstr>
      <vt:lpstr>'566'!Print_Area</vt:lpstr>
      <vt:lpstr>'567'!Print_Area</vt:lpstr>
      <vt:lpstr>'568'!Print_Area</vt:lpstr>
      <vt:lpstr>'569'!Print_Area</vt:lpstr>
      <vt:lpstr>'570'!Print_Area</vt:lpstr>
      <vt:lpstr>'571'!Print_Area</vt:lpstr>
      <vt:lpstr>'572'!Print_Area</vt:lpstr>
      <vt:lpstr>'573'!Print_Area</vt:lpstr>
      <vt:lpstr>'574'!Print_Area</vt:lpstr>
      <vt:lpstr>'575'!Print_Area</vt:lpstr>
      <vt:lpstr>'576'!Print_Area</vt:lpstr>
      <vt:lpstr>'577'!Print_Area</vt:lpstr>
      <vt:lpstr>'578'!Print_Area</vt:lpstr>
      <vt:lpstr>'579'!Print_Area</vt:lpstr>
      <vt:lpstr>'580'!Print_Area</vt:lpstr>
      <vt:lpstr>'581'!Print_Area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ADMEXIM3</cp:lastModifiedBy>
  <cp:lastPrinted>2026-07-22T08:53:40Z</cp:lastPrinted>
  <dcterms:created xsi:type="dcterms:W3CDTF">2024-04-17T09:56:05Z</dcterms:created>
  <dcterms:modified xsi:type="dcterms:W3CDTF">2026-07-27T02:19:19Z</dcterms:modified>
</cp:coreProperties>
</file>