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5.06.2026\"/>
    </mc:Choice>
  </mc:AlternateContent>
  <xr:revisionPtr revIDLastSave="0" documentId="13_ncr:1_{01A41F6D-CCE5-4CFF-AE34-9BA9A3447D7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63 FOB" sheetId="129" r:id="rId3"/>
    <sheet name="63 CMT" sheetId="16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'63 CMT'!$B$1:$I$57</definedName>
    <definedName name="_xlnm.Print_Area" localSheetId="2">'63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3" l="1"/>
  <c r="F34" i="163"/>
  <c r="F32" i="163"/>
  <c r="I32" i="163" s="1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G15" i="163"/>
  <c r="G16" i="163" s="1"/>
  <c r="G17" i="163" s="1"/>
  <c r="H21" i="163" s="1"/>
  <c r="B15" i="163"/>
  <c r="B16" i="163" s="1"/>
  <c r="B17" i="163" s="1"/>
  <c r="B18" i="163" s="1"/>
  <c r="G14" i="163"/>
  <c r="F32" i="129"/>
  <c r="F34" i="129" l="1"/>
  <c r="I32" i="129" l="1"/>
  <c r="E21" i="129" l="1"/>
  <c r="C21" i="129" l="1"/>
  <c r="H52" i="129"/>
  <c r="I34" i="129" l="1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<sst xmlns="http://schemas.openxmlformats.org/spreadsheetml/2006/main" count="317" uniqueCount="184">
  <si>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</si>
  <si>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</si>
  <si>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</si>
  <si>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</si>
  <si>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</si>
  <si>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</si>
  <si>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</si>
  <si>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</si>
  <si>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</si>
  <si>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</si>
  <si>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</si>
  <si>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</si>
  <si>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</si>
  <si>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</si>
  <si>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</si>
  <si>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</si>
  <si>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</si>
  <si>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</si>
  <si>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</si>
  <si>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</si>
  <si>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</si>
  <si>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</si>
  <si>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</si>
  <si>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</si>
  <si>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</si>
  <si>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</si>
  <si>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</si>
  <si>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</si>
  <si>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</si>
  <si>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</si>
  <si>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</si>
  <si>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</si>
  <si>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</si>
  <si>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</si>
  <si>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</si>
  <si>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</si>
  <si>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</si>
  <si>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</si>
  <si>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</si>
  <si>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</si>
  <si>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</si>
  <si>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</si>
  <si>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</si>
  <si>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</si>
  <si>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</si>
  <si>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</si>
  <si>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</si>
  <si>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</si>
  <si>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</si>
  <si>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</si>
  <si>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</si>
  <si>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</si>
  <si>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</si>
  <si>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</si>
  <si>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</si>
  <si>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</si>
  <si>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</si>
  <si>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</si>
  <si>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</si>
  <si>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</si>
  <si>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</si>
  <si>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</si>
  <si>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</si>
  <si>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</si>
  <si>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</si>
  <si>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</si>
  <si>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</si>
  <si>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</si>
  <si>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</si>
  <si>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</si>
  <si>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</si>
  <si>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</si>
  <si>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</si>
  <si>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</si>
  <si>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</si>
  <si>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</si>
  <si>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</si>
  <si>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</si>
  <si>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</si>
  <si>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</si>
  <si>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</si>
  <si>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</si>
  <si>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</si>
  <si>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</si>
  <si>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</si>
  <si>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</si>
  <si>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</si>
  <si>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</si>
  <si>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</si>
  <si>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</si>
  <si>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</si>
  <si>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</si>
  <si>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</si>
  <si>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</si>
  <si>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</si>
  <si>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</si>
  <si>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</si>
  <si>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</si>
  <si>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</si>
  <si>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</si>
  <si>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</si>
  <si>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</si>
  <si>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</si>
  <si>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</si>
  <si>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</si>
  <si>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</si>
  <si>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</si>
  <si>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</si>
  <si>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</si>
  <si>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</si>
  <si>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</si>
  <si>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</si>
  <si>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</si>
  <si>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</si>
  <si>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</si>
  <si>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</si>
  <si>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</si>
  <si>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</si>
  <si>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</si>
  <si>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</si>
  <si>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</si>
  <si>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</si>
  <si>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</si>
  <si>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</si>
  <si>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</si>
  <si>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</si>
  <si>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</si>
  <si>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</si>
  <si>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</si>
  <si>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</si>
  <si>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</si>
  <si>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</si>
  <si>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</si>
  <si>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</si>
  <si>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</si>
  <si>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</si>
  <si>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</si>
  <si>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</si>
  <si>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</si>
  <si>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</si>
  <si>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</si>
  <si>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</si>
  <si>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</si>
  <si>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</si>
  <si>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</si>
  <si>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</si>
  <si>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</si>
  <si>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</si>
  <si>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</si>
  <si>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</si>
  <si>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</si>
  <si>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</si>
  <si>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</si>
  <si>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</si>
  <si>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</si>
  <si>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</si>
  <si>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</si>
  <si>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</si>
  <si>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</si>
  <si>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</si>
  <si>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</si>
  <si>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</si>
  <si>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</si>
  <si>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</si>
  <si>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</si>
  <si>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</si>
  <si>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</si>
  <si>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</si>
  <si>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</si>
  <si>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</si>
  <si>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</si>
  <si>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</si>
  <si>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</si>
  <si>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</si>
  <si>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</si>
  <si>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</si>
  <si>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</si>
  <si>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</si>
  <si>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RETAIL</t>
  </si>
  <si>
    <t xml:space="preserve"> 265K0075 </t>
  </si>
  <si>
    <t>BLUSH ON YOU</t>
  </si>
  <si>
    <t>22</t>
  </si>
  <si>
    <t>WOMENS COTTON FIBERS, KNIT PULLOVER, WITH NO NECK CLOSURE, STITCH COUNT IS GREATER THAN 9/2CM, REACHES WAIST, SLEEVELESS [95% COTTON 5% ELASTANE]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</si>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</sst>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B5BBEFC9-A423-4318-B57A-13E7F3A9F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2B80C-11ED-46CD-A7A9-39355ED7C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2" sqref="J2"/>
    </sheetView>
  </sheetViews>
  <sheetFormatPr defaultRowHeight="12.75" x14ac:dyDescent="0.2"/>
  <sheetData>
    <row r="2" spans="2:9" ht="15" x14ac:dyDescent="0.25">
      <c r="B2" s="53">
        <v>1</v>
      </c>
      <c r="C2" t="s">
        <v>179</v>
      </c>
      <c r="E2" s="53">
        <v>1</v>
      </c>
      <c r="F2">
        <v>692926</v>
      </c>
      <c r="H2" s="53">
        <v>1</v>
      </c>
      <c r="I2" s="54" t="s">
        <v>178</v>
      </c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D13" sqref="D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177</v>
      </c>
      <c r="C2" s="64"/>
      <c r="D2" s="64"/>
      <c r="E2" s="64"/>
      <c r="F2" s="64"/>
      <c r="G2" s="64"/>
      <c r="H2" s="64"/>
      <c r="I2" s="65"/>
      <c r="J2" s="55">
        <v>61779329</v>
      </c>
      <c r="K2" s="56">
        <v>3623</v>
      </c>
      <c r="L2" s="57">
        <v>69</v>
      </c>
      <c r="M2" s="57">
        <v>377.69</v>
      </c>
      <c r="N2" s="57">
        <v>504.495</v>
      </c>
      <c r="O2" s="57">
        <v>572.495</v>
      </c>
      <c r="P2" s="57" t="s">
        <v>54</v>
      </c>
      <c r="Q2" s="57">
        <v>4.4619999999999997</v>
      </c>
      <c r="R2" s="57" t="s">
        <v>62</v>
      </c>
    </row>
    <row r="3" spans="2:22" x14ac:dyDescent="0.2">
      <c r="B3" s="6" t="s">
        <v>53</v>
      </c>
      <c r="C3" s="58">
        <v>63</v>
      </c>
      <c r="D3" s="5"/>
      <c r="E3" s="5"/>
      <c r="F3" s="5"/>
      <c r="G3" s="5" t="s">
        <v>52</v>
      </c>
      <c r="H3" s="31">
        <v>46178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61779329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572.495</v>
      </c>
      <c r="G23" s="23">
        <f>+N2</f>
        <v>504.495</v>
      </c>
      <c r="H23" s="23">
        <f>+M2</f>
        <v>377.69</v>
      </c>
      <c r="I23" s="48">
        <f>+L2</f>
        <v>69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WOMENS COTTON FIBERS, KNIT PULLOVER, WITH NO NECK CLOSURE, STITCH COUNT IS GREATER THAN 9/2CM, REACHES WAIST, SLEEVELESS [95% COTTON 5% ELASTANE]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2" t="s">
        <v>19</v>
      </c>
      <c r="E31" s="72"/>
      <c r="F31" s="72" t="s">
        <v>18</v>
      </c>
      <c r="G31" s="72"/>
      <c r="H31" s="48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1"/>
      <c r="E32" s="62"/>
      <c r="F32" s="61">
        <f>+K2</f>
        <v>3623</v>
      </c>
      <c r="G32" s="62"/>
      <c r="H32" s="17">
        <v>2.5</v>
      </c>
      <c r="I32" s="18">
        <f>+H32*F32</f>
        <v>9057.5</v>
      </c>
      <c r="K32" s="46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48"/>
    </row>
    <row r="34" spans="2:11" ht="21.75" customHeight="1" x14ac:dyDescent="0.2">
      <c r="B34" s="15" t="s">
        <v>14</v>
      </c>
      <c r="C34" s="15"/>
      <c r="D34" s="77"/>
      <c r="E34" s="78"/>
      <c r="F34" s="61">
        <f>SUM(F31:G33)</f>
        <v>3623</v>
      </c>
      <c r="G34" s="62"/>
      <c r="H34" s="15"/>
      <c r="I34" s="14">
        <f>SUM(I32:I33)</f>
        <v>9057.5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9057.5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9057.5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B333-64B3-4BAA-9B81-B1860B59B513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183</v>
      </c>
      <c r="C2" s="64"/>
      <c r="D2" s="64"/>
      <c r="E2" s="64"/>
      <c r="F2" s="64"/>
      <c r="G2" s="64"/>
      <c r="H2" s="64"/>
      <c r="I2" s="65"/>
      <c r="J2" s="55">
        <v>61779329</v>
      </c>
      <c r="K2" s="56">
        <v>3623</v>
      </c>
      <c r="L2" s="57">
        <v>69</v>
      </c>
      <c r="M2" s="57">
        <v>377.69</v>
      </c>
      <c r="N2" s="57">
        <v>504.495</v>
      </c>
      <c r="O2" s="57">
        <v>572.495</v>
      </c>
      <c r="P2" s="57" t="s">
        <v>54</v>
      </c>
      <c r="Q2" s="57">
        <v>4.4619999999999997</v>
      </c>
      <c r="R2" s="57" t="s">
        <v>62</v>
      </c>
    </row>
    <row r="3" spans="2:22" x14ac:dyDescent="0.2">
      <c r="B3" s="6" t="s">
        <v>53</v>
      </c>
      <c r="C3" s="58">
        <v>63</v>
      </c>
      <c r="D3" s="5"/>
      <c r="E3" s="5"/>
      <c r="F3" s="5"/>
      <c r="G3" s="5" t="s">
        <v>52</v>
      </c>
      <c r="H3" s="31"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61779329</v>
      </c>
      <c r="C21" s="6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9" t="s">
        <v>35</v>
      </c>
      <c r="G21" s="59"/>
      <c r="H21" s="47" t="str">
        <f>IF(LEFT(G17,2)="CA","CA",IF(LEFT(G17,2)="UN","US",IF(LEFT(G17,2)="PA","PA",IF(LEFT(G17,2)="JA","JP"))))</f>
        <v>US</v>
      </c>
      <c r="I21" s="59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572.495</v>
      </c>
      <c r="G23" s="23">
        <f>+N2</f>
        <v>504.495</v>
      </c>
      <c r="H23" s="23">
        <f>+M2</f>
        <v>377.69</v>
      </c>
      <c r="I23" s="59">
        <f>+L2</f>
        <v>69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WOMENS COTTON FIBERS, KNIT PULLOVER, WITH NO NECK CLOSURE, STITCH COUNT IS GREATER THAN 9/2CM, REACHES WAIST, SLEEVELESS [95% COTTON 5% ELASTANE]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2" t="s">
        <v>19</v>
      </c>
      <c r="E31" s="72"/>
      <c r="F31" s="72" t="s">
        <v>18</v>
      </c>
      <c r="G31" s="72"/>
      <c r="H31" s="59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1"/>
      <c r="E32" s="62"/>
      <c r="F32" s="61">
        <f>+K2</f>
        <v>3623</v>
      </c>
      <c r="G32" s="62"/>
      <c r="H32" s="17">
        <v>0.76</v>
      </c>
      <c r="I32" s="18">
        <f>+H32*F32</f>
        <v>2753.48</v>
      </c>
      <c r="K32" s="46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59"/>
    </row>
    <row r="34" spans="2:11" ht="21.75" customHeight="1" x14ac:dyDescent="0.2">
      <c r="B34" s="15" t="s">
        <v>14</v>
      </c>
      <c r="C34" s="15"/>
      <c r="D34" s="77"/>
      <c r="E34" s="78"/>
      <c r="F34" s="61">
        <f>SUM(F31:G33)</f>
        <v>3623</v>
      </c>
      <c r="G34" s="62"/>
      <c r="H34" s="15"/>
      <c r="I34" s="14">
        <f>SUM(I32:I33)</f>
        <v>2753.48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2753.48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2753.48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B75E0B-D9E4-4B4E-826F-F2B203FEA215}">
          <x14:formula1>
            <xm:f>Sheet1!$L$5:$L$25</xm:f>
          </x14:formula1>
          <xm:sqref>G13</xm:sqref>
        </x14:dataValidation>
        <x14:dataValidation type="list" allowBlank="1" showInputMessage="1" showErrorMessage="1" xr:uid="{A5783F01-300C-4E8C-8A4E-6B42001C9897}">
          <x14:formula1>
            <xm:f>Sheet1!$B$17:$B$18</xm:f>
          </x14:formula1>
          <xm:sqref>G5</xm:sqref>
        </x14:dataValidation>
        <x14:dataValidation type="list" allowBlank="1" showInputMessage="1" showErrorMessage="1" xr:uid="{ED79C657-6675-4AEA-BDBA-C8E1C424B906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63 FOB</vt:lpstr>
      <vt:lpstr>63 CMT</vt:lpstr>
      <vt:lpstr>'63 CMT'!Print_Area</vt:lpstr>
      <vt:lpstr>'63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2026-06-05T01:04:55Z</cp:lastPrinted>
  <dcterms:created xsi:type="dcterms:W3CDTF">2024-04-17T09:56:05Z</dcterms:created>
  <dcterms:modified xsi:type="dcterms:W3CDTF">2026-06-09T01:32:42Z</dcterms:modified>
</cp:coreProperties>
</file>