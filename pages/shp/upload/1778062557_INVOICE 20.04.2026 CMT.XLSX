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20.04.2026\"/>
    </mc:Choice>
  </mc:AlternateContent>
  <xr:revisionPtr revIDLastSave="0" documentId="13_ncr:1_{C569AFBA-9E35-4604-A8EE-099F96B6974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421" sheetId="135" r:id="rId3"/>
    <sheet name="422" sheetId="137" r:id="rId4"/>
    <sheet name="423" sheetId="138" r:id="rId5"/>
    <sheet name="424" sheetId="141" r:id="rId6"/>
    <sheet name="425" sheetId="142" r:id="rId7"/>
    <sheet name="426" sheetId="143" r:id="rId8"/>
  </sheets>
  <externalReferences>
    <externalReference r:id="rId9"/>
    <externalReference r:id="rId10"/>
    <externalReference r:id="rId11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>[2]xdata!#REF!</definedName>
    <definedName name="INVOICE">[2]xdata!$B$2</definedName>
    <definedName name="_xlnm.Print_Area" localSheetId="2">'421'!$B$1:$I$58</definedName>
    <definedName name="_xlnm.Print_Area" localSheetId="3">'422'!$B$1:$I$57</definedName>
    <definedName name="_xlnm.Print_Area" localSheetId="4">'423'!$B$1:$I$56</definedName>
    <definedName name="_xlnm.Print_Area" localSheetId="5">'424'!$B$1:$I$58</definedName>
    <definedName name="_xlnm.Print_Area" localSheetId="6">'425'!$B$1:$I$58</definedName>
    <definedName name="_xlnm.Print_Area" localSheetId="7">'426'!$B$1:$I$58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5" i="135" l="1"/>
  <c r="I33" i="143"/>
  <c r="I33" i="142"/>
  <c r="I33" i="141"/>
  <c r="I33" i="135" l="1"/>
  <c r="H3" i="137"/>
  <c r="H3" i="138" s="1"/>
  <c r="H3" i="141" s="1"/>
  <c r="H3" i="142" s="1"/>
  <c r="H3" i="143" s="1"/>
  <c r="F35" i="142" l="1"/>
  <c r="F32" i="138"/>
  <c r="F33" i="138" s="1"/>
  <c r="F35" i="141"/>
  <c r="F32" i="137"/>
  <c r="I32" i="138" l="1"/>
  <c r="I33" i="138" s="1"/>
  <c r="I32" i="141"/>
  <c r="I35" i="141" s="1"/>
  <c r="F34" i="137"/>
  <c r="F35" i="135"/>
  <c r="I32" i="137" l="1"/>
  <c r="B27" i="135" l="1"/>
  <c r="H53" i="142" l="1"/>
  <c r="E21" i="135"/>
  <c r="E21" i="137"/>
  <c r="E21" i="138"/>
  <c r="E21" i="141"/>
  <c r="E21" i="142"/>
  <c r="E21" i="143"/>
  <c r="H53" i="141"/>
  <c r="C21" i="135"/>
  <c r="C21" i="137"/>
  <c r="C21" i="138"/>
  <c r="C21" i="141"/>
  <c r="C21" i="142"/>
  <c r="C21" i="143"/>
  <c r="H53" i="135"/>
  <c r="H52" i="137"/>
  <c r="H51" i="138"/>
  <c r="H53" i="143"/>
  <c r="F35" i="143" l="1"/>
  <c r="I32" i="143"/>
  <c r="I35" i="143" s="1"/>
  <c r="I37" i="143" s="1"/>
  <c r="I39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5" i="142" s="1"/>
  <c r="I37" i="142" s="1"/>
  <c r="I39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7" i="141"/>
  <c r="I39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7" i="135" s="1"/>
  <c r="I39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5" i="138" l="1"/>
  <c r="I37" i="138" s="1"/>
  <c r="C3" i="137" l="1"/>
  <c r="C3" i="138" s="1"/>
  <c r="C3" i="141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</calcChain>
</file>

<file path=xl/sharedStrings.xml><?xml version="1.0" encoding="utf-8"?>
<sst xmlns="http://schemas.openxmlformats.org/spreadsheetml/2006/main" count="647" uniqueCount="199">
  <si>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</si>
  <si>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</si>
  <si>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</si>
  <si>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</si>
  <si>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</si>
  <si>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</si>
  <si>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</si>
  <si>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</si>
  <si>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</si>
  <si>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</si>
  <si>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</si>
  <si>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</si>
  <si>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</si>
  <si>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</si>
  <si>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</si>
  <si>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</si>
  <si>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</si>
  <si>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</si>
  <si>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</si>
  <si>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</si>
  <si>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</si>
  <si>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</si>
  <si>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</si>
  <si>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</si>
  <si>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</si>
  <si>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</si>
  <si>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</si>
  <si>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</si>
  <si>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</si>
  <si>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</si>
  <si>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</si>
  <si>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</si>
  <si>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</si>
  <si>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</si>
  <si>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</si>
  <si>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</si>
  <si>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</si>
  <si>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</si>
  <si>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</si>
  <si>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</si>
  <si>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</si>
  <si>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</si>
  <si>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</si>
  <si>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</si>
  <si>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</si>
  <si>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</si>
  <si>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</si>
  <si>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</si>
  <si>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</si>
  <si>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</si>
  <si>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</si>
  <si>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</si>
  <si>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</si>
  <si>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</si>
  <si>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</si>
  <si>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</si>
  <si>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</si>
  <si>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</si>
  <si>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</si>
  <si>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</si>
  <si>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</si>
  <si>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</si>
  <si>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</si>
  <si>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</si>
  <si>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</si>
  <si>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</si>
  <si>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</si>
  <si>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</si>
  <si>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</si>
  <si>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</si>
  <si>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</si>
  <si>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</si>
  <si>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</si>
  <si>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</si>
  <si>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</si>
  <si>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</si>
  <si>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</si>
  <si>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</si>
  <si>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</si>
  <si>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</si>
  <si>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</si>
  <si>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</si>
  <si>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</si>
  <si>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</si>
  <si>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</si>
  <si>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</si>
  <si>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</si>
  <si>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</si>
  <si>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</si>
  <si>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</si>
  <si>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</si>
  <si>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</si>
  <si>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</si>
  <si>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</si>
  <si>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</si>
  <si>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</si>
  <si>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</si>
  <si>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</si>
  <si>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</si>
  <si>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</si>
  <si>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</si>
  <si>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</si>
  <si>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</si>
  <si>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</si>
  <si>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</si>
  <si>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</si>
  <si>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</si>
  <si>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</si>
  <si>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</si>
  <si>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</si>
  <si>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</si>
  <si>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</si>
  <si>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</si>
  <si>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</si>
  <si>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</si>
  <si>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</si>
  <si>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</si>
  <si>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</si>
  <si>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</si>
  <si>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</si>
  <si>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</si>
  <si>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</si>
  <si>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</si>
  <si>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</si>
  <si>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</si>
  <si>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</si>
  <si>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</si>
  <si>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</si>
  <si>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</si>
  <si>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</si>
  <si>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</si>
  <si>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</si>
  <si>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</si>
  <si>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</si>
  <si>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</si>
  <si>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</si>
  <si>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</si>
  <si>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</si>
  <si>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</si>
  <si>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</si>
  <si>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</si>
  <si>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</si>
  <si>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</si>
  <si>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</si>
  <si>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</si>
  <si>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</si>
  <si>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</si>
  <si>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</si>
  <si>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</si>
  <si>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</si>
  <si>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</si>
  <si>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</si>
  <si>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</si>
  <si>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</si>
  <si>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</si>
  <si>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</si>
  <si>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</si>
  <si>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</si>
  <si>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</si>
  <si>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</si>
  <si>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</si>
  <si>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</si>
  <si>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</si>
  <si>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</si>
  <si>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</si>
  <si>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</si>
  <si>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</si>
  <si>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</si>
  <si>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</si>
  <si>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</si>
  <si>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</si>
  <si>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</si>
  <si>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</si>
  <si>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</si>
  <si>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</si>
  <si>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</si>
  <si>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</si>
  <si>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</si>
  <si>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CALLA LILY 451</t>
  </si>
  <si>
    <t>ONLINE</t>
  </si>
  <si>
    <t>RETAIL</t>
  </si>
  <si>
    <t>01</t>
  </si>
  <si>
    <t>265K0041</t>
  </si>
  <si>
    <t xml:space="preserve">  </t>
  </si>
  <si>
    <t>265K0040</t>
  </si>
  <si>
    <t>265K0026</t>
  </si>
  <si>
    <t>265K0005</t>
  </si>
  <si>
    <t>BRIGHT WHITE</t>
  </si>
  <si>
    <t>04</t>
  </si>
  <si>
    <t xml:space="preserve">FAUX HEATHER GREY, INK BLUE, </t>
  </si>
  <si>
    <t>00, 02</t>
  </si>
  <si>
    <t>Boys Cotton Fibers, Knit Shirt, With Neck Closure, Stitch Count Equal Or Is Greater Than 10/1cm, Hem Bottom [60% Cotton 40% Polyester]</t>
  </si>
  <si>
    <t>RED TAPE</t>
  </si>
  <si>
    <t>CALLA LILY 451, INK BLUE</t>
  </si>
  <si>
    <t>BLACKJACK JAS, BLUSH HUE</t>
  </si>
  <si>
    <t>01, 02</t>
  </si>
  <si>
    <t>Girls Cotton Fibers, Knit T-Shirt, With No Neck Closure, Stitch Count Is Greater Than 9/2cm, Reaches Waist [60% Cotton 40% Recycled Polyester]</t>
  </si>
  <si>
    <t>GIRLS COTTON FIBERS, KNIT PULLOVER, WITH NO NECK CLOSURE, STITCH COUNT IS GREATER THAN 9/2CM, REACHES WAIST [60% COTTON 40% RECYCLED POLYESTER]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</si>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</sst>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46</xdr:row>
      <xdr:rowOff>9525</xdr:rowOff>
    </xdr:from>
    <xdr:to>
      <xdr:col>4</xdr:col>
      <xdr:colOff>322160</xdr:colOff>
      <xdr:row>54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1" customWidth="1"/>
    <col min="4" max="4" width="31.5703125" customWidth="1"/>
    <col min="5" max="5" width="2.140625" style="51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2" t="s">
        <v>83</v>
      </c>
      <c r="D6" s="52" t="s">
        <v>65</v>
      </c>
      <c r="F6" s="52" t="s">
        <v>68</v>
      </c>
      <c r="G6" s="52" t="s">
        <v>68</v>
      </c>
      <c r="H6" s="52" t="s">
        <v>77</v>
      </c>
      <c r="I6" s="52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2" t="s">
        <v>84</v>
      </c>
      <c r="D7" s="52" t="s">
        <v>66</v>
      </c>
      <c r="F7" s="52" t="s">
        <v>69</v>
      </c>
      <c r="G7" s="52" t="s">
        <v>69</v>
      </c>
      <c r="H7" s="52" t="s">
        <v>78</v>
      </c>
      <c r="I7" s="52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3" t="s">
        <v>97</v>
      </c>
      <c r="D8" s="53" t="s">
        <v>75</v>
      </c>
      <c r="F8" s="53" t="s">
        <v>76</v>
      </c>
      <c r="G8" s="53" t="s">
        <v>76</v>
      </c>
      <c r="H8" s="53" t="s">
        <v>79</v>
      </c>
      <c r="I8" s="53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2" t="s">
        <v>138</v>
      </c>
      <c r="D12" s="52" t="s">
        <v>118</v>
      </c>
      <c r="F12" s="52" t="s">
        <v>104</v>
      </c>
      <c r="G12" s="52" t="s">
        <v>106</v>
      </c>
      <c r="H12" s="52" t="s">
        <v>110</v>
      </c>
      <c r="I12" s="52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2" t="s">
        <v>139</v>
      </c>
      <c r="D13" s="52" t="s">
        <v>119</v>
      </c>
      <c r="F13" s="52" t="s">
        <v>101</v>
      </c>
      <c r="G13" s="52" t="s">
        <v>107</v>
      </c>
      <c r="H13" s="52" t="s">
        <v>111</v>
      </c>
      <c r="I13" s="52" t="s">
        <v>115</v>
      </c>
      <c r="L13" t="str">
        <f>F17</f>
        <v>BDC-0015</v>
      </c>
    </row>
    <row r="14" spans="2:12" x14ac:dyDescent="0.2">
      <c r="B14" s="52" t="s">
        <v>141</v>
      </c>
      <c r="D14" s="53" t="s">
        <v>120</v>
      </c>
      <c r="F14" s="53" t="s">
        <v>102</v>
      </c>
      <c r="G14" s="53" t="s">
        <v>108</v>
      </c>
      <c r="H14" s="53" t="s">
        <v>112</v>
      </c>
      <c r="I14" s="53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2" t="s">
        <v>71</v>
      </c>
      <c r="F18" s="52" t="s">
        <v>71</v>
      </c>
      <c r="G18" s="52" t="s">
        <v>71</v>
      </c>
      <c r="H18" s="52" t="s">
        <v>91</v>
      </c>
      <c r="I18" s="52" t="s">
        <v>122</v>
      </c>
      <c r="L18" t="str">
        <f>G23</f>
        <v>EDC(EU FRANCHISE HUB)</v>
      </c>
    </row>
    <row r="19" spans="2:12" x14ac:dyDescent="0.2">
      <c r="D19" s="52" t="s">
        <v>72</v>
      </c>
      <c r="F19" s="52" t="s">
        <v>72</v>
      </c>
      <c r="G19" s="52" t="s">
        <v>72</v>
      </c>
      <c r="H19" s="52" t="s">
        <v>92</v>
      </c>
      <c r="I19" s="52" t="s">
        <v>123</v>
      </c>
      <c r="L19" t="str">
        <f>H23</f>
        <v>EXPEDITORS INT'L GPS STRATEGIC ALLIANCES, LLC</v>
      </c>
    </row>
    <row r="20" spans="2:12" x14ac:dyDescent="0.2">
      <c r="D20" s="52" t="s">
        <v>73</v>
      </c>
      <c r="F20" s="52" t="s">
        <v>73</v>
      </c>
      <c r="G20" s="52" t="s">
        <v>73</v>
      </c>
      <c r="H20" s="53" t="s">
        <v>93</v>
      </c>
      <c r="I20" s="52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2" t="s">
        <v>128</v>
      </c>
      <c r="F24" s="52" t="s">
        <v>135</v>
      </c>
      <c r="G24" s="52" t="s">
        <v>146</v>
      </c>
      <c r="H24" s="52" t="s">
        <v>151</v>
      </c>
      <c r="I24" s="52" t="s">
        <v>157</v>
      </c>
      <c r="L24" t="str">
        <f>I29</f>
        <v>PDC-0014</v>
      </c>
    </row>
    <row r="25" spans="2:12" x14ac:dyDescent="0.2">
      <c r="D25" s="52" t="s">
        <v>129</v>
      </c>
      <c r="F25" s="52" t="s">
        <v>136</v>
      </c>
      <c r="G25" s="52" t="s">
        <v>147</v>
      </c>
      <c r="H25" s="52" t="s">
        <v>152</v>
      </c>
      <c r="I25" s="52" t="s">
        <v>158</v>
      </c>
      <c r="L25" t="str">
        <f>F35</f>
        <v>JPD-0030</v>
      </c>
    </row>
    <row r="26" spans="2:12" x14ac:dyDescent="0.2">
      <c r="D26" s="52" t="s">
        <v>130</v>
      </c>
      <c r="F26" s="52" t="s">
        <v>133</v>
      </c>
      <c r="G26" s="52" t="s">
        <v>148</v>
      </c>
      <c r="H26" s="52" t="s">
        <v>153</v>
      </c>
      <c r="I26" s="53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2" t="s">
        <v>143</v>
      </c>
      <c r="F30" s="52" t="s">
        <v>161</v>
      </c>
      <c r="G30" s="52" t="s">
        <v>163</v>
      </c>
      <c r="H30" s="52" t="s">
        <v>163</v>
      </c>
      <c r="I30" s="52" t="s">
        <v>166</v>
      </c>
    </row>
    <row r="31" spans="2:12" x14ac:dyDescent="0.2">
      <c r="D31" s="52" t="s">
        <v>144</v>
      </c>
      <c r="F31" s="52" t="s">
        <v>111</v>
      </c>
      <c r="G31" s="52" t="s">
        <v>69</v>
      </c>
      <c r="H31" s="52" t="s">
        <v>69</v>
      </c>
      <c r="I31" s="52" t="s">
        <v>101</v>
      </c>
    </row>
    <row r="32" spans="2:12" x14ac:dyDescent="0.2">
      <c r="D32" s="52" t="s">
        <v>130</v>
      </c>
      <c r="F32" s="53" t="s">
        <v>112</v>
      </c>
      <c r="G32" s="53" t="s">
        <v>76</v>
      </c>
      <c r="H32" s="53" t="s">
        <v>76</v>
      </c>
      <c r="I32" s="53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2" t="s">
        <v>118</v>
      </c>
      <c r="F36" s="52" t="s">
        <v>173</v>
      </c>
    </row>
    <row r="37" spans="4:9" x14ac:dyDescent="0.2">
      <c r="D37" s="52" t="s">
        <v>119</v>
      </c>
      <c r="F37" s="52" t="s">
        <v>174</v>
      </c>
    </row>
    <row r="38" spans="4:9" x14ac:dyDescent="0.2">
      <c r="D38" s="53" t="s">
        <v>120</v>
      </c>
      <c r="F38" s="52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2" t="s">
        <v>65</v>
      </c>
    </row>
    <row r="43" spans="4:9" x14ac:dyDescent="0.2">
      <c r="D43" s="52" t="s">
        <v>66</v>
      </c>
    </row>
    <row r="44" spans="4:9" x14ac:dyDescent="0.2">
      <c r="D44" s="53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2" t="s">
        <v>168</v>
      </c>
    </row>
    <row r="49" spans="4:4" x14ac:dyDescent="0.2">
      <c r="D49" s="52" t="s">
        <v>169</v>
      </c>
    </row>
    <row r="50" spans="4:4" x14ac:dyDescent="0.2">
      <c r="D50" s="53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J12" sqref="I12:J12"/>
    </sheetView>
  </sheetViews>
  <sheetFormatPr defaultRowHeight="12.75" x14ac:dyDescent="0.2"/>
  <sheetData>
    <row r="2" spans="2:9" ht="15" x14ac:dyDescent="0.25">
      <c r="B2" s="56">
        <v>1</v>
      </c>
      <c r="C2" t="s">
        <v>184</v>
      </c>
      <c r="E2" s="56">
        <v>1</v>
      </c>
      <c r="F2">
        <v>416363</v>
      </c>
      <c r="H2" s="56">
        <v>1</v>
      </c>
      <c r="I2" s="57" t="s">
        <v>179</v>
      </c>
    </row>
    <row r="3" spans="2:9" ht="15" x14ac:dyDescent="0.25">
      <c r="B3" s="56">
        <v>2</v>
      </c>
      <c r="C3" t="s">
        <v>182</v>
      </c>
      <c r="E3" s="56">
        <v>2</v>
      </c>
      <c r="F3">
        <v>767468</v>
      </c>
      <c r="H3" s="56">
        <v>2</v>
      </c>
      <c r="I3" s="57" t="s">
        <v>179</v>
      </c>
    </row>
    <row r="4" spans="2:9" ht="15" x14ac:dyDescent="0.25">
      <c r="B4" s="56">
        <v>3</v>
      </c>
      <c r="C4" t="s">
        <v>182</v>
      </c>
      <c r="E4" s="56">
        <v>3</v>
      </c>
      <c r="F4">
        <v>767468</v>
      </c>
      <c r="H4" s="56">
        <v>3</v>
      </c>
      <c r="I4" s="57" t="s">
        <v>179</v>
      </c>
    </row>
    <row r="5" spans="2:9" ht="15" x14ac:dyDescent="0.25">
      <c r="B5" s="56">
        <v>4</v>
      </c>
      <c r="C5" t="s">
        <v>185</v>
      </c>
      <c r="E5" s="56">
        <v>4</v>
      </c>
      <c r="F5">
        <v>867788</v>
      </c>
      <c r="H5" s="56">
        <v>4</v>
      </c>
      <c r="I5" s="57" t="s">
        <v>180</v>
      </c>
    </row>
    <row r="6" spans="2:9" ht="15" x14ac:dyDescent="0.25">
      <c r="B6" s="56">
        <v>5</v>
      </c>
      <c r="C6" t="s">
        <v>185</v>
      </c>
      <c r="E6" s="56">
        <v>5</v>
      </c>
      <c r="F6">
        <v>867788</v>
      </c>
      <c r="H6" s="56">
        <v>5</v>
      </c>
      <c r="I6" s="57" t="s">
        <v>179</v>
      </c>
    </row>
    <row r="7" spans="2:9" ht="15" x14ac:dyDescent="0.25">
      <c r="B7" s="56">
        <v>6</v>
      </c>
      <c r="C7" t="s">
        <v>186</v>
      </c>
      <c r="E7" s="56">
        <v>6</v>
      </c>
      <c r="F7">
        <v>867788</v>
      </c>
      <c r="H7" s="56">
        <v>6</v>
      </c>
      <c r="I7" s="57" t="s">
        <v>180</v>
      </c>
    </row>
    <row r="8" spans="2:9" ht="15" x14ac:dyDescent="0.25">
      <c r="B8" s="56">
        <v>7</v>
      </c>
      <c r="E8" s="56">
        <v>7</v>
      </c>
      <c r="H8" s="56">
        <v>7</v>
      </c>
      <c r="I8" s="57"/>
    </row>
    <row r="9" spans="2:9" ht="15" x14ac:dyDescent="0.25">
      <c r="B9" s="56">
        <v>8</v>
      </c>
      <c r="E9" s="56">
        <v>8</v>
      </c>
      <c r="H9" s="56">
        <v>8</v>
      </c>
      <c r="I9" s="57"/>
    </row>
    <row r="10" spans="2:9" ht="15" x14ac:dyDescent="0.25">
      <c r="B10" s="56">
        <v>9</v>
      </c>
      <c r="E10" s="56">
        <v>9</v>
      </c>
      <c r="H10" s="56">
        <v>9</v>
      </c>
      <c r="I10" s="57"/>
    </row>
    <row r="11" spans="2:9" ht="15" x14ac:dyDescent="0.25">
      <c r="B11" s="56">
        <v>10</v>
      </c>
      <c r="E11" s="56">
        <v>10</v>
      </c>
      <c r="H11" s="56">
        <v>10</v>
      </c>
      <c r="I11" s="57"/>
    </row>
    <row r="12" spans="2:9" ht="15" x14ac:dyDescent="0.25">
      <c r="B12" s="56">
        <v>11</v>
      </c>
      <c r="E12" s="56">
        <v>11</v>
      </c>
      <c r="H12" s="56">
        <v>11</v>
      </c>
      <c r="I12" s="57"/>
    </row>
    <row r="13" spans="2:9" ht="15" x14ac:dyDescent="0.25">
      <c r="B13" s="56">
        <v>12</v>
      </c>
      <c r="E13" s="56">
        <v>12</v>
      </c>
      <c r="H13" s="56">
        <v>12</v>
      </c>
      <c r="I13" s="57"/>
    </row>
    <row r="14" spans="2:9" ht="15" x14ac:dyDescent="0.25">
      <c r="B14" s="56">
        <v>13</v>
      </c>
      <c r="E14" s="56">
        <v>13</v>
      </c>
      <c r="H14" s="56">
        <v>13</v>
      </c>
      <c r="I14" s="57"/>
    </row>
    <row r="15" spans="2:9" ht="15" x14ac:dyDescent="0.25">
      <c r="B15" s="56">
        <v>14</v>
      </c>
      <c r="E15" s="56">
        <v>14</v>
      </c>
      <c r="H15" s="56">
        <v>14</v>
      </c>
      <c r="I15" s="57"/>
    </row>
    <row r="16" spans="2:9" ht="15" x14ac:dyDescent="0.25">
      <c r="B16" s="56">
        <v>15</v>
      </c>
      <c r="E16" s="56">
        <v>15</v>
      </c>
      <c r="H16" s="56">
        <v>15</v>
      </c>
      <c r="I16" s="57"/>
    </row>
    <row r="17" spans="2:11" ht="15" x14ac:dyDescent="0.25">
      <c r="B17" s="56">
        <v>16</v>
      </c>
      <c r="E17" s="56">
        <v>16</v>
      </c>
      <c r="H17" s="56">
        <v>16</v>
      </c>
      <c r="I17" s="57"/>
    </row>
    <row r="18" spans="2:11" ht="15" x14ac:dyDescent="0.25">
      <c r="B18" s="56">
        <v>17</v>
      </c>
      <c r="E18" s="56">
        <v>17</v>
      </c>
      <c r="H18" s="56">
        <v>17</v>
      </c>
      <c r="I18" s="57"/>
    </row>
    <row r="19" spans="2:11" ht="15" x14ac:dyDescent="0.25">
      <c r="B19" s="56">
        <v>18</v>
      </c>
      <c r="E19" s="56">
        <v>18</v>
      </c>
      <c r="H19" s="56">
        <v>18</v>
      </c>
      <c r="I19" s="57"/>
    </row>
    <row r="20" spans="2:11" ht="15" x14ac:dyDescent="0.25">
      <c r="B20" s="56">
        <v>19</v>
      </c>
      <c r="E20" s="56">
        <v>19</v>
      </c>
      <c r="H20" s="56">
        <v>19</v>
      </c>
      <c r="I20" s="57"/>
    </row>
    <row r="21" spans="2:11" ht="15" x14ac:dyDescent="0.25">
      <c r="B21" s="56">
        <v>20</v>
      </c>
      <c r="E21" s="56">
        <v>20</v>
      </c>
      <c r="H21" s="56">
        <v>20</v>
      </c>
      <c r="I21" s="57"/>
    </row>
    <row r="22" spans="2:11" ht="15" x14ac:dyDescent="0.25">
      <c r="B22" s="56">
        <v>21</v>
      </c>
      <c r="E22" s="56">
        <v>21</v>
      </c>
      <c r="H22" s="56">
        <v>21</v>
      </c>
      <c r="I22" s="57"/>
      <c r="K22" t="s">
        <v>63</v>
      </c>
    </row>
    <row r="23" spans="2:11" ht="15" x14ac:dyDescent="0.25">
      <c r="B23" s="56">
        <v>22</v>
      </c>
      <c r="E23" s="56">
        <v>22</v>
      </c>
      <c r="H23" s="56">
        <v>22</v>
      </c>
      <c r="I23" s="57"/>
    </row>
    <row r="24" spans="2:11" ht="15" x14ac:dyDescent="0.25">
      <c r="B24" s="56">
        <v>23</v>
      </c>
      <c r="E24" s="56">
        <v>23</v>
      </c>
      <c r="H24" s="56">
        <v>23</v>
      </c>
      <c r="I24" s="57"/>
    </row>
    <row r="25" spans="2:11" ht="15" x14ac:dyDescent="0.25">
      <c r="B25" s="56">
        <v>24</v>
      </c>
      <c r="E25" s="56">
        <v>24</v>
      </c>
      <c r="H25" s="56">
        <v>24</v>
      </c>
      <c r="I25" s="57"/>
    </row>
    <row r="26" spans="2:11" ht="15" x14ac:dyDescent="0.25">
      <c r="B26" s="56">
        <v>25</v>
      </c>
      <c r="E26" s="56">
        <v>25</v>
      </c>
      <c r="H26" s="56">
        <v>25</v>
      </c>
      <c r="I26" s="57"/>
    </row>
    <row r="27" spans="2:11" ht="15" x14ac:dyDescent="0.25">
      <c r="B27" s="56">
        <v>26</v>
      </c>
      <c r="E27" s="56">
        <v>26</v>
      </c>
      <c r="H27" s="56">
        <v>26</v>
      </c>
      <c r="I27" s="57"/>
    </row>
    <row r="28" spans="2:11" x14ac:dyDescent="0.2">
      <c r="B28" s="56">
        <v>27</v>
      </c>
      <c r="E28" s="56">
        <v>27</v>
      </c>
      <c r="H28" s="56">
        <v>27</v>
      </c>
    </row>
    <row r="29" spans="2:11" x14ac:dyDescent="0.2">
      <c r="B29" s="56">
        <v>28</v>
      </c>
      <c r="E29" s="56">
        <v>28</v>
      </c>
      <c r="H29" s="56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tabSelected="1" view="pageBreakPreview" topLeftCell="A27" zoomScaleNormal="100" zoomScaleSheetLayoutView="100" workbookViewId="0">
      <selection activeCell="I36" sqref="I36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5" t="s">
        <v>198</v>
      </c>
      <c r="C2" s="66"/>
      <c r="D2" s="66"/>
      <c r="E2" s="66"/>
      <c r="F2" s="66"/>
      <c r="G2" s="66"/>
      <c r="H2" s="66"/>
      <c r="I2" s="67"/>
      <c r="J2" s="43">
        <v>61373729</v>
      </c>
      <c r="K2" s="50">
        <v>2721</v>
      </c>
      <c r="L2" s="44">
        <v>40</v>
      </c>
      <c r="M2" s="44">
        <v>319.673</v>
      </c>
      <c r="N2" s="44">
        <v>325.11500000000001</v>
      </c>
      <c r="O2" s="44">
        <v>358.91500000000002</v>
      </c>
      <c r="P2" s="44" t="s">
        <v>54</v>
      </c>
      <c r="Q2" s="44">
        <v>1.7110000000000001</v>
      </c>
      <c r="R2" s="44" t="s">
        <v>62</v>
      </c>
    </row>
    <row r="3" spans="2:22" x14ac:dyDescent="0.2">
      <c r="B3" s="6" t="s">
        <v>53</v>
      </c>
      <c r="C3" s="60">
        <v>421</v>
      </c>
      <c r="D3" s="5"/>
      <c r="E3" s="5"/>
      <c r="F3" s="5"/>
      <c r="G3" s="5" t="s">
        <v>52</v>
      </c>
      <c r="H3" s="31">
        <v>46132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 t="s">
        <v>183</v>
      </c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61373729</v>
      </c>
      <c r="C21" s="55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CA</v>
      </c>
      <c r="I21" s="54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358.91500000000002</v>
      </c>
      <c r="G23" s="23">
        <f>+N2</f>
        <v>325.11500000000001</v>
      </c>
      <c r="H23" s="23">
        <f>+M2</f>
        <v>319.673</v>
      </c>
      <c r="I23" s="54">
        <f>+L2</f>
        <v>40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8"/>
      <c r="D26" s="68"/>
      <c r="E26" s="68"/>
      <c r="F26" s="68"/>
      <c r="G26" s="68"/>
      <c r="H26" s="68"/>
      <c r="I26" s="62"/>
    </row>
    <row r="27" spans="2:13" ht="24.75" customHeight="1" x14ac:dyDescent="0.2">
      <c r="B27" s="69" t="str">
        <f>+K4</f>
        <v>Boys Cotton Fibers, Knit Shirt, With Neck Closure, Stitch Count Equal Or Is Greater Than 10/1cm, Hem Bottom [60% Cotton 40%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2" t="s">
        <v>19</v>
      </c>
      <c r="E31" s="72"/>
      <c r="F31" s="72" t="s">
        <v>18</v>
      </c>
      <c r="G31" s="72"/>
      <c r="H31" s="54" t="s">
        <v>17</v>
      </c>
      <c r="I31" s="19" t="s">
        <v>16</v>
      </c>
      <c r="M31"/>
    </row>
    <row r="32" spans="2:13" ht="24" customHeight="1" x14ac:dyDescent="0.2">
      <c r="B32" s="41" t="s">
        <v>188</v>
      </c>
      <c r="C32" s="19" t="s">
        <v>187</v>
      </c>
      <c r="D32" s="63"/>
      <c r="E32" s="64"/>
      <c r="F32" s="63">
        <v>1479</v>
      </c>
      <c r="G32" s="64"/>
      <c r="H32" s="17">
        <v>0.9</v>
      </c>
      <c r="I32" s="18">
        <f>+H32*F32</f>
        <v>1331.1000000000001</v>
      </c>
      <c r="K32" s="48"/>
      <c r="M32" s="39"/>
    </row>
    <row r="33" spans="2:13" ht="24" customHeight="1" x14ac:dyDescent="0.2">
      <c r="B33" s="41" t="s">
        <v>190</v>
      </c>
      <c r="C33" s="19" t="s">
        <v>189</v>
      </c>
      <c r="D33" s="63"/>
      <c r="E33" s="64"/>
      <c r="F33" s="63">
        <v>1242</v>
      </c>
      <c r="G33" s="64"/>
      <c r="H33" s="17">
        <v>0.9</v>
      </c>
      <c r="I33" s="18">
        <f>+H33*F33</f>
        <v>1117.8</v>
      </c>
      <c r="K33" s="48"/>
      <c r="M33" s="39"/>
    </row>
    <row r="34" spans="2:13" ht="21" customHeight="1" x14ac:dyDescent="0.2">
      <c r="B34" s="15" t="s">
        <v>15</v>
      </c>
      <c r="C34" s="15"/>
      <c r="D34" s="61"/>
      <c r="E34" s="62"/>
      <c r="F34" s="61"/>
      <c r="G34" s="62"/>
      <c r="H34" s="17"/>
      <c r="I34" s="58"/>
    </row>
    <row r="35" spans="2:13" ht="21.75" customHeight="1" x14ac:dyDescent="0.2">
      <c r="B35" s="15" t="s">
        <v>14</v>
      </c>
      <c r="C35" s="15"/>
      <c r="D35" s="73"/>
      <c r="E35" s="74"/>
      <c r="F35" s="63">
        <f>SUM(F32:G34)</f>
        <v>2721</v>
      </c>
      <c r="G35" s="64"/>
      <c r="H35" s="15"/>
      <c r="I35" s="14">
        <f>SUM(I32:I33)</f>
        <v>2448.9</v>
      </c>
      <c r="J35" s="40"/>
      <c r="K35" s="40"/>
    </row>
    <row r="36" spans="2:13" ht="21.75" customHeight="1" x14ac:dyDescent="0.2">
      <c r="B36" s="16" t="s">
        <v>13</v>
      </c>
      <c r="C36" s="15"/>
      <c r="D36" s="61"/>
      <c r="E36" s="62"/>
      <c r="F36" s="61"/>
      <c r="G36" s="62"/>
      <c r="H36" s="15"/>
      <c r="I36" s="54"/>
      <c r="J36" s="40"/>
    </row>
    <row r="37" spans="2:13" ht="21.75" customHeight="1" x14ac:dyDescent="0.2">
      <c r="B37" s="16" t="s">
        <v>12</v>
      </c>
      <c r="C37" s="15"/>
      <c r="D37" s="61"/>
      <c r="E37" s="62"/>
      <c r="F37" s="61"/>
      <c r="G37" s="62"/>
      <c r="H37" s="15"/>
      <c r="I37" s="14">
        <f>+I35</f>
        <v>2448.9</v>
      </c>
    </row>
    <row r="38" spans="2:13" ht="20.25" customHeight="1" x14ac:dyDescent="0.2">
      <c r="B38" s="15" t="s">
        <v>80</v>
      </c>
      <c r="C38" s="61" t="s">
        <v>11</v>
      </c>
      <c r="D38" s="68"/>
      <c r="E38" s="68"/>
      <c r="F38" s="68"/>
      <c r="G38" s="68"/>
      <c r="H38" s="62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2448.9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6" t="s">
        <v>7</v>
      </c>
      <c r="C47" s="76"/>
      <c r="D47" s="76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7" t="s">
        <v>1</v>
      </c>
      <c r="D56" s="77"/>
      <c r="E56" s="5"/>
      <c r="F56" s="5"/>
      <c r="G56" s="5"/>
      <c r="H56" s="5"/>
      <c r="I56" s="4"/>
    </row>
    <row r="57" spans="2:11" x14ac:dyDescent="0.2">
      <c r="B57" s="6"/>
      <c r="C57" s="78" t="s">
        <v>0</v>
      </c>
      <c r="D57" s="78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9" sqref="E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5" t="s">
        <v>198</v>
      </c>
      <c r="C2" s="66"/>
      <c r="D2" s="66"/>
      <c r="E2" s="66"/>
      <c r="F2" s="66"/>
      <c r="G2" s="66"/>
      <c r="H2" s="66"/>
      <c r="I2" s="67"/>
      <c r="J2" s="43">
        <v>61287549</v>
      </c>
      <c r="K2" s="44">
        <v>100</v>
      </c>
      <c r="L2" s="44">
        <v>3</v>
      </c>
      <c r="M2" s="44">
        <v>11.13</v>
      </c>
      <c r="N2" s="44">
        <v>13.13</v>
      </c>
      <c r="O2" s="44">
        <v>15.33</v>
      </c>
      <c r="P2" s="44" t="s">
        <v>54</v>
      </c>
      <c r="Q2" s="44">
        <v>7.8E-2</v>
      </c>
      <c r="R2" s="44" t="s">
        <v>62</v>
      </c>
    </row>
    <row r="3" spans="2:22" x14ac:dyDescent="0.2">
      <c r="B3" s="6" t="s">
        <v>53</v>
      </c>
      <c r="C3" s="60">
        <f>+'421'!C3+1</f>
        <v>422</v>
      </c>
      <c r="D3" s="5"/>
      <c r="E3" s="5"/>
      <c r="F3" s="5"/>
      <c r="G3" s="5" t="s">
        <v>52</v>
      </c>
      <c r="H3" s="31">
        <f>+'421'!H3</f>
        <v>46132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61287549</v>
      </c>
      <c r="C21" s="55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CA</v>
      </c>
      <c r="I21" s="54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15.33</v>
      </c>
      <c r="G23" s="23">
        <f>+N2</f>
        <v>13.13</v>
      </c>
      <c r="H23" s="23">
        <f>+M2</f>
        <v>11.13</v>
      </c>
      <c r="I23" s="54">
        <f>+L2</f>
        <v>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8"/>
      <c r="D26" s="68"/>
      <c r="E26" s="68"/>
      <c r="F26" s="68"/>
      <c r="G26" s="68"/>
      <c r="H26" s="68"/>
      <c r="I26" s="62"/>
    </row>
    <row r="27" spans="2:13" ht="24.75" customHeight="1" x14ac:dyDescent="0.2">
      <c r="B27" s="69" t="str">
        <f>+K4</f>
        <v>Boys Cotton Fibers, Knit Shirt, With Neck Closure, Stitch Count Equal Or Is Greater Than 10/1cm, Hem Bottom [60% Cotton 40%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2" t="s">
        <v>19</v>
      </c>
      <c r="E31" s="72"/>
      <c r="F31" s="72" t="s">
        <v>18</v>
      </c>
      <c r="G31" s="72"/>
      <c r="H31" s="54" t="s">
        <v>17</v>
      </c>
      <c r="I31" s="19" t="s">
        <v>16</v>
      </c>
      <c r="M31"/>
    </row>
    <row r="32" spans="2:13" ht="27.75" customHeight="1" x14ac:dyDescent="0.2">
      <c r="B32" s="41" t="s">
        <v>181</v>
      </c>
      <c r="C32" s="19" t="s">
        <v>192</v>
      </c>
      <c r="D32" s="63"/>
      <c r="E32" s="64"/>
      <c r="F32" s="63">
        <f>+K2</f>
        <v>100</v>
      </c>
      <c r="G32" s="64"/>
      <c r="H32" s="17">
        <v>1.05</v>
      </c>
      <c r="I32" s="18">
        <f>+H32*F32</f>
        <v>105</v>
      </c>
      <c r="K32" s="48"/>
      <c r="M32" s="39"/>
    </row>
    <row r="33" spans="2:11" ht="21" customHeight="1" x14ac:dyDescent="0.2">
      <c r="B33" s="15" t="s">
        <v>15</v>
      </c>
      <c r="C33" s="15"/>
      <c r="D33" s="61"/>
      <c r="E33" s="62"/>
      <c r="F33" s="61"/>
      <c r="G33" s="62"/>
      <c r="H33" s="17"/>
      <c r="I33" s="54"/>
    </row>
    <row r="34" spans="2:11" ht="21.75" customHeight="1" x14ac:dyDescent="0.2">
      <c r="B34" s="15" t="s">
        <v>14</v>
      </c>
      <c r="C34" s="15"/>
      <c r="D34" s="73"/>
      <c r="E34" s="74"/>
      <c r="F34" s="63">
        <f>SUM(F32:G33)</f>
        <v>100</v>
      </c>
      <c r="G34" s="64"/>
      <c r="H34" s="15"/>
      <c r="I34" s="14">
        <f>SUM(I32:I33)</f>
        <v>105</v>
      </c>
      <c r="J34" s="40"/>
      <c r="K34" s="40"/>
    </row>
    <row r="35" spans="2:11" ht="21.75" customHeight="1" x14ac:dyDescent="0.2">
      <c r="B35" s="16" t="s">
        <v>13</v>
      </c>
      <c r="C35" s="15"/>
      <c r="D35" s="61"/>
      <c r="E35" s="62"/>
      <c r="F35" s="61"/>
      <c r="G35" s="62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1"/>
      <c r="E36" s="62"/>
      <c r="F36" s="61"/>
      <c r="G36" s="62"/>
      <c r="H36" s="15"/>
      <c r="I36" s="14">
        <f>+I34</f>
        <v>105</v>
      </c>
    </row>
    <row r="37" spans="2:11" ht="20.25" customHeight="1" x14ac:dyDescent="0.2">
      <c r="B37" s="15" t="s">
        <v>80</v>
      </c>
      <c r="C37" s="61" t="s">
        <v>11</v>
      </c>
      <c r="D37" s="68"/>
      <c r="E37" s="68"/>
      <c r="F37" s="68"/>
      <c r="G37" s="68"/>
      <c r="H37" s="62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6" t="s">
        <v>7</v>
      </c>
      <c r="C46" s="76"/>
      <c r="D46" s="76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7" t="s">
        <v>1</v>
      </c>
      <c r="D55" s="77"/>
      <c r="E55" s="5"/>
      <c r="F55" s="5"/>
      <c r="G55" s="5"/>
      <c r="H55" s="5"/>
      <c r="I55" s="4"/>
    </row>
    <row r="56" spans="2:11" x14ac:dyDescent="0.2">
      <c r="B56" s="6"/>
      <c r="C56" s="78" t="s">
        <v>0</v>
      </c>
      <c r="D56" s="78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5"/>
      <c r="D57" s="75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7"/>
  <sheetViews>
    <sheetView view="pageBreakPreview" topLeftCell="A22" zoomScaleNormal="100" zoomScaleSheetLayoutView="100" workbookViewId="0">
      <selection activeCell="E9" sqref="E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5" t="s">
        <v>198</v>
      </c>
      <c r="C2" s="66"/>
      <c r="D2" s="66"/>
      <c r="E2" s="66"/>
      <c r="F2" s="66"/>
      <c r="G2" s="66"/>
      <c r="H2" s="66"/>
      <c r="I2" s="67"/>
      <c r="J2" s="43">
        <v>61373728</v>
      </c>
      <c r="K2" s="50">
        <v>2910</v>
      </c>
      <c r="L2" s="44">
        <v>42</v>
      </c>
      <c r="M2" s="44">
        <v>375.55</v>
      </c>
      <c r="N2" s="44">
        <v>433.75</v>
      </c>
      <c r="O2" s="44">
        <v>473.15</v>
      </c>
      <c r="P2" s="44" t="s">
        <v>54</v>
      </c>
      <c r="Q2" s="44">
        <v>2.4039999999999999</v>
      </c>
      <c r="R2" s="44" t="s">
        <v>62</v>
      </c>
    </row>
    <row r="3" spans="2:22" x14ac:dyDescent="0.2">
      <c r="B3" s="6" t="s">
        <v>53</v>
      </c>
      <c r="C3" s="60">
        <f>+'422'!C3+1</f>
        <v>423</v>
      </c>
      <c r="D3" s="5"/>
      <c r="E3" s="5"/>
      <c r="F3" s="5"/>
      <c r="G3" s="5" t="s">
        <v>52</v>
      </c>
      <c r="H3" s="31">
        <f>+'422'!H3</f>
        <v>46132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61373728</v>
      </c>
      <c r="C21" s="55">
        <f>VLOOKUP($K55,reff!E2:F29,2,0)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CA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473.15</v>
      </c>
      <c r="G23" s="23">
        <f>+N2</f>
        <v>433.75</v>
      </c>
      <c r="H23" s="23">
        <f>+M2</f>
        <v>375.55</v>
      </c>
      <c r="I23" s="54">
        <f>+L2</f>
        <v>42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8"/>
      <c r="D26" s="68"/>
      <c r="E26" s="68"/>
      <c r="F26" s="68"/>
      <c r="G26" s="68"/>
      <c r="H26" s="68"/>
      <c r="I26" s="62"/>
    </row>
    <row r="27" spans="2:13" ht="24.75" customHeight="1" x14ac:dyDescent="0.2">
      <c r="B27" s="69" t="str">
        <f>+K4</f>
        <v>Boys Cotton Fibers, Knit Shirt, With Neck Closure, Stitch Count Equal Or Is Greater Than 10/1cm, Hem Bottom [60% Cotton 40%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2" t="s">
        <v>19</v>
      </c>
      <c r="E31" s="72"/>
      <c r="F31" s="72" t="s">
        <v>18</v>
      </c>
      <c r="G31" s="72"/>
      <c r="H31" s="54" t="s">
        <v>17</v>
      </c>
      <c r="I31" s="19" t="s">
        <v>16</v>
      </c>
      <c r="M31"/>
    </row>
    <row r="32" spans="2:13" ht="27.75" customHeight="1" x14ac:dyDescent="0.2">
      <c r="B32" s="41" t="s">
        <v>190</v>
      </c>
      <c r="C32" s="19" t="s">
        <v>193</v>
      </c>
      <c r="D32" s="63"/>
      <c r="E32" s="64"/>
      <c r="F32" s="63">
        <f>+K2</f>
        <v>2910</v>
      </c>
      <c r="G32" s="64"/>
      <c r="H32" s="17">
        <v>1.05</v>
      </c>
      <c r="I32" s="18">
        <f>+H32*F32</f>
        <v>3055.5</v>
      </c>
      <c r="K32" s="48"/>
      <c r="M32" s="39"/>
    </row>
    <row r="33" spans="2:11" ht="21.75" customHeight="1" x14ac:dyDescent="0.2">
      <c r="B33" s="15" t="s">
        <v>14</v>
      </c>
      <c r="C33" s="15"/>
      <c r="D33" s="73"/>
      <c r="E33" s="74"/>
      <c r="F33" s="63">
        <f>SUM(F32:G32)</f>
        <v>2910</v>
      </c>
      <c r="G33" s="64"/>
      <c r="H33" s="15"/>
      <c r="I33" s="14">
        <f>SUM(I32:I32)</f>
        <v>3055.5</v>
      </c>
      <c r="J33" s="40"/>
      <c r="K33" s="40"/>
    </row>
    <row r="34" spans="2:11" ht="21.75" customHeight="1" x14ac:dyDescent="0.2">
      <c r="B34" s="16" t="s">
        <v>13</v>
      </c>
      <c r="C34" s="15"/>
      <c r="D34" s="61"/>
      <c r="E34" s="62"/>
      <c r="F34" s="61"/>
      <c r="G34" s="62"/>
      <c r="H34" s="15"/>
      <c r="I34" s="54"/>
      <c r="J34" s="40"/>
    </row>
    <row r="35" spans="2:11" ht="21.75" customHeight="1" x14ac:dyDescent="0.2">
      <c r="B35" s="16" t="s">
        <v>12</v>
      </c>
      <c r="C35" s="15"/>
      <c r="D35" s="61"/>
      <c r="E35" s="62"/>
      <c r="F35" s="61"/>
      <c r="G35" s="62"/>
      <c r="H35" s="15"/>
      <c r="I35" s="14">
        <f>+I33</f>
        <v>3055.5</v>
      </c>
    </row>
    <row r="36" spans="2:11" ht="20.25" customHeight="1" x14ac:dyDescent="0.2">
      <c r="B36" s="15" t="s">
        <v>80</v>
      </c>
      <c r="C36" s="61" t="s">
        <v>11</v>
      </c>
      <c r="D36" s="68"/>
      <c r="E36" s="68"/>
      <c r="F36" s="68"/>
      <c r="G36" s="68"/>
      <c r="H36" s="62"/>
      <c r="I36" s="47"/>
    </row>
    <row r="37" spans="2:11" ht="21" customHeight="1" x14ac:dyDescent="0.2">
      <c r="B37" s="16" t="s">
        <v>10</v>
      </c>
      <c r="C37" s="15"/>
      <c r="D37" s="15"/>
      <c r="E37" s="15"/>
      <c r="F37" s="15"/>
      <c r="G37" s="15"/>
      <c r="H37" s="15"/>
      <c r="I37" s="14">
        <f>+I35+I36</f>
        <v>3055.5</v>
      </c>
    </row>
    <row r="38" spans="2:11" ht="18.75" customHeight="1" x14ac:dyDescent="0.2">
      <c r="B38" s="6"/>
      <c r="C38" s="5"/>
      <c r="D38" s="5"/>
      <c r="E38" s="5"/>
      <c r="F38" s="5"/>
      <c r="G38" s="5"/>
      <c r="H38" s="5"/>
      <c r="I38" s="4"/>
    </row>
    <row r="39" spans="2:1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13" t="s">
        <v>9</v>
      </c>
      <c r="C40" s="12"/>
      <c r="D40" s="12"/>
      <c r="E40" s="12"/>
      <c r="F40" s="12"/>
      <c r="G40" s="12"/>
      <c r="H40" s="12"/>
      <c r="I40" s="11"/>
    </row>
    <row r="41" spans="2:11" x14ac:dyDescent="0.2">
      <c r="B41" s="2" t="s">
        <v>86</v>
      </c>
      <c r="C41" s="1"/>
      <c r="D41" s="1"/>
      <c r="E41" s="1"/>
      <c r="F41" s="1"/>
      <c r="G41" s="1"/>
      <c r="H41" s="1"/>
      <c r="I41" s="3"/>
    </row>
    <row r="42" spans="2:11" x14ac:dyDescent="0.2">
      <c r="B42" s="6"/>
      <c r="C42" s="5"/>
      <c r="D42" s="5"/>
      <c r="E42" s="5"/>
      <c r="F42" s="5"/>
      <c r="G42" s="5"/>
      <c r="H42" s="5"/>
      <c r="I42" s="4"/>
    </row>
    <row r="43" spans="2:11" x14ac:dyDescent="0.2">
      <c r="B43" s="6" t="s">
        <v>8</v>
      </c>
      <c r="C43" s="5"/>
      <c r="D43" s="5"/>
      <c r="E43" s="5"/>
      <c r="F43" s="5"/>
      <c r="G43" s="5"/>
      <c r="H43" s="5"/>
      <c r="I43" s="4"/>
    </row>
    <row r="44" spans="2:11" x14ac:dyDescent="0.2">
      <c r="B44" s="6"/>
      <c r="C44" s="5"/>
      <c r="D44" s="5"/>
      <c r="E44" s="5"/>
      <c r="F44" s="5"/>
      <c r="G44" s="5"/>
      <c r="H44" s="5"/>
      <c r="I44" s="4"/>
    </row>
    <row r="45" spans="2:11" x14ac:dyDescent="0.2">
      <c r="B45" s="76" t="s">
        <v>7</v>
      </c>
      <c r="C45" s="76"/>
      <c r="D45" s="76"/>
      <c r="E45" s="10" t="s">
        <v>6</v>
      </c>
      <c r="F45" s="10"/>
      <c r="G45" s="10"/>
      <c r="H45" s="10"/>
      <c r="I45" s="10"/>
    </row>
    <row r="46" spans="2:11" x14ac:dyDescent="0.2">
      <c r="B46" s="2"/>
      <c r="C46" s="1"/>
      <c r="D46" s="3"/>
      <c r="E46" s="9" t="s">
        <v>5</v>
      </c>
      <c r="F46" s="9"/>
      <c r="G46" s="9"/>
      <c r="H46" s="2"/>
      <c r="I46" s="3"/>
    </row>
    <row r="47" spans="2:11" x14ac:dyDescent="0.2">
      <c r="B47" s="6"/>
      <c r="C47" s="5"/>
      <c r="D47" s="5"/>
      <c r="E47" s="5"/>
      <c r="F47" s="5"/>
      <c r="G47" s="5"/>
      <c r="H47" s="5"/>
      <c r="I47" s="4"/>
    </row>
    <row r="48" spans="2:11" x14ac:dyDescent="0.2">
      <c r="B48" s="6" t="s">
        <v>4</v>
      </c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3</v>
      </c>
      <c r="C49" s="5"/>
      <c r="D49" s="5"/>
      <c r="E49" s="5"/>
      <c r="F49" s="5"/>
      <c r="G49" s="5"/>
      <c r="H49" s="5"/>
      <c r="I49" s="4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 t="s">
        <v>2</v>
      </c>
      <c r="H51" s="5" t="str">
        <f>VLOOKUP($K51,reff!B2:C29,2,0)</f>
        <v>265K0041</v>
      </c>
      <c r="I51" s="8"/>
      <c r="K51">
        <v>3</v>
      </c>
    </row>
    <row r="52" spans="2:11" x14ac:dyDescent="0.2">
      <c r="B52" s="6"/>
      <c r="C52" s="5"/>
      <c r="D52" s="5"/>
      <c r="E52" s="5"/>
      <c r="F52" s="5"/>
      <c r="G52" s="5"/>
      <c r="H52" s="7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77" t="s">
        <v>1</v>
      </c>
      <c r="D54" s="77"/>
      <c r="E54" s="5"/>
      <c r="F54" s="5"/>
      <c r="G54" s="5"/>
      <c r="H54" s="5"/>
      <c r="I54" s="4"/>
    </row>
    <row r="55" spans="2:11" x14ac:dyDescent="0.2">
      <c r="B55" s="6"/>
      <c r="C55" s="78" t="s">
        <v>0</v>
      </c>
      <c r="D55" s="78"/>
      <c r="E55" s="5"/>
      <c r="F55" s="5"/>
      <c r="G55" s="5"/>
      <c r="H55" s="5"/>
      <c r="I55" s="4"/>
      <c r="K55">
        <v>3</v>
      </c>
    </row>
    <row r="56" spans="2:11" x14ac:dyDescent="0.2">
      <c r="B56" s="2"/>
      <c r="C56" s="75"/>
      <c r="D56" s="75"/>
      <c r="E56" s="1"/>
      <c r="F56" s="1"/>
      <c r="G56" s="1"/>
      <c r="H56" s="1"/>
      <c r="I56" s="1"/>
    </row>
    <row r="57" spans="2:11" x14ac:dyDescent="0.2">
      <c r="B57" s="5"/>
      <c r="C57" s="5"/>
      <c r="D57" s="5"/>
      <c r="E57" s="5"/>
      <c r="F57" s="5"/>
      <c r="G57" s="5"/>
      <c r="H57" s="5"/>
      <c r="I57" s="5"/>
    </row>
  </sheetData>
  <mergeCells count="18">
    <mergeCell ref="D33:E33"/>
    <mergeCell ref="F33:G33"/>
    <mergeCell ref="D34:E34"/>
    <mergeCell ref="F34:G34"/>
    <mergeCell ref="C56:D56"/>
    <mergeCell ref="D35:E35"/>
    <mergeCell ref="F35:G35"/>
    <mergeCell ref="C36:H36"/>
    <mergeCell ref="B45:D45"/>
    <mergeCell ref="C54:D54"/>
    <mergeCell ref="C55:D5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9"/>
  <sheetViews>
    <sheetView view="pageBreakPreview" topLeftCell="A22" zoomScaleNormal="100" zoomScaleSheetLayoutView="100" workbookViewId="0">
      <selection activeCell="E9" sqref="E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5" t="s">
        <v>198</v>
      </c>
      <c r="C2" s="66"/>
      <c r="D2" s="66"/>
      <c r="E2" s="66"/>
      <c r="F2" s="66"/>
      <c r="G2" s="66"/>
      <c r="H2" s="66"/>
      <c r="I2" s="67"/>
      <c r="J2" s="43">
        <v>61296837</v>
      </c>
      <c r="K2" s="50">
        <v>1554</v>
      </c>
      <c r="L2" s="44">
        <v>27</v>
      </c>
      <c r="M2" s="44">
        <v>117.908</v>
      </c>
      <c r="N2" s="44">
        <v>121.01600000000001</v>
      </c>
      <c r="O2" s="44">
        <v>138.11600000000001</v>
      </c>
      <c r="P2" s="44" t="s">
        <v>54</v>
      </c>
      <c r="Q2" s="44">
        <v>0.73799999999999999</v>
      </c>
      <c r="R2" s="44" t="s">
        <v>62</v>
      </c>
    </row>
    <row r="3" spans="2:22" x14ac:dyDescent="0.2">
      <c r="B3" s="6" t="s">
        <v>53</v>
      </c>
      <c r="C3" s="60">
        <f>+'423'!C3+1</f>
        <v>424</v>
      </c>
      <c r="D3" s="5"/>
      <c r="E3" s="5"/>
      <c r="F3" s="5"/>
      <c r="G3" s="5" t="s">
        <v>52</v>
      </c>
      <c r="H3" s="31">
        <f>+'423'!H3</f>
        <v>46132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61296837</v>
      </c>
      <c r="C21" s="55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CA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138.11600000000001</v>
      </c>
      <c r="G23" s="23">
        <f>+N2</f>
        <v>121.01600000000001</v>
      </c>
      <c r="H23" s="23">
        <f>+M2</f>
        <v>117.908</v>
      </c>
      <c r="I23" s="54">
        <f>+L2</f>
        <v>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8"/>
      <c r="D26" s="68"/>
      <c r="E26" s="68"/>
      <c r="F26" s="68"/>
      <c r="G26" s="68"/>
      <c r="H26" s="68"/>
      <c r="I26" s="62"/>
    </row>
    <row r="27" spans="2:13" ht="24.75" customHeight="1" x14ac:dyDescent="0.2">
      <c r="B27" s="69" t="str">
        <f>+K4</f>
        <v>Girls Cotton Fibers, Knit T-Shirt, With No Neck Closure, Stitch Count Is Greater Than 9/2cm, Reaches Waist [60% Cotton 40% Recycled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2" t="s">
        <v>19</v>
      </c>
      <c r="E31" s="72"/>
      <c r="F31" s="72" t="s">
        <v>18</v>
      </c>
      <c r="G31" s="72"/>
      <c r="H31" s="54" t="s">
        <v>17</v>
      </c>
      <c r="I31" s="19" t="s">
        <v>16</v>
      </c>
      <c r="M31"/>
    </row>
    <row r="32" spans="2:13" ht="27.75" customHeight="1" x14ac:dyDescent="0.2">
      <c r="B32" s="41" t="s">
        <v>195</v>
      </c>
      <c r="C32" s="19" t="s">
        <v>194</v>
      </c>
      <c r="D32" s="63"/>
      <c r="E32" s="64"/>
      <c r="F32" s="63">
        <v>956</v>
      </c>
      <c r="G32" s="64"/>
      <c r="H32" s="17">
        <v>0.71</v>
      </c>
      <c r="I32" s="18">
        <f>+H32*F32</f>
        <v>678.76</v>
      </c>
      <c r="K32" s="48"/>
      <c r="M32" s="39"/>
    </row>
    <row r="33" spans="2:13" ht="27.75" customHeight="1" x14ac:dyDescent="0.2">
      <c r="B33" s="41" t="s">
        <v>177</v>
      </c>
      <c r="C33" s="19" t="s">
        <v>178</v>
      </c>
      <c r="D33" s="63"/>
      <c r="E33" s="64"/>
      <c r="F33" s="63">
        <v>598</v>
      </c>
      <c r="G33" s="64"/>
      <c r="H33" s="17">
        <v>0.71</v>
      </c>
      <c r="I33" s="18">
        <f>+H33*F33</f>
        <v>424.58</v>
      </c>
      <c r="K33" s="48"/>
      <c r="M33" s="39"/>
    </row>
    <row r="34" spans="2:13" ht="21" customHeight="1" x14ac:dyDescent="0.2">
      <c r="B34" s="15" t="s">
        <v>15</v>
      </c>
      <c r="C34" s="15"/>
      <c r="D34" s="61"/>
      <c r="E34" s="62"/>
      <c r="F34" s="61"/>
      <c r="G34" s="62"/>
      <c r="H34" s="17"/>
      <c r="I34" s="59"/>
    </row>
    <row r="35" spans="2:13" ht="21.75" customHeight="1" x14ac:dyDescent="0.2">
      <c r="B35" s="15" t="s">
        <v>14</v>
      </c>
      <c r="C35" s="15"/>
      <c r="D35" s="73"/>
      <c r="E35" s="74"/>
      <c r="F35" s="63">
        <f>SUM(F32:G34)</f>
        <v>1554</v>
      </c>
      <c r="G35" s="64"/>
      <c r="H35" s="15"/>
      <c r="I35" s="14">
        <f>SUM(I32:I34)</f>
        <v>1103.3399999999999</v>
      </c>
      <c r="J35" s="40"/>
      <c r="K35" s="40"/>
    </row>
    <row r="36" spans="2:13" ht="21.75" customHeight="1" x14ac:dyDescent="0.2">
      <c r="B36" s="16" t="s">
        <v>13</v>
      </c>
      <c r="C36" s="15"/>
      <c r="D36" s="61"/>
      <c r="E36" s="62"/>
      <c r="F36" s="61"/>
      <c r="G36" s="62"/>
      <c r="H36" s="15"/>
      <c r="I36" s="54"/>
      <c r="J36" s="40"/>
    </row>
    <row r="37" spans="2:13" ht="21.75" customHeight="1" x14ac:dyDescent="0.2">
      <c r="B37" s="16" t="s">
        <v>12</v>
      </c>
      <c r="C37" s="15"/>
      <c r="D37" s="61"/>
      <c r="E37" s="62"/>
      <c r="F37" s="61"/>
      <c r="G37" s="62"/>
      <c r="H37" s="15"/>
      <c r="I37" s="14">
        <f>+I35</f>
        <v>1103.3399999999999</v>
      </c>
    </row>
    <row r="38" spans="2:13" ht="20.25" customHeight="1" x14ac:dyDescent="0.2">
      <c r="B38" s="15" t="s">
        <v>80</v>
      </c>
      <c r="C38" s="61" t="s">
        <v>11</v>
      </c>
      <c r="D38" s="68"/>
      <c r="E38" s="68"/>
      <c r="F38" s="68"/>
      <c r="G38" s="68"/>
      <c r="H38" s="62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1103.3399999999999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6" t="s">
        <v>7</v>
      </c>
      <c r="C47" s="76"/>
      <c r="D47" s="76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265K0026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7" t="s">
        <v>1</v>
      </c>
      <c r="D56" s="77"/>
      <c r="E56" s="5"/>
      <c r="F56" s="5"/>
      <c r="G56" s="5"/>
      <c r="H56" s="5"/>
      <c r="I56" s="4"/>
      <c r="K56">
        <v>4</v>
      </c>
    </row>
    <row r="57" spans="2:11" x14ac:dyDescent="0.2">
      <c r="B57" s="6"/>
      <c r="C57" s="78" t="s">
        <v>0</v>
      </c>
      <c r="D57" s="78"/>
      <c r="E57" s="5"/>
      <c r="F57" s="5"/>
      <c r="G57" s="5"/>
      <c r="H57" s="5"/>
      <c r="I57" s="4"/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9"/>
  <sheetViews>
    <sheetView view="pageBreakPreview" topLeftCell="A22" zoomScaleNormal="100" zoomScaleSheetLayoutView="100" workbookViewId="0">
      <selection activeCell="E9" sqref="E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5" t="s">
        <v>198</v>
      </c>
      <c r="C2" s="66"/>
      <c r="D2" s="66"/>
      <c r="E2" s="66"/>
      <c r="F2" s="66"/>
      <c r="G2" s="66"/>
      <c r="H2" s="66"/>
      <c r="I2" s="67"/>
      <c r="J2" s="43">
        <v>61297135</v>
      </c>
      <c r="K2" s="50">
        <v>1166</v>
      </c>
      <c r="L2" s="44">
        <v>17</v>
      </c>
      <c r="M2" s="44">
        <v>88.299000000000007</v>
      </c>
      <c r="N2" s="44">
        <v>90.631</v>
      </c>
      <c r="O2" s="44">
        <v>103.73099999999999</v>
      </c>
      <c r="P2" s="44" t="s">
        <v>54</v>
      </c>
      <c r="Q2" s="44">
        <v>0.53700000000000003</v>
      </c>
      <c r="R2" s="44" t="s">
        <v>62</v>
      </c>
    </row>
    <row r="3" spans="2:22" x14ac:dyDescent="0.2">
      <c r="B3" s="6" t="s">
        <v>53</v>
      </c>
      <c r="C3" s="60">
        <f>+'424'!C3+1</f>
        <v>425</v>
      </c>
      <c r="D3" s="5"/>
      <c r="E3" s="5"/>
      <c r="F3" s="5"/>
      <c r="G3" s="5" t="s">
        <v>52</v>
      </c>
      <c r="H3" s="31">
        <f>+'424'!H3</f>
        <v>46132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61297135</v>
      </c>
      <c r="C21" s="55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CA</v>
      </c>
      <c r="I21" s="54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103.73099999999999</v>
      </c>
      <c r="G23" s="23">
        <f>+N2</f>
        <v>90.631</v>
      </c>
      <c r="H23" s="23">
        <f>+M2</f>
        <v>88.299000000000007</v>
      </c>
      <c r="I23" s="54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8"/>
      <c r="D26" s="68"/>
      <c r="E26" s="68"/>
      <c r="F26" s="68"/>
      <c r="G26" s="68"/>
      <c r="H26" s="68"/>
      <c r="I26" s="62"/>
    </row>
    <row r="27" spans="2:13" ht="24.75" customHeight="1" x14ac:dyDescent="0.2">
      <c r="B27" s="69" t="str">
        <f>+K4</f>
        <v>Girls Cotton Fibers, Knit T-Shirt, With No Neck Closure, Stitch Count Is Greater Than 9/2cm, Reaches Waist [60% Cotton 40% Recycled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2" t="s">
        <v>19</v>
      </c>
      <c r="E31" s="72"/>
      <c r="F31" s="72" t="s">
        <v>18</v>
      </c>
      <c r="G31" s="72"/>
      <c r="H31" s="54" t="s">
        <v>17</v>
      </c>
      <c r="I31" s="19" t="s">
        <v>16</v>
      </c>
      <c r="M31"/>
    </row>
    <row r="32" spans="2:13" ht="27.75" customHeight="1" x14ac:dyDescent="0.2">
      <c r="B32" s="41" t="s">
        <v>195</v>
      </c>
      <c r="C32" s="19" t="s">
        <v>194</v>
      </c>
      <c r="D32" s="63"/>
      <c r="E32" s="64"/>
      <c r="F32" s="63">
        <v>607</v>
      </c>
      <c r="G32" s="64"/>
      <c r="H32" s="17">
        <v>0.71</v>
      </c>
      <c r="I32" s="18">
        <f>+H32*F32</f>
        <v>430.96999999999997</v>
      </c>
      <c r="K32" s="48"/>
      <c r="M32" s="39"/>
    </row>
    <row r="33" spans="2:13" ht="27.75" customHeight="1" x14ac:dyDescent="0.2">
      <c r="B33" s="41" t="s">
        <v>177</v>
      </c>
      <c r="C33" s="19" t="s">
        <v>178</v>
      </c>
      <c r="D33" s="63"/>
      <c r="E33" s="64"/>
      <c r="F33" s="63">
        <v>559</v>
      </c>
      <c r="G33" s="64"/>
      <c r="H33" s="17">
        <v>0.71</v>
      </c>
      <c r="I33" s="18">
        <f>+H33*F33</f>
        <v>396.89</v>
      </c>
      <c r="K33" s="48"/>
      <c r="M33" s="39"/>
    </row>
    <row r="34" spans="2:13" ht="21" customHeight="1" x14ac:dyDescent="0.2">
      <c r="B34" s="15" t="s">
        <v>15</v>
      </c>
      <c r="C34" s="15"/>
      <c r="D34" s="61"/>
      <c r="E34" s="62"/>
      <c r="F34" s="61"/>
      <c r="G34" s="62"/>
      <c r="H34" s="17"/>
      <c r="I34" s="54"/>
    </row>
    <row r="35" spans="2:13" ht="21.75" customHeight="1" x14ac:dyDescent="0.2">
      <c r="B35" s="15" t="s">
        <v>14</v>
      </c>
      <c r="C35" s="15"/>
      <c r="D35" s="73"/>
      <c r="E35" s="74"/>
      <c r="F35" s="63">
        <f>SUM(F32:G34)</f>
        <v>1166</v>
      </c>
      <c r="G35" s="64"/>
      <c r="H35" s="15"/>
      <c r="I35" s="14">
        <f>SUM(I32:I34)</f>
        <v>827.8599999999999</v>
      </c>
      <c r="J35" s="40"/>
      <c r="K35" s="40"/>
    </row>
    <row r="36" spans="2:13" ht="21.75" customHeight="1" x14ac:dyDescent="0.2">
      <c r="B36" s="16" t="s">
        <v>13</v>
      </c>
      <c r="C36" s="15"/>
      <c r="D36" s="61"/>
      <c r="E36" s="62"/>
      <c r="F36" s="61"/>
      <c r="G36" s="62"/>
      <c r="H36" s="15"/>
      <c r="I36" s="54"/>
      <c r="J36" s="40"/>
    </row>
    <row r="37" spans="2:13" ht="21.75" customHeight="1" x14ac:dyDescent="0.2">
      <c r="B37" s="16" t="s">
        <v>12</v>
      </c>
      <c r="C37" s="15"/>
      <c r="D37" s="61"/>
      <c r="E37" s="62"/>
      <c r="F37" s="61"/>
      <c r="G37" s="62"/>
      <c r="H37" s="15"/>
      <c r="I37" s="14">
        <f>+I35</f>
        <v>827.8599999999999</v>
      </c>
    </row>
    <row r="38" spans="2:13" ht="20.25" customHeight="1" x14ac:dyDescent="0.2">
      <c r="B38" s="15" t="s">
        <v>80</v>
      </c>
      <c r="C38" s="61" t="s">
        <v>11</v>
      </c>
      <c r="D38" s="68"/>
      <c r="E38" s="68"/>
      <c r="F38" s="68"/>
      <c r="G38" s="68"/>
      <c r="H38" s="62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827.8599999999999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6" t="s">
        <v>7</v>
      </c>
      <c r="C47" s="76"/>
      <c r="D47" s="76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265K0026</v>
      </c>
      <c r="I53" s="8"/>
      <c r="K53">
        <v>5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7" t="s">
        <v>1</v>
      </c>
      <c r="D56" s="77"/>
      <c r="E56" s="5"/>
      <c r="F56" s="5"/>
      <c r="G56" s="5"/>
      <c r="H56" s="5"/>
      <c r="I56" s="4"/>
      <c r="K56">
        <v>5</v>
      </c>
    </row>
    <row r="57" spans="2:11" x14ac:dyDescent="0.2">
      <c r="B57" s="6"/>
      <c r="C57" s="78" t="s">
        <v>0</v>
      </c>
      <c r="D57" s="78"/>
      <c r="E57" s="5"/>
      <c r="F57" s="5"/>
      <c r="G57" s="5"/>
      <c r="H57" s="5"/>
      <c r="I57" s="4"/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9"/>
  <sheetViews>
    <sheetView view="pageBreakPreview" topLeftCell="A21" zoomScaleNormal="100" zoomScaleSheetLayoutView="100" workbookViewId="0">
      <selection activeCell="E9" sqref="E9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5" t="s">
        <v>198</v>
      </c>
      <c r="C2" s="66"/>
      <c r="D2" s="66"/>
      <c r="E2" s="66"/>
      <c r="F2" s="66"/>
      <c r="G2" s="66"/>
      <c r="H2" s="66"/>
      <c r="I2" s="67"/>
      <c r="J2" s="43">
        <v>61765505</v>
      </c>
      <c r="K2" s="50">
        <v>2000</v>
      </c>
      <c r="L2" s="44">
        <v>12</v>
      </c>
      <c r="M2" s="44">
        <v>148.63</v>
      </c>
      <c r="N2" s="44">
        <v>152.63</v>
      </c>
      <c r="O2" s="44">
        <v>164.63</v>
      </c>
      <c r="P2" s="44" t="s">
        <v>54</v>
      </c>
      <c r="Q2" s="44">
        <v>0.80500000000000005</v>
      </c>
      <c r="R2" s="44" t="s">
        <v>62</v>
      </c>
    </row>
    <row r="3" spans="2:22" x14ac:dyDescent="0.2">
      <c r="B3" s="6" t="s">
        <v>53</v>
      </c>
      <c r="C3" s="60">
        <f>+'425'!C3+1</f>
        <v>426</v>
      </c>
      <c r="D3" s="5"/>
      <c r="E3" s="5"/>
      <c r="F3" s="5"/>
      <c r="G3" s="5" t="s">
        <v>52</v>
      </c>
      <c r="H3" s="31">
        <f>+'425'!H3</f>
        <v>46132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61765505</v>
      </c>
      <c r="C21" s="55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164.63</v>
      </c>
      <c r="G23" s="23">
        <f>+N2</f>
        <v>152.63</v>
      </c>
      <c r="H23" s="23">
        <f>+M2</f>
        <v>148.63</v>
      </c>
      <c r="I23" s="54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1" t="s">
        <v>23</v>
      </c>
      <c r="C26" s="68"/>
      <c r="D26" s="68"/>
      <c r="E26" s="68"/>
      <c r="F26" s="68"/>
      <c r="G26" s="68"/>
      <c r="H26" s="68"/>
      <c r="I26" s="62"/>
    </row>
    <row r="27" spans="2:13" ht="24.75" customHeight="1" x14ac:dyDescent="0.2">
      <c r="B27" s="69" t="str">
        <f>+K4</f>
        <v>GIRLS COTTON FIBERS, KNIT PULLOVER, WITH NO NECK CLOSURE, STITCH COUNT IS GREATER THAN 9/2CM, REACHES WAIST [60% COTTON 40% RECYCLED POLYESTER]</v>
      </c>
      <c r="C27" s="70"/>
      <c r="D27" s="70"/>
      <c r="E27" s="70"/>
      <c r="F27" s="70"/>
      <c r="G27" s="70"/>
      <c r="H27" s="70"/>
      <c r="I27" s="71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2" t="s">
        <v>19</v>
      </c>
      <c r="E31" s="72"/>
      <c r="F31" s="72" t="s">
        <v>18</v>
      </c>
      <c r="G31" s="72"/>
      <c r="H31" s="54" t="s">
        <v>17</v>
      </c>
      <c r="I31" s="19" t="s">
        <v>16</v>
      </c>
      <c r="M31"/>
    </row>
    <row r="32" spans="2:13" ht="27.75" customHeight="1" x14ac:dyDescent="0.2">
      <c r="B32" s="41" t="s">
        <v>177</v>
      </c>
      <c r="C32" s="19" t="s">
        <v>178</v>
      </c>
      <c r="D32" s="63"/>
      <c r="E32" s="64"/>
      <c r="F32" s="63">
        <v>840</v>
      </c>
      <c r="G32" s="64"/>
      <c r="H32" s="17">
        <v>0.71</v>
      </c>
      <c r="I32" s="18">
        <f>+H32*F32</f>
        <v>596.4</v>
      </c>
      <c r="K32" s="48"/>
      <c r="M32" s="39"/>
    </row>
    <row r="33" spans="2:13" ht="27.75" customHeight="1" x14ac:dyDescent="0.2">
      <c r="B33" s="41" t="s">
        <v>195</v>
      </c>
      <c r="C33" s="19" t="s">
        <v>194</v>
      </c>
      <c r="D33" s="63"/>
      <c r="E33" s="64"/>
      <c r="F33" s="63">
        <v>1160</v>
      </c>
      <c r="G33" s="64"/>
      <c r="H33" s="17">
        <v>0.71</v>
      </c>
      <c r="I33" s="18">
        <f>+H33*F33</f>
        <v>823.59999999999991</v>
      </c>
      <c r="K33" s="48"/>
      <c r="M33" s="39"/>
    </row>
    <row r="34" spans="2:13" ht="21" customHeight="1" x14ac:dyDescent="0.2">
      <c r="B34" s="15" t="s">
        <v>15</v>
      </c>
      <c r="C34" s="15"/>
      <c r="D34" s="61"/>
      <c r="E34" s="62"/>
      <c r="F34" s="61"/>
      <c r="G34" s="62"/>
      <c r="H34" s="17"/>
      <c r="I34" s="54"/>
    </row>
    <row r="35" spans="2:13" ht="21.75" customHeight="1" x14ac:dyDescent="0.2">
      <c r="B35" s="15" t="s">
        <v>14</v>
      </c>
      <c r="C35" s="15"/>
      <c r="D35" s="73"/>
      <c r="E35" s="74"/>
      <c r="F35" s="63">
        <f>SUM(F32:G34)</f>
        <v>2000</v>
      </c>
      <c r="G35" s="64"/>
      <c r="H35" s="15"/>
      <c r="I35" s="14">
        <f>SUM(I32:I34)</f>
        <v>1420</v>
      </c>
      <c r="J35" s="40"/>
      <c r="K35" s="40"/>
    </row>
    <row r="36" spans="2:13" ht="21.75" customHeight="1" x14ac:dyDescent="0.2">
      <c r="B36" s="16" t="s">
        <v>13</v>
      </c>
      <c r="C36" s="15"/>
      <c r="D36" s="61"/>
      <c r="E36" s="62"/>
      <c r="F36" s="61"/>
      <c r="G36" s="62"/>
      <c r="H36" s="15"/>
      <c r="I36" s="54"/>
      <c r="J36" s="40"/>
    </row>
    <row r="37" spans="2:13" ht="21.75" customHeight="1" x14ac:dyDescent="0.2">
      <c r="B37" s="16" t="s">
        <v>12</v>
      </c>
      <c r="C37" s="15"/>
      <c r="D37" s="61"/>
      <c r="E37" s="62"/>
      <c r="F37" s="61"/>
      <c r="G37" s="62"/>
      <c r="H37" s="15"/>
      <c r="I37" s="14">
        <f>+I35</f>
        <v>1420</v>
      </c>
    </row>
    <row r="38" spans="2:13" ht="20.25" customHeight="1" x14ac:dyDescent="0.2">
      <c r="B38" s="15" t="s">
        <v>80</v>
      </c>
      <c r="C38" s="61" t="s">
        <v>11</v>
      </c>
      <c r="D38" s="68"/>
      <c r="E38" s="68"/>
      <c r="F38" s="68"/>
      <c r="G38" s="68"/>
      <c r="H38" s="62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1420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6" t="s">
        <v>7</v>
      </c>
      <c r="C47" s="76"/>
      <c r="D47" s="76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6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7" t="s">
        <v>1</v>
      </c>
      <c r="D56" s="77"/>
      <c r="E56" s="5"/>
      <c r="F56" s="5"/>
      <c r="G56" s="5"/>
      <c r="H56" s="5"/>
      <c r="I56" s="4"/>
    </row>
    <row r="57" spans="2:11" x14ac:dyDescent="0.2">
      <c r="B57" s="6"/>
      <c r="C57" s="78" t="s">
        <v>0</v>
      </c>
      <c r="D57" s="78"/>
      <c r="E57" s="5"/>
      <c r="F57" s="5"/>
      <c r="G57" s="5"/>
      <c r="H57" s="5"/>
      <c r="I57" s="4"/>
      <c r="K57">
        <v>6</v>
      </c>
    </row>
    <row r="58" spans="2:11" x14ac:dyDescent="0.2">
      <c r="B58" s="2"/>
      <c r="C58" s="75"/>
      <c r="D58" s="75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Sheet1</vt:lpstr>
      <vt:lpstr>reff</vt:lpstr>
      <vt:lpstr>421</vt:lpstr>
      <vt:lpstr>422</vt:lpstr>
      <vt:lpstr>423</vt:lpstr>
      <vt:lpstr>424</vt:lpstr>
      <vt:lpstr>425</vt:lpstr>
      <vt:lpstr>426</vt:lpstr>
      <vt:lpstr>'421'!Print_Area</vt:lpstr>
      <vt:lpstr>'422'!Print_Area</vt:lpstr>
      <vt:lpstr>'423'!Print_Area</vt:lpstr>
      <vt:lpstr>'424'!Print_Area</vt:lpstr>
      <vt:lpstr>'425'!Print_Area</vt:lpstr>
      <vt:lpstr>'426'!Print_Area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2026-04-20T01:37:43Z</cp:lastPrinted>
  <dcterms:created xsi:type="dcterms:W3CDTF">2024-04-17T09:56:05Z</dcterms:created>
  <dcterms:modified xsi:type="dcterms:W3CDTF">2026-04-20T02:06:14Z</dcterms:modified>
</cp:coreProperties>
</file>