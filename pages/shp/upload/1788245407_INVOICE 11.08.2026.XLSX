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11.08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119" sheetId="138" r:id="rId3"/>
    <sheet name="119 CMT" sheetId="129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'119'!$B$1:$I$58</definedName>
    <definedName name="_xlnm.Print_Area" localSheetId="3">'119 CMT'!$B$1:$I$58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29" l="1"/>
  <c r="I33" i="129" s="1"/>
  <c r="I32" i="129"/>
  <c r="F33" i="138" l="1"/>
  <c r="F35" i="129" l="1"/>
  <c r="F35" i="138"/>
  <c r="I33" i="138"/>
  <c r="I35" i="129" l="1"/>
  <c r="I32" i="138" l="1"/>
  <c r="I35" i="138" s="1"/>
  <c r="E21" i="129" l="1"/>
  <c r="E21" i="138" l="1"/>
  <c r="C21" i="129"/>
  <c r="C21" i="138"/>
  <c r="H53" i="129"/>
  <c r="H53" i="138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7" i="138" l="1"/>
  <c r="I39" i="138" s="1"/>
  <c r="I37" i="129" l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<sst xmlns="http://schemas.openxmlformats.org/spreadsheetml/2006/main" count="323" uniqueCount="186">
  <si>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</si>
  <si>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</si>
  <si>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</si>
  <si>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</si>
  <si>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</si>
  <si>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</si>
  <si>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</si>
  <si>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</si>
  <si>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</si>
  <si>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</si>
  <si>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</si>
  <si>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</si>
  <si>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</si>
  <si>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</si>
  <si>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</si>
  <si>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</si>
  <si>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</si>
  <si>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</si>
  <si>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</si>
  <si>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</si>
  <si>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</si>
  <si>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</si>
  <si>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</si>
  <si>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</si>
  <si>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</si>
  <si>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</si>
  <si>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</si>
  <si>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</si>
  <si>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</si>
  <si>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</si>
  <si>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</si>
  <si>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</si>
  <si>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</si>
  <si>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</si>
  <si>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</si>
  <si>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</si>
  <si>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</si>
  <si>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</si>
  <si>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</si>
  <si>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</si>
  <si>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</si>
  <si>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</si>
  <si>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</si>
  <si>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</si>
  <si>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</si>
  <si>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</si>
  <si>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</si>
  <si>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</si>
  <si>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</si>
  <si>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</si>
  <si>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</si>
  <si>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</si>
  <si>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</si>
  <si>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</si>
  <si>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</si>
  <si>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</si>
  <si>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</si>
  <si>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</si>
  <si>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</si>
  <si>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</si>
  <si>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</si>
  <si>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</si>
  <si>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</si>
  <si>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</si>
  <si>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</si>
  <si>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</si>
  <si>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</si>
  <si>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</si>
  <si>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</si>
  <si>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</si>
  <si>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</si>
  <si>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</si>
  <si>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</si>
  <si>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</si>
  <si>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</si>
  <si>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</si>
  <si>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</si>
  <si>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</si>
  <si>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</si>
  <si>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</si>
  <si>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</si>
  <si>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</si>
  <si>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</si>
  <si>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</si>
  <si>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</si>
  <si>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</si>
  <si>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</si>
  <si>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</si>
  <si>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</si>
  <si>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</si>
  <si>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</si>
  <si>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</si>
  <si>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</si>
  <si>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</si>
  <si>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</si>
  <si>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</si>
  <si>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</si>
  <si>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</si>
  <si>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</si>
  <si>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</si>
  <si>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</si>
  <si>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</si>
  <si>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</si>
  <si>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</si>
  <si>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</si>
  <si>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</si>
  <si>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</si>
  <si>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</si>
  <si>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</si>
  <si>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</si>
  <si>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</si>
  <si>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</si>
  <si>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</si>
  <si>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</si>
  <si>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</si>
  <si>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</si>
  <si>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</si>
  <si>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</si>
  <si>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</si>
  <si>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</si>
  <si>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</si>
  <si>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</si>
  <si>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</si>
  <si>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</si>
  <si>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</si>
  <si>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</si>
  <si>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</si>
  <si>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</si>
  <si>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</si>
  <si>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</si>
  <si>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</si>
  <si>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</si>
  <si>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</si>
  <si>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</si>
  <si>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</si>
  <si>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</si>
  <si>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</si>
  <si>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</si>
  <si>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</si>
  <si>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</si>
  <si>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</si>
  <si>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</si>
  <si>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</si>
  <si>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</si>
  <si>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</si>
  <si>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</si>
  <si>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</si>
  <si>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</si>
  <si>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</si>
  <si>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</si>
  <si>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</si>
  <si>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</si>
  <si>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</si>
  <si>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</si>
  <si>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</si>
  <si>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</si>
  <si>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</si>
  <si>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</si>
  <si>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</si>
  <si>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</si>
  <si>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</si>
  <si>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</si>
  <si>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</si>
  <si>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</si>
  <si>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</si>
  <si>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</si>
  <si>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</si>
  <si>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</si>
  <si>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</si>
  <si>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</si>
  <si>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</si>
  <si>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</si>
  <si>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</si>
  <si>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</si>
  <si>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</si>
  <si>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</si>
  <si>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</si>
  <si>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</si>
  <si>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CALLA LILY 451</t>
  </si>
  <si>
    <t>265K0088</t>
  </si>
  <si>
    <t>00</t>
  </si>
  <si>
    <t>BLACKJACK JAS
BLUSH HUE</t>
  </si>
  <si>
    <t>01, 02</t>
  </si>
  <si>
    <t>GIRLS COTTON FIBERS, KNIT PULLOVER, WITH NO NECK CLOSURE, STITCH COUNT IS GREATER THAN 9/2CM, REACHES WAIST [60% COTTON 40% RECYCLED POLYESTER]</t>
  </si>
  <si>
    <t>Franchise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</si>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</sst>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3" sqref="I3"/>
    </sheetView>
  </sheetViews>
  <sheetFormatPr defaultRowHeight="12.75" x14ac:dyDescent="0.2"/>
  <sheetData>
    <row r="2" spans="2:9" ht="15" x14ac:dyDescent="0.25">
      <c r="B2" s="55">
        <v>1</v>
      </c>
      <c r="C2" t="s">
        <v>179</v>
      </c>
      <c r="E2" s="55">
        <v>1</v>
      </c>
      <c r="F2">
        <v>867788</v>
      </c>
      <c r="H2" s="55">
        <v>1</v>
      </c>
      <c r="I2" s="61" t="s">
        <v>184</v>
      </c>
    </row>
    <row r="3" spans="2:9" ht="15" x14ac:dyDescent="0.25">
      <c r="B3" s="55">
        <v>2</v>
      </c>
      <c r="C3" t="s">
        <v>179</v>
      </c>
      <c r="E3" s="55">
        <v>2</v>
      </c>
      <c r="F3">
        <v>867788</v>
      </c>
      <c r="H3" s="55">
        <v>2</v>
      </c>
      <c r="I3" s="61" t="s">
        <v>184</v>
      </c>
    </row>
    <row r="4" spans="2:9" ht="15" x14ac:dyDescent="0.25">
      <c r="B4" s="55">
        <v>3</v>
      </c>
      <c r="E4" s="55">
        <v>3</v>
      </c>
      <c r="H4" s="55">
        <v>3</v>
      </c>
      <c r="I4" s="61"/>
    </row>
    <row r="5" spans="2:9" ht="15" x14ac:dyDescent="0.25">
      <c r="B5" s="55">
        <v>4</v>
      </c>
      <c r="E5" s="55">
        <v>4</v>
      </c>
      <c r="H5" s="55">
        <v>4</v>
      </c>
      <c r="I5" s="61"/>
    </row>
    <row r="6" spans="2:9" ht="15" x14ac:dyDescent="0.25">
      <c r="B6" s="55">
        <v>5</v>
      </c>
      <c r="E6" s="55">
        <v>5</v>
      </c>
      <c r="H6" s="55">
        <v>5</v>
      </c>
      <c r="I6" s="61"/>
    </row>
    <row r="7" spans="2:9" ht="15" x14ac:dyDescent="0.25">
      <c r="B7" s="55">
        <v>6</v>
      </c>
      <c r="E7" s="55">
        <v>6</v>
      </c>
      <c r="H7" s="55">
        <v>6</v>
      </c>
      <c r="I7" s="61"/>
    </row>
    <row r="8" spans="2:9" ht="15" x14ac:dyDescent="0.25">
      <c r="B8" s="55">
        <v>7</v>
      </c>
      <c r="E8" s="55">
        <v>7</v>
      </c>
      <c r="H8" s="55">
        <v>7</v>
      </c>
      <c r="I8" s="61"/>
    </row>
    <row r="9" spans="2:9" ht="15" x14ac:dyDescent="0.25">
      <c r="B9" s="55">
        <v>8</v>
      </c>
      <c r="E9" s="55">
        <v>8</v>
      </c>
      <c r="H9" s="55">
        <v>8</v>
      </c>
      <c r="I9" s="61"/>
    </row>
    <row r="10" spans="2:9" ht="15" x14ac:dyDescent="0.25">
      <c r="B10" s="55">
        <v>9</v>
      </c>
      <c r="E10" s="55">
        <v>9</v>
      </c>
      <c r="H10" s="55">
        <v>9</v>
      </c>
      <c r="I10" s="61"/>
    </row>
    <row r="11" spans="2:9" ht="15" x14ac:dyDescent="0.25">
      <c r="B11" s="55">
        <v>10</v>
      </c>
      <c r="E11" s="55">
        <v>10</v>
      </c>
      <c r="H11" s="55">
        <v>10</v>
      </c>
      <c r="I11" s="61"/>
    </row>
    <row r="12" spans="2:9" ht="15" x14ac:dyDescent="0.25">
      <c r="B12" s="55">
        <v>11</v>
      </c>
      <c r="E12" s="55">
        <v>11</v>
      </c>
      <c r="H12" s="55">
        <v>11</v>
      </c>
      <c r="I12" s="61"/>
    </row>
    <row r="13" spans="2:9" ht="15" x14ac:dyDescent="0.25">
      <c r="B13" s="55">
        <v>12</v>
      </c>
      <c r="E13" s="55">
        <v>12</v>
      </c>
      <c r="H13" s="55">
        <v>12</v>
      </c>
      <c r="I13" s="61"/>
    </row>
    <row r="14" spans="2:9" ht="15" x14ac:dyDescent="0.25">
      <c r="B14" s="55">
        <v>13</v>
      </c>
      <c r="E14" s="55">
        <v>13</v>
      </c>
      <c r="H14" s="55">
        <v>13</v>
      </c>
      <c r="I14" s="61"/>
    </row>
    <row r="15" spans="2:9" ht="15" x14ac:dyDescent="0.25">
      <c r="B15" s="55">
        <v>14</v>
      </c>
      <c r="E15" s="55">
        <v>14</v>
      </c>
      <c r="H15" s="55">
        <v>14</v>
      </c>
      <c r="I15" s="61"/>
    </row>
    <row r="16" spans="2:9" ht="15" x14ac:dyDescent="0.25">
      <c r="B16" s="55">
        <v>15</v>
      </c>
      <c r="E16" s="55">
        <v>15</v>
      </c>
      <c r="H16" s="55">
        <v>15</v>
      </c>
      <c r="I16" s="61"/>
    </row>
    <row r="17" spans="2:11" ht="15" x14ac:dyDescent="0.25">
      <c r="B17" s="55">
        <v>16</v>
      </c>
      <c r="E17" s="55">
        <v>16</v>
      </c>
      <c r="H17" s="55">
        <v>16</v>
      </c>
      <c r="I17" s="61"/>
    </row>
    <row r="18" spans="2:11" ht="15" x14ac:dyDescent="0.25">
      <c r="B18" s="55">
        <v>17</v>
      </c>
      <c r="E18" s="55">
        <v>17</v>
      </c>
      <c r="H18" s="55">
        <v>17</v>
      </c>
      <c r="I18" s="61"/>
    </row>
    <row r="19" spans="2:11" ht="15" x14ac:dyDescent="0.25">
      <c r="B19" s="55">
        <v>18</v>
      </c>
      <c r="E19" s="55">
        <v>18</v>
      </c>
      <c r="H19" s="55">
        <v>18</v>
      </c>
      <c r="I19" s="61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topLeftCell="E1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177</v>
      </c>
      <c r="C2" s="64"/>
      <c r="D2" s="64"/>
      <c r="E2" s="64"/>
      <c r="F2" s="64"/>
      <c r="G2" s="64"/>
      <c r="H2" s="64"/>
      <c r="I2" s="65"/>
      <c r="J2" s="58">
        <v>62006515</v>
      </c>
      <c r="K2" s="59">
        <v>1548</v>
      </c>
      <c r="L2" s="60">
        <v>23</v>
      </c>
      <c r="M2" s="60">
        <v>109.119</v>
      </c>
      <c r="N2" s="60">
        <v>112.215</v>
      </c>
      <c r="O2" s="60">
        <v>128.215</v>
      </c>
      <c r="P2" s="60" t="s">
        <v>54</v>
      </c>
      <c r="Q2" s="60">
        <v>0.70499999999999996</v>
      </c>
      <c r="R2" s="60" t="s">
        <v>62</v>
      </c>
    </row>
    <row r="3" spans="2:22" x14ac:dyDescent="0.2">
      <c r="B3" s="6" t="s">
        <v>53</v>
      </c>
      <c r="C3" s="62">
        <v>119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62006515</v>
      </c>
      <c r="C21" s="54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3" t="s">
        <v>35</v>
      </c>
      <c r="G21" s="53"/>
      <c r="H21" s="47" t="str">
        <f>IF(LEFT(G17,2)="CA","CA",IF(LEFT(G17,2)="UN","US",IF(LEFT(G17,2)="PA","PA",IF(LEFT(G17,2)="JA","JP"))))</f>
        <v>PA</v>
      </c>
      <c r="I21" s="53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128.215</v>
      </c>
      <c r="G23" s="23">
        <f>+N2</f>
        <v>112.215</v>
      </c>
      <c r="H23" s="23">
        <f>+M2</f>
        <v>109.119</v>
      </c>
      <c r="I23" s="53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GIRLS COTTON FIBERS, KNIT PULLOVER, WITH NO NECK CLOSURE, STITCH COUNT IS GREATER THAN 9/2CM, REACHES WAIST [60% COTTON 40% RECYCLED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2" t="s">
        <v>19</v>
      </c>
      <c r="E31" s="72"/>
      <c r="F31" s="72" t="s">
        <v>18</v>
      </c>
      <c r="G31" s="72"/>
      <c r="H31" s="53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178</v>
      </c>
      <c r="D32" s="77"/>
      <c r="E32" s="78"/>
      <c r="F32" s="77">
        <v>516</v>
      </c>
      <c r="G32" s="78"/>
      <c r="H32" s="17">
        <v>1.84</v>
      </c>
      <c r="I32" s="18">
        <f>+H32*F32</f>
        <v>949.44</v>
      </c>
      <c r="K32" s="46"/>
      <c r="M32" s="39"/>
    </row>
    <row r="33" spans="2:13" ht="41.25" customHeight="1" x14ac:dyDescent="0.2">
      <c r="B33" s="41" t="s">
        <v>182</v>
      </c>
      <c r="C33" s="19" t="s">
        <v>181</v>
      </c>
      <c r="D33" s="77"/>
      <c r="E33" s="78"/>
      <c r="F33" s="77">
        <f>+K2-F32</f>
        <v>1032</v>
      </c>
      <c r="G33" s="78"/>
      <c r="H33" s="17">
        <v>1.73</v>
      </c>
      <c r="I33" s="18">
        <f>+H33*F33</f>
        <v>1785.36</v>
      </c>
      <c r="K33" s="46"/>
      <c r="M33" s="39"/>
    </row>
    <row r="34" spans="2:13" ht="21" customHeight="1" x14ac:dyDescent="0.2">
      <c r="B34" s="15" t="s">
        <v>15</v>
      </c>
      <c r="C34" s="15"/>
      <c r="D34" s="66"/>
      <c r="E34" s="68"/>
      <c r="F34" s="66"/>
      <c r="G34" s="68"/>
      <c r="H34" s="17"/>
      <c r="I34" s="57"/>
    </row>
    <row r="35" spans="2:13" ht="21.75" customHeight="1" x14ac:dyDescent="0.2">
      <c r="B35" s="15" t="s">
        <v>14</v>
      </c>
      <c r="C35" s="15"/>
      <c r="D35" s="79"/>
      <c r="E35" s="80"/>
      <c r="F35" s="77">
        <f>SUM(F32:G34)</f>
        <v>1548</v>
      </c>
      <c r="G35" s="78"/>
      <c r="H35" s="15"/>
      <c r="I35" s="14">
        <f>SUM(I32:I34)</f>
        <v>2734.8</v>
      </c>
      <c r="J35" s="40"/>
      <c r="K35" s="40"/>
    </row>
    <row r="36" spans="2:13" ht="21.75" customHeight="1" x14ac:dyDescent="0.2">
      <c r="B36" s="16" t="s">
        <v>13</v>
      </c>
      <c r="C36" s="15"/>
      <c r="D36" s="66"/>
      <c r="E36" s="68"/>
      <c r="F36" s="66"/>
      <c r="G36" s="68"/>
      <c r="H36" s="15"/>
      <c r="I36" s="53"/>
      <c r="J36" s="40"/>
    </row>
    <row r="37" spans="2:13" ht="21.75" customHeight="1" x14ac:dyDescent="0.2">
      <c r="B37" s="16" t="s">
        <v>12</v>
      </c>
      <c r="C37" s="15"/>
      <c r="D37" s="66"/>
      <c r="E37" s="68"/>
      <c r="F37" s="66"/>
      <c r="G37" s="68"/>
      <c r="H37" s="15"/>
      <c r="I37" s="14">
        <f>+I35</f>
        <v>2734.8</v>
      </c>
    </row>
    <row r="38" spans="2:13" ht="20.25" customHeight="1" x14ac:dyDescent="0.2">
      <c r="B38" s="15" t="s">
        <v>80</v>
      </c>
      <c r="C38" s="66" t="s">
        <v>11</v>
      </c>
      <c r="D38" s="67"/>
      <c r="E38" s="67"/>
      <c r="F38" s="67"/>
      <c r="G38" s="67"/>
      <c r="H38" s="68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2734.8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4:E34"/>
    <mergeCell ref="F34:G34"/>
    <mergeCell ref="D35:E35"/>
    <mergeCell ref="F35:G35"/>
    <mergeCell ref="D33:E33"/>
    <mergeCell ref="F33:G33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185</v>
      </c>
      <c r="C2" s="64"/>
      <c r="D2" s="64"/>
      <c r="E2" s="64"/>
      <c r="F2" s="64"/>
      <c r="G2" s="64"/>
      <c r="H2" s="64"/>
      <c r="I2" s="65"/>
      <c r="J2" s="58">
        <v>62006515</v>
      </c>
      <c r="K2" s="59">
        <v>1548</v>
      </c>
      <c r="L2" s="60">
        <v>23</v>
      </c>
      <c r="M2" s="60">
        <v>109.119</v>
      </c>
      <c r="N2" s="60">
        <v>112.215</v>
      </c>
      <c r="O2" s="60">
        <v>128.215</v>
      </c>
      <c r="P2" s="60" t="s">
        <v>54</v>
      </c>
      <c r="Q2" s="60">
        <v>0.70499999999999996</v>
      </c>
      <c r="R2" s="60" t="s">
        <v>62</v>
      </c>
    </row>
    <row r="3" spans="2:22" x14ac:dyDescent="0.2">
      <c r="B3" s="6" t="s">
        <v>53</v>
      </c>
      <c r="C3" s="62">
        <v>119</v>
      </c>
      <c r="D3" s="5"/>
      <c r="E3" s="5"/>
      <c r="F3" s="5"/>
      <c r="G3" s="5" t="s">
        <v>52</v>
      </c>
      <c r="H3" s="31">
        <v>46250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62006515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128.215</v>
      </c>
      <c r="G23" s="23">
        <f>+N2</f>
        <v>112.215</v>
      </c>
      <c r="H23" s="23">
        <f>+M2</f>
        <v>109.119</v>
      </c>
      <c r="I23" s="48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GIRLS COTTON FIBERS, KNIT PULLOVER, WITH NO NECK CLOSURE, STITCH COUNT IS GREATER THAN 9/2CM, REACHES WAIST [60% COTTON 40% RECYCLED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2" t="s">
        <v>19</v>
      </c>
      <c r="E31" s="72"/>
      <c r="F31" s="72" t="s">
        <v>18</v>
      </c>
      <c r="G31" s="72"/>
      <c r="H31" s="48" t="s">
        <v>17</v>
      </c>
      <c r="I31" s="19" t="s">
        <v>16</v>
      </c>
      <c r="M31"/>
    </row>
    <row r="32" spans="2:13" ht="27" customHeight="1" x14ac:dyDescent="0.2">
      <c r="B32" s="41" t="s">
        <v>180</v>
      </c>
      <c r="C32" s="19" t="s">
        <v>178</v>
      </c>
      <c r="D32" s="77"/>
      <c r="E32" s="78"/>
      <c r="F32" s="77">
        <v>516</v>
      </c>
      <c r="G32" s="78"/>
      <c r="H32" s="17">
        <v>0.71</v>
      </c>
      <c r="I32" s="18">
        <f>+H32*F32</f>
        <v>366.35999999999996</v>
      </c>
      <c r="K32" s="46"/>
      <c r="M32" s="39"/>
    </row>
    <row r="33" spans="2:13" ht="38.25" customHeight="1" x14ac:dyDescent="0.2">
      <c r="B33" s="41" t="s">
        <v>182</v>
      </c>
      <c r="C33" s="19" t="s">
        <v>181</v>
      </c>
      <c r="D33" s="77"/>
      <c r="E33" s="78"/>
      <c r="F33" s="77">
        <f>+K2-F32</f>
        <v>1032</v>
      </c>
      <c r="G33" s="78"/>
      <c r="H33" s="17">
        <v>0.71</v>
      </c>
      <c r="I33" s="18">
        <f>+H33*F33</f>
        <v>732.71999999999991</v>
      </c>
      <c r="K33" s="46"/>
      <c r="M33" s="39"/>
    </row>
    <row r="34" spans="2:13" ht="21" customHeight="1" x14ac:dyDescent="0.2">
      <c r="B34" s="15" t="s">
        <v>15</v>
      </c>
      <c r="C34" s="15"/>
      <c r="D34" s="66"/>
      <c r="E34" s="68"/>
      <c r="F34" s="66"/>
      <c r="G34" s="68"/>
      <c r="H34" s="17"/>
      <c r="I34" s="48"/>
    </row>
    <row r="35" spans="2:13" ht="21.75" customHeight="1" x14ac:dyDescent="0.2">
      <c r="B35" s="15" t="s">
        <v>14</v>
      </c>
      <c r="C35" s="15"/>
      <c r="D35" s="79"/>
      <c r="E35" s="80"/>
      <c r="F35" s="77">
        <f>SUM(F32:G34)</f>
        <v>1548</v>
      </c>
      <c r="G35" s="78"/>
      <c r="H35" s="15"/>
      <c r="I35" s="14">
        <f>SUM(I32:I34)</f>
        <v>1099.08</v>
      </c>
      <c r="J35" s="40"/>
      <c r="K35" s="40"/>
    </row>
    <row r="36" spans="2:13" ht="21.75" customHeight="1" x14ac:dyDescent="0.2">
      <c r="B36" s="16" t="s">
        <v>13</v>
      </c>
      <c r="C36" s="15"/>
      <c r="D36" s="66"/>
      <c r="E36" s="68"/>
      <c r="F36" s="66"/>
      <c r="G36" s="68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6"/>
      <c r="E37" s="68"/>
      <c r="F37" s="66"/>
      <c r="G37" s="68"/>
      <c r="H37" s="15"/>
      <c r="I37" s="14">
        <f>+I35</f>
        <v>1099.08</v>
      </c>
    </row>
    <row r="38" spans="2:13" ht="20.25" customHeight="1" x14ac:dyDescent="0.2">
      <c r="B38" s="15" t="s">
        <v>80</v>
      </c>
      <c r="C38" s="66" t="s">
        <v>11</v>
      </c>
      <c r="D38" s="67"/>
      <c r="E38" s="67"/>
      <c r="F38" s="67"/>
      <c r="G38" s="67"/>
      <c r="H38" s="68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1099.08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119</vt:lpstr>
      <vt:lpstr>119 CMT</vt:lpstr>
      <vt:lpstr>'119'!Print_Area</vt:lpstr>
      <vt:lpstr>'119 CMT'!Print_Area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2026-08-11T00:53:33Z</cp:lastPrinted>
  <dcterms:created xsi:type="dcterms:W3CDTF">2024-04-17T09:56:05Z</dcterms:created>
  <dcterms:modified xsi:type="dcterms:W3CDTF">2026-08-13T01:29:27Z</dcterms:modified>
</cp:coreProperties>
</file>