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4. APRIL\09.04.2026\MOBIL 1\"/>
    </mc:Choice>
  </mc:AlternateContent>
  <xr:revisionPtr revIDLastSave="0" documentId="13_ncr:1_{28BADAD3-8494-451F-A974-D0BD77BB4A2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161" sheetId="129" r:id="rId3"/>
    <sheet name="162" sheetId="133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2">[2]xdata!#REF!</definedName>
    <definedName name="a" localSheetId="3">[2]xdata!#REF!</definedName>
    <definedName name="a">[2]xdata!#REF!</definedName>
    <definedName name="b" localSheetId="2">[2]xdata!#REF!</definedName>
    <definedName name="b" localSheetId="3">[2]xdata!#REF!</definedName>
    <definedName name="b">[2]xdata!#REF!</definedName>
    <definedName name="C_O" localSheetId="2">[2]xdata!#REF!</definedName>
    <definedName name="C_O" localSheetId="3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>[2]xdata!#REF!</definedName>
    <definedName name="INVOICE">[2]xdata!$B$2</definedName>
    <definedName name="_xlnm.Print_Area" localSheetId="2">'161'!$B$1:$I$58</definedName>
    <definedName name="_xlnm.Print_Area" localSheetId="3">'162'!$B$1:$I$58</definedName>
    <definedName name="v" localSheetId="2">[2]xdata!#REF!</definedName>
    <definedName name="v" localSheetId="3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5" i="133" l="1"/>
  <c r="I33" i="133"/>
  <c r="I33" i="129" l="1"/>
  <c r="F35" i="129"/>
  <c r="C3" i="133"/>
  <c r="H3" i="133"/>
  <c r="I32" i="133" l="1"/>
  <c r="I35" i="133" s="1"/>
  <c r="I32" i="129" l="1"/>
  <c r="E21" i="129" l="1"/>
  <c r="E21" i="133" l="1"/>
  <c r="C21" i="129"/>
  <c r="C21" i="133"/>
  <c r="H53" i="129"/>
  <c r="H53" i="133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5" i="129"/>
  <c r="I37" i="129" s="1"/>
  <c r="I39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7" i="133" l="1"/>
  <c r="I39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<sst xmlns="http://schemas.openxmlformats.org/spreadsheetml/2006/main" count="323" uniqueCount="188">
  <si>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</si>
  <si>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</si>
  <si>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</si>
  <si>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</si>
  <si>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</si>
  <si>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</si>
  <si>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</si>
  <si>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</si>
  <si>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</si>
  <si>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</si>
  <si>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</si>
  <si>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</si>
  <si>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</si>
  <si>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</si>
  <si>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</si>
  <si>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</si>
  <si>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</si>
  <si>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</si>
  <si>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</si>
  <si>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</si>
  <si>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</si>
  <si>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</si>
  <si>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</si>
  <si>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</si>
  <si>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</si>
  <si>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</si>
  <si>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</si>
  <si>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</si>
  <si>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</si>
  <si>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</si>
  <si>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</si>
  <si>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</si>
  <si>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</si>
  <si>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</si>
  <si>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</si>
  <si>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</si>
  <si>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</si>
  <si>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</si>
  <si>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</si>
  <si>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</si>
  <si>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</si>
  <si>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</si>
  <si>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</si>
  <si>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</si>
  <si>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</si>
  <si>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</si>
  <si>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</si>
  <si>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</si>
  <si>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</si>
  <si>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</si>
  <si>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</si>
  <si>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</si>
  <si>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</si>
  <si>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</si>
  <si>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</si>
  <si>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</si>
  <si>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</si>
  <si>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</si>
  <si>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</si>
  <si>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</si>
  <si>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</si>
  <si>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</si>
  <si>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</si>
  <si>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</si>
  <si>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</si>
  <si>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</si>
  <si>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</si>
  <si>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</si>
  <si>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</si>
  <si>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</si>
  <si>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</si>
  <si>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</si>
  <si>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</si>
  <si>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</si>
  <si>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</si>
  <si>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</si>
  <si>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</si>
  <si>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</si>
  <si>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</si>
  <si>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</si>
  <si>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</si>
  <si>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</si>
  <si>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</si>
  <si>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</si>
  <si>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</si>
  <si>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</si>
  <si>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</si>
  <si>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</si>
  <si>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</si>
  <si>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</si>
  <si>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</si>
  <si>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</si>
  <si>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</si>
  <si>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</si>
  <si>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</si>
  <si>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</si>
  <si>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</si>
  <si>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</si>
  <si>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</si>
  <si>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</si>
  <si>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</si>
  <si>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</si>
  <si>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</si>
  <si>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</si>
  <si>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</si>
  <si>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</si>
  <si>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</si>
  <si>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</si>
  <si>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</si>
  <si>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</si>
  <si>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</si>
  <si>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</si>
  <si>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</si>
  <si>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</si>
  <si>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</si>
  <si>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</si>
  <si>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</si>
  <si>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</si>
  <si>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</si>
  <si>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</si>
  <si>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</si>
  <si>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</si>
  <si>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</si>
  <si>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</si>
  <si>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</si>
  <si>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</si>
  <si>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</si>
  <si>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</si>
  <si>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</si>
  <si>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</si>
  <si>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</si>
  <si>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</si>
  <si>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</si>
  <si>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</si>
  <si>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</si>
  <si>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</si>
  <si>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</si>
  <si>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</si>
  <si>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</si>
  <si>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</si>
  <si>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</si>
  <si>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</si>
  <si>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</si>
  <si>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</si>
  <si>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</si>
  <si>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</si>
  <si>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</si>
  <si>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</si>
  <si>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</si>
  <si>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</si>
  <si>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</si>
  <si>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</si>
  <si>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</si>
  <si>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</si>
  <si>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</si>
  <si>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</si>
  <si>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</si>
  <si>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</si>
  <si>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</si>
  <si>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</si>
  <si>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</si>
  <si>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</si>
  <si>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</si>
  <si>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</si>
  <si>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</si>
  <si>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</si>
  <si>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</si>
  <si>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</si>
  <si>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</si>
  <si>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</si>
  <si>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</si>
  <si>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</si>
  <si>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</si>
  <si>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</si>
  <si>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</si>
  <si>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</si>
  <si>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</si>
  <si>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</si>
  <si>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RETAIL</t>
  </si>
  <si>
    <t>04</t>
  </si>
  <si>
    <t>02, 01</t>
  </si>
  <si>
    <t>265K0040</t>
  </si>
  <si>
    <t>BRIGHT WHITE</t>
  </si>
  <si>
    <t>FAUX HEATHER GREY, INK BLUE, RED TAPE</t>
  </si>
  <si>
    <t>00, 02, 01</t>
  </si>
  <si>
    <t>BOYS COTTON FIBERS, KNIT SHIRT, WITH NECK CLOSURE, STITCH COUNT EQUAL OR IS GREATER THAN 10/1CM, HEM BOTTOM [60% COTTON 40% POLYESTER]</t>
  </si>
  <si>
    <t>INK BLUE, RED TAPE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</si>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</sst>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4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4" fillId="0" borderId="0" xfId="0" applyFont="1"/>
    <xf numFmtId="169" fontId="0" fillId="0" borderId="0" xfId="0" quotePrefix="1" applyNumberFormat="1" applyBorder="1" applyAlignment="1">
      <alignment horizontal="left"/>
    </xf>
    <xf numFmtId="4" fontId="5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3" customWidth="1"/>
    <col min="4" max="4" width="31.5703125" customWidth="1"/>
    <col min="5" max="5" width="2.140625" style="53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4" t="s">
        <v>83</v>
      </c>
      <c r="D6" s="54" t="s">
        <v>65</v>
      </c>
      <c r="F6" s="54" t="s">
        <v>68</v>
      </c>
      <c r="G6" s="54" t="s">
        <v>68</v>
      </c>
      <c r="H6" s="54" t="s">
        <v>77</v>
      </c>
      <c r="I6" s="54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4" t="s">
        <v>84</v>
      </c>
      <c r="D7" s="54" t="s">
        <v>66</v>
      </c>
      <c r="F7" s="54" t="s">
        <v>69</v>
      </c>
      <c r="G7" s="54" t="s">
        <v>69</v>
      </c>
      <c r="H7" s="54" t="s">
        <v>78</v>
      </c>
      <c r="I7" s="54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5" t="s">
        <v>97</v>
      </c>
      <c r="D8" s="55" t="s">
        <v>75</v>
      </c>
      <c r="F8" s="55" t="s">
        <v>76</v>
      </c>
      <c r="G8" s="55" t="s">
        <v>76</v>
      </c>
      <c r="H8" s="55" t="s">
        <v>79</v>
      </c>
      <c r="I8" s="55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4" t="s">
        <v>138</v>
      </c>
      <c r="D12" s="54" t="s">
        <v>118</v>
      </c>
      <c r="F12" s="54" t="s">
        <v>104</v>
      </c>
      <c r="G12" s="54" t="s">
        <v>106</v>
      </c>
      <c r="H12" s="54" t="s">
        <v>110</v>
      </c>
      <c r="I12" s="54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4" t="s">
        <v>139</v>
      </c>
      <c r="D13" s="54" t="s">
        <v>119</v>
      </c>
      <c r="F13" s="54" t="s">
        <v>101</v>
      </c>
      <c r="G13" s="54" t="s">
        <v>107</v>
      </c>
      <c r="H13" s="54" t="s">
        <v>111</v>
      </c>
      <c r="I13" s="54" t="s">
        <v>115</v>
      </c>
      <c r="L13" t="str">
        <f>F17</f>
        <v>BDC-0015</v>
      </c>
    </row>
    <row r="14" spans="2:12" x14ac:dyDescent="0.2">
      <c r="B14" s="54" t="s">
        <v>141</v>
      </c>
      <c r="D14" s="55" t="s">
        <v>120</v>
      </c>
      <c r="F14" s="55" t="s">
        <v>102</v>
      </c>
      <c r="G14" s="55" t="s">
        <v>108</v>
      </c>
      <c r="H14" s="55" t="s">
        <v>112</v>
      </c>
      <c r="I14" s="55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4" t="s">
        <v>71</v>
      </c>
      <c r="F18" s="54" t="s">
        <v>71</v>
      </c>
      <c r="G18" s="54" t="s">
        <v>71</v>
      </c>
      <c r="H18" s="54" t="s">
        <v>91</v>
      </c>
      <c r="I18" s="54" t="s">
        <v>122</v>
      </c>
      <c r="L18" t="str">
        <f>G23</f>
        <v>EDC(EU FRANCHISE HUB)</v>
      </c>
    </row>
    <row r="19" spans="2:12" x14ac:dyDescent="0.2">
      <c r="D19" s="54" t="s">
        <v>72</v>
      </c>
      <c r="F19" s="54" t="s">
        <v>72</v>
      </c>
      <c r="G19" s="54" t="s">
        <v>72</v>
      </c>
      <c r="H19" s="54" t="s">
        <v>92</v>
      </c>
      <c r="I19" s="54" t="s">
        <v>123</v>
      </c>
      <c r="L19" t="str">
        <f>H23</f>
        <v>EXPEDITORS INT'L GPS STRATEGIC ALLIANCES, LLC</v>
      </c>
    </row>
    <row r="20" spans="2:12" x14ac:dyDescent="0.2">
      <c r="D20" s="54" t="s">
        <v>73</v>
      </c>
      <c r="F20" s="54" t="s">
        <v>73</v>
      </c>
      <c r="G20" s="54" t="s">
        <v>73</v>
      </c>
      <c r="H20" s="55" t="s">
        <v>93</v>
      </c>
      <c r="I20" s="54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4" t="s">
        <v>128</v>
      </c>
      <c r="F24" s="54" t="s">
        <v>135</v>
      </c>
      <c r="G24" s="54" t="s">
        <v>146</v>
      </c>
      <c r="H24" s="54" t="s">
        <v>151</v>
      </c>
      <c r="I24" s="54" t="s">
        <v>157</v>
      </c>
      <c r="L24" t="str">
        <f>I29</f>
        <v>PDC-0014</v>
      </c>
    </row>
    <row r="25" spans="2:12" x14ac:dyDescent="0.2">
      <c r="D25" s="54" t="s">
        <v>129</v>
      </c>
      <c r="F25" s="54" t="s">
        <v>136</v>
      </c>
      <c r="G25" s="54" t="s">
        <v>147</v>
      </c>
      <c r="H25" s="54" t="s">
        <v>152</v>
      </c>
      <c r="I25" s="54" t="s">
        <v>158</v>
      </c>
      <c r="L25" t="str">
        <f>F35</f>
        <v>JPD-0030</v>
      </c>
    </row>
    <row r="26" spans="2:12" x14ac:dyDescent="0.2">
      <c r="D26" s="54" t="s">
        <v>130</v>
      </c>
      <c r="F26" s="54" t="s">
        <v>133</v>
      </c>
      <c r="G26" s="54" t="s">
        <v>148</v>
      </c>
      <c r="H26" s="54" t="s">
        <v>153</v>
      </c>
      <c r="I26" s="55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4" t="s">
        <v>143</v>
      </c>
      <c r="F30" s="54" t="s">
        <v>161</v>
      </c>
      <c r="G30" s="54" t="s">
        <v>163</v>
      </c>
      <c r="H30" s="54" t="s">
        <v>163</v>
      </c>
      <c r="I30" s="54" t="s">
        <v>166</v>
      </c>
    </row>
    <row r="31" spans="2:12" x14ac:dyDescent="0.2">
      <c r="D31" s="54" t="s">
        <v>144</v>
      </c>
      <c r="F31" s="54" t="s">
        <v>111</v>
      </c>
      <c r="G31" s="54" t="s">
        <v>69</v>
      </c>
      <c r="H31" s="54" t="s">
        <v>69</v>
      </c>
      <c r="I31" s="54" t="s">
        <v>101</v>
      </c>
    </row>
    <row r="32" spans="2:12" x14ac:dyDescent="0.2">
      <c r="D32" s="54" t="s">
        <v>130</v>
      </c>
      <c r="F32" s="55" t="s">
        <v>112</v>
      </c>
      <c r="G32" s="55" t="s">
        <v>76</v>
      </c>
      <c r="H32" s="55" t="s">
        <v>76</v>
      </c>
      <c r="I32" s="55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4" t="s">
        <v>118</v>
      </c>
      <c r="F36" s="54" t="s">
        <v>173</v>
      </c>
    </row>
    <row r="37" spans="4:9" x14ac:dyDescent="0.2">
      <c r="D37" s="54" t="s">
        <v>119</v>
      </c>
      <c r="F37" s="54" t="s">
        <v>174</v>
      </c>
    </row>
    <row r="38" spans="4:9" x14ac:dyDescent="0.2">
      <c r="D38" s="55" t="s">
        <v>120</v>
      </c>
      <c r="F38" s="54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4" t="s">
        <v>65</v>
      </c>
    </row>
    <row r="43" spans="4:9" x14ac:dyDescent="0.2">
      <c r="D43" s="54" t="s">
        <v>66</v>
      </c>
    </row>
    <row r="44" spans="4:9" x14ac:dyDescent="0.2">
      <c r="D44" s="55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4" t="s">
        <v>168</v>
      </c>
    </row>
    <row r="49" spans="4:4" x14ac:dyDescent="0.2">
      <c r="D49" s="54" t="s">
        <v>169</v>
      </c>
    </row>
    <row r="50" spans="4:4" x14ac:dyDescent="0.2">
      <c r="D50" s="55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4" sqref="I4"/>
    </sheetView>
  </sheetViews>
  <sheetFormatPr defaultRowHeight="12.75" x14ac:dyDescent="0.2"/>
  <sheetData>
    <row r="2" spans="2:9" ht="15" x14ac:dyDescent="0.25">
      <c r="B2" s="56">
        <v>1</v>
      </c>
      <c r="C2" t="s">
        <v>181</v>
      </c>
      <c r="E2" s="56">
        <v>1</v>
      </c>
      <c r="F2">
        <v>416363</v>
      </c>
      <c r="H2" s="56">
        <v>1</v>
      </c>
      <c r="I2" s="57" t="s">
        <v>178</v>
      </c>
    </row>
    <row r="3" spans="2:9" ht="15" x14ac:dyDescent="0.25">
      <c r="B3" s="56">
        <v>2</v>
      </c>
      <c r="C3" t="s">
        <v>181</v>
      </c>
      <c r="E3" s="56">
        <v>2</v>
      </c>
      <c r="F3">
        <v>416363</v>
      </c>
      <c r="H3" s="56">
        <v>2</v>
      </c>
      <c r="I3" s="57" t="s">
        <v>177</v>
      </c>
    </row>
    <row r="4" spans="2:9" ht="15" x14ac:dyDescent="0.25">
      <c r="B4" s="56">
        <v>3</v>
      </c>
      <c r="E4" s="56">
        <v>3</v>
      </c>
      <c r="H4" s="56">
        <v>3</v>
      </c>
      <c r="I4" s="57"/>
    </row>
    <row r="5" spans="2:9" ht="15" x14ac:dyDescent="0.25">
      <c r="B5" s="56">
        <v>4</v>
      </c>
      <c r="E5" s="56">
        <v>4</v>
      </c>
      <c r="H5" s="56">
        <v>4</v>
      </c>
      <c r="I5" s="57"/>
    </row>
    <row r="6" spans="2:9" ht="15" x14ac:dyDescent="0.25">
      <c r="B6" s="56">
        <v>5</v>
      </c>
      <c r="E6" s="56">
        <v>5</v>
      </c>
      <c r="H6" s="56">
        <v>5</v>
      </c>
      <c r="I6" s="57"/>
    </row>
    <row r="7" spans="2:9" ht="15" x14ac:dyDescent="0.25">
      <c r="B7" s="56">
        <v>6</v>
      </c>
      <c r="E7" s="56">
        <v>6</v>
      </c>
      <c r="H7" s="56">
        <v>6</v>
      </c>
      <c r="I7" s="57"/>
    </row>
    <row r="8" spans="2:9" ht="15" x14ac:dyDescent="0.25">
      <c r="B8" s="56">
        <v>7</v>
      </c>
      <c r="E8" s="56">
        <v>7</v>
      </c>
      <c r="H8" s="56">
        <v>7</v>
      </c>
      <c r="I8" s="57"/>
    </row>
    <row r="9" spans="2:9" ht="15" x14ac:dyDescent="0.25">
      <c r="B9" s="56">
        <v>8</v>
      </c>
      <c r="E9" s="56">
        <v>8</v>
      </c>
      <c r="H9" s="56">
        <v>8</v>
      </c>
      <c r="I9" s="57"/>
    </row>
    <row r="10" spans="2:9" ht="15" x14ac:dyDescent="0.25">
      <c r="B10" s="56">
        <v>9</v>
      </c>
      <c r="E10" s="56">
        <v>9</v>
      </c>
      <c r="H10" s="56">
        <v>9</v>
      </c>
      <c r="I10" s="57"/>
    </row>
    <row r="11" spans="2:9" ht="15" x14ac:dyDescent="0.25">
      <c r="B11" s="56">
        <v>10</v>
      </c>
      <c r="E11" s="56">
        <v>10</v>
      </c>
      <c r="H11" s="56">
        <v>10</v>
      </c>
      <c r="I11" s="57"/>
    </row>
    <row r="12" spans="2:9" ht="15" x14ac:dyDescent="0.25">
      <c r="B12" s="56">
        <v>11</v>
      </c>
      <c r="E12" s="56">
        <v>11</v>
      </c>
      <c r="H12" s="56">
        <v>11</v>
      </c>
      <c r="I12" s="57"/>
    </row>
    <row r="13" spans="2:9" ht="15" x14ac:dyDescent="0.25">
      <c r="B13" s="56">
        <v>12</v>
      </c>
      <c r="E13" s="56">
        <v>12</v>
      </c>
      <c r="H13" s="56">
        <v>12</v>
      </c>
      <c r="I13" s="57"/>
    </row>
    <row r="14" spans="2:9" ht="15" x14ac:dyDescent="0.25">
      <c r="B14" s="56">
        <v>13</v>
      </c>
      <c r="E14" s="56">
        <v>13</v>
      </c>
      <c r="H14" s="56">
        <v>13</v>
      </c>
      <c r="I14" s="57"/>
    </row>
    <row r="15" spans="2:9" ht="15" x14ac:dyDescent="0.25">
      <c r="B15" s="56">
        <v>14</v>
      </c>
      <c r="E15" s="56">
        <v>14</v>
      </c>
      <c r="H15" s="56">
        <v>14</v>
      </c>
      <c r="I15" s="57"/>
    </row>
    <row r="16" spans="2:9" ht="15" x14ac:dyDescent="0.25">
      <c r="B16" s="56">
        <v>15</v>
      </c>
      <c r="E16" s="56">
        <v>15</v>
      </c>
      <c r="H16" s="56">
        <v>15</v>
      </c>
      <c r="I16" s="57"/>
    </row>
    <row r="17" spans="2:11" ht="15" x14ac:dyDescent="0.25">
      <c r="B17" s="56">
        <v>16</v>
      </c>
      <c r="E17" s="56">
        <v>16</v>
      </c>
      <c r="H17" s="56">
        <v>16</v>
      </c>
      <c r="I17" s="57"/>
    </row>
    <row r="18" spans="2:11" ht="15" x14ac:dyDescent="0.25">
      <c r="B18" s="56">
        <v>17</v>
      </c>
      <c r="E18" s="56">
        <v>17</v>
      </c>
      <c r="H18" s="56">
        <v>17</v>
      </c>
      <c r="I18" s="57"/>
    </row>
    <row r="19" spans="2:11" ht="15" x14ac:dyDescent="0.25">
      <c r="B19" s="56">
        <v>18</v>
      </c>
      <c r="E19" s="56">
        <v>18</v>
      </c>
      <c r="H19" s="56">
        <v>18</v>
      </c>
      <c r="I19" s="57"/>
    </row>
    <row r="20" spans="2:11" ht="15" x14ac:dyDescent="0.25">
      <c r="B20" s="56">
        <v>19</v>
      </c>
      <c r="E20" s="56">
        <v>19</v>
      </c>
      <c r="H20" s="56">
        <v>19</v>
      </c>
      <c r="I20" s="57"/>
    </row>
    <row r="21" spans="2:11" ht="15" x14ac:dyDescent="0.25">
      <c r="B21" s="56">
        <v>20</v>
      </c>
      <c r="E21" s="56">
        <v>20</v>
      </c>
      <c r="H21" s="56">
        <v>20</v>
      </c>
      <c r="I21" s="57"/>
    </row>
    <row r="22" spans="2:11" ht="15" x14ac:dyDescent="0.25">
      <c r="B22" s="56">
        <v>21</v>
      </c>
      <c r="E22" s="56">
        <v>21</v>
      </c>
      <c r="H22" s="56">
        <v>21</v>
      </c>
      <c r="I22" s="57"/>
      <c r="K22" t="s">
        <v>63</v>
      </c>
    </row>
    <row r="23" spans="2:11" ht="15" x14ac:dyDescent="0.25">
      <c r="B23" s="56">
        <v>22</v>
      </c>
      <c r="E23" s="56">
        <v>22</v>
      </c>
      <c r="H23" s="56">
        <v>22</v>
      </c>
      <c r="I23" s="57"/>
    </row>
    <row r="24" spans="2:11" ht="15" x14ac:dyDescent="0.25">
      <c r="B24" s="56">
        <v>23</v>
      </c>
      <c r="E24" s="56">
        <v>23</v>
      </c>
      <c r="H24" s="56">
        <v>23</v>
      </c>
      <c r="I24" s="57"/>
    </row>
    <row r="25" spans="2:11" ht="15" x14ac:dyDescent="0.25">
      <c r="B25" s="56">
        <v>24</v>
      </c>
      <c r="E25" s="56">
        <v>24</v>
      </c>
      <c r="H25" s="56">
        <v>24</v>
      </c>
      <c r="I25" s="57"/>
    </row>
    <row r="26" spans="2:11" ht="15" x14ac:dyDescent="0.25">
      <c r="B26" s="56">
        <v>25</v>
      </c>
      <c r="E26" s="56">
        <v>25</v>
      </c>
      <c r="H26" s="56">
        <v>25</v>
      </c>
      <c r="I26" s="57"/>
    </row>
    <row r="27" spans="2:11" ht="15" x14ac:dyDescent="0.25">
      <c r="B27" s="56">
        <v>26</v>
      </c>
      <c r="E27" s="56">
        <v>26</v>
      </c>
      <c r="H27" s="56">
        <v>26</v>
      </c>
      <c r="I27" s="57"/>
    </row>
    <row r="28" spans="2:11" x14ac:dyDescent="0.2">
      <c r="B28" s="56">
        <v>27</v>
      </c>
      <c r="E28" s="56">
        <v>27</v>
      </c>
      <c r="H28" s="56">
        <v>27</v>
      </c>
    </row>
    <row r="29" spans="2:11" x14ac:dyDescent="0.2">
      <c r="B29" s="56">
        <v>28</v>
      </c>
      <c r="E29" s="56">
        <v>28</v>
      </c>
      <c r="H29" s="56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9"/>
  <sheetViews>
    <sheetView tabSelected="1" view="pageBreakPreview" topLeftCell="A15" zoomScaleNormal="100" zoomScaleSheetLayoutView="100" workbookViewId="0">
      <selection activeCell="B2" sqref="B2:I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187</v>
      </c>
      <c r="C2" s="73"/>
      <c r="D2" s="73"/>
      <c r="E2" s="73"/>
      <c r="F2" s="73"/>
      <c r="G2" s="73"/>
      <c r="H2" s="73"/>
      <c r="I2" s="74"/>
      <c r="J2" s="43">
        <v>61403266</v>
      </c>
      <c r="K2" s="50">
        <v>35786</v>
      </c>
      <c r="L2" s="44">
        <v>345</v>
      </c>
      <c r="M2" s="59">
        <v>4024.8780000000002</v>
      </c>
      <c r="N2" s="59">
        <v>4096.45</v>
      </c>
      <c r="O2" s="59">
        <v>4428.45</v>
      </c>
      <c r="P2" s="44" t="s">
        <v>54</v>
      </c>
      <c r="Q2" s="44">
        <v>21.638999999999999</v>
      </c>
      <c r="R2" s="44" t="s">
        <v>62</v>
      </c>
    </row>
    <row r="3" spans="2:22" x14ac:dyDescent="0.2">
      <c r="B3" s="6" t="s">
        <v>53</v>
      </c>
      <c r="C3" s="58">
        <v>161</v>
      </c>
      <c r="D3" s="5"/>
      <c r="E3" s="5"/>
      <c r="F3" s="5"/>
      <c r="G3" s="5" t="s">
        <v>52</v>
      </c>
      <c r="H3" s="31">
        <v>46121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61403266</v>
      </c>
      <c r="C21" s="52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4428.45</v>
      </c>
      <c r="G23" s="23">
        <f>+N2</f>
        <v>4096.45</v>
      </c>
      <c r="H23" s="23">
        <f>+M2</f>
        <v>4024.8780000000002</v>
      </c>
      <c r="I23" s="51">
        <f>+L2</f>
        <v>345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3" t="s">
        <v>23</v>
      </c>
      <c r="C26" s="68"/>
      <c r="D26" s="68"/>
      <c r="E26" s="68"/>
      <c r="F26" s="68"/>
      <c r="G26" s="68"/>
      <c r="H26" s="68"/>
      <c r="I26" s="64"/>
    </row>
    <row r="27" spans="2:13" ht="24.75" customHeight="1" x14ac:dyDescent="0.2">
      <c r="B27" s="75" t="str">
        <f>+K4</f>
        <v>BOYS COTTON FIBERS, KNIT SHIRT, WITH NECK CLOSURE, STITCH COUNT EQUAL OR IS GREATER THAN 10/1CM, HEM BOTTOM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8" t="s">
        <v>19</v>
      </c>
      <c r="E31" s="78"/>
      <c r="F31" s="78" t="s">
        <v>18</v>
      </c>
      <c r="G31" s="78"/>
      <c r="H31" s="51" t="s">
        <v>17</v>
      </c>
      <c r="I31" s="19" t="s">
        <v>16</v>
      </c>
      <c r="M31"/>
    </row>
    <row r="32" spans="2:13" ht="24.75" customHeight="1" x14ac:dyDescent="0.2">
      <c r="B32" s="41" t="s">
        <v>179</v>
      </c>
      <c r="C32" s="19" t="s">
        <v>182</v>
      </c>
      <c r="D32" s="61"/>
      <c r="E32" s="62"/>
      <c r="F32" s="61">
        <v>14002</v>
      </c>
      <c r="G32" s="62"/>
      <c r="H32" s="17">
        <v>0.9</v>
      </c>
      <c r="I32" s="18">
        <f>+H32*F32</f>
        <v>12601.800000000001</v>
      </c>
      <c r="K32" s="48"/>
      <c r="M32" s="39"/>
    </row>
    <row r="33" spans="2:13" ht="24.75" customHeight="1" x14ac:dyDescent="0.2">
      <c r="B33" s="41" t="s">
        <v>180</v>
      </c>
      <c r="C33" s="19" t="s">
        <v>186</v>
      </c>
      <c r="D33" s="61"/>
      <c r="E33" s="62"/>
      <c r="F33" s="61">
        <v>21784</v>
      </c>
      <c r="G33" s="62"/>
      <c r="H33" s="17">
        <v>0.9</v>
      </c>
      <c r="I33" s="18">
        <f>+H33*F33</f>
        <v>19605.600000000002</v>
      </c>
      <c r="K33" s="48"/>
      <c r="M33" s="39"/>
    </row>
    <row r="34" spans="2:13" ht="21" customHeight="1" x14ac:dyDescent="0.2">
      <c r="B34" s="15" t="s">
        <v>15</v>
      </c>
      <c r="C34" s="15"/>
      <c r="D34" s="63"/>
      <c r="E34" s="64"/>
      <c r="F34" s="63"/>
      <c r="G34" s="64"/>
      <c r="H34" s="17"/>
      <c r="I34" s="51"/>
    </row>
    <row r="35" spans="2:13" ht="21.75" customHeight="1" x14ac:dyDescent="0.2">
      <c r="B35" s="15" t="s">
        <v>14</v>
      </c>
      <c r="C35" s="15"/>
      <c r="D35" s="65"/>
      <c r="E35" s="66"/>
      <c r="F35" s="61">
        <f>SUM(F32:G34)</f>
        <v>35786</v>
      </c>
      <c r="G35" s="62"/>
      <c r="H35" s="15"/>
      <c r="I35" s="14">
        <f>SUM(I32:I34)</f>
        <v>32207.4</v>
      </c>
      <c r="J35" s="40"/>
      <c r="K35" s="40"/>
    </row>
    <row r="36" spans="2:13" ht="21.75" customHeight="1" x14ac:dyDescent="0.2">
      <c r="B36" s="16" t="s">
        <v>13</v>
      </c>
      <c r="C36" s="15"/>
      <c r="D36" s="63"/>
      <c r="E36" s="64"/>
      <c r="F36" s="63"/>
      <c r="G36" s="64"/>
      <c r="H36" s="15"/>
      <c r="I36" s="51"/>
      <c r="J36" s="40"/>
    </row>
    <row r="37" spans="2:13" ht="21.75" customHeight="1" x14ac:dyDescent="0.2">
      <c r="B37" s="16" t="s">
        <v>12</v>
      </c>
      <c r="C37" s="15"/>
      <c r="D37" s="63"/>
      <c r="E37" s="64"/>
      <c r="F37" s="63"/>
      <c r="G37" s="64"/>
      <c r="H37" s="15"/>
      <c r="I37" s="14">
        <f>+I35</f>
        <v>32207.4</v>
      </c>
    </row>
    <row r="38" spans="2:13" ht="20.25" customHeight="1" x14ac:dyDescent="0.2">
      <c r="B38" s="15" t="s">
        <v>80</v>
      </c>
      <c r="C38" s="63" t="s">
        <v>11</v>
      </c>
      <c r="D38" s="68"/>
      <c r="E38" s="68"/>
      <c r="F38" s="68"/>
      <c r="G38" s="68"/>
      <c r="H38" s="64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32207.4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69" t="s">
        <v>7</v>
      </c>
      <c r="C47" s="69"/>
      <c r="D47" s="69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265K0040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0" t="s">
        <v>1</v>
      </c>
      <c r="D56" s="70"/>
      <c r="E56" s="5"/>
      <c r="F56" s="5"/>
      <c r="G56" s="5"/>
      <c r="H56" s="5"/>
      <c r="I56" s="4"/>
    </row>
    <row r="57" spans="2:11" x14ac:dyDescent="0.2">
      <c r="B57" s="6"/>
      <c r="C57" s="71" t="s">
        <v>0</v>
      </c>
      <c r="D57" s="71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67"/>
      <c r="D58" s="67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B2:I2"/>
    <mergeCell ref="B26:I26"/>
    <mergeCell ref="B27:I27"/>
    <mergeCell ref="D31:E31"/>
    <mergeCell ref="F31:G31"/>
    <mergeCell ref="F32:G32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9"/>
  <sheetViews>
    <sheetView tabSelected="1" view="pageBreakPreview" zoomScaleNormal="100" zoomScaleSheetLayoutView="100" workbookViewId="0">
      <selection activeCell="B2" sqref="B2:I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187</v>
      </c>
      <c r="C2" s="73"/>
      <c r="D2" s="73"/>
      <c r="E2" s="73"/>
      <c r="F2" s="73"/>
      <c r="G2" s="73"/>
      <c r="H2" s="73"/>
      <c r="I2" s="74"/>
      <c r="J2" s="43">
        <v>61378125</v>
      </c>
      <c r="K2" s="50">
        <v>42533</v>
      </c>
      <c r="L2" s="44">
        <v>428</v>
      </c>
      <c r="M2" s="59">
        <v>5151.3040000000001</v>
      </c>
      <c r="N2" s="59">
        <v>5236.37</v>
      </c>
      <c r="O2" s="59">
        <v>5654.47</v>
      </c>
      <c r="P2" s="44" t="s">
        <v>54</v>
      </c>
      <c r="Q2" s="44">
        <v>27.152000000000001</v>
      </c>
      <c r="R2" s="44" t="s">
        <v>62</v>
      </c>
    </row>
    <row r="3" spans="2:22" x14ac:dyDescent="0.2">
      <c r="B3" s="6" t="s">
        <v>53</v>
      </c>
      <c r="C3" s="58">
        <f>+'161'!C3+1</f>
        <v>162</v>
      </c>
      <c r="D3" s="5"/>
      <c r="E3" s="5"/>
      <c r="F3" s="5"/>
      <c r="G3" s="5" t="s">
        <v>52</v>
      </c>
      <c r="H3" s="31">
        <f>+'161'!H3+0</f>
        <v>46121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61378125</v>
      </c>
      <c r="C21" s="52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5654.47</v>
      </c>
      <c r="G23" s="23">
        <f>+N2</f>
        <v>5236.37</v>
      </c>
      <c r="H23" s="23">
        <f>+M2</f>
        <v>5151.3040000000001</v>
      </c>
      <c r="I23" s="51">
        <f>+L2</f>
        <v>428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3" t="s">
        <v>23</v>
      </c>
      <c r="C26" s="68"/>
      <c r="D26" s="68"/>
      <c r="E26" s="68"/>
      <c r="F26" s="68"/>
      <c r="G26" s="68"/>
      <c r="H26" s="68"/>
      <c r="I26" s="64"/>
    </row>
    <row r="27" spans="2:13" ht="24.75" customHeight="1" x14ac:dyDescent="0.2">
      <c r="B27" s="75" t="str">
        <f>+K4</f>
        <v>BOYS COTTON FIBERS, KNIT SHIRT, WITH NECK CLOSURE, STITCH COUNT EQUAL OR IS GREATER THAN 10/1CM, HEM BOTTOM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8" t="s">
        <v>19</v>
      </c>
      <c r="E31" s="78"/>
      <c r="F31" s="78" t="s">
        <v>18</v>
      </c>
      <c r="G31" s="78"/>
      <c r="H31" s="51" t="s">
        <v>17</v>
      </c>
      <c r="I31" s="19" t="s">
        <v>16</v>
      </c>
      <c r="M31"/>
    </row>
    <row r="32" spans="2:13" ht="24.75" customHeight="1" x14ac:dyDescent="0.2">
      <c r="B32" s="41" t="s">
        <v>179</v>
      </c>
      <c r="C32" s="19" t="s">
        <v>182</v>
      </c>
      <c r="D32" s="61"/>
      <c r="E32" s="62"/>
      <c r="F32" s="61">
        <v>12580</v>
      </c>
      <c r="G32" s="62"/>
      <c r="H32" s="17">
        <v>0.9</v>
      </c>
      <c r="I32" s="18">
        <f>+H32*F32</f>
        <v>11322</v>
      </c>
      <c r="K32" s="48"/>
      <c r="M32" s="39"/>
    </row>
    <row r="33" spans="2:13" ht="24.75" customHeight="1" x14ac:dyDescent="0.2">
      <c r="B33" s="41" t="s">
        <v>184</v>
      </c>
      <c r="C33" s="19" t="s">
        <v>183</v>
      </c>
      <c r="D33" s="61"/>
      <c r="E33" s="62"/>
      <c r="F33" s="61">
        <v>29953</v>
      </c>
      <c r="G33" s="62"/>
      <c r="H33" s="17">
        <v>0.9</v>
      </c>
      <c r="I33" s="18">
        <f>+H33*F33</f>
        <v>26957.7</v>
      </c>
      <c r="K33" s="48"/>
      <c r="M33" s="39"/>
    </row>
    <row r="34" spans="2:13" ht="21" customHeight="1" x14ac:dyDescent="0.2">
      <c r="B34" s="15" t="s">
        <v>15</v>
      </c>
      <c r="C34" s="15"/>
      <c r="D34" s="63"/>
      <c r="E34" s="64"/>
      <c r="F34" s="63"/>
      <c r="G34" s="64"/>
      <c r="H34" s="17"/>
      <c r="I34" s="60"/>
    </row>
    <row r="35" spans="2:13" ht="21.75" customHeight="1" x14ac:dyDescent="0.2">
      <c r="B35" s="15" t="s">
        <v>14</v>
      </c>
      <c r="C35" s="15"/>
      <c r="D35" s="65"/>
      <c r="E35" s="66"/>
      <c r="F35" s="61">
        <f>SUM(F32:G33)</f>
        <v>42533</v>
      </c>
      <c r="G35" s="62"/>
      <c r="H35" s="15"/>
      <c r="I35" s="14">
        <f>SUM(I32:I34)</f>
        <v>38279.699999999997</v>
      </c>
      <c r="J35" s="40"/>
      <c r="K35" s="40"/>
    </row>
    <row r="36" spans="2:13" ht="21.75" customHeight="1" x14ac:dyDescent="0.2">
      <c r="B36" s="16" t="s">
        <v>13</v>
      </c>
      <c r="C36" s="15"/>
      <c r="D36" s="63"/>
      <c r="E36" s="64"/>
      <c r="F36" s="63"/>
      <c r="G36" s="64"/>
      <c r="H36" s="15"/>
      <c r="I36" s="51"/>
      <c r="J36" s="40"/>
    </row>
    <row r="37" spans="2:13" ht="21.75" customHeight="1" x14ac:dyDescent="0.2">
      <c r="B37" s="16" t="s">
        <v>12</v>
      </c>
      <c r="C37" s="15"/>
      <c r="D37" s="63"/>
      <c r="E37" s="64"/>
      <c r="F37" s="63"/>
      <c r="G37" s="64"/>
      <c r="H37" s="15"/>
      <c r="I37" s="14">
        <f>+I35</f>
        <v>38279.699999999997</v>
      </c>
    </row>
    <row r="38" spans="2:13" ht="20.25" customHeight="1" x14ac:dyDescent="0.2">
      <c r="B38" s="15" t="s">
        <v>80</v>
      </c>
      <c r="C38" s="63" t="s">
        <v>11</v>
      </c>
      <c r="D38" s="68"/>
      <c r="E38" s="68"/>
      <c r="F38" s="68"/>
      <c r="G38" s="68"/>
      <c r="H38" s="64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38279.699999999997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69" t="s">
        <v>7</v>
      </c>
      <c r="C47" s="69"/>
      <c r="D47" s="69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265K0040</v>
      </c>
      <c r="I53" s="8"/>
      <c r="K53">
        <v>2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0" t="s">
        <v>1</v>
      </c>
      <c r="D56" s="70"/>
      <c r="E56" s="5"/>
      <c r="F56" s="5"/>
      <c r="G56" s="5"/>
      <c r="H56" s="5"/>
      <c r="I56" s="4"/>
    </row>
    <row r="57" spans="2:11" x14ac:dyDescent="0.2">
      <c r="B57" s="6"/>
      <c r="C57" s="71" t="s">
        <v>0</v>
      </c>
      <c r="D57" s="71"/>
      <c r="E57" s="5"/>
      <c r="F57" s="5"/>
      <c r="G57" s="5"/>
      <c r="H57" s="5"/>
      <c r="I57" s="4"/>
      <c r="K57">
        <v>2</v>
      </c>
    </row>
    <row r="58" spans="2:11" x14ac:dyDescent="0.2">
      <c r="B58" s="2"/>
      <c r="C58" s="67"/>
      <c r="D58" s="67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F34:G34"/>
    <mergeCell ref="B2:I2"/>
    <mergeCell ref="B26:I26"/>
    <mergeCell ref="B27:I27"/>
    <mergeCell ref="D31:E31"/>
    <mergeCell ref="F31:G31"/>
    <mergeCell ref="D32:E32"/>
    <mergeCell ref="F32:G32"/>
    <mergeCell ref="D34:E34"/>
    <mergeCell ref="D33:E33"/>
    <mergeCell ref="F33:G33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161</vt:lpstr>
      <vt:lpstr>162</vt:lpstr>
      <vt:lpstr>'161'!Print_Area</vt:lpstr>
      <vt:lpstr>'162'!Print_Area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2026-04-06T03:04:50Z</cp:lastPrinted>
  <dcterms:created xsi:type="dcterms:W3CDTF">2024-04-17T09:56:05Z</dcterms:created>
  <dcterms:modified xsi:type="dcterms:W3CDTF">2026-04-08T10:48:46Z</dcterms:modified>
</cp:coreProperties>
</file>