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20.08.2026\"/>
    </mc:Choice>
  </mc:AlternateContent>
  <bookViews>
    <workbookView xWindow="-120" yWindow="-120" windowWidth="20730" windowHeight="11160" tabRatio="804" activeTab="2"/>
  </bookViews>
  <sheets>
    <sheet name="Sheet1" sheetId="128" r:id="rId1"/>
    <sheet name="reff" sheetId="162" r:id="rId2"/>
    <sheet name="275" sheetId="138" r:id="rId3"/>
    <sheet name="276" sheetId="129" r:id="rId4"/>
    <sheet name="277" sheetId="133" r:id="rId5"/>
    <sheet name="278" sheetId="134" r:id="rId6"/>
    <sheet name="279" sheetId="172" r:id="rId7"/>
    <sheet name="280" sheetId="173" r:id="rId8"/>
    <sheet name="281" sheetId="174" r:id="rId9"/>
    <sheet name="282" sheetId="175" r:id="rId10"/>
    <sheet name="283" sheetId="176" r:id="rId11"/>
    <sheet name="284" sheetId="177" r:id="rId12"/>
    <sheet name="285" sheetId="178" r:id="rId13"/>
    <sheet name="286" sheetId="179" r:id="rId14"/>
    <sheet name="287" sheetId="180" r:id="rId15"/>
  </sheets>
  <externalReferences>
    <externalReference r:id="rId16"/>
    <externalReference r:id="rId17"/>
    <externalReference r:id="rId1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>[2]xdata!#REF!</definedName>
    <definedName name="INVOICE">[2]xdata!$B$2</definedName>
    <definedName name="_xlnm.Print_Area" localSheetId="2">'275'!$B$1:$I$57</definedName>
    <definedName name="_xlnm.Print_Area" localSheetId="3">'276'!$B$1:$I$57</definedName>
    <definedName name="_xlnm.Print_Area" localSheetId="4">'277'!$B$1:$I$57</definedName>
    <definedName name="_xlnm.Print_Area" localSheetId="5">'278'!$B$1:$I$57</definedName>
    <definedName name="_xlnm.Print_Area" localSheetId="6">'279'!$B$1:$I$57</definedName>
    <definedName name="_xlnm.Print_Area" localSheetId="7">'280'!$B$1:$I$58</definedName>
    <definedName name="_xlnm.Print_Area" localSheetId="8">'281'!$B$1:$I$57</definedName>
    <definedName name="_xlnm.Print_Area" localSheetId="9">'282'!$B$1:$I$57</definedName>
    <definedName name="_xlnm.Print_Area" localSheetId="10">'283'!$B$1:$I$57</definedName>
    <definedName name="_xlnm.Print_Area" localSheetId="11">'284'!$B$1:$I$57</definedName>
    <definedName name="_xlnm.Print_Area" localSheetId="12">'285'!$B$1:$I$57</definedName>
    <definedName name="_xlnm.Print_Area" localSheetId="13">'286'!$B$1:$I$57</definedName>
    <definedName name="_xlnm.Print_Area" localSheetId="14">'287'!$B$1:$I$57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80" l="1"/>
  <c r="I32" i="180" s="1"/>
  <c r="F32" i="178"/>
  <c r="I32" i="178" s="1"/>
  <c r="F32" i="177"/>
  <c r="I32" i="177" s="1"/>
  <c r="F32" i="176"/>
  <c r="F32" i="174"/>
  <c r="I33" i="173"/>
  <c r="F32" i="172"/>
  <c r="F32" i="134"/>
  <c r="F32" i="133"/>
  <c r="F32" i="129"/>
  <c r="F32" i="138"/>
  <c r="F34" i="129" l="1"/>
  <c r="F32" i="179" l="1"/>
  <c r="F34" i="176"/>
  <c r="F32" i="175" l="1"/>
  <c r="F34" i="133"/>
  <c r="I32" i="133"/>
  <c r="I34" i="133" s="1"/>
  <c r="H52" i="180"/>
  <c r="F34" i="180"/>
  <c r="B27" i="180"/>
  <c r="I23" i="180"/>
  <c r="H23" i="180"/>
  <c r="G23" i="180"/>
  <c r="F23" i="180"/>
  <c r="E23" i="180"/>
  <c r="E21" i="180"/>
  <c r="D21" i="180"/>
  <c r="C21" i="180"/>
  <c r="B21" i="180"/>
  <c r="B17" i="180"/>
  <c r="B18" i="180" s="1"/>
  <c r="B16" i="180"/>
  <c r="B15" i="180"/>
  <c r="G14" i="180"/>
  <c r="G15" i="180" s="1"/>
  <c r="G16" i="180" s="1"/>
  <c r="G17" i="180" s="1"/>
  <c r="H21" i="180" s="1"/>
  <c r="I34" i="180" l="1"/>
  <c r="I36" i="180" s="1"/>
  <c r="I38" i="180" s="1"/>
  <c r="F34" i="179"/>
  <c r="I32" i="176"/>
  <c r="I32" i="129"/>
  <c r="F34" i="138"/>
  <c r="I32" i="138"/>
  <c r="I34" i="138" s="1"/>
  <c r="H52" i="179"/>
  <c r="B27" i="179"/>
  <c r="I23" i="179"/>
  <c r="H23" i="179"/>
  <c r="G23" i="179"/>
  <c r="F23" i="179"/>
  <c r="E23" i="179"/>
  <c r="E21" i="179"/>
  <c r="D21" i="179"/>
  <c r="C21" i="179"/>
  <c r="B21" i="179"/>
  <c r="B16" i="179"/>
  <c r="B17" i="179" s="1"/>
  <c r="B18" i="179" s="1"/>
  <c r="B15" i="179"/>
  <c r="G14" i="179"/>
  <c r="G15" i="179" s="1"/>
  <c r="G16" i="179" s="1"/>
  <c r="G17" i="179" s="1"/>
  <c r="H21" i="179" s="1"/>
  <c r="H52" i="178"/>
  <c r="F34" i="178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4" i="177"/>
  <c r="I34" i="177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H52" i="176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2" i="174"/>
  <c r="F34" i="174"/>
  <c r="I32" i="174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3" i="173"/>
  <c r="F35" i="173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4" i="176" l="1"/>
  <c r="I36" i="176" s="1"/>
  <c r="I38" i="176" s="1"/>
  <c r="I34" i="178"/>
  <c r="I36" i="178" s="1"/>
  <c r="I38" i="178" s="1"/>
  <c r="I34" i="175"/>
  <c r="I36" i="175" s="1"/>
  <c r="I38" i="175" s="1"/>
  <c r="I34" i="129"/>
  <c r="I32" i="173"/>
  <c r="I35" i="173" s="1"/>
  <c r="I37" i="173" s="1"/>
  <c r="I39" i="173" s="1"/>
  <c r="I32" i="172"/>
  <c r="I34" i="172" s="1"/>
  <c r="I36" i="172" s="1"/>
  <c r="I38" i="172" s="1"/>
  <c r="I32" i="179"/>
  <c r="I34" i="179" s="1"/>
  <c r="I36" i="179" s="1"/>
  <c r="I38" i="179" s="1"/>
  <c r="C3" i="129" l="1"/>
  <c r="I32" i="134" l="1"/>
  <c r="C3" i="133"/>
  <c r="F34" i="134" l="1"/>
  <c r="B27" i="134" l="1"/>
  <c r="E21" i="129" l="1"/>
  <c r="E21" i="133" l="1"/>
  <c r="E21" i="138"/>
  <c r="E21" i="134"/>
  <c r="C21" i="129"/>
  <c r="C21" i="134"/>
  <c r="C21" i="138"/>
  <c r="C21" i="133"/>
  <c r="H52" i="129"/>
  <c r="H52" i="134"/>
  <c r="H52" i="138"/>
  <c r="H52" i="133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6" i="138" l="1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72" l="1"/>
  <c r="C3" i="173" s="1"/>
  <c r="C3" i="174" s="1"/>
  <c r="C3" i="175" s="1"/>
  <c r="C3" i="176" s="1"/>
  <c r="C3" i="177" s="1"/>
  <c r="C3" i="178" s="1"/>
  <c r="C3" i="179" s="1"/>
  <c r="C3" i="180" s="1"/>
  <c r="B27" i="133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<sst xmlns="http://schemas.openxmlformats.org/spreadsheetml/2006/main" count="1201" uniqueCount="210">
  <si>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</si>
  <si>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</si>
  <si>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</si>
  <si>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</si>
  <si>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</si>
  <si>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</si>
  <si>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</si>
  <si>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</si>
  <si>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</si>
  <si>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</si>
  <si>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</si>
  <si>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</si>
  <si>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</si>
  <si>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</si>
  <si>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</si>
  <si>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</si>
  <si>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</si>
  <si>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</si>
  <si>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</si>
  <si>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</si>
  <si>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</si>
  <si>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</si>
  <si>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</si>
  <si>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</si>
  <si>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</si>
  <si>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</si>
  <si>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</si>
  <si>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</si>
  <si>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</si>
  <si>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</si>
  <si>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</si>
  <si>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</si>
  <si>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</si>
  <si>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</si>
  <si>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</si>
  <si>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</si>
  <si>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</si>
  <si>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</si>
  <si>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</si>
  <si>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</si>
  <si>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</si>
  <si>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</si>
  <si>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</si>
  <si>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</si>
  <si>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</si>
  <si>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</si>
  <si>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</si>
  <si>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</si>
  <si>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</si>
  <si>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</si>
  <si>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</si>
  <si>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</si>
  <si>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</si>
  <si>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</si>
  <si>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</si>
  <si>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</si>
  <si>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</si>
  <si>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</si>
  <si>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</si>
  <si>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</si>
  <si>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</si>
  <si>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</si>
  <si>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</si>
  <si>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</si>
  <si>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</si>
  <si>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</si>
  <si>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</si>
  <si>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</si>
  <si>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</si>
  <si>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</si>
  <si>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</si>
  <si>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</si>
  <si>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</si>
  <si>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</si>
  <si>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</si>
  <si>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</si>
  <si>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</si>
  <si>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</si>
  <si>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</si>
  <si>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</si>
  <si>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</si>
  <si>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</si>
  <si>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</si>
  <si>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</si>
  <si>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</si>
  <si>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</si>
  <si>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</si>
  <si>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</si>
  <si>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</si>
  <si>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</si>
  <si>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</si>
  <si>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</si>
  <si>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</si>
  <si>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</si>
  <si>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</si>
  <si>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</si>
  <si>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</si>
  <si>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</si>
  <si>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</si>
  <si>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</si>
  <si>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</si>
  <si>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</si>
  <si>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</si>
  <si>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</si>
  <si>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</si>
  <si>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</si>
  <si>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</si>
  <si>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</si>
  <si>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</si>
  <si>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</si>
  <si>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</si>
  <si>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</si>
  <si>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</si>
  <si>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</si>
  <si>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</si>
  <si>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</si>
  <si>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</si>
  <si>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</si>
  <si>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</si>
  <si>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</si>
  <si>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</si>
  <si>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</si>
  <si>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</si>
  <si>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</si>
  <si>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</si>
  <si>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</si>
  <si>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</si>
  <si>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</si>
  <si>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</si>
  <si>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</si>
  <si>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</si>
  <si>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</si>
  <si>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</si>
  <si>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</si>
  <si>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</si>
  <si>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</si>
  <si>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</si>
  <si>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</si>
  <si>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</si>
  <si>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</si>
  <si>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</si>
  <si>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</si>
  <si>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</si>
  <si>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</si>
  <si>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</si>
  <si>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</si>
  <si>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</si>
  <si>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</si>
  <si>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</si>
  <si>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</si>
  <si>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</si>
  <si>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</si>
  <si>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</si>
  <si>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</si>
  <si>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</si>
  <si>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</si>
  <si>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</si>
  <si>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</si>
  <si>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</si>
  <si>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</si>
  <si>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</si>
  <si>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</si>
  <si>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</si>
  <si>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</si>
  <si>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</si>
  <si>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</si>
  <si>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</si>
  <si>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</si>
  <si>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</si>
  <si>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</si>
  <si>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</si>
  <si>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</si>
  <si>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</si>
  <si>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</si>
  <si>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</si>
  <si>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</si>
  <si>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</si>
  <si>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02</t>
  </si>
  <si>
    <t>CALLA LILY 451</t>
  </si>
  <si>
    <t>265K0089</t>
  </si>
  <si>
    <t>01</t>
  </si>
  <si>
    <t>GIRLS COTTON FIBERS, KNIT PULLOVER, WITH NO NECK CLOSURE, STITCH COUNT IS GREATER THAN 9/2CM, REACHES WAIST [100% COTTON]</t>
  </si>
  <si>
    <t>265K0006</t>
  </si>
  <si>
    <t>265K0088</t>
  </si>
  <si>
    <t>265K0104</t>
  </si>
  <si>
    <t>265K0103</t>
  </si>
  <si>
    <t>255K0079</t>
  </si>
  <si>
    <t>265K0077</t>
  </si>
  <si>
    <t>BLACKJACK JAS</t>
  </si>
  <si>
    <t>GIRLS COTTON FIBERS, KNIT PULLOVER, WITH NO NECK CLOSURE, STITCH COUNT IS GREATER THAN 9/2CM, REACHES WAIST [60% COTTON 40% POLYESTER]</t>
  </si>
  <si>
    <t>00</t>
  </si>
  <si>
    <t>GIRLS COTTON FIBERS, KNIT PULLOVER, WITH NO NECK CLOSURE, STITCH COUNT IS GREATER THAN 9/2CM, REACHES WAIST [60% COTTON 40% RECYCLED POLYESTER]</t>
  </si>
  <si>
    <t>BLUSH HUE</t>
  </si>
  <si>
    <t>BLACK LEOPARD</t>
  </si>
  <si>
    <t>15, 19, 20, 21</t>
  </si>
  <si>
    <t>BLACK JACK 3, MOCHA TAFFY, CALLA LILY 2, SHOOTING STAR</t>
  </si>
  <si>
    <t>WOMENS COTTON FIBERS, KNIT PULLOVER, WITH NO NECK CLOSURE, STITCH COUNT IS GREATER THAN 9/2CM, REACHES WAIST, SLEEVELESS [96% COTTON 4% SPANDEX]</t>
  </si>
  <si>
    <t>Retail</t>
  </si>
  <si>
    <t>Online</t>
  </si>
  <si>
    <t>Franchise</t>
  </si>
  <si>
    <t>RED TAPE, BLUE TANGO</t>
  </si>
  <si>
    <t>01, 07</t>
  </si>
  <si>
    <t>BOYS COTTON FIBERS, KNIT SHIRT, WITH NECK CLOSURE, STITCH COUNT EQUAL OR IS GREATER THAN 10/1CM, HEM BOTTOM [60% COTTON 40% POLYESTER]</t>
  </si>
  <si>
    <t>13, 15, 20</t>
  </si>
  <si>
    <t>BLACK COFFEE, BLACK JACK 3, CALLA LILY 2</t>
  </si>
  <si>
    <t>13, 15, 19, 20, 21</t>
  </si>
  <si>
    <t>BLACK COFFEE, BLACK JACK 3, MOCHA TAFFY, CALLA LILY 2, SHOOTING STAR</t>
  </si>
  <si>
    <t>BLACK COFFEE, BLACK JACK 3, IN THE NAVY</t>
  </si>
  <si>
    <t>13, 15, 16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</si>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</sst>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4" sqref="I14"/>
    </sheetView>
  </sheetViews>
  <sheetFormatPr defaultRowHeight="12.75" x14ac:dyDescent="0.2"/>
  <sheetData>
    <row r="2" spans="2:9" ht="15" x14ac:dyDescent="0.25">
      <c r="B2" s="57">
        <v>1</v>
      </c>
      <c r="C2" t="s">
        <v>186</v>
      </c>
      <c r="E2" s="57">
        <v>1</v>
      </c>
      <c r="F2">
        <v>881293</v>
      </c>
      <c r="H2" s="57">
        <v>1</v>
      </c>
      <c r="I2" s="63" t="s">
        <v>197</v>
      </c>
    </row>
    <row r="3" spans="2:9" ht="15" x14ac:dyDescent="0.25">
      <c r="B3" s="57">
        <v>2</v>
      </c>
      <c r="C3" t="s">
        <v>186</v>
      </c>
      <c r="E3" s="57">
        <v>2</v>
      </c>
      <c r="F3">
        <v>881293</v>
      </c>
      <c r="H3" s="57">
        <v>2</v>
      </c>
      <c r="I3" s="63" t="s">
        <v>197</v>
      </c>
    </row>
    <row r="4" spans="2:9" ht="15" x14ac:dyDescent="0.25">
      <c r="B4" s="57">
        <v>3</v>
      </c>
      <c r="C4" t="s">
        <v>182</v>
      </c>
      <c r="E4" s="57">
        <v>3</v>
      </c>
      <c r="F4">
        <v>878746</v>
      </c>
      <c r="H4" s="57">
        <v>3</v>
      </c>
      <c r="I4" s="63" t="s">
        <v>197</v>
      </c>
    </row>
    <row r="5" spans="2:9" ht="15" x14ac:dyDescent="0.25">
      <c r="B5" s="57">
        <v>4</v>
      </c>
      <c r="C5" t="s">
        <v>182</v>
      </c>
      <c r="E5" s="57">
        <v>4</v>
      </c>
      <c r="F5">
        <v>878746</v>
      </c>
      <c r="H5" s="57">
        <v>4</v>
      </c>
      <c r="I5" s="63" t="s">
        <v>197</v>
      </c>
    </row>
    <row r="6" spans="2:9" x14ac:dyDescent="0.2">
      <c r="B6" s="57">
        <v>5</v>
      </c>
      <c r="E6" s="57">
        <v>5</v>
      </c>
      <c r="H6" s="57">
        <v>5</v>
      </c>
    </row>
    <row r="7" spans="2:9" x14ac:dyDescent="0.2">
      <c r="B7" s="57">
        <v>6</v>
      </c>
      <c r="E7" s="57">
        <v>6</v>
      </c>
      <c r="H7" s="57">
        <v>6</v>
      </c>
    </row>
    <row r="8" spans="2:9" ht="15" x14ac:dyDescent="0.25">
      <c r="B8" s="57">
        <v>7</v>
      </c>
      <c r="C8" t="s">
        <v>187</v>
      </c>
      <c r="E8" s="57">
        <v>7</v>
      </c>
      <c r="F8">
        <v>767468</v>
      </c>
      <c r="H8" s="57">
        <v>7</v>
      </c>
      <c r="I8" s="63" t="s">
        <v>198</v>
      </c>
    </row>
    <row r="9" spans="2:9" ht="15" x14ac:dyDescent="0.25">
      <c r="B9" s="57">
        <v>8</v>
      </c>
      <c r="C9" t="s">
        <v>183</v>
      </c>
      <c r="E9" s="57">
        <v>8</v>
      </c>
      <c r="F9">
        <v>867788</v>
      </c>
      <c r="H9" s="57">
        <v>8</v>
      </c>
      <c r="I9" s="63" t="s">
        <v>198</v>
      </c>
    </row>
    <row r="10" spans="2:9" ht="15" x14ac:dyDescent="0.25">
      <c r="B10" s="57">
        <v>9</v>
      </c>
      <c r="C10" t="s">
        <v>179</v>
      </c>
      <c r="E10" s="57">
        <v>9</v>
      </c>
      <c r="F10">
        <v>905994</v>
      </c>
      <c r="H10" s="57">
        <v>9</v>
      </c>
      <c r="I10" s="63" t="s">
        <v>198</v>
      </c>
    </row>
    <row r="11" spans="2:9" ht="15" x14ac:dyDescent="0.25">
      <c r="B11" s="57">
        <v>10</v>
      </c>
      <c r="C11" t="s">
        <v>179</v>
      </c>
      <c r="E11" s="57">
        <v>10</v>
      </c>
      <c r="F11">
        <v>905994</v>
      </c>
      <c r="H11" s="57">
        <v>10</v>
      </c>
      <c r="I11" s="63" t="s">
        <v>197</v>
      </c>
    </row>
    <row r="12" spans="2:9" ht="15" x14ac:dyDescent="0.25">
      <c r="B12" s="57">
        <v>11</v>
      </c>
      <c r="C12" t="s">
        <v>185</v>
      </c>
      <c r="E12" s="57">
        <v>11</v>
      </c>
      <c r="F12">
        <v>692926</v>
      </c>
      <c r="H12" s="57">
        <v>11</v>
      </c>
      <c r="I12" s="63" t="s">
        <v>199</v>
      </c>
    </row>
    <row r="13" spans="2:9" ht="15" x14ac:dyDescent="0.25">
      <c r="B13" s="57">
        <v>12</v>
      </c>
      <c r="C13" t="s">
        <v>185</v>
      </c>
      <c r="E13" s="57">
        <v>12</v>
      </c>
      <c r="F13">
        <v>692926</v>
      </c>
      <c r="H13" s="57">
        <v>12</v>
      </c>
      <c r="I13" s="63" t="s">
        <v>198</v>
      </c>
    </row>
    <row r="14" spans="2:9" ht="15" x14ac:dyDescent="0.25">
      <c r="B14" s="57">
        <v>13</v>
      </c>
      <c r="C14" t="s">
        <v>185</v>
      </c>
      <c r="E14" s="57">
        <v>13</v>
      </c>
      <c r="F14">
        <v>692926</v>
      </c>
      <c r="H14" s="57">
        <v>13</v>
      </c>
      <c r="I14" s="63" t="s">
        <v>197</v>
      </c>
    </row>
    <row r="15" spans="2:9" ht="15" x14ac:dyDescent="0.25">
      <c r="B15" s="57">
        <v>14</v>
      </c>
      <c r="C15" t="s">
        <v>184</v>
      </c>
      <c r="E15" s="57">
        <v>14</v>
      </c>
      <c r="F15">
        <v>692926</v>
      </c>
      <c r="H15" s="57">
        <v>14</v>
      </c>
      <c r="I15" s="63" t="s">
        <v>198</v>
      </c>
    </row>
    <row r="16" spans="2:9" ht="15" x14ac:dyDescent="0.25">
      <c r="B16" s="57">
        <v>15</v>
      </c>
      <c r="C16" t="s">
        <v>184</v>
      </c>
      <c r="E16" s="57">
        <v>15</v>
      </c>
      <c r="F16">
        <v>692926</v>
      </c>
      <c r="H16" s="57">
        <v>15</v>
      </c>
      <c r="I16" s="63" t="s">
        <v>197</v>
      </c>
    </row>
    <row r="17" spans="2:11" ht="15" x14ac:dyDescent="0.25">
      <c r="B17" s="57">
        <v>16</v>
      </c>
      <c r="E17" s="57">
        <v>16</v>
      </c>
      <c r="H17" s="57">
        <v>16</v>
      </c>
      <c r="I17" s="63"/>
    </row>
    <row r="18" spans="2:11" ht="15" x14ac:dyDescent="0.25">
      <c r="B18" s="57">
        <v>17</v>
      </c>
      <c r="E18" s="57">
        <v>17</v>
      </c>
      <c r="H18" s="57">
        <v>17</v>
      </c>
      <c r="I18" s="63"/>
    </row>
    <row r="19" spans="2:11" ht="15" x14ac:dyDescent="0.25">
      <c r="B19" s="57">
        <v>18</v>
      </c>
      <c r="E19" s="57">
        <v>18</v>
      </c>
      <c r="H19" s="57">
        <v>18</v>
      </c>
      <c r="I19" s="63"/>
    </row>
    <row r="20" spans="2:11" ht="15" x14ac:dyDescent="0.25">
      <c r="B20" s="57">
        <v>19</v>
      </c>
      <c r="E20" s="57">
        <v>19</v>
      </c>
      <c r="H20" s="57">
        <v>19</v>
      </c>
      <c r="I20" s="63"/>
    </row>
    <row r="21" spans="2:11" ht="15" x14ac:dyDescent="0.25">
      <c r="B21" s="57">
        <v>20</v>
      </c>
      <c r="E21" s="57">
        <v>20</v>
      </c>
      <c r="H21" s="57">
        <v>20</v>
      </c>
      <c r="I21" s="63"/>
    </row>
    <row r="22" spans="2:11" ht="15" x14ac:dyDescent="0.25">
      <c r="B22" s="57">
        <v>21</v>
      </c>
      <c r="E22" s="57">
        <v>21</v>
      </c>
      <c r="H22" s="57">
        <v>21</v>
      </c>
      <c r="I22" s="63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62283766</v>
      </c>
      <c r="K2" s="61">
        <v>2140</v>
      </c>
      <c r="L2" s="62">
        <v>13</v>
      </c>
      <c r="M2" s="62">
        <v>164.75</v>
      </c>
      <c r="N2" s="62">
        <v>169.03</v>
      </c>
      <c r="O2" s="62">
        <v>182.03</v>
      </c>
      <c r="P2" s="62" t="s">
        <v>54</v>
      </c>
      <c r="Q2" s="62">
        <v>0.872</v>
      </c>
      <c r="R2" s="62" t="s">
        <v>62</v>
      </c>
    </row>
    <row r="3" spans="2:22" x14ac:dyDescent="0.2">
      <c r="B3" s="6" t="s">
        <v>53</v>
      </c>
      <c r="C3" s="67">
        <v>275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62283766</v>
      </c>
      <c r="C21" s="56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182.03</v>
      </c>
      <c r="G23" s="23">
        <f>+N2</f>
        <v>169.03</v>
      </c>
      <c r="H23" s="23">
        <f>+M2</f>
        <v>164.75</v>
      </c>
      <c r="I23" s="55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7" t="s">
        <v>19</v>
      </c>
      <c r="E31" s="87"/>
      <c r="F31" s="87" t="s">
        <v>18</v>
      </c>
      <c r="G31" s="87"/>
      <c r="H31" s="55" t="s">
        <v>17</v>
      </c>
      <c r="I31" s="19" t="s">
        <v>16</v>
      </c>
      <c r="M31"/>
    </row>
    <row r="32" spans="2:13" ht="24.95" customHeight="1" x14ac:dyDescent="0.2">
      <c r="B32" s="41" t="s">
        <v>190</v>
      </c>
      <c r="C32" s="19" t="s">
        <v>178</v>
      </c>
      <c r="D32" s="74"/>
      <c r="E32" s="75"/>
      <c r="F32" s="74">
        <f>+K2</f>
        <v>2140</v>
      </c>
      <c r="G32" s="75"/>
      <c r="H32" s="17">
        <v>0.57999999999999996</v>
      </c>
      <c r="I32" s="18">
        <f>+H32*F32</f>
        <v>1241.1999999999998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9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2140</v>
      </c>
      <c r="G34" s="75"/>
      <c r="H34" s="15"/>
      <c r="I34" s="14">
        <f>SUM(I32:I33)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62283770</v>
      </c>
      <c r="K2" s="61">
        <v>2140</v>
      </c>
      <c r="L2" s="62">
        <v>13</v>
      </c>
      <c r="M2" s="62">
        <v>164.75</v>
      </c>
      <c r="N2" s="62">
        <v>169.03</v>
      </c>
      <c r="O2" s="62">
        <v>182.03</v>
      </c>
      <c r="P2" s="62" t="s">
        <v>54</v>
      </c>
      <c r="Q2" s="62">
        <v>0.872</v>
      </c>
      <c r="R2" s="62" t="s">
        <v>62</v>
      </c>
    </row>
    <row r="3" spans="2:22" x14ac:dyDescent="0.2">
      <c r="B3" s="6" t="s">
        <v>53</v>
      </c>
      <c r="C3" s="67">
        <f>+'275'!C3+1</f>
        <v>276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62283770</v>
      </c>
      <c r="C21" s="49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182.03</v>
      </c>
      <c r="G23" s="23">
        <f>+N2</f>
        <v>169.03</v>
      </c>
      <c r="H23" s="23">
        <f>+M2</f>
        <v>164.75</v>
      </c>
      <c r="I23" s="4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7" t="s">
        <v>19</v>
      </c>
      <c r="E31" s="87"/>
      <c r="F31" s="87" t="s">
        <v>18</v>
      </c>
      <c r="G31" s="87"/>
      <c r="H31" s="48" t="s">
        <v>17</v>
      </c>
      <c r="I31" s="19" t="s">
        <v>16</v>
      </c>
      <c r="M31"/>
    </row>
    <row r="32" spans="2:13" ht="24.95" customHeight="1" x14ac:dyDescent="0.2">
      <c r="B32" s="41" t="s">
        <v>190</v>
      </c>
      <c r="C32" s="19" t="s">
        <v>178</v>
      </c>
      <c r="D32" s="74"/>
      <c r="E32" s="75"/>
      <c r="F32" s="74">
        <f>+K2</f>
        <v>2140</v>
      </c>
      <c r="G32" s="75"/>
      <c r="H32" s="17">
        <v>0.57999999999999996</v>
      </c>
      <c r="I32" s="18">
        <f>+H32*F32</f>
        <v>1241.1999999999998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48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2140</v>
      </c>
      <c r="G34" s="75"/>
      <c r="H34" s="15"/>
      <c r="I34" s="14">
        <f>SUM(I32:I33)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62283682</v>
      </c>
      <c r="K2" s="61">
        <v>2140</v>
      </c>
      <c r="L2" s="62">
        <v>13</v>
      </c>
      <c r="M2" s="62">
        <v>163.31</v>
      </c>
      <c r="N2" s="62">
        <v>167.59</v>
      </c>
      <c r="O2" s="62">
        <v>180.59</v>
      </c>
      <c r="P2" s="62" t="s">
        <v>54</v>
      </c>
      <c r="Q2" s="62">
        <v>0.872</v>
      </c>
      <c r="R2" s="62" t="s">
        <v>62</v>
      </c>
    </row>
    <row r="3" spans="2:22" x14ac:dyDescent="0.2">
      <c r="B3" s="6" t="s">
        <v>53</v>
      </c>
      <c r="C3" s="67">
        <f>+'276'!C3+1</f>
        <v>277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62283682</v>
      </c>
      <c r="C21" s="49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180.59</v>
      </c>
      <c r="G23" s="23">
        <f>+N2</f>
        <v>167.59</v>
      </c>
      <c r="H23" s="23">
        <f>+M2</f>
        <v>163.31</v>
      </c>
      <c r="I23" s="4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7" t="s">
        <v>19</v>
      </c>
      <c r="E31" s="87"/>
      <c r="F31" s="87" t="s">
        <v>18</v>
      </c>
      <c r="G31" s="87"/>
      <c r="H31" s="48" t="s">
        <v>17</v>
      </c>
      <c r="I31" s="19" t="s">
        <v>16</v>
      </c>
      <c r="M31"/>
    </row>
    <row r="32" spans="2:13" ht="28.5" customHeight="1" x14ac:dyDescent="0.2">
      <c r="B32" s="41" t="s">
        <v>177</v>
      </c>
      <c r="C32" s="19" t="s">
        <v>188</v>
      </c>
      <c r="D32" s="74"/>
      <c r="E32" s="75"/>
      <c r="F32" s="74">
        <f>+K2</f>
        <v>2140</v>
      </c>
      <c r="G32" s="75"/>
      <c r="H32" s="17">
        <v>0.57999999999999996</v>
      </c>
      <c r="I32" s="18">
        <f>+H32*F32</f>
        <v>1241.1999999999998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48"/>
    </row>
    <row r="34" spans="2:11" ht="21.75" customHeight="1" x14ac:dyDescent="0.2">
      <c r="B34" s="15" t="s">
        <v>14</v>
      </c>
      <c r="C34" s="15"/>
      <c r="D34" s="72"/>
      <c r="E34" s="73"/>
      <c r="F34" s="74">
        <f>SUM(F31:G33)</f>
        <v>2140</v>
      </c>
      <c r="G34" s="75"/>
      <c r="H34" s="15"/>
      <c r="I34" s="14">
        <f>SUM(I32:I33)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62283680</v>
      </c>
      <c r="K2" s="61">
        <v>2130</v>
      </c>
      <c r="L2" s="62">
        <v>13</v>
      </c>
      <c r="M2" s="62">
        <v>165.45</v>
      </c>
      <c r="N2" s="62">
        <v>169.71</v>
      </c>
      <c r="O2" s="62">
        <v>182.71</v>
      </c>
      <c r="P2" s="62" t="s">
        <v>54</v>
      </c>
      <c r="Q2" s="62">
        <v>0.872</v>
      </c>
      <c r="R2" s="62" t="s">
        <v>62</v>
      </c>
    </row>
    <row r="3" spans="2:22" x14ac:dyDescent="0.2">
      <c r="B3" s="6" t="s">
        <v>53</v>
      </c>
      <c r="C3" s="67">
        <f>+'277'!C3+1</f>
        <v>278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62283680</v>
      </c>
      <c r="C21" s="5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182.71</v>
      </c>
      <c r="G23" s="23">
        <f>+N2</f>
        <v>169.71</v>
      </c>
      <c r="H23" s="23">
        <f>+M2</f>
        <v>165.45</v>
      </c>
      <c r="I23" s="54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7" t="s">
        <v>19</v>
      </c>
      <c r="E31" s="87"/>
      <c r="F31" s="87" t="s">
        <v>18</v>
      </c>
      <c r="G31" s="87"/>
      <c r="H31" s="54" t="s">
        <v>17</v>
      </c>
      <c r="I31" s="19" t="s">
        <v>16</v>
      </c>
      <c r="M31"/>
    </row>
    <row r="32" spans="2:13" ht="26.25" customHeight="1" x14ac:dyDescent="0.2">
      <c r="B32" s="41" t="s">
        <v>177</v>
      </c>
      <c r="C32" s="19" t="s">
        <v>188</v>
      </c>
      <c r="D32" s="74"/>
      <c r="E32" s="75"/>
      <c r="F32" s="74">
        <f>+K2</f>
        <v>2130</v>
      </c>
      <c r="G32" s="75"/>
      <c r="H32" s="17">
        <v>0.57999999999999996</v>
      </c>
      <c r="I32" s="18">
        <f>+H32*F32</f>
        <v>1235.3999999999999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4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2130</v>
      </c>
      <c r="G34" s="75"/>
      <c r="H34" s="15"/>
      <c r="I34" s="14">
        <f>SUM(I32:I33)</f>
        <v>1235.3999999999999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1235.3999999999999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1235.3999999999999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62002314</v>
      </c>
      <c r="K2" s="62">
        <v>757</v>
      </c>
      <c r="L2" s="62">
        <v>16</v>
      </c>
      <c r="M2" s="62">
        <v>102.41</v>
      </c>
      <c r="N2" s="62">
        <v>117.55</v>
      </c>
      <c r="O2" s="62">
        <v>130.94999999999999</v>
      </c>
      <c r="P2" s="62" t="s">
        <v>54</v>
      </c>
      <c r="Q2" s="62">
        <v>0.66</v>
      </c>
      <c r="R2" s="62" t="s">
        <v>62</v>
      </c>
    </row>
    <row r="3" spans="2:22" x14ac:dyDescent="0.2">
      <c r="B3" s="6" t="s">
        <v>53</v>
      </c>
      <c r="C3" s="67">
        <f>+'278'!C3+1</f>
        <v>279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62002314</v>
      </c>
      <c r="C21" s="6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130.94999999999999</v>
      </c>
      <c r="G23" s="23">
        <f>+N2</f>
        <v>117.55</v>
      </c>
      <c r="H23" s="23">
        <f>+M2</f>
        <v>102.41</v>
      </c>
      <c r="I23" s="65">
        <f>+L2</f>
        <v>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32.25" customHeight="1" x14ac:dyDescent="0.2">
      <c r="B32" s="41" t="s">
        <v>201</v>
      </c>
      <c r="C32" s="19" t="s">
        <v>200</v>
      </c>
      <c r="D32" s="74"/>
      <c r="E32" s="75"/>
      <c r="F32" s="74">
        <f>+K2</f>
        <v>757</v>
      </c>
      <c r="G32" s="75"/>
      <c r="H32" s="17">
        <v>1.05</v>
      </c>
      <c r="I32" s="18">
        <f>+H32*F32</f>
        <v>794.85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5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757</v>
      </c>
      <c r="G34" s="75"/>
      <c r="H34" s="15"/>
      <c r="I34" s="14">
        <f>SUM(I32:I33)</f>
        <v>794.85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794.85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794.85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61997021</v>
      </c>
      <c r="K2" s="61">
        <v>2388</v>
      </c>
      <c r="L2" s="62">
        <v>20</v>
      </c>
      <c r="M2" s="62">
        <v>166.084</v>
      </c>
      <c r="N2" s="62">
        <v>170.86</v>
      </c>
      <c r="O2" s="62">
        <v>188.46</v>
      </c>
      <c r="P2" s="62" t="s">
        <v>54</v>
      </c>
      <c r="Q2" s="62">
        <v>0.96199999999999997</v>
      </c>
      <c r="R2" s="62" t="s">
        <v>62</v>
      </c>
    </row>
    <row r="3" spans="2:22" x14ac:dyDescent="0.2">
      <c r="B3" s="6" t="s">
        <v>53</v>
      </c>
      <c r="C3" s="67">
        <f>+'279'!C3+1</f>
        <v>280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61997021</v>
      </c>
      <c r="C21" s="6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188.46</v>
      </c>
      <c r="G23" s="23">
        <f>+N2</f>
        <v>170.86</v>
      </c>
      <c r="H23" s="23">
        <f>+M2</f>
        <v>166.084</v>
      </c>
      <c r="I23" s="65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30.75" customHeight="1" x14ac:dyDescent="0.2">
      <c r="B32" s="41" t="s">
        <v>190</v>
      </c>
      <c r="C32" s="19" t="s">
        <v>178</v>
      </c>
      <c r="D32" s="74"/>
      <c r="E32" s="75"/>
      <c r="F32" s="74">
        <v>686</v>
      </c>
      <c r="G32" s="75"/>
      <c r="H32" s="17">
        <v>0.71</v>
      </c>
      <c r="I32" s="18">
        <f>+H32*F32</f>
        <v>487.06</v>
      </c>
      <c r="K32" s="46"/>
      <c r="M32" s="39"/>
    </row>
    <row r="33" spans="2:13" ht="30.75" customHeight="1" x14ac:dyDescent="0.2">
      <c r="B33" s="41" t="s">
        <v>177</v>
      </c>
      <c r="C33" s="19" t="s">
        <v>192</v>
      </c>
      <c r="D33" s="74"/>
      <c r="E33" s="75"/>
      <c r="F33" s="74">
        <v>1702</v>
      </c>
      <c r="G33" s="75"/>
      <c r="H33" s="17">
        <v>0.71</v>
      </c>
      <c r="I33" s="18">
        <f>+H33*F33</f>
        <v>1208.4199999999998</v>
      </c>
      <c r="K33" s="46"/>
      <c r="M33" s="39"/>
    </row>
    <row r="34" spans="2:13" ht="21" customHeight="1" x14ac:dyDescent="0.2">
      <c r="B34" s="15" t="s">
        <v>15</v>
      </c>
      <c r="C34" s="15"/>
      <c r="D34" s="70"/>
      <c r="E34" s="71"/>
      <c r="F34" s="70"/>
      <c r="G34" s="71"/>
      <c r="H34" s="17"/>
      <c r="I34" s="65"/>
    </row>
    <row r="35" spans="2:13" ht="21.75" customHeight="1" x14ac:dyDescent="0.2">
      <c r="B35" s="15" t="s">
        <v>14</v>
      </c>
      <c r="C35" s="15"/>
      <c r="D35" s="72"/>
      <c r="E35" s="73"/>
      <c r="F35" s="74">
        <f>SUM(F31:G34)</f>
        <v>2388</v>
      </c>
      <c r="G35" s="75"/>
      <c r="H35" s="15"/>
      <c r="I35" s="14">
        <f>SUM(I32:I34)</f>
        <v>1695.4799999999998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1"/>
      <c r="F36" s="70"/>
      <c r="G36" s="71"/>
      <c r="H36" s="15"/>
      <c r="I36" s="65"/>
      <c r="J36" s="40"/>
    </row>
    <row r="37" spans="2:13" ht="21.75" customHeight="1" x14ac:dyDescent="0.2">
      <c r="B37" s="16" t="s">
        <v>12</v>
      </c>
      <c r="C37" s="15"/>
      <c r="D37" s="70"/>
      <c r="E37" s="71"/>
      <c r="F37" s="70"/>
      <c r="G37" s="71"/>
      <c r="H37" s="15"/>
      <c r="I37" s="14">
        <f>+I35</f>
        <v>1695.4799999999998</v>
      </c>
    </row>
    <row r="38" spans="2:13" ht="20.25" customHeight="1" x14ac:dyDescent="0.2">
      <c r="B38" s="15" t="s">
        <v>80</v>
      </c>
      <c r="C38" s="70" t="s">
        <v>11</v>
      </c>
      <c r="D38" s="77"/>
      <c r="E38" s="77"/>
      <c r="F38" s="77"/>
      <c r="G38" s="77"/>
      <c r="H38" s="71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1695.4799999999998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 s="20">
        <v>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 s="20">
        <v>8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61996968</v>
      </c>
      <c r="K2" s="62">
        <v>389</v>
      </c>
      <c r="L2" s="62">
        <v>4</v>
      </c>
      <c r="M2" s="62">
        <v>28.867000000000001</v>
      </c>
      <c r="N2" s="62">
        <v>29.645</v>
      </c>
      <c r="O2" s="62">
        <v>32.945</v>
      </c>
      <c r="P2" s="62" t="s">
        <v>54</v>
      </c>
      <c r="Q2" s="62">
        <v>0.157</v>
      </c>
      <c r="R2" s="62" t="s">
        <v>62</v>
      </c>
    </row>
    <row r="3" spans="2:22" x14ac:dyDescent="0.2">
      <c r="B3" s="6" t="s">
        <v>53</v>
      </c>
      <c r="C3" s="67">
        <f>+'280'!C3+1</f>
        <v>281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61996968</v>
      </c>
      <c r="C21" s="6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32.945</v>
      </c>
      <c r="G23" s="23">
        <f>+N2</f>
        <v>29.645</v>
      </c>
      <c r="H23" s="23">
        <f>+M2</f>
        <v>28.867000000000001</v>
      </c>
      <c r="I23" s="65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GIRLS COTTON FIBERS, KNIT PULLOVER, WITH NO NECK CLOSURE, STITCH COUNT IS GREATER THAN 9/2CM, REACHES WAIST [100% COTTON]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28.5" customHeight="1" x14ac:dyDescent="0.2">
      <c r="B32" s="41" t="s">
        <v>180</v>
      </c>
      <c r="C32" s="19" t="s">
        <v>193</v>
      </c>
      <c r="D32" s="74"/>
      <c r="E32" s="75"/>
      <c r="F32" s="74">
        <f>+K2</f>
        <v>389</v>
      </c>
      <c r="G32" s="75"/>
      <c r="H32" s="17">
        <v>0.81</v>
      </c>
      <c r="I32" s="18">
        <f>+H32*F32</f>
        <v>315.09000000000003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5"/>
    </row>
    <row r="34" spans="2:11" ht="21.75" customHeight="1" x14ac:dyDescent="0.2">
      <c r="B34" s="15" t="s">
        <v>14</v>
      </c>
      <c r="C34" s="15"/>
      <c r="D34" s="72"/>
      <c r="E34" s="73"/>
      <c r="F34" s="74">
        <f>SUM(F31:G33)</f>
        <v>389</v>
      </c>
      <c r="G34" s="75"/>
      <c r="H34" s="15"/>
      <c r="I34" s="14">
        <f>SUM(I32:I33)</f>
        <v>315.09000000000003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315.09000000000003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315.09000000000003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9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61996887</v>
      </c>
      <c r="K2" s="62">
        <v>572</v>
      </c>
      <c r="L2" s="62">
        <v>8</v>
      </c>
      <c r="M2" s="62">
        <v>39.576000000000001</v>
      </c>
      <c r="N2" s="62">
        <v>40.72</v>
      </c>
      <c r="O2" s="62">
        <v>46.12</v>
      </c>
      <c r="P2" s="62" t="s">
        <v>54</v>
      </c>
      <c r="Q2" s="62">
        <v>0.26800000000000002</v>
      </c>
      <c r="R2" s="62" t="s">
        <v>62</v>
      </c>
    </row>
    <row r="3" spans="2:22" x14ac:dyDescent="0.2">
      <c r="B3" s="6" t="s">
        <v>53</v>
      </c>
      <c r="C3" s="67">
        <f>+'281'!C3+1</f>
        <v>282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61996887</v>
      </c>
      <c r="C21" s="6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46.12</v>
      </c>
      <c r="G23" s="23">
        <f>+N2</f>
        <v>40.72</v>
      </c>
      <c r="H23" s="23">
        <f>+M2</f>
        <v>39.576000000000001</v>
      </c>
      <c r="I23" s="65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GIRLS COTTON FIBERS, KNIT PULLOVER, WITH NO NECK CLOSURE, STITCH COUNT IS GREATER THAN 9/2CM, REACHES WAIST [100% COTTON]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26.1" customHeight="1" x14ac:dyDescent="0.2">
      <c r="B32" s="41" t="s">
        <v>180</v>
      </c>
      <c r="C32" s="19" t="s">
        <v>193</v>
      </c>
      <c r="D32" s="74"/>
      <c r="E32" s="75"/>
      <c r="F32" s="74">
        <f>+K2</f>
        <v>572</v>
      </c>
      <c r="G32" s="75"/>
      <c r="H32" s="17">
        <v>0.81</v>
      </c>
      <c r="I32" s="18">
        <f>+H32*F32</f>
        <v>463.32000000000005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5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572</v>
      </c>
      <c r="G34" s="75"/>
      <c r="H34" s="15"/>
      <c r="I34" s="14">
        <f>SUM(I32:I33)</f>
        <v>463.32000000000005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463.32000000000005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463.32000000000005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62006167</v>
      </c>
      <c r="K2" s="61">
        <v>2760</v>
      </c>
      <c r="L2" s="62">
        <v>54</v>
      </c>
      <c r="M2" s="62">
        <v>286.89</v>
      </c>
      <c r="N2" s="62">
        <v>314.49</v>
      </c>
      <c r="O2" s="62">
        <v>352.34</v>
      </c>
      <c r="P2" s="62" t="s">
        <v>54</v>
      </c>
      <c r="Q2" s="62">
        <v>1.7949999999999999</v>
      </c>
      <c r="R2" s="62" t="s">
        <v>62</v>
      </c>
    </row>
    <row r="3" spans="2:22" x14ac:dyDescent="0.2">
      <c r="B3" s="6" t="s">
        <v>53</v>
      </c>
      <c r="C3" s="67">
        <f>+'282'!C3+1</f>
        <v>283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62006167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352.34</v>
      </c>
      <c r="G23" s="23">
        <f>+N2</f>
        <v>314.49</v>
      </c>
      <c r="H23" s="23">
        <f>+M2</f>
        <v>286.89</v>
      </c>
      <c r="I23" s="65">
        <f>+L2</f>
        <v>54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46.5" customHeight="1" x14ac:dyDescent="0.2">
      <c r="B32" s="41" t="s">
        <v>203</v>
      </c>
      <c r="C32" s="19" t="s">
        <v>204</v>
      </c>
      <c r="D32" s="74"/>
      <c r="E32" s="75"/>
      <c r="F32" s="74">
        <f>+K2</f>
        <v>2760</v>
      </c>
      <c r="G32" s="75"/>
      <c r="H32" s="17">
        <v>0.76</v>
      </c>
      <c r="I32" s="18">
        <f>+H32*F32</f>
        <v>2097.6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5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2760</v>
      </c>
      <c r="G34" s="75"/>
      <c r="H34" s="15"/>
      <c r="I34" s="14">
        <f>SUM(I32:I33)</f>
        <v>2097.6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2097.6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2097.6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62046849</v>
      </c>
      <c r="K2" s="61">
        <v>5639</v>
      </c>
      <c r="L2" s="62">
        <v>93</v>
      </c>
      <c r="M2" s="62">
        <v>597.82500000000005</v>
      </c>
      <c r="N2" s="62">
        <v>654.21500000000003</v>
      </c>
      <c r="O2" s="62">
        <v>730.51499999999999</v>
      </c>
      <c r="P2" s="62" t="s">
        <v>54</v>
      </c>
      <c r="Q2" s="62">
        <v>3.657</v>
      </c>
      <c r="R2" s="62" t="s">
        <v>62</v>
      </c>
    </row>
    <row r="3" spans="2:22" x14ac:dyDescent="0.2">
      <c r="B3" s="6" t="s">
        <v>53</v>
      </c>
      <c r="C3" s="67">
        <f>+'283'!C3+1</f>
        <v>284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62046849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730.51499999999999</v>
      </c>
      <c r="G23" s="23">
        <f>+N2</f>
        <v>654.21500000000003</v>
      </c>
      <c r="H23" s="23">
        <f>+M2</f>
        <v>597.82500000000005</v>
      </c>
      <c r="I23" s="65">
        <f>+L2</f>
        <v>93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51.75" customHeight="1" x14ac:dyDescent="0.2">
      <c r="B32" s="41" t="s">
        <v>208</v>
      </c>
      <c r="C32" s="19" t="s">
        <v>207</v>
      </c>
      <c r="D32" s="74"/>
      <c r="E32" s="75"/>
      <c r="F32" s="74">
        <f>+K2</f>
        <v>5639</v>
      </c>
      <c r="G32" s="75"/>
      <c r="H32" s="17">
        <v>0.76</v>
      </c>
      <c r="I32" s="18">
        <f>+H32*F32</f>
        <v>4285.6400000000003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5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5639</v>
      </c>
      <c r="G34" s="75"/>
      <c r="H34" s="15"/>
      <c r="I34" s="14">
        <f>SUM(I32:I33)</f>
        <v>4285.6400000000003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4285.6400000000003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4285.6400000000003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62046864</v>
      </c>
      <c r="K2" s="61">
        <v>13717</v>
      </c>
      <c r="L2" s="62">
        <v>318</v>
      </c>
      <c r="M2" s="64">
        <v>1399.52</v>
      </c>
      <c r="N2" s="64">
        <v>1879.615</v>
      </c>
      <c r="O2" s="64">
        <v>2174.415</v>
      </c>
      <c r="P2" s="62" t="s">
        <v>54</v>
      </c>
      <c r="Q2" s="62">
        <v>17.446000000000002</v>
      </c>
      <c r="R2" s="62" t="s">
        <v>62</v>
      </c>
    </row>
    <row r="3" spans="2:22" x14ac:dyDescent="0.2">
      <c r="B3" s="6" t="s">
        <v>53</v>
      </c>
      <c r="C3" s="67">
        <f>+'284'!C3+1</f>
        <v>285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62046864</v>
      </c>
      <c r="C21" s="6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2174.415</v>
      </c>
      <c r="G23" s="23">
        <f>+N2</f>
        <v>1879.615</v>
      </c>
      <c r="H23" s="23">
        <f>+M2</f>
        <v>1399.52</v>
      </c>
      <c r="I23" s="65">
        <f>+L2</f>
        <v>318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48.75" customHeight="1" x14ac:dyDescent="0.2">
      <c r="B32" s="41" t="s">
        <v>208</v>
      </c>
      <c r="C32" s="19" t="s">
        <v>207</v>
      </c>
      <c r="D32" s="74"/>
      <c r="E32" s="75"/>
      <c r="F32" s="74">
        <f>+K2</f>
        <v>13717</v>
      </c>
      <c r="G32" s="75"/>
      <c r="H32" s="17">
        <v>0.76</v>
      </c>
      <c r="I32" s="18">
        <f>+H32*F32</f>
        <v>10424.92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5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13717</v>
      </c>
      <c r="G34" s="75"/>
      <c r="H34" s="15"/>
      <c r="I34" s="14">
        <f>SUM(I32:I33)</f>
        <v>10424.92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10424.92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10424.92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  <c r="K55" s="20">
        <v>13</v>
      </c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62031019</v>
      </c>
      <c r="K2" s="61">
        <v>16495</v>
      </c>
      <c r="L2" s="62">
        <v>216</v>
      </c>
      <c r="M2" s="64">
        <v>1745.77</v>
      </c>
      <c r="N2" s="64">
        <v>1910.72</v>
      </c>
      <c r="O2" s="64">
        <v>2099.62</v>
      </c>
      <c r="P2" s="62" t="s">
        <v>54</v>
      </c>
      <c r="Q2" s="62">
        <v>10.3</v>
      </c>
      <c r="R2" s="62" t="s">
        <v>62</v>
      </c>
    </row>
    <row r="3" spans="2:22" x14ac:dyDescent="0.2">
      <c r="B3" s="6" t="s">
        <v>53</v>
      </c>
      <c r="C3" s="67">
        <f>+'285'!C3+1</f>
        <v>286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62031019</v>
      </c>
      <c r="C21" s="6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2099.62</v>
      </c>
      <c r="G23" s="23">
        <f>+N2</f>
        <v>1910.72</v>
      </c>
      <c r="H23" s="23">
        <f>+M2</f>
        <v>1745.77</v>
      </c>
      <c r="I23" s="65">
        <f>+L2</f>
        <v>216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7" t="s">
        <v>19</v>
      </c>
      <c r="E31" s="87"/>
      <c r="F31" s="87" t="s">
        <v>18</v>
      </c>
      <c r="G31" s="87"/>
      <c r="H31" s="65" t="s">
        <v>17</v>
      </c>
      <c r="I31" s="19" t="s">
        <v>16</v>
      </c>
      <c r="M31"/>
    </row>
    <row r="32" spans="2:13" ht="51.75" customHeight="1" x14ac:dyDescent="0.2">
      <c r="B32" s="41" t="s">
        <v>194</v>
      </c>
      <c r="C32" s="19" t="s">
        <v>195</v>
      </c>
      <c r="D32" s="74"/>
      <c r="E32" s="75"/>
      <c r="F32" s="74">
        <f>+K2</f>
        <v>16495</v>
      </c>
      <c r="G32" s="75"/>
      <c r="H32" s="17">
        <v>0.76</v>
      </c>
      <c r="I32" s="18">
        <f>+H32*F32</f>
        <v>12536.2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5"/>
    </row>
    <row r="34" spans="2:11" ht="21.75" customHeight="1" x14ac:dyDescent="0.2">
      <c r="B34" s="15" t="s">
        <v>14</v>
      </c>
      <c r="C34" s="15"/>
      <c r="D34" s="72"/>
      <c r="E34" s="73"/>
      <c r="F34" s="74">
        <f>SUM(F32:G33)</f>
        <v>16495</v>
      </c>
      <c r="G34" s="75"/>
      <c r="H34" s="15"/>
      <c r="I34" s="14">
        <f>SUM(I32:I33)</f>
        <v>12536.2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12536.2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12536.2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  <c r="K55" s="20">
        <v>14</v>
      </c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0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209</v>
      </c>
      <c r="C2" s="82"/>
      <c r="D2" s="82"/>
      <c r="E2" s="82"/>
      <c r="F2" s="82"/>
      <c r="G2" s="82"/>
      <c r="H2" s="82"/>
      <c r="I2" s="83"/>
      <c r="J2" s="60">
        <v>62046885</v>
      </c>
      <c r="K2" s="61">
        <v>39777</v>
      </c>
      <c r="L2" s="62">
        <v>790</v>
      </c>
      <c r="M2" s="64">
        <v>4040.3850000000002</v>
      </c>
      <c r="N2" s="64">
        <v>5432.58</v>
      </c>
      <c r="O2" s="64">
        <v>6201.18</v>
      </c>
      <c r="P2" s="62" t="s">
        <v>54</v>
      </c>
      <c r="Q2" s="62">
        <v>49.417999999999999</v>
      </c>
      <c r="R2" s="62" t="s">
        <v>62</v>
      </c>
    </row>
    <row r="3" spans="2:22" x14ac:dyDescent="0.2">
      <c r="B3" s="6" t="s">
        <v>53</v>
      </c>
      <c r="C3" s="67">
        <f>+'286'!C3+1</f>
        <v>287</v>
      </c>
      <c r="D3" s="5"/>
      <c r="E3" s="5"/>
      <c r="F3" s="5"/>
      <c r="G3" s="5" t="s">
        <v>52</v>
      </c>
      <c r="H3" s="31">
        <v>46264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62046885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6201.18</v>
      </c>
      <c r="G23" s="23">
        <f>+N2</f>
        <v>5432.58</v>
      </c>
      <c r="H23" s="23">
        <f>+M2</f>
        <v>4040.3850000000002</v>
      </c>
      <c r="I23" s="69">
        <f>+L2</f>
        <v>790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7"/>
      <c r="D26" s="77"/>
      <c r="E26" s="77"/>
      <c r="F26" s="77"/>
      <c r="G26" s="77"/>
      <c r="H26" s="77"/>
      <c r="I26" s="71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7" t="s">
        <v>19</v>
      </c>
      <c r="E31" s="87"/>
      <c r="F31" s="87" t="s">
        <v>18</v>
      </c>
      <c r="G31" s="87"/>
      <c r="H31" s="69" t="s">
        <v>17</v>
      </c>
      <c r="I31" s="19" t="s">
        <v>16</v>
      </c>
      <c r="M31"/>
    </row>
    <row r="32" spans="2:13" ht="56.25" customHeight="1" x14ac:dyDescent="0.2">
      <c r="B32" s="41" t="s">
        <v>205</v>
      </c>
      <c r="C32" s="19" t="s">
        <v>206</v>
      </c>
      <c r="D32" s="74"/>
      <c r="E32" s="75"/>
      <c r="F32" s="74">
        <f>+K2</f>
        <v>39777</v>
      </c>
      <c r="G32" s="75"/>
      <c r="H32" s="17">
        <v>0.76</v>
      </c>
      <c r="I32" s="18">
        <f>+H32*F32</f>
        <v>30230.52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9"/>
    </row>
    <row r="34" spans="2:11" ht="21.75" customHeight="1" x14ac:dyDescent="0.2">
      <c r="B34" s="15" t="s">
        <v>14</v>
      </c>
      <c r="C34" s="15"/>
      <c r="D34" s="72"/>
      <c r="E34" s="73"/>
      <c r="F34" s="74">
        <f>SUM(F31:G33)</f>
        <v>39777</v>
      </c>
      <c r="G34" s="75"/>
      <c r="H34" s="15"/>
      <c r="I34" s="14">
        <f>SUM(I32:I33)</f>
        <v>30230.52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30230.52</v>
      </c>
    </row>
    <row r="37" spans="2:11" ht="20.25" customHeight="1" x14ac:dyDescent="0.2">
      <c r="B37" s="15" t="s">
        <v>80</v>
      </c>
      <c r="C37" s="70" t="s">
        <v>11</v>
      </c>
      <c r="D37" s="77"/>
      <c r="E37" s="77"/>
      <c r="F37" s="77"/>
      <c r="G37" s="77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30230.52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15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Sheet1</vt:lpstr>
      <vt:lpstr>reff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'275'!Print_Area</vt:lpstr>
      <vt:lpstr>'276'!Print_Area</vt:lpstr>
      <vt:lpstr>'277'!Print_Area</vt:lpstr>
      <vt:lpstr>'278'!Print_Area</vt:lpstr>
      <vt:lpstr>'279'!Print_Area</vt:lpstr>
      <vt:lpstr>'280'!Print_Area</vt:lpstr>
      <vt:lpstr>'281'!Print_Area</vt:lpstr>
      <vt:lpstr>'282'!Print_Area</vt:lpstr>
      <vt:lpstr>'283'!Print_Area</vt:lpstr>
      <vt:lpstr>'284'!Print_Area</vt:lpstr>
      <vt:lpstr>'285'!Print_Area</vt:lpstr>
      <vt:lpstr>'286'!Print_Area</vt:lpstr>
      <vt:lpstr>'287'!Print_Area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2026-08-13T02:02:12Z</cp:lastPrinted>
  <dcterms:created xsi:type="dcterms:W3CDTF">2024-04-17T09:56:05Z</dcterms:created>
  <dcterms:modified xsi:type="dcterms:W3CDTF">2026-08-21T01:34:21Z</dcterms:modified>
</cp:coreProperties>
</file>