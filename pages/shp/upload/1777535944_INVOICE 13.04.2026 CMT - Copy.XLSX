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4. APRIL\13.04.2026\"/>
    </mc:Choice>
  </mc:AlternateContent>
  <xr:revisionPtr revIDLastSave="0" documentId="13_ncr:1_{8E12EFE2-7BEE-4141-89A0-4BC35FEECC48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245" sheetId="129" r:id="rId3"/>
    <sheet name="246" sheetId="133" r:id="rId4"/>
    <sheet name="247" sheetId="134" r:id="rId5"/>
    <sheet name="248" sheetId="172" r:id="rId6"/>
  </sheets>
  <externalReferences>
    <externalReference r:id="rId7"/>
    <externalReference r:id="rId8"/>
    <externalReference r:id="rId9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>[2]xdata!#REF!</definedName>
    <definedName name="INVOICE">[2]xdata!$B$2</definedName>
    <definedName name="_xlnm.Print_Area" localSheetId="2">'245'!$B$1:$I$57</definedName>
    <definedName name="_xlnm.Print_Area" localSheetId="3">'246'!$B$1:$I$57</definedName>
    <definedName name="_xlnm.Print_Area" localSheetId="4">'247'!$B$1:$I$57</definedName>
    <definedName name="_xlnm.Print_Area" localSheetId="5">'248'!$B$1:$I$57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34" l="1"/>
  <c r="I32" i="134"/>
  <c r="F34" i="134"/>
  <c r="F32" i="172" l="1"/>
  <c r="I32" i="172" s="1"/>
  <c r="F34" i="172" l="1"/>
  <c r="H52" i="172"/>
  <c r="I34" i="172"/>
  <c r="I36" i="172" s="1"/>
  <c r="I38" i="172" s="1"/>
  <c r="B27" i="172"/>
  <c r="I23" i="172"/>
  <c r="H23" i="172"/>
  <c r="G23" i="172"/>
  <c r="F23" i="172"/>
  <c r="E23" i="172"/>
  <c r="E21" i="172"/>
  <c r="D21" i="172"/>
  <c r="C21" i="172"/>
  <c r="B21" i="172"/>
  <c r="B15" i="172"/>
  <c r="B16" i="172" s="1"/>
  <c r="B17" i="172" s="1"/>
  <c r="B18" i="172" s="1"/>
  <c r="G14" i="172"/>
  <c r="G15" i="172" s="1"/>
  <c r="G16" i="172" s="1"/>
  <c r="G17" i="172" s="1"/>
  <c r="H21" i="172" s="1"/>
  <c r="H3" i="172"/>
  <c r="F32" i="129" l="1"/>
  <c r="F32" i="133"/>
  <c r="F34" i="133" s="1"/>
  <c r="F34" i="129" l="1"/>
  <c r="C3" i="133"/>
  <c r="H3" i="134"/>
  <c r="H3" i="133"/>
  <c r="I32" i="129" l="1"/>
  <c r="I32" i="133"/>
  <c r="B27" i="134" l="1"/>
  <c r="E21" i="129" l="1"/>
  <c r="E21" i="133" l="1"/>
  <c r="E21" i="134"/>
  <c r="C21" i="129"/>
  <c r="C21" i="134"/>
  <c r="C21" i="133"/>
  <c r="H52" i="129"/>
  <c r="H52" i="134"/>
  <c r="H52" i="133"/>
  <c r="I34" i="134" l="1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72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29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<sst xmlns="http://schemas.openxmlformats.org/spreadsheetml/2006/main" count="479" uniqueCount="187">
  <si>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</si>
  <si>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</si>
  <si>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</si>
  <si>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</si>
  <si>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</si>
  <si>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</si>
  <si>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</si>
  <si>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</si>
  <si>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</si>
  <si>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</si>
  <si>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</si>
  <si>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</si>
  <si>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</si>
  <si>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</si>
  <si>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</si>
  <si>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</si>
  <si>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</si>
  <si>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</si>
  <si>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</si>
  <si>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</si>
  <si>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</si>
  <si>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</si>
  <si>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</si>
  <si>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</si>
  <si>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</si>
  <si>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</si>
  <si>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</si>
  <si>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</si>
  <si>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</si>
  <si>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</si>
  <si>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</si>
  <si>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</si>
  <si>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</si>
  <si>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</si>
  <si>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</si>
  <si>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</si>
  <si>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</si>
  <si>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</si>
  <si>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</si>
  <si>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</si>
  <si>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</si>
  <si>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</si>
  <si>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</si>
  <si>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</si>
  <si>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</si>
  <si>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</si>
  <si>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</si>
  <si>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</si>
  <si>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</si>
  <si>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</si>
  <si>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</si>
  <si>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</si>
  <si>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</si>
  <si>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</si>
  <si>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</si>
  <si>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</si>
  <si>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</si>
  <si>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</si>
  <si>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</si>
  <si>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</si>
  <si>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</si>
  <si>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</si>
  <si>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</si>
  <si>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</si>
  <si>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</si>
  <si>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</si>
  <si>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</si>
  <si>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</si>
  <si>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</si>
  <si>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</si>
  <si>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</si>
  <si>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</si>
  <si>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</si>
  <si>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</si>
  <si>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</si>
  <si>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</si>
  <si>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</si>
  <si>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</si>
  <si>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</si>
  <si>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</si>
  <si>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</si>
  <si>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</si>
  <si>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</si>
  <si>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</si>
  <si>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</si>
  <si>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</si>
  <si>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</si>
  <si>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</si>
  <si>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</si>
  <si>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</si>
  <si>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</si>
  <si>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</si>
  <si>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</si>
  <si>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</si>
  <si>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</si>
  <si>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</si>
  <si>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</si>
  <si>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</si>
  <si>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</si>
  <si>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</si>
  <si>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</si>
  <si>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</si>
  <si>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</si>
  <si>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</si>
  <si>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</si>
  <si>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</si>
  <si>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</si>
  <si>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</si>
  <si>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</si>
  <si>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</si>
  <si>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</si>
  <si>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</si>
  <si>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</si>
  <si>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</si>
  <si>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</si>
  <si>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</si>
  <si>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</si>
  <si>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</si>
  <si>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</si>
  <si>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</si>
  <si>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</si>
  <si>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</si>
  <si>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</si>
  <si>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</si>
  <si>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</si>
  <si>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</si>
  <si>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</si>
  <si>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</si>
  <si>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</si>
  <si>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</si>
  <si>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</si>
  <si>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</si>
  <si>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</si>
  <si>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</si>
  <si>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</si>
  <si>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</si>
  <si>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</si>
  <si>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</si>
  <si>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</si>
  <si>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</si>
  <si>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</si>
  <si>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</si>
  <si>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</si>
  <si>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</si>
  <si>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</si>
  <si>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</si>
  <si>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</si>
  <si>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</si>
  <si>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</si>
  <si>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</si>
  <si>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</si>
  <si>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</si>
  <si>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</si>
  <si>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</si>
  <si>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</si>
  <si>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</si>
  <si>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</si>
  <si>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</si>
  <si>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</si>
  <si>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</si>
  <si>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</si>
  <si>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</si>
  <si>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</si>
  <si>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</si>
  <si>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</si>
  <si>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</si>
  <si>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</si>
  <si>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</si>
  <si>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</si>
  <si>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</si>
  <si>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</si>
  <si>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</si>
  <si>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</si>
  <si>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</si>
  <si>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</si>
  <si>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</si>
  <si>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</si>
  <si>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</si>
  <si>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</si>
  <si>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>265K0045</t>
  </si>
  <si>
    <t>WOMENS COTTON FIBERS, KNIT PULLOVER, WITH NO NECK CLOSURE, STITCH COUNT IS GREATER THAN 9/2CM, REACHES WAIST, SLEEVELESS [95% COTTON 5% ELASTANE]</t>
  </si>
  <si>
    <t>BLACK COFFEE, BLACK JACK 3, CALLA LILY 2, IN THE NAVY</t>
  </si>
  <si>
    <t>13, 15, 20, 16</t>
  </si>
  <si>
    <t>BLUSH ON YOU, SHOOTING STAR</t>
  </si>
  <si>
    <t>21, 22</t>
  </si>
  <si>
    <t>22, 21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</si>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</sst>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4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quotePrefix="1" applyNumberFormat="1"/>
    <xf numFmtId="0" fontId="14" fillId="0" borderId="0" xfId="0" applyFont="1"/>
    <xf numFmtId="4" fontId="5" fillId="3" borderId="0" xfId="0" applyNumberFormat="1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3D05F10-8C37-4CF7-AFD2-4DD137EA7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85BA03-F376-455D-921C-4AA8C9A32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34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3" customWidth="1"/>
    <col min="4" max="4" width="31.5703125" customWidth="1"/>
    <col min="5" max="5" width="2.140625" style="53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4" t="s">
        <v>83</v>
      </c>
      <c r="D6" s="54" t="s">
        <v>65</v>
      </c>
      <c r="F6" s="54" t="s">
        <v>68</v>
      </c>
      <c r="G6" s="54" t="s">
        <v>68</v>
      </c>
      <c r="H6" s="54" t="s">
        <v>77</v>
      </c>
      <c r="I6" s="54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4" t="s">
        <v>84</v>
      </c>
      <c r="D7" s="54" t="s">
        <v>66</v>
      </c>
      <c r="F7" s="54" t="s">
        <v>69</v>
      </c>
      <c r="G7" s="54" t="s">
        <v>69</v>
      </c>
      <c r="H7" s="54" t="s">
        <v>78</v>
      </c>
      <c r="I7" s="54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5" t="s">
        <v>97</v>
      </c>
      <c r="D8" s="55" t="s">
        <v>75</v>
      </c>
      <c r="F8" s="55" t="s">
        <v>76</v>
      </c>
      <c r="G8" s="55" t="s">
        <v>76</v>
      </c>
      <c r="H8" s="55" t="s">
        <v>79</v>
      </c>
      <c r="I8" s="55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4" t="s">
        <v>138</v>
      </c>
      <c r="D12" s="54" t="s">
        <v>118</v>
      </c>
      <c r="F12" s="54" t="s">
        <v>104</v>
      </c>
      <c r="G12" s="54" t="s">
        <v>106</v>
      </c>
      <c r="H12" s="54" t="s">
        <v>110</v>
      </c>
      <c r="I12" s="54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4" t="s">
        <v>139</v>
      </c>
      <c r="D13" s="54" t="s">
        <v>119</v>
      </c>
      <c r="F13" s="54" t="s">
        <v>101</v>
      </c>
      <c r="G13" s="54" t="s">
        <v>107</v>
      </c>
      <c r="H13" s="54" t="s">
        <v>111</v>
      </c>
      <c r="I13" s="54" t="s">
        <v>115</v>
      </c>
      <c r="L13" t="str">
        <f>F17</f>
        <v>BDC-0015</v>
      </c>
    </row>
    <row r="14" spans="2:12" x14ac:dyDescent="0.2">
      <c r="B14" s="54" t="s">
        <v>141</v>
      </c>
      <c r="D14" s="55" t="s">
        <v>120</v>
      </c>
      <c r="F14" s="55" t="s">
        <v>102</v>
      </c>
      <c r="G14" s="55" t="s">
        <v>108</v>
      </c>
      <c r="H14" s="55" t="s">
        <v>112</v>
      </c>
      <c r="I14" s="55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4" t="s">
        <v>71</v>
      </c>
      <c r="F18" s="54" t="s">
        <v>71</v>
      </c>
      <c r="G18" s="54" t="s">
        <v>71</v>
      </c>
      <c r="H18" s="54" t="s">
        <v>91</v>
      </c>
      <c r="I18" s="54" t="s">
        <v>122</v>
      </c>
      <c r="L18" t="str">
        <f>G23</f>
        <v>EDC(EU FRANCHISE HUB)</v>
      </c>
    </row>
    <row r="19" spans="2:12" x14ac:dyDescent="0.2">
      <c r="D19" s="54" t="s">
        <v>72</v>
      </c>
      <c r="F19" s="54" t="s">
        <v>72</v>
      </c>
      <c r="G19" s="54" t="s">
        <v>72</v>
      </c>
      <c r="H19" s="54" t="s">
        <v>92</v>
      </c>
      <c r="I19" s="54" t="s">
        <v>123</v>
      </c>
      <c r="L19" t="str">
        <f>H23</f>
        <v>EXPEDITORS INT'L GPS STRATEGIC ALLIANCES, LLC</v>
      </c>
    </row>
    <row r="20" spans="2:12" x14ac:dyDescent="0.2">
      <c r="D20" s="54" t="s">
        <v>73</v>
      </c>
      <c r="F20" s="54" t="s">
        <v>73</v>
      </c>
      <c r="G20" s="54" t="s">
        <v>73</v>
      </c>
      <c r="H20" s="55" t="s">
        <v>93</v>
      </c>
      <c r="I20" s="54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4" t="s">
        <v>128</v>
      </c>
      <c r="F24" s="54" t="s">
        <v>135</v>
      </c>
      <c r="G24" s="54" t="s">
        <v>146</v>
      </c>
      <c r="H24" s="54" t="s">
        <v>151</v>
      </c>
      <c r="I24" s="54" t="s">
        <v>157</v>
      </c>
      <c r="L24" t="str">
        <f>I29</f>
        <v>PDC-0014</v>
      </c>
    </row>
    <row r="25" spans="2:12" x14ac:dyDescent="0.2">
      <c r="D25" s="54" t="s">
        <v>129</v>
      </c>
      <c r="F25" s="54" t="s">
        <v>136</v>
      </c>
      <c r="G25" s="54" t="s">
        <v>147</v>
      </c>
      <c r="H25" s="54" t="s">
        <v>152</v>
      </c>
      <c r="I25" s="54" t="s">
        <v>158</v>
      </c>
      <c r="L25" t="str">
        <f>F35</f>
        <v>JPD-0030</v>
      </c>
    </row>
    <row r="26" spans="2:12" x14ac:dyDescent="0.2">
      <c r="D26" s="54" t="s">
        <v>130</v>
      </c>
      <c r="F26" s="54" t="s">
        <v>133</v>
      </c>
      <c r="G26" s="54" t="s">
        <v>148</v>
      </c>
      <c r="H26" s="54" t="s">
        <v>153</v>
      </c>
      <c r="I26" s="55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4" t="s">
        <v>143</v>
      </c>
      <c r="F30" s="54" t="s">
        <v>161</v>
      </c>
      <c r="G30" s="54" t="s">
        <v>163</v>
      </c>
      <c r="H30" s="54" t="s">
        <v>163</v>
      </c>
      <c r="I30" s="54" t="s">
        <v>166</v>
      </c>
    </row>
    <row r="31" spans="2:12" x14ac:dyDescent="0.2">
      <c r="D31" s="54" t="s">
        <v>144</v>
      </c>
      <c r="F31" s="54" t="s">
        <v>111</v>
      </c>
      <c r="G31" s="54" t="s">
        <v>69</v>
      </c>
      <c r="H31" s="54" t="s">
        <v>69</v>
      </c>
      <c r="I31" s="54" t="s">
        <v>101</v>
      </c>
    </row>
    <row r="32" spans="2:12" x14ac:dyDescent="0.2">
      <c r="D32" s="54" t="s">
        <v>130</v>
      </c>
      <c r="F32" s="55" t="s">
        <v>112</v>
      </c>
      <c r="G32" s="55" t="s">
        <v>76</v>
      </c>
      <c r="H32" s="55" t="s">
        <v>76</v>
      </c>
      <c r="I32" s="55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4" t="s">
        <v>118</v>
      </c>
      <c r="F36" s="54" t="s">
        <v>173</v>
      </c>
    </row>
    <row r="37" spans="4:9" x14ac:dyDescent="0.2">
      <c r="D37" s="54" t="s">
        <v>119</v>
      </c>
      <c r="F37" s="54" t="s">
        <v>174</v>
      </c>
    </row>
    <row r="38" spans="4:9" x14ac:dyDescent="0.2">
      <c r="D38" s="55" t="s">
        <v>120</v>
      </c>
      <c r="F38" s="54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4" t="s">
        <v>65</v>
      </c>
    </row>
    <row r="43" spans="4:9" x14ac:dyDescent="0.2">
      <c r="D43" s="54" t="s">
        <v>66</v>
      </c>
    </row>
    <row r="44" spans="4:9" x14ac:dyDescent="0.2">
      <c r="D44" s="55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4" t="s">
        <v>168</v>
      </c>
    </row>
    <row r="49" spans="4:4" x14ac:dyDescent="0.2">
      <c r="D49" s="54" t="s">
        <v>169</v>
      </c>
    </row>
    <row r="50" spans="4:4" x14ac:dyDescent="0.2">
      <c r="D50" s="55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5" sqref="I5"/>
    </sheetView>
  </sheetViews>
  <sheetFormatPr defaultRowHeight="12.75" x14ac:dyDescent="0.2"/>
  <sheetData>
    <row r="2" spans="2:9" ht="15" x14ac:dyDescent="0.25">
      <c r="B2" s="58">
        <v>1</v>
      </c>
      <c r="C2" t="s">
        <v>179</v>
      </c>
      <c r="E2" s="58">
        <v>1</v>
      </c>
      <c r="F2">
        <v>692926</v>
      </c>
      <c r="H2" s="58">
        <v>1</v>
      </c>
      <c r="I2" s="59" t="s">
        <v>177</v>
      </c>
    </row>
    <row r="3" spans="2:9" ht="15" x14ac:dyDescent="0.25">
      <c r="B3" s="58">
        <v>2</v>
      </c>
      <c r="C3" t="s">
        <v>179</v>
      </c>
      <c r="E3" s="58">
        <v>2</v>
      </c>
      <c r="F3">
        <v>692926</v>
      </c>
      <c r="H3" s="58">
        <v>2</v>
      </c>
      <c r="I3" s="59" t="s">
        <v>178</v>
      </c>
    </row>
    <row r="4" spans="2:9" ht="15" x14ac:dyDescent="0.25">
      <c r="B4" s="58">
        <v>3</v>
      </c>
      <c r="C4" t="s">
        <v>179</v>
      </c>
      <c r="E4" s="58">
        <v>3</v>
      </c>
      <c r="F4">
        <v>692926</v>
      </c>
      <c r="H4" s="58">
        <v>3</v>
      </c>
      <c r="I4" s="59" t="s">
        <v>178</v>
      </c>
    </row>
    <row r="5" spans="2:9" ht="15" x14ac:dyDescent="0.25">
      <c r="B5" s="58">
        <v>4</v>
      </c>
      <c r="C5" t="s">
        <v>179</v>
      </c>
      <c r="E5" s="58">
        <v>4</v>
      </c>
      <c r="F5">
        <v>692926</v>
      </c>
      <c r="H5" s="58">
        <v>4</v>
      </c>
      <c r="I5" s="59" t="s">
        <v>177</v>
      </c>
    </row>
    <row r="6" spans="2:9" ht="15" x14ac:dyDescent="0.25">
      <c r="B6" s="58">
        <v>5</v>
      </c>
      <c r="E6" s="58">
        <v>5</v>
      </c>
      <c r="H6" s="58">
        <v>5</v>
      </c>
      <c r="I6" s="59"/>
    </row>
    <row r="7" spans="2:9" ht="15" x14ac:dyDescent="0.25">
      <c r="B7" s="58">
        <v>6</v>
      </c>
      <c r="E7" s="58">
        <v>6</v>
      </c>
      <c r="H7" s="58">
        <v>6</v>
      </c>
      <c r="I7" s="59"/>
    </row>
    <row r="8" spans="2:9" ht="15" x14ac:dyDescent="0.25">
      <c r="B8" s="58">
        <v>7</v>
      </c>
      <c r="E8" s="58">
        <v>7</v>
      </c>
      <c r="H8" s="58">
        <v>7</v>
      </c>
      <c r="I8" s="59"/>
    </row>
    <row r="9" spans="2:9" ht="15" x14ac:dyDescent="0.25">
      <c r="B9" s="58">
        <v>8</v>
      </c>
      <c r="E9" s="58">
        <v>8</v>
      </c>
      <c r="H9" s="58">
        <v>8</v>
      </c>
      <c r="I9" s="59"/>
    </row>
    <row r="10" spans="2:9" ht="15" x14ac:dyDescent="0.25">
      <c r="B10" s="58">
        <v>9</v>
      </c>
      <c r="E10" s="58">
        <v>9</v>
      </c>
      <c r="H10" s="58">
        <v>9</v>
      </c>
      <c r="I10" s="59"/>
    </row>
    <row r="11" spans="2:9" ht="15" x14ac:dyDescent="0.25">
      <c r="B11" s="58">
        <v>10</v>
      </c>
      <c r="E11" s="58">
        <v>10</v>
      </c>
      <c r="H11" s="58">
        <v>10</v>
      </c>
      <c r="I11" s="59"/>
    </row>
    <row r="12" spans="2:9" ht="15" x14ac:dyDescent="0.25">
      <c r="B12" s="58">
        <v>11</v>
      </c>
      <c r="E12" s="58">
        <v>11</v>
      </c>
      <c r="H12" s="58">
        <v>11</v>
      </c>
      <c r="I12" s="59"/>
    </row>
    <row r="13" spans="2:9" ht="15" x14ac:dyDescent="0.25">
      <c r="B13" s="58">
        <v>12</v>
      </c>
      <c r="E13" s="58">
        <v>12</v>
      </c>
      <c r="H13" s="58">
        <v>12</v>
      </c>
      <c r="I13" s="59"/>
    </row>
    <row r="14" spans="2:9" ht="15" x14ac:dyDescent="0.25">
      <c r="B14" s="58">
        <v>13</v>
      </c>
      <c r="E14" s="58">
        <v>13</v>
      </c>
      <c r="H14" s="58">
        <v>13</v>
      </c>
      <c r="I14" s="59"/>
    </row>
    <row r="15" spans="2:9" ht="15" x14ac:dyDescent="0.25">
      <c r="B15" s="58">
        <v>14</v>
      </c>
      <c r="E15" s="58">
        <v>14</v>
      </c>
      <c r="H15" s="58">
        <v>14</v>
      </c>
      <c r="I15" s="59"/>
    </row>
    <row r="16" spans="2:9" ht="15" x14ac:dyDescent="0.25">
      <c r="B16" s="58">
        <v>15</v>
      </c>
      <c r="E16" s="58">
        <v>15</v>
      </c>
      <c r="H16" s="58">
        <v>15</v>
      </c>
      <c r="I16" s="59"/>
    </row>
    <row r="17" spans="2:11" ht="15" x14ac:dyDescent="0.25">
      <c r="B17" s="58">
        <v>16</v>
      </c>
      <c r="E17" s="58">
        <v>16</v>
      </c>
      <c r="H17" s="58">
        <v>16</v>
      </c>
      <c r="I17" s="59"/>
    </row>
    <row r="18" spans="2:11" ht="15" x14ac:dyDescent="0.25">
      <c r="B18" s="58">
        <v>17</v>
      </c>
      <c r="E18" s="58">
        <v>17</v>
      </c>
      <c r="H18" s="58">
        <v>17</v>
      </c>
      <c r="I18" s="59"/>
    </row>
    <row r="19" spans="2:11" ht="15" x14ac:dyDescent="0.25">
      <c r="B19" s="58">
        <v>18</v>
      </c>
      <c r="E19" s="58">
        <v>18</v>
      </c>
      <c r="H19" s="58">
        <v>18</v>
      </c>
      <c r="I19" s="59"/>
    </row>
    <row r="20" spans="2:11" ht="15" x14ac:dyDescent="0.25">
      <c r="B20" s="58">
        <v>19</v>
      </c>
      <c r="E20" s="58">
        <v>19</v>
      </c>
      <c r="H20" s="58">
        <v>19</v>
      </c>
      <c r="I20" s="59"/>
    </row>
    <row r="21" spans="2:11" ht="15" x14ac:dyDescent="0.25">
      <c r="B21" s="58">
        <v>20</v>
      </c>
      <c r="E21" s="58">
        <v>20</v>
      </c>
      <c r="H21" s="58">
        <v>20</v>
      </c>
      <c r="I21" s="59"/>
    </row>
    <row r="22" spans="2:11" ht="15" x14ac:dyDescent="0.25">
      <c r="B22" s="58">
        <v>21</v>
      </c>
      <c r="E22" s="58">
        <v>21</v>
      </c>
      <c r="H22" s="58">
        <v>21</v>
      </c>
      <c r="I22" s="59"/>
      <c r="K22" t="s">
        <v>63</v>
      </c>
    </row>
    <row r="23" spans="2:11" ht="15" x14ac:dyDescent="0.25">
      <c r="B23" s="58">
        <v>22</v>
      </c>
      <c r="E23" s="58">
        <v>22</v>
      </c>
      <c r="H23" s="58">
        <v>22</v>
      </c>
      <c r="I23" s="59"/>
    </row>
    <row r="24" spans="2:11" ht="15" x14ac:dyDescent="0.25">
      <c r="B24" s="58">
        <v>23</v>
      </c>
      <c r="E24" s="58">
        <v>23</v>
      </c>
      <c r="H24" s="58">
        <v>23</v>
      </c>
      <c r="I24" s="59"/>
    </row>
    <row r="25" spans="2:11" ht="15" x14ac:dyDescent="0.25">
      <c r="B25" s="58">
        <v>24</v>
      </c>
      <c r="E25" s="58">
        <v>24</v>
      </c>
      <c r="H25" s="58">
        <v>24</v>
      </c>
      <c r="I25" s="59"/>
    </row>
    <row r="26" spans="2:11" ht="15" x14ac:dyDescent="0.25">
      <c r="B26" s="58">
        <v>25</v>
      </c>
      <c r="E26" s="58">
        <v>25</v>
      </c>
      <c r="H26" s="58">
        <v>25</v>
      </c>
      <c r="I26" s="59"/>
    </row>
    <row r="27" spans="2:11" ht="15" x14ac:dyDescent="0.25">
      <c r="B27" s="58">
        <v>26</v>
      </c>
      <c r="E27" s="58">
        <v>26</v>
      </c>
      <c r="H27" s="58">
        <v>26</v>
      </c>
      <c r="I27" s="59"/>
    </row>
    <row r="28" spans="2:11" x14ac:dyDescent="0.2">
      <c r="B28" s="58">
        <v>27</v>
      </c>
      <c r="E28" s="58">
        <v>27</v>
      </c>
      <c r="H28" s="58">
        <v>27</v>
      </c>
    </row>
    <row r="29" spans="2:11" x14ac:dyDescent="0.2">
      <c r="B29" s="58">
        <v>28</v>
      </c>
      <c r="E29" s="58">
        <v>28</v>
      </c>
      <c r="H29" s="58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tabSelected="1" view="pageBreakPreview" zoomScaleNormal="100" zoomScaleSheetLayoutView="100" workbookViewId="0">
      <selection activeCell="H3" sqref="H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6" t="s">
        <v>186</v>
      </c>
      <c r="C2" s="67"/>
      <c r="D2" s="67"/>
      <c r="E2" s="67"/>
      <c r="F2" s="67"/>
      <c r="G2" s="67"/>
      <c r="H2" s="67"/>
      <c r="I2" s="68"/>
      <c r="J2" s="43">
        <v>61397575</v>
      </c>
      <c r="K2" s="50">
        <v>1218</v>
      </c>
      <c r="L2" s="44">
        <v>34</v>
      </c>
      <c r="M2" s="44">
        <v>131.46</v>
      </c>
      <c r="N2" s="44">
        <v>143.63999999999999</v>
      </c>
      <c r="O2" s="44">
        <v>168.44</v>
      </c>
      <c r="P2" s="44" t="s">
        <v>54</v>
      </c>
      <c r="Q2" s="44">
        <v>0.89500000000000002</v>
      </c>
      <c r="R2" s="44" t="s">
        <v>62</v>
      </c>
    </row>
    <row r="3" spans="2:22" x14ac:dyDescent="0.2">
      <c r="B3" s="6" t="s">
        <v>53</v>
      </c>
      <c r="C3" s="61">
        <v>245</v>
      </c>
      <c r="D3" s="5"/>
      <c r="E3" s="5"/>
      <c r="F3" s="5"/>
      <c r="G3" s="5" t="s">
        <v>52</v>
      </c>
      <c r="H3" s="31">
        <v>46125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61397575</v>
      </c>
      <c r="C21" s="5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168.44</v>
      </c>
      <c r="G23" s="23">
        <f>+N2</f>
        <v>143.63999999999999</v>
      </c>
      <c r="H23" s="23">
        <f>+M2</f>
        <v>131.46</v>
      </c>
      <c r="I23" s="51">
        <f>+L2</f>
        <v>34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0"/>
      <c r="D26" s="70"/>
      <c r="E26" s="70"/>
      <c r="F26" s="70"/>
      <c r="G26" s="70"/>
      <c r="H26" s="70"/>
      <c r="I26" s="71"/>
    </row>
    <row r="27" spans="2:13" ht="24.75" customHeight="1" x14ac:dyDescent="0.2">
      <c r="B27" s="72" t="str">
        <f>+K4</f>
        <v>WOMENS COTTON FIBERS, KNIT PULLOVER, WITH NO NECK CLOSURE, STITCH COUNT IS GREATER THAN 9/2CM, REACHES WAIST, SLEEVELESS [95% COTTON 5% ELASTANE]</v>
      </c>
      <c r="C27" s="73"/>
      <c r="D27" s="73"/>
      <c r="E27" s="73"/>
      <c r="F27" s="73"/>
      <c r="G27" s="73"/>
      <c r="H27" s="73"/>
      <c r="I27" s="7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5" t="s">
        <v>19</v>
      </c>
      <c r="E31" s="75"/>
      <c r="F31" s="75" t="s">
        <v>18</v>
      </c>
      <c r="G31" s="75"/>
      <c r="H31" s="51" t="s">
        <v>17</v>
      </c>
      <c r="I31" s="19" t="s">
        <v>16</v>
      </c>
      <c r="M31"/>
    </row>
    <row r="32" spans="2:13" ht="24.75" customHeight="1" x14ac:dyDescent="0.2">
      <c r="B32" s="41" t="s">
        <v>184</v>
      </c>
      <c r="C32" s="19" t="s">
        <v>183</v>
      </c>
      <c r="D32" s="64"/>
      <c r="E32" s="65"/>
      <c r="F32" s="64">
        <f>+K2</f>
        <v>1218</v>
      </c>
      <c r="G32" s="65"/>
      <c r="H32" s="17">
        <v>0.76</v>
      </c>
      <c r="I32" s="18">
        <f>+H32*F32</f>
        <v>925.68000000000006</v>
      </c>
      <c r="K32" s="48"/>
      <c r="M32" s="39"/>
    </row>
    <row r="33" spans="2:11" ht="21" customHeight="1" x14ac:dyDescent="0.2">
      <c r="B33" s="15" t="s">
        <v>15</v>
      </c>
      <c r="C33" s="15"/>
      <c r="D33" s="69"/>
      <c r="E33" s="71"/>
      <c r="F33" s="69"/>
      <c r="G33" s="71"/>
      <c r="H33" s="17"/>
      <c r="I33" s="51"/>
    </row>
    <row r="34" spans="2:11" ht="21.75" customHeight="1" x14ac:dyDescent="0.2">
      <c r="B34" s="15" t="s">
        <v>14</v>
      </c>
      <c r="C34" s="15"/>
      <c r="D34" s="80"/>
      <c r="E34" s="81"/>
      <c r="F34" s="64">
        <f>SUM(F31:G33)</f>
        <v>1218</v>
      </c>
      <c r="G34" s="65"/>
      <c r="H34" s="15"/>
      <c r="I34" s="14">
        <f>SUM(I32:I33)</f>
        <v>925.68000000000006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1"/>
      <c r="F35" s="69"/>
      <c r="G35" s="71"/>
      <c r="H35" s="15"/>
      <c r="I35" s="51"/>
      <c r="J35" s="40"/>
    </row>
    <row r="36" spans="2:11" ht="21.75" customHeight="1" x14ac:dyDescent="0.2">
      <c r="B36" s="16" t="s">
        <v>12</v>
      </c>
      <c r="C36" s="15"/>
      <c r="D36" s="69"/>
      <c r="E36" s="71"/>
      <c r="F36" s="69"/>
      <c r="G36" s="71"/>
      <c r="H36" s="15"/>
      <c r="I36" s="14">
        <f>+I34</f>
        <v>925.68000000000006</v>
      </c>
    </row>
    <row r="37" spans="2:11" ht="20.25" customHeight="1" x14ac:dyDescent="0.2">
      <c r="B37" s="15" t="s">
        <v>80</v>
      </c>
      <c r="C37" s="69" t="s">
        <v>11</v>
      </c>
      <c r="D37" s="70"/>
      <c r="E37" s="70"/>
      <c r="F37" s="70"/>
      <c r="G37" s="70"/>
      <c r="H37" s="71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925.68000000000006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topLeftCell="A22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6" t="s">
        <v>186</v>
      </c>
      <c r="C2" s="67"/>
      <c r="D2" s="67"/>
      <c r="E2" s="67"/>
      <c r="F2" s="67"/>
      <c r="G2" s="67"/>
      <c r="H2" s="67"/>
      <c r="I2" s="68"/>
      <c r="J2" s="43">
        <v>61398074</v>
      </c>
      <c r="K2" s="50">
        <v>23320</v>
      </c>
      <c r="L2" s="44">
        <v>465</v>
      </c>
      <c r="M2" s="60">
        <v>2467.2800000000002</v>
      </c>
      <c r="N2" s="60">
        <v>3283.48</v>
      </c>
      <c r="O2" s="60">
        <v>3743.68</v>
      </c>
      <c r="P2" s="44" t="s">
        <v>54</v>
      </c>
      <c r="Q2" s="44">
        <v>30.396000000000001</v>
      </c>
      <c r="R2" s="44" t="s">
        <v>62</v>
      </c>
    </row>
    <row r="3" spans="2:22" x14ac:dyDescent="0.2">
      <c r="B3" s="6" t="s">
        <v>53</v>
      </c>
      <c r="C3" s="61">
        <f>+'245'!C3+1</f>
        <v>246</v>
      </c>
      <c r="D3" s="5"/>
      <c r="E3" s="5"/>
      <c r="F3" s="5"/>
      <c r="G3" s="5" t="s">
        <v>52</v>
      </c>
      <c r="H3" s="31">
        <f>+'245'!H3+0</f>
        <v>46133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61398074</v>
      </c>
      <c r="C21" s="5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3743.68</v>
      </c>
      <c r="G23" s="23">
        <f>+N2</f>
        <v>3283.48</v>
      </c>
      <c r="H23" s="23">
        <f>+M2</f>
        <v>2467.2800000000002</v>
      </c>
      <c r="I23" s="51">
        <f>+L2</f>
        <v>465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0"/>
      <c r="D26" s="70"/>
      <c r="E26" s="70"/>
      <c r="F26" s="70"/>
      <c r="G26" s="70"/>
      <c r="H26" s="70"/>
      <c r="I26" s="71"/>
    </row>
    <row r="27" spans="2:13" ht="24.75" customHeight="1" x14ac:dyDescent="0.2">
      <c r="B27" s="72" t="str">
        <f>+K4</f>
        <v>WOMENS COTTON FIBERS, KNIT PULLOVER, WITH NO NECK CLOSURE, STITCH COUNT IS GREATER THAN 9/2CM, REACHES WAIST, SLEEVELESS [95% COTTON 5% ELASTANE]</v>
      </c>
      <c r="C27" s="73"/>
      <c r="D27" s="73"/>
      <c r="E27" s="73"/>
      <c r="F27" s="73"/>
      <c r="G27" s="73"/>
      <c r="H27" s="73"/>
      <c r="I27" s="7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5" t="s">
        <v>19</v>
      </c>
      <c r="E31" s="75"/>
      <c r="F31" s="75" t="s">
        <v>18</v>
      </c>
      <c r="G31" s="75"/>
      <c r="H31" s="51" t="s">
        <v>17</v>
      </c>
      <c r="I31" s="19" t="s">
        <v>16</v>
      </c>
      <c r="M31"/>
    </row>
    <row r="32" spans="2:13" ht="27.75" customHeight="1" x14ac:dyDescent="0.2">
      <c r="B32" s="41" t="s">
        <v>185</v>
      </c>
      <c r="C32" s="19" t="s">
        <v>183</v>
      </c>
      <c r="D32" s="64"/>
      <c r="E32" s="65"/>
      <c r="F32" s="64">
        <f>+K2</f>
        <v>23320</v>
      </c>
      <c r="G32" s="65"/>
      <c r="H32" s="17">
        <v>0.76</v>
      </c>
      <c r="I32" s="18">
        <f>+H32*F32</f>
        <v>17723.2</v>
      </c>
      <c r="K32" s="48"/>
      <c r="M32" s="39"/>
    </row>
    <row r="33" spans="2:11" ht="21" customHeight="1" x14ac:dyDescent="0.2">
      <c r="B33" s="15" t="s">
        <v>15</v>
      </c>
      <c r="C33" s="15"/>
      <c r="D33" s="69"/>
      <c r="E33" s="71"/>
      <c r="F33" s="69"/>
      <c r="G33" s="71"/>
      <c r="H33" s="17"/>
      <c r="I33" s="51"/>
    </row>
    <row r="34" spans="2:11" ht="21.75" customHeight="1" x14ac:dyDescent="0.2">
      <c r="B34" s="15" t="s">
        <v>14</v>
      </c>
      <c r="C34" s="15"/>
      <c r="D34" s="80"/>
      <c r="E34" s="81"/>
      <c r="F34" s="64">
        <f>SUM(F31:G33)</f>
        <v>23320</v>
      </c>
      <c r="G34" s="65"/>
      <c r="H34" s="15"/>
      <c r="I34" s="14">
        <f>SUM(I32:I33)</f>
        <v>17723.2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1"/>
      <c r="F35" s="69"/>
      <c r="G35" s="71"/>
      <c r="H35" s="15"/>
      <c r="I35" s="51"/>
      <c r="J35" s="40"/>
    </row>
    <row r="36" spans="2:11" ht="21.75" customHeight="1" x14ac:dyDescent="0.2">
      <c r="B36" s="16" t="s">
        <v>12</v>
      </c>
      <c r="C36" s="15"/>
      <c r="D36" s="69"/>
      <c r="E36" s="71"/>
      <c r="F36" s="69"/>
      <c r="G36" s="71"/>
      <c r="H36" s="15"/>
      <c r="I36" s="14">
        <f>+I34</f>
        <v>17723.2</v>
      </c>
    </row>
    <row r="37" spans="2:11" ht="20.25" customHeight="1" x14ac:dyDescent="0.2">
      <c r="B37" s="15" t="s">
        <v>80</v>
      </c>
      <c r="C37" s="69" t="s">
        <v>11</v>
      </c>
      <c r="D37" s="70"/>
      <c r="E37" s="70"/>
      <c r="F37" s="70"/>
      <c r="G37" s="70"/>
      <c r="H37" s="71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17723.2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view="pageBreakPreview" topLeftCell="A22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6" t="s">
        <v>186</v>
      </c>
      <c r="C2" s="67"/>
      <c r="D2" s="67"/>
      <c r="E2" s="67"/>
      <c r="F2" s="67"/>
      <c r="G2" s="67"/>
      <c r="H2" s="67"/>
      <c r="I2" s="68"/>
      <c r="J2" s="43">
        <v>61432438</v>
      </c>
      <c r="K2" s="50">
        <v>10842</v>
      </c>
      <c r="L2" s="44">
        <v>232</v>
      </c>
      <c r="M2" s="60">
        <v>1114.46</v>
      </c>
      <c r="N2" s="60">
        <v>1493.93</v>
      </c>
      <c r="O2" s="60">
        <v>1714.13</v>
      </c>
      <c r="P2" s="44" t="s">
        <v>54</v>
      </c>
      <c r="Q2" s="44">
        <v>13.587</v>
      </c>
      <c r="R2" s="44" t="s">
        <v>62</v>
      </c>
    </row>
    <row r="3" spans="2:22" x14ac:dyDescent="0.2">
      <c r="B3" s="6" t="s">
        <v>53</v>
      </c>
      <c r="C3" s="61">
        <f>+'246'!C3+1</f>
        <v>247</v>
      </c>
      <c r="D3" s="5"/>
      <c r="E3" s="5"/>
      <c r="F3" s="5"/>
      <c r="G3" s="5" t="s">
        <v>52</v>
      </c>
      <c r="H3" s="31">
        <f>+'245'!H3+0</f>
        <v>46133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7">
        <f>J2</f>
        <v>61432438</v>
      </c>
      <c r="C21" s="5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7" t="s">
        <v>35</v>
      </c>
      <c r="G21" s="57"/>
      <c r="H21" s="49" t="str">
        <f>IF(LEFT(G17,2)="CA","CA",IF(LEFT(G17,2)="UN","US",IF(LEFT(G17,2)="PA","PA",IF(LEFT(G17,2)="JA","JP"))))</f>
        <v>US</v>
      </c>
      <c r="I21" s="57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7" t="s">
        <v>25</v>
      </c>
      <c r="C23" s="57"/>
      <c r="D23" s="57" t="s">
        <v>24</v>
      </c>
      <c r="E23" s="57" t="str">
        <f>+D23</f>
        <v>JAKARTA,ID</v>
      </c>
      <c r="F23" s="23">
        <f>+O2</f>
        <v>1714.13</v>
      </c>
      <c r="G23" s="23">
        <f>+N2</f>
        <v>1493.93</v>
      </c>
      <c r="H23" s="23">
        <f>+M2</f>
        <v>1114.46</v>
      </c>
      <c r="I23" s="57">
        <f>+L2</f>
        <v>232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0"/>
      <c r="D26" s="70"/>
      <c r="E26" s="70"/>
      <c r="F26" s="70"/>
      <c r="G26" s="70"/>
      <c r="H26" s="70"/>
      <c r="I26" s="71"/>
    </row>
    <row r="27" spans="2:13" ht="24.75" customHeight="1" x14ac:dyDescent="0.2">
      <c r="B27" s="72" t="str">
        <f>+K4</f>
        <v>WOMENS COTTON FIBERS, KNIT PULLOVER, WITH NO NECK CLOSURE, STITCH COUNT IS GREATER THAN 9/2CM, REACHES WAIST, SLEEVELESS [95% COTTON 5% ELASTANE]</v>
      </c>
      <c r="C27" s="73"/>
      <c r="D27" s="73"/>
      <c r="E27" s="73"/>
      <c r="F27" s="73"/>
      <c r="G27" s="73"/>
      <c r="H27" s="73"/>
      <c r="I27" s="7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7" t="s">
        <v>21</v>
      </c>
      <c r="C31" s="57" t="s">
        <v>20</v>
      </c>
      <c r="D31" s="75" t="s">
        <v>19</v>
      </c>
      <c r="E31" s="75"/>
      <c r="F31" s="75" t="s">
        <v>18</v>
      </c>
      <c r="G31" s="75"/>
      <c r="H31" s="57" t="s">
        <v>17</v>
      </c>
      <c r="I31" s="19" t="s">
        <v>16</v>
      </c>
      <c r="M31"/>
    </row>
    <row r="32" spans="2:13" ht="38.25" x14ac:dyDescent="0.2">
      <c r="B32" s="41" t="s">
        <v>182</v>
      </c>
      <c r="C32" s="19" t="s">
        <v>181</v>
      </c>
      <c r="D32" s="64"/>
      <c r="E32" s="65"/>
      <c r="F32" s="64">
        <f>+K2</f>
        <v>10842</v>
      </c>
      <c r="G32" s="65"/>
      <c r="H32" s="17">
        <v>0.76</v>
      </c>
      <c r="I32" s="18">
        <f>+H32*F32</f>
        <v>8239.92</v>
      </c>
      <c r="K32" s="48"/>
      <c r="M32" s="39"/>
    </row>
    <row r="33" spans="2:11" ht="21" customHeight="1" x14ac:dyDescent="0.2">
      <c r="B33" s="15" t="s">
        <v>15</v>
      </c>
      <c r="C33" s="15"/>
      <c r="D33" s="69"/>
      <c r="E33" s="71"/>
      <c r="F33" s="69"/>
      <c r="G33" s="71"/>
      <c r="H33" s="17"/>
      <c r="I33" s="57"/>
    </row>
    <row r="34" spans="2:11" ht="21.75" customHeight="1" x14ac:dyDescent="0.2">
      <c r="B34" s="15" t="s">
        <v>14</v>
      </c>
      <c r="C34" s="15"/>
      <c r="D34" s="80"/>
      <c r="E34" s="81"/>
      <c r="F34" s="64">
        <f>SUM(F31:G33)</f>
        <v>10842</v>
      </c>
      <c r="G34" s="65"/>
      <c r="H34" s="15"/>
      <c r="I34" s="14">
        <f>SUM(I32:I33)</f>
        <v>8239.92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1"/>
      <c r="F35" s="69"/>
      <c r="G35" s="71"/>
      <c r="H35" s="15"/>
      <c r="I35" s="57"/>
      <c r="J35" s="40"/>
    </row>
    <row r="36" spans="2:11" ht="21.75" customHeight="1" x14ac:dyDescent="0.2">
      <c r="B36" s="16" t="s">
        <v>12</v>
      </c>
      <c r="C36" s="15"/>
      <c r="D36" s="69"/>
      <c r="E36" s="71"/>
      <c r="F36" s="69"/>
      <c r="G36" s="71"/>
      <c r="H36" s="15"/>
      <c r="I36" s="14">
        <f>+I34</f>
        <v>8239.92</v>
      </c>
    </row>
    <row r="37" spans="2:11" ht="20.25" customHeight="1" x14ac:dyDescent="0.2">
      <c r="B37" s="15" t="s">
        <v>80</v>
      </c>
      <c r="C37" s="69" t="s">
        <v>11</v>
      </c>
      <c r="D37" s="70"/>
      <c r="E37" s="70"/>
      <c r="F37" s="70"/>
      <c r="G37" s="70"/>
      <c r="H37" s="71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8239.92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BF3D5-9FC8-40BB-8052-441E1C0A9A02}">
  <sheetPr>
    <pageSetUpPr fitToPage="1"/>
  </sheetPr>
  <dimension ref="B1:V58"/>
  <sheetViews>
    <sheetView view="pageBreakPreview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6" t="s">
        <v>186</v>
      </c>
      <c r="C2" s="67"/>
      <c r="D2" s="67"/>
      <c r="E2" s="67"/>
      <c r="F2" s="67"/>
      <c r="G2" s="67"/>
      <c r="H2" s="67"/>
      <c r="I2" s="68"/>
      <c r="J2" s="43">
        <v>61397573</v>
      </c>
      <c r="K2" s="50">
        <v>2083</v>
      </c>
      <c r="L2" s="44">
        <v>40</v>
      </c>
      <c r="M2" s="44">
        <v>224.75</v>
      </c>
      <c r="N2" s="44">
        <v>245.58</v>
      </c>
      <c r="O2" s="44">
        <v>277.58</v>
      </c>
      <c r="P2" s="44" t="s">
        <v>54</v>
      </c>
      <c r="Q2" s="44">
        <v>1.431</v>
      </c>
      <c r="R2" s="44" t="s">
        <v>62</v>
      </c>
    </row>
    <row r="3" spans="2:22" x14ac:dyDescent="0.2">
      <c r="B3" s="6" t="s">
        <v>53</v>
      </c>
      <c r="C3" s="61">
        <f>+'247'!C3+1</f>
        <v>248</v>
      </c>
      <c r="D3" s="5"/>
      <c r="E3" s="5"/>
      <c r="F3" s="5"/>
      <c r="G3" s="5" t="s">
        <v>52</v>
      </c>
      <c r="H3" s="31">
        <f>+'245'!H3+0</f>
        <v>46133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2">
        <f>J2</f>
        <v>61397573</v>
      </c>
      <c r="C21" s="63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2" t="s">
        <v>35</v>
      </c>
      <c r="G21" s="62"/>
      <c r="H21" s="49" t="str">
        <f>IF(LEFT(G17,2)="CA","CA",IF(LEFT(G17,2)="UN","US",IF(LEFT(G17,2)="PA","PA",IF(LEFT(G17,2)="JA","JP"))))</f>
        <v>US</v>
      </c>
      <c r="I21" s="62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2" t="s">
        <v>25</v>
      </c>
      <c r="C23" s="62"/>
      <c r="D23" s="62" t="s">
        <v>24</v>
      </c>
      <c r="E23" s="62" t="str">
        <f>+D23</f>
        <v>JAKARTA,ID</v>
      </c>
      <c r="F23" s="23">
        <f>+O2</f>
        <v>277.58</v>
      </c>
      <c r="G23" s="23">
        <f>+N2</f>
        <v>245.58</v>
      </c>
      <c r="H23" s="23">
        <f>+M2</f>
        <v>224.75</v>
      </c>
      <c r="I23" s="62">
        <f>+L2</f>
        <v>40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0"/>
      <c r="D26" s="70"/>
      <c r="E26" s="70"/>
      <c r="F26" s="70"/>
      <c r="G26" s="70"/>
      <c r="H26" s="70"/>
      <c r="I26" s="71"/>
    </row>
    <row r="27" spans="2:13" ht="24.75" customHeight="1" x14ac:dyDescent="0.2">
      <c r="B27" s="72" t="str">
        <f>+K4</f>
        <v>WOMENS COTTON FIBERS, KNIT PULLOVER, WITH NO NECK CLOSURE, STITCH COUNT IS GREATER THAN 9/2CM, REACHES WAIST, SLEEVELESS [95% COTTON 5% ELASTANE]</v>
      </c>
      <c r="C27" s="73"/>
      <c r="D27" s="73"/>
      <c r="E27" s="73"/>
      <c r="F27" s="73"/>
      <c r="G27" s="73"/>
      <c r="H27" s="73"/>
      <c r="I27" s="7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2" t="s">
        <v>21</v>
      </c>
      <c r="C31" s="62" t="s">
        <v>20</v>
      </c>
      <c r="D31" s="75" t="s">
        <v>19</v>
      </c>
      <c r="E31" s="75"/>
      <c r="F31" s="75" t="s">
        <v>18</v>
      </c>
      <c r="G31" s="75"/>
      <c r="H31" s="62" t="s">
        <v>17</v>
      </c>
      <c r="I31" s="19" t="s">
        <v>16</v>
      </c>
      <c r="M31"/>
    </row>
    <row r="32" spans="2:13" ht="25.5" x14ac:dyDescent="0.2">
      <c r="B32" s="41" t="s">
        <v>185</v>
      </c>
      <c r="C32" s="19" t="s">
        <v>183</v>
      </c>
      <c r="D32" s="64"/>
      <c r="E32" s="65"/>
      <c r="F32" s="64">
        <f>+K2</f>
        <v>2083</v>
      </c>
      <c r="G32" s="65"/>
      <c r="H32" s="17">
        <v>0.76</v>
      </c>
      <c r="I32" s="18">
        <f>+H32*F32</f>
        <v>1583.08</v>
      </c>
      <c r="K32" s="48"/>
      <c r="M32" s="39"/>
    </row>
    <row r="33" spans="2:11" ht="21" customHeight="1" x14ac:dyDescent="0.2">
      <c r="B33" s="15" t="s">
        <v>15</v>
      </c>
      <c r="C33" s="15"/>
      <c r="D33" s="69"/>
      <c r="E33" s="71"/>
      <c r="F33" s="69"/>
      <c r="G33" s="71"/>
      <c r="H33" s="17"/>
      <c r="I33" s="62"/>
    </row>
    <row r="34" spans="2:11" ht="21.75" customHeight="1" x14ac:dyDescent="0.2">
      <c r="B34" s="15" t="s">
        <v>14</v>
      </c>
      <c r="C34" s="15"/>
      <c r="D34" s="80"/>
      <c r="E34" s="81"/>
      <c r="F34" s="64">
        <f>SUM(F32:G33)</f>
        <v>2083</v>
      </c>
      <c r="G34" s="65"/>
      <c r="H34" s="15"/>
      <c r="I34" s="14">
        <f>SUM(I32:I33)</f>
        <v>1583.08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1"/>
      <c r="F35" s="69"/>
      <c r="G35" s="71"/>
      <c r="H35" s="15"/>
      <c r="I35" s="62"/>
      <c r="J35" s="40"/>
    </row>
    <row r="36" spans="2:11" ht="21.75" customHeight="1" x14ac:dyDescent="0.2">
      <c r="B36" s="16" t="s">
        <v>12</v>
      </c>
      <c r="C36" s="15"/>
      <c r="D36" s="69"/>
      <c r="E36" s="71"/>
      <c r="F36" s="69"/>
      <c r="G36" s="71"/>
      <c r="H36" s="15"/>
      <c r="I36" s="14">
        <f>+I34</f>
        <v>1583.08</v>
      </c>
    </row>
    <row r="37" spans="2:11" ht="20.25" customHeight="1" x14ac:dyDescent="0.2">
      <c r="B37" s="15" t="s">
        <v>80</v>
      </c>
      <c r="C37" s="69" t="s">
        <v>11</v>
      </c>
      <c r="D37" s="70"/>
      <c r="E37" s="70"/>
      <c r="F37" s="70"/>
      <c r="G37" s="70"/>
      <c r="H37" s="71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1583.08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5368498-C748-4258-A4A7-35BFF7B2AABC}">
          <x14:formula1>
            <xm:f>Sheet1!$K$5:$K$12</xm:f>
          </x14:formula1>
          <xm:sqref>B14</xm:sqref>
        </x14:dataValidation>
        <x14:dataValidation type="list" allowBlank="1" showInputMessage="1" showErrorMessage="1" xr:uid="{CAD8FB87-916A-486A-A277-2FA1F08FB31A}">
          <x14:formula1>
            <xm:f>Sheet1!$B$17:$B$18</xm:f>
          </x14:formula1>
          <xm:sqref>G5</xm:sqref>
        </x14:dataValidation>
        <x14:dataValidation type="list" allowBlank="1" showInputMessage="1" showErrorMessage="1" xr:uid="{37CD4F0B-2C8C-4094-BC82-CB5C7EBDF2D5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Sheet1</vt:lpstr>
      <vt:lpstr>reff</vt:lpstr>
      <vt:lpstr>245</vt:lpstr>
      <vt:lpstr>246</vt:lpstr>
      <vt:lpstr>247</vt:lpstr>
      <vt:lpstr>248</vt:lpstr>
      <vt:lpstr>'245'!Print_Area</vt:lpstr>
      <vt:lpstr>'246'!Print_Area</vt:lpstr>
      <vt:lpstr>'247'!Print_Area</vt:lpstr>
      <vt:lpstr>'248'!Print_Area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2026-04-13T01:23:52Z</cp:lastPrinted>
  <dcterms:created xsi:type="dcterms:W3CDTF">2024-04-17T09:56:05Z</dcterms:created>
  <dcterms:modified xsi:type="dcterms:W3CDTF">2026-04-15T03:03:05Z</dcterms:modified>
</cp:coreProperties>
</file>