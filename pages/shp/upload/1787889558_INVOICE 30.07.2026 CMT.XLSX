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7. JULI\30.07.2026\"/>
    </mc:Choice>
  </mc:AlternateContent>
  <bookViews>
    <workbookView xWindow="-120" yWindow="-120" windowWidth="20730" windowHeight="11160" tabRatio="804" activeTab="2"/>
  </bookViews>
  <sheets>
    <sheet name="Sheet1" sheetId="128" r:id="rId1"/>
    <sheet name="reff" sheetId="162" r:id="rId2"/>
    <sheet name="708" sheetId="138" r:id="rId3"/>
    <sheet name="709" sheetId="129" r:id="rId4"/>
    <sheet name="710" sheetId="133" r:id="rId5"/>
    <sheet name="711" sheetId="134" r:id="rId6"/>
    <sheet name="712" sheetId="135" r:id="rId7"/>
    <sheet name="713" sheetId="137" r:id="rId8"/>
    <sheet name="714" sheetId="141" r:id="rId9"/>
    <sheet name="715" sheetId="142" r:id="rId10"/>
    <sheet name="716" sheetId="143" r:id="rId11"/>
    <sheet name="717" sheetId="163" r:id="rId12"/>
    <sheet name="718" sheetId="164" r:id="rId13"/>
    <sheet name="719" sheetId="165" r:id="rId14"/>
    <sheet name="720" sheetId="166" r:id="rId15"/>
    <sheet name="721" sheetId="167" r:id="rId16"/>
    <sheet name="722" sheetId="168" r:id="rId17"/>
    <sheet name="723" sheetId="169" r:id="rId18"/>
    <sheet name="724" sheetId="170" r:id="rId19"/>
  </sheets>
  <externalReferences>
    <externalReference r:id="rId20"/>
    <externalReference r:id="rId21"/>
    <externalReference r:id="rId22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 localSheetId="18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 localSheetId="18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 localSheetId="18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 localSheetId="18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 localSheetId="18">[2]xdata!#REF!</definedName>
    <definedName name="E_L">[2]xdata!#REF!</definedName>
    <definedName name="INVOICE">[2]xdata!$B$2</definedName>
    <definedName name="_xlnm.Print_Area" localSheetId="2">'708'!$B$1:$I$57</definedName>
    <definedName name="_xlnm.Print_Area" localSheetId="3">'709'!$B$1:$I$57</definedName>
    <definedName name="_xlnm.Print_Area" localSheetId="4">'710'!$B$1:$I$57</definedName>
    <definedName name="_xlnm.Print_Area" localSheetId="5">'711'!$B$1:$I$57</definedName>
    <definedName name="_xlnm.Print_Area" localSheetId="6">'712'!$B$1:$I$58</definedName>
    <definedName name="_xlnm.Print_Area" localSheetId="7">'713'!$B$1:$I$57</definedName>
    <definedName name="_xlnm.Print_Area" localSheetId="8">'714'!$B$1:$I$57</definedName>
    <definedName name="_xlnm.Print_Area" localSheetId="9">'715'!$B$1:$I$57</definedName>
    <definedName name="_xlnm.Print_Area" localSheetId="10">'716'!$B$1:$I$57</definedName>
    <definedName name="_xlnm.Print_Area" localSheetId="11">'717'!$B$1:$I$57</definedName>
    <definedName name="_xlnm.Print_Area" localSheetId="12">'718'!$B$1:$I$57</definedName>
    <definedName name="_xlnm.Print_Area" localSheetId="13">'719'!$B$1:$I$58</definedName>
    <definedName name="_xlnm.Print_Area" localSheetId="14">'720'!$B$1:$I$58</definedName>
    <definedName name="_xlnm.Print_Area" localSheetId="15">'721'!$B$1:$I$57</definedName>
    <definedName name="_xlnm.Print_Area" localSheetId="16">'722'!$B$1:$I$57</definedName>
    <definedName name="_xlnm.Print_Area" localSheetId="17">'723'!$B$1:$I$58</definedName>
    <definedName name="_xlnm.Print_Area" localSheetId="18">'724'!$B$1:$I$58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 localSheetId="18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35" l="1"/>
  <c r="I35" i="135" s="1"/>
  <c r="I32" i="135"/>
  <c r="F35" i="135"/>
  <c r="D35" i="135"/>
  <c r="D33" i="135"/>
  <c r="D32" i="135"/>
  <c r="F32" i="170" l="1"/>
  <c r="F33" i="169"/>
  <c r="F33" i="166"/>
  <c r="F33" i="165"/>
  <c r="I33" i="169" l="1"/>
  <c r="I33" i="166"/>
  <c r="I33" i="165"/>
  <c r="F32" i="164"/>
  <c r="F32" i="138"/>
  <c r="I33" i="170" l="1"/>
  <c r="F34" i="164" l="1"/>
  <c r="I32" i="164"/>
  <c r="F32" i="163"/>
  <c r="F32" i="143"/>
  <c r="I32" i="143" s="1"/>
  <c r="H53" i="170" l="1"/>
  <c r="F35" i="170"/>
  <c r="B27" i="170"/>
  <c r="I23" i="170"/>
  <c r="H23" i="170"/>
  <c r="G23" i="170"/>
  <c r="F23" i="170"/>
  <c r="E23" i="170"/>
  <c r="E21" i="170"/>
  <c r="D21" i="170"/>
  <c r="C21" i="170"/>
  <c r="B21" i="170"/>
  <c r="B15" i="170"/>
  <c r="B16" i="170" s="1"/>
  <c r="B17" i="170" s="1"/>
  <c r="B18" i="170" s="1"/>
  <c r="G14" i="170"/>
  <c r="G15" i="170" s="1"/>
  <c r="G16" i="170" s="1"/>
  <c r="G17" i="170" s="1"/>
  <c r="H21" i="170" s="1"/>
  <c r="H53" i="169"/>
  <c r="F35" i="169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52" i="168"/>
  <c r="F32" i="168"/>
  <c r="I32" i="168" s="1"/>
  <c r="I34" i="168" s="1"/>
  <c r="I36" i="168" s="1"/>
  <c r="I38" i="168" s="1"/>
  <c r="B27" i="168"/>
  <c r="I23" i="168"/>
  <c r="H23" i="168"/>
  <c r="G23" i="168"/>
  <c r="F23" i="168"/>
  <c r="E23" i="168"/>
  <c r="E21" i="168"/>
  <c r="D21" i="168"/>
  <c r="C21" i="168"/>
  <c r="B21" i="168"/>
  <c r="B15" i="168"/>
  <c r="B16" i="168" s="1"/>
  <c r="B17" i="168" s="1"/>
  <c r="B18" i="168" s="1"/>
  <c r="G14" i="168"/>
  <c r="G15" i="168" s="1"/>
  <c r="G16" i="168" s="1"/>
  <c r="G17" i="168" s="1"/>
  <c r="H21" i="168" s="1"/>
  <c r="H52" i="167"/>
  <c r="F32" i="167"/>
  <c r="F34" i="167" s="1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53" i="166"/>
  <c r="F35" i="166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3" i="165"/>
  <c r="F35" i="165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52" i="164"/>
  <c r="I34" i="164"/>
  <c r="I36" i="164" s="1"/>
  <c r="I38" i="164" s="1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F34" i="168" l="1"/>
  <c r="I32" i="167"/>
  <c r="I34" i="167" s="1"/>
  <c r="I36" i="167" s="1"/>
  <c r="I38" i="167" s="1"/>
  <c r="I32" i="170"/>
  <c r="I35" i="170" s="1"/>
  <c r="I37" i="170" s="1"/>
  <c r="I39" i="170" s="1"/>
  <c r="I32" i="169"/>
  <c r="I35" i="169" s="1"/>
  <c r="I37" i="169" s="1"/>
  <c r="I39" i="169" s="1"/>
  <c r="I32" i="166"/>
  <c r="I35" i="166" s="1"/>
  <c r="I37" i="166" s="1"/>
  <c r="I39" i="166" s="1"/>
  <c r="I32" i="165"/>
  <c r="I35" i="165" s="1"/>
  <c r="I37" i="165" s="1"/>
  <c r="I39" i="165" s="1"/>
  <c r="F34" i="138"/>
  <c r="I32" i="138"/>
  <c r="C3" i="129" l="1"/>
  <c r="F32" i="133" l="1"/>
  <c r="F32" i="129"/>
  <c r="I32" i="129" s="1"/>
  <c r="F32" i="141"/>
  <c r="F32" i="134" l="1"/>
  <c r="I34" i="138" l="1"/>
  <c r="F34" i="133" l="1"/>
  <c r="F34" i="129" l="1"/>
  <c r="F32" i="142"/>
  <c r="F34" i="142" s="1"/>
  <c r="I32" i="134"/>
  <c r="C3" i="133"/>
  <c r="F34" i="141"/>
  <c r="F32" i="137"/>
  <c r="I32" i="141" l="1"/>
  <c r="I34" i="141" s="1"/>
  <c r="F34" i="137"/>
  <c r="I34" i="129" l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3" i="135"/>
  <c r="H52" i="137"/>
  <c r="H52" i="138"/>
  <c r="H52" i="143"/>
  <c r="H52" i="133"/>
  <c r="F34" i="143" l="1"/>
  <c r="I34" i="143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5" l="1"/>
  <c r="I39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  <c r="C3" i="163" s="1"/>
  <c r="C3" i="164" s="1"/>
  <c r="C3" i="165" s="1"/>
  <c r="C3" i="166" s="1"/>
  <c r="C3" i="167" s="1"/>
  <c r="C3" i="168" s="1"/>
  <c r="C3" i="169" s="1"/>
  <c r="C3" i="170" s="1"/>
</calcChain>
</file>

<file path=xl/sharedStrings.xml><?xml version="1.0" encoding="utf-8"?>
<sst xmlns="http://schemas.openxmlformats.org/spreadsheetml/2006/main" count="1529" uniqueCount="212">
  <si>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</si>
  <si>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</si>
  <si>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</si>
  <si>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</si>
  <si>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</si>
  <si>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</si>
  <si>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</si>
  <si>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</si>
  <si>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</si>
  <si>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</si>
  <si>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</si>
  <si>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</si>
  <si>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</si>
  <si>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</si>
  <si>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</si>
  <si>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</si>
  <si>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</si>
  <si>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</si>
  <si>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</si>
  <si>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</si>
  <si>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</si>
  <si>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</si>
  <si>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</si>
  <si>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</si>
  <si>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</si>
  <si>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</si>
  <si>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</si>
  <si>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</si>
  <si>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</si>
  <si>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</si>
  <si>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</si>
  <si>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</si>
  <si>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</si>
  <si>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</si>
  <si>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</si>
  <si>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</si>
  <si>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</si>
  <si>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</si>
  <si>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</si>
  <si>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</si>
  <si>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</si>
  <si>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</si>
  <si>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</si>
  <si>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</si>
  <si>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</si>
  <si>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</si>
  <si>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</si>
  <si>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</si>
  <si>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</si>
  <si>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</si>
  <si>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</si>
  <si>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</si>
  <si>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</si>
  <si>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</si>
  <si>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</si>
  <si>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</si>
  <si>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</si>
  <si>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</si>
  <si>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</si>
  <si>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</si>
  <si>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</si>
  <si>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</si>
  <si>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</si>
  <si>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</si>
  <si>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</si>
  <si>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</si>
  <si>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</si>
  <si>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</si>
  <si>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</si>
  <si>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</si>
  <si>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</si>
  <si>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</si>
  <si>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</si>
  <si>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</si>
  <si>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</si>
  <si>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</si>
  <si>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</si>
  <si>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</si>
  <si>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</si>
  <si>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</si>
  <si>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</si>
  <si>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</si>
  <si>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</si>
  <si>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</si>
  <si>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</si>
  <si>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</si>
  <si>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</si>
  <si>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</si>
  <si>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</si>
  <si>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</si>
  <si>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</si>
  <si>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</si>
  <si>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</si>
  <si>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</si>
  <si>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</si>
  <si>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</si>
  <si>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</si>
  <si>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</si>
  <si>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</si>
  <si>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</si>
  <si>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</si>
  <si>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</si>
  <si>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</si>
  <si>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</si>
  <si>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</si>
  <si>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</si>
  <si>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</si>
  <si>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</si>
  <si>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</si>
  <si>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</si>
  <si>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</si>
  <si>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</si>
  <si>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</si>
  <si>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</si>
  <si>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</si>
  <si>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</si>
  <si>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</si>
  <si>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</si>
  <si>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</si>
  <si>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</si>
  <si>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</si>
  <si>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</si>
  <si>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</si>
  <si>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</si>
  <si>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</si>
  <si>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</si>
  <si>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</si>
  <si>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</si>
  <si>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</si>
  <si>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</si>
  <si>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</si>
  <si>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</si>
  <si>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</si>
  <si>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</si>
  <si>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</si>
  <si>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</si>
  <si>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</si>
  <si>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</si>
  <si>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</si>
  <si>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</si>
  <si>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</si>
  <si>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</si>
  <si>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</si>
  <si>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</si>
  <si>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</si>
  <si>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</si>
  <si>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</si>
  <si>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</si>
  <si>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</si>
  <si>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</si>
  <si>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</si>
  <si>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</si>
  <si>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</si>
  <si>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</si>
  <si>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</si>
  <si>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</si>
  <si>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</si>
  <si>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</si>
  <si>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</si>
  <si>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</si>
  <si>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</si>
  <si>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</si>
  <si>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</si>
  <si>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</si>
  <si>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</si>
  <si>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</si>
  <si>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</si>
  <si>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</si>
  <si>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</si>
  <si>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</si>
  <si>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</si>
  <si>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</si>
  <si>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</si>
  <si>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</si>
  <si>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</si>
  <si>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</si>
  <si>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</si>
  <si>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BOYS COTTON FIBERS, KNIT SHIRT, WITH NECK CLOSURE, STITCH COUNT EQUAL OR IS GREATER THAN 10/1CM, HEM BOTTOM [60% COTTON 40% POLYESTER]</t>
  </si>
  <si>
    <t>Retail</t>
  </si>
  <si>
    <t>Online</t>
  </si>
  <si>
    <t>INK BLUE</t>
  </si>
  <si>
    <t>02</t>
  </si>
  <si>
    <t>04</t>
  </si>
  <si>
    <t>MONET BLUE</t>
  </si>
  <si>
    <t>265K0052</t>
  </si>
  <si>
    <t>CALLA LILY 451</t>
  </si>
  <si>
    <t>03</t>
  </si>
  <si>
    <t>CALLA LILY 451, INK BLUE</t>
  </si>
  <si>
    <t>00, 02</t>
  </si>
  <si>
    <t>265K0087</t>
  </si>
  <si>
    <t>265K0058</t>
  </si>
  <si>
    <t>265K0059</t>
  </si>
  <si>
    <t>265K0089</t>
  </si>
  <si>
    <t>265K0090</t>
  </si>
  <si>
    <t>Franchise</t>
  </si>
  <si>
    <t>01, 04, 05, 07</t>
  </si>
  <si>
    <t>RED TAPE, BLACK JACK, RON BURGUNDY, BLUE TANGO</t>
  </si>
  <si>
    <t>DARK GREEN</t>
  </si>
  <si>
    <t>06</t>
  </si>
  <si>
    <t>01</t>
  </si>
  <si>
    <t>PINK LEOPARD HEART, BLACK LEOPARD</t>
  </si>
  <si>
    <t>00, 01</t>
  </si>
  <si>
    <t>GIRLS COTTON FIBERS, KNIT PULLOVER, WITH NO NECK CLOSURE, STITCH COUNT IS GREATER THAN 9/2CM, REACHES WAIST [100% COTTON]</t>
  </si>
  <si>
    <t>BLACK LEOPARD, PINK LEOPARD HEART</t>
  </si>
  <si>
    <t>PURPLE CHECK</t>
  </si>
  <si>
    <t>PINK FLORAL</t>
  </si>
  <si>
    <t>RED HEART, PURPLE CHECK</t>
  </si>
  <si>
    <t>03, 05</t>
  </si>
  <si>
    <t>03. 05</t>
  </si>
  <si>
    <t>Girls Cotton Fibers, Knit Pullover, With No Neck Closure, Stitch Count Is Greater Than 9/2cm, Reaches Waist [100% Cotton]</t>
  </si>
  <si>
    <t>COMERCIAL INVOICE CMT</t>
  </si>
  <si>
    <t>A MULTY PACK OF 3 PIECES OF BOYS COTTON FIBERS, KNIT SHIRT, WITH NECK CLOSURE, STITCH COUNT EQUAL OR IS GREATER THAN 10/1CM, HEM BOTTOM [60% COTTON 40% POLYESTER]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</si>
</sst>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  <numFmt numFmtId="170" formatCode="#,###\ &quot;SET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14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0615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06125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48975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8" sqref="I18"/>
    </sheetView>
  </sheetViews>
  <sheetFormatPr defaultRowHeight="12.75" x14ac:dyDescent="0.2"/>
  <sheetData>
    <row r="2" spans="2:9" ht="15" x14ac:dyDescent="0.25">
      <c r="B2" s="57">
        <v>1</v>
      </c>
      <c r="C2" t="s">
        <v>184</v>
      </c>
      <c r="E2" s="57">
        <v>1</v>
      </c>
      <c r="F2">
        <v>767468</v>
      </c>
      <c r="H2" s="57">
        <v>1</v>
      </c>
      <c r="I2" s="67" t="s">
        <v>179</v>
      </c>
    </row>
    <row r="3" spans="2:9" ht="15" x14ac:dyDescent="0.25">
      <c r="B3" s="57">
        <v>2</v>
      </c>
      <c r="C3" t="s">
        <v>184</v>
      </c>
      <c r="E3" s="57">
        <v>2</v>
      </c>
      <c r="F3">
        <v>767468</v>
      </c>
      <c r="H3" s="57">
        <v>2</v>
      </c>
      <c r="I3" s="67" t="s">
        <v>179</v>
      </c>
    </row>
    <row r="4" spans="2:9" ht="15" x14ac:dyDescent="0.25">
      <c r="B4" s="57">
        <v>3</v>
      </c>
      <c r="C4" t="s">
        <v>184</v>
      </c>
      <c r="E4" s="57">
        <v>3</v>
      </c>
      <c r="F4">
        <v>767468</v>
      </c>
      <c r="H4" s="57">
        <v>3</v>
      </c>
      <c r="I4" s="67" t="s">
        <v>179</v>
      </c>
    </row>
    <row r="5" spans="2:9" ht="15" x14ac:dyDescent="0.25">
      <c r="B5" s="57">
        <v>4</v>
      </c>
      <c r="C5" t="s">
        <v>184</v>
      </c>
      <c r="E5" s="57">
        <v>4</v>
      </c>
      <c r="F5">
        <v>767468</v>
      </c>
      <c r="H5" s="57">
        <v>4</v>
      </c>
      <c r="I5" s="67" t="s">
        <v>179</v>
      </c>
    </row>
    <row r="6" spans="2:9" ht="15" x14ac:dyDescent="0.25">
      <c r="B6" s="57">
        <v>5</v>
      </c>
      <c r="C6" t="s">
        <v>189</v>
      </c>
      <c r="E6" s="57">
        <v>5</v>
      </c>
      <c r="F6">
        <v>769950</v>
      </c>
      <c r="H6" s="57">
        <v>5</v>
      </c>
      <c r="I6" s="67" t="s">
        <v>179</v>
      </c>
    </row>
    <row r="7" spans="2:9" ht="15" x14ac:dyDescent="0.25">
      <c r="B7" s="57">
        <v>6</v>
      </c>
      <c r="C7" t="s">
        <v>190</v>
      </c>
      <c r="E7" s="57">
        <v>6</v>
      </c>
      <c r="F7">
        <v>905994</v>
      </c>
      <c r="H7" s="57">
        <v>6</v>
      </c>
      <c r="I7" s="67" t="s">
        <v>178</v>
      </c>
    </row>
    <row r="8" spans="2:9" ht="15" x14ac:dyDescent="0.25">
      <c r="B8" s="57">
        <v>7</v>
      </c>
      <c r="C8" t="s">
        <v>191</v>
      </c>
      <c r="E8" s="57">
        <v>7</v>
      </c>
      <c r="F8">
        <v>906033</v>
      </c>
      <c r="H8" s="57">
        <v>7</v>
      </c>
      <c r="I8" s="67" t="s">
        <v>178</v>
      </c>
    </row>
    <row r="9" spans="2:9" ht="15" x14ac:dyDescent="0.25">
      <c r="B9" s="57">
        <v>8</v>
      </c>
      <c r="C9" t="s">
        <v>190</v>
      </c>
      <c r="E9" s="57">
        <v>8</v>
      </c>
      <c r="F9">
        <v>905994</v>
      </c>
      <c r="H9" s="57">
        <v>8</v>
      </c>
      <c r="I9" s="67" t="s">
        <v>179</v>
      </c>
    </row>
    <row r="10" spans="2:9" ht="15" x14ac:dyDescent="0.25">
      <c r="B10" s="57">
        <v>9</v>
      </c>
      <c r="C10" t="s">
        <v>191</v>
      </c>
      <c r="E10" s="57">
        <v>9</v>
      </c>
      <c r="F10">
        <v>906033</v>
      </c>
      <c r="H10" s="57">
        <v>9</v>
      </c>
      <c r="I10" s="67" t="s">
        <v>179</v>
      </c>
    </row>
    <row r="11" spans="2:9" ht="15" x14ac:dyDescent="0.25">
      <c r="B11" s="57">
        <v>10</v>
      </c>
      <c r="C11" t="s">
        <v>192</v>
      </c>
      <c r="E11" s="57">
        <v>10</v>
      </c>
      <c r="F11">
        <v>905994</v>
      </c>
      <c r="H11" s="57">
        <v>10</v>
      </c>
      <c r="I11" s="67" t="s">
        <v>178</v>
      </c>
    </row>
    <row r="12" spans="2:9" ht="15" x14ac:dyDescent="0.25">
      <c r="B12" s="57">
        <v>11</v>
      </c>
      <c r="C12" t="s">
        <v>192</v>
      </c>
      <c r="E12" s="57">
        <v>11</v>
      </c>
      <c r="F12">
        <v>905994</v>
      </c>
      <c r="H12" s="57">
        <v>11</v>
      </c>
      <c r="I12" s="67" t="s">
        <v>178</v>
      </c>
    </row>
    <row r="13" spans="2:9" ht="15" x14ac:dyDescent="0.25">
      <c r="B13" s="57">
        <v>12</v>
      </c>
      <c r="C13" t="s">
        <v>193</v>
      </c>
      <c r="E13" s="57">
        <v>12</v>
      </c>
      <c r="F13">
        <v>906033</v>
      </c>
      <c r="H13" s="57">
        <v>12</v>
      </c>
      <c r="I13" s="67" t="s">
        <v>178</v>
      </c>
    </row>
    <row r="14" spans="2:9" ht="15" x14ac:dyDescent="0.25">
      <c r="B14" s="57">
        <v>13</v>
      </c>
      <c r="C14" t="s">
        <v>193</v>
      </c>
      <c r="E14" s="57">
        <v>13</v>
      </c>
      <c r="F14">
        <v>906033</v>
      </c>
      <c r="H14" s="57">
        <v>13</v>
      </c>
      <c r="I14" s="67" t="s">
        <v>179</v>
      </c>
    </row>
    <row r="15" spans="2:9" ht="15" x14ac:dyDescent="0.25">
      <c r="B15" s="57">
        <v>14</v>
      </c>
      <c r="C15" t="s">
        <v>192</v>
      </c>
      <c r="E15" s="57">
        <v>14</v>
      </c>
      <c r="F15">
        <v>905994</v>
      </c>
      <c r="H15" s="57">
        <v>14</v>
      </c>
      <c r="I15" s="67" t="s">
        <v>179</v>
      </c>
    </row>
    <row r="16" spans="2:9" ht="15" x14ac:dyDescent="0.25">
      <c r="B16" s="57">
        <v>15</v>
      </c>
      <c r="C16" t="s">
        <v>192</v>
      </c>
      <c r="E16" s="57">
        <v>15</v>
      </c>
      <c r="F16">
        <v>905994</v>
      </c>
      <c r="H16" s="57">
        <v>15</v>
      </c>
      <c r="I16" s="67" t="s">
        <v>179</v>
      </c>
    </row>
    <row r="17" spans="2:11" ht="15" x14ac:dyDescent="0.25">
      <c r="B17" s="57">
        <v>16</v>
      </c>
      <c r="C17" t="s">
        <v>192</v>
      </c>
      <c r="E17" s="57">
        <v>16</v>
      </c>
      <c r="F17">
        <v>905994</v>
      </c>
      <c r="H17" s="57">
        <v>16</v>
      </c>
      <c r="I17" s="67" t="s">
        <v>194</v>
      </c>
    </row>
    <row r="18" spans="2:11" ht="15" x14ac:dyDescent="0.25">
      <c r="B18" s="57">
        <v>17</v>
      </c>
      <c r="C18" t="s">
        <v>193</v>
      </c>
      <c r="E18" s="57">
        <v>17</v>
      </c>
      <c r="F18">
        <v>906033</v>
      </c>
      <c r="H18" s="57">
        <v>17</v>
      </c>
      <c r="I18" s="67" t="s">
        <v>194</v>
      </c>
    </row>
    <row r="19" spans="2:11" ht="15" x14ac:dyDescent="0.25">
      <c r="B19" s="57">
        <v>18</v>
      </c>
      <c r="E19" s="57">
        <v>18</v>
      </c>
      <c r="H19" s="57">
        <v>18</v>
      </c>
      <c r="I19" s="67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61475303</v>
      </c>
      <c r="K2" s="65">
        <v>1130</v>
      </c>
      <c r="L2" s="66">
        <v>29</v>
      </c>
      <c r="M2" s="66">
        <v>159.28</v>
      </c>
      <c r="N2" s="66">
        <v>174.572</v>
      </c>
      <c r="O2" s="66">
        <v>197.27199999999999</v>
      </c>
      <c r="P2" s="66" t="s">
        <v>54</v>
      </c>
      <c r="Q2" s="66">
        <v>0.98399999999999999</v>
      </c>
      <c r="R2" s="66" t="s">
        <v>62</v>
      </c>
    </row>
    <row r="3" spans="2:22" x14ac:dyDescent="0.2">
      <c r="B3" s="6" t="s">
        <v>53</v>
      </c>
      <c r="C3" s="63">
        <v>708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61475303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197.27199999999999</v>
      </c>
      <c r="G23" s="23">
        <f>+N2</f>
        <v>174.572</v>
      </c>
      <c r="H23" s="23">
        <f>+M2</f>
        <v>159.28</v>
      </c>
      <c r="I23" s="55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56.25" customHeight="1" x14ac:dyDescent="0.2">
      <c r="B32" s="41" t="s">
        <v>195</v>
      </c>
      <c r="C32" s="19" t="s">
        <v>196</v>
      </c>
      <c r="D32" s="71"/>
      <c r="E32" s="72"/>
      <c r="F32" s="71">
        <f>+K2</f>
        <v>1130</v>
      </c>
      <c r="G32" s="72"/>
      <c r="H32" s="17">
        <v>1.05</v>
      </c>
      <c r="I32" s="18">
        <f>+H32*F32</f>
        <v>1186.5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61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1130</v>
      </c>
      <c r="G34" s="72"/>
      <c r="H34" s="15"/>
      <c r="I34" s="14">
        <f>SUM(I32:I33)</f>
        <v>1186.5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1186.5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1186.5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D33:E33"/>
    <mergeCell ref="F33:G33"/>
    <mergeCell ref="D34:E34"/>
    <mergeCell ref="F34:G34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61558649</v>
      </c>
      <c r="K2" s="66">
        <v>470</v>
      </c>
      <c r="L2" s="66">
        <v>9</v>
      </c>
      <c r="M2" s="66">
        <v>63.01</v>
      </c>
      <c r="N2" s="66">
        <v>72.41</v>
      </c>
      <c r="O2" s="66">
        <v>80.11</v>
      </c>
      <c r="P2" s="66" t="s">
        <v>54</v>
      </c>
      <c r="Q2" s="66">
        <v>0.40300000000000002</v>
      </c>
      <c r="R2" s="66" t="s">
        <v>62</v>
      </c>
    </row>
    <row r="3" spans="2:22" x14ac:dyDescent="0.2">
      <c r="B3" s="6" t="s">
        <v>53</v>
      </c>
      <c r="C3" s="63">
        <f>+'708'!C3+1</f>
        <v>709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61558649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80.11</v>
      </c>
      <c r="G23" s="23">
        <f>+N2</f>
        <v>72.41</v>
      </c>
      <c r="H23" s="23">
        <f>+M2</f>
        <v>63.01</v>
      </c>
      <c r="I23" s="48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8" t="s">
        <v>19</v>
      </c>
      <c r="E31" s="88"/>
      <c r="F31" s="88" t="s">
        <v>18</v>
      </c>
      <c r="G31" s="88"/>
      <c r="H31" s="48" t="s">
        <v>17</v>
      </c>
      <c r="I31" s="19" t="s">
        <v>16</v>
      </c>
      <c r="M31"/>
    </row>
    <row r="32" spans="2:13" ht="30.75" customHeight="1" x14ac:dyDescent="0.2">
      <c r="B32" s="41" t="s">
        <v>198</v>
      </c>
      <c r="C32" s="19" t="s">
        <v>197</v>
      </c>
      <c r="D32" s="71"/>
      <c r="E32" s="72"/>
      <c r="F32" s="71">
        <f>+K2</f>
        <v>470</v>
      </c>
      <c r="G32" s="72"/>
      <c r="H32" s="17">
        <v>1.05</v>
      </c>
      <c r="I32" s="18">
        <f>+H32*F32</f>
        <v>493.5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48"/>
    </row>
    <row r="34" spans="2:11" ht="21.75" customHeight="1" x14ac:dyDescent="0.2">
      <c r="B34" s="15" t="s">
        <v>14</v>
      </c>
      <c r="C34" s="15"/>
      <c r="D34" s="75"/>
      <c r="E34" s="76"/>
      <c r="F34" s="71">
        <f>SUM(F31:G33)</f>
        <v>470</v>
      </c>
      <c r="G34" s="72"/>
      <c r="H34" s="15"/>
      <c r="I34" s="14">
        <f>SUM(I32:I33)</f>
        <v>493.5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493.5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493.5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6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61717410</v>
      </c>
      <c r="K2" s="66">
        <v>418</v>
      </c>
      <c r="L2" s="66">
        <v>7</v>
      </c>
      <c r="M2" s="66">
        <v>61.206000000000003</v>
      </c>
      <c r="N2" s="66">
        <v>64.55</v>
      </c>
      <c r="O2" s="66">
        <v>70.849999999999994</v>
      </c>
      <c r="P2" s="66" t="s">
        <v>54</v>
      </c>
      <c r="Q2" s="66">
        <v>0.35799999999999998</v>
      </c>
      <c r="R2" s="66" t="s">
        <v>62</v>
      </c>
    </row>
    <row r="3" spans="2:22" x14ac:dyDescent="0.2">
      <c r="B3" s="6" t="s">
        <v>53</v>
      </c>
      <c r="C3" s="63">
        <f>+'709'!C3+1</f>
        <v>710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61717410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70.849999999999994</v>
      </c>
      <c r="G23" s="23">
        <f>+N2</f>
        <v>64.55</v>
      </c>
      <c r="H23" s="23">
        <f>+M2</f>
        <v>61.206000000000003</v>
      </c>
      <c r="I23" s="48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8" t="s">
        <v>19</v>
      </c>
      <c r="E31" s="88"/>
      <c r="F31" s="88" t="s">
        <v>18</v>
      </c>
      <c r="G31" s="88"/>
      <c r="H31" s="48" t="s">
        <v>17</v>
      </c>
      <c r="I31" s="19" t="s">
        <v>16</v>
      </c>
      <c r="M31"/>
    </row>
    <row r="32" spans="2:13" ht="28.5" customHeight="1" x14ac:dyDescent="0.2">
      <c r="B32" s="41" t="s">
        <v>186</v>
      </c>
      <c r="C32" s="19" t="s">
        <v>183</v>
      </c>
      <c r="D32" s="71"/>
      <c r="E32" s="72"/>
      <c r="F32" s="71">
        <f>+K2</f>
        <v>418</v>
      </c>
      <c r="G32" s="72"/>
      <c r="H32" s="17">
        <v>1.05</v>
      </c>
      <c r="I32" s="18">
        <f>+H32*F32</f>
        <v>438.90000000000003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48"/>
    </row>
    <row r="34" spans="2:11" ht="21.75" customHeight="1" x14ac:dyDescent="0.2">
      <c r="B34" s="15" t="s">
        <v>14</v>
      </c>
      <c r="C34" s="15"/>
      <c r="D34" s="75"/>
      <c r="E34" s="76"/>
      <c r="F34" s="71">
        <f>SUM(F31:G33)</f>
        <v>418</v>
      </c>
      <c r="G34" s="72"/>
      <c r="H34" s="15"/>
      <c r="I34" s="14">
        <f>SUM(I32:I33)</f>
        <v>438.90000000000003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438.90000000000003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438.90000000000003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6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61751301</v>
      </c>
      <c r="K2" s="65">
        <v>1375</v>
      </c>
      <c r="L2" s="66">
        <v>24</v>
      </c>
      <c r="M2" s="66">
        <v>184.76</v>
      </c>
      <c r="N2" s="66">
        <v>212.26</v>
      </c>
      <c r="O2" s="66">
        <v>233.46</v>
      </c>
      <c r="P2" s="66" t="s">
        <v>54</v>
      </c>
      <c r="Q2" s="66">
        <v>1.163</v>
      </c>
      <c r="R2" s="66" t="s">
        <v>62</v>
      </c>
    </row>
    <row r="3" spans="2:22" x14ac:dyDescent="0.2">
      <c r="B3" s="6" t="s">
        <v>53</v>
      </c>
      <c r="C3" s="63">
        <f>+'710'!C3+1</f>
        <v>711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61751301</v>
      </c>
      <c r="C21" s="53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233.46</v>
      </c>
      <c r="G23" s="23">
        <f>+N2</f>
        <v>212.26</v>
      </c>
      <c r="H23" s="23">
        <f>+M2</f>
        <v>184.76</v>
      </c>
      <c r="I23" s="54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8" t="s">
        <v>19</v>
      </c>
      <c r="E31" s="88"/>
      <c r="F31" s="88" t="s">
        <v>18</v>
      </c>
      <c r="G31" s="88"/>
      <c r="H31" s="54" t="s">
        <v>17</v>
      </c>
      <c r="I31" s="19" t="s">
        <v>16</v>
      </c>
      <c r="M31"/>
    </row>
    <row r="32" spans="2:13" ht="39" customHeight="1" x14ac:dyDescent="0.2">
      <c r="B32" s="41" t="s">
        <v>188</v>
      </c>
      <c r="C32" s="19" t="s">
        <v>187</v>
      </c>
      <c r="D32" s="71"/>
      <c r="E32" s="72"/>
      <c r="F32" s="71">
        <f>+K2</f>
        <v>1375</v>
      </c>
      <c r="G32" s="72"/>
      <c r="H32" s="17">
        <v>1.05</v>
      </c>
      <c r="I32" s="18">
        <f>+H32*F32</f>
        <v>1443.75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54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1375</v>
      </c>
      <c r="G34" s="72"/>
      <c r="H34" s="15"/>
      <c r="I34" s="14">
        <f>SUM(I32:I33)</f>
        <v>1443.75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1443.75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1443.75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61808374</v>
      </c>
      <c r="K2" s="65">
        <v>2047</v>
      </c>
      <c r="L2" s="66">
        <v>63</v>
      </c>
      <c r="M2" s="66">
        <v>753.84299999999996</v>
      </c>
      <c r="N2" s="66">
        <v>766.125</v>
      </c>
      <c r="O2" s="66">
        <v>826.22500000000002</v>
      </c>
      <c r="P2" s="66" t="s">
        <v>54</v>
      </c>
      <c r="Q2" s="66">
        <v>3.78</v>
      </c>
      <c r="R2" s="66" t="s">
        <v>62</v>
      </c>
    </row>
    <row r="3" spans="2:22" x14ac:dyDescent="0.2">
      <c r="B3" s="6" t="s">
        <v>53</v>
      </c>
      <c r="C3" s="63">
        <f>+'711'!C3+1</f>
        <v>712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61808374</v>
      </c>
      <c r="C21" s="56">
        <f>VLOOKUP($K57,reff!E2:F29,2,0)</f>
        <v>769950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826.22500000000002</v>
      </c>
      <c r="G23" s="23">
        <f>+N2</f>
        <v>766.125</v>
      </c>
      <c r="H23" s="23">
        <f>+M2</f>
        <v>753.84299999999996</v>
      </c>
      <c r="I23" s="55">
        <f>+L2</f>
        <v>63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A MULTY PACK OF 3 PIECES OF 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24.95" customHeight="1" x14ac:dyDescent="0.2">
      <c r="B32" s="41" t="s">
        <v>199</v>
      </c>
      <c r="C32" s="19" t="s">
        <v>180</v>
      </c>
      <c r="D32" s="71">
        <f>+F32*3</f>
        <v>2970</v>
      </c>
      <c r="E32" s="72"/>
      <c r="F32" s="71">
        <v>990</v>
      </c>
      <c r="G32" s="72"/>
      <c r="H32" s="17">
        <v>0.9</v>
      </c>
      <c r="I32" s="18">
        <f>+H32*D32</f>
        <v>2673</v>
      </c>
      <c r="K32" s="46"/>
      <c r="M32" s="39"/>
    </row>
    <row r="33" spans="2:13" ht="24.95" customHeight="1" x14ac:dyDescent="0.2">
      <c r="B33" s="41" t="s">
        <v>181</v>
      </c>
      <c r="C33" s="19" t="s">
        <v>185</v>
      </c>
      <c r="D33" s="71">
        <f>+F33*3</f>
        <v>3171</v>
      </c>
      <c r="E33" s="72"/>
      <c r="F33" s="71">
        <v>1057</v>
      </c>
      <c r="G33" s="72"/>
      <c r="H33" s="17">
        <v>0.9</v>
      </c>
      <c r="I33" s="18">
        <f>+H33*D33</f>
        <v>2853.9</v>
      </c>
      <c r="K33" s="46"/>
      <c r="M33" s="39"/>
    </row>
    <row r="34" spans="2:13" ht="21" customHeight="1" x14ac:dyDescent="0.2">
      <c r="B34" s="15" t="s">
        <v>15</v>
      </c>
      <c r="C34" s="15"/>
      <c r="D34" s="73"/>
      <c r="E34" s="74"/>
      <c r="F34" s="73"/>
      <c r="G34" s="74"/>
      <c r="H34" s="17"/>
      <c r="I34" s="59"/>
    </row>
    <row r="35" spans="2:13" ht="21.75" customHeight="1" x14ac:dyDescent="0.2">
      <c r="B35" s="15" t="s">
        <v>14</v>
      </c>
      <c r="C35" s="15"/>
      <c r="D35" s="75">
        <f>SUM(D32:E34)</f>
        <v>6141</v>
      </c>
      <c r="E35" s="76"/>
      <c r="F35" s="89">
        <f>SUM(F32:G34)</f>
        <v>2047</v>
      </c>
      <c r="G35" s="90"/>
      <c r="H35" s="15"/>
      <c r="I35" s="14">
        <f>SUM(I32:I33)</f>
        <v>5526.9</v>
      </c>
      <c r="J35" s="40"/>
      <c r="K35" s="40"/>
    </row>
    <row r="36" spans="2:13" ht="21.75" customHeight="1" x14ac:dyDescent="0.2">
      <c r="B36" s="16" t="s">
        <v>13</v>
      </c>
      <c r="C36" s="15"/>
      <c r="D36" s="73"/>
      <c r="E36" s="74"/>
      <c r="F36" s="73"/>
      <c r="G36" s="74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3"/>
      <c r="E37" s="74"/>
      <c r="F37" s="73"/>
      <c r="G37" s="74"/>
      <c r="H37" s="15"/>
      <c r="I37" s="14">
        <f>+I35</f>
        <v>5526.9</v>
      </c>
    </row>
    <row r="38" spans="2:13" ht="20.25" customHeight="1" x14ac:dyDescent="0.2">
      <c r="B38" s="15" t="s">
        <v>80</v>
      </c>
      <c r="C38" s="73" t="s">
        <v>11</v>
      </c>
      <c r="D38" s="78"/>
      <c r="E38" s="78"/>
      <c r="F38" s="78"/>
      <c r="G38" s="78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5526.9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9" t="s">
        <v>7</v>
      </c>
      <c r="C47" s="79"/>
      <c r="D47" s="7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265K0087</v>
      </c>
      <c r="I53" s="8"/>
      <c r="K53">
        <v>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0" t="s">
        <v>1</v>
      </c>
      <c r="D56" s="80"/>
      <c r="E56" s="5"/>
      <c r="F56" s="5"/>
      <c r="G56" s="5"/>
      <c r="H56" s="5"/>
      <c r="I56" s="4"/>
    </row>
    <row r="57" spans="2:11" x14ac:dyDescent="0.2">
      <c r="B57" s="6"/>
      <c r="C57" s="81" t="s">
        <v>0</v>
      </c>
      <c r="D57" s="81"/>
      <c r="E57" s="5"/>
      <c r="F57" s="5"/>
      <c r="G57" s="5"/>
      <c r="H57" s="5"/>
      <c r="I57" s="4"/>
      <c r="K57">
        <v>5</v>
      </c>
    </row>
    <row r="58" spans="2:11" x14ac:dyDescent="0.2">
      <c r="B58" s="2"/>
      <c r="C58" s="77"/>
      <c r="D58" s="7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61635626</v>
      </c>
      <c r="K2" s="66">
        <v>879</v>
      </c>
      <c r="L2" s="66">
        <v>14</v>
      </c>
      <c r="M2" s="66">
        <v>61.707000000000001</v>
      </c>
      <c r="N2" s="66">
        <v>63.465000000000003</v>
      </c>
      <c r="O2" s="66">
        <v>71.915000000000006</v>
      </c>
      <c r="P2" s="66" t="s">
        <v>54</v>
      </c>
      <c r="Q2" s="66">
        <v>0.38600000000000001</v>
      </c>
      <c r="R2" s="66" t="s">
        <v>62</v>
      </c>
    </row>
    <row r="3" spans="2:22" x14ac:dyDescent="0.2">
      <c r="B3" s="6" t="s">
        <v>53</v>
      </c>
      <c r="C3" s="63">
        <f>+'712'!C3+1</f>
        <v>713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61635626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71.915000000000006</v>
      </c>
      <c r="G23" s="23">
        <f>+N2</f>
        <v>63.465000000000003</v>
      </c>
      <c r="H23" s="23">
        <f>+M2</f>
        <v>61.707000000000001</v>
      </c>
      <c r="I23" s="55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37.5" customHeight="1" x14ac:dyDescent="0.2">
      <c r="B32" s="62" t="s">
        <v>201</v>
      </c>
      <c r="C32" s="19" t="s">
        <v>200</v>
      </c>
      <c r="D32" s="71"/>
      <c r="E32" s="72"/>
      <c r="F32" s="71">
        <f>+K2</f>
        <v>879</v>
      </c>
      <c r="G32" s="72"/>
      <c r="H32" s="17">
        <v>0.81</v>
      </c>
      <c r="I32" s="18">
        <f>+H32*F32</f>
        <v>711.99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55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879</v>
      </c>
      <c r="G34" s="72"/>
      <c r="H34" s="15"/>
      <c r="I34" s="14">
        <f>SUM(I32:I33)</f>
        <v>711.99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711.99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711.99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61613709</v>
      </c>
      <c r="K2" s="65">
        <v>4624</v>
      </c>
      <c r="L2" s="66">
        <v>46</v>
      </c>
      <c r="M2" s="66">
        <v>376.387</v>
      </c>
      <c r="N2" s="66">
        <v>385.63499999999999</v>
      </c>
      <c r="O2" s="66">
        <v>428.08499999999998</v>
      </c>
      <c r="P2" s="66" t="s">
        <v>54</v>
      </c>
      <c r="Q2" s="66">
        <v>2.5329999999999999</v>
      </c>
      <c r="R2" s="66" t="s">
        <v>62</v>
      </c>
    </row>
    <row r="3" spans="2:22" x14ac:dyDescent="0.2">
      <c r="B3" s="6" t="s">
        <v>53</v>
      </c>
      <c r="C3" s="63">
        <f>+'713'!C3+1</f>
        <v>714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61613709</v>
      </c>
      <c r="C21" s="56">
        <f>VLOOKUP($K55,reff!E2:F29,2,0)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428.08499999999998</v>
      </c>
      <c r="G23" s="23">
        <f>+N2</f>
        <v>385.63499999999999</v>
      </c>
      <c r="H23" s="23">
        <f>+M2</f>
        <v>376.387</v>
      </c>
      <c r="I23" s="55">
        <f>+L2</f>
        <v>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42" customHeight="1" x14ac:dyDescent="0.2">
      <c r="B32" s="41" t="s">
        <v>201</v>
      </c>
      <c r="C32" s="19" t="s">
        <v>203</v>
      </c>
      <c r="D32" s="71"/>
      <c r="E32" s="72"/>
      <c r="F32" s="71">
        <f>+K2</f>
        <v>4624</v>
      </c>
      <c r="G32" s="72"/>
      <c r="H32" s="17">
        <v>0.84</v>
      </c>
      <c r="I32" s="18">
        <f>+H32*F32</f>
        <v>3884.16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60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4624</v>
      </c>
      <c r="G34" s="72"/>
      <c r="H34" s="15"/>
      <c r="I34" s="14">
        <f>SUM(I32:I33)</f>
        <v>3884.16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3884.16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3884.16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61646961</v>
      </c>
      <c r="K2" s="66">
        <v>313</v>
      </c>
      <c r="L2" s="66">
        <v>2</v>
      </c>
      <c r="M2" s="66">
        <v>23.044</v>
      </c>
      <c r="N2" s="66">
        <v>23.67</v>
      </c>
      <c r="O2" s="66">
        <v>25.67</v>
      </c>
      <c r="P2" s="66" t="s">
        <v>54</v>
      </c>
      <c r="Q2" s="66">
        <v>0.13400000000000001</v>
      </c>
      <c r="R2" s="66" t="s">
        <v>62</v>
      </c>
    </row>
    <row r="3" spans="2:22" x14ac:dyDescent="0.2">
      <c r="B3" s="6" t="s">
        <v>53</v>
      </c>
      <c r="C3" s="63">
        <f>+'714'!C3+1</f>
        <v>715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61646961</v>
      </c>
      <c r="C21" s="56">
        <f>VLOOKUP($K55,reff!E2:F29,2,0)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25.67</v>
      </c>
      <c r="G23" s="23">
        <f>+N2</f>
        <v>23.67</v>
      </c>
      <c r="H23" s="23">
        <f>+M2</f>
        <v>23.044</v>
      </c>
      <c r="I23" s="55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48" customHeight="1" x14ac:dyDescent="0.2">
      <c r="B32" s="41" t="s">
        <v>201</v>
      </c>
      <c r="C32" s="19" t="s">
        <v>200</v>
      </c>
      <c r="D32" s="71"/>
      <c r="E32" s="72"/>
      <c r="F32" s="71">
        <f>+K2</f>
        <v>313</v>
      </c>
      <c r="G32" s="72"/>
      <c r="H32" s="17">
        <v>0.81</v>
      </c>
      <c r="I32" s="18">
        <f>+H32*F32</f>
        <v>253.53000000000003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55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313</v>
      </c>
      <c r="G34" s="72"/>
      <c r="H34" s="15"/>
      <c r="I34" s="14">
        <f>SUM(I32:I33)</f>
        <v>253.53000000000003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253.53000000000003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253.53000000000003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61646981</v>
      </c>
      <c r="K2" s="65">
        <v>1407</v>
      </c>
      <c r="L2" s="66">
        <v>15</v>
      </c>
      <c r="M2" s="66">
        <v>117.831</v>
      </c>
      <c r="N2" s="66">
        <v>120.645</v>
      </c>
      <c r="O2" s="66">
        <v>134.04499999999999</v>
      </c>
      <c r="P2" s="66" t="s">
        <v>54</v>
      </c>
      <c r="Q2" s="66">
        <v>0.749</v>
      </c>
      <c r="R2" s="66" t="s">
        <v>62</v>
      </c>
    </row>
    <row r="3" spans="2:22" x14ac:dyDescent="0.2">
      <c r="B3" s="6" t="s">
        <v>53</v>
      </c>
      <c r="C3" s="63">
        <f>+'715'!C3+1</f>
        <v>716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61646981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134.04499999999999</v>
      </c>
      <c r="G23" s="23">
        <f>+N2</f>
        <v>120.645</v>
      </c>
      <c r="H23" s="23">
        <f>+M2</f>
        <v>117.831</v>
      </c>
      <c r="I23" s="55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48.75" customHeight="1" x14ac:dyDescent="0.2">
      <c r="B32" s="41" t="s">
        <v>201</v>
      </c>
      <c r="C32" s="19" t="s">
        <v>203</v>
      </c>
      <c r="D32" s="71"/>
      <c r="E32" s="72"/>
      <c r="F32" s="71">
        <f>+K2</f>
        <v>1407</v>
      </c>
      <c r="G32" s="72"/>
      <c r="H32" s="17">
        <v>0.84</v>
      </c>
      <c r="I32" s="18">
        <f>+H32*F32</f>
        <v>1181.8799999999999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55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1407</v>
      </c>
      <c r="G34" s="72"/>
      <c r="H34" s="15"/>
      <c r="I34" s="14">
        <f>SUM(I32:I33)</f>
        <v>1181.8799999999999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1181.8799999999999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1181.8799999999999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61996865</v>
      </c>
      <c r="K2" s="66">
        <v>825</v>
      </c>
      <c r="L2" s="66">
        <v>11</v>
      </c>
      <c r="M2" s="66">
        <v>54.88</v>
      </c>
      <c r="N2" s="66">
        <v>56.53</v>
      </c>
      <c r="O2" s="66">
        <v>63.83</v>
      </c>
      <c r="P2" s="66" t="s">
        <v>54</v>
      </c>
      <c r="Q2" s="66">
        <v>0.36899999999999999</v>
      </c>
      <c r="R2" s="66" t="s">
        <v>62</v>
      </c>
    </row>
    <row r="3" spans="2:22" x14ac:dyDescent="0.2">
      <c r="B3" s="6" t="s">
        <v>53</v>
      </c>
      <c r="C3" s="63">
        <f>+'716'!C3+1</f>
        <v>717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61996865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63.83</v>
      </c>
      <c r="G23" s="23">
        <f>+N2</f>
        <v>56.53</v>
      </c>
      <c r="H23" s="23">
        <f>+M2</f>
        <v>54.88</v>
      </c>
      <c r="I23" s="69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27.75" customHeight="1" x14ac:dyDescent="0.2">
      <c r="B32" s="41" t="s">
        <v>198</v>
      </c>
      <c r="C32" s="19" t="s">
        <v>204</v>
      </c>
      <c r="D32" s="71"/>
      <c r="E32" s="72"/>
      <c r="F32" s="71">
        <f>+K2</f>
        <v>825</v>
      </c>
      <c r="G32" s="72"/>
      <c r="H32" s="17">
        <v>0.81</v>
      </c>
      <c r="I32" s="18">
        <f>+H32*F32</f>
        <v>668.25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69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825</v>
      </c>
      <c r="G34" s="72"/>
      <c r="H34" s="15"/>
      <c r="I34" s="14">
        <f>SUM(I32:I33)</f>
        <v>668.25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668.25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668.25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61996888</v>
      </c>
      <c r="K2" s="65">
        <v>2277</v>
      </c>
      <c r="L2" s="66">
        <v>22</v>
      </c>
      <c r="M2" s="66">
        <v>151.64599999999999</v>
      </c>
      <c r="N2" s="66">
        <v>156.19999999999999</v>
      </c>
      <c r="O2" s="66">
        <v>174.2</v>
      </c>
      <c r="P2" s="66" t="s">
        <v>54</v>
      </c>
      <c r="Q2" s="66">
        <v>0.97299999999999998</v>
      </c>
      <c r="R2" s="66" t="s">
        <v>62</v>
      </c>
    </row>
    <row r="3" spans="2:22" x14ac:dyDescent="0.2">
      <c r="B3" s="6" t="s">
        <v>53</v>
      </c>
      <c r="C3" s="63">
        <f>+'717'!C3+1</f>
        <v>718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61996888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174.2</v>
      </c>
      <c r="G23" s="23">
        <f>+N2</f>
        <v>156.19999999999999</v>
      </c>
      <c r="H23" s="23">
        <f>+M2</f>
        <v>151.64599999999999</v>
      </c>
      <c r="I23" s="69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205</v>
      </c>
      <c r="D32" s="71"/>
      <c r="E32" s="72"/>
      <c r="F32" s="71">
        <f>+K2</f>
        <v>2277</v>
      </c>
      <c r="G32" s="72"/>
      <c r="H32" s="17">
        <v>0.81</v>
      </c>
      <c r="I32" s="18">
        <f>+H32*F32</f>
        <v>1844.3700000000001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69"/>
    </row>
    <row r="34" spans="2:11" ht="21.75" customHeight="1" x14ac:dyDescent="0.2">
      <c r="B34" s="15" t="s">
        <v>14</v>
      </c>
      <c r="C34" s="15"/>
      <c r="D34" s="75"/>
      <c r="E34" s="76"/>
      <c r="F34" s="71">
        <f>SUM(F31:G33)</f>
        <v>2277</v>
      </c>
      <c r="G34" s="72"/>
      <c r="H34" s="15"/>
      <c r="I34" s="14">
        <f>SUM(I32:I33)</f>
        <v>1844.3700000000001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1844.3700000000001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1844.3700000000001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61996849</v>
      </c>
      <c r="K2" s="65">
        <v>13258</v>
      </c>
      <c r="L2" s="66">
        <v>131</v>
      </c>
      <c r="M2" s="70">
        <v>1082.114</v>
      </c>
      <c r="N2" s="70">
        <v>1108.6300000000001</v>
      </c>
      <c r="O2" s="70">
        <v>1228.23</v>
      </c>
      <c r="P2" s="66" t="s">
        <v>54</v>
      </c>
      <c r="Q2" s="66">
        <v>7.2130000000000001</v>
      </c>
      <c r="R2" s="66" t="s">
        <v>62</v>
      </c>
    </row>
    <row r="3" spans="2:22" x14ac:dyDescent="0.2">
      <c r="B3" s="6" t="s">
        <v>53</v>
      </c>
      <c r="C3" s="63">
        <f>+'718'!C3+1</f>
        <v>719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61996849</v>
      </c>
      <c r="C21" s="68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1228.23</v>
      </c>
      <c r="G23" s="23">
        <f>+N2</f>
        <v>1108.6300000000001</v>
      </c>
      <c r="H23" s="23">
        <f>+M2</f>
        <v>1082.114</v>
      </c>
      <c r="I23" s="69">
        <f>+L2</f>
        <v>131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27" customHeight="1" x14ac:dyDescent="0.2">
      <c r="B32" s="41" t="s">
        <v>182</v>
      </c>
      <c r="C32" s="19" t="s">
        <v>205</v>
      </c>
      <c r="D32" s="71"/>
      <c r="E32" s="72"/>
      <c r="F32" s="71">
        <v>4891</v>
      </c>
      <c r="G32" s="72"/>
      <c r="H32" s="17">
        <v>0.84</v>
      </c>
      <c r="I32" s="18">
        <f>+H32*F32</f>
        <v>4108.4399999999996</v>
      </c>
      <c r="K32" s="46"/>
      <c r="M32" s="39"/>
    </row>
    <row r="33" spans="2:13" ht="39" customHeight="1" x14ac:dyDescent="0.2">
      <c r="B33" s="41" t="s">
        <v>207</v>
      </c>
      <c r="C33" s="19" t="s">
        <v>206</v>
      </c>
      <c r="D33" s="71"/>
      <c r="E33" s="72"/>
      <c r="F33" s="71">
        <f>13258-F32</f>
        <v>8367</v>
      </c>
      <c r="G33" s="72"/>
      <c r="H33" s="17">
        <v>0.84</v>
      </c>
      <c r="I33" s="18">
        <f>+H33*F33</f>
        <v>7028.28</v>
      </c>
      <c r="K33" s="46"/>
      <c r="M33" s="39"/>
    </row>
    <row r="34" spans="2:13" ht="21" customHeight="1" x14ac:dyDescent="0.2">
      <c r="B34" s="15" t="s">
        <v>15</v>
      </c>
      <c r="C34" s="15"/>
      <c r="D34" s="73"/>
      <c r="E34" s="74"/>
      <c r="F34" s="73"/>
      <c r="G34" s="74"/>
      <c r="H34" s="17"/>
      <c r="I34" s="69"/>
    </row>
    <row r="35" spans="2:13" ht="21.75" customHeight="1" x14ac:dyDescent="0.2">
      <c r="B35" s="15" t="s">
        <v>14</v>
      </c>
      <c r="C35" s="15"/>
      <c r="D35" s="75"/>
      <c r="E35" s="76"/>
      <c r="F35" s="71">
        <f>SUM(F31:G34)</f>
        <v>13258</v>
      </c>
      <c r="G35" s="72"/>
      <c r="H35" s="15"/>
      <c r="I35" s="14">
        <f>SUM(I32:I34)</f>
        <v>11136.72</v>
      </c>
      <c r="J35" s="40"/>
      <c r="K35" s="40"/>
    </row>
    <row r="36" spans="2:13" ht="21.75" customHeight="1" x14ac:dyDescent="0.2">
      <c r="B36" s="16" t="s">
        <v>13</v>
      </c>
      <c r="C36" s="15"/>
      <c r="D36" s="73"/>
      <c r="E36" s="74"/>
      <c r="F36" s="73"/>
      <c r="G36" s="74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3"/>
      <c r="E37" s="74"/>
      <c r="F37" s="73"/>
      <c r="G37" s="74"/>
      <c r="H37" s="15"/>
      <c r="I37" s="14">
        <f>+I35</f>
        <v>11136.72</v>
      </c>
    </row>
    <row r="38" spans="2:13" ht="20.25" customHeight="1" x14ac:dyDescent="0.2">
      <c r="B38" s="15" t="s">
        <v>80</v>
      </c>
      <c r="C38" s="73" t="s">
        <v>11</v>
      </c>
      <c r="D38" s="78"/>
      <c r="E38" s="78"/>
      <c r="F38" s="78"/>
      <c r="G38" s="78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11136.72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9" t="s">
        <v>7</v>
      </c>
      <c r="C47" s="79"/>
      <c r="D47" s="7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12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0" t="s">
        <v>1</v>
      </c>
      <c r="D56" s="80"/>
      <c r="E56" s="5"/>
      <c r="F56" s="5"/>
      <c r="G56" s="5"/>
      <c r="H56" s="5"/>
      <c r="I56" s="4"/>
    </row>
    <row r="57" spans="2:11" x14ac:dyDescent="0.2">
      <c r="B57" s="6"/>
      <c r="C57" s="81" t="s">
        <v>0</v>
      </c>
      <c r="D57" s="81"/>
      <c r="E57" s="5"/>
      <c r="F57" s="5"/>
      <c r="G57" s="5"/>
      <c r="H57" s="5"/>
      <c r="I57" s="4"/>
      <c r="K57" s="20">
        <v>12</v>
      </c>
    </row>
    <row r="58" spans="2:11" x14ac:dyDescent="0.2">
      <c r="B58" s="2"/>
      <c r="C58" s="77"/>
      <c r="D58" s="7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61997059</v>
      </c>
      <c r="K2" s="65">
        <v>3854</v>
      </c>
      <c r="L2" s="66">
        <v>42</v>
      </c>
      <c r="M2" s="66">
        <v>323.40199999999999</v>
      </c>
      <c r="N2" s="66">
        <v>331.11</v>
      </c>
      <c r="O2" s="66">
        <v>368.41</v>
      </c>
      <c r="P2" s="66" t="s">
        <v>54</v>
      </c>
      <c r="Q2" s="66">
        <v>2.0910000000000002</v>
      </c>
      <c r="R2" s="66" t="s">
        <v>62</v>
      </c>
    </row>
    <row r="3" spans="2:22" x14ac:dyDescent="0.2">
      <c r="B3" s="6" t="s">
        <v>53</v>
      </c>
      <c r="C3" s="63">
        <f>+'719'!C3+1</f>
        <v>720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61997059</v>
      </c>
      <c r="C21" s="68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368.41</v>
      </c>
      <c r="G23" s="23">
        <f>+N2</f>
        <v>331.11</v>
      </c>
      <c r="H23" s="23">
        <f>+M2</f>
        <v>323.40199999999999</v>
      </c>
      <c r="I23" s="69">
        <f>+L2</f>
        <v>42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27.75" customHeight="1" x14ac:dyDescent="0.2">
      <c r="B32" s="41" t="s">
        <v>182</v>
      </c>
      <c r="C32" s="19" t="s">
        <v>205</v>
      </c>
      <c r="D32" s="71"/>
      <c r="E32" s="72"/>
      <c r="F32" s="71">
        <v>1651</v>
      </c>
      <c r="G32" s="72"/>
      <c r="H32" s="17">
        <v>0.84</v>
      </c>
      <c r="I32" s="18">
        <f>+H32*F32</f>
        <v>1386.84</v>
      </c>
      <c r="K32" s="46"/>
      <c r="M32" s="39"/>
    </row>
    <row r="33" spans="2:13" ht="39" customHeight="1" x14ac:dyDescent="0.2">
      <c r="B33" s="41" t="s">
        <v>207</v>
      </c>
      <c r="C33" s="19" t="s">
        <v>206</v>
      </c>
      <c r="D33" s="71"/>
      <c r="E33" s="72"/>
      <c r="F33" s="71">
        <f>+K2-F32</f>
        <v>2203</v>
      </c>
      <c r="G33" s="72"/>
      <c r="H33" s="17">
        <v>0.84</v>
      </c>
      <c r="I33" s="18">
        <f>+H33*F33</f>
        <v>1850.52</v>
      </c>
      <c r="K33" s="46"/>
      <c r="M33" s="39"/>
    </row>
    <row r="34" spans="2:13" ht="21" customHeight="1" x14ac:dyDescent="0.2">
      <c r="B34" s="15" t="s">
        <v>15</v>
      </c>
      <c r="C34" s="15"/>
      <c r="D34" s="73"/>
      <c r="E34" s="74"/>
      <c r="F34" s="73"/>
      <c r="G34" s="74"/>
      <c r="H34" s="17"/>
      <c r="I34" s="69"/>
    </row>
    <row r="35" spans="2:13" ht="21.75" customHeight="1" x14ac:dyDescent="0.2">
      <c r="B35" s="15" t="s">
        <v>14</v>
      </c>
      <c r="C35" s="15"/>
      <c r="D35" s="75"/>
      <c r="E35" s="76"/>
      <c r="F35" s="71">
        <f>SUM(F32:G34)</f>
        <v>3854</v>
      </c>
      <c r="G35" s="72"/>
      <c r="H35" s="15"/>
      <c r="I35" s="14">
        <f>SUM(I32:I34)</f>
        <v>3237.3599999999997</v>
      </c>
      <c r="J35" s="40"/>
      <c r="K35" s="40"/>
    </row>
    <row r="36" spans="2:13" ht="21.75" customHeight="1" x14ac:dyDescent="0.2">
      <c r="B36" s="16" t="s">
        <v>13</v>
      </c>
      <c r="C36" s="15"/>
      <c r="D36" s="73"/>
      <c r="E36" s="74"/>
      <c r="F36" s="73"/>
      <c r="G36" s="74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3"/>
      <c r="E37" s="74"/>
      <c r="F37" s="73"/>
      <c r="G37" s="74"/>
      <c r="H37" s="15"/>
      <c r="I37" s="14">
        <f>+I35</f>
        <v>3237.3599999999997</v>
      </c>
    </row>
    <row r="38" spans="2:13" ht="20.25" customHeight="1" x14ac:dyDescent="0.2">
      <c r="B38" s="15" t="s">
        <v>80</v>
      </c>
      <c r="C38" s="73" t="s">
        <v>11</v>
      </c>
      <c r="D38" s="78"/>
      <c r="E38" s="78"/>
      <c r="F38" s="78"/>
      <c r="G38" s="78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3237.3599999999997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9" t="s">
        <v>7</v>
      </c>
      <c r="C47" s="79"/>
      <c r="D47" s="7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13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0" t="s">
        <v>1</v>
      </c>
      <c r="D56" s="80"/>
      <c r="E56" s="5"/>
      <c r="F56" s="5"/>
      <c r="G56" s="5"/>
      <c r="H56" s="5"/>
      <c r="I56" s="4"/>
    </row>
    <row r="57" spans="2:11" x14ac:dyDescent="0.2">
      <c r="B57" s="6"/>
      <c r="C57" s="81" t="s">
        <v>0</v>
      </c>
      <c r="D57" s="81"/>
      <c r="E57" s="5"/>
      <c r="F57" s="5"/>
      <c r="G57" s="5"/>
      <c r="H57" s="5"/>
      <c r="I57" s="4"/>
      <c r="K57" s="20">
        <v>13</v>
      </c>
    </row>
    <row r="58" spans="2:11" x14ac:dyDescent="0.2">
      <c r="B58" s="2"/>
      <c r="C58" s="77"/>
      <c r="D58" s="7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61996933</v>
      </c>
      <c r="K2" s="66">
        <v>834</v>
      </c>
      <c r="L2" s="66">
        <v>8</v>
      </c>
      <c r="M2" s="66">
        <v>58.712000000000003</v>
      </c>
      <c r="N2" s="66">
        <v>60.38</v>
      </c>
      <c r="O2" s="66">
        <v>67.180000000000007</v>
      </c>
      <c r="P2" s="66" t="s">
        <v>54</v>
      </c>
      <c r="Q2" s="66">
        <v>0.34699999999999998</v>
      </c>
      <c r="R2" s="66" t="s">
        <v>62</v>
      </c>
    </row>
    <row r="3" spans="2:22" x14ac:dyDescent="0.2">
      <c r="B3" s="6" t="s">
        <v>53</v>
      </c>
      <c r="C3" s="63">
        <f>+'720'!C3+1</f>
        <v>721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61996933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67.180000000000007</v>
      </c>
      <c r="G23" s="23">
        <f>+N2</f>
        <v>60.38</v>
      </c>
      <c r="H23" s="23">
        <f>+M2</f>
        <v>58.712000000000003</v>
      </c>
      <c r="I23" s="69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27" customHeight="1" x14ac:dyDescent="0.2">
      <c r="B32" s="41" t="s">
        <v>182</v>
      </c>
      <c r="C32" s="19" t="s">
        <v>205</v>
      </c>
      <c r="D32" s="71"/>
      <c r="E32" s="72"/>
      <c r="F32" s="71">
        <f>+K2</f>
        <v>834</v>
      </c>
      <c r="G32" s="72"/>
      <c r="H32" s="17">
        <v>0.81</v>
      </c>
      <c r="I32" s="18">
        <f>+H32*F32</f>
        <v>675.54000000000008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69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834</v>
      </c>
      <c r="G34" s="72"/>
      <c r="H34" s="15"/>
      <c r="I34" s="14">
        <f>SUM(I32:I32)</f>
        <v>675.54000000000008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675.54000000000008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675.54000000000008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14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61996975</v>
      </c>
      <c r="K2" s="66">
        <v>394</v>
      </c>
      <c r="L2" s="66">
        <v>5</v>
      </c>
      <c r="M2" s="66">
        <v>27.712</v>
      </c>
      <c r="N2" s="66">
        <v>28.5</v>
      </c>
      <c r="O2" s="66">
        <v>32.4</v>
      </c>
      <c r="P2" s="66" t="s">
        <v>54</v>
      </c>
      <c r="Q2" s="66">
        <v>0.16800000000000001</v>
      </c>
      <c r="R2" s="66" t="s">
        <v>62</v>
      </c>
    </row>
    <row r="3" spans="2:22" x14ac:dyDescent="0.2">
      <c r="B3" s="6" t="s">
        <v>53</v>
      </c>
      <c r="C3" s="63">
        <f>+'721'!C3+1</f>
        <v>722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61996975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32.4</v>
      </c>
      <c r="G23" s="23">
        <f>+N2</f>
        <v>28.5</v>
      </c>
      <c r="H23" s="23">
        <f>+M2</f>
        <v>27.712</v>
      </c>
      <c r="I23" s="69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27.75" customHeight="1" x14ac:dyDescent="0.2">
      <c r="B32" s="62" t="s">
        <v>198</v>
      </c>
      <c r="C32" s="19" t="s">
        <v>204</v>
      </c>
      <c r="D32" s="71"/>
      <c r="E32" s="72"/>
      <c r="F32" s="71">
        <f>+K2</f>
        <v>394</v>
      </c>
      <c r="G32" s="72"/>
      <c r="H32" s="17">
        <v>0.81</v>
      </c>
      <c r="I32" s="18">
        <f>+H32*F32</f>
        <v>319.14000000000004</v>
      </c>
      <c r="K32" s="46"/>
      <c r="M32" s="39"/>
    </row>
    <row r="33" spans="2:11" ht="21" customHeight="1" x14ac:dyDescent="0.2">
      <c r="B33" s="15" t="s">
        <v>15</v>
      </c>
      <c r="C33" s="15"/>
      <c r="D33" s="73"/>
      <c r="E33" s="74"/>
      <c r="F33" s="73"/>
      <c r="G33" s="74"/>
      <c r="H33" s="17"/>
      <c r="I33" s="69"/>
    </row>
    <row r="34" spans="2:11" ht="21.75" customHeight="1" x14ac:dyDescent="0.2">
      <c r="B34" s="15" t="s">
        <v>14</v>
      </c>
      <c r="C34" s="15"/>
      <c r="D34" s="75"/>
      <c r="E34" s="76"/>
      <c r="F34" s="71">
        <f>SUM(F32:G33)</f>
        <v>394</v>
      </c>
      <c r="G34" s="72"/>
      <c r="H34" s="15"/>
      <c r="I34" s="14">
        <f>SUM(I32:I33)</f>
        <v>319.14000000000004</v>
      </c>
      <c r="J34" s="40"/>
      <c r="K34" s="40"/>
    </row>
    <row r="35" spans="2:11" ht="21.75" customHeight="1" x14ac:dyDescent="0.2">
      <c r="B35" s="16" t="s">
        <v>13</v>
      </c>
      <c r="C35" s="15"/>
      <c r="D35" s="73"/>
      <c r="E35" s="74"/>
      <c r="F35" s="73"/>
      <c r="G35" s="74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3"/>
      <c r="E36" s="74"/>
      <c r="F36" s="73"/>
      <c r="G36" s="74"/>
      <c r="H36" s="15"/>
      <c r="I36" s="14">
        <f>+I34</f>
        <v>319.14000000000004</v>
      </c>
    </row>
    <row r="37" spans="2:11" ht="20.25" customHeight="1" x14ac:dyDescent="0.2">
      <c r="B37" s="15" t="s">
        <v>80</v>
      </c>
      <c r="C37" s="73" t="s">
        <v>11</v>
      </c>
      <c r="D37" s="78"/>
      <c r="E37" s="78"/>
      <c r="F37" s="78"/>
      <c r="G37" s="78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319.14000000000004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15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62007061</v>
      </c>
      <c r="K2" s="65">
        <v>1768</v>
      </c>
      <c r="L2" s="66">
        <v>34</v>
      </c>
      <c r="M2" s="66">
        <v>117.614</v>
      </c>
      <c r="N2" s="66">
        <v>121.15</v>
      </c>
      <c r="O2" s="66">
        <v>141.05000000000001</v>
      </c>
      <c r="P2" s="66" t="s">
        <v>54</v>
      </c>
      <c r="Q2" s="66">
        <v>0.83899999999999997</v>
      </c>
      <c r="R2" s="66" t="s">
        <v>62</v>
      </c>
    </row>
    <row r="3" spans="2:22" x14ac:dyDescent="0.2">
      <c r="B3" s="6" t="s">
        <v>53</v>
      </c>
      <c r="C3" s="63">
        <f>+'722'!C3+1</f>
        <v>723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62007061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141.05000000000001</v>
      </c>
      <c r="G23" s="23">
        <f>+N2</f>
        <v>121.15</v>
      </c>
      <c r="H23" s="23">
        <f>+M2</f>
        <v>117.614</v>
      </c>
      <c r="I23" s="69">
        <f>+L2</f>
        <v>34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27.75" customHeight="1" x14ac:dyDescent="0.2">
      <c r="B32" s="41" t="s">
        <v>182</v>
      </c>
      <c r="C32" s="19" t="s">
        <v>205</v>
      </c>
      <c r="D32" s="71"/>
      <c r="E32" s="72"/>
      <c r="F32" s="71">
        <v>1418</v>
      </c>
      <c r="G32" s="72"/>
      <c r="H32" s="17">
        <v>0.81</v>
      </c>
      <c r="I32" s="18">
        <f>+H32*F32</f>
        <v>1148.5800000000002</v>
      </c>
      <c r="K32" s="46"/>
      <c r="M32" s="39"/>
    </row>
    <row r="33" spans="2:13" ht="27.75" customHeight="1" x14ac:dyDescent="0.2">
      <c r="B33" s="41" t="s">
        <v>198</v>
      </c>
      <c r="C33" s="19" t="s">
        <v>204</v>
      </c>
      <c r="D33" s="71"/>
      <c r="E33" s="72"/>
      <c r="F33" s="71">
        <f>+K2-F32</f>
        <v>350</v>
      </c>
      <c r="G33" s="72"/>
      <c r="H33" s="17">
        <v>0.81</v>
      </c>
      <c r="I33" s="18">
        <f>+H33*F33</f>
        <v>283.5</v>
      </c>
      <c r="K33" s="46"/>
      <c r="M33" s="39"/>
    </row>
    <row r="34" spans="2:13" ht="21" customHeight="1" x14ac:dyDescent="0.2">
      <c r="B34" s="15" t="s">
        <v>15</v>
      </c>
      <c r="C34" s="15"/>
      <c r="D34" s="73"/>
      <c r="E34" s="74"/>
      <c r="F34" s="73"/>
      <c r="G34" s="74"/>
      <c r="H34" s="17"/>
      <c r="I34" s="69"/>
    </row>
    <row r="35" spans="2:13" ht="21.75" customHeight="1" x14ac:dyDescent="0.2">
      <c r="B35" s="15" t="s">
        <v>14</v>
      </c>
      <c r="C35" s="15"/>
      <c r="D35" s="75"/>
      <c r="E35" s="76"/>
      <c r="F35" s="71">
        <f>SUM(F32:G34)</f>
        <v>1768</v>
      </c>
      <c r="G35" s="72"/>
      <c r="H35" s="15"/>
      <c r="I35" s="14">
        <f>SUM(I32:I34)</f>
        <v>1432.0800000000002</v>
      </c>
      <c r="J35" s="40"/>
      <c r="K35" s="40"/>
    </row>
    <row r="36" spans="2:13" ht="21.75" customHeight="1" x14ac:dyDescent="0.2">
      <c r="B36" s="16" t="s">
        <v>13</v>
      </c>
      <c r="C36" s="15"/>
      <c r="D36" s="73"/>
      <c r="E36" s="74"/>
      <c r="F36" s="73"/>
      <c r="G36" s="74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3"/>
      <c r="E37" s="74"/>
      <c r="F37" s="73"/>
      <c r="G37" s="74"/>
      <c r="H37" s="15"/>
      <c r="I37" s="14">
        <f>+I35</f>
        <v>1432.0800000000002</v>
      </c>
    </row>
    <row r="38" spans="2:13" ht="20.25" customHeight="1" x14ac:dyDescent="0.2">
      <c r="B38" s="15" t="s">
        <v>80</v>
      </c>
      <c r="C38" s="73" t="s">
        <v>11</v>
      </c>
      <c r="D38" s="78"/>
      <c r="E38" s="78"/>
      <c r="F38" s="78"/>
      <c r="G38" s="78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1432.0800000000002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9" t="s">
        <v>7</v>
      </c>
      <c r="C47" s="79"/>
      <c r="D47" s="7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265K0089</v>
      </c>
      <c r="I53" s="8"/>
      <c r="K53" s="20">
        <v>16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0" t="s">
        <v>1</v>
      </c>
      <c r="D56" s="80"/>
      <c r="E56" s="5"/>
      <c r="F56" s="5"/>
      <c r="G56" s="5"/>
      <c r="H56" s="5"/>
      <c r="I56" s="4"/>
      <c r="K56" s="20">
        <v>16</v>
      </c>
    </row>
    <row r="57" spans="2:11" x14ac:dyDescent="0.2">
      <c r="B57" s="6"/>
      <c r="C57" s="81" t="s">
        <v>0</v>
      </c>
      <c r="D57" s="81"/>
      <c r="E57" s="5"/>
      <c r="F57" s="5"/>
      <c r="G57" s="5"/>
      <c r="H57" s="5"/>
      <c r="I57" s="4"/>
    </row>
    <row r="58" spans="2:11" x14ac:dyDescent="0.2">
      <c r="B58" s="2"/>
      <c r="C58" s="77"/>
      <c r="D58" s="7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210</v>
      </c>
      <c r="C2" s="83"/>
      <c r="D2" s="83"/>
      <c r="E2" s="83"/>
      <c r="F2" s="83"/>
      <c r="G2" s="83"/>
      <c r="H2" s="83"/>
      <c r="I2" s="84"/>
      <c r="J2" s="64">
        <v>62007129</v>
      </c>
      <c r="K2" s="65">
        <v>1384</v>
      </c>
      <c r="L2" s="66">
        <v>32</v>
      </c>
      <c r="M2" s="66">
        <v>117.452</v>
      </c>
      <c r="N2" s="66">
        <v>120.22</v>
      </c>
      <c r="O2" s="66">
        <v>141.02000000000001</v>
      </c>
      <c r="P2" s="66" t="s">
        <v>54</v>
      </c>
      <c r="Q2" s="66">
        <v>0.93899999999999995</v>
      </c>
      <c r="R2" s="66" t="s">
        <v>62</v>
      </c>
    </row>
    <row r="3" spans="2:22" x14ac:dyDescent="0.2">
      <c r="B3" s="6" t="s">
        <v>53</v>
      </c>
      <c r="C3" s="63">
        <f>+'723'!C3+1</f>
        <v>724</v>
      </c>
      <c r="D3" s="5"/>
      <c r="E3" s="5"/>
      <c r="F3" s="5"/>
      <c r="G3" s="5" t="s">
        <v>52</v>
      </c>
      <c r="H3" s="31">
        <v>46243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62007129</v>
      </c>
      <c r="C21" s="68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141.02000000000001</v>
      </c>
      <c r="G23" s="23">
        <f>+N2</f>
        <v>120.22</v>
      </c>
      <c r="H23" s="23">
        <f>+M2</f>
        <v>117.452</v>
      </c>
      <c r="I23" s="69">
        <f>+L2</f>
        <v>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3" t="s">
        <v>23</v>
      </c>
      <c r="C26" s="78"/>
      <c r="D26" s="78"/>
      <c r="E26" s="78"/>
      <c r="F26" s="78"/>
      <c r="G26" s="78"/>
      <c r="H26" s="78"/>
      <c r="I26" s="74"/>
    </row>
    <row r="27" spans="2:13" ht="24.75" customHeight="1" x14ac:dyDescent="0.2">
      <c r="B27" s="85" t="str">
        <f>+K4</f>
        <v>Girls Cotton Fibers, Knit Pullover, With No Neck Closure, Stitch Count Is Greater Than 9/2cm, Reaches Waist [100% Cotton]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33.75" customHeight="1" x14ac:dyDescent="0.2">
      <c r="B32" s="41" t="s">
        <v>208</v>
      </c>
      <c r="C32" s="19" t="s">
        <v>206</v>
      </c>
      <c r="D32" s="71"/>
      <c r="E32" s="72"/>
      <c r="F32" s="71">
        <f>+K2-F33</f>
        <v>648</v>
      </c>
      <c r="G32" s="72"/>
      <c r="H32" s="17">
        <v>0.84</v>
      </c>
      <c r="I32" s="18">
        <f>+H32*F32</f>
        <v>544.31999999999994</v>
      </c>
      <c r="K32" s="46"/>
      <c r="M32" s="39"/>
    </row>
    <row r="33" spans="2:13" ht="27.75" customHeight="1" x14ac:dyDescent="0.2">
      <c r="B33" s="41" t="s">
        <v>182</v>
      </c>
      <c r="C33" s="19" t="s">
        <v>205</v>
      </c>
      <c r="D33" s="71"/>
      <c r="E33" s="72"/>
      <c r="F33" s="71">
        <v>736</v>
      </c>
      <c r="G33" s="72"/>
      <c r="H33" s="17">
        <v>0.84</v>
      </c>
      <c r="I33" s="18">
        <f>+H33*F33</f>
        <v>618.24</v>
      </c>
      <c r="K33" s="46"/>
      <c r="M33" s="39"/>
    </row>
    <row r="34" spans="2:13" ht="21" customHeight="1" x14ac:dyDescent="0.2">
      <c r="B34" s="15" t="s">
        <v>15</v>
      </c>
      <c r="C34" s="15"/>
      <c r="D34" s="73"/>
      <c r="E34" s="74"/>
      <c r="F34" s="73"/>
      <c r="G34" s="74"/>
      <c r="H34" s="17"/>
      <c r="I34" s="69"/>
    </row>
    <row r="35" spans="2:13" ht="21.75" customHeight="1" x14ac:dyDescent="0.2">
      <c r="B35" s="15" t="s">
        <v>14</v>
      </c>
      <c r="C35" s="15"/>
      <c r="D35" s="75"/>
      <c r="E35" s="76"/>
      <c r="F35" s="71">
        <f>SUM(F32:G34)</f>
        <v>1384</v>
      </c>
      <c r="G35" s="72"/>
      <c r="H35" s="15"/>
      <c r="I35" s="14">
        <f>SUM(I32:I34)</f>
        <v>1162.56</v>
      </c>
      <c r="J35" s="40"/>
      <c r="K35" s="40"/>
    </row>
    <row r="36" spans="2:13" ht="21.75" customHeight="1" x14ac:dyDescent="0.2">
      <c r="B36" s="16" t="s">
        <v>13</v>
      </c>
      <c r="C36" s="15"/>
      <c r="D36" s="73"/>
      <c r="E36" s="74"/>
      <c r="F36" s="73"/>
      <c r="G36" s="74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3"/>
      <c r="E37" s="74"/>
      <c r="F37" s="73"/>
      <c r="G37" s="74"/>
      <c r="H37" s="15"/>
      <c r="I37" s="14">
        <f>+I35</f>
        <v>1162.56</v>
      </c>
    </row>
    <row r="38" spans="2:13" ht="20.25" customHeight="1" x14ac:dyDescent="0.2">
      <c r="B38" s="15" t="s">
        <v>80</v>
      </c>
      <c r="C38" s="73" t="s">
        <v>11</v>
      </c>
      <c r="D38" s="78"/>
      <c r="E38" s="78"/>
      <c r="F38" s="78"/>
      <c r="G38" s="78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1162.56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9" t="s">
        <v>7</v>
      </c>
      <c r="C47" s="79"/>
      <c r="D47" s="7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17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0" t="s">
        <v>1</v>
      </c>
      <c r="D56" s="80"/>
      <c r="E56" s="5"/>
      <c r="F56" s="5"/>
      <c r="G56" s="5"/>
      <c r="H56" s="5"/>
      <c r="I56" s="4"/>
      <c r="K56" s="20">
        <v>17</v>
      </c>
    </row>
    <row r="57" spans="2:11" x14ac:dyDescent="0.2">
      <c r="B57" s="6"/>
      <c r="C57" s="81" t="s">
        <v>0</v>
      </c>
      <c r="D57" s="81"/>
      <c r="E57" s="5"/>
      <c r="F57" s="5"/>
      <c r="G57" s="5"/>
      <c r="H57" s="5"/>
      <c r="I57" s="4"/>
    </row>
    <row r="58" spans="2:11" x14ac:dyDescent="0.2">
      <c r="B58" s="2"/>
      <c r="C58" s="77"/>
      <c r="D58" s="7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17</vt:i4>
      </vt:variant>
    </vt:vector>
  </HeadingPairs>
  <TitlesOfParts>
    <vt:vector size="36" baseType="lpstr">
      <vt:lpstr>Sheet1</vt:lpstr>
      <vt:lpstr>reff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'708'!Print_Area</vt:lpstr>
      <vt:lpstr>'709'!Print_Area</vt:lpstr>
      <vt:lpstr>'710'!Print_Area</vt:lpstr>
      <vt:lpstr>'711'!Print_Area</vt:lpstr>
      <vt:lpstr>'712'!Print_Area</vt:lpstr>
      <vt:lpstr>'713'!Print_Area</vt:lpstr>
      <vt:lpstr>'714'!Print_Area</vt:lpstr>
      <vt:lpstr>'715'!Print_Area</vt:lpstr>
      <vt:lpstr>'716'!Print_Area</vt:lpstr>
      <vt:lpstr>'717'!Print_Area</vt:lpstr>
      <vt:lpstr>'718'!Print_Area</vt:lpstr>
      <vt:lpstr>'719'!Print_Area</vt:lpstr>
      <vt:lpstr>'720'!Print_Area</vt:lpstr>
      <vt:lpstr>'721'!Print_Area</vt:lpstr>
      <vt:lpstr>'722'!Print_Area</vt:lpstr>
      <vt:lpstr>'723'!Print_Area</vt:lpstr>
      <vt:lpstr>'724'!Print_Area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2026-07-30T02:05:56Z</cp:lastPrinted>
  <dcterms:created xsi:type="dcterms:W3CDTF">2024-04-17T09:56:05Z</dcterms:created>
  <dcterms:modified xsi:type="dcterms:W3CDTF">2026-08-03T01:57:30Z</dcterms:modified>
</cp:coreProperties>
</file>