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e.guo\Desktop\"/>
    </mc:Choice>
  </mc:AlternateContent>
  <bookViews>
    <workbookView xWindow="0" yWindow="0" windowWidth="21600" windowHeight="9735" activeTab="1"/>
  </bookViews>
  <sheets>
    <sheet name="PACKING" sheetId="6" r:id="rId1"/>
    <sheet name="INVOICE" sheetId="7" r:id="rId2"/>
  </sheets>
  <definedNames>
    <definedName name="_xlnm.Print_Area" localSheetId="1">INVOICE!$A$1:$F$59</definedName>
    <definedName name="_xlnm.Print_Titles" localSheetId="1">INVOICE!#REF!</definedName>
  </definedNames>
  <calcPr calcId="152511"/>
</workbook>
</file>

<file path=xl/calcChain.xml><?xml version="1.0" encoding="utf-8"?>
<calcChain xmlns="http://schemas.openxmlformats.org/spreadsheetml/2006/main">
  <c r="G33" i="6" l="1"/>
  <c r="F33" i="7"/>
  <c r="F49" i="7" s="1"/>
  <c r="D18" i="6" l="1"/>
  <c r="A18" i="6" l="1"/>
  <c r="E35" i="6" l="1"/>
  <c r="D38" i="6" l="1"/>
  <c r="F35" i="6"/>
  <c r="D39" i="6" s="1"/>
  <c r="G35" i="6" l="1"/>
  <c r="D40" i="6" s="1"/>
  <c r="D49" i="7"/>
  <c r="A20" i="6" l="1"/>
  <c r="F5" i="6"/>
  <c r="A5" i="6"/>
</calcChain>
</file>

<file path=xl/sharedStrings.xml><?xml version="1.0" encoding="utf-8"?>
<sst xmlns="http://schemas.openxmlformats.org/spreadsheetml/2006/main" count="105" uniqueCount="80">
  <si>
    <t>NO.132 QINGYANG NORTH ROAD  CHANGZHOU JIANGSU CHINA</t>
    <phoneticPr fontId="4" type="noConversion"/>
  </si>
  <si>
    <t>From:</t>
    <phoneticPr fontId="4" type="noConversion"/>
  </si>
  <si>
    <t>To:</t>
    <phoneticPr fontId="4" type="noConversion"/>
  </si>
  <si>
    <t xml:space="preserve">       Description of Goods</t>
    <phoneticPr fontId="4" type="noConversion"/>
  </si>
  <si>
    <r>
      <t xml:space="preserve">TOTAL </t>
    </r>
    <r>
      <rPr>
        <b/>
        <sz val="12"/>
        <rFont val="宋体"/>
        <family val="3"/>
        <charset val="134"/>
      </rPr>
      <t>：</t>
    </r>
    <phoneticPr fontId="4" type="noConversion"/>
  </si>
  <si>
    <t xml:space="preserve"> CHANG ZHOU NEW WIDE KNITTING &amp;DYEING  CO.,LTD.</t>
    <phoneticPr fontId="30" type="noConversion"/>
  </si>
  <si>
    <t>NO.132 QINGYANG NORTH ROAD  CHANGZHOU JIANGSU CHINA</t>
    <phoneticPr fontId="30" type="noConversion"/>
  </si>
  <si>
    <t>TEL : 86-519-88806969  FAX :86-519-88256677</t>
    <phoneticPr fontId="30" type="noConversion"/>
  </si>
  <si>
    <t>PACKING LIST</t>
    <phoneticPr fontId="30" type="noConversion"/>
  </si>
  <si>
    <t>From:</t>
    <phoneticPr fontId="30" type="noConversion"/>
  </si>
  <si>
    <t>To:</t>
    <phoneticPr fontId="30" type="noConversion"/>
  </si>
  <si>
    <t>Sailing on or about:</t>
    <phoneticPr fontId="30" type="noConversion"/>
  </si>
  <si>
    <t>Nos of package</t>
    <phoneticPr fontId="30" type="noConversion"/>
  </si>
  <si>
    <t>Description of Goods</t>
    <phoneticPr fontId="30" type="noConversion"/>
  </si>
  <si>
    <t>Quantity</t>
    <phoneticPr fontId="30" type="noConversion"/>
  </si>
  <si>
    <t>Net Weight</t>
    <phoneticPr fontId="30" type="noConversion"/>
  </si>
  <si>
    <t>Gross Weight</t>
    <phoneticPr fontId="30" type="noConversion"/>
  </si>
  <si>
    <t>YDS</t>
    <phoneticPr fontId="30" type="noConversion"/>
  </si>
  <si>
    <t>KGS</t>
    <phoneticPr fontId="30" type="noConversion"/>
  </si>
  <si>
    <t>KNITTED FABRIC</t>
    <phoneticPr fontId="30" type="noConversion"/>
  </si>
  <si>
    <t>TOTAL</t>
    <phoneticPr fontId="30" type="noConversion"/>
  </si>
  <si>
    <t xml:space="preserve">YD : </t>
    <phoneticPr fontId="30" type="noConversion"/>
  </si>
  <si>
    <t>NET WEIGHT:</t>
    <phoneticPr fontId="30" type="noConversion"/>
  </si>
  <si>
    <t>GROSS WEIGHT:</t>
    <phoneticPr fontId="30" type="noConversion"/>
  </si>
  <si>
    <t xml:space="preserve"> CHANG ZHOU NEW WIDE KNITTING &amp;DYEING  CO.,LTD.</t>
    <phoneticPr fontId="4" type="noConversion"/>
  </si>
  <si>
    <t>TEL : 86-519-88806969   FAX :86-519-88256677</t>
    <phoneticPr fontId="4" type="noConversion"/>
  </si>
  <si>
    <t>I  N  V  O  I  C  E</t>
    <phoneticPr fontId="4" type="noConversion"/>
  </si>
  <si>
    <t xml:space="preserve">Consigned to: </t>
    <phoneticPr fontId="30" type="noConversion"/>
  </si>
  <si>
    <t>Sailing on or about:</t>
    <phoneticPr fontId="4" type="noConversion"/>
  </si>
  <si>
    <t>Quantity</t>
    <phoneticPr fontId="4" type="noConversion"/>
  </si>
  <si>
    <t>Unit Price</t>
    <phoneticPr fontId="4" type="noConversion"/>
  </si>
  <si>
    <t>Amount</t>
    <phoneticPr fontId="4" type="noConversion"/>
  </si>
  <si>
    <t>FOB SHANGHAI</t>
    <phoneticPr fontId="4" type="noConversion"/>
  </si>
  <si>
    <t>KNITTED FABRIC</t>
    <phoneticPr fontId="4" type="noConversion"/>
  </si>
  <si>
    <t>YARD</t>
    <phoneticPr fontId="4" type="noConversion"/>
  </si>
  <si>
    <t>CUT WIDTH:56" WEIGHT:190GSM*256G/Y</t>
    <phoneticPr fontId="4" type="noConversion"/>
  </si>
  <si>
    <t>KB121206(CB121289)REC-N/S WICK INTERLOCK PEACH</t>
    <phoneticPr fontId="4" type="noConversion"/>
  </si>
  <si>
    <t>SHIPPING MARKS&amp;NOS:</t>
  </si>
  <si>
    <t>BUYER:</t>
  </si>
  <si>
    <t>ORDER NO.:</t>
  </si>
  <si>
    <t>ITEM NO.:</t>
  </si>
  <si>
    <t>FABRIC CONTENT:</t>
  </si>
  <si>
    <t>WIDTH/WEIGHT:</t>
  </si>
  <si>
    <t>STYLE NO.</t>
  </si>
  <si>
    <t>COLOR:</t>
  </si>
  <si>
    <t>QTY:</t>
  </si>
  <si>
    <t>LOT NO.:</t>
  </si>
  <si>
    <t>PACKAGE NO.:</t>
  </si>
  <si>
    <t>NET WEIGHT:</t>
  </si>
  <si>
    <t>GROSS WEIGHT:</t>
  </si>
  <si>
    <t>SHANGHAI,CHINA</t>
    <phoneticPr fontId="30" type="noConversion"/>
  </si>
  <si>
    <t xml:space="preserve">Consigned to: </t>
  </si>
  <si>
    <t>0001</t>
  </si>
  <si>
    <t>PER YARD(USD)</t>
    <phoneticPr fontId="4" type="noConversion"/>
  </si>
  <si>
    <t>USD</t>
    <phoneticPr fontId="4" type="noConversion"/>
  </si>
  <si>
    <t>83% RECYCLE POLYAMIDE 17% ELASTANE</t>
    <phoneticPr fontId="4" type="noConversion"/>
  </si>
  <si>
    <t>INVOICE NO:CZ2609062</t>
    <phoneticPr fontId="4" type="noConversion"/>
  </si>
  <si>
    <t>PT. NIRWANA ALABARE GARMENT.</t>
  </si>
  <si>
    <t>JL. RAYARANCAEKEK- MAJALAYANO.289, DESA</t>
  </si>
  <si>
    <t>SOLOKAN JERUK, KEC.SOLOKAN JERUK, KABUPATEN</t>
  </si>
  <si>
    <t xml:space="preserve">BANDUNG,JAWA BARAT 40382 INDONESIA </t>
  </si>
  <si>
    <t>CONTACT PERSON : CINHUI/NINA</t>
  </si>
  <si>
    <t>6222-85962076</t>
  </si>
  <si>
    <t>NPWP : 0745 4069 26444000</t>
  </si>
  <si>
    <t>PT/FK</t>
  </si>
  <si>
    <t>MADE IN CHINA SHIP TO INDONESIA</t>
  </si>
  <si>
    <t xml:space="preserve">JAKARTA INDONESIA </t>
    <phoneticPr fontId="4" type="noConversion"/>
  </si>
  <si>
    <t>PO NO.:6WBDY301/307A01</t>
  </si>
  <si>
    <t>STYLE NO.:007DK/00C23</t>
  </si>
  <si>
    <t>ROLLS</t>
    <phoneticPr fontId="4" type="noConversion"/>
  </si>
  <si>
    <t>KB121206(CB121289)REC-N/S WICK INTERLOCK PEACH</t>
  </si>
  <si>
    <t>83% RECYCLE POLYAMIDE 17% ELASTANE</t>
  </si>
  <si>
    <t>CUT WIDTH:56" WEIGHT:190GSM*256G/Y</t>
  </si>
  <si>
    <t>COLOR:GRAPHITE</t>
    <phoneticPr fontId="4" type="noConversion"/>
  </si>
  <si>
    <t>COLOR:GRAPHITE</t>
    <phoneticPr fontId="4" type="noConversion"/>
  </si>
  <si>
    <t>H26071091</t>
  </si>
  <si>
    <t>ROLL:</t>
    <phoneticPr fontId="30" type="noConversion"/>
  </si>
  <si>
    <t>FOC</t>
    <phoneticPr fontId="4" type="noConversion"/>
  </si>
  <si>
    <t>DATE: 2026-10-02</t>
    <phoneticPr fontId="4" type="noConversion"/>
  </si>
  <si>
    <t>1 ROLLS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</si>
</sst>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26" formatCode="&quot;US$&quot;#,##0.00_);[Red]\(&quot;US$&quot;#,##0.00\)"/>
    <numFmt numFmtId="176" formatCode="_ * #,##0.00_ ;_ * \-#,##0.00_ ;_ * &quot;-&quot;??_ ;_ @_ "/>
    <numFmt numFmtId="177" formatCode="0.00_);[Red]\(0.00\)"/>
    <numFmt numFmtId="178" formatCode="&quot;¥&quot;#,##0.00_);[Red]\(&quot;¥&quot;#,##0.00\)"/>
  </numFmts>
  <fonts count="34">
    <font>
      <sz val="10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b/>
      <sz val="16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Times New Roman"/>
      <family val="1"/>
    </font>
    <font>
      <b/>
      <sz val="18"/>
      <name val="Times New Roman"/>
      <family val="1"/>
    </font>
    <font>
      <b/>
      <sz val="18"/>
      <name val="宋体"/>
      <family val="3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</fills>
  <borders count="4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3">
    <xf numFmtId="0" fontId="0" fillId="0" borderId="0"/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10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43" fontId="1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0" fontId="26" fillId="22" borderId="9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3" fillId="0" borderId="0"/>
    <xf numFmtId="0" fontId="2" fillId="0" borderId="0"/>
    <xf numFmtId="0" fontId="2" fillId="0" borderId="0"/>
  </cellStyleXfs>
  <cellXfs count="165">
    <xf numFmtId="0" fontId="0" fillId="0" borderId="0" xfId="0"/>
    <xf numFmtId="0" fontId="9" fillId="0" borderId="0" xfId="35" applyFont="1" applyFill="1" applyBorder="1"/>
    <xf numFmtId="49" fontId="9" fillId="0" borderId="0" xfId="35" applyNumberFormat="1" applyFont="1" applyFill="1" applyBorder="1"/>
    <xf numFmtId="0" fontId="9" fillId="0" borderId="10" xfId="0" applyFont="1" applyFill="1" applyBorder="1" applyAlignment="1"/>
    <xf numFmtId="0" fontId="9" fillId="0" borderId="11" xfId="0" applyFont="1" applyFill="1" applyBorder="1" applyAlignment="1"/>
    <xf numFmtId="0" fontId="9" fillId="0" borderId="11" xfId="0" applyFont="1" applyFill="1" applyBorder="1"/>
    <xf numFmtId="0" fontId="2" fillId="0" borderId="0" xfId="0" applyFont="1" applyFill="1" applyBorder="1"/>
    <xf numFmtId="0" fontId="0" fillId="0" borderId="0" xfId="0" applyFill="1"/>
    <xf numFmtId="0" fontId="9" fillId="0" borderId="13" xfId="0" applyFont="1" applyFill="1" applyBorder="1"/>
    <xf numFmtId="0" fontId="9" fillId="0" borderId="0" xfId="0" applyFont="1" applyFill="1" applyBorder="1" applyAlignment="1"/>
    <xf numFmtId="0" fontId="9" fillId="0" borderId="0" xfId="0" applyFont="1" applyFill="1" applyBorder="1"/>
    <xf numFmtId="26" fontId="9" fillId="0" borderId="0" xfId="0" applyNumberFormat="1" applyFont="1" applyFill="1" applyBorder="1"/>
    <xf numFmtId="26" fontId="9" fillId="0" borderId="14" xfId="0" applyNumberFormat="1" applyFont="1" applyFill="1" applyBorder="1" applyAlignment="1">
      <alignment horizontal="center"/>
    </xf>
    <xf numFmtId="0" fontId="9" fillId="0" borderId="15" xfId="0" applyFont="1" applyFill="1" applyBorder="1"/>
    <xf numFmtId="0" fontId="9" fillId="0" borderId="0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/>
    </xf>
    <xf numFmtId="26" fontId="9" fillId="0" borderId="16" xfId="0" applyNumberFormat="1" applyFont="1" applyFill="1" applyBorder="1" applyAlignment="1">
      <alignment horizontal="center" vertical="center"/>
    </xf>
    <xf numFmtId="0" fontId="9" fillId="0" borderId="17" xfId="0" applyFont="1" applyFill="1" applyBorder="1"/>
    <xf numFmtId="0" fontId="9" fillId="0" borderId="18" xfId="0" applyFont="1" applyFill="1" applyBorder="1"/>
    <xf numFmtId="26" fontId="9" fillId="0" borderId="17" xfId="0" applyNumberFormat="1" applyFont="1" applyFill="1" applyBorder="1"/>
    <xf numFmtId="14" fontId="9" fillId="0" borderId="10" xfId="0" applyNumberFormat="1" applyFont="1" applyFill="1" applyBorder="1"/>
    <xf numFmtId="26" fontId="9" fillId="0" borderId="11" xfId="0" applyNumberFormat="1" applyFont="1" applyFill="1" applyBorder="1"/>
    <xf numFmtId="177" fontId="9" fillId="0" borderId="15" xfId="0" applyNumberFormat="1" applyFont="1" applyFill="1" applyBorder="1"/>
    <xf numFmtId="0" fontId="9" fillId="0" borderId="20" xfId="0" applyFont="1" applyFill="1" applyBorder="1"/>
    <xf numFmtId="177" fontId="9" fillId="0" borderId="10" xfId="0" applyNumberFormat="1" applyFont="1" applyFill="1" applyBorder="1"/>
    <xf numFmtId="0" fontId="9" fillId="0" borderId="19" xfId="0" applyFont="1" applyFill="1" applyBorder="1"/>
    <xf numFmtId="0" fontId="9" fillId="0" borderId="21" xfId="0" applyFont="1" applyFill="1" applyBorder="1"/>
    <xf numFmtId="0" fontId="9" fillId="0" borderId="22" xfId="0" applyFont="1" applyFill="1" applyBorder="1"/>
    <xf numFmtId="0" fontId="9" fillId="0" borderId="23" xfId="0" applyFont="1" applyFill="1" applyBorder="1"/>
    <xf numFmtId="177" fontId="9" fillId="0" borderId="18" xfId="0" applyNumberFormat="1" applyFont="1" applyFill="1" applyBorder="1" applyAlignment="1">
      <alignment horizontal="center"/>
    </xf>
    <xf numFmtId="26" fontId="9" fillId="0" borderId="24" xfId="0" applyNumberFormat="1" applyFont="1" applyFill="1" applyBorder="1" applyAlignment="1">
      <alignment horizontal="center"/>
    </xf>
    <xf numFmtId="26" fontId="9" fillId="0" borderId="25" xfId="0" applyNumberFormat="1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/>
    </xf>
    <xf numFmtId="26" fontId="9" fillId="0" borderId="26" xfId="0" applyNumberFormat="1" applyFont="1" applyFill="1" applyBorder="1" applyAlignment="1">
      <alignment horizontal="center"/>
    </xf>
    <xf numFmtId="0" fontId="9" fillId="0" borderId="27" xfId="0" applyFont="1" applyFill="1" applyBorder="1"/>
    <xf numFmtId="26" fontId="9" fillId="0" borderId="28" xfId="0" applyNumberFormat="1" applyFont="1" applyFill="1" applyBorder="1" applyAlignment="1">
      <alignment horizontal="center"/>
    </xf>
    <xf numFmtId="26" fontId="9" fillId="0" borderId="16" xfId="0" applyNumberFormat="1" applyFont="1" applyFill="1" applyBorder="1" applyAlignment="1">
      <alignment horizontal="center"/>
    </xf>
    <xf numFmtId="177" fontId="9" fillId="0" borderId="27" xfId="0" applyNumberFormat="1" applyFont="1" applyFill="1" applyBorder="1" applyAlignment="1">
      <alignment horizontal="center"/>
    </xf>
    <xf numFmtId="0" fontId="10" fillId="0" borderId="29" xfId="0" applyFont="1" applyFill="1" applyBorder="1"/>
    <xf numFmtId="0" fontId="10" fillId="0" borderId="30" xfId="0" applyFont="1" applyFill="1" applyBorder="1"/>
    <xf numFmtId="0" fontId="10" fillId="0" borderId="31" xfId="0" applyFont="1" applyFill="1" applyBorder="1"/>
    <xf numFmtId="176" fontId="10" fillId="0" borderId="30" xfId="54" applyNumberFormat="1" applyFont="1" applyFill="1" applyBorder="1" applyAlignment="1">
      <alignment horizontal="center"/>
    </xf>
    <xf numFmtId="26" fontId="10" fillId="0" borderId="32" xfId="54" applyNumberFormat="1" applyFont="1" applyFill="1" applyBorder="1"/>
    <xf numFmtId="0" fontId="10" fillId="0" borderId="0" xfId="0" applyFont="1" applyFill="1" applyBorder="1"/>
    <xf numFmtId="26" fontId="2" fillId="0" borderId="0" xfId="0" applyNumberFormat="1" applyFont="1" applyFill="1" applyBorder="1" applyAlignment="1">
      <alignment horizontal="center"/>
    </xf>
    <xf numFmtId="26" fontId="2" fillId="0" borderId="0" xfId="0" applyNumberFormat="1" applyFont="1" applyFill="1" applyBorder="1"/>
    <xf numFmtId="0" fontId="6" fillId="0" borderId="35" xfId="35" applyFont="1" applyFill="1" applyBorder="1" applyAlignment="1"/>
    <xf numFmtId="0" fontId="6" fillId="0" borderId="36" xfId="35" applyFont="1" applyFill="1" applyBorder="1" applyAlignment="1"/>
    <xf numFmtId="26" fontId="9" fillId="0" borderId="0" xfId="55" applyNumberFormat="1" applyFont="1" applyFill="1" applyBorder="1" applyAlignment="1">
      <alignment horizontal="right"/>
    </xf>
    <xf numFmtId="26" fontId="9" fillId="0" borderId="0" xfId="55" applyNumberFormat="1" applyFont="1" applyFill="1" applyBorder="1" applyAlignment="1">
      <alignment horizontal="center"/>
    </xf>
    <xf numFmtId="0" fontId="9" fillId="0" borderId="0" xfId="35" applyFont="1" applyFill="1"/>
    <xf numFmtId="0" fontId="9" fillId="0" borderId="0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177" fontId="9" fillId="0" borderId="0" xfId="0" applyNumberFormat="1" applyFont="1" applyFill="1" applyBorder="1" applyAlignment="1">
      <alignment horizontal="center"/>
    </xf>
    <xf numFmtId="177" fontId="9" fillId="0" borderId="0" xfId="0" applyNumberFormat="1" applyFont="1" applyFill="1" applyBorder="1" applyAlignment="1"/>
    <xf numFmtId="177" fontId="9" fillId="0" borderId="28" xfId="0" applyNumberFormat="1" applyFont="1" applyFill="1" applyBorder="1" applyAlignment="1">
      <alignment horizontal="center"/>
    </xf>
    <xf numFmtId="177" fontId="0" fillId="0" borderId="0" xfId="0" applyNumberFormat="1" applyFill="1" applyBorder="1" applyAlignment="1"/>
    <xf numFmtId="177" fontId="9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/>
    </xf>
    <xf numFmtId="177" fontId="9" fillId="0" borderId="0" xfId="0" applyNumberFormat="1" applyFont="1" applyFill="1" applyBorder="1" applyAlignment="1">
      <alignment horizontal="right"/>
    </xf>
    <xf numFmtId="49" fontId="9" fillId="0" borderId="11" xfId="0" applyNumberFormat="1" applyFont="1" applyFill="1" applyBorder="1" applyAlignment="1">
      <alignment horizontal="center"/>
    </xf>
    <xf numFmtId="177" fontId="9" fillId="0" borderId="11" xfId="0" applyNumberFormat="1" applyFont="1" applyFill="1" applyBorder="1" applyAlignment="1">
      <alignment horizontal="right"/>
    </xf>
    <xf numFmtId="177" fontId="9" fillId="0" borderId="11" xfId="0" applyNumberFormat="1" applyFont="1" applyFill="1" applyBorder="1"/>
    <xf numFmtId="177" fontId="9" fillId="0" borderId="37" xfId="0" applyNumberFormat="1" applyFont="1" applyFill="1" applyBorder="1" applyAlignment="1">
      <alignment horizontal="center"/>
    </xf>
    <xf numFmtId="177" fontId="9" fillId="0" borderId="17" xfId="0" applyNumberFormat="1" applyFont="1" applyFill="1" applyBorder="1"/>
    <xf numFmtId="177" fontId="9" fillId="0" borderId="26" xfId="0" applyNumberFormat="1" applyFont="1" applyFill="1" applyBorder="1" applyAlignment="1">
      <alignment horizontal="center"/>
    </xf>
    <xf numFmtId="177" fontId="9" fillId="0" borderId="20" xfId="0" applyNumberFormat="1" applyFont="1" applyFill="1" applyBorder="1"/>
    <xf numFmtId="14" fontId="9" fillId="0" borderId="15" xfId="0" applyNumberFormat="1" applyFont="1" applyFill="1" applyBorder="1"/>
    <xf numFmtId="14" fontId="9" fillId="0" borderId="0" xfId="0" applyNumberFormat="1" applyFont="1" applyFill="1" applyBorder="1"/>
    <xf numFmtId="177" fontId="9" fillId="0" borderId="0" xfId="0" applyNumberFormat="1" applyFont="1" applyFill="1" applyBorder="1"/>
    <xf numFmtId="0" fontId="9" fillId="0" borderId="38" xfId="0" applyFont="1" applyFill="1" applyBorder="1"/>
    <xf numFmtId="0" fontId="9" fillId="0" borderId="39" xfId="0" applyFont="1" applyFill="1" applyBorder="1"/>
    <xf numFmtId="49" fontId="9" fillId="0" borderId="22" xfId="0" applyNumberFormat="1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177" fontId="9" fillId="0" borderId="23" xfId="0" applyNumberFormat="1" applyFont="1" applyFill="1" applyBorder="1" applyAlignment="1">
      <alignment horizontal="center"/>
    </xf>
    <xf numFmtId="177" fontId="9" fillId="0" borderId="39" xfId="0" applyNumberFormat="1" applyFont="1" applyFill="1" applyBorder="1" applyAlignment="1">
      <alignment horizontal="center"/>
    </xf>
    <xf numFmtId="177" fontId="9" fillId="0" borderId="38" xfId="0" applyNumberFormat="1" applyFont="1" applyFill="1" applyBorder="1" applyAlignment="1">
      <alignment horizontal="center"/>
    </xf>
    <xf numFmtId="49" fontId="9" fillId="0" borderId="17" xfId="0" applyNumberFormat="1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177" fontId="9" fillId="0" borderId="24" xfId="0" applyNumberFormat="1" applyFont="1" applyFill="1" applyBorder="1" applyAlignment="1">
      <alignment horizontal="center"/>
    </xf>
    <xf numFmtId="49" fontId="9" fillId="0" borderId="20" xfId="0" applyNumberFormat="1" applyFont="1" applyFill="1" applyBorder="1" applyAlignment="1">
      <alignment horizontal="right"/>
    </xf>
    <xf numFmtId="49" fontId="9" fillId="0" borderId="0" xfId="0" applyNumberFormat="1" applyFont="1" applyFill="1" applyBorder="1" applyAlignment="1">
      <alignment horizontal="center"/>
    </xf>
    <xf numFmtId="177" fontId="9" fillId="0" borderId="20" xfId="0" applyNumberFormat="1" applyFont="1" applyFill="1" applyBorder="1" applyAlignment="1">
      <alignment horizontal="center"/>
    </xf>
    <xf numFmtId="49" fontId="9" fillId="0" borderId="20" xfId="0" applyNumberFormat="1" applyFont="1" applyFill="1" applyBorder="1" applyAlignment="1">
      <alignment horizontal="center"/>
    </xf>
    <xf numFmtId="0" fontId="6" fillId="0" borderId="20" xfId="0" applyFont="1" applyFill="1" applyBorder="1" applyAlignment="1">
      <alignment horizontal="left" vertical="center"/>
    </xf>
    <xf numFmtId="0" fontId="9" fillId="0" borderId="39" xfId="0" applyNumberFormat="1" applyFont="1" applyFill="1" applyBorder="1" applyAlignment="1">
      <alignment horizontal="right"/>
    </xf>
    <xf numFmtId="49" fontId="9" fillId="0" borderId="39" xfId="0" applyNumberFormat="1" applyFont="1" applyFill="1" applyBorder="1" applyAlignment="1">
      <alignment horizontal="left"/>
    </xf>
    <xf numFmtId="0" fontId="31" fillId="0" borderId="0" xfId="0" applyFont="1" applyFill="1" applyBorder="1"/>
    <xf numFmtId="49" fontId="31" fillId="0" borderId="0" xfId="0" applyNumberFormat="1" applyFont="1" applyFill="1" applyBorder="1" applyAlignment="1">
      <alignment horizontal="center"/>
    </xf>
    <xf numFmtId="176" fontId="9" fillId="0" borderId="0" xfId="54" applyNumberFormat="1" applyFont="1" applyFill="1" applyBorder="1"/>
    <xf numFmtId="0" fontId="9" fillId="0" borderId="0" xfId="0" applyNumberFormat="1" applyFont="1" applyFill="1" applyBorder="1" applyAlignment="1">
      <alignment horizontal="left"/>
    </xf>
    <xf numFmtId="177" fontId="31" fillId="0" borderId="0" xfId="0" applyNumberFormat="1" applyFont="1" applyFill="1" applyBorder="1"/>
    <xf numFmtId="49" fontId="32" fillId="0" borderId="0" xfId="0" applyNumberFormat="1" applyFont="1" applyFill="1" applyBorder="1" applyAlignment="1">
      <alignment horizontal="center"/>
    </xf>
    <xf numFmtId="177" fontId="9" fillId="0" borderId="0" xfId="54" applyNumberFormat="1" applyFont="1" applyFill="1" applyBorder="1" applyAlignment="1">
      <alignment horizontal="center"/>
    </xf>
    <xf numFmtId="0" fontId="10" fillId="0" borderId="0" xfId="0" applyNumberFormat="1" applyFont="1" applyFill="1" applyBorder="1" applyAlignment="1">
      <alignment horizontal="left"/>
    </xf>
    <xf numFmtId="0" fontId="31" fillId="0" borderId="0" xfId="0" applyFont="1" applyFill="1"/>
    <xf numFmtId="177" fontId="10" fillId="0" borderId="0" xfId="54" applyNumberFormat="1" applyFont="1" applyFill="1" applyBorder="1" applyAlignment="1">
      <alignment horizontal="right"/>
    </xf>
    <xf numFmtId="177" fontId="9" fillId="0" borderId="0" xfId="0" applyNumberFormat="1" applyFont="1" applyFill="1" applyAlignment="1">
      <alignment horizontal="center"/>
    </xf>
    <xf numFmtId="2" fontId="32" fillId="0" borderId="0" xfId="0" applyNumberFormat="1" applyFont="1" applyFill="1" applyBorder="1"/>
    <xf numFmtId="177" fontId="10" fillId="0" borderId="0" xfId="0" applyNumberFormat="1" applyFont="1" applyFill="1" applyBorder="1" applyAlignment="1">
      <alignment horizontal="right"/>
    </xf>
    <xf numFmtId="0" fontId="31" fillId="0" borderId="0" xfId="0" applyNumberFormat="1" applyFont="1" applyFill="1" applyAlignment="1">
      <alignment horizontal="right"/>
    </xf>
    <xf numFmtId="49" fontId="31" fillId="0" borderId="0" xfId="0" applyNumberFormat="1" applyFont="1" applyFill="1" applyAlignment="1">
      <alignment horizontal="center"/>
    </xf>
    <xf numFmtId="0" fontId="6" fillId="0" borderId="15" xfId="0" applyFont="1" applyFill="1" applyBorder="1" applyAlignment="1">
      <alignment horizontal="left" vertical="center"/>
    </xf>
    <xf numFmtId="26" fontId="9" fillId="0" borderId="0" xfId="0" applyNumberFormat="1" applyFont="1" applyFill="1" applyBorder="1" applyAlignment="1">
      <alignment horizontal="center"/>
    </xf>
    <xf numFmtId="26" fontId="9" fillId="0" borderId="40" xfId="0" applyNumberFormat="1" applyFont="1" applyFill="1" applyBorder="1" applyAlignment="1">
      <alignment horizontal="center"/>
    </xf>
    <xf numFmtId="0" fontId="9" fillId="0" borderId="0" xfId="0" applyFont="1" applyFill="1"/>
    <xf numFmtId="0" fontId="9" fillId="0" borderId="0" xfId="60" applyFont="1"/>
    <xf numFmtId="0" fontId="9" fillId="0" borderId="19" xfId="60" applyFont="1" applyBorder="1"/>
    <xf numFmtId="0" fontId="2" fillId="0" borderId="0" xfId="60" applyFont="1" applyAlignment="1"/>
    <xf numFmtId="178" fontId="9" fillId="0" borderId="0" xfId="0" applyNumberFormat="1" applyFont="1" applyFill="1" applyBorder="1" applyAlignment="1">
      <alignment horizontal="center"/>
    </xf>
    <xf numFmtId="178" fontId="9" fillId="0" borderId="40" xfId="0" applyNumberFormat="1" applyFont="1" applyFill="1" applyBorder="1" applyAlignment="1">
      <alignment horizontal="center"/>
    </xf>
    <xf numFmtId="26" fontId="9" fillId="0" borderId="11" xfId="0" applyNumberFormat="1" applyFont="1" applyFill="1" applyBorder="1" applyAlignment="1"/>
    <xf numFmtId="26" fontId="9" fillId="0" borderId="12" xfId="0" applyNumberFormat="1" applyFont="1" applyFill="1" applyBorder="1" applyAlignment="1"/>
    <xf numFmtId="26" fontId="9" fillId="0" borderId="12" xfId="0" applyNumberFormat="1" applyFont="1" applyFill="1" applyBorder="1" applyAlignment="1">
      <alignment horizontal="center"/>
    </xf>
    <xf numFmtId="0" fontId="2" fillId="0" borderId="0" xfId="35" applyFont="1" applyFill="1"/>
    <xf numFmtId="0" fontId="2" fillId="0" borderId="34" xfId="35" applyFont="1" applyFill="1" applyBorder="1"/>
    <xf numFmtId="0" fontId="2" fillId="0" borderId="35" xfId="35" applyFont="1" applyFill="1" applyBorder="1"/>
    <xf numFmtId="0" fontId="1" fillId="0" borderId="0" xfId="0" applyFont="1" applyFill="1"/>
    <xf numFmtId="0" fontId="1" fillId="0" borderId="27" xfId="0" applyFont="1" applyFill="1" applyBorder="1"/>
    <xf numFmtId="26" fontId="1" fillId="0" borderId="28" xfId="0" applyNumberFormat="1" applyFont="1" applyFill="1" applyBorder="1"/>
    <xf numFmtId="0" fontId="1" fillId="0" borderId="0" xfId="0" applyFont="1" applyFill="1" applyBorder="1" applyAlignment="1"/>
    <xf numFmtId="0" fontId="2" fillId="0" borderId="0" xfId="35" applyFont="1" applyFill="1" applyBorder="1"/>
    <xf numFmtId="26" fontId="2" fillId="0" borderId="0" xfId="35" applyNumberFormat="1" applyFont="1" applyFill="1" applyBorder="1"/>
    <xf numFmtId="26" fontId="2" fillId="0" borderId="0" xfId="35" applyNumberFormat="1" applyFont="1" applyFill="1" applyBorder="1" applyAlignment="1">
      <alignment horizontal="center"/>
    </xf>
    <xf numFmtId="26" fontId="2" fillId="0" borderId="0" xfId="35" applyNumberFormat="1" applyFont="1" applyFill="1"/>
    <xf numFmtId="26" fontId="2" fillId="0" borderId="0" xfId="35" applyNumberFormat="1" applyFont="1" applyFill="1" applyAlignment="1">
      <alignment horizontal="center"/>
    </xf>
    <xf numFmtId="0" fontId="9" fillId="0" borderId="15" xfId="32" applyFont="1" applyFill="1" applyBorder="1" applyAlignment="1">
      <alignment horizontal="left" vertical="center"/>
    </xf>
    <xf numFmtId="0" fontId="9" fillId="0" borderId="20" xfId="32" applyFont="1" applyFill="1" applyBorder="1" applyAlignment="1">
      <alignment horizontal="left" vertical="center"/>
    </xf>
    <xf numFmtId="49" fontId="9" fillId="0" borderId="20" xfId="0" applyNumberFormat="1" applyFont="1" applyFill="1" applyBorder="1"/>
    <xf numFmtId="49" fontId="9" fillId="0" borderId="0" xfId="0" applyNumberFormat="1" applyFont="1" applyFill="1" applyBorder="1" applyAlignment="1"/>
    <xf numFmtId="49" fontId="9" fillId="0" borderId="0" xfId="0" applyNumberFormat="1" applyFont="1" applyFill="1" applyBorder="1"/>
    <xf numFmtId="177" fontId="9" fillId="0" borderId="13" xfId="0" applyNumberFormat="1" applyFont="1" applyFill="1" applyBorder="1"/>
    <xf numFmtId="26" fontId="10" fillId="0" borderId="33" xfId="54" applyNumberFormat="1" applyFont="1" applyFill="1" applyBorder="1" applyAlignment="1">
      <alignment horizontal="center"/>
    </xf>
    <xf numFmtId="26" fontId="9" fillId="0" borderId="18" xfId="0" applyNumberFormat="1" applyFont="1" applyFill="1" applyBorder="1"/>
    <xf numFmtId="0" fontId="9" fillId="0" borderId="20" xfId="0" applyFont="1" applyFill="1" applyBorder="1" applyAlignment="1">
      <alignment vertical="center" wrapText="1"/>
    </xf>
    <xf numFmtId="26" fontId="9" fillId="0" borderId="20" xfId="0" applyNumberFormat="1" applyFont="1" applyFill="1" applyBorder="1" applyAlignment="1">
      <alignment vertical="center"/>
    </xf>
    <xf numFmtId="26" fontId="9" fillId="0" borderId="19" xfId="0" applyNumberFormat="1" applyFont="1" applyFill="1" applyBorder="1"/>
    <xf numFmtId="26" fontId="9" fillId="0" borderId="20" xfId="0" applyNumberFormat="1" applyFont="1" applyFill="1" applyBorder="1"/>
    <xf numFmtId="0" fontId="9" fillId="0" borderId="11" xfId="60" applyFont="1" applyBorder="1"/>
    <xf numFmtId="0" fontId="9" fillId="0" borderId="0" xfId="0" applyFont="1" applyBorder="1" applyAlignment="1"/>
    <xf numFmtId="177" fontId="9" fillId="0" borderId="18" xfId="0" applyNumberFormat="1" applyFont="1" applyFill="1" applyBorder="1" applyAlignment="1"/>
    <xf numFmtId="177" fontId="0" fillId="0" borderId="20" xfId="0" applyNumberFormat="1" applyFill="1" applyBorder="1" applyAlignment="1"/>
    <xf numFmtId="177" fontId="9" fillId="0" borderId="20" xfId="0" applyNumberFormat="1" applyFont="1" applyFill="1" applyBorder="1" applyAlignment="1"/>
    <xf numFmtId="177" fontId="9" fillId="0" borderId="20" xfId="0" applyNumberFormat="1" applyFont="1" applyFill="1" applyBorder="1" applyAlignment="1">
      <alignment vertical="center"/>
    </xf>
    <xf numFmtId="177" fontId="9" fillId="0" borderId="19" xfId="0" applyNumberFormat="1" applyFont="1" applyFill="1" applyBorder="1"/>
    <xf numFmtId="176" fontId="10" fillId="0" borderId="0" xfId="54" applyNumberFormat="1" applyFont="1" applyFill="1" applyBorder="1" applyAlignment="1">
      <alignment horizontal="center"/>
    </xf>
    <xf numFmtId="177" fontId="10" fillId="0" borderId="0" xfId="54" applyNumberFormat="1" applyFont="1" applyFill="1" applyBorder="1" applyAlignment="1">
      <alignment horizontal="right"/>
    </xf>
    <xf numFmtId="0" fontId="3" fillId="0" borderId="4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9" fontId="6" fillId="0" borderId="11" xfId="0" applyNumberFormat="1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26" fontId="9" fillId="0" borderId="11" xfId="0" applyNumberFormat="1" applyFont="1" applyFill="1" applyBorder="1" applyAlignment="1">
      <alignment horizontal="center"/>
    </xf>
    <xf numFmtId="26" fontId="9" fillId="0" borderId="12" xfId="0" applyNumberFormat="1" applyFont="1" applyFill="1" applyBorder="1" applyAlignment="1">
      <alignment horizontal="center"/>
    </xf>
    <xf numFmtId="0" fontId="3" fillId="0" borderId="42" xfId="35" applyFont="1" applyFill="1" applyBorder="1" applyAlignment="1">
      <alignment horizontal="center"/>
    </xf>
    <xf numFmtId="0" fontId="3" fillId="0" borderId="41" xfId="35" applyFont="1" applyFill="1" applyBorder="1" applyAlignment="1">
      <alignment horizontal="center"/>
    </xf>
    <xf numFmtId="0" fontId="3" fillId="0" borderId="43" xfId="35" applyFont="1" applyFill="1" applyBorder="1" applyAlignment="1">
      <alignment horizontal="center"/>
    </xf>
    <xf numFmtId="0" fontId="6" fillId="0" borderId="15" xfId="35" applyFont="1" applyFill="1" applyBorder="1" applyAlignment="1">
      <alignment horizontal="center"/>
    </xf>
    <xf numFmtId="0" fontId="6" fillId="0" borderId="0" xfId="35" applyFont="1" applyFill="1" applyBorder="1" applyAlignment="1">
      <alignment horizontal="center"/>
    </xf>
    <xf numFmtId="0" fontId="6" fillId="0" borderId="16" xfId="35" applyFont="1" applyFill="1" applyBorder="1" applyAlignment="1">
      <alignment horizontal="center"/>
    </xf>
    <xf numFmtId="0" fontId="7" fillId="0" borderId="42" xfId="35" applyFont="1" applyFill="1" applyBorder="1" applyAlignment="1">
      <alignment horizontal="center"/>
    </xf>
    <xf numFmtId="0" fontId="8" fillId="0" borderId="41" xfId="35" applyFont="1" applyFill="1" applyBorder="1" applyAlignment="1">
      <alignment horizontal="center"/>
    </xf>
    <xf numFmtId="0" fontId="8" fillId="0" borderId="43" xfId="35" applyFont="1" applyFill="1" applyBorder="1" applyAlignment="1">
      <alignment horizontal="center"/>
    </xf>
  </cellXfs>
  <cellStyles count="63">
    <cellStyle name="20% - 輔色1" xfId="1"/>
    <cellStyle name="20% - 輔色2" xfId="2"/>
    <cellStyle name="20% - 輔色3" xfId="3"/>
    <cellStyle name="20% - 輔色4" xfId="4"/>
    <cellStyle name="20% - 輔色5" xfId="5"/>
    <cellStyle name="20% - 輔色6" xfId="6"/>
    <cellStyle name="40% - 輔色1" xfId="7"/>
    <cellStyle name="40% - 輔色2" xfId="8"/>
    <cellStyle name="40% - 輔色3" xfId="9"/>
    <cellStyle name="40% - 輔色4" xfId="10"/>
    <cellStyle name="40% - 輔色5" xfId="11"/>
    <cellStyle name="40% - 輔色6" xfId="12"/>
    <cellStyle name="60% - 輔色1" xfId="13"/>
    <cellStyle name="60% - 輔色2" xfId="14"/>
    <cellStyle name="60% - 輔色3" xfId="15"/>
    <cellStyle name="60% - 輔色4" xfId="16"/>
    <cellStyle name="60% - 輔色5" xfId="17"/>
    <cellStyle name="60% - 輔色6" xfId="18"/>
    <cellStyle name="一般" xfId="0" builtinId="0"/>
    <cellStyle name="千分位" xfId="54" builtinId="3"/>
    <cellStyle name="千位分隔 2" xfId="55"/>
    <cellStyle name="中等" xfId="59"/>
    <cellStyle name="合計" xfId="48"/>
    <cellStyle name="好_INVOICE" xfId="46"/>
    <cellStyle name="好_PACKING" xfId="47"/>
    <cellStyle name="計算方式" xfId="50"/>
    <cellStyle name="常规 13 2" xfId="25"/>
    <cellStyle name="常规 14 3" xfId="26"/>
    <cellStyle name="常规 15 3" xfId="27"/>
    <cellStyle name="常规 16 2" xfId="28"/>
    <cellStyle name="常规 17" xfId="61"/>
    <cellStyle name="常规 2" xfId="29"/>
    <cellStyle name="常规 2 2" xfId="30"/>
    <cellStyle name="常规 2 2 2" xfId="31"/>
    <cellStyle name="常规 2 3" xfId="32"/>
    <cellStyle name="常规 2 4 2" xfId="62"/>
    <cellStyle name="常规 3 2" xfId="33"/>
    <cellStyle name="常规 4" xfId="60"/>
    <cellStyle name="常规 44" xfId="34"/>
    <cellStyle name="常规 5" xfId="35"/>
    <cellStyle name="常规 5 2" xfId="36"/>
    <cellStyle name="常规 6" xfId="37"/>
    <cellStyle name="常规 6 2" xfId="38"/>
    <cellStyle name="常规 7" xfId="39"/>
    <cellStyle name="連結的儲存格" xfId="53"/>
    <cellStyle name="備註" xfId="19"/>
    <cellStyle name="說明文字" xfId="58"/>
    <cellStyle name="輔色1" xfId="40"/>
    <cellStyle name="輔色2" xfId="41"/>
    <cellStyle name="輔色3" xfId="42"/>
    <cellStyle name="輔色4" xfId="43"/>
    <cellStyle name="輔色5" xfId="44"/>
    <cellStyle name="輔色6" xfId="45"/>
    <cellStyle name="標題" xfId="20"/>
    <cellStyle name="標題 1" xfId="21"/>
    <cellStyle name="標題 2" xfId="22"/>
    <cellStyle name="標題 3" xfId="23"/>
    <cellStyle name="標題 4" xfId="24"/>
    <cellStyle name="輸入" xfId="57"/>
    <cellStyle name="輸出" xfId="56"/>
    <cellStyle name="檢查儲存格" xfId="51"/>
    <cellStyle name="壞" xfId="49"/>
    <cellStyle name="警告文字" xfId="5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37</xdr:row>
      <xdr:rowOff>28575</xdr:rowOff>
    </xdr:from>
    <xdr:to>
      <xdr:col>6</xdr:col>
      <xdr:colOff>1203583</xdr:colOff>
      <xdr:row>41</xdr:row>
      <xdr:rowOff>28577</xdr:rowOff>
    </xdr:to>
    <xdr:pic>
      <xdr:nvPicPr>
        <xdr:cNvPr id="3" name="图片 2" descr="条形签字章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8300" y="8972550"/>
          <a:ext cx="1975108" cy="800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6819900" y="0"/>
          <a:ext cx="0" cy="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CN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LEADER</a:t>
          </a:r>
        </a:p>
        <a:p>
          <a:pPr algn="l" rtl="0">
            <a:defRPr sz="1000"/>
          </a:pPr>
          <a:endParaRPr lang="en-US" altLang="zh-CN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zh-CN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zh-CN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zh-CN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4</xdr:col>
      <xdr:colOff>609600</xdr:colOff>
      <xdr:row>51</xdr:row>
      <xdr:rowOff>19050</xdr:rowOff>
    </xdr:from>
    <xdr:to>
      <xdr:col>5</xdr:col>
      <xdr:colOff>1041658</xdr:colOff>
      <xdr:row>55</xdr:row>
      <xdr:rowOff>2</xdr:rowOff>
    </xdr:to>
    <xdr:pic>
      <xdr:nvPicPr>
        <xdr:cNvPr id="4" name="图片 3" descr="条形签字章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96125" y="7524750"/>
          <a:ext cx="1975108" cy="80010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51</xdr:row>
      <xdr:rowOff>133350</xdr:rowOff>
    </xdr:from>
    <xdr:to>
      <xdr:col>2</xdr:col>
      <xdr:colOff>771525</xdr:colOff>
      <xdr:row>63</xdr:row>
      <xdr:rowOff>95250</xdr:rowOff>
    </xdr:to>
    <xdr:pic>
      <xdr:nvPicPr>
        <xdr:cNvPr id="5" name="圖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0639425"/>
          <a:ext cx="3781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opLeftCell="A15" workbookViewId="0">
      <selection activeCell="C43" sqref="C43"/>
    </sheetView>
  </sheetViews>
  <sheetFormatPr defaultRowHeight="12.75"/>
  <cols>
    <col min="1" max="5" width="18.85546875" customWidth="1"/>
    <col min="6" max="6" width="16.7109375" customWidth="1"/>
    <col min="7" max="7" width="26" customWidth="1"/>
  </cols>
  <sheetData>
    <row r="1" spans="1:7" s="7" customFormat="1" ht="20.25" customHeight="1">
      <c r="A1" s="148" t="s">
        <v>5</v>
      </c>
      <c r="B1" s="148"/>
      <c r="C1" s="148"/>
      <c r="D1" s="148"/>
      <c r="E1" s="148"/>
      <c r="F1" s="148"/>
      <c r="G1" s="148"/>
    </row>
    <row r="2" spans="1:7" s="7" customFormat="1" ht="15">
      <c r="A2" s="149" t="s">
        <v>6</v>
      </c>
      <c r="B2" s="149"/>
      <c r="C2" s="149"/>
      <c r="D2" s="149"/>
      <c r="E2" s="149"/>
      <c r="F2" s="149"/>
      <c r="G2" s="149"/>
    </row>
    <row r="3" spans="1:7" s="7" customFormat="1" ht="15">
      <c r="A3" s="150" t="s">
        <v>7</v>
      </c>
      <c r="B3" s="150"/>
      <c r="C3" s="150"/>
      <c r="D3" s="150"/>
      <c r="E3" s="150"/>
      <c r="F3" s="150"/>
      <c r="G3" s="150"/>
    </row>
    <row r="4" spans="1:7" s="7" customFormat="1" ht="22.5">
      <c r="A4" s="151" t="s">
        <v>8</v>
      </c>
      <c r="B4" s="152"/>
      <c r="C4" s="152"/>
      <c r="D4" s="152"/>
      <c r="E4" s="152"/>
      <c r="F4" s="152"/>
      <c r="G4" s="153"/>
    </row>
    <row r="5" spans="1:7" s="7" customFormat="1" ht="15.75">
      <c r="A5" s="53" t="str">
        <f>INVOICE!A5</f>
        <v>INVOICE NO:CZ2609062</v>
      </c>
      <c r="B5" s="3"/>
      <c r="C5" s="4"/>
      <c r="D5" s="5"/>
      <c r="E5" s="5"/>
      <c r="F5" s="154" t="str">
        <f>INVOICE!E5</f>
        <v>DATE: 2026-10-02</v>
      </c>
      <c r="G5" s="155"/>
    </row>
    <row r="6" spans="1:7" s="7" customFormat="1" ht="15.75" customHeight="1">
      <c r="A6" s="24" t="s">
        <v>51</v>
      </c>
      <c r="B6" s="140" t="s">
        <v>57</v>
      </c>
      <c r="C6" s="54"/>
      <c r="D6" s="55"/>
      <c r="E6" s="55"/>
      <c r="F6" s="141" t="s">
        <v>37</v>
      </c>
      <c r="G6" s="56"/>
    </row>
    <row r="7" spans="1:7" s="7" customFormat="1" ht="15.75" customHeight="1">
      <c r="A7" s="24"/>
      <c r="B7" s="140" t="s">
        <v>58</v>
      </c>
      <c r="C7" s="57"/>
      <c r="D7" s="57"/>
      <c r="E7" s="57"/>
      <c r="F7" s="142" t="s">
        <v>64</v>
      </c>
      <c r="G7" s="56"/>
    </row>
    <row r="8" spans="1:7" s="7" customFormat="1" ht="15.75" customHeight="1">
      <c r="A8" s="24"/>
      <c r="B8" s="140" t="s">
        <v>59</v>
      </c>
      <c r="C8" s="58"/>
      <c r="D8" s="55"/>
      <c r="E8" s="55"/>
      <c r="F8" s="143" t="s">
        <v>38</v>
      </c>
      <c r="G8" s="56"/>
    </row>
    <row r="9" spans="1:7" s="7" customFormat="1" ht="15.75" customHeight="1">
      <c r="A9" s="24"/>
      <c r="B9" s="140" t="s">
        <v>60</v>
      </c>
      <c r="C9" s="58"/>
      <c r="D9" s="55"/>
      <c r="E9" s="55"/>
      <c r="F9" s="143" t="s">
        <v>39</v>
      </c>
      <c r="G9" s="56"/>
    </row>
    <row r="10" spans="1:7" s="7" customFormat="1" ht="15.75" customHeight="1">
      <c r="A10" s="24"/>
      <c r="B10" s="140" t="s">
        <v>61</v>
      </c>
      <c r="C10" s="58"/>
      <c r="D10" s="55"/>
      <c r="E10" s="55"/>
      <c r="F10" s="143" t="s">
        <v>40</v>
      </c>
      <c r="G10" s="56"/>
    </row>
    <row r="11" spans="1:7" s="7" customFormat="1" ht="15.75" customHeight="1">
      <c r="A11" s="24"/>
      <c r="B11" s="140" t="s">
        <v>62</v>
      </c>
      <c r="C11" s="58"/>
      <c r="D11" s="55"/>
      <c r="E11" s="55"/>
      <c r="F11" s="143" t="s">
        <v>41</v>
      </c>
      <c r="G11" s="56"/>
    </row>
    <row r="12" spans="1:7" s="7" customFormat="1" ht="15.75" customHeight="1">
      <c r="A12" s="24"/>
      <c r="B12" s="109" t="s">
        <v>63</v>
      </c>
      <c r="C12" s="58"/>
      <c r="D12" s="55"/>
      <c r="E12" s="55"/>
      <c r="F12" s="143" t="s">
        <v>42</v>
      </c>
      <c r="G12" s="56"/>
    </row>
    <row r="13" spans="1:7" s="7" customFormat="1" ht="15.75" customHeight="1">
      <c r="A13" s="24"/>
      <c r="B13" s="109"/>
      <c r="C13" s="58"/>
      <c r="D13" s="55"/>
      <c r="E13" s="55"/>
      <c r="F13" s="143" t="s">
        <v>43</v>
      </c>
      <c r="G13" s="56"/>
    </row>
    <row r="14" spans="1:7" s="7" customFormat="1" ht="15.75" customHeight="1">
      <c r="A14" s="24"/>
      <c r="B14" s="109"/>
      <c r="C14" s="58"/>
      <c r="D14" s="55"/>
      <c r="E14" s="55"/>
      <c r="F14" s="143" t="s">
        <v>44</v>
      </c>
      <c r="G14" s="56"/>
    </row>
    <row r="15" spans="1:7" s="7" customFormat="1" ht="15.75" customHeight="1">
      <c r="A15" s="24"/>
      <c r="B15" s="107"/>
      <c r="C15" s="59"/>
      <c r="D15" s="60"/>
      <c r="E15" s="60"/>
      <c r="F15" s="144" t="s">
        <v>45</v>
      </c>
      <c r="G15" s="56"/>
    </row>
    <row r="16" spans="1:7" s="7" customFormat="1" ht="15.75">
      <c r="A16" s="26"/>
      <c r="B16" s="5"/>
      <c r="C16" s="61"/>
      <c r="D16" s="5"/>
      <c r="E16" s="62"/>
      <c r="F16" s="67" t="s">
        <v>46</v>
      </c>
      <c r="G16" s="56"/>
    </row>
    <row r="17" spans="1:7" s="7" customFormat="1" ht="15.75">
      <c r="A17" s="23" t="s">
        <v>9</v>
      </c>
      <c r="B17" s="18"/>
      <c r="C17" s="18"/>
      <c r="D17" s="67" t="s">
        <v>10</v>
      </c>
      <c r="E17" s="20"/>
      <c r="F17" s="67" t="s">
        <v>47</v>
      </c>
      <c r="G17" s="56"/>
    </row>
    <row r="18" spans="1:7" s="7" customFormat="1" ht="15.75">
      <c r="A18" s="25" t="str">
        <f>INVOICE!A18</f>
        <v>SHANGHAI,CHINA</v>
      </c>
      <c r="B18" s="5"/>
      <c r="C18" s="5"/>
      <c r="D18" s="26" t="str">
        <f>INVOICE!C18</f>
        <v xml:space="preserve">JAKARTA INDONESIA </v>
      </c>
      <c r="E18" s="22"/>
      <c r="F18" s="67" t="s">
        <v>48</v>
      </c>
      <c r="G18" s="56"/>
    </row>
    <row r="19" spans="1:7" s="7" customFormat="1" ht="15.75">
      <c r="A19" s="8" t="s">
        <v>11</v>
      </c>
      <c r="B19" s="10"/>
      <c r="C19" s="10"/>
      <c r="D19" s="65"/>
      <c r="E19" s="20"/>
      <c r="F19" s="67" t="s">
        <v>49</v>
      </c>
      <c r="G19" s="56"/>
    </row>
    <row r="20" spans="1:7" s="7" customFormat="1" ht="18" customHeight="1">
      <c r="A20" s="68">
        <f>INVOICE!A20</f>
        <v>46279</v>
      </c>
      <c r="B20" s="69"/>
      <c r="C20" s="10"/>
      <c r="D20" s="63"/>
      <c r="E20" s="11"/>
      <c r="F20" s="145" t="s">
        <v>65</v>
      </c>
      <c r="G20" s="64"/>
    </row>
    <row r="21" spans="1:7" s="7" customFormat="1" ht="15.75">
      <c r="A21" s="71" t="s">
        <v>12</v>
      </c>
      <c r="B21" s="72" t="s">
        <v>13</v>
      </c>
      <c r="C21" s="73"/>
      <c r="D21" s="74"/>
      <c r="E21" s="75" t="s">
        <v>14</v>
      </c>
      <c r="F21" s="76" t="s">
        <v>15</v>
      </c>
      <c r="G21" s="77" t="s">
        <v>16</v>
      </c>
    </row>
    <row r="22" spans="1:7" s="7" customFormat="1" ht="15.75">
      <c r="A22" s="19"/>
      <c r="B22" s="19"/>
      <c r="C22" s="78"/>
      <c r="D22" s="79"/>
      <c r="E22" s="66" t="s">
        <v>17</v>
      </c>
      <c r="F22" s="30" t="s">
        <v>18</v>
      </c>
      <c r="G22" s="80" t="s">
        <v>18</v>
      </c>
    </row>
    <row r="23" spans="1:7" s="7" customFormat="1" ht="15.75">
      <c r="A23" s="81"/>
      <c r="B23" s="24" t="s">
        <v>19</v>
      </c>
      <c r="C23" s="82"/>
      <c r="D23" s="10"/>
      <c r="E23" s="38"/>
      <c r="F23" s="83"/>
      <c r="G23" s="38"/>
    </row>
    <row r="24" spans="1:7" s="7" customFormat="1" ht="16.5" customHeight="1">
      <c r="A24" s="84"/>
      <c r="B24" s="85"/>
      <c r="C24" s="82"/>
      <c r="D24" s="10"/>
      <c r="E24" s="38"/>
      <c r="F24" s="56"/>
      <c r="G24" s="56"/>
    </row>
    <row r="25" spans="1:7" s="7" customFormat="1" ht="16.5" customHeight="1">
      <c r="A25" s="84"/>
      <c r="B25" s="128" t="s">
        <v>70</v>
      </c>
      <c r="C25" s="9"/>
      <c r="D25" s="10"/>
      <c r="E25" s="38"/>
      <c r="F25" s="56"/>
      <c r="G25" s="56"/>
    </row>
    <row r="26" spans="1:7" s="7" customFormat="1" ht="16.5" customHeight="1">
      <c r="A26" s="84"/>
      <c r="B26" s="128" t="s">
        <v>71</v>
      </c>
      <c r="C26" s="9"/>
      <c r="D26" s="10"/>
      <c r="E26" s="38"/>
      <c r="F26" s="56"/>
      <c r="G26" s="56"/>
    </row>
    <row r="27" spans="1:7" s="7" customFormat="1" ht="16.5" customHeight="1">
      <c r="A27" s="84"/>
      <c r="B27" s="128" t="s">
        <v>72</v>
      </c>
      <c r="C27" s="9"/>
      <c r="D27" s="10"/>
      <c r="E27" s="38"/>
      <c r="F27" s="56"/>
      <c r="G27" s="56"/>
    </row>
    <row r="28" spans="1:7" s="7" customFormat="1" ht="16.5" customHeight="1">
      <c r="A28" s="84"/>
      <c r="B28" s="128" t="s">
        <v>67</v>
      </c>
      <c r="C28" s="9"/>
      <c r="D28" s="10"/>
      <c r="E28" s="38"/>
      <c r="F28" s="56"/>
      <c r="G28" s="56"/>
    </row>
    <row r="29" spans="1:7" s="7" customFormat="1" ht="16.5" customHeight="1">
      <c r="A29" s="84"/>
      <c r="B29" s="128" t="s">
        <v>68</v>
      </c>
      <c r="C29" s="9"/>
      <c r="D29" s="10"/>
      <c r="E29" s="38"/>
      <c r="F29" s="56"/>
      <c r="G29" s="56"/>
    </row>
    <row r="30" spans="1:7" s="7" customFormat="1" ht="16.5" customHeight="1">
      <c r="A30" s="84"/>
      <c r="B30" s="129"/>
      <c r="C30" s="130"/>
      <c r="D30" s="10"/>
      <c r="E30" s="38"/>
      <c r="F30" s="56"/>
      <c r="G30" s="56"/>
    </row>
    <row r="31" spans="1:7" s="7" customFormat="1" ht="16.5" customHeight="1">
      <c r="A31" s="84"/>
      <c r="B31" s="129" t="s">
        <v>74</v>
      </c>
      <c r="C31" s="130"/>
      <c r="D31" s="10"/>
      <c r="E31" s="38"/>
      <c r="F31" s="56"/>
      <c r="G31" s="56"/>
    </row>
    <row r="32" spans="1:7" s="7" customFormat="1" ht="16.5" customHeight="1">
      <c r="A32" s="84"/>
      <c r="B32" s="129" t="s">
        <v>75</v>
      </c>
      <c r="C32" s="130"/>
      <c r="D32" s="10"/>
      <c r="E32" s="38"/>
      <c r="F32" s="56"/>
      <c r="G32" s="56"/>
    </row>
    <row r="33" spans="1:7" s="7" customFormat="1" ht="16.5" customHeight="1">
      <c r="A33" s="84" t="s">
        <v>52</v>
      </c>
      <c r="B33" s="129"/>
      <c r="C33" s="130"/>
      <c r="D33" s="10"/>
      <c r="E33" s="38">
        <v>7</v>
      </c>
      <c r="F33" s="56">
        <v>1.8</v>
      </c>
      <c r="G33" s="56">
        <f t="shared" ref="G33" si="0">F33+0.4</f>
        <v>2.2000000000000002</v>
      </c>
    </row>
    <row r="34" spans="1:7" s="7" customFormat="1" ht="16.5" customHeight="1">
      <c r="A34" s="84"/>
      <c r="B34" s="24"/>
      <c r="C34" s="131"/>
      <c r="D34" s="10"/>
      <c r="E34" s="38"/>
      <c r="F34" s="56"/>
      <c r="G34" s="56"/>
    </row>
    <row r="35" spans="1:7" s="7" customFormat="1" ht="15.75">
      <c r="A35" s="86" t="s">
        <v>20</v>
      </c>
      <c r="B35" s="87" t="s">
        <v>79</v>
      </c>
      <c r="C35" s="73"/>
      <c r="D35" s="29"/>
      <c r="E35" s="77">
        <f>SUM(E24:E34)</f>
        <v>7</v>
      </c>
      <c r="F35" s="77">
        <f>SUM(F24:F34)</f>
        <v>1.8</v>
      </c>
      <c r="G35" s="77">
        <f>SUM(G24:G34)</f>
        <v>2.2000000000000002</v>
      </c>
    </row>
    <row r="36" spans="1:7" s="7" customFormat="1" ht="15.75">
      <c r="A36" s="88"/>
      <c r="B36" s="88"/>
      <c r="C36" s="89"/>
      <c r="D36" s="10"/>
      <c r="E36" s="90"/>
      <c r="F36" s="90"/>
      <c r="G36" s="54"/>
    </row>
    <row r="37" spans="1:7" s="7" customFormat="1" ht="15.75">
      <c r="A37" s="91"/>
      <c r="B37" s="88"/>
      <c r="C37" s="89"/>
      <c r="D37" s="88"/>
      <c r="E37" s="60"/>
      <c r="F37" s="92"/>
      <c r="G37" s="54"/>
    </row>
    <row r="38" spans="1:7" s="7" customFormat="1" ht="15.75">
      <c r="A38" s="91"/>
      <c r="B38" s="44" t="s">
        <v>21</v>
      </c>
      <c r="C38" s="93"/>
      <c r="D38" s="146">
        <f>E35</f>
        <v>7</v>
      </c>
      <c r="E38" s="146"/>
      <c r="F38" s="70"/>
      <c r="G38" s="94"/>
    </row>
    <row r="39" spans="1:7" s="7" customFormat="1" ht="15.75">
      <c r="A39" s="95"/>
      <c r="B39" s="44" t="s">
        <v>22</v>
      </c>
      <c r="C39" s="93"/>
      <c r="D39" s="146">
        <f>F35</f>
        <v>1.8</v>
      </c>
      <c r="E39" s="146"/>
      <c r="F39" s="70"/>
      <c r="G39" s="94"/>
    </row>
    <row r="40" spans="1:7" s="7" customFormat="1" ht="15.75">
      <c r="A40" s="91"/>
      <c r="B40" s="44" t="s">
        <v>23</v>
      </c>
      <c r="C40" s="93"/>
      <c r="D40" s="146">
        <f>G35</f>
        <v>2.2000000000000002</v>
      </c>
      <c r="E40" s="146"/>
      <c r="F40" s="70"/>
      <c r="G40" s="54"/>
    </row>
    <row r="41" spans="1:7" s="7" customFormat="1" ht="15.75">
      <c r="A41" s="96"/>
      <c r="B41" s="44" t="s">
        <v>76</v>
      </c>
      <c r="C41" s="93"/>
      <c r="D41" s="147">
        <v>21</v>
      </c>
      <c r="E41" s="147"/>
      <c r="F41" s="92"/>
      <c r="G41" s="98"/>
    </row>
    <row r="42" spans="1:7" s="7" customFormat="1" ht="15.75">
      <c r="A42" s="95"/>
      <c r="B42" s="44"/>
      <c r="C42" s="93"/>
      <c r="D42" s="147"/>
      <c r="E42" s="147"/>
      <c r="F42" s="92"/>
      <c r="G42" s="98"/>
    </row>
    <row r="43" spans="1:7" s="7" customFormat="1" ht="15.75">
      <c r="A43" s="95"/>
      <c r="B43" s="44"/>
      <c r="C43" s="93"/>
      <c r="D43" s="99"/>
      <c r="E43" s="97"/>
      <c r="F43" s="92"/>
      <c r="G43" s="98"/>
    </row>
    <row r="44" spans="1:7" s="7" customFormat="1" ht="15.75">
      <c r="A44" s="95"/>
      <c r="B44" s="44"/>
      <c r="C44" s="93"/>
      <c r="D44" s="99"/>
      <c r="E44" s="97"/>
      <c r="F44" s="92"/>
      <c r="G44" s="98"/>
    </row>
    <row r="45" spans="1:7" s="7" customFormat="1" ht="15.75">
      <c r="A45" s="95"/>
      <c r="B45" s="44"/>
      <c r="C45" s="93"/>
      <c r="D45" s="99"/>
      <c r="E45" s="100"/>
      <c r="F45" s="92"/>
      <c r="G45" s="98"/>
    </row>
    <row r="46" spans="1:7" s="7" customFormat="1" ht="15.75">
      <c r="A46" s="91"/>
      <c r="B46" s="52"/>
      <c r="C46" s="82"/>
      <c r="D46" s="88"/>
      <c r="E46" s="60"/>
      <c r="F46" s="92"/>
      <c r="G46" s="54"/>
    </row>
    <row r="47" spans="1:7" s="7" customFormat="1" ht="15.75">
      <c r="A47" s="101"/>
      <c r="B47" s="88"/>
      <c r="C47" s="89"/>
      <c r="D47" s="88"/>
      <c r="E47" s="60"/>
      <c r="F47" s="92"/>
      <c r="G47" s="54"/>
    </row>
    <row r="48" spans="1:7" s="7" customFormat="1" ht="15.75">
      <c r="A48" s="101"/>
      <c r="B48" s="88"/>
      <c r="C48" s="89"/>
      <c r="D48" s="88"/>
      <c r="E48" s="60"/>
      <c r="F48" s="92"/>
      <c r="G48" s="54"/>
    </row>
    <row r="49" spans="1:7" s="7" customFormat="1" ht="15.75">
      <c r="A49" s="101"/>
      <c r="B49" s="88"/>
      <c r="C49" s="89"/>
      <c r="D49" s="88"/>
      <c r="E49" s="60"/>
      <c r="F49" s="92"/>
      <c r="G49" s="54"/>
    </row>
    <row r="50" spans="1:7" s="7" customFormat="1" ht="15.75">
      <c r="A50" s="101"/>
      <c r="B50" s="88"/>
      <c r="C50" s="89"/>
      <c r="D50" s="88"/>
      <c r="E50" s="60"/>
      <c r="F50" s="92"/>
      <c r="G50" s="54"/>
    </row>
    <row r="51" spans="1:7" s="7" customFormat="1" ht="15.75">
      <c r="A51" s="96"/>
      <c r="B51" s="88"/>
      <c r="C51" s="89"/>
      <c r="D51" s="88"/>
      <c r="E51" s="60"/>
      <c r="F51" s="92"/>
      <c r="G51" s="54"/>
    </row>
    <row r="52" spans="1:7" s="7" customFormat="1" ht="15.75">
      <c r="A52" s="96"/>
      <c r="B52" s="96"/>
      <c r="C52" s="102"/>
      <c r="D52" s="88"/>
      <c r="E52" s="60"/>
      <c r="F52" s="92"/>
      <c r="G52" s="98"/>
    </row>
    <row r="53" spans="1:7" s="7" customFormat="1" ht="15.75">
      <c r="A53" s="96"/>
      <c r="B53" s="96"/>
      <c r="C53" s="102"/>
      <c r="D53" s="88"/>
      <c r="E53" s="60"/>
      <c r="F53" s="92"/>
      <c r="G53" s="98"/>
    </row>
    <row r="54" spans="1:7" s="7" customFormat="1" ht="15.75">
      <c r="A54" s="96"/>
      <c r="B54" s="96"/>
      <c r="C54" s="102"/>
      <c r="D54" s="88"/>
      <c r="E54" s="60"/>
      <c r="F54" s="92"/>
      <c r="G54" s="98"/>
    </row>
    <row r="55" spans="1:7" s="7" customFormat="1" ht="15.75">
      <c r="A55" s="96"/>
      <c r="B55" s="96"/>
      <c r="C55" s="102"/>
      <c r="D55" s="88"/>
      <c r="E55" s="60"/>
      <c r="F55" s="92"/>
      <c r="G55" s="98"/>
    </row>
    <row r="56" spans="1:7" s="7" customFormat="1" ht="15.75">
      <c r="A56" s="96"/>
      <c r="B56" s="96"/>
      <c r="C56" s="102"/>
      <c r="D56" s="88"/>
      <c r="E56" s="60"/>
      <c r="F56" s="92"/>
      <c r="G56" s="98"/>
    </row>
    <row r="57" spans="1:7" s="7" customFormat="1" ht="15.75">
      <c r="A57" s="96"/>
      <c r="B57" s="96"/>
      <c r="C57" s="102"/>
      <c r="D57" s="88"/>
      <c r="E57" s="60"/>
      <c r="F57" s="92"/>
      <c r="G57" s="98"/>
    </row>
    <row r="58" spans="1:7" s="7" customFormat="1" ht="15.75">
      <c r="A58" s="96"/>
      <c r="B58" s="96"/>
      <c r="C58" s="102"/>
      <c r="D58" s="88"/>
      <c r="E58" s="60"/>
      <c r="F58" s="92"/>
      <c r="G58" s="98"/>
    </row>
    <row r="59" spans="1:7" s="7" customFormat="1" ht="15.75">
      <c r="A59" s="96"/>
      <c r="B59" s="96"/>
      <c r="C59" s="102"/>
      <c r="D59" s="88"/>
      <c r="E59" s="60"/>
      <c r="F59" s="92"/>
      <c r="G59" s="98"/>
    </row>
    <row r="60" spans="1:7" s="7" customFormat="1" ht="15.75">
      <c r="A60" s="96"/>
      <c r="B60" s="96"/>
      <c r="C60" s="102"/>
      <c r="D60" s="88"/>
      <c r="E60" s="60"/>
      <c r="F60" s="92"/>
      <c r="G60" s="98"/>
    </row>
    <row r="61" spans="1:7" s="7" customFormat="1" ht="15.75">
      <c r="A61" s="96"/>
      <c r="B61" s="96"/>
      <c r="C61" s="102"/>
      <c r="D61" s="88"/>
      <c r="E61" s="60"/>
      <c r="F61" s="92"/>
      <c r="G61" s="98"/>
    </row>
    <row r="62" spans="1:7" s="7" customFormat="1" ht="15.75">
      <c r="A62" s="96"/>
      <c r="B62" s="96"/>
      <c r="C62" s="102"/>
      <c r="D62" s="88"/>
      <c r="E62" s="60"/>
      <c r="F62" s="92"/>
    </row>
    <row r="63" spans="1:7" s="7" customFormat="1" ht="15.75">
      <c r="A63" s="96"/>
      <c r="B63" s="96"/>
      <c r="C63" s="102"/>
      <c r="D63" s="88"/>
      <c r="E63" s="60"/>
      <c r="F63" s="92"/>
    </row>
    <row r="64" spans="1:7" s="7" customFormat="1" ht="15.75">
      <c r="A64" s="96"/>
      <c r="B64" s="96"/>
      <c r="C64" s="102"/>
      <c r="D64" s="88"/>
      <c r="E64" s="60"/>
      <c r="F64" s="92"/>
    </row>
    <row r="65" spans="1:6" s="7" customFormat="1" ht="15.75">
      <c r="A65" s="96"/>
      <c r="B65" s="96"/>
      <c r="C65" s="102"/>
      <c r="D65" s="88"/>
      <c r="E65" s="60"/>
      <c r="F65" s="92"/>
    </row>
    <row r="66" spans="1:6" s="7" customFormat="1" ht="15.75">
      <c r="A66" s="96"/>
      <c r="B66" s="96"/>
      <c r="C66" s="102"/>
      <c r="D66" s="88"/>
      <c r="E66" s="60"/>
      <c r="F66" s="92"/>
    </row>
  </sheetData>
  <mergeCells count="10">
    <mergeCell ref="D39:E39"/>
    <mergeCell ref="D40:E40"/>
    <mergeCell ref="D41:E41"/>
    <mergeCell ref="D42:E42"/>
    <mergeCell ref="A1:G1"/>
    <mergeCell ref="A2:G2"/>
    <mergeCell ref="A3:G3"/>
    <mergeCell ref="A4:G4"/>
    <mergeCell ref="F5:G5"/>
    <mergeCell ref="D38:E38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4" fitToHeight="1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H59" sqref="H59"/>
    </sheetView>
  </sheetViews>
  <sheetFormatPr defaultColWidth="18.42578125" defaultRowHeight="14.25"/>
  <cols>
    <col min="1" max="3" width="24.7109375" style="115" customWidth="1"/>
    <col min="4" max="4" width="23.140625" style="115" customWidth="1"/>
    <col min="5" max="5" width="23.140625" style="125" customWidth="1"/>
    <col min="6" max="6" width="23.140625" style="126" customWidth="1"/>
    <col min="7" max="16384" width="18.42578125" style="115"/>
  </cols>
  <sheetData>
    <row r="1" spans="1:6" ht="31.5" customHeight="1">
      <c r="A1" s="156" t="s">
        <v>24</v>
      </c>
      <c r="B1" s="157"/>
      <c r="C1" s="157"/>
      <c r="D1" s="157"/>
      <c r="E1" s="157"/>
      <c r="F1" s="158"/>
    </row>
    <row r="2" spans="1:6" ht="15.75" customHeight="1">
      <c r="A2" s="159" t="s">
        <v>0</v>
      </c>
      <c r="B2" s="160"/>
      <c r="C2" s="160"/>
      <c r="D2" s="160"/>
      <c r="E2" s="160"/>
      <c r="F2" s="161"/>
    </row>
    <row r="3" spans="1:6" ht="15.75" customHeight="1" thickBot="1">
      <c r="A3" s="116"/>
      <c r="B3" s="117"/>
      <c r="C3" s="47" t="s">
        <v>25</v>
      </c>
      <c r="D3" s="47"/>
      <c r="E3" s="47"/>
      <c r="F3" s="48"/>
    </row>
    <row r="4" spans="1:6" ht="23.25">
      <c r="A4" s="162" t="s">
        <v>26</v>
      </c>
      <c r="B4" s="163"/>
      <c r="C4" s="163"/>
      <c r="D4" s="163"/>
      <c r="E4" s="163"/>
      <c r="F4" s="164"/>
    </row>
    <row r="5" spans="1:6" s="118" customFormat="1" ht="15.75">
      <c r="A5" s="3" t="s">
        <v>56</v>
      </c>
      <c r="B5" s="4"/>
      <c r="C5" s="5"/>
      <c r="D5" s="5"/>
      <c r="E5" s="112" t="s">
        <v>78</v>
      </c>
      <c r="F5" s="113"/>
    </row>
    <row r="6" spans="1:6" s="118" customFormat="1" ht="15.75">
      <c r="A6" s="24" t="s">
        <v>27</v>
      </c>
      <c r="B6" s="140" t="s">
        <v>57</v>
      </c>
      <c r="C6" s="10"/>
      <c r="D6" s="10"/>
      <c r="E6" s="134" t="s">
        <v>37</v>
      </c>
      <c r="F6" s="12"/>
    </row>
    <row r="7" spans="1:6" s="118" customFormat="1" ht="15.75" customHeight="1">
      <c r="A7" s="24"/>
      <c r="B7" s="140" t="s">
        <v>58</v>
      </c>
      <c r="C7" s="14"/>
      <c r="D7" s="14"/>
      <c r="E7" s="135" t="s">
        <v>64</v>
      </c>
      <c r="F7" s="15"/>
    </row>
    <row r="8" spans="1:6" s="118" customFormat="1" ht="15.75">
      <c r="A8" s="24"/>
      <c r="B8" s="140" t="s">
        <v>59</v>
      </c>
      <c r="C8" s="16"/>
      <c r="D8" s="16"/>
      <c r="E8" s="136" t="s">
        <v>38</v>
      </c>
      <c r="F8" s="17"/>
    </row>
    <row r="9" spans="1:6" s="118" customFormat="1" ht="15.75">
      <c r="A9" s="10"/>
      <c r="B9" s="140" t="s">
        <v>60</v>
      </c>
      <c r="C9" s="16"/>
      <c r="D9" s="16"/>
      <c r="E9" s="136" t="s">
        <v>39</v>
      </c>
      <c r="F9" s="17"/>
    </row>
    <row r="10" spans="1:6" s="118" customFormat="1" ht="15.75">
      <c r="A10" s="10"/>
      <c r="B10" s="140" t="s">
        <v>61</v>
      </c>
      <c r="C10" s="16"/>
      <c r="D10" s="16"/>
      <c r="E10" s="136" t="s">
        <v>40</v>
      </c>
      <c r="F10" s="17"/>
    </row>
    <row r="11" spans="1:6" s="118" customFormat="1" ht="15.75">
      <c r="A11" s="10"/>
      <c r="B11" s="140" t="s">
        <v>62</v>
      </c>
      <c r="C11" s="16"/>
      <c r="D11" s="16"/>
      <c r="E11" s="136" t="s">
        <v>41</v>
      </c>
      <c r="F11" s="17"/>
    </row>
    <row r="12" spans="1:6" s="118" customFormat="1" ht="15.75">
      <c r="A12" s="10"/>
      <c r="B12" s="140" t="s">
        <v>63</v>
      </c>
      <c r="C12" s="16"/>
      <c r="D12" s="16"/>
      <c r="E12" s="136" t="s">
        <v>42</v>
      </c>
      <c r="F12" s="17"/>
    </row>
    <row r="13" spans="1:6" s="118" customFormat="1" ht="15.75">
      <c r="A13" s="10"/>
      <c r="B13" s="109"/>
      <c r="C13" s="16"/>
      <c r="D13" s="16"/>
      <c r="E13" s="136" t="s">
        <v>43</v>
      </c>
      <c r="F13" s="17"/>
    </row>
    <row r="14" spans="1:6" s="118" customFormat="1" ht="15.75">
      <c r="A14" s="10"/>
      <c r="B14" s="109"/>
      <c r="C14" s="16"/>
      <c r="D14" s="16"/>
      <c r="E14" s="136" t="s">
        <v>44</v>
      </c>
      <c r="F14" s="17"/>
    </row>
    <row r="15" spans="1:6" s="118" customFormat="1" ht="15.75">
      <c r="A15" s="10"/>
      <c r="B15" s="109"/>
      <c r="C15" s="16"/>
      <c r="D15" s="16"/>
      <c r="E15" s="136" t="s">
        <v>45</v>
      </c>
      <c r="F15" s="17"/>
    </row>
    <row r="16" spans="1:6" s="118" customFormat="1" ht="15.75">
      <c r="A16" s="13"/>
      <c r="B16" s="107"/>
      <c r="C16" s="16"/>
      <c r="D16" s="16"/>
      <c r="E16" s="136" t="s">
        <v>46</v>
      </c>
      <c r="F16" s="17"/>
    </row>
    <row r="17" spans="1:7" s="118" customFormat="1" ht="15.75">
      <c r="A17" s="132" t="s">
        <v>1</v>
      </c>
      <c r="B17" s="18"/>
      <c r="C17" s="19" t="s">
        <v>2</v>
      </c>
      <c r="D17" s="18"/>
      <c r="E17" s="138" t="s">
        <v>47</v>
      </c>
      <c r="F17" s="37"/>
    </row>
    <row r="18" spans="1:7" s="118" customFormat="1" ht="15.75">
      <c r="A18" s="25" t="s">
        <v>50</v>
      </c>
      <c r="B18" s="5"/>
      <c r="C18" s="108" t="s">
        <v>66</v>
      </c>
      <c r="D18" s="139"/>
      <c r="E18" s="138" t="s">
        <v>48</v>
      </c>
      <c r="F18" s="37"/>
    </row>
    <row r="19" spans="1:7" s="118" customFormat="1" ht="15.75">
      <c r="A19" s="8" t="s">
        <v>28</v>
      </c>
      <c r="B19" s="10"/>
      <c r="C19" s="10"/>
      <c r="D19" s="65"/>
      <c r="E19" s="138" t="s">
        <v>49</v>
      </c>
      <c r="F19" s="37"/>
    </row>
    <row r="20" spans="1:7" s="118" customFormat="1" ht="15.75">
      <c r="A20" s="21">
        <v>46279</v>
      </c>
      <c r="B20" s="5"/>
      <c r="C20" s="5"/>
      <c r="D20" s="63"/>
      <c r="E20" s="137" t="s">
        <v>65</v>
      </c>
      <c r="F20" s="114"/>
    </row>
    <row r="21" spans="1:7" s="118" customFormat="1" ht="15.75">
      <c r="A21" s="27" t="s">
        <v>3</v>
      </c>
      <c r="B21" s="28"/>
      <c r="C21" s="29"/>
      <c r="D21" s="30" t="s">
        <v>29</v>
      </c>
      <c r="E21" s="31" t="s">
        <v>30</v>
      </c>
      <c r="F21" s="32" t="s">
        <v>31</v>
      </c>
    </row>
    <row r="22" spans="1:7" s="118" customFormat="1" ht="15.75">
      <c r="A22" s="13"/>
      <c r="B22" s="10"/>
      <c r="C22" s="10"/>
      <c r="D22" s="33" t="s">
        <v>34</v>
      </c>
      <c r="E22" s="34" t="s">
        <v>32</v>
      </c>
      <c r="F22" s="12" t="s">
        <v>54</v>
      </c>
    </row>
    <row r="23" spans="1:7" s="118" customFormat="1" ht="15.75">
      <c r="A23" s="13"/>
      <c r="B23" s="10"/>
      <c r="C23" s="10"/>
      <c r="D23" s="35"/>
      <c r="E23" s="36" t="s">
        <v>53</v>
      </c>
      <c r="F23" s="37"/>
    </row>
    <row r="24" spans="1:7" s="118" customFormat="1" ht="15.75">
      <c r="A24" s="13" t="s">
        <v>33</v>
      </c>
      <c r="B24" s="9"/>
      <c r="C24" s="10"/>
      <c r="D24" s="119"/>
      <c r="E24" s="120"/>
      <c r="F24" s="37"/>
    </row>
    <row r="25" spans="1:7" s="106" customFormat="1" ht="15.75">
      <c r="A25" s="13"/>
      <c r="B25" s="9"/>
      <c r="C25" s="10"/>
      <c r="D25" s="38"/>
      <c r="E25" s="110"/>
      <c r="F25" s="111"/>
      <c r="G25" s="10"/>
    </row>
    <row r="26" spans="1:7" s="106" customFormat="1" ht="15.75">
      <c r="A26" s="127" t="s">
        <v>36</v>
      </c>
      <c r="B26" s="9"/>
      <c r="C26" s="10"/>
      <c r="D26" s="38"/>
      <c r="E26" s="110"/>
      <c r="F26" s="111"/>
      <c r="G26" s="10"/>
    </row>
    <row r="27" spans="1:7" s="106" customFormat="1" ht="15.75">
      <c r="A27" s="127" t="s">
        <v>55</v>
      </c>
      <c r="B27" s="9"/>
      <c r="C27" s="10"/>
      <c r="D27" s="38"/>
      <c r="E27" s="110"/>
      <c r="F27" s="111"/>
      <c r="G27" s="10"/>
    </row>
    <row r="28" spans="1:7" s="106" customFormat="1" ht="15.75">
      <c r="A28" s="127" t="s">
        <v>35</v>
      </c>
      <c r="B28" s="9"/>
      <c r="C28" s="10"/>
      <c r="D28" s="38"/>
      <c r="E28" s="110"/>
      <c r="F28" s="111"/>
      <c r="G28" s="10"/>
    </row>
    <row r="29" spans="1:7" s="106" customFormat="1" ht="15.75">
      <c r="A29" s="127" t="s">
        <v>67</v>
      </c>
      <c r="B29" s="9"/>
      <c r="C29" s="10"/>
      <c r="D29" s="38"/>
      <c r="E29" s="110"/>
      <c r="F29" s="111"/>
      <c r="G29" s="10"/>
    </row>
    <row r="30" spans="1:7" s="106" customFormat="1" ht="15.75">
      <c r="A30" s="127" t="s">
        <v>68</v>
      </c>
      <c r="B30" s="9"/>
      <c r="C30" s="10"/>
      <c r="D30" s="38"/>
      <c r="E30" s="110"/>
      <c r="F30" s="111"/>
      <c r="G30" s="10"/>
    </row>
    <row r="31" spans="1:7" s="106" customFormat="1" ht="15.75">
      <c r="A31" s="13"/>
      <c r="B31" s="9"/>
      <c r="C31" s="10"/>
      <c r="D31" s="38"/>
      <c r="E31" s="104"/>
      <c r="F31" s="105"/>
      <c r="G31" s="10"/>
    </row>
    <row r="32" spans="1:7" s="106" customFormat="1" ht="15.75">
      <c r="A32" s="13"/>
      <c r="B32" s="9"/>
      <c r="C32" s="10"/>
      <c r="D32" s="38"/>
      <c r="E32" s="104"/>
      <c r="F32" s="105"/>
      <c r="G32" s="10"/>
    </row>
    <row r="33" spans="1:7" s="106" customFormat="1" ht="15.75">
      <c r="A33" s="13" t="s">
        <v>73</v>
      </c>
      <c r="B33" s="9"/>
      <c r="C33" s="10"/>
      <c r="D33" s="38">
        <v>7</v>
      </c>
      <c r="E33" s="104">
        <v>3.65</v>
      </c>
      <c r="F33" s="105">
        <f>E33*D33</f>
        <v>25.55</v>
      </c>
      <c r="G33" s="10"/>
    </row>
    <row r="34" spans="1:7" s="106" customFormat="1" ht="15.75">
      <c r="A34" s="13"/>
      <c r="B34" s="9"/>
      <c r="C34" s="10"/>
      <c r="D34" s="38"/>
      <c r="E34" s="104"/>
      <c r="F34" s="105" t="s">
        <v>77</v>
      </c>
      <c r="G34" s="10"/>
    </row>
    <row r="35" spans="1:7" s="106" customFormat="1" ht="15.75">
      <c r="A35" s="13"/>
      <c r="B35" s="9"/>
      <c r="C35" s="10"/>
      <c r="D35" s="38"/>
      <c r="E35" s="104"/>
      <c r="F35" s="105"/>
      <c r="G35" s="10"/>
    </row>
    <row r="36" spans="1:7" s="106" customFormat="1" ht="15.75">
      <c r="A36" s="13"/>
      <c r="B36" s="9"/>
      <c r="C36" s="10"/>
      <c r="D36" s="38"/>
      <c r="E36" s="104"/>
      <c r="F36" s="105"/>
      <c r="G36" s="10"/>
    </row>
    <row r="37" spans="1:7" s="106" customFormat="1" ht="15.75">
      <c r="A37" s="127"/>
      <c r="B37" s="9"/>
      <c r="C37" s="10"/>
      <c r="D37" s="38"/>
      <c r="E37" s="110"/>
      <c r="F37" s="111"/>
      <c r="G37" s="10"/>
    </row>
    <row r="38" spans="1:7" s="106" customFormat="1" ht="15.75">
      <c r="A38" s="127"/>
      <c r="B38" s="9"/>
      <c r="C38" s="10"/>
      <c r="D38" s="38"/>
      <c r="E38" s="110"/>
      <c r="F38" s="111"/>
      <c r="G38" s="10"/>
    </row>
    <row r="39" spans="1:7" s="106" customFormat="1" ht="15.75">
      <c r="A39" s="13"/>
      <c r="B39" s="9"/>
      <c r="C39" s="10"/>
      <c r="D39" s="38"/>
      <c r="E39" s="104"/>
      <c r="F39" s="105"/>
      <c r="G39" s="10"/>
    </row>
    <row r="40" spans="1:7" s="106" customFormat="1" ht="15.75">
      <c r="A40" s="13"/>
      <c r="B40" s="9"/>
      <c r="C40" s="10"/>
      <c r="D40" s="38"/>
      <c r="E40" s="104"/>
      <c r="F40" s="105"/>
      <c r="G40" s="10"/>
    </row>
    <row r="41" spans="1:7" s="106" customFormat="1" ht="15.75">
      <c r="A41" s="13"/>
      <c r="B41" s="9"/>
      <c r="C41" s="10"/>
      <c r="D41" s="38"/>
      <c r="E41" s="104"/>
      <c r="F41" s="105"/>
      <c r="G41" s="10"/>
    </row>
    <row r="42" spans="1:7" s="106" customFormat="1" ht="15.75">
      <c r="A42" s="127"/>
      <c r="B42" s="9"/>
      <c r="C42" s="10"/>
      <c r="D42" s="38"/>
      <c r="E42" s="110"/>
      <c r="F42" s="111"/>
      <c r="G42" s="10"/>
    </row>
    <row r="43" spans="1:7" s="106" customFormat="1" ht="15.75">
      <c r="A43" s="127"/>
      <c r="B43" s="9"/>
      <c r="C43" s="10"/>
      <c r="D43" s="38"/>
      <c r="E43" s="110"/>
      <c r="F43" s="111"/>
      <c r="G43" s="10"/>
    </row>
    <row r="44" spans="1:7" s="106" customFormat="1" ht="15.75">
      <c r="A44" s="13"/>
      <c r="B44" s="9"/>
      <c r="C44" s="10"/>
      <c r="D44" s="38"/>
      <c r="E44" s="104"/>
      <c r="F44" s="105"/>
      <c r="G44" s="10"/>
    </row>
    <row r="45" spans="1:7" s="106" customFormat="1" ht="15.75">
      <c r="A45" s="13"/>
      <c r="B45" s="9"/>
      <c r="C45" s="10"/>
      <c r="D45" s="38"/>
      <c r="E45" s="104"/>
      <c r="F45" s="105"/>
      <c r="G45" s="10"/>
    </row>
    <row r="46" spans="1:7" s="106" customFormat="1" ht="15.75">
      <c r="A46" s="13"/>
      <c r="B46" s="9"/>
      <c r="C46" s="10"/>
      <c r="D46" s="38"/>
      <c r="E46" s="104"/>
      <c r="F46" s="105"/>
      <c r="G46" s="10"/>
    </row>
    <row r="47" spans="1:7" s="106" customFormat="1" ht="15.75">
      <c r="A47" s="13"/>
      <c r="B47" s="9"/>
      <c r="C47" s="10"/>
      <c r="D47" s="38"/>
      <c r="E47" s="104"/>
      <c r="F47" s="105"/>
      <c r="G47" s="10"/>
    </row>
    <row r="48" spans="1:7" s="106" customFormat="1" ht="15.75">
      <c r="A48" s="103"/>
      <c r="B48" s="10"/>
      <c r="C48" s="10"/>
      <c r="D48" s="38"/>
      <c r="E48" s="104"/>
      <c r="F48" s="105"/>
      <c r="G48" s="10"/>
    </row>
    <row r="49" spans="1:6" s="118" customFormat="1" ht="16.5" thickBot="1">
      <c r="A49" s="39" t="s">
        <v>4</v>
      </c>
      <c r="B49" s="40">
        <v>1</v>
      </c>
      <c r="C49" s="41" t="s">
        <v>69</v>
      </c>
      <c r="D49" s="42">
        <f>SUM(D25:D48)</f>
        <v>7</v>
      </c>
      <c r="E49" s="43"/>
      <c r="F49" s="133">
        <f>SUM(F26:F48)+0.01</f>
        <v>25.560000000000002</v>
      </c>
    </row>
    <row r="50" spans="1:6" s="118" customFormat="1" ht="15.75">
      <c r="A50" s="10"/>
      <c r="B50" s="121"/>
      <c r="C50" s="121"/>
      <c r="D50" s="121"/>
      <c r="E50" s="121"/>
      <c r="F50" s="45"/>
    </row>
    <row r="51" spans="1:6" s="118" customFormat="1" ht="15.75">
      <c r="A51" s="10"/>
      <c r="B51" s="121"/>
      <c r="C51" s="121"/>
      <c r="D51" s="121"/>
      <c r="E51" s="121"/>
      <c r="F51" s="45"/>
    </row>
    <row r="52" spans="1:6" s="118" customFormat="1" ht="17.25" customHeight="1">
      <c r="A52" s="10"/>
      <c r="B52" s="10"/>
      <c r="C52" s="6"/>
      <c r="D52" s="6"/>
      <c r="E52" s="46"/>
      <c r="F52" s="45"/>
    </row>
    <row r="53" spans="1:6" ht="15.75">
      <c r="A53" s="2"/>
      <c r="B53" s="1"/>
      <c r="C53" s="1"/>
      <c r="D53" s="1"/>
      <c r="E53" s="49"/>
      <c r="F53" s="50"/>
    </row>
    <row r="54" spans="1:6" ht="15.75">
      <c r="A54" s="2"/>
      <c r="B54" s="1"/>
      <c r="C54" s="1"/>
      <c r="D54" s="1"/>
      <c r="E54" s="49"/>
      <c r="F54" s="50"/>
    </row>
    <row r="55" spans="1:6" ht="15.75">
      <c r="A55" s="2"/>
      <c r="B55" s="1"/>
      <c r="C55" s="1"/>
      <c r="D55" s="1"/>
      <c r="E55" s="49"/>
      <c r="F55" s="50"/>
    </row>
    <row r="56" spans="1:6" ht="15.75">
      <c r="A56" s="1"/>
      <c r="B56" s="122"/>
      <c r="C56" s="122"/>
      <c r="D56" s="122"/>
      <c r="E56" s="123"/>
      <c r="F56" s="50"/>
    </row>
    <row r="57" spans="1:6" ht="15.75">
      <c r="A57" s="1"/>
      <c r="B57" s="122"/>
      <c r="C57" s="122"/>
      <c r="D57" s="122"/>
      <c r="E57" s="123"/>
      <c r="F57" s="50"/>
    </row>
    <row r="58" spans="1:6" ht="15.75">
      <c r="A58" s="1"/>
      <c r="C58" s="122"/>
      <c r="D58" s="122"/>
      <c r="E58" s="123"/>
      <c r="F58" s="50"/>
    </row>
    <row r="59" spans="1:6" ht="15.75">
      <c r="A59" s="1"/>
      <c r="C59" s="122"/>
      <c r="D59" s="122"/>
      <c r="E59" s="123"/>
      <c r="F59" s="50"/>
    </row>
    <row r="60" spans="1:6" ht="15.75">
      <c r="A60" s="1"/>
      <c r="C60" s="122"/>
      <c r="D60" s="122"/>
      <c r="E60" s="123"/>
      <c r="F60" s="50"/>
    </row>
    <row r="61" spans="1:6" ht="15.75">
      <c r="A61" s="1"/>
      <c r="C61" s="122"/>
      <c r="D61" s="122"/>
      <c r="E61" s="123"/>
      <c r="F61" s="124"/>
    </row>
    <row r="62" spans="1:6" ht="15.75">
      <c r="A62" s="1"/>
      <c r="C62" s="122"/>
      <c r="D62" s="122"/>
      <c r="E62" s="123"/>
      <c r="F62" s="124"/>
    </row>
    <row r="63" spans="1:6" ht="15.75">
      <c r="A63" s="1"/>
      <c r="C63" s="122"/>
      <c r="D63" s="122"/>
      <c r="E63" s="123"/>
      <c r="F63" s="124"/>
    </row>
    <row r="64" spans="1:6" ht="15.75">
      <c r="A64" s="1"/>
      <c r="B64" s="1"/>
      <c r="C64" s="122"/>
      <c r="D64" s="122"/>
      <c r="E64" s="123"/>
      <c r="F64" s="124"/>
    </row>
    <row r="65" spans="1:6" ht="15.75">
      <c r="A65" s="1"/>
      <c r="B65" s="122"/>
      <c r="C65" s="122"/>
      <c r="D65" s="122"/>
      <c r="E65" s="123"/>
      <c r="F65" s="124"/>
    </row>
    <row r="66" spans="1:6" ht="15.75">
      <c r="A66" s="1"/>
      <c r="B66" s="122"/>
      <c r="C66" s="122"/>
      <c r="D66" s="122"/>
      <c r="E66" s="123"/>
      <c r="F66" s="124"/>
    </row>
    <row r="67" spans="1:6" ht="15.75">
      <c r="A67" s="51"/>
      <c r="B67" s="122"/>
      <c r="C67" s="122"/>
      <c r="D67" s="122"/>
      <c r="E67" s="123"/>
      <c r="F67" s="124"/>
    </row>
    <row r="68" spans="1:6">
      <c r="A68" s="122"/>
      <c r="B68" s="122"/>
      <c r="C68" s="122"/>
      <c r="D68" s="122"/>
      <c r="E68" s="123"/>
      <c r="F68" s="124"/>
    </row>
    <row r="71" spans="1:6" ht="15.75">
      <c r="B71" s="51"/>
    </row>
  </sheetData>
  <dataConsolidate/>
  <mergeCells count="3">
    <mergeCell ref="A1:F1"/>
    <mergeCell ref="A2:F2"/>
    <mergeCell ref="A4:F4"/>
  </mergeCells>
  <phoneticPr fontId="4" type="noConversion"/>
  <printOptions horizontalCentered="1"/>
  <pageMargins left="0" right="0" top="0.39370078740157483" bottom="0" header="0.51181102362204722" footer="0.51181102362204722"/>
  <pageSetup paperSize="9"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PACKING</vt:lpstr>
      <vt:lpstr>INVOICE</vt:lpstr>
      <vt:lpstr>INVOICE!Print_Area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</dc:creator>
  <cp:lastModifiedBy>郭向衿</cp:lastModifiedBy>
  <cp:lastPrinted>2021-05-11T02:17:56Z</cp:lastPrinted>
  <dcterms:created xsi:type="dcterms:W3CDTF">2014-08-11T11:27:37Z</dcterms:created>
  <dcterms:modified xsi:type="dcterms:W3CDTF">2026-10-06T06:28:17Z</dcterms:modified>
</cp:coreProperties>
</file>