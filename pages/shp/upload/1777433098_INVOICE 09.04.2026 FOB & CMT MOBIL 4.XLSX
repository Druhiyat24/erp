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09.04.2026\MOBIL 4\"/>
    </mc:Choice>
  </mc:AlternateContent>
  <xr:revisionPtr revIDLastSave="0" documentId="13_ncr:1_{051D673F-8071-4F17-8A4D-7A79E6ADC0B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182. FOB" sheetId="129" r:id="rId3"/>
    <sheet name="182. CMT" sheetId="164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'182. CMT'!$B$1:$I$57</definedName>
    <definedName name="_xlnm.Print_Area" localSheetId="2">'182.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64" l="1"/>
  <c r="H52" i="164"/>
  <c r="F34" i="164"/>
  <c r="F32" i="164"/>
  <c r="I32" i="164" s="1"/>
  <c r="I34" i="164" s="1"/>
  <c r="I36" i="164" s="1"/>
  <c r="I38" i="164" s="1"/>
  <c r="B27" i="164"/>
  <c r="I23" i="164"/>
  <c r="H23" i="164"/>
  <c r="G23" i="164"/>
  <c r="F23" i="164"/>
  <c r="E23" i="164"/>
  <c r="E21" i="164"/>
  <c r="D21" i="164"/>
  <c r="C21" i="164"/>
  <c r="B21" i="164"/>
  <c r="G15" i="164"/>
  <c r="G16" i="164" s="1"/>
  <c r="G17" i="164" s="1"/>
  <c r="H21" i="164" s="1"/>
  <c r="B15" i="164"/>
  <c r="B16" i="164" s="1"/>
  <c r="B17" i="164" s="1"/>
  <c r="B18" i="164" s="1"/>
  <c r="G14" i="164"/>
  <c r="F32" i="129"/>
  <c r="F34" i="129" l="1"/>
  <c r="I32" i="129" l="1"/>
  <c r="E21" i="129" l="1"/>
  <c r="C21" i="129" l="1"/>
  <c r="H52" i="129"/>
  <c r="I34" i="129" l="1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<sst xmlns="http://schemas.openxmlformats.org/spreadsheetml/2006/main" count="317" uniqueCount="184">
  <si>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</si>
  <si>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</si>
  <si>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</si>
  <si>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</si>
  <si>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</si>
  <si>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</si>
  <si>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</si>
  <si>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</si>
  <si>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</si>
  <si>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</si>
  <si>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</si>
  <si>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</si>
  <si>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</si>
  <si>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</si>
  <si>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</si>
  <si>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</si>
  <si>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</si>
  <si>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</si>
  <si>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</si>
  <si>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</si>
  <si>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</si>
  <si>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</si>
  <si>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</si>
  <si>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</si>
  <si>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</si>
  <si>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</si>
  <si>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</si>
  <si>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</si>
  <si>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</si>
  <si>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</si>
  <si>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</si>
  <si>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</si>
  <si>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</si>
  <si>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</si>
  <si>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</si>
  <si>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</si>
  <si>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</si>
  <si>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</si>
  <si>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</si>
  <si>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</si>
  <si>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</si>
  <si>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</si>
  <si>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</si>
  <si>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</si>
  <si>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</si>
  <si>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</si>
  <si>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</si>
  <si>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</si>
  <si>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</si>
  <si>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</si>
  <si>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</si>
  <si>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</si>
  <si>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</si>
  <si>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</si>
  <si>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</si>
  <si>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</si>
  <si>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</si>
  <si>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</si>
  <si>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</si>
  <si>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</si>
  <si>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</si>
  <si>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</si>
  <si>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</si>
  <si>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</si>
  <si>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</si>
  <si>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</si>
  <si>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</si>
  <si>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</si>
  <si>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</si>
  <si>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</si>
  <si>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</si>
  <si>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</si>
  <si>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</si>
  <si>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</si>
  <si>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</si>
  <si>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</si>
  <si>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</si>
  <si>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</si>
  <si>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</si>
  <si>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</si>
  <si>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</si>
  <si>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</si>
  <si>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</si>
  <si>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</si>
  <si>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</si>
  <si>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</si>
  <si>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</si>
  <si>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</si>
  <si>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</si>
  <si>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</si>
  <si>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</si>
  <si>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</si>
  <si>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</si>
  <si>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</si>
  <si>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</si>
  <si>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</si>
  <si>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</si>
  <si>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</si>
  <si>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</si>
  <si>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</si>
  <si>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</si>
  <si>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</si>
  <si>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</si>
  <si>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</si>
  <si>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</si>
  <si>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</si>
  <si>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</si>
  <si>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</si>
  <si>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</si>
  <si>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</si>
  <si>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</si>
  <si>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</si>
  <si>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</si>
  <si>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</si>
  <si>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</si>
  <si>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</si>
  <si>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</si>
  <si>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</si>
  <si>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</si>
  <si>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</si>
  <si>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</si>
  <si>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</si>
  <si>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</si>
  <si>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</si>
  <si>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</si>
  <si>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</si>
  <si>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</si>
  <si>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</si>
  <si>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</si>
  <si>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</si>
  <si>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</si>
  <si>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</si>
  <si>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</si>
  <si>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</si>
  <si>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</si>
  <si>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</si>
  <si>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</si>
  <si>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</si>
  <si>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</si>
  <si>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</si>
  <si>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</si>
  <si>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</si>
  <si>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</si>
  <si>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</si>
  <si>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</si>
  <si>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</si>
  <si>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</si>
  <si>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</si>
  <si>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</si>
  <si>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</si>
  <si>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</si>
  <si>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</si>
  <si>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</si>
  <si>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</si>
  <si>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</si>
  <si>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</si>
  <si>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</si>
  <si>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</si>
  <si>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</si>
  <si>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</si>
  <si>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</si>
  <si>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</si>
  <si>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</si>
  <si>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</si>
  <si>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</si>
  <si>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</si>
  <si>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</si>
  <si>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</si>
  <si>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</si>
  <si>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</si>
  <si>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</si>
  <si>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</si>
  <si>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</si>
  <si>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</si>
  <si>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</si>
  <si>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</si>
  <si>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</si>
  <si>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</si>
  <si>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RETAIL</t>
  </si>
  <si>
    <t>265K0045</t>
  </si>
  <si>
    <t>WOMENS COTTON FIBERS, KNIT PULLOVER, WITH NO NECK CLOSURE, STITCH COUNT IS GREATER THAN 9/2CM, REACHES WAIST, SLEEVELESS [95% COTTON 5% ELASTANE]</t>
  </si>
  <si>
    <t>COMERCIAL INVOICE CMT</t>
  </si>
  <si>
    <t>BLUSH ON YOU, SHOOTING STAR</t>
  </si>
  <si>
    <t>22, 21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</si>
</sst>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169" fontId="0" fillId="0" borderId="0" xfId="0" quotePrefix="1" applyNumberFormat="1" applyBorder="1" applyAlignment="1">
      <alignment horizontal="left"/>
    </xf>
    <xf numFmtId="4" fontId="5" fillId="3" borderId="0" xfId="0" applyNumberFormat="1" applyFont="1" applyFill="1" applyAlignment="1">
      <alignment horizontal="right" vertic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71D266E-88C3-460F-866F-1C1C0FC63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A898C-754E-4CC1-800B-433A83EE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3" sqref="I3"/>
    </sheetView>
  </sheetViews>
  <sheetFormatPr defaultRowHeight="12.75" x14ac:dyDescent="0.2"/>
  <sheetData>
    <row r="2" spans="2:9" ht="15" x14ac:dyDescent="0.25">
      <c r="B2" s="56">
        <v>1</v>
      </c>
      <c r="C2" t="s">
        <v>179</v>
      </c>
      <c r="E2" s="56">
        <v>1</v>
      </c>
      <c r="F2">
        <v>692926</v>
      </c>
      <c r="H2" s="56">
        <v>1</v>
      </c>
      <c r="I2" s="57" t="s">
        <v>178</v>
      </c>
    </row>
    <row r="3" spans="2:9" ht="15" x14ac:dyDescent="0.25">
      <c r="B3" s="56">
        <v>2</v>
      </c>
      <c r="E3" s="56">
        <v>2</v>
      </c>
      <c r="H3" s="56">
        <v>2</v>
      </c>
      <c r="I3" s="57"/>
    </row>
    <row r="4" spans="2:9" ht="15" x14ac:dyDescent="0.25">
      <c r="B4" s="56">
        <v>3</v>
      </c>
      <c r="E4" s="56">
        <v>3</v>
      </c>
      <c r="H4" s="56">
        <v>3</v>
      </c>
      <c r="I4" s="57"/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ht="15" x14ac:dyDescent="0.25">
      <c r="B7" s="56">
        <v>6</v>
      </c>
      <c r="E7" s="56">
        <v>6</v>
      </c>
      <c r="H7" s="56">
        <v>6</v>
      </c>
      <c r="I7" s="57"/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177</v>
      </c>
      <c r="C2" s="74"/>
      <c r="D2" s="74"/>
      <c r="E2" s="74"/>
      <c r="F2" s="74"/>
      <c r="G2" s="74"/>
      <c r="H2" s="74"/>
      <c r="I2" s="75"/>
      <c r="J2" s="43">
        <v>61398073</v>
      </c>
      <c r="K2" s="50">
        <v>22826</v>
      </c>
      <c r="L2" s="44">
        <v>456</v>
      </c>
      <c r="M2" s="59">
        <v>2416.9</v>
      </c>
      <c r="N2" s="59">
        <v>3215.81</v>
      </c>
      <c r="O2" s="59">
        <v>3667.01</v>
      </c>
      <c r="P2" s="44" t="s">
        <v>54</v>
      </c>
      <c r="Q2" s="44">
        <v>29.792000000000002</v>
      </c>
      <c r="R2" s="44" t="s">
        <v>62</v>
      </c>
    </row>
    <row r="3" spans="2:22" x14ac:dyDescent="0.2">
      <c r="B3" s="6" t="s">
        <v>53</v>
      </c>
      <c r="C3" s="58">
        <v>182</v>
      </c>
      <c r="D3" s="5"/>
      <c r="E3" s="5"/>
      <c r="F3" s="5"/>
      <c r="G3" s="5" t="s">
        <v>52</v>
      </c>
      <c r="H3" s="31"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61398073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3667.01</v>
      </c>
      <c r="G23" s="23">
        <f>+N2</f>
        <v>3215.81</v>
      </c>
      <c r="H23" s="23">
        <f>+M2</f>
        <v>2416.9</v>
      </c>
      <c r="I23" s="51">
        <f>+L2</f>
        <v>456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9" t="s">
        <v>19</v>
      </c>
      <c r="E31" s="79"/>
      <c r="F31" s="79" t="s">
        <v>18</v>
      </c>
      <c r="G31" s="79"/>
      <c r="H31" s="51" t="s">
        <v>17</v>
      </c>
      <c r="I31" s="19" t="s">
        <v>16</v>
      </c>
      <c r="M31"/>
    </row>
    <row r="32" spans="2:13" ht="24.75" customHeight="1" x14ac:dyDescent="0.2">
      <c r="B32" s="41" t="s">
        <v>183</v>
      </c>
      <c r="C32" s="19" t="s">
        <v>182</v>
      </c>
      <c r="D32" s="66"/>
      <c r="E32" s="67"/>
      <c r="F32" s="66">
        <f>+K2</f>
        <v>22826</v>
      </c>
      <c r="G32" s="67"/>
      <c r="H32" s="17">
        <v>2.5</v>
      </c>
      <c r="I32" s="18">
        <f>+H32*F32</f>
        <v>57065</v>
      </c>
      <c r="K32" s="48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51"/>
    </row>
    <row r="34" spans="2:11" ht="21.75" customHeight="1" x14ac:dyDescent="0.2">
      <c r="B34" s="15" t="s">
        <v>14</v>
      </c>
      <c r="C34" s="15"/>
      <c r="D34" s="64"/>
      <c r="E34" s="65"/>
      <c r="F34" s="66">
        <f>SUM(F32:G33)</f>
        <v>22826</v>
      </c>
      <c r="G34" s="67"/>
      <c r="H34" s="15"/>
      <c r="I34" s="14">
        <f>SUM(I32:I33)</f>
        <v>57065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57065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57065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6F04-A00B-4897-B7DD-5A8703DA269D}">
  <sheetPr>
    <pageSetUpPr fitToPage="1"/>
  </sheetPr>
  <dimension ref="B1:V58"/>
  <sheetViews>
    <sheetView tabSelected="1" view="pageBreakPreview" zoomScaleNormal="100" zoomScaleSheetLayoutView="100" workbookViewId="0">
      <selection activeCell="E5" sqref="E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181</v>
      </c>
      <c r="C2" s="74"/>
      <c r="D2" s="74"/>
      <c r="E2" s="74"/>
      <c r="F2" s="74"/>
      <c r="G2" s="74"/>
      <c r="H2" s="74"/>
      <c r="I2" s="75"/>
      <c r="J2" s="43">
        <v>61398073</v>
      </c>
      <c r="K2" s="50">
        <v>22826</v>
      </c>
      <c r="L2" s="44">
        <v>456</v>
      </c>
      <c r="M2" s="59">
        <v>2416.9</v>
      </c>
      <c r="N2" s="59">
        <v>3215.81</v>
      </c>
      <c r="O2" s="59">
        <v>3667.01</v>
      </c>
      <c r="P2" s="44" t="s">
        <v>54</v>
      </c>
      <c r="Q2" s="44">
        <v>29.792000000000002</v>
      </c>
      <c r="R2" s="44" t="s">
        <v>62</v>
      </c>
    </row>
    <row r="3" spans="2:22" x14ac:dyDescent="0.2">
      <c r="B3" s="6" t="s">
        <v>53</v>
      </c>
      <c r="C3" s="58">
        <f>+'182. FOB'!C3</f>
        <v>182</v>
      </c>
      <c r="D3" s="5"/>
      <c r="E3" s="5"/>
      <c r="F3" s="5"/>
      <c r="G3" s="5" t="s">
        <v>52</v>
      </c>
      <c r="H3" s="31"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61398073</v>
      </c>
      <c r="C21" s="6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1" t="s">
        <v>35</v>
      </c>
      <c r="G21" s="61"/>
      <c r="H21" s="49" t="str">
        <f>IF(LEFT(G17,2)="CA","CA",IF(LEFT(G17,2)="UN","US",IF(LEFT(G17,2)="PA","PA",IF(LEFT(G17,2)="JA","JP"))))</f>
        <v>US</v>
      </c>
      <c r="I21" s="6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3667.01</v>
      </c>
      <c r="G23" s="23">
        <f>+N2</f>
        <v>3215.81</v>
      </c>
      <c r="H23" s="23">
        <f>+M2</f>
        <v>2416.9</v>
      </c>
      <c r="I23" s="61">
        <f>+L2</f>
        <v>456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9" t="s">
        <v>19</v>
      </c>
      <c r="E31" s="79"/>
      <c r="F31" s="79" t="s">
        <v>18</v>
      </c>
      <c r="G31" s="79"/>
      <c r="H31" s="61" t="s">
        <v>17</v>
      </c>
      <c r="I31" s="19" t="s">
        <v>16</v>
      </c>
      <c r="M31"/>
    </row>
    <row r="32" spans="2:13" ht="24.75" customHeight="1" x14ac:dyDescent="0.2">
      <c r="B32" s="41" t="s">
        <v>183</v>
      </c>
      <c r="C32" s="19" t="s">
        <v>182</v>
      </c>
      <c r="D32" s="66"/>
      <c r="E32" s="67"/>
      <c r="F32" s="66">
        <f>+K2</f>
        <v>22826</v>
      </c>
      <c r="G32" s="67"/>
      <c r="H32" s="17">
        <v>0.76</v>
      </c>
      <c r="I32" s="18">
        <f>+H32*F32</f>
        <v>17347.759999999998</v>
      </c>
      <c r="K32" s="48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61"/>
    </row>
    <row r="34" spans="2:11" ht="21.75" customHeight="1" x14ac:dyDescent="0.2">
      <c r="B34" s="15" t="s">
        <v>14</v>
      </c>
      <c r="C34" s="15"/>
      <c r="D34" s="64"/>
      <c r="E34" s="65"/>
      <c r="F34" s="66">
        <f>SUM(F32:G33)</f>
        <v>22826</v>
      </c>
      <c r="G34" s="67"/>
      <c r="H34" s="15"/>
      <c r="I34" s="14">
        <f>SUM(I32:I33)</f>
        <v>17347.759999999998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61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17347.759999999998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17347.759999999998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1A510E-9F3D-4962-AF99-F37B37FCA12F}">
          <x14:formula1>
            <xm:f>Sheet1!$L$5:$L$25</xm:f>
          </x14:formula1>
          <xm:sqref>G13</xm:sqref>
        </x14:dataValidation>
        <x14:dataValidation type="list" allowBlank="1" showInputMessage="1" showErrorMessage="1" xr:uid="{A45878AB-CB7F-47C4-BA6A-6DB805D2320C}">
          <x14:formula1>
            <xm:f>Sheet1!$B$17:$B$18</xm:f>
          </x14:formula1>
          <xm:sqref>G5</xm:sqref>
        </x14:dataValidation>
        <x14:dataValidation type="list" allowBlank="1" showInputMessage="1" showErrorMessage="1" xr:uid="{BF4D20C6-5CEF-4078-97F4-E6B47A2A95F2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182. FOB</vt:lpstr>
      <vt:lpstr>182. CMT</vt:lpstr>
      <vt:lpstr>'182. CMT'!Print_Area</vt:lpstr>
      <vt:lpstr>'182.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2026-04-06T03:04:50Z</cp:lastPrinted>
  <dcterms:created xsi:type="dcterms:W3CDTF">2024-04-17T09:56:05Z</dcterms:created>
  <dcterms:modified xsi:type="dcterms:W3CDTF">2026-04-29T03:24:46Z</dcterms:modified>
</cp:coreProperties>
</file>