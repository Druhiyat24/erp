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02.06.2026\MOBIL 1\"/>
    </mc:Choice>
  </mc:AlternateContent>
  <xr:revisionPtr revIDLastSave="0" documentId="13_ncr:1_{7856F566-20BA-4822-9C5C-263FC3B362C0}" xr6:coauthVersionLast="47" xr6:coauthVersionMax="47" xr10:uidLastSave="{00000000-0000-0000-0000-000000000000}"/>
  <bookViews>
    <workbookView xWindow="-120" yWindow="-120" windowWidth="20730" windowHeight="11160" activeTab="10" xr2:uid="{00000000-000D-0000-FFFF-FFFF00000000}"/>
  </bookViews>
  <sheets>
    <sheet name="Sheet1" sheetId="128" r:id="rId1"/>
    <sheet name="reff" sheetId="162" r:id="rId2"/>
    <sheet name="1" sheetId="129" r:id="rId3"/>
    <sheet name="2" sheetId="133" r:id="rId4"/>
    <sheet name="3" sheetId="134" r:id="rId5"/>
    <sheet name="4" sheetId="135" r:id="rId6"/>
    <sheet name="5" sheetId="137" r:id="rId7"/>
    <sheet name="6" sheetId="138" r:id="rId8"/>
    <sheet name="7" sheetId="141" r:id="rId9"/>
    <sheet name="8" sheetId="142" r:id="rId10"/>
    <sheet name="9" sheetId="143" r:id="rId11"/>
  </sheets>
  <externalReferences>
    <externalReference r:id="rId12"/>
    <externalReference r:id="rId13"/>
    <externalReference r:id="rId14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>[2]xdata!#REF!</definedName>
    <definedName name="INVOICE">[2]xdata!$B$2</definedName>
    <definedName name="_xlnm.Print_Area" localSheetId="2">'1'!$B$1:$I$58</definedName>
    <definedName name="_xlnm.Print_Area" localSheetId="3">'2'!$B$1:$I$58</definedName>
    <definedName name="_xlnm.Print_Area" localSheetId="4">'3'!$B$1:$I$57</definedName>
    <definedName name="_xlnm.Print_Area" localSheetId="5">'4'!$B$1:$I$57</definedName>
    <definedName name="_xlnm.Print_Area" localSheetId="6">'5'!$B$1:$I$57</definedName>
    <definedName name="_xlnm.Print_Area" localSheetId="7">'6'!$B$1:$I$56</definedName>
    <definedName name="_xlnm.Print_Area" localSheetId="8">'7'!$B$1:$I$57</definedName>
    <definedName name="_xlnm.Print_Area" localSheetId="9">'8'!$B$1:$I$57</definedName>
    <definedName name="_xlnm.Print_Area" localSheetId="10">'9'!$B$1:$I$57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41" l="1"/>
  <c r="F32" i="138"/>
  <c r="F32" i="134" l="1"/>
  <c r="I33" i="133"/>
  <c r="I32" i="138" l="1"/>
  <c r="F33" i="138"/>
  <c r="I33" i="129"/>
  <c r="I33" i="138" l="1"/>
  <c r="F35" i="133" l="1"/>
  <c r="F35" i="129" l="1"/>
  <c r="F32" i="143"/>
  <c r="F32" i="142"/>
  <c r="F34" i="142" s="1"/>
  <c r="I32" i="134"/>
  <c r="C3" i="133"/>
  <c r="F34" i="141"/>
  <c r="F32" i="137"/>
  <c r="H3" i="143"/>
  <c r="H3" i="142"/>
  <c r="H3" i="141"/>
  <c r="H3" i="138"/>
  <c r="H3" i="137"/>
  <c r="H3" i="135"/>
  <c r="H3" i="134"/>
  <c r="H3" i="133"/>
  <c r="F32" i="135"/>
  <c r="I32" i="141" l="1"/>
  <c r="I34" i="141" s="1"/>
  <c r="F34" i="137"/>
  <c r="F34" i="135"/>
  <c r="I32" i="129" l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3" i="129"/>
  <c r="H52" i="134"/>
  <c r="H52" i="135"/>
  <c r="H52" i="137"/>
  <c r="H51" i="138"/>
  <c r="H52" i="143"/>
  <c r="H53" i="13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34" i="135" s="1"/>
  <c r="I36" i="135" s="1"/>
  <c r="I38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5" i="138" l="1"/>
  <c r="I37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5" i="129"/>
  <c r="I37" i="129" s="1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5" i="133" l="1"/>
  <c r="I37" i="133" s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</calcChain>
</file>

<file path=xl/sharedStrings.xml><?xml version="1.0" encoding="utf-8"?>
<sst xmlns="http://schemas.openxmlformats.org/spreadsheetml/2006/main" count="882" uniqueCount="202">
  <si>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</si>
  <si>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</si>
  <si>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</si>
  <si>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</si>
  <si>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</si>
  <si>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</si>
  <si>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</si>
  <si>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</si>
  <si>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</si>
  <si>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</si>
  <si>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</si>
  <si>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</si>
  <si>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</si>
  <si>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</si>
  <si>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</si>
  <si>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</si>
  <si>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</si>
  <si>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</si>
  <si>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</si>
  <si>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</si>
  <si>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</si>
  <si>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</si>
  <si>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</si>
  <si>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</si>
  <si>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</si>
  <si>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</si>
  <si>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</si>
  <si>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</si>
  <si>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</si>
  <si>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</si>
  <si>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</si>
  <si>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</si>
  <si>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</si>
  <si>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</si>
  <si>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</si>
  <si>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</si>
  <si>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</si>
  <si>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</si>
  <si>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</si>
  <si>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</si>
  <si>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</si>
  <si>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</si>
  <si>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</si>
  <si>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</si>
  <si>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</si>
  <si>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</si>
  <si>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</si>
  <si>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</si>
  <si>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</si>
  <si>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</si>
  <si>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</si>
  <si>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</si>
  <si>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</si>
  <si>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</si>
  <si>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</si>
  <si>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</si>
  <si>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</si>
  <si>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</si>
  <si>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</si>
  <si>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</si>
  <si>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</si>
  <si>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</si>
  <si>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</si>
  <si>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</si>
  <si>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</si>
  <si>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</si>
  <si>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</si>
  <si>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</si>
  <si>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</si>
  <si>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</si>
  <si>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</si>
  <si>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</si>
  <si>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</si>
  <si>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</si>
  <si>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</si>
  <si>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</si>
  <si>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</si>
  <si>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</si>
  <si>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</si>
  <si>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</si>
  <si>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</si>
  <si>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</si>
  <si>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</si>
  <si>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</si>
  <si>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</si>
  <si>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</si>
  <si>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</si>
  <si>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</si>
  <si>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</si>
  <si>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</si>
  <si>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</si>
  <si>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</si>
  <si>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</si>
  <si>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</si>
  <si>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</si>
  <si>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</si>
  <si>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</si>
  <si>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</si>
  <si>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</si>
  <si>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</si>
  <si>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</si>
  <si>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</si>
  <si>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</si>
  <si>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</si>
  <si>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</si>
  <si>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</si>
  <si>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</si>
  <si>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</si>
  <si>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</si>
  <si>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</si>
  <si>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</si>
  <si>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</si>
  <si>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</si>
  <si>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</si>
  <si>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</si>
  <si>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</si>
  <si>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</si>
  <si>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</si>
  <si>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</si>
  <si>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</si>
  <si>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</si>
  <si>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</si>
  <si>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</si>
  <si>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</si>
  <si>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</si>
  <si>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</si>
  <si>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</si>
  <si>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</si>
  <si>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</si>
  <si>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</si>
  <si>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</si>
  <si>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</si>
  <si>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</si>
  <si>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</si>
  <si>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</si>
  <si>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</si>
  <si>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</si>
  <si>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</si>
  <si>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</si>
  <si>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</si>
  <si>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</si>
  <si>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</si>
  <si>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</si>
  <si>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</si>
  <si>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</si>
  <si>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</si>
  <si>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</si>
  <si>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</si>
  <si>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</si>
  <si>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</si>
  <si>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</si>
  <si>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</si>
  <si>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</si>
  <si>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</si>
  <si>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</si>
  <si>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</si>
  <si>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</si>
  <si>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</si>
  <si>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</si>
  <si>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</si>
  <si>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</si>
  <si>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</si>
  <si>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</si>
  <si>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</si>
  <si>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</si>
  <si>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</si>
  <si>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</si>
  <si>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</si>
  <si>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</si>
  <si>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</si>
  <si>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</si>
  <si>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</si>
  <si>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</si>
  <si>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</si>
  <si>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</si>
  <si>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</si>
  <si>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</si>
  <si>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</si>
  <si>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</si>
  <si>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00, 01</t>
  </si>
  <si>
    <t>01</t>
  </si>
  <si>
    <t>265K0059</t>
  </si>
  <si>
    <t>BLACK LEOPARD, PINK LEOPARD HEART</t>
  </si>
  <si>
    <t>GIRLS COTTON FIBERS, KNIT PULLOVER, WITH NO NECK CLOSURE, STITCH COUNT IS GREATER THAN 9/2CM, REACHES WAIST [100% COTTON]</t>
  </si>
  <si>
    <t>265K0051</t>
  </si>
  <si>
    <t>265K0056</t>
  </si>
  <si>
    <t>BRIGHT WHITE</t>
  </si>
  <si>
    <t>04</t>
  </si>
  <si>
    <t>Boys Cotton Fibers, Knit Shirt, With Neck Closure, Stitch Count Equal Or Is Greater Than 10/1cm, Hem Bottom [60% Cotton 40% Polyester]</t>
  </si>
  <si>
    <t xml:space="preserve"> 265K0075 </t>
  </si>
  <si>
    <t>FRANCHISE</t>
  </si>
  <si>
    <t>INK BLUE</t>
  </si>
  <si>
    <t>02</t>
  </si>
  <si>
    <t>PRESSED FLOWER</t>
  </si>
  <si>
    <t>SHOOTING STAR</t>
  </si>
  <si>
    <t>21</t>
  </si>
  <si>
    <t>WOMENS COTTON FIBERS, KNIT PULLOVER, WITH NO NECK CLOSURE, STITCH COUNT IS GREATER THAN 9/2CM, REACHES WAIST, SLEEVELESS [95% COTTON 5% ELASTANE]</t>
  </si>
  <si>
    <t>BLACK JACK 3</t>
  </si>
  <si>
    <t>15</t>
  </si>
  <si>
    <t>BLUSH ON YOU, SHOOTING STAR</t>
  </si>
  <si>
    <t>22, 21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</si>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</sst>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46</xdr:row>
      <xdr:rowOff>9525</xdr:rowOff>
    </xdr:from>
    <xdr:to>
      <xdr:col>4</xdr:col>
      <xdr:colOff>322160</xdr:colOff>
      <xdr:row>54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10" sqref="I10"/>
    </sheetView>
  </sheetViews>
  <sheetFormatPr defaultRowHeight="12.75" x14ac:dyDescent="0.2"/>
  <sheetData>
    <row r="2" spans="2:9" ht="15" x14ac:dyDescent="0.25">
      <c r="B2" s="57">
        <v>1</v>
      </c>
      <c r="C2" t="s">
        <v>184</v>
      </c>
      <c r="E2" s="57">
        <v>1</v>
      </c>
      <c r="F2">
        <v>416363</v>
      </c>
      <c r="H2" s="57">
        <v>1</v>
      </c>
      <c r="I2" s="58" t="s">
        <v>178</v>
      </c>
    </row>
    <row r="3" spans="2:9" ht="15" x14ac:dyDescent="0.25">
      <c r="B3" s="57">
        <v>2</v>
      </c>
      <c r="C3" t="s">
        <v>184</v>
      </c>
      <c r="E3" s="57">
        <v>2</v>
      </c>
      <c r="F3">
        <v>416363</v>
      </c>
      <c r="H3" s="57">
        <v>2</v>
      </c>
      <c r="I3" s="58" t="s">
        <v>177</v>
      </c>
    </row>
    <row r="4" spans="2:9" ht="15" x14ac:dyDescent="0.25">
      <c r="B4" s="57">
        <v>3</v>
      </c>
      <c r="C4" t="s">
        <v>185</v>
      </c>
      <c r="E4" s="57">
        <v>3</v>
      </c>
      <c r="F4">
        <v>903770</v>
      </c>
      <c r="H4" s="57">
        <v>3</v>
      </c>
      <c r="I4" s="58" t="s">
        <v>190</v>
      </c>
    </row>
    <row r="5" spans="2:9" ht="15" x14ac:dyDescent="0.25">
      <c r="B5" s="57">
        <v>4</v>
      </c>
      <c r="C5" t="s">
        <v>181</v>
      </c>
      <c r="E5" s="57">
        <v>4</v>
      </c>
      <c r="F5">
        <v>906033</v>
      </c>
      <c r="H5" s="57">
        <v>4</v>
      </c>
      <c r="I5" s="58" t="s">
        <v>178</v>
      </c>
    </row>
    <row r="6" spans="2:9" ht="15" x14ac:dyDescent="0.25">
      <c r="B6" s="57">
        <v>5</v>
      </c>
      <c r="C6" t="s">
        <v>181</v>
      </c>
      <c r="E6" s="57">
        <v>5</v>
      </c>
      <c r="F6">
        <v>906033</v>
      </c>
      <c r="H6" s="57">
        <v>5</v>
      </c>
      <c r="I6" s="58" t="s">
        <v>177</v>
      </c>
    </row>
    <row r="7" spans="2:9" ht="15" x14ac:dyDescent="0.25">
      <c r="B7" s="57">
        <v>6</v>
      </c>
      <c r="C7" t="s">
        <v>189</v>
      </c>
      <c r="E7" s="57">
        <v>6</v>
      </c>
      <c r="F7">
        <v>692926</v>
      </c>
      <c r="H7" s="57">
        <v>6</v>
      </c>
      <c r="I7" s="58" t="s">
        <v>177</v>
      </c>
    </row>
    <row r="8" spans="2:9" ht="15" x14ac:dyDescent="0.25">
      <c r="B8" s="57">
        <v>7</v>
      </c>
      <c r="C8" t="s">
        <v>189</v>
      </c>
      <c r="E8" s="57">
        <v>7</v>
      </c>
      <c r="F8">
        <v>692926</v>
      </c>
      <c r="H8" s="57">
        <v>7</v>
      </c>
      <c r="I8" s="58" t="s">
        <v>178</v>
      </c>
    </row>
    <row r="9" spans="2:9" ht="15" x14ac:dyDescent="0.25">
      <c r="B9" s="57">
        <v>8</v>
      </c>
      <c r="C9" t="s">
        <v>189</v>
      </c>
      <c r="E9" s="57">
        <v>8</v>
      </c>
      <c r="F9">
        <v>692926</v>
      </c>
      <c r="H9" s="57">
        <v>8</v>
      </c>
      <c r="I9" s="58" t="s">
        <v>177</v>
      </c>
    </row>
    <row r="10" spans="2:9" ht="15" x14ac:dyDescent="0.25">
      <c r="B10" s="57">
        <v>9</v>
      </c>
      <c r="C10" t="s">
        <v>189</v>
      </c>
      <c r="E10" s="57">
        <v>9</v>
      </c>
      <c r="F10">
        <v>692926</v>
      </c>
      <c r="H10" s="57">
        <v>9</v>
      </c>
      <c r="I10" s="58" t="s">
        <v>178</v>
      </c>
    </row>
    <row r="11" spans="2:9" ht="15" x14ac:dyDescent="0.25">
      <c r="B11" s="57">
        <v>10</v>
      </c>
      <c r="E11" s="57">
        <v>10</v>
      </c>
      <c r="H11" s="57">
        <v>10</v>
      </c>
      <c r="I11" s="58"/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view="pageBreakPreview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201</v>
      </c>
      <c r="C2" s="78"/>
      <c r="D2" s="78"/>
      <c r="E2" s="78"/>
      <c r="F2" s="78"/>
      <c r="G2" s="78"/>
      <c r="H2" s="78"/>
      <c r="I2" s="79"/>
      <c r="J2" s="61">
        <v>61717923</v>
      </c>
      <c r="K2" s="62">
        <v>1150</v>
      </c>
      <c r="L2" s="63">
        <v>19</v>
      </c>
      <c r="M2" s="63">
        <v>135.21</v>
      </c>
      <c r="N2" s="63">
        <v>137.51</v>
      </c>
      <c r="O2" s="63">
        <v>151.81</v>
      </c>
      <c r="P2" s="63" t="s">
        <v>54</v>
      </c>
      <c r="Q2" s="63">
        <v>0.73799999999999999</v>
      </c>
      <c r="R2" s="63" t="s">
        <v>62</v>
      </c>
    </row>
    <row r="3" spans="2:22" x14ac:dyDescent="0.2">
      <c r="B3" s="6" t="s">
        <v>53</v>
      </c>
      <c r="C3" s="65">
        <v>1</v>
      </c>
      <c r="D3" s="5"/>
      <c r="E3" s="5"/>
      <c r="F3" s="5"/>
      <c r="G3" s="5" t="s">
        <v>52</v>
      </c>
      <c r="H3" s="31"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61717923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151.81</v>
      </c>
      <c r="G23" s="23">
        <f>+N2</f>
        <v>137.51</v>
      </c>
      <c r="H23" s="23">
        <f>+M2</f>
        <v>135.21</v>
      </c>
      <c r="I23" s="48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3"/>
      <c r="D26" s="73"/>
      <c r="E26" s="73"/>
      <c r="F26" s="73"/>
      <c r="G26" s="73"/>
      <c r="H26" s="73"/>
      <c r="I26" s="69"/>
    </row>
    <row r="27" spans="2:13" ht="24.75" customHeight="1" x14ac:dyDescent="0.2">
      <c r="B27" s="80" t="str">
        <f>+K4</f>
        <v>Boys Cotton Fibers, Knit Shirt, With Neck Closure, Stitch Count Equal Or Is Greater Than 10/1cm, Hem Bottom [60% Cotton 40% Polyester]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3" t="s">
        <v>19</v>
      </c>
      <c r="E31" s="83"/>
      <c r="F31" s="83" t="s">
        <v>18</v>
      </c>
      <c r="G31" s="83"/>
      <c r="H31" s="48" t="s">
        <v>17</v>
      </c>
      <c r="I31" s="19" t="s">
        <v>16</v>
      </c>
      <c r="M31"/>
    </row>
    <row r="32" spans="2:13" ht="30.75" customHeight="1" x14ac:dyDescent="0.2">
      <c r="B32" s="41" t="s">
        <v>187</v>
      </c>
      <c r="C32" s="19" t="s">
        <v>186</v>
      </c>
      <c r="D32" s="66"/>
      <c r="E32" s="67"/>
      <c r="F32" s="66">
        <v>400</v>
      </c>
      <c r="G32" s="67"/>
      <c r="H32" s="17">
        <v>0.9</v>
      </c>
      <c r="I32" s="18">
        <f>+H32*F32</f>
        <v>360</v>
      </c>
      <c r="K32" s="46"/>
      <c r="M32" s="39"/>
    </row>
    <row r="33" spans="2:13" ht="36.75" customHeight="1" x14ac:dyDescent="0.2">
      <c r="B33" s="41" t="s">
        <v>192</v>
      </c>
      <c r="C33" s="19" t="s">
        <v>191</v>
      </c>
      <c r="D33" s="66"/>
      <c r="E33" s="67"/>
      <c r="F33" s="66">
        <v>750</v>
      </c>
      <c r="G33" s="67"/>
      <c r="H33" s="17">
        <v>0.9</v>
      </c>
      <c r="I33" s="18">
        <f>+H33*F33</f>
        <v>675</v>
      </c>
      <c r="K33" s="46"/>
      <c r="M33" s="39"/>
    </row>
    <row r="34" spans="2:13" ht="21" customHeight="1" x14ac:dyDescent="0.2">
      <c r="B34" s="15" t="s">
        <v>15</v>
      </c>
      <c r="C34" s="15"/>
      <c r="D34" s="68"/>
      <c r="E34" s="69"/>
      <c r="F34" s="68"/>
      <c r="G34" s="69"/>
      <c r="H34" s="17"/>
      <c r="I34" s="48"/>
    </row>
    <row r="35" spans="2:13" ht="21.75" customHeight="1" x14ac:dyDescent="0.2">
      <c r="B35" s="15" t="s">
        <v>14</v>
      </c>
      <c r="C35" s="15"/>
      <c r="D35" s="70"/>
      <c r="E35" s="71"/>
      <c r="F35" s="66">
        <f>SUM(F31:G34)</f>
        <v>1150</v>
      </c>
      <c r="G35" s="67"/>
      <c r="H35" s="15"/>
      <c r="I35" s="14">
        <f>SUM(I32:I34)</f>
        <v>1035</v>
      </c>
      <c r="J35" s="40"/>
      <c r="K35" s="40"/>
    </row>
    <row r="36" spans="2:13" ht="21.75" customHeight="1" x14ac:dyDescent="0.2">
      <c r="B36" s="16" t="s">
        <v>13</v>
      </c>
      <c r="C36" s="15"/>
      <c r="D36" s="68"/>
      <c r="E36" s="69"/>
      <c r="F36" s="68"/>
      <c r="G36" s="69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8"/>
      <c r="E37" s="69"/>
      <c r="F37" s="68"/>
      <c r="G37" s="69"/>
      <c r="H37" s="15"/>
      <c r="I37" s="14">
        <f>+I35</f>
        <v>1035</v>
      </c>
    </row>
    <row r="38" spans="2:13" ht="20.25" customHeight="1" x14ac:dyDescent="0.2">
      <c r="B38" s="15" t="s">
        <v>80</v>
      </c>
      <c r="C38" s="68" t="s">
        <v>11</v>
      </c>
      <c r="D38" s="73"/>
      <c r="E38" s="73"/>
      <c r="F38" s="73"/>
      <c r="G38" s="73"/>
      <c r="H38" s="69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1035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4" t="s">
        <v>7</v>
      </c>
      <c r="C47" s="74"/>
      <c r="D47" s="74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5" t="s">
        <v>1</v>
      </c>
      <c r="D56" s="75"/>
      <c r="E56" s="5"/>
      <c r="F56" s="5"/>
      <c r="G56" s="5"/>
      <c r="H56" s="5"/>
      <c r="I56" s="4"/>
    </row>
    <row r="57" spans="2:11" x14ac:dyDescent="0.2">
      <c r="B57" s="6"/>
      <c r="C57" s="76" t="s">
        <v>0</v>
      </c>
      <c r="D57" s="76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2"/>
      <c r="D58" s="7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B2:I2"/>
    <mergeCell ref="B26:I26"/>
    <mergeCell ref="B27:I27"/>
    <mergeCell ref="D31:E31"/>
    <mergeCell ref="F31:G31"/>
    <mergeCell ref="F32:G32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7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9"/>
  <sheetViews>
    <sheetView view="pageBreakPreview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201</v>
      </c>
      <c r="C2" s="78"/>
      <c r="D2" s="78"/>
      <c r="E2" s="78"/>
      <c r="F2" s="78"/>
      <c r="G2" s="78"/>
      <c r="H2" s="78"/>
      <c r="I2" s="79"/>
      <c r="J2" s="61">
        <v>61716240</v>
      </c>
      <c r="K2" s="62">
        <v>1150</v>
      </c>
      <c r="L2" s="63">
        <v>17</v>
      </c>
      <c r="M2" s="63">
        <v>134.27500000000001</v>
      </c>
      <c r="N2" s="63">
        <v>136.57499999999999</v>
      </c>
      <c r="O2" s="63">
        <v>150.875</v>
      </c>
      <c r="P2" s="63" t="s">
        <v>54</v>
      </c>
      <c r="Q2" s="63">
        <v>0.71599999999999997</v>
      </c>
      <c r="R2" s="63" t="s">
        <v>62</v>
      </c>
    </row>
    <row r="3" spans="2:22" x14ac:dyDescent="0.2">
      <c r="B3" s="6" t="s">
        <v>53</v>
      </c>
      <c r="C3" s="65">
        <f>+'1'!C3+1</f>
        <v>2</v>
      </c>
      <c r="D3" s="5"/>
      <c r="E3" s="5"/>
      <c r="F3" s="5"/>
      <c r="G3" s="5" t="s">
        <v>52</v>
      </c>
      <c r="H3" s="31">
        <f>+'1'!H3+0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61716240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150.875</v>
      </c>
      <c r="G23" s="23">
        <f>+N2</f>
        <v>136.57499999999999</v>
      </c>
      <c r="H23" s="23">
        <f>+M2</f>
        <v>134.27500000000001</v>
      </c>
      <c r="I23" s="48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3"/>
      <c r="D26" s="73"/>
      <c r="E26" s="73"/>
      <c r="F26" s="73"/>
      <c r="G26" s="73"/>
      <c r="H26" s="73"/>
      <c r="I26" s="69"/>
    </row>
    <row r="27" spans="2:13" ht="24.75" customHeight="1" x14ac:dyDescent="0.2">
      <c r="B27" s="80" t="str">
        <f>+K4</f>
        <v>Boys Cotton Fibers, Knit Shirt, With Neck Closure, Stitch Count Equal Or Is Greater Than 10/1cm, Hem Bottom [60% Cotton 40% Polyester]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3" t="s">
        <v>19</v>
      </c>
      <c r="E31" s="83"/>
      <c r="F31" s="83" t="s">
        <v>18</v>
      </c>
      <c r="G31" s="83"/>
      <c r="H31" s="48" t="s">
        <v>17</v>
      </c>
      <c r="I31" s="19" t="s">
        <v>16</v>
      </c>
      <c r="M31"/>
    </row>
    <row r="32" spans="2:13" ht="27.75" customHeight="1" x14ac:dyDescent="0.2">
      <c r="B32" s="41" t="s">
        <v>187</v>
      </c>
      <c r="C32" s="19" t="s">
        <v>186</v>
      </c>
      <c r="D32" s="66"/>
      <c r="E32" s="67"/>
      <c r="F32" s="66">
        <v>400</v>
      </c>
      <c r="G32" s="67"/>
      <c r="H32" s="17">
        <v>0.9</v>
      </c>
      <c r="I32" s="18">
        <f>+H32*F32</f>
        <v>360</v>
      </c>
      <c r="K32" s="46"/>
      <c r="M32" s="39"/>
    </row>
    <row r="33" spans="2:13" ht="27.75" customHeight="1" x14ac:dyDescent="0.2">
      <c r="B33" s="41" t="s">
        <v>192</v>
      </c>
      <c r="C33" s="19" t="s">
        <v>191</v>
      </c>
      <c r="D33" s="66"/>
      <c r="E33" s="67"/>
      <c r="F33" s="66">
        <v>750</v>
      </c>
      <c r="G33" s="67"/>
      <c r="H33" s="17">
        <v>0.9</v>
      </c>
      <c r="I33" s="18">
        <f>+H33*F33</f>
        <v>675</v>
      </c>
      <c r="K33" s="46"/>
      <c r="M33" s="39"/>
    </row>
    <row r="34" spans="2:13" ht="21" customHeight="1" x14ac:dyDescent="0.2">
      <c r="B34" s="15" t="s">
        <v>15</v>
      </c>
      <c r="C34" s="15"/>
      <c r="D34" s="68"/>
      <c r="E34" s="69"/>
      <c r="F34" s="68"/>
      <c r="G34" s="69"/>
      <c r="H34" s="17"/>
      <c r="I34" s="48"/>
    </row>
    <row r="35" spans="2:13" ht="21.75" customHeight="1" x14ac:dyDescent="0.2">
      <c r="B35" s="15" t="s">
        <v>14</v>
      </c>
      <c r="C35" s="15"/>
      <c r="D35" s="70"/>
      <c r="E35" s="71"/>
      <c r="F35" s="66">
        <f>SUM(F31:G34)</f>
        <v>1150</v>
      </c>
      <c r="G35" s="67"/>
      <c r="H35" s="15"/>
      <c r="I35" s="14">
        <f>SUM(I32:I34)</f>
        <v>1035</v>
      </c>
      <c r="J35" s="40"/>
      <c r="K35" s="40"/>
    </row>
    <row r="36" spans="2:13" ht="21.75" customHeight="1" x14ac:dyDescent="0.2">
      <c r="B36" s="16" t="s">
        <v>13</v>
      </c>
      <c r="C36" s="15"/>
      <c r="D36" s="68"/>
      <c r="E36" s="69"/>
      <c r="F36" s="68"/>
      <c r="G36" s="69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8"/>
      <c r="E37" s="69"/>
      <c r="F37" s="68"/>
      <c r="G37" s="69"/>
      <c r="H37" s="15"/>
      <c r="I37" s="14">
        <f>+I35</f>
        <v>1035</v>
      </c>
    </row>
    <row r="38" spans="2:13" ht="20.25" customHeight="1" x14ac:dyDescent="0.2">
      <c r="B38" s="15" t="s">
        <v>80</v>
      </c>
      <c r="C38" s="68" t="s">
        <v>11</v>
      </c>
      <c r="D38" s="73"/>
      <c r="E38" s="73"/>
      <c r="F38" s="73"/>
      <c r="G38" s="73"/>
      <c r="H38" s="69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1035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4" t="s">
        <v>7</v>
      </c>
      <c r="C47" s="74"/>
      <c r="D47" s="74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5" t="s">
        <v>1</v>
      </c>
      <c r="D56" s="75"/>
      <c r="E56" s="5"/>
      <c r="F56" s="5"/>
      <c r="G56" s="5"/>
      <c r="H56" s="5"/>
      <c r="I56" s="4"/>
    </row>
    <row r="57" spans="2:11" x14ac:dyDescent="0.2">
      <c r="B57" s="6"/>
      <c r="C57" s="76" t="s">
        <v>0</v>
      </c>
      <c r="D57" s="76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2"/>
      <c r="D58" s="7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7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201</v>
      </c>
      <c r="C2" s="78"/>
      <c r="D2" s="78"/>
      <c r="E2" s="78"/>
      <c r="F2" s="78"/>
      <c r="G2" s="78"/>
      <c r="H2" s="78"/>
      <c r="I2" s="79"/>
      <c r="J2" s="61">
        <v>61643355</v>
      </c>
      <c r="K2" s="63">
        <v>90</v>
      </c>
      <c r="L2" s="63">
        <v>5</v>
      </c>
      <c r="M2" s="63">
        <v>6.2549999999999999</v>
      </c>
      <c r="N2" s="63">
        <v>6.4349999999999996</v>
      </c>
      <c r="O2" s="63">
        <v>8.6850000000000005</v>
      </c>
      <c r="P2" s="63" t="s">
        <v>54</v>
      </c>
      <c r="Q2" s="63">
        <v>8.4000000000000005E-2</v>
      </c>
      <c r="R2" s="63" t="s">
        <v>62</v>
      </c>
    </row>
    <row r="3" spans="2:22" x14ac:dyDescent="0.2">
      <c r="B3" s="6" t="s">
        <v>53</v>
      </c>
      <c r="C3" s="65">
        <f>+'2'!C3+1</f>
        <v>3</v>
      </c>
      <c r="D3" s="5"/>
      <c r="E3" s="5"/>
      <c r="F3" s="5"/>
      <c r="G3" s="5" t="s">
        <v>52</v>
      </c>
      <c r="H3" s="31">
        <f>+'1'!H3+0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90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9271 MERIDIAN WAY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WEST CHESTER,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45069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61643355</v>
      </c>
      <c r="C21" s="53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8.6850000000000005</v>
      </c>
      <c r="G23" s="23">
        <f>+N2</f>
        <v>6.4349999999999996</v>
      </c>
      <c r="H23" s="23">
        <f>+M2</f>
        <v>6.2549999999999999</v>
      </c>
      <c r="I23" s="54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3"/>
      <c r="D26" s="73"/>
      <c r="E26" s="73"/>
      <c r="F26" s="73"/>
      <c r="G26" s="73"/>
      <c r="H26" s="73"/>
      <c r="I26" s="69"/>
    </row>
    <row r="27" spans="2:13" ht="24.75" customHeight="1" x14ac:dyDescent="0.2">
      <c r="B27" s="80" t="str">
        <f>+K4</f>
        <v>GIRLS COTTON FIBERS, KNIT PULLOVER, WITH NO NECK CLOSURE, STITCH COUNT IS GREATER THAN 9/2CM, REACHES WAIST [100% COTTON]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3" t="s">
        <v>19</v>
      </c>
      <c r="E31" s="83"/>
      <c r="F31" s="83" t="s">
        <v>18</v>
      </c>
      <c r="G31" s="83"/>
      <c r="H31" s="54" t="s">
        <v>17</v>
      </c>
      <c r="I31" s="19" t="s">
        <v>16</v>
      </c>
      <c r="M31"/>
    </row>
    <row r="32" spans="2:13" ht="27.75" customHeight="1" x14ac:dyDescent="0.2">
      <c r="B32" s="41" t="s">
        <v>180</v>
      </c>
      <c r="C32" s="19" t="s">
        <v>193</v>
      </c>
      <c r="D32" s="66"/>
      <c r="E32" s="67"/>
      <c r="F32" s="66">
        <f>+K2</f>
        <v>90</v>
      </c>
      <c r="G32" s="67"/>
      <c r="H32" s="17">
        <v>0.81</v>
      </c>
      <c r="I32" s="18">
        <f>+H32*F32</f>
        <v>72.900000000000006</v>
      </c>
      <c r="K32" s="46"/>
      <c r="M32" s="39"/>
    </row>
    <row r="33" spans="2:11" ht="21" customHeight="1" x14ac:dyDescent="0.2">
      <c r="B33" s="15" t="s">
        <v>15</v>
      </c>
      <c r="C33" s="15"/>
      <c r="D33" s="68"/>
      <c r="E33" s="69"/>
      <c r="F33" s="68"/>
      <c r="G33" s="69"/>
      <c r="H33" s="17"/>
      <c r="I33" s="54"/>
    </row>
    <row r="34" spans="2:11" ht="21.75" customHeight="1" x14ac:dyDescent="0.2">
      <c r="B34" s="15" t="s">
        <v>14</v>
      </c>
      <c r="C34" s="15"/>
      <c r="D34" s="70"/>
      <c r="E34" s="71"/>
      <c r="F34" s="66">
        <f>SUM(F32:G33)</f>
        <v>90</v>
      </c>
      <c r="G34" s="67"/>
      <c r="H34" s="15"/>
      <c r="I34" s="14">
        <f>SUM(I32:I33)</f>
        <v>72.900000000000006</v>
      </c>
      <c r="J34" s="40"/>
      <c r="K34" s="40"/>
    </row>
    <row r="35" spans="2:11" ht="21.75" customHeight="1" x14ac:dyDescent="0.2">
      <c r="B35" s="16" t="s">
        <v>13</v>
      </c>
      <c r="C35" s="15"/>
      <c r="D35" s="68"/>
      <c r="E35" s="69"/>
      <c r="F35" s="68"/>
      <c r="G35" s="69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8"/>
      <c r="E36" s="69"/>
      <c r="F36" s="68"/>
      <c r="G36" s="69"/>
      <c r="H36" s="15"/>
      <c r="I36" s="14">
        <f>+I34</f>
        <v>72.900000000000006</v>
      </c>
    </row>
    <row r="37" spans="2:11" ht="20.25" customHeight="1" x14ac:dyDescent="0.2">
      <c r="B37" s="15" t="s">
        <v>80</v>
      </c>
      <c r="C37" s="68" t="s">
        <v>11</v>
      </c>
      <c r="D37" s="73"/>
      <c r="E37" s="73"/>
      <c r="F37" s="73"/>
      <c r="G37" s="73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72.900000000000006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7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201</v>
      </c>
      <c r="C2" s="78"/>
      <c r="D2" s="78"/>
      <c r="E2" s="78"/>
      <c r="F2" s="78"/>
      <c r="G2" s="78"/>
      <c r="H2" s="78"/>
      <c r="I2" s="79"/>
      <c r="J2" s="61">
        <v>61634913</v>
      </c>
      <c r="K2" s="62">
        <v>2420</v>
      </c>
      <c r="L2" s="63">
        <v>28</v>
      </c>
      <c r="M2" s="63">
        <v>194.92</v>
      </c>
      <c r="N2" s="63">
        <v>199.76</v>
      </c>
      <c r="O2" s="63">
        <v>223.06</v>
      </c>
      <c r="P2" s="63" t="s">
        <v>54</v>
      </c>
      <c r="Q2" s="63">
        <v>1.3420000000000001</v>
      </c>
      <c r="R2" s="63" t="s">
        <v>62</v>
      </c>
    </row>
    <row r="3" spans="2:22" x14ac:dyDescent="0.2">
      <c r="B3" s="6" t="s">
        <v>53</v>
      </c>
      <c r="C3" s="65">
        <f>+'3'!C3+1</f>
        <v>4</v>
      </c>
      <c r="D3" s="5"/>
      <c r="E3" s="5"/>
      <c r="F3" s="5"/>
      <c r="G3" s="5" t="s">
        <v>52</v>
      </c>
      <c r="H3" s="31">
        <f>+'1'!H3+0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61634913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223.06</v>
      </c>
      <c r="G23" s="23">
        <f>+N2</f>
        <v>199.76</v>
      </c>
      <c r="H23" s="23">
        <f>+M2</f>
        <v>194.92</v>
      </c>
      <c r="I23" s="55">
        <f>+L2</f>
        <v>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3"/>
      <c r="D26" s="73"/>
      <c r="E26" s="73"/>
      <c r="F26" s="73"/>
      <c r="G26" s="73"/>
      <c r="H26" s="73"/>
      <c r="I26" s="69"/>
    </row>
    <row r="27" spans="2:13" ht="24.75" customHeight="1" x14ac:dyDescent="0.2">
      <c r="B27" s="80" t="str">
        <f>+K4</f>
        <v>GIRLS COTTON FIBERS, KNIT PULLOVER, WITH NO NECK CLOSURE, STITCH COUNT IS GREATER THAN 9/2CM, REACHES WAIST [100% COTTON]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3" t="s">
        <v>19</v>
      </c>
      <c r="E31" s="83"/>
      <c r="F31" s="83" t="s">
        <v>18</v>
      </c>
      <c r="G31" s="83"/>
      <c r="H31" s="55" t="s">
        <v>17</v>
      </c>
      <c r="I31" s="19" t="s">
        <v>16</v>
      </c>
      <c r="M31"/>
    </row>
    <row r="32" spans="2:13" ht="25.5" x14ac:dyDescent="0.2">
      <c r="B32" s="41" t="s">
        <v>179</v>
      </c>
      <c r="C32" s="19" t="s">
        <v>182</v>
      </c>
      <c r="D32" s="66"/>
      <c r="E32" s="67"/>
      <c r="F32" s="66">
        <f>+K2</f>
        <v>2420</v>
      </c>
      <c r="G32" s="67"/>
      <c r="H32" s="17">
        <v>0.84</v>
      </c>
      <c r="I32" s="18">
        <f>+H32*F32</f>
        <v>2032.8</v>
      </c>
      <c r="K32" s="46"/>
      <c r="M32" s="39"/>
    </row>
    <row r="33" spans="2:11" ht="21" customHeight="1" x14ac:dyDescent="0.2">
      <c r="B33" s="15" t="s">
        <v>15</v>
      </c>
      <c r="C33" s="15"/>
      <c r="D33" s="68"/>
      <c r="E33" s="69"/>
      <c r="F33" s="68"/>
      <c r="G33" s="69"/>
      <c r="H33" s="17"/>
      <c r="I33" s="59"/>
    </row>
    <row r="34" spans="2:11" ht="21.75" customHeight="1" x14ac:dyDescent="0.2">
      <c r="B34" s="15" t="s">
        <v>14</v>
      </c>
      <c r="C34" s="15"/>
      <c r="D34" s="70"/>
      <c r="E34" s="71"/>
      <c r="F34" s="66">
        <f>SUM(F32:G33)</f>
        <v>2420</v>
      </c>
      <c r="G34" s="67"/>
      <c r="H34" s="15"/>
      <c r="I34" s="14">
        <f>SUM(I32:I32)</f>
        <v>2032.8</v>
      </c>
      <c r="J34" s="40"/>
      <c r="K34" s="40"/>
    </row>
    <row r="35" spans="2:11" ht="21.75" customHeight="1" x14ac:dyDescent="0.2">
      <c r="B35" s="16" t="s">
        <v>13</v>
      </c>
      <c r="C35" s="15"/>
      <c r="D35" s="68"/>
      <c r="E35" s="69"/>
      <c r="F35" s="68"/>
      <c r="G35" s="6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8"/>
      <c r="E36" s="69"/>
      <c r="F36" s="68"/>
      <c r="G36" s="69"/>
      <c r="H36" s="15"/>
      <c r="I36" s="14">
        <f>+I34</f>
        <v>2032.8</v>
      </c>
    </row>
    <row r="37" spans="2:11" ht="20.25" customHeight="1" x14ac:dyDescent="0.2">
      <c r="B37" s="15" t="s">
        <v>80</v>
      </c>
      <c r="C37" s="68" t="s">
        <v>11</v>
      </c>
      <c r="D37" s="73"/>
      <c r="E37" s="73"/>
      <c r="F37" s="73"/>
      <c r="G37" s="73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2032.8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7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201</v>
      </c>
      <c r="C2" s="78"/>
      <c r="D2" s="78"/>
      <c r="E2" s="78"/>
      <c r="F2" s="78"/>
      <c r="G2" s="78"/>
      <c r="H2" s="78"/>
      <c r="I2" s="79"/>
      <c r="J2" s="61">
        <v>61609180</v>
      </c>
      <c r="K2" s="62">
        <v>1932</v>
      </c>
      <c r="L2" s="63">
        <v>22</v>
      </c>
      <c r="M2" s="63">
        <v>156.83099999999999</v>
      </c>
      <c r="N2" s="63">
        <v>160.69499999999999</v>
      </c>
      <c r="O2" s="63">
        <v>179.79499999999999</v>
      </c>
      <c r="P2" s="63" t="s">
        <v>54</v>
      </c>
      <c r="Q2" s="63">
        <v>1.018</v>
      </c>
      <c r="R2" s="63" t="s">
        <v>62</v>
      </c>
    </row>
    <row r="3" spans="2:22" x14ac:dyDescent="0.2">
      <c r="B3" s="6" t="s">
        <v>53</v>
      </c>
      <c r="C3" s="65">
        <f>+'4'!C3+1</f>
        <v>5</v>
      </c>
      <c r="D3" s="5"/>
      <c r="E3" s="5"/>
      <c r="F3" s="5"/>
      <c r="G3" s="5" t="s">
        <v>52</v>
      </c>
      <c r="H3" s="31">
        <f>+'1'!H3+0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61609180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179.79499999999999</v>
      </c>
      <c r="G23" s="23">
        <f>+N2</f>
        <v>160.69499999999999</v>
      </c>
      <c r="H23" s="23">
        <f>+M2</f>
        <v>156.83099999999999</v>
      </c>
      <c r="I23" s="55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3"/>
      <c r="D26" s="73"/>
      <c r="E26" s="73"/>
      <c r="F26" s="73"/>
      <c r="G26" s="73"/>
      <c r="H26" s="73"/>
      <c r="I26" s="69"/>
    </row>
    <row r="27" spans="2:13" ht="24.75" customHeight="1" x14ac:dyDescent="0.2">
      <c r="B27" s="80" t="str">
        <f>+K4</f>
        <v>GIRLS COTTON FIBERS, KNIT PULLOVER, WITH NO NECK CLOSURE, STITCH COUNT IS GREATER THAN 9/2CM, REACHES WAIST [100% COTTON]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3" t="s">
        <v>19</v>
      </c>
      <c r="E31" s="83"/>
      <c r="F31" s="83" t="s">
        <v>18</v>
      </c>
      <c r="G31" s="83"/>
      <c r="H31" s="55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182</v>
      </c>
      <c r="D32" s="66"/>
      <c r="E32" s="67"/>
      <c r="F32" s="66">
        <f>+K2</f>
        <v>1932</v>
      </c>
      <c r="G32" s="67"/>
      <c r="H32" s="17">
        <v>0.84</v>
      </c>
      <c r="I32" s="18">
        <f>+H32*F32</f>
        <v>1622.8799999999999</v>
      </c>
      <c r="K32" s="46"/>
      <c r="M32" s="39"/>
    </row>
    <row r="33" spans="2:11" ht="21" customHeight="1" x14ac:dyDescent="0.2">
      <c r="B33" s="15" t="s">
        <v>15</v>
      </c>
      <c r="C33" s="15"/>
      <c r="D33" s="68"/>
      <c r="E33" s="69"/>
      <c r="F33" s="68"/>
      <c r="G33" s="69"/>
      <c r="H33" s="17"/>
      <c r="I33" s="55"/>
    </row>
    <row r="34" spans="2:11" ht="21.75" customHeight="1" x14ac:dyDescent="0.2">
      <c r="B34" s="15" t="s">
        <v>14</v>
      </c>
      <c r="C34" s="15"/>
      <c r="D34" s="70"/>
      <c r="E34" s="71"/>
      <c r="F34" s="66">
        <f>SUM(F32:G33)</f>
        <v>1932</v>
      </c>
      <c r="G34" s="67"/>
      <c r="H34" s="15"/>
      <c r="I34" s="14">
        <f>SUM(I32:I33)</f>
        <v>1622.8799999999999</v>
      </c>
      <c r="J34" s="40"/>
      <c r="K34" s="40"/>
    </row>
    <row r="35" spans="2:11" ht="21.75" customHeight="1" x14ac:dyDescent="0.2">
      <c r="B35" s="16" t="s">
        <v>13</v>
      </c>
      <c r="C35" s="15"/>
      <c r="D35" s="68"/>
      <c r="E35" s="69"/>
      <c r="F35" s="68"/>
      <c r="G35" s="6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8"/>
      <c r="E36" s="69"/>
      <c r="F36" s="68"/>
      <c r="G36" s="69"/>
      <c r="H36" s="15"/>
      <c r="I36" s="14">
        <f>+I34</f>
        <v>1622.8799999999999</v>
      </c>
    </row>
    <row r="37" spans="2:11" ht="20.25" customHeight="1" x14ac:dyDescent="0.2">
      <c r="B37" s="15" t="s">
        <v>80</v>
      </c>
      <c r="C37" s="68" t="s">
        <v>11</v>
      </c>
      <c r="D37" s="73"/>
      <c r="E37" s="73"/>
      <c r="F37" s="73"/>
      <c r="G37" s="73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1622.8799999999999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7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7"/>
  <sheetViews>
    <sheetView view="pageBreakPreview" topLeftCell="A22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201</v>
      </c>
      <c r="C2" s="78"/>
      <c r="D2" s="78"/>
      <c r="E2" s="78"/>
      <c r="F2" s="78"/>
      <c r="G2" s="78"/>
      <c r="H2" s="78"/>
      <c r="I2" s="79"/>
      <c r="J2" s="61">
        <v>61811915</v>
      </c>
      <c r="K2" s="63">
        <v>904</v>
      </c>
      <c r="L2" s="63">
        <v>19</v>
      </c>
      <c r="M2" s="63">
        <v>97.44</v>
      </c>
      <c r="N2" s="63">
        <v>106.48</v>
      </c>
      <c r="O2" s="63">
        <v>121.28</v>
      </c>
      <c r="P2" s="63" t="s">
        <v>54</v>
      </c>
      <c r="Q2" s="63">
        <v>0.626</v>
      </c>
      <c r="R2" s="63" t="s">
        <v>62</v>
      </c>
    </row>
    <row r="3" spans="2:22" x14ac:dyDescent="0.2">
      <c r="B3" s="6" t="s">
        <v>53</v>
      </c>
      <c r="C3" s="65">
        <f>+'5'!C3+1</f>
        <v>6</v>
      </c>
      <c r="D3" s="5"/>
      <c r="E3" s="5"/>
      <c r="F3" s="5"/>
      <c r="G3" s="5" t="s">
        <v>52</v>
      </c>
      <c r="H3" s="31">
        <f>+'1'!H3+0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61811915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121.28</v>
      </c>
      <c r="G23" s="23">
        <f>+N2</f>
        <v>106.48</v>
      </c>
      <c r="H23" s="23">
        <f>+M2</f>
        <v>97.44</v>
      </c>
      <c r="I23" s="55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3"/>
      <c r="D26" s="73"/>
      <c r="E26" s="73"/>
      <c r="F26" s="73"/>
      <c r="G26" s="73"/>
      <c r="H26" s="73"/>
      <c r="I26" s="69"/>
    </row>
    <row r="27" spans="2:13" ht="24.75" customHeight="1" x14ac:dyDescent="0.2">
      <c r="B27" s="80" t="str">
        <f>+K4</f>
        <v>WOMENS COTTON FIBERS, KNIT PULLOVER, WITH NO NECK CLOSURE, STITCH COUNT IS GREATER THAN 9/2CM, REACHES WAIST, SLEEVELESS [95% COTTON 5% ELASTANE]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3" t="s">
        <v>19</v>
      </c>
      <c r="E31" s="83"/>
      <c r="F31" s="83" t="s">
        <v>18</v>
      </c>
      <c r="G31" s="83"/>
      <c r="H31" s="55" t="s">
        <v>17</v>
      </c>
      <c r="I31" s="19" t="s">
        <v>16</v>
      </c>
      <c r="M31"/>
    </row>
    <row r="32" spans="2:13" ht="27.75" customHeight="1" x14ac:dyDescent="0.2">
      <c r="B32" s="41" t="s">
        <v>195</v>
      </c>
      <c r="C32" s="19" t="s">
        <v>194</v>
      </c>
      <c r="D32" s="66"/>
      <c r="E32" s="67"/>
      <c r="F32" s="66">
        <f>+K2</f>
        <v>904</v>
      </c>
      <c r="G32" s="67"/>
      <c r="H32" s="17">
        <v>0.76</v>
      </c>
      <c r="I32" s="18">
        <f>+H32*F32</f>
        <v>687.04</v>
      </c>
      <c r="K32" s="46"/>
      <c r="M32" s="39"/>
    </row>
    <row r="33" spans="2:11" ht="21.75" customHeight="1" x14ac:dyDescent="0.2">
      <c r="B33" s="15" t="s">
        <v>14</v>
      </c>
      <c r="C33" s="15"/>
      <c r="D33" s="70"/>
      <c r="E33" s="71"/>
      <c r="F33" s="66">
        <f>SUM(F32:G32)</f>
        <v>904</v>
      </c>
      <c r="G33" s="67"/>
      <c r="H33" s="15"/>
      <c r="I33" s="14">
        <f>SUM(I32:I32)</f>
        <v>687.04</v>
      </c>
      <c r="J33" s="40"/>
      <c r="K33" s="40"/>
    </row>
    <row r="34" spans="2:11" ht="21.75" customHeight="1" x14ac:dyDescent="0.2">
      <c r="B34" s="16" t="s">
        <v>13</v>
      </c>
      <c r="C34" s="15"/>
      <c r="D34" s="68"/>
      <c r="E34" s="69"/>
      <c r="F34" s="68"/>
      <c r="G34" s="69"/>
      <c r="H34" s="15"/>
      <c r="I34" s="55"/>
      <c r="J34" s="40"/>
    </row>
    <row r="35" spans="2:11" ht="21.75" customHeight="1" x14ac:dyDescent="0.2">
      <c r="B35" s="16" t="s">
        <v>12</v>
      </c>
      <c r="C35" s="15"/>
      <c r="D35" s="68"/>
      <c r="E35" s="69"/>
      <c r="F35" s="68"/>
      <c r="G35" s="69"/>
      <c r="H35" s="15"/>
      <c r="I35" s="14">
        <f>+I33</f>
        <v>687.04</v>
      </c>
    </row>
    <row r="36" spans="2:11" ht="20.25" customHeight="1" x14ac:dyDescent="0.2">
      <c r="B36" s="15" t="s">
        <v>80</v>
      </c>
      <c r="C36" s="68" t="s">
        <v>11</v>
      </c>
      <c r="D36" s="73"/>
      <c r="E36" s="73"/>
      <c r="F36" s="73"/>
      <c r="G36" s="73"/>
      <c r="H36" s="69"/>
      <c r="I36" s="45"/>
    </row>
    <row r="37" spans="2:11" ht="21" customHeight="1" x14ac:dyDescent="0.2">
      <c r="B37" s="16" t="s">
        <v>10</v>
      </c>
      <c r="C37" s="15"/>
      <c r="D37" s="15"/>
      <c r="E37" s="15"/>
      <c r="F37" s="15"/>
      <c r="G37" s="15"/>
      <c r="H37" s="15"/>
      <c r="I37" s="14">
        <f>+I35+I36</f>
        <v>687.04</v>
      </c>
    </row>
    <row r="38" spans="2:11" ht="18.75" customHeight="1" x14ac:dyDescent="0.2">
      <c r="B38" s="6"/>
      <c r="C38" s="5"/>
      <c r="D38" s="5"/>
      <c r="E38" s="5"/>
      <c r="F38" s="5"/>
      <c r="G38" s="5"/>
      <c r="H38" s="5"/>
      <c r="I38" s="4"/>
    </row>
    <row r="39" spans="2:1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13" t="s">
        <v>9</v>
      </c>
      <c r="C40" s="12"/>
      <c r="D40" s="12"/>
      <c r="E40" s="12"/>
      <c r="F40" s="12"/>
      <c r="G40" s="12"/>
      <c r="H40" s="12"/>
      <c r="I40" s="11"/>
    </row>
    <row r="41" spans="2:11" x14ac:dyDescent="0.2">
      <c r="B41" s="2" t="s">
        <v>86</v>
      </c>
      <c r="C41" s="1"/>
      <c r="D41" s="1"/>
      <c r="E41" s="1"/>
      <c r="F41" s="1"/>
      <c r="G41" s="1"/>
      <c r="H41" s="1"/>
      <c r="I41" s="3"/>
    </row>
    <row r="42" spans="2:11" x14ac:dyDescent="0.2">
      <c r="B42" s="6"/>
      <c r="C42" s="5"/>
      <c r="D42" s="5"/>
      <c r="E42" s="5"/>
      <c r="F42" s="5"/>
      <c r="G42" s="5"/>
      <c r="H42" s="5"/>
      <c r="I42" s="4"/>
    </row>
    <row r="43" spans="2:11" x14ac:dyDescent="0.2">
      <c r="B43" s="6" t="s">
        <v>8</v>
      </c>
      <c r="C43" s="5"/>
      <c r="D43" s="5"/>
      <c r="E43" s="5"/>
      <c r="F43" s="5"/>
      <c r="G43" s="5"/>
      <c r="H43" s="5"/>
      <c r="I43" s="4"/>
    </row>
    <row r="44" spans="2:11" x14ac:dyDescent="0.2">
      <c r="B44" s="6"/>
      <c r="C44" s="5"/>
      <c r="D44" s="5"/>
      <c r="E44" s="5"/>
      <c r="F44" s="5"/>
      <c r="G44" s="5"/>
      <c r="H44" s="5"/>
      <c r="I44" s="4"/>
    </row>
    <row r="45" spans="2:11" x14ac:dyDescent="0.2">
      <c r="B45" s="74" t="s">
        <v>7</v>
      </c>
      <c r="C45" s="74"/>
      <c r="D45" s="74"/>
      <c r="E45" s="10" t="s">
        <v>6</v>
      </c>
      <c r="F45" s="10"/>
      <c r="G45" s="10"/>
      <c r="H45" s="10"/>
      <c r="I45" s="10"/>
    </row>
    <row r="46" spans="2:11" x14ac:dyDescent="0.2">
      <c r="B46" s="2"/>
      <c r="C46" s="1"/>
      <c r="D46" s="3"/>
      <c r="E46" s="9" t="s">
        <v>5</v>
      </c>
      <c r="F46" s="9"/>
      <c r="G46" s="9"/>
      <c r="H46" s="2"/>
      <c r="I46" s="3"/>
    </row>
    <row r="47" spans="2:11" x14ac:dyDescent="0.2">
      <c r="B47" s="6"/>
      <c r="C47" s="5"/>
      <c r="D47" s="5"/>
      <c r="E47" s="5"/>
      <c r="F47" s="5"/>
      <c r="G47" s="5"/>
      <c r="H47" s="5"/>
      <c r="I47" s="4"/>
    </row>
    <row r="48" spans="2:11" x14ac:dyDescent="0.2">
      <c r="B48" s="6" t="s">
        <v>4</v>
      </c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3</v>
      </c>
      <c r="C49" s="5"/>
      <c r="D49" s="5"/>
      <c r="E49" s="5"/>
      <c r="F49" s="5"/>
      <c r="G49" s="5"/>
      <c r="H49" s="5"/>
      <c r="I49" s="4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 t="s">
        <v>2</v>
      </c>
      <c r="H51" s="5" t="str">
        <f>VLOOKUP($K51,reff!B2:C29,2,0)</f>
        <v xml:space="preserve"> 265K0075 </v>
      </c>
      <c r="I51" s="8"/>
      <c r="K51">
        <v>6</v>
      </c>
    </row>
    <row r="52" spans="2:11" x14ac:dyDescent="0.2">
      <c r="B52" s="6"/>
      <c r="C52" s="5"/>
      <c r="D52" s="5"/>
      <c r="E52" s="5"/>
      <c r="F52" s="5"/>
      <c r="G52" s="5"/>
      <c r="H52" s="7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75" t="s">
        <v>1</v>
      </c>
      <c r="D54" s="75"/>
      <c r="E54" s="5"/>
      <c r="F54" s="5"/>
      <c r="G54" s="5"/>
      <c r="H54" s="5"/>
      <c r="I54" s="4"/>
    </row>
    <row r="55" spans="2:11" x14ac:dyDescent="0.2">
      <c r="B55" s="6"/>
      <c r="C55" s="76" t="s">
        <v>0</v>
      </c>
      <c r="D55" s="76"/>
      <c r="E55" s="5"/>
      <c r="F55" s="5"/>
      <c r="G55" s="5"/>
      <c r="H55" s="5"/>
      <c r="I55" s="4"/>
      <c r="K55">
        <v>6</v>
      </c>
    </row>
    <row r="56" spans="2:11" x14ac:dyDescent="0.2">
      <c r="B56" s="2"/>
      <c r="C56" s="72"/>
      <c r="D56" s="72"/>
      <c r="E56" s="1"/>
      <c r="F56" s="1"/>
      <c r="G56" s="1"/>
      <c r="H56" s="1"/>
      <c r="I56" s="1"/>
    </row>
    <row r="57" spans="2:11" x14ac:dyDescent="0.2">
      <c r="B57" s="5"/>
      <c r="C57" s="5"/>
      <c r="D57" s="5"/>
      <c r="E57" s="5"/>
      <c r="F57" s="5"/>
      <c r="G57" s="5"/>
      <c r="H57" s="5"/>
      <c r="I57" s="5"/>
    </row>
  </sheetData>
  <mergeCells count="18">
    <mergeCell ref="D33:E33"/>
    <mergeCell ref="F33:G33"/>
    <mergeCell ref="D34:E34"/>
    <mergeCell ref="F34:G34"/>
    <mergeCell ref="C56:D56"/>
    <mergeCell ref="D35:E35"/>
    <mergeCell ref="F35:G35"/>
    <mergeCell ref="C36:H36"/>
    <mergeCell ref="B45:D45"/>
    <mergeCell ref="C54:D54"/>
    <mergeCell ref="C55:D5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7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201</v>
      </c>
      <c r="C2" s="78"/>
      <c r="D2" s="78"/>
      <c r="E2" s="78"/>
      <c r="F2" s="78"/>
      <c r="G2" s="78"/>
      <c r="H2" s="78"/>
      <c r="I2" s="79"/>
      <c r="J2" s="61">
        <v>61738893</v>
      </c>
      <c r="K2" s="62">
        <v>9695</v>
      </c>
      <c r="L2" s="63">
        <v>184</v>
      </c>
      <c r="M2" s="64">
        <v>1015.43</v>
      </c>
      <c r="N2" s="64">
        <v>1354.7550000000001</v>
      </c>
      <c r="O2" s="64">
        <v>1536.7550000000001</v>
      </c>
      <c r="P2" s="63" t="s">
        <v>54</v>
      </c>
      <c r="Q2" s="63">
        <v>12.010999999999999</v>
      </c>
      <c r="R2" s="63" t="s">
        <v>62</v>
      </c>
    </row>
    <row r="3" spans="2:22" x14ac:dyDescent="0.2">
      <c r="B3" s="6" t="s">
        <v>53</v>
      </c>
      <c r="C3" s="65">
        <f>+'6'!C3+1</f>
        <v>7</v>
      </c>
      <c r="D3" s="5"/>
      <c r="E3" s="5"/>
      <c r="F3" s="5"/>
      <c r="G3" s="5" t="s">
        <v>52</v>
      </c>
      <c r="H3" s="31">
        <f>+'1'!H3+0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61738893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1536.7550000000001</v>
      </c>
      <c r="G23" s="23">
        <f>+N2</f>
        <v>1354.7550000000001</v>
      </c>
      <c r="H23" s="23">
        <f>+M2</f>
        <v>1015.43</v>
      </c>
      <c r="I23" s="55">
        <f>+L2</f>
        <v>184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3"/>
      <c r="D26" s="73"/>
      <c r="E26" s="73"/>
      <c r="F26" s="73"/>
      <c r="G26" s="73"/>
      <c r="H26" s="73"/>
      <c r="I26" s="69"/>
    </row>
    <row r="27" spans="2:13" ht="24.75" customHeight="1" x14ac:dyDescent="0.2">
      <c r="B27" s="80" t="str">
        <f>+K4</f>
        <v>WOMENS COTTON FIBERS, KNIT PULLOVER, WITH NO NECK CLOSURE, STITCH COUNT IS GREATER THAN 9/2CM, REACHES WAIST, SLEEVELESS [95% COTTON 5% ELASTANE]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3" t="s">
        <v>19</v>
      </c>
      <c r="E31" s="83"/>
      <c r="F31" s="83" t="s">
        <v>18</v>
      </c>
      <c r="G31" s="83"/>
      <c r="H31" s="55" t="s">
        <v>17</v>
      </c>
      <c r="I31" s="19" t="s">
        <v>16</v>
      </c>
      <c r="M31"/>
    </row>
    <row r="32" spans="2:13" ht="27.75" customHeight="1" x14ac:dyDescent="0.2">
      <c r="B32" s="41" t="s">
        <v>198</v>
      </c>
      <c r="C32" s="19" t="s">
        <v>197</v>
      </c>
      <c r="D32" s="66"/>
      <c r="E32" s="67"/>
      <c r="F32" s="66">
        <f>+K2</f>
        <v>9695</v>
      </c>
      <c r="G32" s="67"/>
      <c r="H32" s="17">
        <v>0.76</v>
      </c>
      <c r="I32" s="18">
        <f>+H32*F32</f>
        <v>7368.2</v>
      </c>
      <c r="K32" s="46"/>
      <c r="M32" s="39"/>
    </row>
    <row r="33" spans="2:11" ht="21" customHeight="1" x14ac:dyDescent="0.2">
      <c r="B33" s="15" t="s">
        <v>15</v>
      </c>
      <c r="C33" s="15"/>
      <c r="D33" s="68"/>
      <c r="E33" s="69"/>
      <c r="F33" s="68"/>
      <c r="G33" s="69"/>
      <c r="H33" s="17"/>
      <c r="I33" s="60"/>
    </row>
    <row r="34" spans="2:11" ht="21.75" customHeight="1" x14ac:dyDescent="0.2">
      <c r="B34" s="15" t="s">
        <v>14</v>
      </c>
      <c r="C34" s="15"/>
      <c r="D34" s="70"/>
      <c r="E34" s="71"/>
      <c r="F34" s="66">
        <f>SUM(F32:G33)</f>
        <v>9695</v>
      </c>
      <c r="G34" s="67"/>
      <c r="H34" s="15"/>
      <c r="I34" s="14">
        <f>SUM(I32:I33)</f>
        <v>7368.2</v>
      </c>
      <c r="J34" s="40"/>
      <c r="K34" s="40"/>
    </row>
    <row r="35" spans="2:11" ht="21.75" customHeight="1" x14ac:dyDescent="0.2">
      <c r="B35" s="16" t="s">
        <v>13</v>
      </c>
      <c r="C35" s="15"/>
      <c r="D35" s="68"/>
      <c r="E35" s="69"/>
      <c r="F35" s="68"/>
      <c r="G35" s="6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8"/>
      <c r="E36" s="69"/>
      <c r="F36" s="68"/>
      <c r="G36" s="69"/>
      <c r="H36" s="15"/>
      <c r="I36" s="14">
        <f>+I34</f>
        <v>7368.2</v>
      </c>
    </row>
    <row r="37" spans="2:11" ht="20.25" customHeight="1" x14ac:dyDescent="0.2">
      <c r="B37" s="15" t="s">
        <v>80</v>
      </c>
      <c r="C37" s="68" t="s">
        <v>11</v>
      </c>
      <c r="D37" s="73"/>
      <c r="E37" s="73"/>
      <c r="F37" s="73"/>
      <c r="G37" s="73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7368.2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7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topLeftCell="A14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201</v>
      </c>
      <c r="C2" s="78"/>
      <c r="D2" s="78"/>
      <c r="E2" s="78"/>
      <c r="F2" s="78"/>
      <c r="G2" s="78"/>
      <c r="H2" s="78"/>
      <c r="I2" s="79"/>
      <c r="J2" s="61">
        <v>61778861</v>
      </c>
      <c r="K2" s="63">
        <v>500</v>
      </c>
      <c r="L2" s="63">
        <v>14</v>
      </c>
      <c r="M2" s="63">
        <v>54.65</v>
      </c>
      <c r="N2" s="63">
        <v>59.65</v>
      </c>
      <c r="O2" s="63">
        <v>69.95</v>
      </c>
      <c r="P2" s="63" t="s">
        <v>54</v>
      </c>
      <c r="Q2" s="63">
        <v>0.38</v>
      </c>
      <c r="R2" s="63" t="s">
        <v>62</v>
      </c>
    </row>
    <row r="3" spans="2:22" x14ac:dyDescent="0.2">
      <c r="B3" s="6" t="s">
        <v>53</v>
      </c>
      <c r="C3" s="65">
        <f>+'7'!C3+1</f>
        <v>8</v>
      </c>
      <c r="D3" s="5"/>
      <c r="E3" s="5"/>
      <c r="F3" s="5"/>
      <c r="G3" s="5" t="s">
        <v>52</v>
      </c>
      <c r="H3" s="31">
        <f>+'1'!H3+0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61778861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69.95</v>
      </c>
      <c r="G23" s="23">
        <f>+N2</f>
        <v>59.65</v>
      </c>
      <c r="H23" s="23">
        <f>+M2</f>
        <v>54.65</v>
      </c>
      <c r="I23" s="55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3"/>
      <c r="D26" s="73"/>
      <c r="E26" s="73"/>
      <c r="F26" s="73"/>
      <c r="G26" s="73"/>
      <c r="H26" s="73"/>
      <c r="I26" s="69"/>
    </row>
    <row r="27" spans="2:13" ht="24.75" customHeight="1" x14ac:dyDescent="0.2">
      <c r="B27" s="80" t="str">
        <f>+K4</f>
        <v>WOMENS COTTON FIBERS, KNIT PULLOVER, WITH NO NECK CLOSURE, STITCH COUNT IS GREATER THAN 9/2CM, REACHES WAIST, SLEEVELESS [95% COTTON 5% ELASTANE]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3" t="s">
        <v>19</v>
      </c>
      <c r="E31" s="83"/>
      <c r="F31" s="83" t="s">
        <v>18</v>
      </c>
      <c r="G31" s="83"/>
      <c r="H31" s="55" t="s">
        <v>17</v>
      </c>
      <c r="I31" s="19" t="s">
        <v>16</v>
      </c>
      <c r="M31"/>
    </row>
    <row r="32" spans="2:13" ht="27.75" customHeight="1" x14ac:dyDescent="0.2">
      <c r="B32" s="41" t="s">
        <v>195</v>
      </c>
      <c r="C32" s="19" t="s">
        <v>194</v>
      </c>
      <c r="D32" s="66"/>
      <c r="E32" s="67"/>
      <c r="F32" s="66">
        <f>+K2</f>
        <v>500</v>
      </c>
      <c r="G32" s="67"/>
      <c r="H32" s="17">
        <v>0.76</v>
      </c>
      <c r="I32" s="18">
        <f>+H32*F32</f>
        <v>380</v>
      </c>
      <c r="K32" s="46"/>
      <c r="M32" s="39"/>
    </row>
    <row r="33" spans="2:11" ht="21" customHeight="1" x14ac:dyDescent="0.2">
      <c r="B33" s="15" t="s">
        <v>15</v>
      </c>
      <c r="C33" s="15"/>
      <c r="D33" s="68"/>
      <c r="E33" s="69"/>
      <c r="F33" s="68"/>
      <c r="G33" s="69"/>
      <c r="H33" s="17"/>
      <c r="I33" s="55"/>
    </row>
    <row r="34" spans="2:11" ht="21.75" customHeight="1" x14ac:dyDescent="0.2">
      <c r="B34" s="15" t="s">
        <v>14</v>
      </c>
      <c r="C34" s="15"/>
      <c r="D34" s="70"/>
      <c r="E34" s="71"/>
      <c r="F34" s="66">
        <f>SUM(F32:G33)</f>
        <v>500</v>
      </c>
      <c r="G34" s="67"/>
      <c r="H34" s="15"/>
      <c r="I34" s="14">
        <f>SUM(I32:I33)</f>
        <v>380</v>
      </c>
      <c r="J34" s="40"/>
      <c r="K34" s="40"/>
    </row>
    <row r="35" spans="2:11" ht="21.75" customHeight="1" x14ac:dyDescent="0.2">
      <c r="B35" s="16" t="s">
        <v>13</v>
      </c>
      <c r="C35" s="15"/>
      <c r="D35" s="68"/>
      <c r="E35" s="69"/>
      <c r="F35" s="68"/>
      <c r="G35" s="6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8"/>
      <c r="E36" s="69"/>
      <c r="F36" s="68"/>
      <c r="G36" s="69"/>
      <c r="H36" s="15"/>
      <c r="I36" s="14">
        <f>+I34</f>
        <v>380</v>
      </c>
    </row>
    <row r="37" spans="2:11" ht="20.25" customHeight="1" x14ac:dyDescent="0.2">
      <c r="B37" s="15" t="s">
        <v>80</v>
      </c>
      <c r="C37" s="68" t="s">
        <v>11</v>
      </c>
      <c r="D37" s="73"/>
      <c r="E37" s="73"/>
      <c r="F37" s="73"/>
      <c r="G37" s="73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380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7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tabSelected="1" view="pageBreakPreview" topLeftCell="A21" zoomScaleNormal="100" zoomScaleSheetLayoutView="100" workbookViewId="0">
      <selection activeCell="D36" sqref="D36:E36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201</v>
      </c>
      <c r="C2" s="78"/>
      <c r="D2" s="78"/>
      <c r="E2" s="78"/>
      <c r="F2" s="78"/>
      <c r="G2" s="78"/>
      <c r="H2" s="78"/>
      <c r="I2" s="79"/>
      <c r="J2" s="61">
        <v>61782654</v>
      </c>
      <c r="K2" s="63">
        <v>200</v>
      </c>
      <c r="L2" s="63">
        <v>7</v>
      </c>
      <c r="M2" s="63">
        <v>20.65</v>
      </c>
      <c r="N2" s="63">
        <v>27.65</v>
      </c>
      <c r="O2" s="63">
        <v>33.65</v>
      </c>
      <c r="P2" s="63" t="s">
        <v>54</v>
      </c>
      <c r="Q2" s="63">
        <v>0.30199999999999999</v>
      </c>
      <c r="R2" s="63" t="s">
        <v>62</v>
      </c>
    </row>
    <row r="3" spans="2:22" x14ac:dyDescent="0.2">
      <c r="B3" s="6" t="s">
        <v>53</v>
      </c>
      <c r="C3" s="65">
        <f>+'8'!C3+1</f>
        <v>9</v>
      </c>
      <c r="D3" s="5"/>
      <c r="E3" s="5"/>
      <c r="F3" s="5"/>
      <c r="G3" s="5" t="s">
        <v>52</v>
      </c>
      <c r="H3" s="31">
        <f>+'1'!H3+0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61782654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33.65</v>
      </c>
      <c r="G23" s="23">
        <f>+N2</f>
        <v>27.65</v>
      </c>
      <c r="H23" s="23">
        <f>+M2</f>
        <v>20.65</v>
      </c>
      <c r="I23" s="55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8" t="s">
        <v>23</v>
      </c>
      <c r="C26" s="73"/>
      <c r="D26" s="73"/>
      <c r="E26" s="73"/>
      <c r="F26" s="73"/>
      <c r="G26" s="73"/>
      <c r="H26" s="73"/>
      <c r="I26" s="69"/>
    </row>
    <row r="27" spans="2:13" ht="24.75" customHeight="1" x14ac:dyDescent="0.2">
      <c r="B27" s="80" t="str">
        <f>+K4</f>
        <v>WOMENS COTTON FIBERS, KNIT PULLOVER, WITH NO NECK CLOSURE, STITCH COUNT IS GREATER THAN 9/2CM, REACHES WAIST, SLEEVELESS [95% COTTON 5% ELASTANE]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3" t="s">
        <v>19</v>
      </c>
      <c r="E31" s="83"/>
      <c r="F31" s="83" t="s">
        <v>18</v>
      </c>
      <c r="G31" s="83"/>
      <c r="H31" s="55" t="s">
        <v>17</v>
      </c>
      <c r="I31" s="19" t="s">
        <v>16</v>
      </c>
      <c r="M31"/>
    </row>
    <row r="32" spans="2:13" ht="25.5" x14ac:dyDescent="0.2">
      <c r="B32" s="41" t="s">
        <v>200</v>
      </c>
      <c r="C32" s="19" t="s">
        <v>199</v>
      </c>
      <c r="D32" s="66"/>
      <c r="E32" s="67"/>
      <c r="F32" s="66">
        <f>+K2</f>
        <v>200</v>
      </c>
      <c r="G32" s="67"/>
      <c r="H32" s="17">
        <v>0.76</v>
      </c>
      <c r="I32" s="18">
        <f>+H32*F32</f>
        <v>152</v>
      </c>
      <c r="K32" s="46"/>
      <c r="M32" s="39"/>
    </row>
    <row r="33" spans="2:11" ht="21" customHeight="1" x14ac:dyDescent="0.2">
      <c r="B33" s="15" t="s">
        <v>15</v>
      </c>
      <c r="C33" s="15"/>
      <c r="D33" s="68"/>
      <c r="E33" s="69"/>
      <c r="F33" s="68"/>
      <c r="G33" s="69"/>
      <c r="H33" s="17"/>
      <c r="I33" s="55"/>
    </row>
    <row r="34" spans="2:11" ht="21.75" customHeight="1" x14ac:dyDescent="0.2">
      <c r="B34" s="15" t="s">
        <v>14</v>
      </c>
      <c r="C34" s="15"/>
      <c r="D34" s="70"/>
      <c r="E34" s="71"/>
      <c r="F34" s="66">
        <f>SUM(F32:G33)</f>
        <v>200</v>
      </c>
      <c r="G34" s="67"/>
      <c r="H34" s="15"/>
      <c r="I34" s="14">
        <f>SUM(I32:I33)</f>
        <v>152</v>
      </c>
      <c r="J34" s="40"/>
      <c r="K34" s="40"/>
    </row>
    <row r="35" spans="2:11" ht="21.75" customHeight="1" x14ac:dyDescent="0.2">
      <c r="B35" s="16" t="s">
        <v>13</v>
      </c>
      <c r="C35" s="15"/>
      <c r="D35" s="68"/>
      <c r="E35" s="69"/>
      <c r="F35" s="68"/>
      <c r="G35" s="6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8"/>
      <c r="E36" s="69"/>
      <c r="F36" s="68"/>
      <c r="G36" s="69"/>
      <c r="H36" s="15"/>
      <c r="I36" s="14">
        <f>+I34</f>
        <v>152</v>
      </c>
    </row>
    <row r="37" spans="2:11" ht="20.25" customHeight="1" x14ac:dyDescent="0.2">
      <c r="B37" s="15" t="s">
        <v>80</v>
      </c>
      <c r="C37" s="68" t="s">
        <v>11</v>
      </c>
      <c r="D37" s="73"/>
      <c r="E37" s="73"/>
      <c r="F37" s="73"/>
      <c r="G37" s="73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4" t="s">
        <v>7</v>
      </c>
      <c r="C46" s="74"/>
      <c r="D46" s="7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5" t="s">
        <v>1</v>
      </c>
      <c r="D55" s="75"/>
      <c r="E55" s="5"/>
      <c r="F55" s="5"/>
      <c r="G55" s="5"/>
      <c r="H55" s="5"/>
      <c r="I55" s="4"/>
    </row>
    <row r="56" spans="2:11" x14ac:dyDescent="0.2">
      <c r="B56" s="6"/>
      <c r="C56" s="76" t="s">
        <v>0</v>
      </c>
      <c r="D56" s="76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7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reff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2026-06-02T03:04:17Z</cp:lastPrinted>
  <dcterms:created xsi:type="dcterms:W3CDTF">2024-04-17T09:56:05Z</dcterms:created>
  <dcterms:modified xsi:type="dcterms:W3CDTF">2026-06-02T03:04:52Z</dcterms:modified>
</cp:coreProperties>
</file>