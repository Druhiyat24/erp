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9. SEPTEMBER\21.09.2026\"/>
    </mc:Choice>
  </mc:AlternateContent>
  <bookViews>
    <workbookView xWindow="-120" yWindow="-120" windowWidth="20730" windowHeight="11160" tabRatio="804" activeTab="2"/>
  </bookViews>
  <sheets>
    <sheet name="Sheet1" sheetId="128" r:id="rId1"/>
    <sheet name="reff" sheetId="162" r:id="rId2"/>
    <sheet name="373" sheetId="138" r:id="rId3"/>
    <sheet name="374" sheetId="129" r:id="rId4"/>
    <sheet name="375" sheetId="133" r:id="rId5"/>
    <sheet name="376" sheetId="134" r:id="rId6"/>
    <sheet name="377" sheetId="135" r:id="rId7"/>
    <sheet name="378" sheetId="137" r:id="rId8"/>
    <sheet name="379" sheetId="172" r:id="rId9"/>
    <sheet name="380" sheetId="173" r:id="rId10"/>
    <sheet name="381" sheetId="174" r:id="rId11"/>
    <sheet name="382" sheetId="175" r:id="rId12"/>
  </sheets>
  <externalReferences>
    <externalReference r:id="rId13"/>
    <externalReference r:id="rId14"/>
    <externalReference r:id="rId15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>[2]xdata!#REF!</definedName>
    <definedName name="INVOICE">[2]xdata!$B$2</definedName>
    <definedName name="_xlnm.Print_Area" localSheetId="2">'373'!$B$1:$I$57</definedName>
    <definedName name="_xlnm.Print_Area" localSheetId="3">'374'!$B$1:$I$57</definedName>
    <definedName name="_xlnm.Print_Area" localSheetId="4">'375'!$B$1:$I$57</definedName>
    <definedName name="_xlnm.Print_Area" localSheetId="5">'376'!$B$1:$I$57</definedName>
    <definedName name="_xlnm.Print_Area" localSheetId="6">'377'!$B$1:$I$58</definedName>
    <definedName name="_xlnm.Print_Area" localSheetId="7">'378'!$B$1:$I$58</definedName>
    <definedName name="_xlnm.Print_Area" localSheetId="8">'379'!$B$1:$I$57</definedName>
    <definedName name="_xlnm.Print_Area" localSheetId="9">'380'!$B$1:$I$57</definedName>
    <definedName name="_xlnm.Print_Area" localSheetId="10">'381'!$B$1:$I$57</definedName>
    <definedName name="_xlnm.Print_Area" localSheetId="11">'382'!$B$1:$I$57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74" l="1"/>
  <c r="F33" i="137"/>
  <c r="I33" i="137" s="1"/>
  <c r="I32" i="137"/>
  <c r="F33" i="135"/>
  <c r="I33" i="135" s="1"/>
  <c r="F35" i="137" l="1"/>
  <c r="I35" i="137"/>
  <c r="F32" i="133"/>
  <c r="F32" i="129"/>
  <c r="F32" i="138"/>
  <c r="F35" i="135" l="1"/>
  <c r="F32" i="172"/>
  <c r="I32" i="133"/>
  <c r="I32" i="172" l="1"/>
  <c r="F32" i="134"/>
  <c r="I32" i="129"/>
  <c r="B21" i="138"/>
  <c r="I32" i="138"/>
  <c r="F34" i="129" l="1"/>
  <c r="F32" i="175" l="1"/>
  <c r="F34" i="133"/>
  <c r="I34" i="133"/>
  <c r="F34" i="138" l="1"/>
  <c r="I34" i="138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2" i="174"/>
  <c r="F34" i="174"/>
  <c r="I32" i="174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6" i="173"/>
  <c r="B17" i="173" s="1"/>
  <c r="B18" i="173" s="1"/>
  <c r="B15" i="173"/>
  <c r="G14" i="173"/>
  <c r="G15" i="173" s="1"/>
  <c r="G16" i="173" s="1"/>
  <c r="G17" i="173" s="1"/>
  <c r="H21" i="173" s="1"/>
  <c r="H52" i="172"/>
  <c r="F34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4" i="175" l="1"/>
  <c r="I36" i="175" s="1"/>
  <c r="I38" i="175" s="1"/>
  <c r="I34" i="129"/>
  <c r="I32" i="173"/>
  <c r="I34" i="173" s="1"/>
  <c r="I36" i="173" s="1"/>
  <c r="I38" i="173" s="1"/>
  <c r="I34" i="172"/>
  <c r="I36" i="172" s="1"/>
  <c r="I38" i="172" s="1"/>
  <c r="I32" i="135" l="1"/>
  <c r="I35" i="135" s="1"/>
  <c r="B27" i="135"/>
  <c r="C3" i="129" l="1"/>
  <c r="I32" i="134" l="1"/>
  <c r="C3" i="133"/>
  <c r="F34" i="134" l="1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2" i="129"/>
  <c r="H52" i="134"/>
  <c r="H53" i="135"/>
  <c r="H53" i="137"/>
  <c r="H52" i="138"/>
  <c r="H52" i="133"/>
  <c r="B27" i="138" l="1"/>
  <c r="I23" i="138"/>
  <c r="H23" i="138"/>
  <c r="G23" i="138"/>
  <c r="F23" i="138"/>
  <c r="E23" i="138"/>
  <c r="D21" i="138"/>
  <c r="B15" i="138"/>
  <c r="B16" i="138" s="1"/>
  <c r="B17" i="138" s="1"/>
  <c r="B18" i="138" s="1"/>
  <c r="G14" i="138"/>
  <c r="G15" i="138" s="1"/>
  <c r="G16" i="138" s="1"/>
  <c r="G17" i="138" s="1"/>
  <c r="H21" i="138" s="1"/>
  <c r="I37" i="137"/>
  <c r="I39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5" l="1"/>
  <c r="I39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6" i="133" l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<sst xmlns="http://schemas.openxmlformats.org/spreadsheetml/2006/main" count="959" uniqueCount="198">
  <si>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</si>
  <si>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</si>
  <si>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</si>
  <si>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</si>
  <si>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</si>
  <si>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</si>
  <si>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</si>
  <si>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</si>
  <si>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</si>
  <si>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</si>
  <si>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</si>
  <si>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</si>
  <si>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</si>
  <si>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</si>
  <si>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</si>
  <si>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</si>
  <si>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</si>
  <si>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</si>
  <si>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</si>
  <si>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</si>
  <si>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</si>
  <si>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</si>
  <si>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</si>
  <si>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</si>
  <si>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</si>
  <si>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</si>
  <si>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</si>
  <si>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</si>
  <si>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</si>
  <si>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</si>
  <si>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</si>
  <si>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</si>
  <si>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</si>
  <si>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</si>
  <si>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</si>
  <si>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</si>
  <si>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</si>
  <si>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</si>
  <si>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</si>
  <si>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</si>
  <si>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</si>
  <si>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</si>
  <si>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</si>
  <si>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</si>
  <si>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</si>
  <si>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</si>
  <si>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</si>
  <si>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</si>
  <si>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</si>
  <si>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</si>
  <si>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</si>
  <si>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</si>
  <si>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</si>
  <si>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</si>
  <si>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</si>
  <si>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</si>
  <si>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</si>
  <si>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</si>
  <si>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</si>
  <si>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</si>
  <si>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</si>
  <si>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</si>
  <si>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</si>
  <si>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</si>
  <si>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</si>
  <si>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</si>
  <si>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</si>
  <si>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</si>
  <si>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</si>
  <si>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</si>
  <si>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</si>
  <si>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</si>
  <si>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</si>
  <si>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</si>
  <si>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</si>
  <si>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</si>
  <si>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</si>
  <si>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</si>
  <si>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</si>
  <si>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</si>
  <si>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</si>
  <si>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</si>
  <si>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</si>
  <si>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</si>
  <si>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</si>
  <si>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</si>
  <si>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</si>
  <si>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</si>
  <si>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</si>
  <si>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</si>
  <si>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</si>
  <si>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</si>
  <si>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</si>
  <si>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</si>
  <si>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</si>
  <si>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</si>
  <si>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</si>
  <si>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</si>
  <si>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</si>
  <si>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</si>
  <si>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</si>
  <si>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</si>
  <si>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</si>
  <si>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</si>
  <si>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</si>
  <si>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</si>
  <si>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</si>
  <si>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</si>
  <si>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</si>
  <si>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</si>
  <si>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</si>
  <si>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</si>
  <si>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</si>
  <si>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</si>
  <si>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</si>
  <si>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</si>
  <si>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</si>
  <si>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</si>
  <si>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</si>
  <si>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</si>
  <si>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</si>
  <si>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</si>
  <si>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</si>
  <si>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</si>
  <si>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</si>
  <si>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</si>
  <si>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</si>
  <si>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</si>
  <si>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</si>
  <si>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</si>
  <si>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</si>
  <si>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</si>
  <si>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</si>
  <si>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</si>
  <si>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</si>
  <si>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</si>
  <si>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</si>
  <si>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</si>
  <si>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</si>
  <si>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</si>
  <si>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</si>
  <si>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</si>
  <si>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</si>
  <si>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</si>
  <si>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</si>
  <si>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</si>
  <si>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</si>
  <si>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</si>
  <si>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</si>
  <si>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</si>
  <si>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</si>
  <si>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</si>
  <si>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</si>
  <si>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</si>
  <si>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</si>
  <si>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</si>
  <si>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</si>
  <si>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</si>
  <si>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</si>
  <si>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</si>
  <si>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</si>
  <si>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</si>
  <si>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</si>
  <si>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</si>
  <si>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</si>
  <si>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</si>
  <si>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</si>
  <si>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</si>
  <si>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</si>
  <si>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</si>
  <si>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</si>
  <si>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</si>
  <si>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</si>
  <si>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</si>
  <si>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</si>
  <si>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</si>
  <si>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</si>
  <si>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</si>
  <si>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</si>
  <si>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265K0103</t>
  </si>
  <si>
    <t>WOMENS COTTON FIBERS, KNIT PULLOVER, WITH NO NECK CLOSURE, STITCH COUNT IS GREATER THAN 9/2CM, REACHES WAIST, SLEEVELESS [96% COTTON 4% SPANDEX]</t>
  </si>
  <si>
    <t>BOYS COTTON FIBERS, KNIT SHIRT, WITH NECK CLOSURE, STITCH COUNT EQUAL OR IS GREATER THAN 10/1CM, HEM BOTTOM [60% COTTON 40% POLYESTER]</t>
  </si>
  <si>
    <t>265K0077</t>
  </si>
  <si>
    <t>02</t>
  </si>
  <si>
    <t>00, 02, 04, 05, 06</t>
  </si>
  <si>
    <t>RED TAPE, MONET BLUE, BLUE TANGO</t>
  </si>
  <si>
    <t>01, 03, 07</t>
  </si>
  <si>
    <t>01</t>
  </si>
  <si>
    <t>MOCHA TAFFY</t>
  </si>
  <si>
    <t>265K0091</t>
  </si>
  <si>
    <t>00, 04, 05, 06</t>
  </si>
  <si>
    <t>CALLA LILY 451, BLACK JACK, RON BURGUNDY, DARK GREEN</t>
  </si>
  <si>
    <t>CALLA LILY 451, INK BLUE,
BLACK JACK, RON BURGUNDY, DARK GREEN</t>
  </si>
  <si>
    <t>DAYLILY</t>
  </si>
  <si>
    <t>RED GINGHAM</t>
  </si>
  <si>
    <t>Girls Cotton Fibers, Knit Pullover, With No Neck Closure, Stitch Count Is Greater Than 9/2cm, Reaches Waist [100% Cotton]</t>
  </si>
  <si>
    <t>BLACK COFFEE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</si>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</sst>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9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5" fillId="0" borderId="0" xfId="0" applyFont="1" applyAlignment="1">
      <alignment vertical="center" wrapText="1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D27" sqref="D27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1" sqref="I11"/>
    </sheetView>
  </sheetViews>
  <sheetFormatPr defaultRowHeight="12.75" x14ac:dyDescent="0.2"/>
  <sheetData>
    <row r="2" spans="2:9" ht="15" x14ac:dyDescent="0.25">
      <c r="B2" s="57">
        <v>1</v>
      </c>
      <c r="C2" t="s">
        <v>182</v>
      </c>
      <c r="E2" s="57">
        <v>1</v>
      </c>
      <c r="F2">
        <v>767468</v>
      </c>
      <c r="H2" s="57">
        <v>1</v>
      </c>
      <c r="I2" s="64" t="s">
        <v>177</v>
      </c>
    </row>
    <row r="3" spans="2:9" ht="15" x14ac:dyDescent="0.25">
      <c r="B3" s="57">
        <v>2</v>
      </c>
      <c r="C3" t="s">
        <v>182</v>
      </c>
      <c r="E3" s="57">
        <v>2</v>
      </c>
      <c r="F3">
        <v>767468</v>
      </c>
      <c r="H3" s="57">
        <v>2</v>
      </c>
      <c r="I3" s="64" t="s">
        <v>177</v>
      </c>
    </row>
    <row r="4" spans="2:9" ht="15" x14ac:dyDescent="0.25">
      <c r="B4" s="57">
        <v>3</v>
      </c>
      <c r="C4" t="s">
        <v>182</v>
      </c>
      <c r="E4" s="57">
        <v>3</v>
      </c>
      <c r="F4">
        <v>767468</v>
      </c>
      <c r="H4" s="57">
        <v>3</v>
      </c>
      <c r="I4" s="64" t="s">
        <v>177</v>
      </c>
    </row>
    <row r="5" spans="2:9" ht="15" x14ac:dyDescent="0.25">
      <c r="B5" s="57">
        <v>4</v>
      </c>
      <c r="C5" t="s">
        <v>182</v>
      </c>
      <c r="E5" s="57">
        <v>4</v>
      </c>
      <c r="F5">
        <v>767468</v>
      </c>
      <c r="H5" s="57">
        <v>4</v>
      </c>
      <c r="I5" s="64" t="s">
        <v>177</v>
      </c>
    </row>
    <row r="6" spans="2:9" ht="15" x14ac:dyDescent="0.25">
      <c r="B6" s="57">
        <v>5</v>
      </c>
      <c r="C6" t="s">
        <v>189</v>
      </c>
      <c r="E6" s="57">
        <v>5</v>
      </c>
      <c r="F6">
        <v>1181671</v>
      </c>
      <c r="H6" s="57">
        <v>5</v>
      </c>
      <c r="I6" s="64" t="s">
        <v>178</v>
      </c>
    </row>
    <row r="7" spans="2:9" ht="15" x14ac:dyDescent="0.2">
      <c r="B7" s="57">
        <v>6</v>
      </c>
      <c r="C7" t="s">
        <v>189</v>
      </c>
      <c r="E7" s="57">
        <v>6</v>
      </c>
      <c r="F7">
        <v>1181671</v>
      </c>
      <c r="H7" s="57">
        <v>6</v>
      </c>
      <c r="I7" s="68" t="s">
        <v>177</v>
      </c>
    </row>
    <row r="8" spans="2:9" ht="15" x14ac:dyDescent="0.25">
      <c r="B8" s="57">
        <v>7</v>
      </c>
      <c r="C8" t="s">
        <v>179</v>
      </c>
      <c r="E8" s="57">
        <v>7</v>
      </c>
      <c r="F8">
        <v>692926</v>
      </c>
      <c r="H8" s="57">
        <v>7</v>
      </c>
      <c r="I8" s="64" t="s">
        <v>177</v>
      </c>
    </row>
    <row r="9" spans="2:9" ht="15" x14ac:dyDescent="0.25">
      <c r="B9" s="57">
        <v>8</v>
      </c>
      <c r="C9" t="s">
        <v>179</v>
      </c>
      <c r="E9" s="57">
        <v>8</v>
      </c>
      <c r="F9">
        <v>692926</v>
      </c>
      <c r="H9" s="57">
        <v>8</v>
      </c>
      <c r="I9" s="64" t="s">
        <v>177</v>
      </c>
    </row>
    <row r="10" spans="2:9" ht="15" x14ac:dyDescent="0.25">
      <c r="B10" s="57">
        <v>9</v>
      </c>
      <c r="C10" t="s">
        <v>179</v>
      </c>
      <c r="E10" s="57">
        <v>9</v>
      </c>
      <c r="F10">
        <v>692926</v>
      </c>
      <c r="H10" s="57">
        <v>9</v>
      </c>
      <c r="I10" s="64" t="s">
        <v>178</v>
      </c>
    </row>
    <row r="11" spans="2:9" ht="15" x14ac:dyDescent="0.25">
      <c r="B11" s="57">
        <v>10</v>
      </c>
      <c r="C11" t="s">
        <v>179</v>
      </c>
      <c r="E11" s="57">
        <v>10</v>
      </c>
      <c r="F11">
        <v>692926</v>
      </c>
      <c r="H11" s="57">
        <v>10</v>
      </c>
      <c r="I11" s="64" t="s">
        <v>177</v>
      </c>
    </row>
    <row r="12" spans="2:9" ht="15" x14ac:dyDescent="0.25">
      <c r="B12" s="57">
        <v>11</v>
      </c>
      <c r="E12" s="57">
        <v>11</v>
      </c>
      <c r="H12" s="57">
        <v>11</v>
      </c>
      <c r="I12" s="64"/>
    </row>
    <row r="13" spans="2:9" ht="15" x14ac:dyDescent="0.25">
      <c r="B13" s="57">
        <v>12</v>
      </c>
      <c r="E13" s="57">
        <v>12</v>
      </c>
      <c r="H13" s="57">
        <v>12</v>
      </c>
      <c r="I13" s="64"/>
    </row>
    <row r="14" spans="2:9" ht="15" x14ac:dyDescent="0.25">
      <c r="B14" s="57">
        <v>13</v>
      </c>
      <c r="E14" s="57">
        <v>13</v>
      </c>
      <c r="H14" s="57">
        <v>13</v>
      </c>
      <c r="I14" s="64"/>
    </row>
    <row r="15" spans="2:9" ht="15" x14ac:dyDescent="0.25">
      <c r="B15" s="57">
        <v>14</v>
      </c>
      <c r="E15" s="57">
        <v>14</v>
      </c>
      <c r="H15" s="57">
        <v>14</v>
      </c>
      <c r="I15" s="64"/>
    </row>
    <row r="16" spans="2:9" ht="15" x14ac:dyDescent="0.25">
      <c r="B16" s="57">
        <v>15</v>
      </c>
      <c r="E16" s="57">
        <v>15</v>
      </c>
      <c r="H16" s="57">
        <v>15</v>
      </c>
      <c r="I16" s="64"/>
    </row>
    <row r="17" spans="2:11" ht="15" x14ac:dyDescent="0.25">
      <c r="B17" s="57">
        <v>16</v>
      </c>
      <c r="E17" s="57">
        <v>16</v>
      </c>
      <c r="H17" s="57">
        <v>16</v>
      </c>
      <c r="I17" s="64"/>
    </row>
    <row r="18" spans="2:11" ht="15" x14ac:dyDescent="0.25">
      <c r="B18" s="57">
        <v>17</v>
      </c>
      <c r="E18" s="57">
        <v>17</v>
      </c>
      <c r="H18" s="57">
        <v>17</v>
      </c>
      <c r="I18" s="64"/>
    </row>
    <row r="19" spans="2:11" ht="15" x14ac:dyDescent="0.25">
      <c r="B19" s="57">
        <v>18</v>
      </c>
      <c r="E19" s="57">
        <v>18</v>
      </c>
      <c r="H19" s="57">
        <v>18</v>
      </c>
      <c r="I19" s="64"/>
    </row>
    <row r="20" spans="2:11" ht="15" x14ac:dyDescent="0.25">
      <c r="B20" s="57">
        <v>19</v>
      </c>
      <c r="E20" s="57">
        <v>19</v>
      </c>
      <c r="H20" s="57">
        <v>19</v>
      </c>
      <c r="I20" s="64"/>
    </row>
    <row r="21" spans="2:11" ht="15" x14ac:dyDescent="0.25">
      <c r="B21" s="57">
        <v>20</v>
      </c>
      <c r="E21" s="57">
        <v>20</v>
      </c>
      <c r="H21" s="57">
        <v>20</v>
      </c>
      <c r="I21" s="64"/>
    </row>
    <row r="22" spans="2:11" ht="15" x14ac:dyDescent="0.25">
      <c r="B22" s="57">
        <v>21</v>
      </c>
      <c r="E22" s="57">
        <v>21</v>
      </c>
      <c r="H22" s="57">
        <v>21</v>
      </c>
      <c r="I22" s="64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62002317</v>
      </c>
      <c r="K2" s="63">
        <v>919</v>
      </c>
      <c r="L2" s="63">
        <v>23</v>
      </c>
      <c r="M2" s="63">
        <v>123.27</v>
      </c>
      <c r="N2" s="63">
        <v>141.65</v>
      </c>
      <c r="O2" s="63">
        <v>159.85</v>
      </c>
      <c r="P2" s="63" t="s">
        <v>54</v>
      </c>
      <c r="Q2" s="63">
        <v>0.80500000000000005</v>
      </c>
      <c r="R2" s="63" t="s">
        <v>62</v>
      </c>
    </row>
    <row r="3" spans="2:22" x14ac:dyDescent="0.2">
      <c r="B3" s="6" t="s">
        <v>53</v>
      </c>
      <c r="C3" s="67">
        <v>373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62002317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159.85</v>
      </c>
      <c r="G23" s="23">
        <f>+N2</f>
        <v>141.65</v>
      </c>
      <c r="H23" s="23">
        <f>+M2</f>
        <v>123.27</v>
      </c>
      <c r="I23" s="55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37.5" customHeight="1" x14ac:dyDescent="0.2">
      <c r="B32" s="41" t="s">
        <v>186</v>
      </c>
      <c r="C32" s="19" t="s">
        <v>185</v>
      </c>
      <c r="D32" s="73"/>
      <c r="E32" s="74"/>
      <c r="F32" s="73">
        <f>+K2</f>
        <v>919</v>
      </c>
      <c r="G32" s="74"/>
      <c r="H32" s="17">
        <v>1.05</v>
      </c>
      <c r="I32" s="18">
        <f>+H32*F32</f>
        <v>964.95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0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919</v>
      </c>
      <c r="G34" s="74"/>
      <c r="H34" s="15"/>
      <c r="I34" s="14">
        <f>SUM(I32:I33)</f>
        <v>964.95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964.95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964.95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62041858</v>
      </c>
      <c r="K2" s="62">
        <v>1510</v>
      </c>
      <c r="L2" s="63">
        <v>38</v>
      </c>
      <c r="M2" s="63">
        <v>202.69</v>
      </c>
      <c r="N2" s="63">
        <v>232.89</v>
      </c>
      <c r="O2" s="63">
        <v>262.79000000000002</v>
      </c>
      <c r="P2" s="63" t="s">
        <v>54</v>
      </c>
      <c r="Q2" s="63">
        <v>1.3080000000000001</v>
      </c>
      <c r="R2" s="63" t="s">
        <v>62</v>
      </c>
    </row>
    <row r="3" spans="2:22" x14ac:dyDescent="0.2">
      <c r="B3" s="6" t="s">
        <v>53</v>
      </c>
      <c r="C3" s="67">
        <f>+'373'!C3+1</f>
        <v>374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62041858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262.79000000000002</v>
      </c>
      <c r="G23" s="23">
        <f>+N2</f>
        <v>232.89</v>
      </c>
      <c r="H23" s="23">
        <f>+M2</f>
        <v>202.69</v>
      </c>
      <c r="I23" s="48">
        <f>+L2</f>
        <v>38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6" t="s">
        <v>19</v>
      </c>
      <c r="E31" s="86"/>
      <c r="F31" s="86" t="s">
        <v>18</v>
      </c>
      <c r="G31" s="86"/>
      <c r="H31" s="48" t="s">
        <v>17</v>
      </c>
      <c r="I31" s="19" t="s">
        <v>16</v>
      </c>
      <c r="M31"/>
    </row>
    <row r="32" spans="2:13" ht="69" customHeight="1" x14ac:dyDescent="0.2">
      <c r="B32" s="41" t="s">
        <v>190</v>
      </c>
      <c r="C32" s="19" t="s">
        <v>191</v>
      </c>
      <c r="D32" s="73"/>
      <c r="E32" s="74"/>
      <c r="F32" s="73">
        <f>+K2</f>
        <v>1510</v>
      </c>
      <c r="G32" s="74"/>
      <c r="H32" s="17">
        <v>1.05</v>
      </c>
      <c r="I32" s="18">
        <f>+H32*F32</f>
        <v>1585.5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48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1510</v>
      </c>
      <c r="G34" s="74"/>
      <c r="H34" s="15"/>
      <c r="I34" s="14">
        <f>SUM(I32:I33)</f>
        <v>1585.5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1585.5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1585.5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62041854</v>
      </c>
      <c r="K2" s="62">
        <v>2982</v>
      </c>
      <c r="L2" s="63">
        <v>67</v>
      </c>
      <c r="M2" s="63">
        <v>400.25</v>
      </c>
      <c r="N2" s="63">
        <v>459.89</v>
      </c>
      <c r="O2" s="63">
        <v>514.39</v>
      </c>
      <c r="P2" s="63" t="s">
        <v>54</v>
      </c>
      <c r="Q2" s="63">
        <v>2.5830000000000002</v>
      </c>
      <c r="R2" s="63" t="s">
        <v>62</v>
      </c>
    </row>
    <row r="3" spans="2:22" x14ac:dyDescent="0.2">
      <c r="B3" s="6" t="s">
        <v>53</v>
      </c>
      <c r="C3" s="67">
        <f>+'374'!C3+1</f>
        <v>375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62041854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514.39</v>
      </c>
      <c r="G23" s="23">
        <f>+N2</f>
        <v>459.89</v>
      </c>
      <c r="H23" s="23">
        <f>+M2</f>
        <v>400.25</v>
      </c>
      <c r="I23" s="48">
        <f>+L2</f>
        <v>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6" t="s">
        <v>19</v>
      </c>
      <c r="E31" s="86"/>
      <c r="F31" s="86" t="s">
        <v>18</v>
      </c>
      <c r="G31" s="86"/>
      <c r="H31" s="48" t="s">
        <v>17</v>
      </c>
      <c r="I31" s="19" t="s">
        <v>16</v>
      </c>
      <c r="M31"/>
    </row>
    <row r="32" spans="2:13" ht="63" customHeight="1" x14ac:dyDescent="0.2">
      <c r="B32" s="41" t="s">
        <v>184</v>
      </c>
      <c r="C32" s="19" t="s">
        <v>192</v>
      </c>
      <c r="D32" s="73"/>
      <c r="E32" s="74"/>
      <c r="F32" s="73">
        <f>+K2</f>
        <v>2982</v>
      </c>
      <c r="G32" s="74"/>
      <c r="H32" s="17">
        <v>1.05</v>
      </c>
      <c r="I32" s="18">
        <f>+H32*F32</f>
        <v>3131.1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48"/>
    </row>
    <row r="34" spans="2:11" ht="21.75" customHeight="1" x14ac:dyDescent="0.2">
      <c r="B34" s="15" t="s">
        <v>14</v>
      </c>
      <c r="C34" s="15"/>
      <c r="D34" s="71"/>
      <c r="E34" s="72"/>
      <c r="F34" s="73">
        <f>SUM(F31:G33)</f>
        <v>2982</v>
      </c>
      <c r="G34" s="74"/>
      <c r="H34" s="15"/>
      <c r="I34" s="14">
        <f>SUM(I32:I33)</f>
        <v>3131.1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3131.1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3131.1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62002315</v>
      </c>
      <c r="K2" s="62">
        <v>1683</v>
      </c>
      <c r="L2" s="63">
        <v>36</v>
      </c>
      <c r="M2" s="63">
        <v>225.61</v>
      </c>
      <c r="N2" s="63">
        <v>259.27</v>
      </c>
      <c r="O2" s="63">
        <v>289.17</v>
      </c>
      <c r="P2" s="63" t="s">
        <v>54</v>
      </c>
      <c r="Q2" s="63">
        <v>1.4650000000000001</v>
      </c>
      <c r="R2" s="63" t="s">
        <v>62</v>
      </c>
    </row>
    <row r="3" spans="2:22" x14ac:dyDescent="0.2">
      <c r="B3" s="6" t="s">
        <v>53</v>
      </c>
      <c r="C3" s="67">
        <f>+'375'!C3+1</f>
        <v>376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62002315</v>
      </c>
      <c r="C21" s="53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289.17</v>
      </c>
      <c r="G23" s="23">
        <f>+N2</f>
        <v>259.27</v>
      </c>
      <c r="H23" s="23">
        <f>+M2</f>
        <v>225.61</v>
      </c>
      <c r="I23" s="54">
        <f>+L2</f>
        <v>36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BOYS COTTON FIBERS, KNIT SHIRT, WITH NECK CLOSURE, STITCH COUNT EQUAL OR IS GREATER THAN 10/1CM, HEM BOTTOM [60% COTTON 40% POLYESTER]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6" t="s">
        <v>19</v>
      </c>
      <c r="E31" s="86"/>
      <c r="F31" s="86" t="s">
        <v>18</v>
      </c>
      <c r="G31" s="86"/>
      <c r="H31" s="54" t="s">
        <v>17</v>
      </c>
      <c r="I31" s="19" t="s">
        <v>16</v>
      </c>
      <c r="M31"/>
    </row>
    <row r="32" spans="2:13" ht="36.75" customHeight="1" x14ac:dyDescent="0.2">
      <c r="B32" s="41" t="s">
        <v>186</v>
      </c>
      <c r="C32" s="19" t="s">
        <v>185</v>
      </c>
      <c r="D32" s="73"/>
      <c r="E32" s="74"/>
      <c r="F32" s="73">
        <f>+K2</f>
        <v>1683</v>
      </c>
      <c r="G32" s="74"/>
      <c r="H32" s="17">
        <v>1.05</v>
      </c>
      <c r="I32" s="18">
        <f>+H32*F32</f>
        <v>1767.15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54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1683</v>
      </c>
      <c r="G34" s="74"/>
      <c r="H34" s="15"/>
      <c r="I34" s="14">
        <f>SUM(I32:I33)</f>
        <v>1767.15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1767.15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1767.15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265K0077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62188753</v>
      </c>
      <c r="K2" s="62">
        <v>3168</v>
      </c>
      <c r="L2" s="63">
        <v>27</v>
      </c>
      <c r="M2" s="63">
        <v>244.35400000000001</v>
      </c>
      <c r="N2" s="63">
        <v>250.69</v>
      </c>
      <c r="O2" s="63">
        <v>273.74</v>
      </c>
      <c r="P2" s="63" t="s">
        <v>54</v>
      </c>
      <c r="Q2" s="63">
        <v>1.359</v>
      </c>
      <c r="R2" s="63" t="s">
        <v>62</v>
      </c>
    </row>
    <row r="3" spans="2:22" x14ac:dyDescent="0.2">
      <c r="B3" s="6" t="s">
        <v>53</v>
      </c>
      <c r="C3" s="67">
        <f>+'376'!C3+1</f>
        <v>377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62188753</v>
      </c>
      <c r="C21" s="56">
        <f>VLOOKUP($K57,reff!E2:F29,2,0)</f>
        <v>1181671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273.74</v>
      </c>
      <c r="G23" s="23">
        <f>+N2</f>
        <v>250.69</v>
      </c>
      <c r="H23" s="23">
        <f>+M2</f>
        <v>244.35400000000001</v>
      </c>
      <c r="I23" s="55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[100% Cotton]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25.5" customHeight="1" x14ac:dyDescent="0.2">
      <c r="B32" s="41" t="s">
        <v>187</v>
      </c>
      <c r="C32" s="19" t="s">
        <v>193</v>
      </c>
      <c r="D32" s="73"/>
      <c r="E32" s="74"/>
      <c r="F32" s="73">
        <v>1465</v>
      </c>
      <c r="G32" s="74"/>
      <c r="H32" s="17">
        <v>0.81</v>
      </c>
      <c r="I32" s="18">
        <f>+H32*F32</f>
        <v>1186.6500000000001</v>
      </c>
      <c r="K32" s="46"/>
      <c r="M32" s="39"/>
    </row>
    <row r="33" spans="2:13" ht="25.5" customHeight="1" x14ac:dyDescent="0.2">
      <c r="B33" s="41" t="s">
        <v>183</v>
      </c>
      <c r="C33" s="19" t="s">
        <v>194</v>
      </c>
      <c r="D33" s="73"/>
      <c r="E33" s="74"/>
      <c r="F33" s="73">
        <f>+K2-F32</f>
        <v>1703</v>
      </c>
      <c r="G33" s="74"/>
      <c r="H33" s="17">
        <v>0.81</v>
      </c>
      <c r="I33" s="18">
        <f>+H33*F33</f>
        <v>1379.43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59"/>
    </row>
    <row r="35" spans="2:13" ht="21.75" customHeight="1" x14ac:dyDescent="0.2">
      <c r="B35" s="15" t="s">
        <v>14</v>
      </c>
      <c r="C35" s="15"/>
      <c r="D35" s="71"/>
      <c r="E35" s="72"/>
      <c r="F35" s="73">
        <f>SUM(F32:G34)</f>
        <v>3168</v>
      </c>
      <c r="G35" s="74"/>
      <c r="H35" s="15"/>
      <c r="I35" s="14">
        <f>SUM(I32:I34)</f>
        <v>2566.08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2566.08</v>
      </c>
    </row>
    <row r="38" spans="2:13" ht="20.25" customHeight="1" x14ac:dyDescent="0.2">
      <c r="B38" s="15" t="s">
        <v>80</v>
      </c>
      <c r="C38" s="69" t="s">
        <v>11</v>
      </c>
      <c r="D38" s="76"/>
      <c r="E38" s="76"/>
      <c r="F38" s="76"/>
      <c r="G38" s="76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2566.08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265K0091</v>
      </c>
      <c r="I53" s="8"/>
      <c r="K53">
        <v>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5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62188766</v>
      </c>
      <c r="K2" s="62">
        <v>1536</v>
      </c>
      <c r="L2" s="63">
        <v>13</v>
      </c>
      <c r="M2" s="63">
        <v>129.40799999999999</v>
      </c>
      <c r="N2" s="63">
        <v>132.47999999999999</v>
      </c>
      <c r="O2" s="63">
        <v>143.88</v>
      </c>
      <c r="P2" s="63" t="s">
        <v>54</v>
      </c>
      <c r="Q2" s="63">
        <v>0.626</v>
      </c>
      <c r="R2" s="63" t="s">
        <v>62</v>
      </c>
    </row>
    <row r="3" spans="2:22" x14ac:dyDescent="0.2">
      <c r="B3" s="6" t="s">
        <v>53</v>
      </c>
      <c r="C3" s="67">
        <f>+'377'!C3+1</f>
        <v>378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62188766</v>
      </c>
      <c r="C21" s="56">
        <f>VLOOKUP($K57,reff!E2:F29,2,0)</f>
        <v>1181671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143.88</v>
      </c>
      <c r="G23" s="23">
        <f>+N2</f>
        <v>132.47999999999999</v>
      </c>
      <c r="H23" s="23">
        <f>+M2</f>
        <v>129.40799999999999</v>
      </c>
      <c r="I23" s="55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Girls Cotton Fibers, Knit Pullover, With No Neck Closure, Stitch Count Is Greater Than 9/2cm, Reaches Waist [100% Cotton]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6" t="s">
        <v>19</v>
      </c>
      <c r="E31" s="86"/>
      <c r="F31" s="86" t="s">
        <v>18</v>
      </c>
      <c r="G31" s="86"/>
      <c r="H31" s="55" t="s">
        <v>17</v>
      </c>
      <c r="I31" s="19" t="s">
        <v>16</v>
      </c>
      <c r="M31"/>
    </row>
    <row r="32" spans="2:13" ht="25.5" customHeight="1" x14ac:dyDescent="0.2">
      <c r="B32" s="41" t="s">
        <v>187</v>
      </c>
      <c r="C32" s="19" t="s">
        <v>193</v>
      </c>
      <c r="D32" s="73"/>
      <c r="E32" s="74"/>
      <c r="F32" s="73">
        <v>738</v>
      </c>
      <c r="G32" s="74"/>
      <c r="H32" s="17">
        <v>0.81</v>
      </c>
      <c r="I32" s="18">
        <f>+H32*F32</f>
        <v>597.78000000000009</v>
      </c>
      <c r="K32" s="46"/>
      <c r="M32" s="39"/>
    </row>
    <row r="33" spans="2:13" ht="25.5" customHeight="1" x14ac:dyDescent="0.2">
      <c r="B33" s="41" t="s">
        <v>183</v>
      </c>
      <c r="C33" s="19" t="s">
        <v>194</v>
      </c>
      <c r="D33" s="73"/>
      <c r="E33" s="74"/>
      <c r="F33" s="73">
        <f>+K2-F32</f>
        <v>798</v>
      </c>
      <c r="G33" s="74"/>
      <c r="H33" s="17">
        <v>0.81</v>
      </c>
      <c r="I33" s="18">
        <f>+H33*F33</f>
        <v>646.38</v>
      </c>
      <c r="K33" s="46"/>
      <c r="M33" s="39"/>
    </row>
    <row r="34" spans="2:13" ht="21" customHeight="1" x14ac:dyDescent="0.2">
      <c r="B34" s="15" t="s">
        <v>15</v>
      </c>
      <c r="C34" s="15"/>
      <c r="D34" s="69"/>
      <c r="E34" s="70"/>
      <c r="F34" s="69"/>
      <c r="G34" s="70"/>
      <c r="H34" s="17"/>
      <c r="I34" s="55"/>
    </row>
    <row r="35" spans="2:13" ht="21.75" customHeight="1" x14ac:dyDescent="0.2">
      <c r="B35" s="15" t="s">
        <v>14</v>
      </c>
      <c r="C35" s="15"/>
      <c r="D35" s="71"/>
      <c r="E35" s="72"/>
      <c r="F35" s="73">
        <f>SUM(F32:G34)</f>
        <v>1536</v>
      </c>
      <c r="G35" s="74"/>
      <c r="H35" s="15"/>
      <c r="I35" s="14">
        <f>SUM(I32:I34)</f>
        <v>1244.1600000000001</v>
      </c>
      <c r="J35" s="40"/>
      <c r="K35" s="40"/>
    </row>
    <row r="36" spans="2:13" ht="21.75" customHeight="1" x14ac:dyDescent="0.2">
      <c r="B36" s="16" t="s">
        <v>13</v>
      </c>
      <c r="C36" s="15"/>
      <c r="D36" s="69"/>
      <c r="E36" s="70"/>
      <c r="F36" s="69"/>
      <c r="G36" s="70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9"/>
      <c r="E37" s="70"/>
      <c r="F37" s="69"/>
      <c r="G37" s="70"/>
      <c r="H37" s="15"/>
      <c r="I37" s="14">
        <f>+I35</f>
        <v>1244.1600000000001</v>
      </c>
    </row>
    <row r="38" spans="2:13" ht="20.25" customHeight="1" x14ac:dyDescent="0.2">
      <c r="B38" s="15" t="s">
        <v>80</v>
      </c>
      <c r="C38" s="69" t="s">
        <v>11</v>
      </c>
      <c r="D38" s="76"/>
      <c r="E38" s="76"/>
      <c r="F38" s="76"/>
      <c r="G38" s="76"/>
      <c r="H38" s="70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1244.1600000000001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7" t="s">
        <v>7</v>
      </c>
      <c r="C47" s="77"/>
      <c r="D47" s="77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265K0091</v>
      </c>
      <c r="I53" s="8"/>
      <c r="K53">
        <v>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8" t="s">
        <v>1</v>
      </c>
      <c r="D56" s="78"/>
      <c r="E56" s="5"/>
      <c r="F56" s="5"/>
      <c r="G56" s="5"/>
      <c r="H56" s="5"/>
      <c r="I56" s="4"/>
    </row>
    <row r="57" spans="2:11" x14ac:dyDescent="0.2">
      <c r="B57" s="6"/>
      <c r="C57" s="79" t="s">
        <v>0</v>
      </c>
      <c r="D57" s="79"/>
      <c r="E57" s="5"/>
      <c r="F57" s="5"/>
      <c r="G57" s="5"/>
      <c r="H57" s="5"/>
      <c r="I57" s="4"/>
      <c r="K57">
        <v>6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62212690</v>
      </c>
      <c r="K2" s="63">
        <v>579</v>
      </c>
      <c r="L2" s="63">
        <v>9</v>
      </c>
      <c r="M2" s="63">
        <v>61.335000000000001</v>
      </c>
      <c r="N2" s="63">
        <v>67.125</v>
      </c>
      <c r="O2" s="63">
        <v>74.625</v>
      </c>
      <c r="P2" s="63" t="s">
        <v>54</v>
      </c>
      <c r="Q2" s="63">
        <v>0.36899999999999999</v>
      </c>
      <c r="R2" s="63" t="s">
        <v>62</v>
      </c>
    </row>
    <row r="3" spans="2:22" x14ac:dyDescent="0.2">
      <c r="B3" s="6" t="s">
        <v>53</v>
      </c>
      <c r="C3" s="67">
        <f>+'378'!C3+1</f>
        <v>379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62212690</v>
      </c>
      <c r="C21" s="6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74.625</v>
      </c>
      <c r="G23" s="23">
        <f>+N2</f>
        <v>67.125</v>
      </c>
      <c r="H23" s="23">
        <f>+M2</f>
        <v>61.335000000000001</v>
      </c>
      <c r="I23" s="65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WOMENS COTTON FIBERS, KNIT PULLOVER, WITH NO NECK CLOSURE, STITCH COUNT IS GREATER THAN 9/2CM, REACHES WAIST, SLEEVELESS [96% COTTON 4% SPANDEX]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6" t="s">
        <v>19</v>
      </c>
      <c r="E31" s="86"/>
      <c r="F31" s="86" t="s">
        <v>18</v>
      </c>
      <c r="G31" s="86"/>
      <c r="H31" s="65" t="s">
        <v>17</v>
      </c>
      <c r="I31" s="19" t="s">
        <v>16</v>
      </c>
      <c r="M31"/>
    </row>
    <row r="32" spans="2:13" ht="24.95" customHeight="1" x14ac:dyDescent="0.2">
      <c r="B32" s="41">
        <v>19</v>
      </c>
      <c r="C32" s="19" t="s">
        <v>188</v>
      </c>
      <c r="D32" s="73"/>
      <c r="E32" s="74"/>
      <c r="F32" s="73">
        <f>+K2</f>
        <v>579</v>
      </c>
      <c r="G32" s="74"/>
      <c r="H32" s="17">
        <v>0.76</v>
      </c>
      <c r="I32" s="18">
        <f>+H32*F32</f>
        <v>440.04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5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579</v>
      </c>
      <c r="G34" s="74"/>
      <c r="H34" s="15"/>
      <c r="I34" s="14">
        <f>SUM(I32:I33)</f>
        <v>440.04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440.04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440.04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7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62212688</v>
      </c>
      <c r="K2" s="62">
        <v>1101</v>
      </c>
      <c r="L2" s="63">
        <v>15</v>
      </c>
      <c r="M2" s="63">
        <v>116.855</v>
      </c>
      <c r="N2" s="63">
        <v>127.86499999999999</v>
      </c>
      <c r="O2" s="63">
        <v>140.76499999999999</v>
      </c>
      <c r="P2" s="63" t="s">
        <v>54</v>
      </c>
      <c r="Q2" s="63">
        <v>0.68200000000000005</v>
      </c>
      <c r="R2" s="63" t="s">
        <v>62</v>
      </c>
    </row>
    <row r="3" spans="2:22" x14ac:dyDescent="0.2">
      <c r="B3" s="6" t="s">
        <v>53</v>
      </c>
      <c r="C3" s="67">
        <f>+'379'!C3+1</f>
        <v>380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62212688</v>
      </c>
      <c r="C21" s="6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5" t="s">
        <v>35</v>
      </c>
      <c r="G21" s="65"/>
      <c r="H21" s="47" t="str">
        <f>IF(LEFT(G17,2)="CA","CA",IF(LEFT(G17,2)="UN","US",IF(LEFT(G17,2)="PA","PA",IF(LEFT(G17,2)="JA","JP"))))</f>
        <v>US</v>
      </c>
      <c r="I21" s="6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140.76499999999999</v>
      </c>
      <c r="G23" s="23">
        <f>+N2</f>
        <v>127.86499999999999</v>
      </c>
      <c r="H23" s="23">
        <f>+M2</f>
        <v>116.855</v>
      </c>
      <c r="I23" s="65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WOMENS COTTON FIBERS, KNIT PULLOVER, WITH NO NECK CLOSURE, STITCH COUNT IS GREATER THAN 9/2CM, REACHES WAIST, SLEEVELESS [96% COTTON 4% SPANDEX]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6" t="s">
        <v>19</v>
      </c>
      <c r="E31" s="86"/>
      <c r="F31" s="86" t="s">
        <v>18</v>
      </c>
      <c r="G31" s="86"/>
      <c r="H31" s="65" t="s">
        <v>17</v>
      </c>
      <c r="I31" s="19" t="s">
        <v>16</v>
      </c>
      <c r="M31"/>
    </row>
    <row r="32" spans="2:13" ht="30.75" customHeight="1" x14ac:dyDescent="0.2">
      <c r="B32" s="41">
        <v>19</v>
      </c>
      <c r="C32" s="19" t="s">
        <v>188</v>
      </c>
      <c r="D32" s="73"/>
      <c r="E32" s="74"/>
      <c r="F32" s="73">
        <f>+K2</f>
        <v>1101</v>
      </c>
      <c r="G32" s="74"/>
      <c r="H32" s="17">
        <v>0.76</v>
      </c>
      <c r="I32" s="18">
        <f>+H32*F32</f>
        <v>836.76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5"/>
    </row>
    <row r="34" spans="2:11" ht="21.75" customHeight="1" x14ac:dyDescent="0.2">
      <c r="B34" s="15" t="s">
        <v>14</v>
      </c>
      <c r="C34" s="15"/>
      <c r="D34" s="71"/>
      <c r="E34" s="72"/>
      <c r="F34" s="73">
        <f>SUM(F31:G33)</f>
        <v>1101</v>
      </c>
      <c r="G34" s="74"/>
      <c r="H34" s="15"/>
      <c r="I34" s="14">
        <f>SUM(I32:I33)</f>
        <v>836.76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836.76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836.76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4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62190634</v>
      </c>
      <c r="K2" s="62">
        <v>1500</v>
      </c>
      <c r="L2" s="63">
        <v>33</v>
      </c>
      <c r="M2" s="63">
        <v>153.66499999999999</v>
      </c>
      <c r="N2" s="63">
        <v>206.16499999999999</v>
      </c>
      <c r="O2" s="63">
        <v>237.36500000000001</v>
      </c>
      <c r="P2" s="63" t="s">
        <v>54</v>
      </c>
      <c r="Q2" s="63">
        <v>1.9119999999999999</v>
      </c>
      <c r="R2" s="63" t="s">
        <v>62</v>
      </c>
    </row>
    <row r="3" spans="2:22" x14ac:dyDescent="0.2">
      <c r="B3" s="6" t="s">
        <v>53</v>
      </c>
      <c r="C3" s="67">
        <f>+'380'!C3+1</f>
        <v>381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62190634</v>
      </c>
      <c r="C21" s="6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5" t="s">
        <v>35</v>
      </c>
      <c r="G21" s="65"/>
      <c r="H21" s="47" t="str">
        <f>IF(LEFT(G17,2)="CA","CA",IF(LEFT(G17,2)="UN","US",IF(LEFT(G17,2)="PA","PA",IF(LEFT(G17,2)="JA","JP"))))</f>
        <v>CA</v>
      </c>
      <c r="I21" s="6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237.36500000000001</v>
      </c>
      <c r="G23" s="23">
        <f>+N2</f>
        <v>206.16499999999999</v>
      </c>
      <c r="H23" s="23">
        <f>+M2</f>
        <v>153.66499999999999</v>
      </c>
      <c r="I23" s="65">
        <f>+L2</f>
        <v>33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WOMENS COTTON FIBERS, KNIT PULLOVER, WITH NO NECK CLOSURE, STITCH COUNT IS GREATER THAN 9/2CM, REACHES WAIST, SLEEVELESS [96% COTTON 4% SPANDEX]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6" t="s">
        <v>19</v>
      </c>
      <c r="E31" s="86"/>
      <c r="F31" s="86" t="s">
        <v>18</v>
      </c>
      <c r="G31" s="86"/>
      <c r="H31" s="65" t="s">
        <v>17</v>
      </c>
      <c r="I31" s="19" t="s">
        <v>16</v>
      </c>
      <c r="M31"/>
    </row>
    <row r="32" spans="2:13" ht="24" customHeight="1" x14ac:dyDescent="0.2">
      <c r="B32" s="41">
        <v>13</v>
      </c>
      <c r="C32" s="19" t="s">
        <v>196</v>
      </c>
      <c r="D32" s="73"/>
      <c r="E32" s="74"/>
      <c r="F32" s="73">
        <f>+K2</f>
        <v>1500</v>
      </c>
      <c r="G32" s="74"/>
      <c r="H32" s="17">
        <v>0.76</v>
      </c>
      <c r="I32" s="18">
        <f>+H32*F32</f>
        <v>1140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5"/>
    </row>
    <row r="34" spans="2:11" ht="21.75" customHeight="1" x14ac:dyDescent="0.2">
      <c r="B34" s="15" t="s">
        <v>14</v>
      </c>
      <c r="C34" s="15"/>
      <c r="D34" s="71"/>
      <c r="E34" s="72"/>
      <c r="F34" s="73">
        <f>SUM(F31:G33)</f>
        <v>1500</v>
      </c>
      <c r="G34" s="74"/>
      <c r="H34" s="15"/>
      <c r="I34" s="14">
        <f>SUM(I32:I33)</f>
        <v>1140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1140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1140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 s="20">
        <v>9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80" t="s">
        <v>197</v>
      </c>
      <c r="C2" s="81"/>
      <c r="D2" s="81"/>
      <c r="E2" s="81"/>
      <c r="F2" s="81"/>
      <c r="G2" s="81"/>
      <c r="H2" s="81"/>
      <c r="I2" s="82"/>
      <c r="J2" s="61">
        <v>62148954</v>
      </c>
      <c r="K2" s="62">
        <v>1500</v>
      </c>
      <c r="L2" s="63">
        <v>25</v>
      </c>
      <c r="M2" s="63">
        <v>162.38499999999999</v>
      </c>
      <c r="N2" s="63">
        <v>177.38499999999999</v>
      </c>
      <c r="O2" s="63">
        <v>197.785</v>
      </c>
      <c r="P2" s="63" t="s">
        <v>54</v>
      </c>
      <c r="Q2" s="63">
        <v>0.97299999999999998</v>
      </c>
      <c r="R2" s="63" t="s">
        <v>62</v>
      </c>
    </row>
    <row r="3" spans="2:22" x14ac:dyDescent="0.2">
      <c r="B3" s="6" t="s">
        <v>53</v>
      </c>
      <c r="C3" s="67">
        <f>+'381'!C3+1</f>
        <v>382</v>
      </c>
      <c r="D3" s="5"/>
      <c r="E3" s="5"/>
      <c r="F3" s="5"/>
      <c r="G3" s="5" t="s">
        <v>52</v>
      </c>
      <c r="H3" s="31">
        <v>46294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5">
        <f>J2</f>
        <v>62148954</v>
      </c>
      <c r="C21" s="6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5" t="s">
        <v>35</v>
      </c>
      <c r="G21" s="65"/>
      <c r="H21" s="47" t="str">
        <f>IF(LEFT(G17,2)="CA","CA",IF(LEFT(G17,2)="UN","US",IF(LEFT(G17,2)="PA","PA",IF(LEFT(G17,2)="JA","JP"))))</f>
        <v>CA</v>
      </c>
      <c r="I21" s="65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5" t="s">
        <v>25</v>
      </c>
      <c r="C23" s="65"/>
      <c r="D23" s="65" t="s">
        <v>24</v>
      </c>
      <c r="E23" s="65" t="str">
        <f>+D23</f>
        <v>JAKARTA,ID</v>
      </c>
      <c r="F23" s="23">
        <f>+O2</f>
        <v>197.785</v>
      </c>
      <c r="G23" s="23">
        <f>+N2</f>
        <v>177.38499999999999</v>
      </c>
      <c r="H23" s="23">
        <f>+M2</f>
        <v>162.38499999999999</v>
      </c>
      <c r="I23" s="65">
        <f>+L2</f>
        <v>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6"/>
      <c r="D26" s="76"/>
      <c r="E26" s="76"/>
      <c r="F26" s="76"/>
      <c r="G26" s="76"/>
      <c r="H26" s="76"/>
      <c r="I26" s="70"/>
    </row>
    <row r="27" spans="2:13" ht="24.75" customHeight="1" x14ac:dyDescent="0.2">
      <c r="B27" s="83" t="str">
        <f>+K4</f>
        <v>WOMENS COTTON FIBERS, KNIT PULLOVER, WITH NO NECK CLOSURE, STITCH COUNT IS GREATER THAN 9/2CM, REACHES WAIST, SLEEVELESS [96% COTTON 4% SPANDEX]</v>
      </c>
      <c r="C27" s="84"/>
      <c r="D27" s="84"/>
      <c r="E27" s="84"/>
      <c r="F27" s="84"/>
      <c r="G27" s="84"/>
      <c r="H27" s="84"/>
      <c r="I27" s="8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5" t="s">
        <v>21</v>
      </c>
      <c r="C31" s="65" t="s">
        <v>20</v>
      </c>
      <c r="D31" s="86" t="s">
        <v>19</v>
      </c>
      <c r="E31" s="86"/>
      <c r="F31" s="86" t="s">
        <v>18</v>
      </c>
      <c r="G31" s="86"/>
      <c r="H31" s="65" t="s">
        <v>17</v>
      </c>
      <c r="I31" s="19" t="s">
        <v>16</v>
      </c>
      <c r="M31"/>
    </row>
    <row r="32" spans="2:13" ht="24.75" customHeight="1" x14ac:dyDescent="0.2">
      <c r="B32" s="41">
        <v>13</v>
      </c>
      <c r="C32" s="19" t="s">
        <v>196</v>
      </c>
      <c r="D32" s="73"/>
      <c r="E32" s="74"/>
      <c r="F32" s="73">
        <f>+K2</f>
        <v>1500</v>
      </c>
      <c r="G32" s="74"/>
      <c r="H32" s="17">
        <v>0.76</v>
      </c>
      <c r="I32" s="18">
        <f>+H32*F32</f>
        <v>1140</v>
      </c>
      <c r="K32" s="46"/>
      <c r="M32" s="39"/>
    </row>
    <row r="33" spans="2:11" ht="21" customHeight="1" x14ac:dyDescent="0.2">
      <c r="B33" s="15" t="s">
        <v>15</v>
      </c>
      <c r="C33" s="15"/>
      <c r="D33" s="69"/>
      <c r="E33" s="70"/>
      <c r="F33" s="69"/>
      <c r="G33" s="70"/>
      <c r="H33" s="17"/>
      <c r="I33" s="65"/>
    </row>
    <row r="34" spans="2:11" ht="21.75" customHeight="1" x14ac:dyDescent="0.2">
      <c r="B34" s="15" t="s">
        <v>14</v>
      </c>
      <c r="C34" s="15"/>
      <c r="D34" s="71"/>
      <c r="E34" s="72"/>
      <c r="F34" s="73">
        <f>SUM(F32:G33)</f>
        <v>1500</v>
      </c>
      <c r="G34" s="74"/>
      <c r="H34" s="15"/>
      <c r="I34" s="14">
        <f>SUM(I32:I33)</f>
        <v>1140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0"/>
      <c r="F35" s="69"/>
      <c r="G35" s="70"/>
      <c r="H35" s="15"/>
      <c r="I35" s="65"/>
      <c r="J35" s="40"/>
    </row>
    <row r="36" spans="2:11" ht="21.75" customHeight="1" x14ac:dyDescent="0.2">
      <c r="B36" s="16" t="s">
        <v>12</v>
      </c>
      <c r="C36" s="15"/>
      <c r="D36" s="69"/>
      <c r="E36" s="70"/>
      <c r="F36" s="69"/>
      <c r="G36" s="70"/>
      <c r="H36" s="15"/>
      <c r="I36" s="14">
        <f>+I34</f>
        <v>1140</v>
      </c>
    </row>
    <row r="37" spans="2:11" ht="20.25" customHeight="1" x14ac:dyDescent="0.2">
      <c r="B37" s="15" t="s">
        <v>80</v>
      </c>
      <c r="C37" s="69" t="s">
        <v>11</v>
      </c>
      <c r="D37" s="76"/>
      <c r="E37" s="76"/>
      <c r="F37" s="76"/>
      <c r="G37" s="76"/>
      <c r="H37" s="70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1140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Sheet1</vt:lpstr>
      <vt:lpstr>reff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'373'!Print_Area</vt:lpstr>
      <vt:lpstr>'374'!Print_Area</vt:lpstr>
      <vt:lpstr>'375'!Print_Area</vt:lpstr>
      <vt:lpstr>'376'!Print_Area</vt:lpstr>
      <vt:lpstr>'377'!Print_Area</vt:lpstr>
      <vt:lpstr>'378'!Print_Area</vt:lpstr>
      <vt:lpstr>'379'!Print_Area</vt:lpstr>
      <vt:lpstr>'380'!Print_Area</vt:lpstr>
      <vt:lpstr>'381'!Print_Area</vt:lpstr>
      <vt:lpstr>'382'!Print_Area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2026-09-03T02:09:43Z</cp:lastPrinted>
  <dcterms:created xsi:type="dcterms:W3CDTF">2024-04-17T09:56:05Z</dcterms:created>
  <dcterms:modified xsi:type="dcterms:W3CDTF">2026-09-22T01:23:32Z</dcterms:modified>
</cp:coreProperties>
</file>