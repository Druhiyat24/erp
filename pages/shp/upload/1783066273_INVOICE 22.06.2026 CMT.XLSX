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6. JUNI\22.06.2026\"/>
    </mc:Choice>
  </mc:AlternateContent>
  <xr:revisionPtr revIDLastSave="0" documentId="13_ncr:1_{51FDDE33-5123-464C-9B0E-7CF2A6F69143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28" r:id="rId1"/>
    <sheet name="reff" sheetId="162" r:id="rId2"/>
    <sheet name="309" sheetId="129" r:id="rId3"/>
    <sheet name="310" sheetId="133" r:id="rId4"/>
    <sheet name="311" sheetId="134" r:id="rId5"/>
    <sheet name="312" sheetId="135" r:id="rId6"/>
    <sheet name="313" sheetId="163" r:id="rId7"/>
    <sheet name="314" sheetId="164" r:id="rId8"/>
  </sheets>
  <externalReferences>
    <externalReference r:id="rId9"/>
    <externalReference r:id="rId10"/>
    <externalReference r:id="rId11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>[2]xdata!#REF!</definedName>
    <definedName name="INVOICE">[2]xdata!$B$2</definedName>
    <definedName name="_xlnm.Print_Area" localSheetId="2">'309'!$B$1:$I$58</definedName>
    <definedName name="_xlnm.Print_Area" localSheetId="3">'310'!$B$1:$I$57</definedName>
    <definedName name="_xlnm.Print_Area" localSheetId="4">'311'!$B$1:$I$58</definedName>
    <definedName name="_xlnm.Print_Area" localSheetId="5">'312'!$B$1:$I$58</definedName>
    <definedName name="_xlnm.Print_Area" localSheetId="6">'313'!$B$1:$I$57</definedName>
    <definedName name="_xlnm.Print_Area" localSheetId="7">'314'!$B$1:$I$57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3" i="135" l="1"/>
  <c r="I33" i="134"/>
  <c r="I33" i="129" l="1"/>
  <c r="F32" i="164"/>
  <c r="I32" i="164" s="1"/>
  <c r="I34" i="164" s="1"/>
  <c r="I36" i="164" s="1"/>
  <c r="I38" i="164" s="1"/>
  <c r="F32" i="163"/>
  <c r="I32" i="163" s="1"/>
  <c r="I34" i="163" s="1"/>
  <c r="I36" i="163" s="1"/>
  <c r="I38" i="163" s="1"/>
  <c r="F32" i="133"/>
  <c r="I32" i="133" s="1"/>
  <c r="H52" i="164"/>
  <c r="F34" i="164"/>
  <c r="B27" i="164"/>
  <c r="I23" i="164"/>
  <c r="H23" i="164"/>
  <c r="G23" i="164"/>
  <c r="F23" i="164"/>
  <c r="E23" i="164"/>
  <c r="E21" i="164"/>
  <c r="D21" i="164"/>
  <c r="C21" i="164"/>
  <c r="B21" i="164"/>
  <c r="B15" i="164"/>
  <c r="B16" i="164" s="1"/>
  <c r="B17" i="164" s="1"/>
  <c r="B18" i="164" s="1"/>
  <c r="G14" i="164"/>
  <c r="G15" i="164" s="1"/>
  <c r="G16" i="164" s="1"/>
  <c r="G17" i="164" s="1"/>
  <c r="H21" i="164" s="1"/>
  <c r="H3" i="164"/>
  <c r="H52" i="163"/>
  <c r="F34" i="163"/>
  <c r="B27" i="163"/>
  <c r="I23" i="163"/>
  <c r="H23" i="163"/>
  <c r="G23" i="163"/>
  <c r="F23" i="163"/>
  <c r="E23" i="163"/>
  <c r="E21" i="163"/>
  <c r="D21" i="163"/>
  <c r="C21" i="163"/>
  <c r="B21" i="163"/>
  <c r="B15" i="163"/>
  <c r="B16" i="163" s="1"/>
  <c r="B17" i="163" s="1"/>
  <c r="B18" i="163" s="1"/>
  <c r="G14" i="163"/>
  <c r="G15" i="163" s="1"/>
  <c r="G16" i="163" s="1"/>
  <c r="G17" i="163" s="1"/>
  <c r="H21" i="163" s="1"/>
  <c r="H3" i="163"/>
  <c r="F35" i="134" l="1"/>
  <c r="F35" i="135"/>
  <c r="I32" i="134"/>
  <c r="I35" i="134" s="1"/>
  <c r="F34" i="133" l="1"/>
  <c r="F35" i="129" l="1"/>
  <c r="C3" i="133"/>
  <c r="H3" i="135"/>
  <c r="H3" i="134"/>
  <c r="H3" i="133"/>
  <c r="I32" i="129" l="1"/>
  <c r="I35" i="129" s="1"/>
  <c r="B27" i="135" l="1"/>
  <c r="B27" i="134"/>
  <c r="E21" i="129" l="1"/>
  <c r="E21" i="133" l="1"/>
  <c r="E21" i="135"/>
  <c r="E21" i="134"/>
  <c r="C21" i="129"/>
  <c r="C21" i="134"/>
  <c r="C21" i="135"/>
  <c r="C21" i="133"/>
  <c r="H53" i="129"/>
  <c r="H53" i="134"/>
  <c r="H53" i="135"/>
  <c r="H52" i="133"/>
  <c r="I32" i="135" l="1"/>
  <c r="I35" i="135" s="1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7" i="135" l="1"/>
  <c r="I39" i="135" s="1"/>
  <c r="I37" i="134"/>
  <c r="I39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C3" i="163" s="1"/>
  <c r="C3" i="164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7" i="129"/>
  <c r="I39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<sst xmlns="http://schemas.openxmlformats.org/spreadsheetml/2006/main" count="645" uniqueCount="200">
  <si>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</si>
  <si>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</si>
  <si>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</si>
  <si>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</si>
  <si>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</si>
  <si>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</si>
  <si>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</si>
  <si>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</si>
  <si>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</si>
  <si>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</si>
  <si>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</si>
  <si>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</si>
  <si>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</si>
  <si>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</si>
  <si>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</si>
  <si>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</si>
  <si>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</si>
  <si>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</si>
  <si>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</si>
  <si>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</si>
  <si>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</si>
  <si>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</si>
  <si>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</si>
  <si>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</si>
  <si>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</si>
  <si>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</si>
  <si>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</si>
  <si>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</si>
  <si>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</si>
  <si>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</si>
  <si>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</si>
  <si>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</si>
  <si>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</si>
  <si>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</si>
  <si>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</si>
  <si>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</si>
  <si>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</si>
  <si>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</si>
  <si>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</si>
  <si>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</si>
  <si>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</si>
  <si>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</si>
  <si>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</si>
  <si>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</si>
  <si>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</si>
  <si>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</si>
  <si>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</si>
  <si>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</si>
  <si>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</si>
  <si>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</si>
  <si>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</si>
  <si>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</si>
  <si>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</si>
  <si>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</si>
  <si>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</si>
  <si>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</si>
  <si>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</si>
  <si>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</si>
  <si>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</si>
  <si>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</si>
  <si>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</si>
  <si>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</si>
  <si>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</si>
  <si>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</si>
  <si>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</si>
  <si>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</si>
  <si>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</si>
  <si>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</si>
  <si>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</si>
  <si>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</si>
  <si>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</si>
  <si>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</si>
  <si>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</si>
  <si>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</si>
  <si>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</si>
  <si>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</si>
  <si>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</si>
  <si>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</si>
  <si>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</si>
  <si>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</si>
  <si>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</si>
  <si>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</si>
  <si>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</si>
  <si>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</si>
  <si>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</si>
  <si>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</si>
  <si>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</si>
  <si>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</si>
  <si>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</si>
  <si>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</si>
  <si>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</si>
  <si>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</si>
  <si>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</si>
  <si>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</si>
  <si>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</si>
  <si>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</si>
  <si>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</si>
  <si>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</si>
  <si>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</si>
  <si>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</si>
  <si>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</si>
  <si>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</si>
  <si>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</si>
  <si>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</si>
  <si>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</si>
  <si>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</si>
  <si>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</si>
  <si>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</si>
  <si>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</si>
  <si>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</si>
  <si>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</si>
  <si>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</si>
  <si>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</si>
  <si>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</si>
  <si>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</si>
  <si>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</si>
  <si>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</si>
  <si>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</si>
  <si>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</si>
  <si>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</si>
  <si>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</si>
  <si>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</si>
  <si>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</si>
  <si>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</si>
  <si>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</si>
  <si>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</si>
  <si>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</si>
  <si>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</si>
  <si>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</si>
  <si>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</si>
  <si>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</si>
  <si>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</si>
  <si>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</si>
  <si>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</si>
  <si>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</si>
  <si>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</si>
  <si>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</si>
  <si>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</si>
  <si>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</si>
  <si>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</si>
  <si>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</si>
  <si>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</si>
  <si>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</si>
  <si>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</si>
  <si>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</si>
  <si>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</si>
  <si>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</si>
  <si>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</si>
  <si>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</si>
  <si>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</si>
  <si>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</si>
  <si>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</si>
  <si>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</si>
  <si>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</si>
  <si>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</si>
  <si>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</si>
  <si>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</si>
  <si>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</si>
  <si>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</si>
  <si>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</si>
  <si>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</si>
  <si>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</si>
  <si>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</si>
  <si>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</si>
  <si>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</si>
  <si>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</si>
  <si>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</si>
  <si>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</si>
  <si>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</si>
  <si>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</si>
  <si>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</si>
  <si>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</si>
  <si>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</si>
  <si>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</si>
  <si>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</si>
  <si>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</si>
  <si>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</si>
  <si>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WOMENS COTTON FIBERS, KNIT PULLOVER, WITH NO NECK CLOSURE, STITCH COUNT IS GREATER THAN 9/2CM, REACHES WAIST, SLEEVELESS [96% COTTON 4% SPANDEX]</t>
  </si>
  <si>
    <t>265K0051</t>
  </si>
  <si>
    <t>265K0052</t>
  </si>
  <si>
    <t>265K0057</t>
  </si>
  <si>
    <t xml:space="preserve"> 265K0075 </t>
  </si>
  <si>
    <t>RETAIL</t>
  </si>
  <si>
    <t>ONLINE</t>
  </si>
  <si>
    <t>BRIGHT WHITE</t>
  </si>
  <si>
    <t>04</t>
  </si>
  <si>
    <t>INK BLUE</t>
  </si>
  <si>
    <t>02</t>
  </si>
  <si>
    <t>BOYS COTTON FIBERS, KNIT SHIRT, WITH NECK CLOSURE, STITCH COUNT EQUAL OR IS GREATER THAN 10/1CM, HEM BOTTOM [60% COTTON 40% POLYESTER]</t>
  </si>
  <si>
    <t>CALLA LILY 451, INK BLUE</t>
  </si>
  <si>
    <t>00, 02</t>
  </si>
  <si>
    <t>BLACKJACK JAS, BLUSH HUE</t>
  </si>
  <si>
    <t>02, 01</t>
  </si>
  <si>
    <t>CALLA LILY 451</t>
  </si>
  <si>
    <t>00</t>
  </si>
  <si>
    <t>GIRLS COTTON FIBERS, KNIT PULLOVER, WITH NO NECK CLOSURE, STITCH COUNT IS GREATER THAN 9/2CM, REACHES WAIST [60% COTTON 40% RECYCLED POLYESTER]</t>
  </si>
  <si>
    <t>01, 02</t>
  </si>
  <si>
    <t>BLACK COFFEE, BLACK JACK 3, CALLA LILY 2, IN THE NAVY</t>
  </si>
  <si>
    <t>13, 15, 20, 16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</si>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</sst>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626&quot;"/>
  </numFmts>
  <fonts count="16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b/>
      <sz val="11"/>
      <color rgb="FF161618"/>
      <name val="Arial"/>
      <family val="2"/>
    </font>
    <font>
      <sz val="11"/>
      <color rgb="FF1A1A1A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11" xfId="0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4" fillId="0" borderId="0" xfId="0" applyFont="1"/>
    <xf numFmtId="0" fontId="15" fillId="3" borderId="0" xfId="0" applyFont="1" applyFill="1" applyAlignment="1">
      <alignment horizontal="left" vertical="center" wrapText="1"/>
    </xf>
    <xf numFmtId="3" fontId="15" fillId="3" borderId="0" xfId="0" applyNumberFormat="1" applyFont="1" applyFill="1" applyAlignment="1">
      <alignment horizontal="right" vertical="center" wrapText="1"/>
    </xf>
    <xf numFmtId="0" fontId="15" fillId="3" borderId="0" xfId="0" applyFont="1" applyFill="1" applyAlignment="1">
      <alignment horizontal="right" vertical="center" wrapText="1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245960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134725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239500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I7" sqref="I7"/>
    </sheetView>
  </sheetViews>
  <sheetFormatPr defaultRowHeight="12.75" x14ac:dyDescent="0.2"/>
  <sheetData>
    <row r="2" spans="2:9" ht="15" x14ac:dyDescent="0.25">
      <c r="B2" s="57">
        <v>1</v>
      </c>
      <c r="C2" t="s">
        <v>178</v>
      </c>
      <c r="E2" s="57">
        <v>1</v>
      </c>
      <c r="F2">
        <v>416363</v>
      </c>
      <c r="H2" s="57">
        <v>1</v>
      </c>
      <c r="I2" s="63" t="s">
        <v>182</v>
      </c>
    </row>
    <row r="3" spans="2:9" ht="15" x14ac:dyDescent="0.25">
      <c r="B3" s="57">
        <v>2</v>
      </c>
      <c r="C3" t="s">
        <v>179</v>
      </c>
      <c r="E3" s="57">
        <v>2</v>
      </c>
      <c r="F3">
        <v>767468</v>
      </c>
      <c r="H3" s="57">
        <v>2</v>
      </c>
      <c r="I3" s="63" t="s">
        <v>182</v>
      </c>
    </row>
    <row r="4" spans="2:9" ht="15" x14ac:dyDescent="0.25">
      <c r="B4" s="57">
        <v>3</v>
      </c>
      <c r="C4" t="s">
        <v>180</v>
      </c>
      <c r="E4" s="57">
        <v>3</v>
      </c>
      <c r="F4">
        <v>867788</v>
      </c>
      <c r="H4" s="57">
        <v>3</v>
      </c>
      <c r="I4" s="63" t="s">
        <v>183</v>
      </c>
    </row>
    <row r="5" spans="2:9" ht="15" x14ac:dyDescent="0.25">
      <c r="B5" s="57">
        <v>4</v>
      </c>
      <c r="C5" t="s">
        <v>180</v>
      </c>
      <c r="E5" s="57">
        <v>4</v>
      </c>
      <c r="F5">
        <v>867788</v>
      </c>
      <c r="H5" s="57">
        <v>4</v>
      </c>
      <c r="I5" s="63" t="s">
        <v>183</v>
      </c>
    </row>
    <row r="6" spans="2:9" ht="15" x14ac:dyDescent="0.25">
      <c r="B6" s="57">
        <v>5</v>
      </c>
      <c r="C6" t="s">
        <v>181</v>
      </c>
      <c r="E6" s="57">
        <v>5</v>
      </c>
      <c r="F6">
        <v>692926</v>
      </c>
      <c r="H6" s="57">
        <v>5</v>
      </c>
      <c r="I6" s="63" t="s">
        <v>183</v>
      </c>
    </row>
    <row r="7" spans="2:9" ht="15" x14ac:dyDescent="0.25">
      <c r="B7" s="57">
        <v>6</v>
      </c>
      <c r="C7" t="s">
        <v>181</v>
      </c>
      <c r="E7" s="57">
        <v>6</v>
      </c>
      <c r="F7">
        <v>692926</v>
      </c>
      <c r="H7" s="57">
        <v>6</v>
      </c>
      <c r="I7" s="63" t="s">
        <v>182</v>
      </c>
    </row>
    <row r="8" spans="2:9" ht="15" x14ac:dyDescent="0.25">
      <c r="B8" s="57">
        <v>7</v>
      </c>
      <c r="E8" s="57">
        <v>7</v>
      </c>
      <c r="H8" s="57">
        <v>7</v>
      </c>
      <c r="I8" s="58"/>
    </row>
    <row r="9" spans="2:9" ht="15" x14ac:dyDescent="0.25">
      <c r="B9" s="57">
        <v>8</v>
      </c>
      <c r="E9" s="57">
        <v>8</v>
      </c>
      <c r="H9" s="57">
        <v>8</v>
      </c>
      <c r="I9" s="58"/>
    </row>
    <row r="10" spans="2:9" ht="15" x14ac:dyDescent="0.25">
      <c r="B10" s="57">
        <v>9</v>
      </c>
      <c r="E10" s="57">
        <v>9</v>
      </c>
      <c r="H10" s="57">
        <v>9</v>
      </c>
      <c r="I10" s="58"/>
    </row>
    <row r="11" spans="2:9" ht="15" x14ac:dyDescent="0.25">
      <c r="B11" s="57">
        <v>10</v>
      </c>
      <c r="E11" s="57">
        <v>10</v>
      </c>
      <c r="H11" s="57">
        <v>10</v>
      </c>
      <c r="I11" s="58"/>
    </row>
    <row r="12" spans="2:9" ht="15" x14ac:dyDescent="0.25">
      <c r="B12" s="57">
        <v>11</v>
      </c>
      <c r="E12" s="57">
        <v>11</v>
      </c>
      <c r="H12" s="57">
        <v>11</v>
      </c>
      <c r="I12" s="58"/>
    </row>
    <row r="13" spans="2:9" ht="15" x14ac:dyDescent="0.25">
      <c r="B13" s="57">
        <v>12</v>
      </c>
      <c r="E13" s="57">
        <v>12</v>
      </c>
      <c r="H13" s="57">
        <v>12</v>
      </c>
      <c r="I13" s="58"/>
    </row>
    <row r="14" spans="2:9" ht="15" x14ac:dyDescent="0.25">
      <c r="B14" s="57">
        <v>13</v>
      </c>
      <c r="E14" s="57">
        <v>13</v>
      </c>
      <c r="H14" s="57">
        <v>13</v>
      </c>
      <c r="I14" s="58"/>
    </row>
    <row r="15" spans="2:9" ht="15" x14ac:dyDescent="0.25">
      <c r="B15" s="57">
        <v>14</v>
      </c>
      <c r="E15" s="57">
        <v>14</v>
      </c>
      <c r="H15" s="57">
        <v>14</v>
      </c>
      <c r="I15" s="58"/>
    </row>
    <row r="16" spans="2:9" ht="15" x14ac:dyDescent="0.25">
      <c r="B16" s="57">
        <v>15</v>
      </c>
      <c r="E16" s="57">
        <v>15</v>
      </c>
      <c r="H16" s="57">
        <v>15</v>
      </c>
      <c r="I16" s="58"/>
    </row>
    <row r="17" spans="2:11" ht="15" x14ac:dyDescent="0.25">
      <c r="B17" s="57">
        <v>16</v>
      </c>
      <c r="E17" s="57">
        <v>16</v>
      </c>
      <c r="H17" s="57">
        <v>16</v>
      </c>
      <c r="I17" s="58"/>
    </row>
    <row r="18" spans="2:11" ht="15" x14ac:dyDescent="0.25">
      <c r="B18" s="57">
        <v>17</v>
      </c>
      <c r="E18" s="57">
        <v>17</v>
      </c>
      <c r="H18" s="57">
        <v>17</v>
      </c>
      <c r="I18" s="58"/>
    </row>
    <row r="19" spans="2:11" ht="15" x14ac:dyDescent="0.25">
      <c r="B19" s="57">
        <v>18</v>
      </c>
      <c r="E19" s="57">
        <v>18</v>
      </c>
      <c r="H19" s="57">
        <v>18</v>
      </c>
      <c r="I19" s="58"/>
    </row>
    <row r="20" spans="2:11" ht="15" x14ac:dyDescent="0.25">
      <c r="B20" s="57">
        <v>19</v>
      </c>
      <c r="E20" s="57">
        <v>19</v>
      </c>
      <c r="H20" s="57">
        <v>19</v>
      </c>
      <c r="I20" s="58"/>
    </row>
    <row r="21" spans="2:11" ht="15" x14ac:dyDescent="0.25">
      <c r="B21" s="57">
        <v>20</v>
      </c>
      <c r="E21" s="57">
        <v>20</v>
      </c>
      <c r="H21" s="57">
        <v>20</v>
      </c>
      <c r="I21" s="58"/>
    </row>
    <row r="22" spans="2:11" ht="15" x14ac:dyDescent="0.25">
      <c r="B22" s="57">
        <v>21</v>
      </c>
      <c r="E22" s="57">
        <v>21</v>
      </c>
      <c r="H22" s="57">
        <v>21</v>
      </c>
      <c r="I22" s="58"/>
      <c r="K22" t="s">
        <v>63</v>
      </c>
    </row>
    <row r="23" spans="2:11" ht="15" x14ac:dyDescent="0.25">
      <c r="B23" s="57">
        <v>22</v>
      </c>
      <c r="E23" s="57">
        <v>22</v>
      </c>
      <c r="H23" s="57">
        <v>22</v>
      </c>
      <c r="I23" s="58"/>
    </row>
    <row r="24" spans="2:11" ht="15" x14ac:dyDescent="0.25">
      <c r="B24" s="57">
        <v>23</v>
      </c>
      <c r="E24" s="57">
        <v>23</v>
      </c>
      <c r="H24" s="57">
        <v>23</v>
      </c>
      <c r="I24" s="58"/>
    </row>
    <row r="25" spans="2:11" ht="15" x14ac:dyDescent="0.25">
      <c r="B25" s="57">
        <v>24</v>
      </c>
      <c r="E25" s="57">
        <v>24</v>
      </c>
      <c r="H25" s="57">
        <v>24</v>
      </c>
      <c r="I25" s="58"/>
    </row>
    <row r="26" spans="2:11" ht="15" x14ac:dyDescent="0.25">
      <c r="B26" s="57">
        <v>25</v>
      </c>
      <c r="E26" s="57">
        <v>25</v>
      </c>
      <c r="H26" s="57">
        <v>25</v>
      </c>
      <c r="I26" s="58"/>
    </row>
    <row r="27" spans="2:11" ht="15" x14ac:dyDescent="0.25">
      <c r="B27" s="57">
        <v>26</v>
      </c>
      <c r="E27" s="57">
        <v>26</v>
      </c>
      <c r="H27" s="57">
        <v>26</v>
      </c>
      <c r="I27" s="58"/>
    </row>
    <row r="28" spans="2:11" x14ac:dyDescent="0.2">
      <c r="B28" s="57">
        <v>27</v>
      </c>
      <c r="E28" s="57">
        <v>27</v>
      </c>
      <c r="H28" s="57">
        <v>27</v>
      </c>
    </row>
    <row r="29" spans="2:11" x14ac:dyDescent="0.2">
      <c r="B29" s="57">
        <v>28</v>
      </c>
      <c r="E29" s="57">
        <v>28</v>
      </c>
      <c r="H29" s="57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9"/>
  <sheetViews>
    <sheetView tabSelected="1" view="pageBreakPreview" zoomScaleNormal="100" zoomScaleSheetLayoutView="100" workbookViewId="0">
      <selection activeCell="D12" sqref="D1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8" t="s">
        <v>199</v>
      </c>
      <c r="C2" s="79"/>
      <c r="D2" s="79"/>
      <c r="E2" s="79"/>
      <c r="F2" s="79"/>
      <c r="G2" s="79"/>
      <c r="H2" s="79"/>
      <c r="I2" s="80"/>
      <c r="J2" s="64">
        <v>61717927</v>
      </c>
      <c r="K2" s="65">
        <v>4594</v>
      </c>
      <c r="L2" s="66">
        <v>57</v>
      </c>
      <c r="M2" s="66">
        <v>528.58699999999999</v>
      </c>
      <c r="N2" s="66">
        <v>537.77499999999998</v>
      </c>
      <c r="O2" s="66">
        <v>585.97500000000002</v>
      </c>
      <c r="P2" s="66" t="s">
        <v>54</v>
      </c>
      <c r="Q2" s="66">
        <v>2.8519999999999999</v>
      </c>
      <c r="R2" s="66" t="s">
        <v>62</v>
      </c>
    </row>
    <row r="3" spans="2:22" x14ac:dyDescent="0.2">
      <c r="B3" s="6" t="s">
        <v>53</v>
      </c>
      <c r="C3" s="60">
        <v>309</v>
      </c>
      <c r="D3" s="5"/>
      <c r="E3" s="5"/>
      <c r="F3" s="5"/>
      <c r="G3" s="5" t="s">
        <v>52</v>
      </c>
      <c r="H3" s="31">
        <v>46195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61717927</v>
      </c>
      <c r="C21" s="49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CA</v>
      </c>
      <c r="I21" s="48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585.97500000000002</v>
      </c>
      <c r="G23" s="23">
        <f>+N2</f>
        <v>537.77499999999998</v>
      </c>
      <c r="H23" s="23">
        <f>+M2</f>
        <v>528.58699999999999</v>
      </c>
      <c r="I23" s="48">
        <f>+L2</f>
        <v>57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4"/>
      <c r="D26" s="74"/>
      <c r="E26" s="74"/>
      <c r="F26" s="74"/>
      <c r="G26" s="74"/>
      <c r="H26" s="74"/>
      <c r="I26" s="70"/>
    </row>
    <row r="27" spans="2:13" ht="24.75" customHeight="1" x14ac:dyDescent="0.2">
      <c r="B27" s="81" t="str">
        <f>+K4</f>
        <v>BOYS COTTON FIBERS, KNIT SHIRT, WITH NECK CLOSURE, STITCH COUNT EQUAL OR IS GREATER THAN 10/1CM, HEM BOTTOM [60% COTTON 40% POLYESTER]</v>
      </c>
      <c r="C27" s="82"/>
      <c r="D27" s="82"/>
      <c r="E27" s="82"/>
      <c r="F27" s="82"/>
      <c r="G27" s="82"/>
      <c r="H27" s="82"/>
      <c r="I27" s="83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4" t="s">
        <v>19</v>
      </c>
      <c r="E31" s="84"/>
      <c r="F31" s="84" t="s">
        <v>18</v>
      </c>
      <c r="G31" s="84"/>
      <c r="H31" s="48" t="s">
        <v>17</v>
      </c>
      <c r="I31" s="19" t="s">
        <v>16</v>
      </c>
      <c r="M31"/>
    </row>
    <row r="32" spans="2:13" ht="32.25" customHeight="1" x14ac:dyDescent="0.2">
      <c r="B32" s="41" t="s">
        <v>185</v>
      </c>
      <c r="C32" s="19" t="s">
        <v>184</v>
      </c>
      <c r="D32" s="67"/>
      <c r="E32" s="68"/>
      <c r="F32" s="67">
        <v>3374</v>
      </c>
      <c r="G32" s="68"/>
      <c r="H32" s="17">
        <v>0.9</v>
      </c>
      <c r="I32" s="18">
        <f>+H32*F32</f>
        <v>3036.6</v>
      </c>
      <c r="K32" s="46"/>
      <c r="M32" s="39"/>
    </row>
    <row r="33" spans="2:13" ht="32.25" customHeight="1" x14ac:dyDescent="0.2">
      <c r="B33" s="41" t="s">
        <v>187</v>
      </c>
      <c r="C33" s="19" t="s">
        <v>186</v>
      </c>
      <c r="D33" s="67"/>
      <c r="E33" s="68"/>
      <c r="F33" s="67">
        <v>1220</v>
      </c>
      <c r="G33" s="68"/>
      <c r="H33" s="17">
        <v>0.9</v>
      </c>
      <c r="I33" s="18">
        <f>+H33*F33</f>
        <v>1098</v>
      </c>
      <c r="K33" s="46"/>
      <c r="M33" s="39"/>
    </row>
    <row r="34" spans="2:13" ht="21" customHeight="1" x14ac:dyDescent="0.2">
      <c r="B34" s="15" t="s">
        <v>15</v>
      </c>
      <c r="C34" s="15"/>
      <c r="D34" s="69"/>
      <c r="E34" s="70"/>
      <c r="F34" s="69"/>
      <c r="G34" s="70"/>
      <c r="H34" s="17"/>
      <c r="I34" s="48"/>
    </row>
    <row r="35" spans="2:13" ht="21.75" customHeight="1" x14ac:dyDescent="0.2">
      <c r="B35" s="15" t="s">
        <v>14</v>
      </c>
      <c r="C35" s="15"/>
      <c r="D35" s="71"/>
      <c r="E35" s="72"/>
      <c r="F35" s="67">
        <f>SUM(F31:G34)</f>
        <v>4594</v>
      </c>
      <c r="G35" s="68"/>
      <c r="H35" s="15"/>
      <c r="I35" s="14">
        <f>SUM(I32:I34)</f>
        <v>4134.6000000000004</v>
      </c>
      <c r="J35" s="40"/>
      <c r="K35" s="40"/>
    </row>
    <row r="36" spans="2:13" ht="21.75" customHeight="1" x14ac:dyDescent="0.2">
      <c r="B36" s="16" t="s">
        <v>13</v>
      </c>
      <c r="C36" s="15"/>
      <c r="D36" s="69"/>
      <c r="E36" s="70"/>
      <c r="F36" s="69"/>
      <c r="G36" s="70"/>
      <c r="H36" s="15"/>
      <c r="I36" s="48"/>
      <c r="J36" s="40"/>
    </row>
    <row r="37" spans="2:13" ht="21.75" customHeight="1" x14ac:dyDescent="0.2">
      <c r="B37" s="16" t="s">
        <v>12</v>
      </c>
      <c r="C37" s="15"/>
      <c r="D37" s="69"/>
      <c r="E37" s="70"/>
      <c r="F37" s="69"/>
      <c r="G37" s="70"/>
      <c r="H37" s="15"/>
      <c r="I37" s="14">
        <f>+I35</f>
        <v>4134.6000000000004</v>
      </c>
    </row>
    <row r="38" spans="2:13" ht="20.25" customHeight="1" x14ac:dyDescent="0.2">
      <c r="B38" s="15" t="s">
        <v>80</v>
      </c>
      <c r="C38" s="69" t="s">
        <v>11</v>
      </c>
      <c r="D38" s="74"/>
      <c r="E38" s="74"/>
      <c r="F38" s="74"/>
      <c r="G38" s="74"/>
      <c r="H38" s="70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4134.6000000000004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5" t="s">
        <v>7</v>
      </c>
      <c r="C47" s="75"/>
      <c r="D47" s="75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265K0051</v>
      </c>
      <c r="I53" s="8"/>
      <c r="K53">
        <v>1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6" t="s">
        <v>1</v>
      </c>
      <c r="D56" s="76"/>
      <c r="E56" s="5"/>
      <c r="F56" s="5"/>
      <c r="G56" s="5"/>
      <c r="H56" s="5"/>
      <c r="I56" s="4"/>
    </row>
    <row r="57" spans="2:11" x14ac:dyDescent="0.2">
      <c r="B57" s="6"/>
      <c r="C57" s="77" t="s">
        <v>0</v>
      </c>
      <c r="D57" s="77"/>
      <c r="E57" s="5"/>
      <c r="F57" s="5"/>
      <c r="G57" s="5"/>
      <c r="H57" s="5"/>
      <c r="I57" s="4"/>
      <c r="K57">
        <v>1</v>
      </c>
    </row>
    <row r="58" spans="2:11" x14ac:dyDescent="0.2">
      <c r="B58" s="2"/>
      <c r="C58" s="73"/>
      <c r="D58" s="73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2:E32"/>
    <mergeCell ref="B2:I2"/>
    <mergeCell ref="B26:I26"/>
    <mergeCell ref="B27:I27"/>
    <mergeCell ref="D31:E31"/>
    <mergeCell ref="F31:G31"/>
    <mergeCell ref="F32:G32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8"/>
  <sheetViews>
    <sheetView view="pageBreakPreview" zoomScaleNormal="100" zoomScaleSheetLayoutView="100" workbookViewId="0">
      <selection activeCell="D12" sqref="D1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8" t="s">
        <v>199</v>
      </c>
      <c r="C2" s="79"/>
      <c r="D2" s="79"/>
      <c r="E2" s="79"/>
      <c r="F2" s="79"/>
      <c r="G2" s="79"/>
      <c r="H2" s="79"/>
      <c r="I2" s="80"/>
      <c r="J2" s="64">
        <v>61717886</v>
      </c>
      <c r="K2" s="65">
        <v>4413</v>
      </c>
      <c r="L2" s="66">
        <v>67</v>
      </c>
      <c r="M2" s="66">
        <v>589.20000000000005</v>
      </c>
      <c r="N2" s="66">
        <v>677.46</v>
      </c>
      <c r="O2" s="66">
        <v>737.36</v>
      </c>
      <c r="P2" s="66" t="s">
        <v>54</v>
      </c>
      <c r="Q2" s="66">
        <v>3.7240000000000002</v>
      </c>
      <c r="R2" s="66" t="s">
        <v>62</v>
      </c>
    </row>
    <row r="3" spans="2:22" x14ac:dyDescent="0.2">
      <c r="B3" s="6" t="s">
        <v>53</v>
      </c>
      <c r="C3" s="60">
        <f>+'309'!C3+1</f>
        <v>310</v>
      </c>
      <c r="D3" s="5"/>
      <c r="E3" s="5"/>
      <c r="F3" s="5"/>
      <c r="G3" s="5" t="s">
        <v>52</v>
      </c>
      <c r="H3" s="31">
        <f>+'309'!H3+0</f>
        <v>46195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61717886</v>
      </c>
      <c r="C21" s="49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CA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737.36</v>
      </c>
      <c r="G23" s="23">
        <f>+N2</f>
        <v>677.46</v>
      </c>
      <c r="H23" s="23">
        <f>+M2</f>
        <v>589.20000000000005</v>
      </c>
      <c r="I23" s="48">
        <f>+L2</f>
        <v>67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4"/>
      <c r="D26" s="74"/>
      <c r="E26" s="74"/>
      <c r="F26" s="74"/>
      <c r="G26" s="74"/>
      <c r="H26" s="74"/>
      <c r="I26" s="70"/>
    </row>
    <row r="27" spans="2:13" ht="24.75" customHeight="1" x14ac:dyDescent="0.2">
      <c r="B27" s="81" t="str">
        <f>+K4</f>
        <v>BOYS COTTON FIBERS, KNIT SHIRT, WITH NECK CLOSURE, STITCH COUNT EQUAL OR IS GREATER THAN 10/1CM, HEM BOTTOM [60% COTTON 40% POLYESTER]</v>
      </c>
      <c r="C27" s="82"/>
      <c r="D27" s="82"/>
      <c r="E27" s="82"/>
      <c r="F27" s="82"/>
      <c r="G27" s="82"/>
      <c r="H27" s="82"/>
      <c r="I27" s="83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4" t="s">
        <v>19</v>
      </c>
      <c r="E31" s="84"/>
      <c r="F31" s="84" t="s">
        <v>18</v>
      </c>
      <c r="G31" s="84"/>
      <c r="H31" s="48" t="s">
        <v>17</v>
      </c>
      <c r="I31" s="19" t="s">
        <v>16</v>
      </c>
      <c r="M31"/>
    </row>
    <row r="32" spans="2:13" ht="39.75" customHeight="1" x14ac:dyDescent="0.2">
      <c r="B32" s="41" t="s">
        <v>190</v>
      </c>
      <c r="C32" s="19" t="s">
        <v>189</v>
      </c>
      <c r="D32" s="67"/>
      <c r="E32" s="68"/>
      <c r="F32" s="67">
        <f>+K2</f>
        <v>4413</v>
      </c>
      <c r="G32" s="68"/>
      <c r="H32" s="17">
        <v>1.05</v>
      </c>
      <c r="I32" s="18">
        <f>+H32*F32</f>
        <v>4633.6500000000005</v>
      </c>
      <c r="K32" s="46"/>
      <c r="M32" s="39"/>
    </row>
    <row r="33" spans="2:11" ht="21" customHeight="1" x14ac:dyDescent="0.2">
      <c r="B33" s="15" t="s">
        <v>15</v>
      </c>
      <c r="C33" s="15"/>
      <c r="D33" s="69"/>
      <c r="E33" s="70"/>
      <c r="F33" s="69"/>
      <c r="G33" s="70"/>
      <c r="H33" s="17"/>
      <c r="I33" s="48"/>
    </row>
    <row r="34" spans="2:11" ht="21.75" customHeight="1" x14ac:dyDescent="0.2">
      <c r="B34" s="15" t="s">
        <v>14</v>
      </c>
      <c r="C34" s="15"/>
      <c r="D34" s="71"/>
      <c r="E34" s="72"/>
      <c r="F34" s="67">
        <f>SUM(F31:G33)</f>
        <v>4413</v>
      </c>
      <c r="G34" s="68"/>
      <c r="H34" s="15"/>
      <c r="I34" s="14">
        <f>SUM(I32:I33)</f>
        <v>4633.6500000000005</v>
      </c>
      <c r="J34" s="40"/>
      <c r="K34" s="40"/>
    </row>
    <row r="35" spans="2:11" ht="21.75" customHeight="1" x14ac:dyDescent="0.2">
      <c r="B35" s="16" t="s">
        <v>13</v>
      </c>
      <c r="C35" s="15"/>
      <c r="D35" s="69"/>
      <c r="E35" s="70"/>
      <c r="F35" s="69"/>
      <c r="G35" s="70"/>
      <c r="H35" s="15"/>
      <c r="I35" s="48"/>
      <c r="J35" s="40"/>
    </row>
    <row r="36" spans="2:11" ht="21.75" customHeight="1" x14ac:dyDescent="0.2">
      <c r="B36" s="16" t="s">
        <v>12</v>
      </c>
      <c r="C36" s="15"/>
      <c r="D36" s="69"/>
      <c r="E36" s="70"/>
      <c r="F36" s="69"/>
      <c r="G36" s="70"/>
      <c r="H36" s="15"/>
      <c r="I36" s="14">
        <f>+I34</f>
        <v>4633.6500000000005</v>
      </c>
    </row>
    <row r="37" spans="2:11" ht="20.25" customHeight="1" x14ac:dyDescent="0.2">
      <c r="B37" s="15" t="s">
        <v>80</v>
      </c>
      <c r="C37" s="69" t="s">
        <v>11</v>
      </c>
      <c r="D37" s="74"/>
      <c r="E37" s="74"/>
      <c r="F37" s="74"/>
      <c r="G37" s="74"/>
      <c r="H37" s="70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4633.6500000000005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5" t="s">
        <v>7</v>
      </c>
      <c r="C46" s="75"/>
      <c r="D46" s="7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6" t="s">
        <v>1</v>
      </c>
      <c r="D55" s="76"/>
      <c r="E55" s="5"/>
      <c r="F55" s="5"/>
      <c r="G55" s="5"/>
      <c r="H55" s="5"/>
      <c r="I55" s="4"/>
    </row>
    <row r="56" spans="2:11" x14ac:dyDescent="0.2">
      <c r="B56" s="6"/>
      <c r="C56" s="77" t="s">
        <v>0</v>
      </c>
      <c r="D56" s="77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73"/>
      <c r="D57" s="73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V59"/>
  <sheetViews>
    <sheetView view="pageBreakPreview" topLeftCell="A22" zoomScaleNormal="100" zoomScaleSheetLayoutView="100" workbookViewId="0">
      <selection activeCell="D12" sqref="D1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8" t="s">
        <v>199</v>
      </c>
      <c r="C2" s="79"/>
      <c r="D2" s="79"/>
      <c r="E2" s="79"/>
      <c r="F2" s="79"/>
      <c r="G2" s="79"/>
      <c r="H2" s="79"/>
      <c r="I2" s="80"/>
      <c r="J2" s="64">
        <v>61733989</v>
      </c>
      <c r="K2" s="65">
        <v>3045</v>
      </c>
      <c r="L2" s="66">
        <v>36</v>
      </c>
      <c r="M2" s="66">
        <v>216.47</v>
      </c>
      <c r="N2" s="66">
        <v>222.56</v>
      </c>
      <c r="O2" s="66">
        <v>251.56</v>
      </c>
      <c r="P2" s="66" t="s">
        <v>54</v>
      </c>
      <c r="Q2" s="66">
        <v>1.32</v>
      </c>
      <c r="R2" s="66" t="s">
        <v>62</v>
      </c>
    </row>
    <row r="3" spans="2:22" x14ac:dyDescent="0.2">
      <c r="B3" s="6" t="s">
        <v>53</v>
      </c>
      <c r="C3" s="60">
        <f>+'310'!C3+1</f>
        <v>311</v>
      </c>
      <c r="D3" s="5"/>
      <c r="E3" s="5"/>
      <c r="F3" s="5"/>
      <c r="G3" s="5" t="s">
        <v>52</v>
      </c>
      <c r="H3" s="31">
        <f>+'309'!H3+0</f>
        <v>46195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61733989</v>
      </c>
      <c r="C21" s="53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4" t="s">
        <v>35</v>
      </c>
      <c r="G21" s="54"/>
      <c r="H21" s="47" t="str">
        <f>IF(LEFT(G17,2)="CA","CA",IF(LEFT(G17,2)="UN","US",IF(LEFT(G17,2)="PA","PA",IF(LEFT(G17,2)="JA","JP"))))</f>
        <v>US</v>
      </c>
      <c r="I21" s="54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251.56</v>
      </c>
      <c r="G23" s="23">
        <f>+N2</f>
        <v>222.56</v>
      </c>
      <c r="H23" s="23">
        <f>+M2</f>
        <v>216.47</v>
      </c>
      <c r="I23" s="54">
        <f>+L2</f>
        <v>36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4"/>
      <c r="D26" s="74"/>
      <c r="E26" s="74"/>
      <c r="F26" s="74"/>
      <c r="G26" s="74"/>
      <c r="H26" s="74"/>
      <c r="I26" s="70"/>
    </row>
    <row r="27" spans="2:13" ht="24.75" customHeight="1" x14ac:dyDescent="0.2">
      <c r="B27" s="81" t="str">
        <f>+K4</f>
        <v>GIRLS COTTON FIBERS, KNIT PULLOVER, WITH NO NECK CLOSURE, STITCH COUNT IS GREATER THAN 9/2CM, REACHES WAIST [60% COTTON 40% RECYCLED POLYESTER]</v>
      </c>
      <c r="C27" s="82"/>
      <c r="D27" s="82"/>
      <c r="E27" s="82"/>
      <c r="F27" s="82"/>
      <c r="G27" s="82"/>
      <c r="H27" s="82"/>
      <c r="I27" s="83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84" t="s">
        <v>19</v>
      </c>
      <c r="E31" s="84"/>
      <c r="F31" s="84" t="s">
        <v>18</v>
      </c>
      <c r="G31" s="84"/>
      <c r="H31" s="54" t="s">
        <v>17</v>
      </c>
      <c r="I31" s="19" t="s">
        <v>16</v>
      </c>
      <c r="M31"/>
    </row>
    <row r="32" spans="2:13" ht="27.75" customHeight="1" x14ac:dyDescent="0.2">
      <c r="B32" s="41" t="s">
        <v>192</v>
      </c>
      <c r="C32" s="19" t="s">
        <v>191</v>
      </c>
      <c r="D32" s="67"/>
      <c r="E32" s="68"/>
      <c r="F32" s="67">
        <v>2176</v>
      </c>
      <c r="G32" s="68"/>
      <c r="H32" s="17">
        <v>0.71</v>
      </c>
      <c r="I32" s="18">
        <f>+H32*F32</f>
        <v>1544.96</v>
      </c>
      <c r="K32" s="46"/>
      <c r="M32" s="39"/>
    </row>
    <row r="33" spans="2:13" ht="27.75" customHeight="1" x14ac:dyDescent="0.2">
      <c r="B33" s="41" t="s">
        <v>194</v>
      </c>
      <c r="C33" s="19" t="s">
        <v>193</v>
      </c>
      <c r="D33" s="67"/>
      <c r="E33" s="68"/>
      <c r="F33" s="67">
        <v>869</v>
      </c>
      <c r="G33" s="68"/>
      <c r="H33" s="17">
        <v>0.71</v>
      </c>
      <c r="I33" s="18">
        <f>+H33*F33</f>
        <v>616.99</v>
      </c>
      <c r="K33" s="46"/>
      <c r="M33" s="39"/>
    </row>
    <row r="34" spans="2:13" ht="21" customHeight="1" x14ac:dyDescent="0.2">
      <c r="B34" s="15" t="s">
        <v>15</v>
      </c>
      <c r="C34" s="15"/>
      <c r="D34" s="69"/>
      <c r="E34" s="70"/>
      <c r="F34" s="69"/>
      <c r="G34" s="70"/>
      <c r="H34" s="17"/>
      <c r="I34" s="54"/>
    </row>
    <row r="35" spans="2:13" ht="21.75" customHeight="1" x14ac:dyDescent="0.2">
      <c r="B35" s="15" t="s">
        <v>14</v>
      </c>
      <c r="C35" s="15"/>
      <c r="D35" s="71"/>
      <c r="E35" s="72"/>
      <c r="F35" s="67">
        <f>SUM(F32:G34)</f>
        <v>3045</v>
      </c>
      <c r="G35" s="68"/>
      <c r="H35" s="15"/>
      <c r="I35" s="14">
        <f>SUM(I32:I34)</f>
        <v>2161.9499999999998</v>
      </c>
      <c r="J35" s="40"/>
      <c r="K35" s="40"/>
    </row>
    <row r="36" spans="2:13" ht="21.75" customHeight="1" x14ac:dyDescent="0.2">
      <c r="B36" s="16" t="s">
        <v>13</v>
      </c>
      <c r="C36" s="15"/>
      <c r="D36" s="69"/>
      <c r="E36" s="70"/>
      <c r="F36" s="69"/>
      <c r="G36" s="70"/>
      <c r="H36" s="15"/>
      <c r="I36" s="54"/>
      <c r="J36" s="40"/>
    </row>
    <row r="37" spans="2:13" ht="21.75" customHeight="1" x14ac:dyDescent="0.2">
      <c r="B37" s="16" t="s">
        <v>12</v>
      </c>
      <c r="C37" s="15"/>
      <c r="D37" s="69"/>
      <c r="E37" s="70"/>
      <c r="F37" s="69"/>
      <c r="G37" s="70"/>
      <c r="H37" s="15"/>
      <c r="I37" s="14">
        <f>+I35</f>
        <v>2161.9499999999998</v>
      </c>
    </row>
    <row r="38" spans="2:13" ht="20.25" customHeight="1" x14ac:dyDescent="0.2">
      <c r="B38" s="15" t="s">
        <v>80</v>
      </c>
      <c r="C38" s="69" t="s">
        <v>11</v>
      </c>
      <c r="D38" s="74"/>
      <c r="E38" s="74"/>
      <c r="F38" s="74"/>
      <c r="G38" s="74"/>
      <c r="H38" s="70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2161.9499999999998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5" t="s">
        <v>7</v>
      </c>
      <c r="C47" s="75"/>
      <c r="D47" s="75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265K0057</v>
      </c>
      <c r="I53" s="8"/>
      <c r="K53">
        <v>3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6" t="s">
        <v>1</v>
      </c>
      <c r="D56" s="76"/>
      <c r="E56" s="5"/>
      <c r="F56" s="5"/>
      <c r="G56" s="5"/>
      <c r="H56" s="5"/>
      <c r="I56" s="4"/>
    </row>
    <row r="57" spans="2:11" x14ac:dyDescent="0.2">
      <c r="B57" s="6"/>
      <c r="C57" s="77" t="s">
        <v>0</v>
      </c>
      <c r="D57" s="77"/>
      <c r="E57" s="5"/>
      <c r="F57" s="5"/>
      <c r="G57" s="5"/>
      <c r="H57" s="5"/>
      <c r="I57" s="4"/>
      <c r="K57">
        <v>3</v>
      </c>
    </row>
    <row r="58" spans="2:11" x14ac:dyDescent="0.2">
      <c r="B58" s="2"/>
      <c r="C58" s="73"/>
      <c r="D58" s="73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2:E32"/>
    <mergeCell ref="F32:G32"/>
    <mergeCell ref="B2:I2"/>
    <mergeCell ref="B26:I26"/>
    <mergeCell ref="B27:I27"/>
    <mergeCell ref="D31:E31"/>
    <mergeCell ref="F31:G31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4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4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V59"/>
  <sheetViews>
    <sheetView view="pageBreakPreview" topLeftCell="A26" zoomScaleNormal="100" zoomScaleSheetLayoutView="100" workbookViewId="0">
      <selection activeCell="D12" sqref="D12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8" t="s">
        <v>199</v>
      </c>
      <c r="C2" s="79"/>
      <c r="D2" s="79"/>
      <c r="E2" s="79"/>
      <c r="F2" s="79"/>
      <c r="G2" s="79"/>
      <c r="H2" s="79"/>
      <c r="I2" s="80"/>
      <c r="J2" s="64">
        <v>61733993</v>
      </c>
      <c r="K2" s="65">
        <v>1515</v>
      </c>
      <c r="L2" s="66">
        <v>22</v>
      </c>
      <c r="M2" s="66">
        <v>107.675</v>
      </c>
      <c r="N2" s="66">
        <v>110.705</v>
      </c>
      <c r="O2" s="66">
        <v>127.505</v>
      </c>
      <c r="P2" s="66" t="s">
        <v>54</v>
      </c>
      <c r="Q2" s="66">
        <v>0.67100000000000004</v>
      </c>
      <c r="R2" s="66" t="s">
        <v>62</v>
      </c>
    </row>
    <row r="3" spans="2:22" x14ac:dyDescent="0.2">
      <c r="B3" s="6" t="s">
        <v>53</v>
      </c>
      <c r="C3" s="60">
        <f>+'311'!C3+1</f>
        <v>312</v>
      </c>
      <c r="D3" s="5"/>
      <c r="E3" s="5"/>
      <c r="F3" s="5"/>
      <c r="G3" s="5" t="s">
        <v>52</v>
      </c>
      <c r="H3" s="31">
        <f>+'309'!H3+0</f>
        <v>46195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61733993</v>
      </c>
      <c r="C21" s="56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127.505</v>
      </c>
      <c r="G23" s="23">
        <f>+N2</f>
        <v>110.705</v>
      </c>
      <c r="H23" s="23">
        <f>+M2</f>
        <v>107.675</v>
      </c>
      <c r="I23" s="55">
        <f>+L2</f>
        <v>22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4"/>
      <c r="D26" s="74"/>
      <c r="E26" s="74"/>
      <c r="F26" s="74"/>
      <c r="G26" s="74"/>
      <c r="H26" s="74"/>
      <c r="I26" s="70"/>
    </row>
    <row r="27" spans="2:13" ht="24.75" customHeight="1" x14ac:dyDescent="0.2">
      <c r="B27" s="81" t="str">
        <f>+K4</f>
        <v>GIRLS COTTON FIBERS, KNIT PULLOVER, WITH NO NECK CLOSURE, STITCH COUNT IS GREATER THAN 9/2CM, REACHES WAIST [60% COTTON 40% RECYCLED POLYESTER]</v>
      </c>
      <c r="C27" s="82"/>
      <c r="D27" s="82"/>
      <c r="E27" s="82"/>
      <c r="F27" s="82"/>
      <c r="G27" s="82"/>
      <c r="H27" s="82"/>
      <c r="I27" s="83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4" t="s">
        <v>19</v>
      </c>
      <c r="E31" s="84"/>
      <c r="F31" s="84" t="s">
        <v>18</v>
      </c>
      <c r="G31" s="84"/>
      <c r="H31" s="55" t="s">
        <v>17</v>
      </c>
      <c r="I31" s="19" t="s">
        <v>16</v>
      </c>
      <c r="M31"/>
    </row>
    <row r="32" spans="2:13" ht="33" customHeight="1" x14ac:dyDescent="0.2">
      <c r="B32" s="41" t="s">
        <v>196</v>
      </c>
      <c r="C32" s="19" t="s">
        <v>191</v>
      </c>
      <c r="D32" s="67"/>
      <c r="E32" s="68"/>
      <c r="F32" s="67">
        <v>1083</v>
      </c>
      <c r="G32" s="68"/>
      <c r="H32" s="17">
        <v>0.71</v>
      </c>
      <c r="I32" s="18">
        <f>+H32*F32</f>
        <v>768.93</v>
      </c>
      <c r="K32" s="46"/>
      <c r="M32" s="39"/>
    </row>
    <row r="33" spans="2:13" ht="33" customHeight="1" x14ac:dyDescent="0.2">
      <c r="B33" s="41" t="s">
        <v>194</v>
      </c>
      <c r="C33" s="19" t="s">
        <v>193</v>
      </c>
      <c r="D33" s="67"/>
      <c r="E33" s="68"/>
      <c r="F33" s="67">
        <v>432</v>
      </c>
      <c r="G33" s="68"/>
      <c r="H33" s="17">
        <v>0.71</v>
      </c>
      <c r="I33" s="18">
        <f>+H33*F33</f>
        <v>306.71999999999997</v>
      </c>
      <c r="K33" s="46"/>
      <c r="M33" s="39"/>
    </row>
    <row r="34" spans="2:13" ht="21" customHeight="1" x14ac:dyDescent="0.2">
      <c r="B34" s="15" t="s">
        <v>15</v>
      </c>
      <c r="C34" s="15"/>
      <c r="D34" s="69"/>
      <c r="E34" s="70"/>
      <c r="F34" s="69"/>
      <c r="G34" s="70"/>
      <c r="H34" s="17"/>
      <c r="I34" s="59"/>
    </row>
    <row r="35" spans="2:13" ht="21.75" customHeight="1" x14ac:dyDescent="0.2">
      <c r="B35" s="15" t="s">
        <v>14</v>
      </c>
      <c r="C35" s="15"/>
      <c r="D35" s="71"/>
      <c r="E35" s="72"/>
      <c r="F35" s="67">
        <f>SUM(F32:G34)</f>
        <v>1515</v>
      </c>
      <c r="G35" s="68"/>
      <c r="H35" s="15"/>
      <c r="I35" s="14">
        <f>SUM(I32:I33)</f>
        <v>1075.6499999999999</v>
      </c>
      <c r="J35" s="40"/>
      <c r="K35" s="40"/>
    </row>
    <row r="36" spans="2:13" ht="21.75" customHeight="1" x14ac:dyDescent="0.2">
      <c r="B36" s="16" t="s">
        <v>13</v>
      </c>
      <c r="C36" s="15"/>
      <c r="D36" s="69"/>
      <c r="E36" s="70"/>
      <c r="F36" s="69"/>
      <c r="G36" s="70"/>
      <c r="H36" s="15"/>
      <c r="I36" s="55"/>
      <c r="J36" s="40"/>
    </row>
    <row r="37" spans="2:13" ht="21.75" customHeight="1" x14ac:dyDescent="0.2">
      <c r="B37" s="16" t="s">
        <v>12</v>
      </c>
      <c r="C37" s="15"/>
      <c r="D37" s="69"/>
      <c r="E37" s="70"/>
      <c r="F37" s="69"/>
      <c r="G37" s="70"/>
      <c r="H37" s="15"/>
      <c r="I37" s="14">
        <f>+I35</f>
        <v>1075.6499999999999</v>
      </c>
    </row>
    <row r="38" spans="2:13" ht="20.25" customHeight="1" x14ac:dyDescent="0.2">
      <c r="B38" s="15" t="s">
        <v>80</v>
      </c>
      <c r="C38" s="69" t="s">
        <v>11</v>
      </c>
      <c r="D38" s="74"/>
      <c r="E38" s="74"/>
      <c r="F38" s="74"/>
      <c r="G38" s="74"/>
      <c r="H38" s="70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1075.6499999999999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5" t="s">
        <v>7</v>
      </c>
      <c r="C47" s="75"/>
      <c r="D47" s="75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265K0057</v>
      </c>
      <c r="I53" s="8"/>
      <c r="K53">
        <v>4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6" t="s">
        <v>1</v>
      </c>
      <c r="D56" s="76"/>
      <c r="E56" s="5"/>
      <c r="F56" s="5"/>
      <c r="G56" s="5"/>
      <c r="H56" s="5"/>
      <c r="I56" s="4"/>
    </row>
    <row r="57" spans="2:11" x14ac:dyDescent="0.2">
      <c r="B57" s="6"/>
      <c r="C57" s="77" t="s">
        <v>0</v>
      </c>
      <c r="D57" s="77"/>
      <c r="E57" s="5"/>
      <c r="F57" s="5"/>
      <c r="G57" s="5"/>
      <c r="H57" s="5"/>
      <c r="I57" s="4"/>
      <c r="K57">
        <v>4</v>
      </c>
    </row>
    <row r="58" spans="2:11" x14ac:dyDescent="0.2">
      <c r="B58" s="2"/>
      <c r="C58" s="73"/>
      <c r="D58" s="73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C58:D58"/>
    <mergeCell ref="D37:E37"/>
    <mergeCell ref="F37:G37"/>
    <mergeCell ref="C38:H38"/>
    <mergeCell ref="B47:D47"/>
    <mergeCell ref="C56:D56"/>
    <mergeCell ref="C57:D57"/>
    <mergeCell ref="F36:G36"/>
    <mergeCell ref="D32:E32"/>
    <mergeCell ref="F32:G32"/>
    <mergeCell ref="B2:I2"/>
    <mergeCell ref="B26:I26"/>
    <mergeCell ref="B27:I27"/>
    <mergeCell ref="D31:E31"/>
    <mergeCell ref="F31:G31"/>
    <mergeCell ref="D35:E35"/>
    <mergeCell ref="F35:G35"/>
    <mergeCell ref="D36:E36"/>
    <mergeCell ref="D34:E34"/>
    <mergeCell ref="F34:G34"/>
    <mergeCell ref="D33:E33"/>
    <mergeCell ref="F33:G33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5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5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V58"/>
  <sheetViews>
    <sheetView view="pageBreakPreview" topLeftCell="A24" zoomScaleNormal="100" zoomScaleSheetLayoutView="100" workbookViewId="0">
      <selection activeCell="D12" sqref="D1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8" t="s">
        <v>199</v>
      </c>
      <c r="C2" s="79"/>
      <c r="D2" s="79"/>
      <c r="E2" s="79"/>
      <c r="F2" s="79"/>
      <c r="G2" s="79"/>
      <c r="H2" s="79"/>
      <c r="I2" s="80"/>
      <c r="J2" s="64">
        <v>61779095</v>
      </c>
      <c r="K2" s="65">
        <v>2400</v>
      </c>
      <c r="L2" s="66">
        <v>61</v>
      </c>
      <c r="M2" s="66">
        <v>262.41000000000003</v>
      </c>
      <c r="N2" s="66">
        <v>286.41000000000003</v>
      </c>
      <c r="O2" s="66">
        <v>332.91</v>
      </c>
      <c r="P2" s="66" t="s">
        <v>54</v>
      </c>
      <c r="Q2" s="66">
        <v>1.901</v>
      </c>
      <c r="R2" s="66" t="s">
        <v>62</v>
      </c>
    </row>
    <row r="3" spans="2:22" x14ac:dyDescent="0.2">
      <c r="B3" s="6" t="s">
        <v>53</v>
      </c>
      <c r="C3" s="60">
        <f>+'312'!C3+1</f>
        <v>313</v>
      </c>
      <c r="D3" s="5"/>
      <c r="E3" s="5"/>
      <c r="F3" s="5"/>
      <c r="G3" s="5" t="s">
        <v>52</v>
      </c>
      <c r="H3" s="31">
        <f>+'309'!H3+0</f>
        <v>46195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1">
        <f>J2</f>
        <v>61779095</v>
      </c>
      <c r="C21" s="62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1" t="s">
        <v>35</v>
      </c>
      <c r="G21" s="61"/>
      <c r="H21" s="47" t="str">
        <f>IF(LEFT(G17,2)="CA","CA",IF(LEFT(G17,2)="UN","US",IF(LEFT(G17,2)="PA","PA",IF(LEFT(G17,2)="JA","JP"))))</f>
        <v>CA</v>
      </c>
      <c r="I21" s="61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1" t="s">
        <v>25</v>
      </c>
      <c r="C23" s="61"/>
      <c r="D23" s="61" t="s">
        <v>24</v>
      </c>
      <c r="E23" s="61" t="str">
        <f>+D23</f>
        <v>JAKARTA,ID</v>
      </c>
      <c r="F23" s="23">
        <f>+O2</f>
        <v>332.91</v>
      </c>
      <c r="G23" s="23">
        <f>+N2</f>
        <v>286.41000000000003</v>
      </c>
      <c r="H23" s="23">
        <f>+M2</f>
        <v>262.41000000000003</v>
      </c>
      <c r="I23" s="61">
        <f>+L2</f>
        <v>61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4"/>
      <c r="D26" s="74"/>
      <c r="E26" s="74"/>
      <c r="F26" s="74"/>
      <c r="G26" s="74"/>
      <c r="H26" s="74"/>
      <c r="I26" s="70"/>
    </row>
    <row r="27" spans="2:13" ht="24.75" customHeight="1" x14ac:dyDescent="0.2">
      <c r="B27" s="81" t="str">
        <f>+K4</f>
        <v>WOMENS COTTON FIBERS, KNIT PULLOVER, WITH NO NECK CLOSURE, STITCH COUNT IS GREATER THAN 9/2CM, REACHES WAIST, SLEEVELESS [96% COTTON 4% SPANDEX]</v>
      </c>
      <c r="C27" s="82"/>
      <c r="D27" s="82"/>
      <c r="E27" s="82"/>
      <c r="F27" s="82"/>
      <c r="G27" s="82"/>
      <c r="H27" s="82"/>
      <c r="I27" s="83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1" t="s">
        <v>21</v>
      </c>
      <c r="C31" s="61" t="s">
        <v>20</v>
      </c>
      <c r="D31" s="84" t="s">
        <v>19</v>
      </c>
      <c r="E31" s="84"/>
      <c r="F31" s="84" t="s">
        <v>18</v>
      </c>
      <c r="G31" s="84"/>
      <c r="H31" s="61" t="s">
        <v>17</v>
      </c>
      <c r="I31" s="19" t="s">
        <v>16</v>
      </c>
      <c r="M31"/>
    </row>
    <row r="32" spans="2:13" ht="41.25" customHeight="1" x14ac:dyDescent="0.2">
      <c r="B32" s="41" t="s">
        <v>198</v>
      </c>
      <c r="C32" s="19" t="s">
        <v>197</v>
      </c>
      <c r="D32" s="67"/>
      <c r="E32" s="68"/>
      <c r="F32" s="67">
        <f>+K2</f>
        <v>2400</v>
      </c>
      <c r="G32" s="68"/>
      <c r="H32" s="17">
        <v>0.76</v>
      </c>
      <c r="I32" s="18">
        <f>+H32*F32</f>
        <v>1824</v>
      </c>
      <c r="K32" s="46"/>
      <c r="M32" s="39"/>
    </row>
    <row r="33" spans="2:11" ht="21" customHeight="1" x14ac:dyDescent="0.2">
      <c r="B33" s="15" t="s">
        <v>15</v>
      </c>
      <c r="C33" s="15"/>
      <c r="D33" s="69"/>
      <c r="E33" s="70"/>
      <c r="F33" s="69"/>
      <c r="G33" s="70"/>
      <c r="H33" s="17"/>
      <c r="I33" s="61"/>
    </row>
    <row r="34" spans="2:11" ht="21.75" customHeight="1" x14ac:dyDescent="0.2">
      <c r="B34" s="15" t="s">
        <v>14</v>
      </c>
      <c r="C34" s="15"/>
      <c r="D34" s="71"/>
      <c r="E34" s="72"/>
      <c r="F34" s="67">
        <f>SUM(F32:G33)</f>
        <v>2400</v>
      </c>
      <c r="G34" s="68"/>
      <c r="H34" s="15"/>
      <c r="I34" s="14">
        <f>SUM(I32:I33)</f>
        <v>1824</v>
      </c>
      <c r="J34" s="40"/>
      <c r="K34" s="40"/>
    </row>
    <row r="35" spans="2:11" ht="21.75" customHeight="1" x14ac:dyDescent="0.2">
      <c r="B35" s="16" t="s">
        <v>13</v>
      </c>
      <c r="C35" s="15"/>
      <c r="D35" s="69"/>
      <c r="E35" s="70"/>
      <c r="F35" s="69"/>
      <c r="G35" s="70"/>
      <c r="H35" s="15"/>
      <c r="I35" s="61"/>
      <c r="J35" s="40"/>
    </row>
    <row r="36" spans="2:11" ht="21.75" customHeight="1" x14ac:dyDescent="0.2">
      <c r="B36" s="16" t="s">
        <v>12</v>
      </c>
      <c r="C36" s="15"/>
      <c r="D36" s="69"/>
      <c r="E36" s="70"/>
      <c r="F36" s="69"/>
      <c r="G36" s="70"/>
      <c r="H36" s="15"/>
      <c r="I36" s="14">
        <f>+I34</f>
        <v>1824</v>
      </c>
    </row>
    <row r="37" spans="2:11" ht="20.25" customHeight="1" x14ac:dyDescent="0.2">
      <c r="B37" s="15" t="s">
        <v>80</v>
      </c>
      <c r="C37" s="69" t="s">
        <v>11</v>
      </c>
      <c r="D37" s="74"/>
      <c r="E37" s="74"/>
      <c r="F37" s="74"/>
      <c r="G37" s="74"/>
      <c r="H37" s="70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1824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5" t="s">
        <v>7</v>
      </c>
      <c r="C46" s="75"/>
      <c r="D46" s="7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6" t="s">
        <v>1</v>
      </c>
      <c r="D55" s="76"/>
      <c r="E55" s="5"/>
      <c r="F55" s="5"/>
      <c r="G55" s="5"/>
      <c r="H55" s="5"/>
      <c r="I55" s="4"/>
    </row>
    <row r="56" spans="2:11" x14ac:dyDescent="0.2">
      <c r="B56" s="6"/>
      <c r="C56" s="77" t="s">
        <v>0</v>
      </c>
      <c r="D56" s="77"/>
      <c r="E56" s="5"/>
      <c r="F56" s="5"/>
      <c r="G56" s="5"/>
      <c r="H56" s="5"/>
      <c r="I56" s="4"/>
      <c r="K56">
        <v>5</v>
      </c>
    </row>
    <row r="57" spans="2:11" x14ac:dyDescent="0.2">
      <c r="B57" s="2"/>
      <c r="C57" s="73"/>
      <c r="D57" s="73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5:D55"/>
    <mergeCell ref="C56:D56"/>
    <mergeCell ref="C57:D57"/>
    <mergeCell ref="D35:E35"/>
    <mergeCell ref="F35:G35"/>
    <mergeCell ref="D36:E36"/>
    <mergeCell ref="F36:G36"/>
    <mergeCell ref="C37:H37"/>
    <mergeCell ref="B46:D46"/>
    <mergeCell ref="D33:E33"/>
    <mergeCell ref="F33:G33"/>
    <mergeCell ref="D34:E34"/>
    <mergeCell ref="F34:G34"/>
    <mergeCell ref="B2:I2"/>
    <mergeCell ref="B26:I26"/>
    <mergeCell ref="B27:I27"/>
    <mergeCell ref="D31:E31"/>
    <mergeCell ref="F31:G31"/>
    <mergeCell ref="D32:E32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6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6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V58"/>
  <sheetViews>
    <sheetView view="pageBreakPreview" topLeftCell="A20" zoomScaleNormal="100" zoomScaleSheetLayoutView="100" workbookViewId="0">
      <selection activeCell="D12" sqref="D12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8" t="s">
        <v>199</v>
      </c>
      <c r="C2" s="79"/>
      <c r="D2" s="79"/>
      <c r="E2" s="79"/>
      <c r="F2" s="79"/>
      <c r="G2" s="79"/>
      <c r="H2" s="79"/>
      <c r="I2" s="80"/>
      <c r="J2" s="64">
        <v>61782651</v>
      </c>
      <c r="K2" s="65">
        <v>3266</v>
      </c>
      <c r="L2" s="66">
        <v>92</v>
      </c>
      <c r="M2" s="66">
        <v>339.28</v>
      </c>
      <c r="N2" s="66">
        <v>453.59</v>
      </c>
      <c r="O2" s="66">
        <v>534.99</v>
      </c>
      <c r="P2" s="66" t="s">
        <v>54</v>
      </c>
      <c r="Q2" s="66">
        <v>4.3949999999999996</v>
      </c>
      <c r="R2" s="66" t="s">
        <v>62</v>
      </c>
    </row>
    <row r="3" spans="2:22" x14ac:dyDescent="0.2">
      <c r="B3" s="6" t="s">
        <v>53</v>
      </c>
      <c r="C3" s="60">
        <f>+'313'!C3+1</f>
        <v>314</v>
      </c>
      <c r="D3" s="5"/>
      <c r="E3" s="5"/>
      <c r="F3" s="5"/>
      <c r="G3" s="5" t="s">
        <v>52</v>
      </c>
      <c r="H3" s="31">
        <f>+'309'!H3+0</f>
        <v>46195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1">
        <f>J2</f>
        <v>61782651</v>
      </c>
      <c r="C21" s="62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1" t="s">
        <v>35</v>
      </c>
      <c r="G21" s="61"/>
      <c r="H21" s="47" t="str">
        <f>IF(LEFT(G17,2)="CA","CA",IF(LEFT(G17,2)="UN","US",IF(LEFT(G17,2)="PA","PA",IF(LEFT(G17,2)="JA","JP"))))</f>
        <v>CA</v>
      </c>
      <c r="I21" s="61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1" t="s">
        <v>25</v>
      </c>
      <c r="C23" s="61"/>
      <c r="D23" s="61" t="s">
        <v>24</v>
      </c>
      <c r="E23" s="61" t="str">
        <f>+D23</f>
        <v>JAKARTA,ID</v>
      </c>
      <c r="F23" s="23">
        <f>+O2</f>
        <v>534.99</v>
      </c>
      <c r="G23" s="23">
        <f>+N2</f>
        <v>453.59</v>
      </c>
      <c r="H23" s="23">
        <f>+M2</f>
        <v>339.28</v>
      </c>
      <c r="I23" s="61">
        <f>+L2</f>
        <v>92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4"/>
      <c r="D26" s="74"/>
      <c r="E26" s="74"/>
      <c r="F26" s="74"/>
      <c r="G26" s="74"/>
      <c r="H26" s="74"/>
      <c r="I26" s="70"/>
    </row>
    <row r="27" spans="2:13" ht="24.75" customHeight="1" x14ac:dyDescent="0.2">
      <c r="B27" s="81" t="str">
        <f>+K4</f>
        <v>WOMENS COTTON FIBERS, KNIT PULLOVER, WITH NO NECK CLOSURE, STITCH COUNT IS GREATER THAN 9/2CM, REACHES WAIST, SLEEVELESS [96% COTTON 4% SPANDEX]</v>
      </c>
      <c r="C27" s="82"/>
      <c r="D27" s="82"/>
      <c r="E27" s="82"/>
      <c r="F27" s="82"/>
      <c r="G27" s="82"/>
      <c r="H27" s="82"/>
      <c r="I27" s="83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1" t="s">
        <v>21</v>
      </c>
      <c r="C31" s="61" t="s">
        <v>20</v>
      </c>
      <c r="D31" s="84" t="s">
        <v>19</v>
      </c>
      <c r="E31" s="84"/>
      <c r="F31" s="84" t="s">
        <v>18</v>
      </c>
      <c r="G31" s="84"/>
      <c r="H31" s="61" t="s">
        <v>17</v>
      </c>
      <c r="I31" s="19" t="s">
        <v>16</v>
      </c>
      <c r="M31"/>
    </row>
    <row r="32" spans="2:13" ht="49.5" customHeight="1" x14ac:dyDescent="0.2">
      <c r="B32" s="41" t="s">
        <v>198</v>
      </c>
      <c r="C32" s="19" t="s">
        <v>197</v>
      </c>
      <c r="D32" s="67"/>
      <c r="E32" s="68"/>
      <c r="F32" s="67">
        <f>+K2</f>
        <v>3266</v>
      </c>
      <c r="G32" s="68"/>
      <c r="H32" s="17">
        <v>0.76</v>
      </c>
      <c r="I32" s="18">
        <f>+H32*F32</f>
        <v>2482.16</v>
      </c>
      <c r="K32" s="46"/>
      <c r="M32" s="39"/>
    </row>
    <row r="33" spans="2:11" ht="21" customHeight="1" x14ac:dyDescent="0.2">
      <c r="B33" s="15" t="s">
        <v>15</v>
      </c>
      <c r="C33" s="15"/>
      <c r="D33" s="69"/>
      <c r="E33" s="70"/>
      <c r="F33" s="69"/>
      <c r="G33" s="70"/>
      <c r="H33" s="17"/>
      <c r="I33" s="61"/>
    </row>
    <row r="34" spans="2:11" ht="21.75" customHeight="1" x14ac:dyDescent="0.2">
      <c r="B34" s="15" t="s">
        <v>14</v>
      </c>
      <c r="C34" s="15"/>
      <c r="D34" s="71"/>
      <c r="E34" s="72"/>
      <c r="F34" s="67">
        <f>SUM(F32:G33)</f>
        <v>3266</v>
      </c>
      <c r="G34" s="68"/>
      <c r="H34" s="15"/>
      <c r="I34" s="14">
        <f>SUM(I32:I32)</f>
        <v>2482.16</v>
      </c>
      <c r="J34" s="40"/>
      <c r="K34" s="40"/>
    </row>
    <row r="35" spans="2:11" ht="21.75" customHeight="1" x14ac:dyDescent="0.2">
      <c r="B35" s="16" t="s">
        <v>13</v>
      </c>
      <c r="C35" s="15"/>
      <c r="D35" s="69"/>
      <c r="E35" s="70"/>
      <c r="F35" s="69"/>
      <c r="G35" s="70"/>
      <c r="H35" s="15"/>
      <c r="I35" s="61"/>
      <c r="J35" s="40"/>
    </row>
    <row r="36" spans="2:11" ht="21.75" customHeight="1" x14ac:dyDescent="0.2">
      <c r="B36" s="16" t="s">
        <v>12</v>
      </c>
      <c r="C36" s="15"/>
      <c r="D36" s="69"/>
      <c r="E36" s="70"/>
      <c r="F36" s="69"/>
      <c r="G36" s="70"/>
      <c r="H36" s="15"/>
      <c r="I36" s="14">
        <f>+I34</f>
        <v>2482.16</v>
      </c>
    </row>
    <row r="37" spans="2:11" ht="20.25" customHeight="1" x14ac:dyDescent="0.2">
      <c r="B37" s="15" t="s">
        <v>80</v>
      </c>
      <c r="C37" s="69" t="s">
        <v>11</v>
      </c>
      <c r="D37" s="74"/>
      <c r="E37" s="74"/>
      <c r="F37" s="74"/>
      <c r="G37" s="74"/>
      <c r="H37" s="70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2482.16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5" t="s">
        <v>7</v>
      </c>
      <c r="C46" s="75"/>
      <c r="D46" s="7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6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6" t="s">
        <v>1</v>
      </c>
      <c r="D55" s="76"/>
      <c r="E55" s="5"/>
      <c r="F55" s="5"/>
      <c r="G55" s="5"/>
      <c r="H55" s="5"/>
      <c r="I55" s="4"/>
    </row>
    <row r="56" spans="2:11" x14ac:dyDescent="0.2">
      <c r="B56" s="6"/>
      <c r="C56" s="77" t="s">
        <v>0</v>
      </c>
      <c r="D56" s="77"/>
      <c r="E56" s="5"/>
      <c r="F56" s="5"/>
      <c r="G56" s="5"/>
      <c r="H56" s="5"/>
      <c r="I56" s="4"/>
      <c r="K56">
        <v>6</v>
      </c>
    </row>
    <row r="57" spans="2:11" x14ac:dyDescent="0.2">
      <c r="B57" s="2"/>
      <c r="C57" s="73"/>
      <c r="D57" s="73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5:D55"/>
    <mergeCell ref="C56:D56"/>
    <mergeCell ref="C57:D57"/>
    <mergeCell ref="D35:E35"/>
    <mergeCell ref="F35:G35"/>
    <mergeCell ref="D36:E36"/>
    <mergeCell ref="F36:G36"/>
    <mergeCell ref="C37:H37"/>
    <mergeCell ref="B46:D46"/>
    <mergeCell ref="D33:E33"/>
    <mergeCell ref="F33:G33"/>
    <mergeCell ref="D34:E34"/>
    <mergeCell ref="F34:G34"/>
    <mergeCell ref="B2:I2"/>
    <mergeCell ref="B26:I26"/>
    <mergeCell ref="B27:I27"/>
    <mergeCell ref="D31:E31"/>
    <mergeCell ref="F31:G31"/>
    <mergeCell ref="D32:E32"/>
    <mergeCell ref="F32:G32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7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700-000002000000}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Sheet1</vt:lpstr>
      <vt:lpstr>reff</vt:lpstr>
      <vt:lpstr>309</vt:lpstr>
      <vt:lpstr>310</vt:lpstr>
      <vt:lpstr>311</vt:lpstr>
      <vt:lpstr>312</vt:lpstr>
      <vt:lpstr>313</vt:lpstr>
      <vt:lpstr>314</vt:lpstr>
      <vt:lpstr>'309'!Print_Area</vt:lpstr>
      <vt:lpstr>'310'!Print_Area</vt:lpstr>
      <vt:lpstr>'311'!Print_Area</vt:lpstr>
      <vt:lpstr>'312'!Print_Area</vt:lpstr>
      <vt:lpstr>'313'!Print_Area</vt:lpstr>
      <vt:lpstr>'314'!Print_Area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2026-06-22T01:35:29Z</cp:lastPrinted>
  <dcterms:created xsi:type="dcterms:W3CDTF">2024-04-17T09:56:05Z</dcterms:created>
  <dcterms:modified xsi:type="dcterms:W3CDTF">2026-06-22T01:35:32Z</dcterms:modified>
</cp:coreProperties>
</file>