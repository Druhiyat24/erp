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07.05.2026\MOBIL 1\"/>
    </mc:Choice>
  </mc:AlternateContent>
  <xr:revisionPtr revIDLastSave="0" documentId="13_ncr:1_{4376F2B9-03AC-4680-BADD-61661592750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86" sheetId="129" r:id="rId3"/>
    <sheet name="87" sheetId="133" r:id="rId4"/>
    <sheet name="88" sheetId="134" r:id="rId5"/>
    <sheet name="89" sheetId="135" r:id="rId6"/>
    <sheet name="90" sheetId="137" r:id="rId7"/>
    <sheet name="91" sheetId="138" r:id="rId8"/>
    <sheet name="92" sheetId="141" r:id="rId9"/>
    <sheet name="93" sheetId="142" r:id="rId10"/>
  </sheets>
  <externalReferences>
    <externalReference r:id="rId11"/>
    <externalReference r:id="rId12"/>
    <externalReference r:id="rId13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>[2]xdata!#REF!</definedName>
    <definedName name="INVOICE">[2]xdata!$B$2</definedName>
    <definedName name="_xlnm.Print_Area" localSheetId="2">'86'!$B$1:$I$57</definedName>
    <definedName name="_xlnm.Print_Area" localSheetId="3">'87'!$B$1:$I$57</definedName>
    <definedName name="_xlnm.Print_Area" localSheetId="4">'88'!$B$1:$I$58</definedName>
    <definedName name="_xlnm.Print_Area" localSheetId="5">'89'!$B$1:$I$58</definedName>
    <definedName name="_xlnm.Print_Area" localSheetId="6">'90'!$B$1:$I$57</definedName>
    <definedName name="_xlnm.Print_Area" localSheetId="7">'91'!$B$1:$I$57</definedName>
    <definedName name="_xlnm.Print_Area" localSheetId="8">'92'!$B$1:$I$57</definedName>
    <definedName name="_xlnm.Print_Area" localSheetId="9">'93'!$B$1:$I$57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5" i="135" l="1"/>
  <c r="F35" i="134" l="1"/>
  <c r="F35" i="135"/>
  <c r="F32" i="129"/>
  <c r="F32" i="133"/>
  <c r="F32" i="138"/>
  <c r="F32" i="141"/>
  <c r="F32" i="142"/>
  <c r="F32" i="137"/>
  <c r="I33" i="135"/>
  <c r="I33" i="134"/>
  <c r="F34" i="133" l="1"/>
  <c r="F34" i="129" l="1"/>
  <c r="F34" i="142"/>
  <c r="F34" i="138"/>
  <c r="I32" i="134"/>
  <c r="I35" i="134" s="1"/>
  <c r="C3" i="133"/>
  <c r="F34" i="141"/>
  <c r="H3" i="142"/>
  <c r="H3" i="141"/>
  <c r="H3" i="138"/>
  <c r="H3" i="137"/>
  <c r="H3" i="135"/>
  <c r="H3" i="134"/>
  <c r="H3" i="133"/>
  <c r="I32" i="138" l="1"/>
  <c r="I34" i="138" s="1"/>
  <c r="I32" i="141"/>
  <c r="I34" i="141" s="1"/>
  <c r="F34" i="137"/>
  <c r="I32" i="129" l="1"/>
  <c r="I32" i="137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34"/>
  <c r="H52" i="141"/>
  <c r="C21" i="129"/>
  <c r="C21" i="134"/>
  <c r="C21" i="135"/>
  <c r="C21" i="137"/>
  <c r="C21" i="138"/>
  <c r="C21" i="141"/>
  <c r="C21" i="142"/>
  <c r="C21" i="133"/>
  <c r="H52" i="129"/>
  <c r="H53" i="134"/>
  <c r="H53" i="135"/>
  <c r="H52" i="137"/>
  <c r="H52" i="138"/>
  <c r="H52" i="133"/>
  <c r="I32" i="142" l="1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37" i="135" s="1"/>
  <c r="I39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8" l="1"/>
  <c r="I38" i="138" s="1"/>
  <c r="I37" i="134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</calcChain>
</file>

<file path=xl/sharedStrings.xml><?xml version="1.0" encoding="utf-8"?>
<sst xmlns="http://schemas.openxmlformats.org/spreadsheetml/2006/main" count="803" uniqueCount="210">
  <si>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</si>
  <si>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</si>
  <si>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</si>
  <si>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</si>
  <si>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</si>
  <si>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</si>
  <si>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</si>
  <si>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</si>
  <si>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</si>
  <si>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</si>
  <si>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</si>
  <si>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</si>
  <si>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</si>
  <si>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</si>
  <si>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</si>
  <si>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</si>
  <si>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</si>
  <si>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</si>
  <si>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</si>
  <si>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</si>
  <si>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</si>
  <si>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</si>
  <si>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</si>
  <si>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</si>
  <si>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</si>
  <si>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</si>
  <si>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</si>
  <si>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</si>
  <si>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</si>
  <si>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</si>
  <si>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</si>
  <si>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</si>
  <si>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</si>
  <si>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</si>
  <si>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</si>
  <si>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</si>
  <si>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</si>
  <si>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</si>
  <si>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</si>
  <si>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</si>
  <si>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</si>
  <si>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</si>
  <si>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</si>
  <si>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</si>
  <si>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</si>
  <si>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</si>
  <si>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</si>
  <si>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</si>
  <si>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</si>
  <si>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</si>
  <si>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</si>
  <si>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</si>
  <si>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</si>
  <si>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</si>
  <si>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</si>
  <si>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</si>
  <si>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</si>
  <si>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</si>
  <si>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</si>
  <si>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</si>
  <si>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</si>
  <si>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</si>
  <si>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</si>
  <si>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</si>
  <si>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</si>
  <si>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</si>
  <si>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</si>
  <si>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</si>
  <si>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</si>
  <si>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</si>
  <si>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</si>
  <si>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</si>
  <si>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</si>
  <si>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</si>
  <si>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</si>
  <si>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</si>
  <si>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</si>
  <si>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</si>
  <si>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</si>
  <si>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</si>
  <si>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</si>
  <si>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</si>
  <si>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</si>
  <si>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</si>
  <si>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</si>
  <si>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</si>
  <si>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</si>
  <si>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</si>
  <si>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</si>
  <si>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</si>
  <si>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</si>
  <si>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</si>
  <si>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</si>
  <si>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</si>
  <si>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</si>
  <si>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</si>
  <si>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</si>
  <si>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</si>
  <si>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</si>
  <si>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</si>
  <si>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</si>
  <si>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</si>
  <si>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</si>
  <si>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</si>
  <si>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</si>
  <si>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</si>
  <si>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</si>
  <si>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</si>
  <si>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</si>
  <si>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</si>
  <si>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</si>
  <si>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</si>
  <si>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</si>
  <si>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</si>
  <si>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</si>
  <si>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</si>
  <si>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</si>
  <si>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</si>
  <si>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</si>
  <si>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</si>
  <si>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</si>
  <si>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</si>
  <si>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</si>
  <si>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</si>
  <si>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</si>
  <si>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</si>
  <si>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</si>
  <si>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</si>
  <si>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</si>
  <si>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</si>
  <si>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</si>
  <si>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</si>
  <si>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</si>
  <si>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</si>
  <si>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</si>
  <si>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</si>
  <si>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</si>
  <si>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</si>
  <si>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</si>
  <si>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</si>
  <si>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</si>
  <si>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</si>
  <si>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</si>
  <si>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</si>
  <si>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</si>
  <si>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</si>
  <si>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</si>
  <si>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</si>
  <si>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</si>
  <si>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</si>
  <si>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</si>
  <si>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</si>
  <si>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</si>
  <si>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</si>
  <si>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</si>
  <si>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</si>
  <si>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</si>
  <si>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</si>
  <si>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</si>
  <si>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</si>
  <si>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</si>
  <si>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</si>
  <si>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</si>
  <si>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</si>
  <si>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</si>
  <si>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</si>
  <si>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</si>
  <si>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</si>
  <si>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</si>
  <si>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</si>
  <si>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</si>
  <si>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</si>
  <si>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</si>
  <si>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</si>
  <si>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</si>
  <si>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</si>
  <si>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</si>
  <si>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</si>
  <si>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GIRLS COTTON FIBERS, KNIT PULLOVER, WITH NO NECK CLOSURE, STITCH COUNT IS GREATER THAN 9/2CM, REACHES WAIST [60% COTTON 40% POLYESTER]</t>
  </si>
  <si>
    <t>02</t>
  </si>
  <si>
    <t>ONLINE</t>
  </si>
  <si>
    <t>RETAIL</t>
  </si>
  <si>
    <t>00, 01</t>
  </si>
  <si>
    <t>265K0030</t>
  </si>
  <si>
    <t>265K0028</t>
  </si>
  <si>
    <t>BLACK COFFEE, BLACK JACK 3, CALLA LILY 2, IN THE NAVY</t>
  </si>
  <si>
    <t>265K0059</t>
  </si>
  <si>
    <t xml:space="preserve"> 265K0075 </t>
  </si>
  <si>
    <t>265K0032</t>
  </si>
  <si>
    <t>FRANCHISE</t>
  </si>
  <si>
    <t>BLACK LEOPARD, PINK LEOPARD HEART</t>
  </si>
  <si>
    <t>WOMENS COTTON FIBERS, KNIT PULLOVER, WITH NO NECK CLOSURE, STITCH COUNT IS GREATER THAN 9/2CM, REACHES WAIST, SLEEVELESS [95% COTTON 5% ELASTANE]</t>
  </si>
  <si>
    <t>HEART FLAG</t>
  </si>
  <si>
    <t>265K0040</t>
  </si>
  <si>
    <t>265K0041</t>
  </si>
  <si>
    <t>Girls Cotton Fibers, Knit Pullover, With No Neck Closure, Stitch Count Is Greater Than 9/2cm, Reaches Waist [100% Cotton]</t>
  </si>
  <si>
    <t>13, 15, 16, 20</t>
  </si>
  <si>
    <t>BRIGHT WHITE</t>
  </si>
  <si>
    <t>04</t>
  </si>
  <si>
    <t>INK BLUE</t>
  </si>
  <si>
    <t>BOYS COTTON FIBERS, KNIT SHIRT, WITH NECK CLOSURE, STITCH COUNT EQUAL OR IS GREATER THAN 10/1CM, HEM BOTTOM [60% COTTON 40% POLYESTER]</t>
  </si>
  <si>
    <t>FAUX HEATHER GREY, INK BLUE, RED TAPE</t>
  </si>
  <si>
    <t>00, 02, 01</t>
  </si>
  <si>
    <t>CALLA LILY 451, INK BLUE</t>
  </si>
  <si>
    <t>00, 02</t>
  </si>
  <si>
    <t>CALLA LILY 451</t>
  </si>
  <si>
    <t>GIRLS COTTON FIBERS, KNIT PULLOVER, WITH NO NECK CLOSURE, STITCH COUNT IS GREATER THAN 9/2CM, REACHES WAIST [100% COTTON]</t>
  </si>
  <si>
    <t>POLKA DOT</t>
  </si>
  <si>
    <t>01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</si>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</sst>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K10" sqref="K10"/>
    </sheetView>
  </sheetViews>
  <sheetFormatPr defaultRowHeight="12.75" x14ac:dyDescent="0.2"/>
  <sheetData>
    <row r="2" spans="2:9" ht="15" x14ac:dyDescent="0.25">
      <c r="B2" s="60">
        <v>1</v>
      </c>
      <c r="C2" t="s">
        <v>186</v>
      </c>
      <c r="E2" s="60">
        <v>1</v>
      </c>
      <c r="F2">
        <v>906033</v>
      </c>
      <c r="H2" s="60">
        <v>1</v>
      </c>
      <c r="I2" s="61" t="s">
        <v>189</v>
      </c>
    </row>
    <row r="3" spans="2:9" ht="15" x14ac:dyDescent="0.25">
      <c r="B3" s="60">
        <v>2</v>
      </c>
      <c r="C3" t="s">
        <v>187</v>
      </c>
      <c r="E3" s="60">
        <v>2</v>
      </c>
      <c r="F3">
        <v>692926</v>
      </c>
      <c r="H3" s="60">
        <v>2</v>
      </c>
      <c r="I3" s="61" t="s">
        <v>189</v>
      </c>
    </row>
    <row r="4" spans="2:9" ht="15" x14ac:dyDescent="0.25">
      <c r="B4" s="60">
        <v>3</v>
      </c>
      <c r="C4" t="s">
        <v>193</v>
      </c>
      <c r="E4" s="60">
        <v>3</v>
      </c>
      <c r="F4">
        <v>416363</v>
      </c>
      <c r="H4" s="60">
        <v>3</v>
      </c>
      <c r="I4" s="61" t="s">
        <v>181</v>
      </c>
    </row>
    <row r="5" spans="2:9" ht="15" x14ac:dyDescent="0.25">
      <c r="B5" s="60">
        <v>4</v>
      </c>
      <c r="C5" t="s">
        <v>193</v>
      </c>
      <c r="E5" s="60">
        <v>4</v>
      </c>
      <c r="F5">
        <v>416363</v>
      </c>
      <c r="H5" s="60">
        <v>4</v>
      </c>
      <c r="I5" s="61" t="s">
        <v>180</v>
      </c>
    </row>
    <row r="6" spans="2:9" ht="15" x14ac:dyDescent="0.25">
      <c r="B6" s="60">
        <v>5</v>
      </c>
      <c r="C6" t="s">
        <v>194</v>
      </c>
      <c r="E6" s="60">
        <v>5</v>
      </c>
      <c r="F6">
        <v>767468</v>
      </c>
      <c r="H6" s="60">
        <v>5</v>
      </c>
      <c r="I6" s="61" t="s">
        <v>180</v>
      </c>
    </row>
    <row r="7" spans="2:9" ht="15" x14ac:dyDescent="0.25">
      <c r="B7" s="60">
        <v>6</v>
      </c>
      <c r="C7" t="s">
        <v>188</v>
      </c>
      <c r="E7" s="60">
        <v>6</v>
      </c>
      <c r="F7">
        <v>893947</v>
      </c>
      <c r="H7" s="60">
        <v>6</v>
      </c>
      <c r="I7" s="61" t="s">
        <v>181</v>
      </c>
    </row>
    <row r="8" spans="2:9" ht="15" x14ac:dyDescent="0.25">
      <c r="B8" s="60">
        <v>7</v>
      </c>
      <c r="C8" t="s">
        <v>183</v>
      </c>
      <c r="E8" s="60">
        <v>7</v>
      </c>
      <c r="F8">
        <v>893957</v>
      </c>
      <c r="H8" s="60">
        <v>7</v>
      </c>
      <c r="I8" s="61" t="s">
        <v>181</v>
      </c>
    </row>
    <row r="9" spans="2:9" ht="15" x14ac:dyDescent="0.25">
      <c r="B9" s="60">
        <v>8</v>
      </c>
      <c r="C9" t="s">
        <v>184</v>
      </c>
      <c r="E9" s="60">
        <v>8</v>
      </c>
      <c r="F9">
        <v>896206</v>
      </c>
      <c r="H9" s="60">
        <v>8</v>
      </c>
      <c r="I9" s="61" t="s">
        <v>181</v>
      </c>
    </row>
    <row r="10" spans="2:9" ht="15" x14ac:dyDescent="0.25">
      <c r="B10" s="60">
        <v>9</v>
      </c>
      <c r="E10" s="60">
        <v>9</v>
      </c>
      <c r="H10" s="60">
        <v>9</v>
      </c>
      <c r="I10" s="61"/>
    </row>
    <row r="11" spans="2:9" ht="15" x14ac:dyDescent="0.25">
      <c r="B11" s="60">
        <v>10</v>
      </c>
      <c r="E11" s="60">
        <v>10</v>
      </c>
      <c r="H11" s="60">
        <v>10</v>
      </c>
      <c r="I11" s="61"/>
    </row>
    <row r="12" spans="2:9" ht="15" x14ac:dyDescent="0.25">
      <c r="B12" s="60">
        <v>11</v>
      </c>
      <c r="E12" s="60">
        <v>11</v>
      </c>
      <c r="H12" s="60">
        <v>11</v>
      </c>
      <c r="I12" s="61"/>
    </row>
    <row r="13" spans="2:9" ht="15" x14ac:dyDescent="0.25">
      <c r="B13" s="60">
        <v>12</v>
      </c>
      <c r="E13" s="60">
        <v>12</v>
      </c>
      <c r="H13" s="60">
        <v>12</v>
      </c>
      <c r="I13" s="61"/>
    </row>
    <row r="14" spans="2:9" ht="15" x14ac:dyDescent="0.25">
      <c r="B14" s="60">
        <v>13</v>
      </c>
      <c r="E14" s="60">
        <v>13</v>
      </c>
      <c r="H14" s="60">
        <v>13</v>
      </c>
      <c r="I14" s="61"/>
    </row>
    <row r="15" spans="2:9" ht="15" x14ac:dyDescent="0.25">
      <c r="B15" s="60">
        <v>14</v>
      </c>
      <c r="E15" s="60">
        <v>14</v>
      </c>
      <c r="H15" s="60">
        <v>14</v>
      </c>
      <c r="I15" s="61"/>
    </row>
    <row r="16" spans="2:9" ht="15" x14ac:dyDescent="0.25">
      <c r="B16" s="60">
        <v>15</v>
      </c>
      <c r="E16" s="60">
        <v>15</v>
      </c>
      <c r="H16" s="60">
        <v>15</v>
      </c>
      <c r="I16" s="61"/>
    </row>
    <row r="17" spans="2:11" ht="15" x14ac:dyDescent="0.25">
      <c r="B17" s="60">
        <v>16</v>
      </c>
      <c r="E17" s="60">
        <v>16</v>
      </c>
      <c r="H17" s="60">
        <v>16</v>
      </c>
      <c r="I17" s="61"/>
    </row>
    <row r="18" spans="2:11" ht="15" x14ac:dyDescent="0.25">
      <c r="B18" s="60">
        <v>17</v>
      </c>
      <c r="E18" s="60">
        <v>17</v>
      </c>
      <c r="H18" s="60">
        <v>17</v>
      </c>
      <c r="I18" s="61"/>
    </row>
    <row r="19" spans="2:11" ht="15" x14ac:dyDescent="0.25">
      <c r="B19" s="60">
        <v>18</v>
      </c>
      <c r="E19" s="60">
        <v>18</v>
      </c>
      <c r="H19" s="60">
        <v>18</v>
      </c>
      <c r="I19" s="61"/>
    </row>
    <row r="20" spans="2:11" ht="15" x14ac:dyDescent="0.25">
      <c r="B20" s="60">
        <v>19</v>
      </c>
      <c r="E20" s="60">
        <v>19</v>
      </c>
      <c r="H20" s="60">
        <v>19</v>
      </c>
      <c r="I20" s="61"/>
    </row>
    <row r="21" spans="2:11" ht="15" x14ac:dyDescent="0.25">
      <c r="B21" s="60">
        <v>20</v>
      </c>
      <c r="E21" s="60">
        <v>20</v>
      </c>
      <c r="H21" s="60">
        <v>20</v>
      </c>
      <c r="I21" s="61"/>
    </row>
    <row r="22" spans="2:11" ht="15" x14ac:dyDescent="0.25">
      <c r="B22" s="60">
        <v>21</v>
      </c>
      <c r="E22" s="60">
        <v>21</v>
      </c>
      <c r="H22" s="60">
        <v>21</v>
      </c>
      <c r="I22" s="61"/>
      <c r="K22" t="s">
        <v>63</v>
      </c>
    </row>
    <row r="23" spans="2:11" ht="15" x14ac:dyDescent="0.25">
      <c r="B23" s="60">
        <v>22</v>
      </c>
      <c r="E23" s="60">
        <v>22</v>
      </c>
      <c r="H23" s="60">
        <v>22</v>
      </c>
      <c r="I23" s="61"/>
    </row>
    <row r="24" spans="2:11" ht="15" x14ac:dyDescent="0.25">
      <c r="B24" s="60">
        <v>23</v>
      </c>
      <c r="E24" s="60">
        <v>23</v>
      </c>
      <c r="H24" s="60">
        <v>23</v>
      </c>
      <c r="I24" s="61"/>
    </row>
    <row r="25" spans="2:11" ht="15" x14ac:dyDescent="0.25">
      <c r="B25" s="60">
        <v>24</v>
      </c>
      <c r="E25" s="60">
        <v>24</v>
      </c>
      <c r="H25" s="60">
        <v>24</v>
      </c>
      <c r="I25" s="61"/>
    </row>
    <row r="26" spans="2:11" ht="15" x14ac:dyDescent="0.25">
      <c r="B26" s="60">
        <v>25</v>
      </c>
      <c r="E26" s="60">
        <v>25</v>
      </c>
      <c r="H26" s="60">
        <v>25</v>
      </c>
      <c r="I26" s="61"/>
    </row>
    <row r="27" spans="2:11" ht="15" x14ac:dyDescent="0.25">
      <c r="B27" s="60">
        <v>26</v>
      </c>
      <c r="E27" s="60">
        <v>26</v>
      </c>
      <c r="H27" s="60">
        <v>26</v>
      </c>
      <c r="I27" s="61"/>
    </row>
    <row r="28" spans="2:11" x14ac:dyDescent="0.2">
      <c r="B28" s="60">
        <v>27</v>
      </c>
      <c r="E28" s="60">
        <v>27</v>
      </c>
      <c r="H28" s="60">
        <v>27</v>
      </c>
    </row>
    <row r="29" spans="2:11" x14ac:dyDescent="0.2">
      <c r="B29" s="60">
        <v>28</v>
      </c>
      <c r="E29" s="60">
        <v>28</v>
      </c>
      <c r="H29" s="60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topLeftCell="A20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209</v>
      </c>
      <c r="C2" s="70"/>
      <c r="D2" s="70"/>
      <c r="E2" s="70"/>
      <c r="F2" s="70"/>
      <c r="G2" s="70"/>
      <c r="H2" s="70"/>
      <c r="I2" s="71"/>
      <c r="J2" s="43">
        <v>61641841</v>
      </c>
      <c r="K2" s="50">
        <v>1392</v>
      </c>
      <c r="L2" s="44">
        <v>24</v>
      </c>
      <c r="M2" s="44">
        <v>111.946</v>
      </c>
      <c r="N2" s="44">
        <v>114.73</v>
      </c>
      <c r="O2" s="44">
        <v>132.33000000000001</v>
      </c>
      <c r="P2" s="44" t="s">
        <v>54</v>
      </c>
      <c r="Q2" s="44">
        <v>0.872</v>
      </c>
      <c r="R2" s="44" t="s">
        <v>62</v>
      </c>
    </row>
    <row r="3" spans="2:22" x14ac:dyDescent="0.2">
      <c r="B3" s="6" t="s">
        <v>53</v>
      </c>
      <c r="C3" s="65">
        <v>86</v>
      </c>
      <c r="D3" s="5"/>
      <c r="E3" s="5"/>
      <c r="F3" s="5"/>
      <c r="G3" s="5" t="s">
        <v>52</v>
      </c>
      <c r="H3" s="31"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61641841</v>
      </c>
      <c r="C21" s="52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132.33000000000001</v>
      </c>
      <c r="G23" s="23">
        <f>+N2</f>
        <v>114.73</v>
      </c>
      <c r="H23" s="23">
        <f>+M2</f>
        <v>111.946</v>
      </c>
      <c r="I23" s="51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8" t="s">
        <v>19</v>
      </c>
      <c r="E31" s="78"/>
      <c r="F31" s="78" t="s">
        <v>18</v>
      </c>
      <c r="G31" s="78"/>
      <c r="H31" s="51" t="s">
        <v>17</v>
      </c>
      <c r="I31" s="19" t="s">
        <v>16</v>
      </c>
      <c r="M31"/>
    </row>
    <row r="32" spans="2:13" ht="38.25" x14ac:dyDescent="0.2">
      <c r="B32" s="41" t="s">
        <v>182</v>
      </c>
      <c r="C32" s="19" t="s">
        <v>190</v>
      </c>
      <c r="D32" s="67"/>
      <c r="E32" s="68"/>
      <c r="F32" s="67">
        <f>+K2</f>
        <v>1392</v>
      </c>
      <c r="G32" s="68"/>
      <c r="H32" s="17">
        <v>0.84</v>
      </c>
      <c r="I32" s="18">
        <f>+H32*F32</f>
        <v>1169.28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1"/>
    </row>
    <row r="34" spans="2:11" ht="21.75" customHeight="1" x14ac:dyDescent="0.2">
      <c r="B34" s="15" t="s">
        <v>14</v>
      </c>
      <c r="C34" s="15"/>
      <c r="D34" s="83"/>
      <c r="E34" s="84"/>
      <c r="F34" s="67">
        <f>SUM(F31:G33)</f>
        <v>1392</v>
      </c>
      <c r="G34" s="68"/>
      <c r="H34" s="15"/>
      <c r="I34" s="14">
        <f>SUM(I32:I33)</f>
        <v>1169.28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85"/>
      <c r="G35" s="74"/>
      <c r="H35" s="15"/>
      <c r="I35" s="51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1169.28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1169.28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209</v>
      </c>
      <c r="C2" s="70"/>
      <c r="D2" s="70"/>
      <c r="E2" s="70"/>
      <c r="F2" s="70"/>
      <c r="G2" s="70"/>
      <c r="H2" s="70"/>
      <c r="I2" s="71"/>
      <c r="J2" s="43">
        <v>61740984</v>
      </c>
      <c r="K2" s="44">
        <v>216</v>
      </c>
      <c r="L2" s="44">
        <v>24</v>
      </c>
      <c r="M2" s="44">
        <v>23.4</v>
      </c>
      <c r="N2" s="44">
        <v>26.66</v>
      </c>
      <c r="O2" s="44">
        <v>37.46</v>
      </c>
      <c r="P2" s="44" t="s">
        <v>54</v>
      </c>
      <c r="Q2" s="44">
        <v>0.40300000000000002</v>
      </c>
      <c r="R2" s="44" t="s">
        <v>62</v>
      </c>
    </row>
    <row r="3" spans="2:22" x14ac:dyDescent="0.2">
      <c r="B3" s="6" t="s">
        <v>53</v>
      </c>
      <c r="C3" s="65">
        <f>+'86'!C3+1</f>
        <v>87</v>
      </c>
      <c r="D3" s="5"/>
      <c r="E3" s="5"/>
      <c r="F3" s="5"/>
      <c r="G3" s="5" t="s">
        <v>52</v>
      </c>
      <c r="H3" s="31">
        <f>+'86'!H3+0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61740984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37.46</v>
      </c>
      <c r="G23" s="23">
        <f>+N2</f>
        <v>26.66</v>
      </c>
      <c r="H23" s="23">
        <f>+M2</f>
        <v>23.4</v>
      </c>
      <c r="I23" s="51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[95% COTTON 5% ELASTANE]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8" t="s">
        <v>19</v>
      </c>
      <c r="E31" s="78"/>
      <c r="F31" s="78" t="s">
        <v>18</v>
      </c>
      <c r="G31" s="78"/>
      <c r="H31" s="51" t="s">
        <v>17</v>
      </c>
      <c r="I31" s="19" t="s">
        <v>16</v>
      </c>
      <c r="M31"/>
    </row>
    <row r="32" spans="2:13" ht="38.25" x14ac:dyDescent="0.2">
      <c r="B32" s="41" t="s">
        <v>196</v>
      </c>
      <c r="C32" s="19" t="s">
        <v>185</v>
      </c>
      <c r="D32" s="67"/>
      <c r="E32" s="68"/>
      <c r="F32" s="67">
        <f>+K2</f>
        <v>216</v>
      </c>
      <c r="G32" s="68"/>
      <c r="H32" s="17">
        <v>0.76</v>
      </c>
      <c r="I32" s="18">
        <f>+H32*F32</f>
        <v>164.16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1"/>
    </row>
    <row r="34" spans="2:11" ht="21.75" customHeight="1" x14ac:dyDescent="0.2">
      <c r="B34" s="15" t="s">
        <v>14</v>
      </c>
      <c r="C34" s="15"/>
      <c r="D34" s="83"/>
      <c r="E34" s="84"/>
      <c r="F34" s="67">
        <f>SUM(F31:G33)</f>
        <v>216</v>
      </c>
      <c r="G34" s="68"/>
      <c r="H34" s="15"/>
      <c r="I34" s="14">
        <f>SUM(I32:I33)</f>
        <v>164.16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85"/>
      <c r="G35" s="74"/>
      <c r="H35" s="15"/>
      <c r="I35" s="51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164.16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164.16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9"/>
  <sheetViews>
    <sheetView view="pageBreakPreview" topLeftCell="A22" zoomScaleNormal="100" zoomScaleSheetLayoutView="100" workbookViewId="0">
      <selection activeCell="H34" sqref="H3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209</v>
      </c>
      <c r="C2" s="70"/>
      <c r="D2" s="70"/>
      <c r="E2" s="70"/>
      <c r="F2" s="70"/>
      <c r="G2" s="70"/>
      <c r="H2" s="70"/>
      <c r="I2" s="71"/>
      <c r="J2" s="43">
        <v>61403278</v>
      </c>
      <c r="K2" s="50">
        <v>35140</v>
      </c>
      <c r="L2" s="44">
        <v>335</v>
      </c>
      <c r="M2" s="64">
        <v>4022.43</v>
      </c>
      <c r="N2" s="64">
        <v>4092.71</v>
      </c>
      <c r="O2" s="64">
        <v>4419.46</v>
      </c>
      <c r="P2" s="44" t="s">
        <v>54</v>
      </c>
      <c r="Q2" s="44">
        <v>21.555</v>
      </c>
      <c r="R2" s="44" t="s">
        <v>62</v>
      </c>
    </row>
    <row r="3" spans="2:22" x14ac:dyDescent="0.2">
      <c r="B3" s="6" t="s">
        <v>53</v>
      </c>
      <c r="C3" s="65">
        <f>+'87'!C3+1</f>
        <v>88</v>
      </c>
      <c r="D3" s="5"/>
      <c r="E3" s="5"/>
      <c r="F3" s="5"/>
      <c r="G3" s="5" t="s">
        <v>52</v>
      </c>
      <c r="H3" s="31">
        <f>+'86'!H3+0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61403278</v>
      </c>
      <c r="C21" s="56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7" t="s">
        <v>35</v>
      </c>
      <c r="G21" s="57"/>
      <c r="H21" s="49" t="str">
        <f>IF(LEFT(G17,2)="CA","CA",IF(LEFT(G17,2)="UN","US",IF(LEFT(G17,2)="PA","PA",IF(LEFT(G17,2)="JA","JP"))))</f>
        <v>US</v>
      </c>
      <c r="I21" s="57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4419.46</v>
      </c>
      <c r="G23" s="23">
        <f>+N2</f>
        <v>4092.71</v>
      </c>
      <c r="H23" s="23">
        <f>+M2</f>
        <v>4022.43</v>
      </c>
      <c r="I23" s="57">
        <f>+L2</f>
        <v>335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78" t="s">
        <v>19</v>
      </c>
      <c r="E31" s="78"/>
      <c r="F31" s="78" t="s">
        <v>18</v>
      </c>
      <c r="G31" s="78"/>
      <c r="H31" s="57" t="s">
        <v>17</v>
      </c>
      <c r="I31" s="19" t="s">
        <v>16</v>
      </c>
      <c r="M31"/>
    </row>
    <row r="32" spans="2:13" ht="27.75" customHeight="1" x14ac:dyDescent="0.2">
      <c r="B32" s="41" t="s">
        <v>198</v>
      </c>
      <c r="C32" s="19" t="s">
        <v>197</v>
      </c>
      <c r="D32" s="67"/>
      <c r="E32" s="68"/>
      <c r="F32" s="67">
        <v>16440</v>
      </c>
      <c r="G32" s="68"/>
      <c r="H32" s="17">
        <v>0.9</v>
      </c>
      <c r="I32" s="18">
        <f>+H32*F32</f>
        <v>14796</v>
      </c>
      <c r="K32" s="48"/>
      <c r="M32" s="39"/>
    </row>
    <row r="33" spans="2:13" ht="27.75" customHeight="1" x14ac:dyDescent="0.2">
      <c r="B33" s="41" t="s">
        <v>179</v>
      </c>
      <c r="C33" s="19" t="s">
        <v>199</v>
      </c>
      <c r="D33" s="67"/>
      <c r="E33" s="68"/>
      <c r="F33" s="67">
        <v>18700</v>
      </c>
      <c r="G33" s="68"/>
      <c r="H33" s="17">
        <v>0.9</v>
      </c>
      <c r="I33" s="18">
        <f>+H33*F33</f>
        <v>16830</v>
      </c>
      <c r="K33" s="48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57"/>
    </row>
    <row r="35" spans="2:13" ht="21.75" customHeight="1" x14ac:dyDescent="0.2">
      <c r="B35" s="15" t="s">
        <v>14</v>
      </c>
      <c r="C35" s="15"/>
      <c r="D35" s="83"/>
      <c r="E35" s="84"/>
      <c r="F35" s="67">
        <f>SUM(F32:G34)</f>
        <v>35140</v>
      </c>
      <c r="G35" s="68"/>
      <c r="H35" s="15"/>
      <c r="I35" s="14">
        <f>SUM(I32:I34)</f>
        <v>31626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57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31626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31626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265K0040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9"/>
  <sheetViews>
    <sheetView view="pageBreakPreview" topLeftCell="A20" zoomScaleNormal="100" zoomScaleSheetLayoutView="100" workbookViewId="0">
      <selection activeCell="I36" sqref="I36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209</v>
      </c>
      <c r="C2" s="70"/>
      <c r="D2" s="70"/>
      <c r="E2" s="70"/>
      <c r="F2" s="70"/>
      <c r="G2" s="70"/>
      <c r="H2" s="70"/>
      <c r="I2" s="71"/>
      <c r="J2" s="43">
        <v>61378128</v>
      </c>
      <c r="K2" s="50">
        <v>21072</v>
      </c>
      <c r="L2" s="44">
        <v>229</v>
      </c>
      <c r="M2" s="64">
        <v>2553.8409999999999</v>
      </c>
      <c r="N2" s="64">
        <v>2595.9850000000001</v>
      </c>
      <c r="O2" s="64">
        <v>2813.3850000000002</v>
      </c>
      <c r="P2" s="44" t="s">
        <v>54</v>
      </c>
      <c r="Q2" s="44">
        <v>13.52</v>
      </c>
      <c r="R2" s="44" t="s">
        <v>62</v>
      </c>
    </row>
    <row r="3" spans="2:22" x14ac:dyDescent="0.2">
      <c r="B3" s="6" t="s">
        <v>53</v>
      </c>
      <c r="C3" s="65">
        <f>+'88'!C3+1</f>
        <v>89</v>
      </c>
      <c r="D3" s="5"/>
      <c r="E3" s="5"/>
      <c r="F3" s="5"/>
      <c r="G3" s="5" t="s">
        <v>52</v>
      </c>
      <c r="H3" s="31">
        <f>+'86'!H3+0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61378128</v>
      </c>
      <c r="C21" s="5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2813.3850000000002</v>
      </c>
      <c r="G23" s="23">
        <f>+N2</f>
        <v>2595.9850000000001</v>
      </c>
      <c r="H23" s="23">
        <f>+M2</f>
        <v>2553.8409999999999</v>
      </c>
      <c r="I23" s="58">
        <f>+L2</f>
        <v>229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8" t="s">
        <v>19</v>
      </c>
      <c r="E31" s="78"/>
      <c r="F31" s="78" t="s">
        <v>18</v>
      </c>
      <c r="G31" s="78"/>
      <c r="H31" s="58" t="s">
        <v>17</v>
      </c>
      <c r="I31" s="19" t="s">
        <v>16</v>
      </c>
      <c r="M31"/>
    </row>
    <row r="32" spans="2:13" ht="27" customHeight="1" x14ac:dyDescent="0.2">
      <c r="B32" s="41" t="s">
        <v>198</v>
      </c>
      <c r="C32" s="19" t="s">
        <v>197</v>
      </c>
      <c r="D32" s="67"/>
      <c r="E32" s="68"/>
      <c r="F32" s="67">
        <v>4873</v>
      </c>
      <c r="G32" s="68"/>
      <c r="H32" s="17">
        <v>0.9</v>
      </c>
      <c r="I32" s="18">
        <f>+H32*F32</f>
        <v>4385.7</v>
      </c>
      <c r="K32" s="48"/>
      <c r="M32" s="39"/>
    </row>
    <row r="33" spans="2:13" ht="25.5" x14ac:dyDescent="0.2">
      <c r="B33" s="41" t="s">
        <v>202</v>
      </c>
      <c r="C33" s="19" t="s">
        <v>201</v>
      </c>
      <c r="D33" s="67"/>
      <c r="E33" s="68"/>
      <c r="F33" s="67">
        <v>16199</v>
      </c>
      <c r="G33" s="68"/>
      <c r="H33" s="17">
        <v>0.9</v>
      </c>
      <c r="I33" s="18">
        <f>+H33*F33</f>
        <v>14579.1</v>
      </c>
      <c r="K33" s="48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62"/>
    </row>
    <row r="35" spans="2:13" ht="21.75" customHeight="1" x14ac:dyDescent="0.2">
      <c r="B35" s="15" t="s">
        <v>14</v>
      </c>
      <c r="C35" s="15"/>
      <c r="D35" s="83"/>
      <c r="E35" s="84"/>
      <c r="F35" s="67">
        <f>SUM(F32:G34)</f>
        <v>21072</v>
      </c>
      <c r="G35" s="68"/>
      <c r="H35" s="15"/>
      <c r="I35" s="14">
        <f>SUM(I32:I33)</f>
        <v>18964.8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58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18964.8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18964.8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265K0040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2" zoomScaleNormal="100" zoomScaleSheetLayoutView="100" workbookViewId="0">
      <selection activeCell="H32" sqref="H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209</v>
      </c>
      <c r="C2" s="70"/>
      <c r="D2" s="70"/>
      <c r="E2" s="70"/>
      <c r="F2" s="70"/>
      <c r="G2" s="70"/>
      <c r="H2" s="70"/>
      <c r="I2" s="71"/>
      <c r="J2" s="43">
        <v>61378119</v>
      </c>
      <c r="K2" s="44">
        <v>645</v>
      </c>
      <c r="L2" s="44">
        <v>14</v>
      </c>
      <c r="M2" s="44">
        <v>94.355000000000004</v>
      </c>
      <c r="N2" s="44">
        <v>101.279</v>
      </c>
      <c r="O2" s="44">
        <v>112.879</v>
      </c>
      <c r="P2" s="44" t="s">
        <v>54</v>
      </c>
      <c r="Q2" s="44">
        <v>0.56999999999999995</v>
      </c>
      <c r="R2" s="44" t="s">
        <v>62</v>
      </c>
    </row>
    <row r="3" spans="2:22" x14ac:dyDescent="0.2">
      <c r="B3" s="6" t="s">
        <v>53</v>
      </c>
      <c r="C3" s="65">
        <f>+'89'!C3+1</f>
        <v>90</v>
      </c>
      <c r="D3" s="5"/>
      <c r="E3" s="5"/>
      <c r="F3" s="5"/>
      <c r="G3" s="5" t="s">
        <v>52</v>
      </c>
      <c r="H3" s="31">
        <f>+'86'!H3+0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61378119</v>
      </c>
      <c r="C21" s="5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112.879</v>
      </c>
      <c r="G23" s="23">
        <f>+N2</f>
        <v>101.279</v>
      </c>
      <c r="H23" s="23">
        <f>+M2</f>
        <v>94.355000000000004</v>
      </c>
      <c r="I23" s="58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8" t="s">
        <v>19</v>
      </c>
      <c r="E31" s="78"/>
      <c r="F31" s="78" t="s">
        <v>18</v>
      </c>
      <c r="G31" s="78"/>
      <c r="H31" s="58" t="s">
        <v>17</v>
      </c>
      <c r="I31" s="19" t="s">
        <v>16</v>
      </c>
      <c r="M31"/>
    </row>
    <row r="32" spans="2:13" ht="27.75" customHeight="1" x14ac:dyDescent="0.2">
      <c r="B32" s="41" t="s">
        <v>204</v>
      </c>
      <c r="C32" s="19" t="s">
        <v>203</v>
      </c>
      <c r="D32" s="67"/>
      <c r="E32" s="68"/>
      <c r="F32" s="67">
        <f>+K2</f>
        <v>645</v>
      </c>
      <c r="G32" s="68"/>
      <c r="H32" s="17">
        <v>1.05</v>
      </c>
      <c r="I32" s="18">
        <f>+H32*F32</f>
        <v>677.25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8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645</v>
      </c>
      <c r="G34" s="68"/>
      <c r="H34" s="15"/>
      <c r="I34" s="14">
        <f>SUM(I32:I33)</f>
        <v>677.25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85"/>
      <c r="G35" s="74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677.25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677.25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265K0041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209</v>
      </c>
      <c r="C2" s="70"/>
      <c r="D2" s="70"/>
      <c r="E2" s="70"/>
      <c r="F2" s="70"/>
      <c r="G2" s="70"/>
      <c r="H2" s="70"/>
      <c r="I2" s="71"/>
      <c r="J2" s="43">
        <v>61296247</v>
      </c>
      <c r="K2" s="50">
        <v>8216</v>
      </c>
      <c r="L2" s="44">
        <v>54</v>
      </c>
      <c r="M2" s="44">
        <v>657.97299999999996</v>
      </c>
      <c r="N2" s="44">
        <v>674.40499999999997</v>
      </c>
      <c r="O2" s="44">
        <v>726.80499999999995</v>
      </c>
      <c r="P2" s="44" t="s">
        <v>54</v>
      </c>
      <c r="Q2" s="44">
        <v>3.355</v>
      </c>
      <c r="R2" s="44" t="s">
        <v>62</v>
      </c>
    </row>
    <row r="3" spans="2:22" x14ac:dyDescent="0.2">
      <c r="B3" s="6" t="s">
        <v>53</v>
      </c>
      <c r="C3" s="65">
        <f>+'90'!C3+1</f>
        <v>91</v>
      </c>
      <c r="D3" s="5"/>
      <c r="E3" s="5"/>
      <c r="F3" s="5"/>
      <c r="G3" s="5" t="s">
        <v>52</v>
      </c>
      <c r="H3" s="31">
        <f>+'86'!H3+0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61296247</v>
      </c>
      <c r="C21" s="59">
        <f>VLOOKUP($K56,reff!E2:F29,2,0)</f>
        <v>893947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726.80499999999995</v>
      </c>
      <c r="G23" s="23">
        <f>+N2</f>
        <v>674.40499999999997</v>
      </c>
      <c r="H23" s="23">
        <f>+M2</f>
        <v>657.97299999999996</v>
      </c>
      <c r="I23" s="58">
        <f>+L2</f>
        <v>54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8" t="s">
        <v>19</v>
      </c>
      <c r="E31" s="78"/>
      <c r="F31" s="78" t="s">
        <v>18</v>
      </c>
      <c r="G31" s="78"/>
      <c r="H31" s="58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192</v>
      </c>
      <c r="D32" s="67"/>
      <c r="E32" s="68"/>
      <c r="F32" s="67">
        <f>+K2</f>
        <v>8216</v>
      </c>
      <c r="G32" s="68"/>
      <c r="H32" s="17">
        <v>1.1000000000000001</v>
      </c>
      <c r="I32" s="18">
        <f>+H32*F32</f>
        <v>9037.6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6"/>
    </row>
    <row r="34" spans="2:11" ht="21.75" customHeight="1" x14ac:dyDescent="0.2">
      <c r="B34" s="15" t="s">
        <v>14</v>
      </c>
      <c r="C34" s="15"/>
      <c r="D34" s="83"/>
      <c r="E34" s="84"/>
      <c r="F34" s="67">
        <f>SUM(F32:G32)</f>
        <v>8216</v>
      </c>
      <c r="G34" s="68"/>
      <c r="H34" s="15"/>
      <c r="I34" s="14">
        <f>SUM(I32:I32)</f>
        <v>9037.6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85"/>
      <c r="G36" s="74"/>
      <c r="H36" s="15"/>
      <c r="I36" s="14">
        <f>+I34</f>
        <v>9037.6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9037.6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265K0032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209</v>
      </c>
      <c r="C2" s="70"/>
      <c r="D2" s="70"/>
      <c r="E2" s="70"/>
      <c r="F2" s="70"/>
      <c r="G2" s="70"/>
      <c r="H2" s="70"/>
      <c r="I2" s="71"/>
      <c r="J2" s="43">
        <v>61296251</v>
      </c>
      <c r="K2" s="50">
        <v>9061</v>
      </c>
      <c r="L2" s="44">
        <v>68</v>
      </c>
      <c r="M2" s="44">
        <v>727.12300000000005</v>
      </c>
      <c r="N2" s="44">
        <v>745.245</v>
      </c>
      <c r="O2" s="44">
        <v>805.745</v>
      </c>
      <c r="P2" s="44" t="s">
        <v>54</v>
      </c>
      <c r="Q2" s="44">
        <v>3.7240000000000002</v>
      </c>
      <c r="R2" s="44" t="s">
        <v>62</v>
      </c>
    </row>
    <row r="3" spans="2:22" x14ac:dyDescent="0.2">
      <c r="B3" s="6" t="s">
        <v>53</v>
      </c>
      <c r="C3" s="65">
        <f>+'91'!C3+1</f>
        <v>92</v>
      </c>
      <c r="D3" s="5"/>
      <c r="E3" s="5"/>
      <c r="F3" s="5"/>
      <c r="G3" s="5" t="s">
        <v>52</v>
      </c>
      <c r="H3" s="31">
        <f>+'86'!H3+0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61296251</v>
      </c>
      <c r="C21" s="59">
        <f>VLOOKUP($K55,reff!E2:F29,2,0)</f>
        <v>893957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805.745</v>
      </c>
      <c r="G23" s="23">
        <f>+N2</f>
        <v>745.245</v>
      </c>
      <c r="H23" s="23">
        <f>+M2</f>
        <v>727.12300000000005</v>
      </c>
      <c r="I23" s="58">
        <f>+L2</f>
        <v>68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8" t="s">
        <v>19</v>
      </c>
      <c r="E31" s="78"/>
      <c r="F31" s="78" t="s">
        <v>18</v>
      </c>
      <c r="G31" s="78"/>
      <c r="H31" s="58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205</v>
      </c>
      <c r="D32" s="67"/>
      <c r="E32" s="68"/>
      <c r="F32" s="67">
        <f>+K2</f>
        <v>9061</v>
      </c>
      <c r="G32" s="68"/>
      <c r="H32" s="17">
        <v>0.78</v>
      </c>
      <c r="I32" s="18">
        <f>+H32*F32</f>
        <v>7067.58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3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9061</v>
      </c>
      <c r="G34" s="68"/>
      <c r="H34" s="15"/>
      <c r="I34" s="14">
        <f>SUM(I32:I33)</f>
        <v>7067.58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85"/>
      <c r="G35" s="74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7067.58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7067.58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265K0030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topLeftCell="A25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209</v>
      </c>
      <c r="C2" s="70"/>
      <c r="D2" s="70"/>
      <c r="E2" s="70"/>
      <c r="F2" s="70"/>
      <c r="G2" s="70"/>
      <c r="H2" s="70"/>
      <c r="I2" s="71"/>
      <c r="J2" s="43">
        <v>61364826</v>
      </c>
      <c r="K2" s="50">
        <v>7009</v>
      </c>
      <c r="L2" s="44">
        <v>50</v>
      </c>
      <c r="M2" s="44">
        <v>563.75199999999995</v>
      </c>
      <c r="N2" s="44">
        <v>577.77</v>
      </c>
      <c r="O2" s="44">
        <v>623.97</v>
      </c>
      <c r="P2" s="44" t="s">
        <v>54</v>
      </c>
      <c r="Q2" s="44">
        <v>2.8849999999999998</v>
      </c>
      <c r="R2" s="44" t="s">
        <v>62</v>
      </c>
    </row>
    <row r="3" spans="2:22" x14ac:dyDescent="0.2">
      <c r="B3" s="6" t="s">
        <v>53</v>
      </c>
      <c r="C3" s="65">
        <f>+'92'!C3+1</f>
        <v>93</v>
      </c>
      <c r="D3" s="5"/>
      <c r="E3" s="5"/>
      <c r="F3" s="5"/>
      <c r="G3" s="5" t="s">
        <v>52</v>
      </c>
      <c r="H3" s="31">
        <f>+'86'!H3+0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61364826</v>
      </c>
      <c r="C21" s="59">
        <f>VLOOKUP($K55,reff!E2:F29,2,0)</f>
        <v>896206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623.97</v>
      </c>
      <c r="G23" s="23">
        <f>+N2</f>
        <v>577.77</v>
      </c>
      <c r="H23" s="23">
        <f>+M2</f>
        <v>563.75199999999995</v>
      </c>
      <c r="I23" s="58">
        <f>+L2</f>
        <v>50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8" t="s">
        <v>19</v>
      </c>
      <c r="E31" s="78"/>
      <c r="F31" s="78" t="s">
        <v>18</v>
      </c>
      <c r="G31" s="78"/>
      <c r="H31" s="58" t="s">
        <v>17</v>
      </c>
      <c r="I31" s="19" t="s">
        <v>16</v>
      </c>
      <c r="M31"/>
    </row>
    <row r="32" spans="2:13" ht="27.75" customHeight="1" x14ac:dyDescent="0.2">
      <c r="B32" s="41" t="s">
        <v>208</v>
      </c>
      <c r="C32" s="19" t="s">
        <v>207</v>
      </c>
      <c r="D32" s="67"/>
      <c r="E32" s="68"/>
      <c r="F32" s="67">
        <f>+K2</f>
        <v>7009</v>
      </c>
      <c r="G32" s="68"/>
      <c r="H32" s="17">
        <v>0.81</v>
      </c>
      <c r="I32" s="18">
        <f>+H32*F32</f>
        <v>5677.29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8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7009</v>
      </c>
      <c r="G34" s="68"/>
      <c r="H34" s="15"/>
      <c r="I34" s="14">
        <f>SUM(I32:I33)</f>
        <v>5677.29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85"/>
      <c r="G35" s="74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5677.29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5677.29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265K0028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Sheet1</vt:lpstr>
      <vt:lpstr>reff</vt:lpstr>
      <vt:lpstr>86</vt:lpstr>
      <vt:lpstr>87</vt:lpstr>
      <vt:lpstr>88</vt:lpstr>
      <vt:lpstr>89</vt:lpstr>
      <vt:lpstr>90</vt:lpstr>
      <vt:lpstr>91</vt:lpstr>
      <vt:lpstr>92</vt:lpstr>
      <vt:lpstr>93</vt:lpstr>
      <vt:lpstr>'86'!Print_Area</vt:lpstr>
      <vt:lpstr>'87'!Print_Area</vt:lpstr>
      <vt:lpstr>'88'!Print_Area</vt:lpstr>
      <vt:lpstr>'89'!Print_Area</vt:lpstr>
      <vt:lpstr>'90'!Print_Area</vt:lpstr>
      <vt:lpstr>'91'!Print_Area</vt:lpstr>
      <vt:lpstr>'92'!Print_Area</vt:lpstr>
      <vt:lpstr>'93'!Print_Area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2026-05-07T00:51:25Z</cp:lastPrinted>
  <dcterms:created xsi:type="dcterms:W3CDTF">2024-04-17T09:56:05Z</dcterms:created>
  <dcterms:modified xsi:type="dcterms:W3CDTF">2026-05-07T01:40:23Z</dcterms:modified>
</cp:coreProperties>
</file>