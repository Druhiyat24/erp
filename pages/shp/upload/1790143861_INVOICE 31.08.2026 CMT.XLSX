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0 DATA SRI\EKSPORT\1. GAP\Shipment GAP\2026\8. AGUSTUS\31.08.2026\"/>
    </mc:Choice>
  </mc:AlternateContent>
  <bookViews>
    <workbookView xWindow="-120" yWindow="-120" windowWidth="20730" windowHeight="11160" tabRatio="804" firstSheet="1" activeTab="2"/>
  </bookViews>
  <sheets>
    <sheet name="Sheet1" sheetId="128" r:id="rId1"/>
    <sheet name="reff" sheetId="162" r:id="rId2"/>
    <sheet name="429" sheetId="138" r:id="rId3"/>
    <sheet name="430" sheetId="129" r:id="rId4"/>
    <sheet name="431" sheetId="133" r:id="rId5"/>
    <sheet name="432" sheetId="134" r:id="rId6"/>
    <sheet name="433" sheetId="135" r:id="rId7"/>
    <sheet name="434" sheetId="137" r:id="rId8"/>
    <sheet name="435" sheetId="172" r:id="rId9"/>
    <sheet name="436" sheetId="173" r:id="rId10"/>
    <sheet name="437" sheetId="174" r:id="rId11"/>
    <sheet name="438" sheetId="175" r:id="rId12"/>
    <sheet name="439" sheetId="176" r:id="rId13"/>
    <sheet name="440" sheetId="177" r:id="rId14"/>
    <sheet name="441" sheetId="178" r:id="rId15"/>
    <sheet name="442" sheetId="179" r:id="rId16"/>
    <sheet name="443" sheetId="180" r:id="rId17"/>
  </sheets>
  <externalReferences>
    <externalReference r:id="rId18"/>
    <externalReference r:id="rId19"/>
    <externalReference r:id="rId20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 localSheetId="5">[2]xdata!#REF!</definedName>
    <definedName name="a" localSheetId="6">[2]xdata!#REF!</definedName>
    <definedName name="a" localSheetId="7">[2]xdata!#REF!</definedName>
    <definedName name="a" localSheetId="8">[2]xdata!#REF!</definedName>
    <definedName name="a" localSheetId="9">[2]xdata!#REF!</definedName>
    <definedName name="a" localSheetId="10">[2]xdata!#REF!</definedName>
    <definedName name="a" localSheetId="11">[2]xdata!#REF!</definedName>
    <definedName name="a" localSheetId="12">[2]xdata!#REF!</definedName>
    <definedName name="a" localSheetId="13">[2]xdata!#REF!</definedName>
    <definedName name="a" localSheetId="14">[2]xdata!#REF!</definedName>
    <definedName name="a" localSheetId="15">[2]xdata!#REF!</definedName>
    <definedName name="a" localSheetId="16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 localSheetId="5">[2]xdata!#REF!</definedName>
    <definedName name="b" localSheetId="6">[2]xdata!#REF!</definedName>
    <definedName name="b" localSheetId="7">[2]xdata!#REF!</definedName>
    <definedName name="b" localSheetId="8">[2]xdata!#REF!</definedName>
    <definedName name="b" localSheetId="9">[2]xdata!#REF!</definedName>
    <definedName name="b" localSheetId="10">[2]xdata!#REF!</definedName>
    <definedName name="b" localSheetId="11">[2]xdata!#REF!</definedName>
    <definedName name="b" localSheetId="12">[2]xdata!#REF!</definedName>
    <definedName name="b" localSheetId="13">[2]xdata!#REF!</definedName>
    <definedName name="b" localSheetId="14">[2]xdata!#REF!</definedName>
    <definedName name="b" localSheetId="15">[2]xdata!#REF!</definedName>
    <definedName name="b" localSheetId="16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 localSheetId="5">[2]xdata!#REF!</definedName>
    <definedName name="C_O" localSheetId="6">[2]xdata!#REF!</definedName>
    <definedName name="C_O" localSheetId="7">[2]xdata!#REF!</definedName>
    <definedName name="C_O" localSheetId="8">[2]xdata!#REF!</definedName>
    <definedName name="C_O" localSheetId="9">[2]xdata!#REF!</definedName>
    <definedName name="C_O" localSheetId="10">[2]xdata!#REF!</definedName>
    <definedName name="C_O" localSheetId="11">[2]xdata!#REF!</definedName>
    <definedName name="C_O" localSheetId="12">[2]xdata!#REF!</definedName>
    <definedName name="C_O" localSheetId="13">[2]xdata!#REF!</definedName>
    <definedName name="C_O" localSheetId="14">[2]xdata!#REF!</definedName>
    <definedName name="C_O" localSheetId="15">[2]xdata!#REF!</definedName>
    <definedName name="C_O" localSheetId="16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 localSheetId="5">[2]xdata!#REF!</definedName>
    <definedName name="Dept_no" localSheetId="6">[2]xdata!#REF!</definedName>
    <definedName name="Dept_no" localSheetId="7">[2]xdata!#REF!</definedName>
    <definedName name="Dept_no" localSheetId="8">[2]xdata!#REF!</definedName>
    <definedName name="Dept_no" localSheetId="9">[2]xdata!#REF!</definedName>
    <definedName name="Dept_no" localSheetId="10">[2]xdata!#REF!</definedName>
    <definedName name="Dept_no" localSheetId="11">[2]xdata!#REF!</definedName>
    <definedName name="Dept_no" localSheetId="12">[2]xdata!#REF!</definedName>
    <definedName name="Dept_no" localSheetId="13">[2]xdata!#REF!</definedName>
    <definedName name="Dept_no" localSheetId="14">[2]xdata!#REF!</definedName>
    <definedName name="Dept_no" localSheetId="15">[2]xdata!#REF!</definedName>
    <definedName name="Dept_no" localSheetId="16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 localSheetId="5">[2]xdata!#REF!</definedName>
    <definedName name="E_L" localSheetId="6">[2]xdata!#REF!</definedName>
    <definedName name="E_L" localSheetId="7">[2]xdata!#REF!</definedName>
    <definedName name="E_L" localSheetId="8">[2]xdata!#REF!</definedName>
    <definedName name="E_L" localSheetId="9">[2]xdata!#REF!</definedName>
    <definedName name="E_L" localSheetId="10">[2]xdata!#REF!</definedName>
    <definedName name="E_L" localSheetId="11">[2]xdata!#REF!</definedName>
    <definedName name="E_L" localSheetId="12">[2]xdata!#REF!</definedName>
    <definedName name="E_L" localSheetId="13">[2]xdata!#REF!</definedName>
    <definedName name="E_L" localSheetId="14">[2]xdata!#REF!</definedName>
    <definedName name="E_L" localSheetId="15">[2]xdata!#REF!</definedName>
    <definedName name="E_L" localSheetId="16">[2]xdata!#REF!</definedName>
    <definedName name="E_L">[2]xdata!#REF!</definedName>
    <definedName name="INVOICE">[2]xdata!$B$2</definedName>
    <definedName name="_xlnm.Print_Area" localSheetId="2">'429'!$B$1:$I$59</definedName>
    <definedName name="_xlnm.Print_Area" localSheetId="3">'430'!$B$1:$I$59</definedName>
    <definedName name="_xlnm.Print_Area" localSheetId="4">'431'!$B$1:$I$57</definedName>
    <definedName name="_xlnm.Print_Area" localSheetId="5">'432'!$B$1:$I$57</definedName>
    <definedName name="_xlnm.Print_Area" localSheetId="6">'433'!$B$1:$I$57</definedName>
    <definedName name="_xlnm.Print_Area" localSheetId="7">'434'!$B$1:$I$57</definedName>
    <definedName name="_xlnm.Print_Area" localSheetId="8">'435'!$B$1:$I$58</definedName>
    <definedName name="_xlnm.Print_Area" localSheetId="9">'436'!$B$1:$I$57</definedName>
    <definedName name="_xlnm.Print_Area" localSheetId="10">'437'!$B$1:$I$57</definedName>
    <definedName name="_xlnm.Print_Area" localSheetId="11">'438'!$B$1:$I$57</definedName>
    <definedName name="_xlnm.Print_Area" localSheetId="12">'439'!$B$1:$I$57</definedName>
    <definedName name="_xlnm.Print_Area" localSheetId="13">'440'!$B$1:$I$57</definedName>
    <definedName name="_xlnm.Print_Area" localSheetId="14">'441'!$B$1:$I$57</definedName>
    <definedName name="_xlnm.Print_Area" localSheetId="15">'442'!$B$1:$I$57</definedName>
    <definedName name="_xlnm.Print_Area" localSheetId="16">'443'!$B$1:$I$57</definedName>
    <definedName name="v" localSheetId="2">[2]xdata!#REF!</definedName>
    <definedName name="v" localSheetId="3">[2]xdata!#REF!</definedName>
    <definedName name="v" localSheetId="4">[2]xdata!#REF!</definedName>
    <definedName name="v" localSheetId="5">[2]xdata!#REF!</definedName>
    <definedName name="v" localSheetId="6">[2]xdata!#REF!</definedName>
    <definedName name="v" localSheetId="7">[2]xdata!#REF!</definedName>
    <definedName name="v" localSheetId="8">[2]xdata!#REF!</definedName>
    <definedName name="v" localSheetId="9">[2]xdata!#REF!</definedName>
    <definedName name="v" localSheetId="10">[2]xdata!#REF!</definedName>
    <definedName name="v" localSheetId="11">[2]xdata!#REF!</definedName>
    <definedName name="v" localSheetId="12">[2]xdata!#REF!</definedName>
    <definedName name="v" localSheetId="13">[2]xdata!#REF!</definedName>
    <definedName name="v" localSheetId="14">[2]xdata!#REF!</definedName>
    <definedName name="v" localSheetId="15">[2]xdata!#REF!</definedName>
    <definedName name="v" localSheetId="16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76" l="1"/>
  <c r="F32" i="174"/>
  <c r="F32" i="172"/>
  <c r="I33" i="172"/>
  <c r="F32" i="137"/>
  <c r="F32" i="134"/>
  <c r="F32" i="133"/>
  <c r="F32" i="129"/>
  <c r="I34" i="129"/>
  <c r="I33" i="129"/>
  <c r="I32" i="129"/>
  <c r="F32" i="138"/>
  <c r="B21" i="138"/>
  <c r="I34" i="138"/>
  <c r="I33" i="138"/>
  <c r="F36" i="129" l="1"/>
  <c r="F32" i="179" l="1"/>
  <c r="F32" i="178"/>
  <c r="F34" i="176"/>
  <c r="F32" i="177" l="1"/>
  <c r="F32" i="175"/>
  <c r="F34" i="133"/>
  <c r="I32" i="133"/>
  <c r="I34" i="133" s="1"/>
  <c r="H52" i="180"/>
  <c r="F32" i="180"/>
  <c r="F34" i="180" s="1"/>
  <c r="B27" i="180"/>
  <c r="I23" i="180"/>
  <c r="H23" i="180"/>
  <c r="G23" i="180"/>
  <c r="F23" i="180"/>
  <c r="E23" i="180"/>
  <c r="E21" i="180"/>
  <c r="D21" i="180"/>
  <c r="C21" i="180"/>
  <c r="B21" i="180"/>
  <c r="B17" i="180"/>
  <c r="B18" i="180" s="1"/>
  <c r="B16" i="180"/>
  <c r="B15" i="180"/>
  <c r="G14" i="180"/>
  <c r="G15" i="180" s="1"/>
  <c r="G16" i="180" s="1"/>
  <c r="G17" i="180" s="1"/>
  <c r="H21" i="180" s="1"/>
  <c r="I32" i="180" l="1"/>
  <c r="I34" i="180" s="1"/>
  <c r="I36" i="180" s="1"/>
  <c r="I38" i="180" s="1"/>
  <c r="F34" i="179"/>
  <c r="I32" i="178"/>
  <c r="I32" i="176"/>
  <c r="F32" i="135"/>
  <c r="F36" i="138"/>
  <c r="I32" i="138"/>
  <c r="I36" i="138" s="1"/>
  <c r="H52" i="179"/>
  <c r="B27" i="179"/>
  <c r="I23" i="179"/>
  <c r="H23" i="179"/>
  <c r="G23" i="179"/>
  <c r="F23" i="179"/>
  <c r="E23" i="179"/>
  <c r="E21" i="179"/>
  <c r="D21" i="179"/>
  <c r="C21" i="179"/>
  <c r="B21" i="179"/>
  <c r="B16" i="179"/>
  <c r="B17" i="179" s="1"/>
  <c r="B18" i="179" s="1"/>
  <c r="B15" i="179"/>
  <c r="G14" i="179"/>
  <c r="G15" i="179" s="1"/>
  <c r="G16" i="179" s="1"/>
  <c r="G17" i="179" s="1"/>
  <c r="H21" i="179" s="1"/>
  <c r="H52" i="178"/>
  <c r="F34" i="178"/>
  <c r="B27" i="178"/>
  <c r="I23" i="178"/>
  <c r="H23" i="178"/>
  <c r="G23" i="178"/>
  <c r="F23" i="178"/>
  <c r="E23" i="178"/>
  <c r="E21" i="178"/>
  <c r="D21" i="178"/>
  <c r="C21" i="178"/>
  <c r="B21" i="178"/>
  <c r="B15" i="178"/>
  <c r="B16" i="178" s="1"/>
  <c r="B17" i="178" s="1"/>
  <c r="B18" i="178" s="1"/>
  <c r="G14" i="178"/>
  <c r="G15" i="178" s="1"/>
  <c r="G16" i="178" s="1"/>
  <c r="G17" i="178" s="1"/>
  <c r="H21" i="178" s="1"/>
  <c r="H52" i="177"/>
  <c r="F34" i="177"/>
  <c r="I32" i="177"/>
  <c r="I34" i="177" s="1"/>
  <c r="I36" i="177" s="1"/>
  <c r="I38" i="177" s="1"/>
  <c r="B27" i="177"/>
  <c r="I23" i="177"/>
  <c r="H23" i="177"/>
  <c r="G23" i="177"/>
  <c r="F23" i="177"/>
  <c r="E23" i="177"/>
  <c r="E21" i="177"/>
  <c r="D21" i="177"/>
  <c r="C21" i="177"/>
  <c r="B21" i="177"/>
  <c r="B15" i="177"/>
  <c r="B16" i="177" s="1"/>
  <c r="B17" i="177" s="1"/>
  <c r="B18" i="177" s="1"/>
  <c r="G14" i="177"/>
  <c r="G15" i="177" s="1"/>
  <c r="G16" i="177" s="1"/>
  <c r="G17" i="177" s="1"/>
  <c r="H21" i="177" s="1"/>
  <c r="H52" i="176"/>
  <c r="B27" i="176"/>
  <c r="I23" i="176"/>
  <c r="H23" i="176"/>
  <c r="G23" i="176"/>
  <c r="F23" i="176"/>
  <c r="E23" i="176"/>
  <c r="E21" i="176"/>
  <c r="D21" i="176"/>
  <c r="C21" i="176"/>
  <c r="B21" i="176"/>
  <c r="B15" i="176"/>
  <c r="B16" i="176" s="1"/>
  <c r="B17" i="176" s="1"/>
  <c r="B18" i="176" s="1"/>
  <c r="G14" i="176"/>
  <c r="G15" i="176" s="1"/>
  <c r="G16" i="176" s="1"/>
  <c r="G17" i="176" s="1"/>
  <c r="H21" i="176" s="1"/>
  <c r="H52" i="175"/>
  <c r="F34" i="175"/>
  <c r="I32" i="175"/>
  <c r="B27" i="175"/>
  <c r="I23" i="175"/>
  <c r="H23" i="175"/>
  <c r="G23" i="175"/>
  <c r="F23" i="175"/>
  <c r="E23" i="175"/>
  <c r="E21" i="175"/>
  <c r="D21" i="175"/>
  <c r="C21" i="175"/>
  <c r="B21" i="175"/>
  <c r="B15" i="175"/>
  <c r="B16" i="175" s="1"/>
  <c r="B17" i="175" s="1"/>
  <c r="B18" i="175" s="1"/>
  <c r="G14" i="175"/>
  <c r="G15" i="175" s="1"/>
  <c r="G16" i="175" s="1"/>
  <c r="G17" i="175" s="1"/>
  <c r="H21" i="175" s="1"/>
  <c r="H52" i="174"/>
  <c r="F34" i="174"/>
  <c r="I32" i="174"/>
  <c r="I34" i="174" s="1"/>
  <c r="I36" i="174" s="1"/>
  <c r="I38" i="174" s="1"/>
  <c r="B27" i="174"/>
  <c r="I23" i="174"/>
  <c r="H23" i="174"/>
  <c r="G23" i="174"/>
  <c r="F23" i="174"/>
  <c r="E23" i="174"/>
  <c r="E21" i="174"/>
  <c r="D21" i="174"/>
  <c r="C21" i="174"/>
  <c r="B21" i="174"/>
  <c r="B15" i="174"/>
  <c r="B16" i="174" s="1"/>
  <c r="B17" i="174" s="1"/>
  <c r="B18" i="174" s="1"/>
  <c r="G14" i="174"/>
  <c r="G15" i="174" s="1"/>
  <c r="G16" i="174" s="1"/>
  <c r="G17" i="174" s="1"/>
  <c r="H21" i="174" s="1"/>
  <c r="H52" i="173"/>
  <c r="F32" i="173"/>
  <c r="F34" i="173" s="1"/>
  <c r="B27" i="173"/>
  <c r="I23" i="173"/>
  <c r="H23" i="173"/>
  <c r="G23" i="173"/>
  <c r="F23" i="173"/>
  <c r="E23" i="173"/>
  <c r="E21" i="173"/>
  <c r="D21" i="173"/>
  <c r="C21" i="173"/>
  <c r="B21" i="173"/>
  <c r="B16" i="173"/>
  <c r="B17" i="173" s="1"/>
  <c r="B18" i="173" s="1"/>
  <c r="B15" i="173"/>
  <c r="G14" i="173"/>
  <c r="G15" i="173" s="1"/>
  <c r="G16" i="173" s="1"/>
  <c r="G17" i="173" s="1"/>
  <c r="H21" i="173" s="1"/>
  <c r="H53" i="172"/>
  <c r="F35" i="172"/>
  <c r="B27" i="172"/>
  <c r="I23" i="172"/>
  <c r="H23" i="172"/>
  <c r="G23" i="172"/>
  <c r="F23" i="172"/>
  <c r="E23" i="172"/>
  <c r="E21" i="172"/>
  <c r="D21" i="172"/>
  <c r="C21" i="172"/>
  <c r="B21" i="172"/>
  <c r="B15" i="172"/>
  <c r="B16" i="172" s="1"/>
  <c r="B17" i="172" s="1"/>
  <c r="B18" i="172" s="1"/>
  <c r="G14" i="172"/>
  <c r="G15" i="172" s="1"/>
  <c r="G16" i="172" s="1"/>
  <c r="G17" i="172" s="1"/>
  <c r="H21" i="172" s="1"/>
  <c r="I34" i="176" l="1"/>
  <c r="I36" i="176" s="1"/>
  <c r="I38" i="176" s="1"/>
  <c r="I34" i="178"/>
  <c r="I36" i="178" s="1"/>
  <c r="I38" i="178" s="1"/>
  <c r="I34" i="175"/>
  <c r="I36" i="175" s="1"/>
  <c r="I38" i="175" s="1"/>
  <c r="I36" i="129"/>
  <c r="I32" i="173"/>
  <c r="I34" i="173" s="1"/>
  <c r="I36" i="173" s="1"/>
  <c r="I38" i="173" s="1"/>
  <c r="I32" i="172"/>
  <c r="I35" i="172" s="1"/>
  <c r="I37" i="172" s="1"/>
  <c r="I39" i="172" s="1"/>
  <c r="I32" i="179"/>
  <c r="I34" i="179" s="1"/>
  <c r="I36" i="179" s="1"/>
  <c r="I38" i="179" s="1"/>
  <c r="I32" i="135" l="1"/>
  <c r="F34" i="135"/>
  <c r="B27" i="135"/>
  <c r="C3" i="129" l="1"/>
  <c r="I32" i="134" l="1"/>
  <c r="C3" i="133"/>
  <c r="F34" i="137" l="1"/>
  <c r="I32" i="137" l="1"/>
  <c r="F34" i="134"/>
  <c r="B27" i="134" l="1"/>
  <c r="E21" i="129" l="1"/>
  <c r="E21" i="133" l="1"/>
  <c r="E21" i="135"/>
  <c r="E21" i="137"/>
  <c r="E21" i="138"/>
  <c r="E21" i="134"/>
  <c r="C21" i="129"/>
  <c r="C21" i="134"/>
  <c r="C21" i="135"/>
  <c r="C21" i="137"/>
  <c r="C21" i="138"/>
  <c r="C21" i="133"/>
  <c r="H54" i="129"/>
  <c r="H52" i="134"/>
  <c r="H52" i="135"/>
  <c r="H52" i="137"/>
  <c r="H54" i="138"/>
  <c r="H52" i="133"/>
  <c r="B27" i="138" l="1"/>
  <c r="I23" i="138"/>
  <c r="H23" i="138"/>
  <c r="G23" i="138"/>
  <c r="F23" i="138"/>
  <c r="E23" i="138"/>
  <c r="D21" i="138"/>
  <c r="B15" i="138"/>
  <c r="B16" i="138" s="1"/>
  <c r="B17" i="138" s="1"/>
  <c r="B18" i="138" s="1"/>
  <c r="G14" i="138"/>
  <c r="G15" i="138" s="1"/>
  <c r="G16" i="138" s="1"/>
  <c r="G17" i="138" s="1"/>
  <c r="H21" i="138" s="1"/>
  <c r="I34" i="137"/>
  <c r="I36" i="137" s="1"/>
  <c r="I38" i="137" s="1"/>
  <c r="B27" i="137"/>
  <c r="I23" i="137"/>
  <c r="H23" i="137"/>
  <c r="G23" i="137"/>
  <c r="F23" i="137"/>
  <c r="E23" i="137"/>
  <c r="D21" i="137"/>
  <c r="B21" i="137"/>
  <c r="B15" i="137"/>
  <c r="B16" i="137" s="1"/>
  <c r="B17" i="137" s="1"/>
  <c r="B18" i="137" s="1"/>
  <c r="G14" i="137"/>
  <c r="G15" i="137" s="1"/>
  <c r="G16" i="137" s="1"/>
  <c r="G17" i="137" s="1"/>
  <c r="H21" i="137" s="1"/>
  <c r="I34" i="135"/>
  <c r="I23" i="135"/>
  <c r="H23" i="135"/>
  <c r="G23" i="135"/>
  <c r="F23" i="135"/>
  <c r="E23" i="135"/>
  <c r="D21" i="135"/>
  <c r="B21" i="135"/>
  <c r="B15" i="135"/>
  <c r="B16" i="135" s="1"/>
  <c r="B17" i="135" s="1"/>
  <c r="B18" i="135" s="1"/>
  <c r="G14" i="135"/>
  <c r="G15" i="135" s="1"/>
  <c r="G16" i="135" s="1"/>
  <c r="G17" i="135" s="1"/>
  <c r="H21" i="135" s="1"/>
  <c r="I36" i="135" l="1"/>
  <c r="I38" i="135" s="1"/>
  <c r="I38" i="138"/>
  <c r="I40" i="138" s="1"/>
  <c r="I34" i="134"/>
  <c r="I36" i="134" s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C3" i="135" s="1"/>
  <c r="C3" i="137" s="1"/>
  <c r="C3" i="172" s="1"/>
  <c r="C3" i="173" s="1"/>
  <c r="C3" i="174" s="1"/>
  <c r="C3" i="175" s="1"/>
  <c r="C3" i="176" s="1"/>
  <c r="C3" i="177" s="1"/>
  <c r="C3" i="178" s="1"/>
  <c r="C3" i="179" s="1"/>
  <c r="C3" i="180" s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8" i="129"/>
  <c r="I40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6" i="133" l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<sst xmlns="http://schemas.openxmlformats.org/spreadsheetml/2006/main" count="1365" uniqueCount="206">
  <si>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</si>
  <si>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</si>
  <si>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</si>
  <si>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</si>
  <si>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</si>
  <si>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</si>
  <si>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</si>
  <si>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</si>
  <si>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</si>
  <si>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</si>
  <si>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</si>
  <si>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</si>
  <si>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</si>
  <si>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</si>
  <si>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</si>
  <si>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</si>
  <si>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</si>
  <si>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</si>
  <si>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</si>
  <si>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</si>
  <si>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</si>
  <si>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</si>
  <si>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</si>
  <si>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</si>
  <si>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</si>
  <si>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</si>
  <si>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</si>
  <si>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</si>
  <si>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</si>
  <si>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</si>
  <si>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</si>
  <si>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</si>
  <si>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</si>
  <si>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</si>
  <si>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</si>
  <si>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</si>
  <si>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</si>
  <si>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</si>
  <si>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</si>
  <si>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</si>
  <si>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</si>
  <si>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</si>
  <si>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</si>
  <si>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</si>
  <si>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</si>
  <si>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</si>
  <si>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</si>
  <si>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</si>
  <si>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</si>
  <si>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</si>
  <si>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</si>
  <si>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</si>
  <si>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</si>
  <si>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</si>
  <si>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</si>
  <si>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</si>
  <si>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</si>
  <si>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</si>
  <si>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</si>
  <si>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</si>
  <si>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</si>
  <si>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</si>
  <si>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</si>
  <si>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</si>
  <si>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</si>
  <si>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</si>
  <si>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</si>
  <si>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</si>
  <si>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</si>
  <si>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</si>
  <si>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</si>
  <si>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</si>
  <si>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</si>
  <si>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</si>
  <si>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</si>
  <si>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</si>
  <si>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</si>
  <si>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</si>
  <si>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</si>
  <si>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</si>
  <si>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</si>
  <si>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</si>
  <si>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</si>
  <si>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</si>
  <si>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</si>
  <si>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</si>
  <si>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</si>
  <si>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</si>
  <si>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</si>
  <si>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</si>
  <si>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</si>
  <si>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</si>
  <si>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</si>
  <si>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</si>
  <si>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</si>
  <si>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</si>
  <si>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</si>
  <si>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</si>
  <si>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</si>
  <si>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</si>
  <si>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</si>
  <si>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</si>
  <si>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</si>
  <si>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</si>
  <si>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</si>
  <si>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</si>
  <si>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</si>
  <si>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</si>
  <si>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</si>
  <si>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</si>
  <si>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</si>
  <si>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</si>
  <si>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</si>
  <si>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</si>
  <si>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</si>
  <si>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</si>
  <si>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</si>
  <si>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</si>
  <si>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</si>
  <si>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</si>
  <si>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</si>
  <si>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</si>
  <si>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</si>
  <si>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</si>
  <si>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</si>
  <si>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</si>
  <si>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</si>
  <si>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</si>
  <si>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</si>
  <si>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</si>
  <si>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</si>
  <si>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</si>
  <si>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</si>
  <si>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</si>
  <si>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</si>
  <si>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</si>
  <si>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</si>
  <si>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</si>
  <si>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</si>
  <si>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</si>
  <si>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</si>
  <si>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</si>
  <si>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</si>
  <si>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</si>
  <si>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</si>
  <si>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</si>
  <si>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</si>
  <si>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</si>
  <si>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</si>
  <si>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</si>
  <si>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</si>
  <si>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</si>
  <si>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</si>
  <si>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</si>
  <si>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</si>
  <si>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</si>
  <si>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</si>
  <si>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</si>
  <si>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</si>
  <si>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</si>
  <si>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</si>
  <si>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</si>
  <si>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</si>
  <si>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</si>
  <si>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</si>
  <si>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</si>
  <si>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</si>
  <si>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</si>
  <si>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</si>
  <si>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</si>
  <si>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</si>
  <si>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</si>
  <si>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</si>
  <si>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</si>
  <si>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</si>
  <si>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</si>
  <si>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</si>
  <si>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265K0089</t>
  </si>
  <si>
    <t>GIRLS COTTON FIBERS, KNIT PULLOVER, WITH NO NECK CLOSURE, STITCH COUNT IS GREATER THAN 9/2CM, REACHES WAIST [100% COTTON]</t>
  </si>
  <si>
    <t>Online</t>
  </si>
  <si>
    <t>Retail</t>
  </si>
  <si>
    <t>265K0103</t>
  </si>
  <si>
    <t>00</t>
  </si>
  <si>
    <t>BLACK LEOPARD</t>
  </si>
  <si>
    <t>WOMENS COTTON FIBERS, KNIT PULLOVER, WITH NO NECK CLOSURE, STITCH COUNT IS GREATER THAN 9/2CM, REACHES WAIST, SLEEVELESS [96% COTTON 4% SPANDEX]</t>
  </si>
  <si>
    <t>265K0076</t>
  </si>
  <si>
    <t>265K0090</t>
  </si>
  <si>
    <t>BRIGHT WHITE</t>
  </si>
  <si>
    <t>04</t>
  </si>
  <si>
    <t>DARK FOREST GREEN</t>
  </si>
  <si>
    <t>01, 02, 05</t>
  </si>
  <si>
    <t>RED TAPE, INK BLUE, MONET BLUE</t>
  </si>
  <si>
    <t>BOYS COTTON FIBERS, KNIT SHIRT, WITH NECK CLOSURE, STITCH COUNT EQUAL OR IS GREATER THAN 10/1CM, HEM BOTTOM [60% COTTON 40% POLYESTER]</t>
  </si>
  <si>
    <t>PURPLE CHECK</t>
  </si>
  <si>
    <t>06</t>
  </si>
  <si>
    <t>PINK FLORAL</t>
  </si>
  <si>
    <t>RED HEART, PURPLE CHECK</t>
  </si>
  <si>
    <t>03, 05</t>
  </si>
  <si>
    <t>BLACK LEOPARD,
PINK LEOPARD HEAR</t>
  </si>
  <si>
    <t>00, 01</t>
  </si>
  <si>
    <t>RED HEART,
PURPLE CHECK</t>
  </si>
  <si>
    <t>BLACK LEOPARD, PINK LEOPARD HEART</t>
  </si>
  <si>
    <t>13, 16</t>
  </si>
  <si>
    <t>BLACK COFFEE,
IN THE NAVY</t>
  </si>
  <si>
    <t>SHOOTING STAR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</si>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</sst>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8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sz val="11"/>
      <color rgb="FF1A1A1A"/>
      <name val="Arial"/>
      <family val="2"/>
    </font>
    <font>
      <b/>
      <sz val="11"/>
      <color rgb="FF16161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quotePrefix="1" applyBorder="1" applyAlignment="1">
      <alignment horizontal="center" vertical="center"/>
    </xf>
    <xf numFmtId="0" fontId="14" fillId="3" borderId="0" xfId="0" applyFont="1" applyFill="1" applyAlignment="1">
      <alignment horizontal="left" vertical="center" wrapText="1"/>
    </xf>
    <xf numFmtId="3" fontId="14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right" vertical="center" wrapText="1"/>
    </xf>
    <xf numFmtId="0" fontId="15" fillId="0" borderId="0" xfId="0" applyFont="1"/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quotePrefix="1" applyNumberFormat="1" applyBorder="1" applyAlignment="1">
      <alignment horizontal="left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49</xdr:row>
      <xdr:rowOff>9525</xdr:rowOff>
    </xdr:from>
    <xdr:to>
      <xdr:col>4</xdr:col>
      <xdr:colOff>322160</xdr:colOff>
      <xdr:row>57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49</xdr:row>
      <xdr:rowOff>9525</xdr:rowOff>
    </xdr:from>
    <xdr:to>
      <xdr:col>4</xdr:col>
      <xdr:colOff>322160</xdr:colOff>
      <xdr:row>57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06100"/>
          <a:ext cx="2846285" cy="139065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48</xdr:row>
      <xdr:rowOff>9525</xdr:rowOff>
    </xdr:from>
    <xdr:to>
      <xdr:col>4</xdr:col>
      <xdr:colOff>322160</xdr:colOff>
      <xdr:row>56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115675"/>
          <a:ext cx="2846285" cy="139065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63250"/>
          <a:ext cx="2846285" cy="1390651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284060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25175"/>
          <a:ext cx="2846285" cy="1390651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245960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1029950"/>
          <a:ext cx="2846285" cy="1390651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877550"/>
          <a:ext cx="2846285" cy="1390651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34700"/>
          <a:ext cx="2846285" cy="1390651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934700"/>
          <a:ext cx="2846285" cy="1390651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918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L51"/>
  <sheetViews>
    <sheetView workbookViewId="0">
      <selection activeCell="F34" sqref="F34:G3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29"/>
  <sheetViews>
    <sheetView workbookViewId="0">
      <selection activeCell="I16" sqref="I16"/>
    </sheetView>
  </sheetViews>
  <sheetFormatPr defaultRowHeight="12.75" x14ac:dyDescent="0.2"/>
  <sheetData>
    <row r="2" spans="2:9" ht="15" x14ac:dyDescent="0.25">
      <c r="B2" s="57">
        <v>1</v>
      </c>
      <c r="C2" t="s">
        <v>185</v>
      </c>
      <c r="E2" s="57">
        <v>1</v>
      </c>
      <c r="F2">
        <v>416363</v>
      </c>
      <c r="H2" s="57">
        <v>1</v>
      </c>
      <c r="I2" s="65" t="s">
        <v>179</v>
      </c>
    </row>
    <row r="3" spans="2:9" ht="15" x14ac:dyDescent="0.25">
      <c r="B3" s="57">
        <v>2</v>
      </c>
      <c r="C3" t="s">
        <v>185</v>
      </c>
      <c r="E3" s="57">
        <v>2</v>
      </c>
      <c r="F3">
        <v>416363</v>
      </c>
      <c r="H3" s="57">
        <v>2</v>
      </c>
      <c r="I3" s="65" t="s">
        <v>179</v>
      </c>
    </row>
    <row r="4" spans="2:9" ht="15" x14ac:dyDescent="0.25">
      <c r="B4" s="57">
        <v>3</v>
      </c>
      <c r="C4" t="s">
        <v>177</v>
      </c>
      <c r="E4" s="57">
        <v>3</v>
      </c>
      <c r="F4">
        <v>905994</v>
      </c>
      <c r="H4" s="57">
        <v>3</v>
      </c>
      <c r="I4" s="65" t="s">
        <v>179</v>
      </c>
    </row>
    <row r="5" spans="2:9" ht="15" x14ac:dyDescent="0.25">
      <c r="B5" s="57">
        <v>4</v>
      </c>
      <c r="C5" t="s">
        <v>177</v>
      </c>
      <c r="E5" s="57">
        <v>4</v>
      </c>
      <c r="F5">
        <v>905994</v>
      </c>
      <c r="H5" s="57">
        <v>4</v>
      </c>
      <c r="I5" s="65" t="s">
        <v>179</v>
      </c>
    </row>
    <row r="6" spans="2:9" ht="15" x14ac:dyDescent="0.25">
      <c r="B6" s="57">
        <v>5</v>
      </c>
      <c r="C6" t="s">
        <v>186</v>
      </c>
      <c r="E6" s="57">
        <v>5</v>
      </c>
      <c r="F6">
        <v>906033</v>
      </c>
      <c r="H6" s="57">
        <v>5</v>
      </c>
      <c r="I6" s="65" t="s">
        <v>179</v>
      </c>
    </row>
    <row r="7" spans="2:9" ht="15" x14ac:dyDescent="0.25">
      <c r="B7" s="57">
        <v>6</v>
      </c>
      <c r="C7" t="s">
        <v>186</v>
      </c>
      <c r="E7" s="57">
        <v>6</v>
      </c>
      <c r="F7">
        <v>906033</v>
      </c>
      <c r="H7" s="57">
        <v>6</v>
      </c>
      <c r="I7" s="65" t="s">
        <v>179</v>
      </c>
    </row>
    <row r="8" spans="2:9" ht="15" x14ac:dyDescent="0.25">
      <c r="B8" s="57">
        <v>7</v>
      </c>
      <c r="C8" t="s">
        <v>186</v>
      </c>
      <c r="E8" s="57">
        <v>7</v>
      </c>
      <c r="F8">
        <v>906033</v>
      </c>
      <c r="H8" s="57">
        <v>7</v>
      </c>
      <c r="I8" s="65" t="s">
        <v>180</v>
      </c>
    </row>
    <row r="9" spans="2:9" ht="15" x14ac:dyDescent="0.25">
      <c r="B9" s="57">
        <v>8</v>
      </c>
      <c r="C9" t="s">
        <v>186</v>
      </c>
      <c r="E9" s="57">
        <v>8</v>
      </c>
      <c r="F9">
        <v>906033</v>
      </c>
      <c r="H9" s="57">
        <v>8</v>
      </c>
      <c r="I9" s="65" t="s">
        <v>180</v>
      </c>
    </row>
    <row r="10" spans="2:9" ht="15" x14ac:dyDescent="0.25">
      <c r="B10" s="57">
        <v>9</v>
      </c>
      <c r="C10" t="s">
        <v>186</v>
      </c>
      <c r="E10" s="57">
        <v>9</v>
      </c>
      <c r="F10">
        <v>906033</v>
      </c>
      <c r="H10" s="57">
        <v>9</v>
      </c>
      <c r="I10" s="65" t="s">
        <v>179</v>
      </c>
    </row>
    <row r="11" spans="2:9" ht="15" x14ac:dyDescent="0.25">
      <c r="B11" s="57">
        <v>10</v>
      </c>
      <c r="C11" t="s">
        <v>186</v>
      </c>
      <c r="E11" s="57">
        <v>10</v>
      </c>
      <c r="F11">
        <v>906033</v>
      </c>
      <c r="H11" s="57">
        <v>10</v>
      </c>
      <c r="I11" s="65" t="s">
        <v>179</v>
      </c>
    </row>
    <row r="12" spans="2:9" ht="15" x14ac:dyDescent="0.25">
      <c r="B12" s="57">
        <v>11</v>
      </c>
      <c r="C12" t="s">
        <v>177</v>
      </c>
      <c r="E12" s="57">
        <v>11</v>
      </c>
      <c r="F12">
        <v>905994</v>
      </c>
      <c r="H12" s="57">
        <v>11</v>
      </c>
      <c r="I12" s="65" t="s">
        <v>179</v>
      </c>
    </row>
    <row r="13" spans="2:9" ht="15" x14ac:dyDescent="0.25">
      <c r="B13" s="57">
        <v>12</v>
      </c>
      <c r="C13" t="s">
        <v>177</v>
      </c>
      <c r="E13" s="57">
        <v>12</v>
      </c>
      <c r="F13">
        <v>905994</v>
      </c>
      <c r="H13" s="57">
        <v>12</v>
      </c>
      <c r="I13" s="65" t="s">
        <v>179</v>
      </c>
    </row>
    <row r="14" spans="2:9" ht="15" x14ac:dyDescent="0.25">
      <c r="B14" s="57">
        <v>13</v>
      </c>
      <c r="C14" t="s">
        <v>181</v>
      </c>
      <c r="E14" s="57">
        <v>13</v>
      </c>
      <c r="F14">
        <v>692926</v>
      </c>
      <c r="H14" s="57">
        <v>13</v>
      </c>
      <c r="I14" s="65" t="s">
        <v>179</v>
      </c>
    </row>
    <row r="15" spans="2:9" ht="15" x14ac:dyDescent="0.25">
      <c r="B15" s="57">
        <v>14</v>
      </c>
      <c r="C15" t="s">
        <v>181</v>
      </c>
      <c r="E15" s="57">
        <v>14</v>
      </c>
      <c r="F15">
        <v>692926</v>
      </c>
      <c r="H15" s="57">
        <v>14</v>
      </c>
      <c r="I15" s="65" t="s">
        <v>179</v>
      </c>
    </row>
    <row r="16" spans="2:9" ht="15" x14ac:dyDescent="0.25">
      <c r="B16" s="57">
        <v>15</v>
      </c>
      <c r="C16" t="s">
        <v>181</v>
      </c>
      <c r="E16" s="57">
        <v>15</v>
      </c>
      <c r="F16">
        <v>692926</v>
      </c>
      <c r="H16" s="57">
        <v>15</v>
      </c>
      <c r="I16" s="65" t="s">
        <v>179</v>
      </c>
    </row>
    <row r="17" spans="2:11" ht="15" x14ac:dyDescent="0.25">
      <c r="B17" s="57">
        <v>16</v>
      </c>
      <c r="E17" s="57">
        <v>16</v>
      </c>
      <c r="H17" s="57">
        <v>16</v>
      </c>
      <c r="I17" s="65"/>
    </row>
    <row r="18" spans="2:11" ht="15" x14ac:dyDescent="0.25">
      <c r="B18" s="57">
        <v>17</v>
      </c>
      <c r="E18" s="57">
        <v>17</v>
      </c>
      <c r="H18" s="57">
        <v>17</v>
      </c>
      <c r="I18" s="65"/>
    </row>
    <row r="19" spans="2:11" ht="15" x14ac:dyDescent="0.25">
      <c r="B19" s="57">
        <v>18</v>
      </c>
      <c r="E19" s="57">
        <v>18</v>
      </c>
      <c r="H19" s="57">
        <v>18</v>
      </c>
      <c r="I19" s="65"/>
    </row>
    <row r="20" spans="2:11" ht="15" x14ac:dyDescent="0.25">
      <c r="B20" s="57">
        <v>19</v>
      </c>
      <c r="E20" s="57">
        <v>19</v>
      </c>
      <c r="H20" s="57">
        <v>19</v>
      </c>
      <c r="I20" s="65"/>
    </row>
    <row r="21" spans="2:11" ht="15" x14ac:dyDescent="0.25">
      <c r="B21" s="57">
        <v>20</v>
      </c>
      <c r="E21" s="57">
        <v>20</v>
      </c>
      <c r="H21" s="57">
        <v>20</v>
      </c>
      <c r="I21" s="65"/>
    </row>
    <row r="22" spans="2:11" ht="15" x14ac:dyDescent="0.25">
      <c r="B22" s="57">
        <v>21</v>
      </c>
      <c r="E22" s="57">
        <v>21</v>
      </c>
      <c r="H22" s="57">
        <v>21</v>
      </c>
      <c r="I22" s="65"/>
      <c r="K22" t="s">
        <v>63</v>
      </c>
    </row>
    <row r="23" spans="2:11" ht="15" x14ac:dyDescent="0.25">
      <c r="B23" s="57">
        <v>22</v>
      </c>
      <c r="E23" s="57">
        <v>22</v>
      </c>
      <c r="H23" s="57">
        <v>22</v>
      </c>
      <c r="I23" s="58"/>
    </row>
    <row r="24" spans="2:11" ht="15" x14ac:dyDescent="0.25">
      <c r="B24" s="57">
        <v>23</v>
      </c>
      <c r="E24" s="57">
        <v>23</v>
      </c>
      <c r="H24" s="57">
        <v>23</v>
      </c>
      <c r="I24" s="58"/>
    </row>
    <row r="25" spans="2:11" ht="15" x14ac:dyDescent="0.25">
      <c r="B25" s="57">
        <v>24</v>
      </c>
      <c r="E25" s="57">
        <v>24</v>
      </c>
      <c r="H25" s="57">
        <v>24</v>
      </c>
      <c r="I25" s="58"/>
    </row>
    <row r="26" spans="2:11" ht="15" x14ac:dyDescent="0.25">
      <c r="B26" s="57">
        <v>25</v>
      </c>
      <c r="E26" s="57">
        <v>25</v>
      </c>
      <c r="H26" s="57">
        <v>25</v>
      </c>
      <c r="I26" s="58"/>
    </row>
    <row r="27" spans="2:11" ht="15" x14ac:dyDescent="0.25">
      <c r="B27" s="57">
        <v>26</v>
      </c>
      <c r="E27" s="57">
        <v>26</v>
      </c>
      <c r="H27" s="57">
        <v>26</v>
      </c>
      <c r="I27" s="58"/>
    </row>
    <row r="28" spans="2:11" x14ac:dyDescent="0.2">
      <c r="B28" s="57">
        <v>27</v>
      </c>
      <c r="E28" s="57">
        <v>27</v>
      </c>
      <c r="H28" s="57">
        <v>27</v>
      </c>
    </row>
    <row r="29" spans="2:11" x14ac:dyDescent="0.2">
      <c r="B29" s="57">
        <v>28</v>
      </c>
      <c r="E29" s="57">
        <v>28</v>
      </c>
      <c r="H29" s="57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0"/>
  <sheetViews>
    <sheetView tabSelected="1"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205</v>
      </c>
      <c r="C2" s="72"/>
      <c r="D2" s="72"/>
      <c r="E2" s="72"/>
      <c r="F2" s="72"/>
      <c r="G2" s="72"/>
      <c r="H2" s="72"/>
      <c r="I2" s="73"/>
      <c r="J2" s="62">
        <v>62050445</v>
      </c>
      <c r="K2" s="63">
        <v>2672</v>
      </c>
      <c r="L2" s="64">
        <v>49</v>
      </c>
      <c r="M2" s="64">
        <v>325.471</v>
      </c>
      <c r="N2" s="64">
        <v>330.815</v>
      </c>
      <c r="O2" s="64">
        <v>370.21499999999997</v>
      </c>
      <c r="P2" s="64" t="s">
        <v>54</v>
      </c>
      <c r="Q2" s="64">
        <v>1.8</v>
      </c>
      <c r="R2" s="64" t="s">
        <v>62</v>
      </c>
    </row>
    <row r="3" spans="2:22" x14ac:dyDescent="0.2">
      <c r="B3" s="6" t="s">
        <v>53</v>
      </c>
      <c r="C3" s="68">
        <v>429</v>
      </c>
      <c r="D3" s="5"/>
      <c r="E3" s="5"/>
      <c r="F3" s="5"/>
      <c r="G3" s="5" t="s">
        <v>52</v>
      </c>
      <c r="H3" s="31">
        <v>46273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62050445</v>
      </c>
      <c r="C21" s="56">
        <f>VLOOKUP($K58,reff!E2:F29,2,0)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370.21499999999997</v>
      </c>
      <c r="G23" s="23">
        <f>+N2</f>
        <v>330.815</v>
      </c>
      <c r="H23" s="23">
        <f>+M2</f>
        <v>325.471</v>
      </c>
      <c r="I23" s="55">
        <f>+L2</f>
        <v>49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41.25" customHeight="1" x14ac:dyDescent="0.2">
      <c r="B32" s="41" t="s">
        <v>190</v>
      </c>
      <c r="C32" s="19" t="s">
        <v>191</v>
      </c>
      <c r="D32" s="87"/>
      <c r="E32" s="88"/>
      <c r="F32" s="87">
        <f>+K2-1072</f>
        <v>1600</v>
      </c>
      <c r="G32" s="88"/>
      <c r="H32" s="17">
        <v>0.9</v>
      </c>
      <c r="I32" s="18">
        <f>+H32*F32</f>
        <v>1440</v>
      </c>
      <c r="K32" s="46"/>
      <c r="M32" s="39"/>
    </row>
    <row r="33" spans="2:13" ht="24.95" customHeight="1" x14ac:dyDescent="0.2">
      <c r="B33" s="41" t="s">
        <v>188</v>
      </c>
      <c r="C33" s="19" t="s">
        <v>187</v>
      </c>
      <c r="D33" s="87"/>
      <c r="E33" s="88"/>
      <c r="F33" s="87">
        <v>526</v>
      </c>
      <c r="G33" s="88"/>
      <c r="H33" s="17">
        <v>0.9</v>
      </c>
      <c r="I33" s="18">
        <f>+H33*F33</f>
        <v>473.40000000000003</v>
      </c>
      <c r="K33" s="46"/>
      <c r="M33" s="39"/>
    </row>
    <row r="34" spans="2:13" ht="24.95" customHeight="1" x14ac:dyDescent="0.2">
      <c r="B34" s="41">
        <v>10</v>
      </c>
      <c r="C34" s="19" t="s">
        <v>189</v>
      </c>
      <c r="D34" s="87"/>
      <c r="E34" s="88"/>
      <c r="F34" s="87">
        <v>546</v>
      </c>
      <c r="G34" s="88"/>
      <c r="H34" s="17">
        <v>0.9</v>
      </c>
      <c r="I34" s="18">
        <f>+H34*F34</f>
        <v>491.40000000000003</v>
      </c>
      <c r="K34" s="46"/>
      <c r="M34" s="39"/>
    </row>
    <row r="35" spans="2:13" ht="21" customHeight="1" x14ac:dyDescent="0.2">
      <c r="B35" s="15" t="s">
        <v>15</v>
      </c>
      <c r="C35" s="15"/>
      <c r="D35" s="74"/>
      <c r="E35" s="76"/>
      <c r="F35" s="74"/>
      <c r="G35" s="76"/>
      <c r="H35" s="17"/>
      <c r="I35" s="60"/>
    </row>
    <row r="36" spans="2:13" ht="21.75" customHeight="1" x14ac:dyDescent="0.2">
      <c r="B36" s="15" t="s">
        <v>14</v>
      </c>
      <c r="C36" s="15"/>
      <c r="D36" s="85"/>
      <c r="E36" s="86"/>
      <c r="F36" s="87">
        <f>SUM(F32:G35)</f>
        <v>2672</v>
      </c>
      <c r="G36" s="88"/>
      <c r="H36" s="15"/>
      <c r="I36" s="14">
        <f>SUM(I32:I35)</f>
        <v>2404.8000000000002</v>
      </c>
      <c r="J36" s="40"/>
      <c r="K36" s="40"/>
    </row>
    <row r="37" spans="2:13" ht="21.75" customHeight="1" x14ac:dyDescent="0.2">
      <c r="B37" s="16" t="s">
        <v>13</v>
      </c>
      <c r="C37" s="15"/>
      <c r="D37" s="74"/>
      <c r="E37" s="76"/>
      <c r="F37" s="74"/>
      <c r="G37" s="76"/>
      <c r="H37" s="15"/>
      <c r="I37" s="55"/>
      <c r="J37" s="40"/>
    </row>
    <row r="38" spans="2:13" ht="21.75" customHeight="1" x14ac:dyDescent="0.2">
      <c r="B38" s="16" t="s">
        <v>12</v>
      </c>
      <c r="C38" s="15"/>
      <c r="D38" s="74"/>
      <c r="E38" s="76"/>
      <c r="F38" s="74"/>
      <c r="G38" s="76"/>
      <c r="H38" s="15"/>
      <c r="I38" s="14">
        <f>+I36</f>
        <v>2404.8000000000002</v>
      </c>
    </row>
    <row r="39" spans="2:13" ht="20.25" customHeight="1" x14ac:dyDescent="0.2">
      <c r="B39" s="15" t="s">
        <v>80</v>
      </c>
      <c r="C39" s="74" t="s">
        <v>11</v>
      </c>
      <c r="D39" s="75"/>
      <c r="E39" s="75"/>
      <c r="F39" s="75"/>
      <c r="G39" s="75"/>
      <c r="H39" s="76"/>
      <c r="I39" s="45"/>
    </row>
    <row r="40" spans="2:13" ht="21" customHeight="1" x14ac:dyDescent="0.2">
      <c r="B40" s="16" t="s">
        <v>10</v>
      </c>
      <c r="C40" s="15"/>
      <c r="D40" s="15"/>
      <c r="E40" s="15"/>
      <c r="F40" s="15"/>
      <c r="G40" s="15"/>
      <c r="H40" s="15"/>
      <c r="I40" s="14">
        <f>+I38+I39</f>
        <v>2404.8000000000002</v>
      </c>
    </row>
    <row r="41" spans="2:13" ht="18.75" customHeight="1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6"/>
      <c r="C42" s="5"/>
      <c r="D42" s="5"/>
      <c r="E42" s="5"/>
      <c r="F42" s="5"/>
      <c r="G42" s="5"/>
      <c r="H42" s="5"/>
      <c r="I42" s="4"/>
    </row>
    <row r="43" spans="2:13" x14ac:dyDescent="0.2">
      <c r="B43" s="13" t="s">
        <v>9</v>
      </c>
      <c r="C43" s="12"/>
      <c r="D43" s="12"/>
      <c r="E43" s="12"/>
      <c r="F43" s="12"/>
      <c r="G43" s="12"/>
      <c r="H43" s="12"/>
      <c r="I43" s="11"/>
    </row>
    <row r="44" spans="2:13" x14ac:dyDescent="0.2">
      <c r="B44" s="2" t="s">
        <v>86</v>
      </c>
      <c r="C44" s="1"/>
      <c r="D44" s="1"/>
      <c r="E44" s="1"/>
      <c r="F44" s="1"/>
      <c r="G44" s="1"/>
      <c r="H44" s="1"/>
      <c r="I44" s="3"/>
    </row>
    <row r="45" spans="2:13" x14ac:dyDescent="0.2">
      <c r="B45" s="6"/>
      <c r="C45" s="5"/>
      <c r="D45" s="5"/>
      <c r="E45" s="5"/>
      <c r="F45" s="5"/>
      <c r="G45" s="5"/>
      <c r="H45" s="5"/>
      <c r="I45" s="4"/>
    </row>
    <row r="46" spans="2:13" x14ac:dyDescent="0.2">
      <c r="B46" s="6" t="s">
        <v>8</v>
      </c>
      <c r="C46" s="5"/>
      <c r="D46" s="5"/>
      <c r="E46" s="5"/>
      <c r="F46" s="5"/>
      <c r="G46" s="5"/>
      <c r="H46" s="5"/>
      <c r="I46" s="4"/>
    </row>
    <row r="47" spans="2:13" x14ac:dyDescent="0.2">
      <c r="B47" s="6"/>
      <c r="C47" s="5"/>
      <c r="D47" s="5"/>
      <c r="E47" s="5"/>
      <c r="F47" s="5"/>
      <c r="G47" s="5"/>
      <c r="H47" s="5"/>
      <c r="I47" s="4"/>
    </row>
    <row r="48" spans="2:13" x14ac:dyDescent="0.2">
      <c r="B48" s="82" t="s">
        <v>7</v>
      </c>
      <c r="C48" s="82"/>
      <c r="D48" s="82"/>
      <c r="E48" s="10" t="s">
        <v>6</v>
      </c>
      <c r="F48" s="10"/>
      <c r="G48" s="10"/>
      <c r="H48" s="10"/>
      <c r="I48" s="10"/>
    </row>
    <row r="49" spans="2:11" x14ac:dyDescent="0.2">
      <c r="B49" s="2"/>
      <c r="C49" s="1"/>
      <c r="D49" s="3"/>
      <c r="E49" s="9" t="s">
        <v>5</v>
      </c>
      <c r="F49" s="9"/>
      <c r="G49" s="9"/>
      <c r="H49" s="2"/>
      <c r="I49" s="3"/>
    </row>
    <row r="50" spans="2:11" x14ac:dyDescent="0.2">
      <c r="B50" s="6"/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4</v>
      </c>
      <c r="C51" s="5"/>
      <c r="D51" s="5"/>
      <c r="E51" s="5"/>
      <c r="F51" s="5"/>
      <c r="G51" s="5"/>
      <c r="H51" s="5"/>
      <c r="I51" s="4"/>
    </row>
    <row r="52" spans="2:11" x14ac:dyDescent="0.2">
      <c r="B52" s="6" t="s">
        <v>3</v>
      </c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/>
      <c r="H53" s="5"/>
      <c r="I53" s="4"/>
    </row>
    <row r="54" spans="2:11" x14ac:dyDescent="0.2">
      <c r="B54" s="6"/>
      <c r="C54" s="5"/>
      <c r="D54" s="5"/>
      <c r="E54" s="5"/>
      <c r="F54" s="5"/>
      <c r="G54" s="5" t="s">
        <v>2</v>
      </c>
      <c r="H54" s="5" t="str">
        <f>VLOOKUP($K54,reff!B2:C29,2,0)</f>
        <v>265K0076</v>
      </c>
      <c r="I54" s="8"/>
      <c r="K54">
        <v>1</v>
      </c>
    </row>
    <row r="55" spans="2:11" x14ac:dyDescent="0.2">
      <c r="B55" s="6"/>
      <c r="C55" s="5"/>
      <c r="D55" s="5"/>
      <c r="E55" s="5"/>
      <c r="F55" s="5"/>
      <c r="G55" s="5"/>
      <c r="H55" s="7"/>
      <c r="I55" s="4"/>
    </row>
    <row r="56" spans="2:11" x14ac:dyDescent="0.2">
      <c r="B56" s="6"/>
      <c r="C56" s="5"/>
      <c r="D56" s="5"/>
      <c r="E56" s="5"/>
      <c r="F56" s="5"/>
      <c r="G56" s="5"/>
      <c r="H56" s="5"/>
      <c r="I56" s="4"/>
    </row>
    <row r="57" spans="2:11" x14ac:dyDescent="0.2">
      <c r="B57" s="6"/>
      <c r="C57" s="83" t="s">
        <v>1</v>
      </c>
      <c r="D57" s="83"/>
      <c r="E57" s="5"/>
      <c r="F57" s="5"/>
      <c r="G57" s="5"/>
      <c r="H57" s="5"/>
      <c r="I57" s="4"/>
    </row>
    <row r="58" spans="2:11" x14ac:dyDescent="0.2">
      <c r="B58" s="6"/>
      <c r="C58" s="84" t="s">
        <v>0</v>
      </c>
      <c r="D58" s="84"/>
      <c r="E58" s="5"/>
      <c r="F58" s="5"/>
      <c r="G58" s="5"/>
      <c r="H58" s="5"/>
      <c r="I58" s="4"/>
      <c r="K58">
        <v>1</v>
      </c>
    </row>
    <row r="59" spans="2:11" x14ac:dyDescent="0.2">
      <c r="B59" s="2"/>
      <c r="C59" s="81"/>
      <c r="D59" s="81"/>
      <c r="E59" s="1"/>
      <c r="F59" s="1"/>
      <c r="G59" s="1"/>
      <c r="H59" s="1"/>
      <c r="I59" s="1"/>
    </row>
    <row r="60" spans="2:11" x14ac:dyDescent="0.2">
      <c r="B60" s="5"/>
      <c r="C60" s="5"/>
      <c r="D60" s="5"/>
      <c r="E60" s="5"/>
      <c r="F60" s="5"/>
      <c r="G60" s="5"/>
      <c r="H60" s="5"/>
      <c r="I60" s="5"/>
    </row>
  </sheetData>
  <mergeCells count="24">
    <mergeCell ref="D35:E35"/>
    <mergeCell ref="F35:G35"/>
    <mergeCell ref="D36:E36"/>
    <mergeCell ref="F36:G36"/>
    <mergeCell ref="D32:E32"/>
    <mergeCell ref="F32:G32"/>
    <mergeCell ref="D33:E33"/>
    <mergeCell ref="F33:G33"/>
    <mergeCell ref="D34:E34"/>
    <mergeCell ref="F34:G34"/>
    <mergeCell ref="D37:E37"/>
    <mergeCell ref="F37:G37"/>
    <mergeCell ref="C59:D59"/>
    <mergeCell ref="D38:E38"/>
    <mergeCell ref="F38:G38"/>
    <mergeCell ref="C39:H39"/>
    <mergeCell ref="B48:D48"/>
    <mergeCell ref="C57:D57"/>
    <mergeCell ref="C58:D58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60"/>
  <sheetViews>
    <sheetView view="pageBreakPreview" topLeftCell="A28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205</v>
      </c>
      <c r="C2" s="72"/>
      <c r="D2" s="72"/>
      <c r="E2" s="72"/>
      <c r="F2" s="72"/>
      <c r="G2" s="72"/>
      <c r="H2" s="72"/>
      <c r="I2" s="73"/>
      <c r="J2" s="62">
        <v>62050443</v>
      </c>
      <c r="K2" s="63">
        <v>6572</v>
      </c>
      <c r="L2" s="64">
        <v>91</v>
      </c>
      <c r="M2" s="64">
        <v>800.68600000000004</v>
      </c>
      <c r="N2" s="64">
        <v>813.83</v>
      </c>
      <c r="O2" s="64">
        <v>893.83</v>
      </c>
      <c r="P2" s="64" t="s">
        <v>54</v>
      </c>
      <c r="Q2" s="64">
        <v>4.3730000000000002</v>
      </c>
      <c r="R2" s="64" t="s">
        <v>62</v>
      </c>
    </row>
    <row r="3" spans="2:22" x14ac:dyDescent="0.2">
      <c r="B3" s="6" t="s">
        <v>53</v>
      </c>
      <c r="C3" s="68">
        <f>+'429'!C3+1</f>
        <v>430</v>
      </c>
      <c r="D3" s="5"/>
      <c r="E3" s="5"/>
      <c r="F3" s="5"/>
      <c r="G3" s="5" t="s">
        <v>52</v>
      </c>
      <c r="H3" s="31">
        <v>46273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192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62050443</v>
      </c>
      <c r="C21" s="49">
        <f>VLOOKUP($K58,reff!E2:F29,2,0)</f>
        <v>416363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893.83</v>
      </c>
      <c r="G23" s="23">
        <f>+N2</f>
        <v>813.83</v>
      </c>
      <c r="H23" s="23">
        <f>+M2</f>
        <v>800.68600000000004</v>
      </c>
      <c r="I23" s="48">
        <f>+L2</f>
        <v>91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BOYS COTTON FIBERS, KNIT SHIRT, WITH NECK CLOSURE, STITCH COUNT EQUAL OR IS GREATER THAN 10/1CM, HEM BOTTOM [60% COTTON 40% POLYESTER]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0" t="s">
        <v>19</v>
      </c>
      <c r="E31" s="80"/>
      <c r="F31" s="80" t="s">
        <v>18</v>
      </c>
      <c r="G31" s="80"/>
      <c r="H31" s="48" t="s">
        <v>17</v>
      </c>
      <c r="I31" s="19" t="s">
        <v>16</v>
      </c>
      <c r="M31"/>
    </row>
    <row r="32" spans="2:13" ht="43.5" customHeight="1" x14ac:dyDescent="0.2">
      <c r="B32" s="41" t="s">
        <v>190</v>
      </c>
      <c r="C32" s="19" t="s">
        <v>191</v>
      </c>
      <c r="D32" s="87"/>
      <c r="E32" s="88"/>
      <c r="F32" s="87">
        <f>+K2-2642</f>
        <v>3930</v>
      </c>
      <c r="G32" s="88"/>
      <c r="H32" s="17">
        <v>0.9</v>
      </c>
      <c r="I32" s="18">
        <f>+H32*F32</f>
        <v>3537</v>
      </c>
      <c r="K32" s="46"/>
      <c r="M32" s="39"/>
    </row>
    <row r="33" spans="2:13" ht="24.95" customHeight="1" x14ac:dyDescent="0.2">
      <c r="B33" s="41" t="s">
        <v>188</v>
      </c>
      <c r="C33" s="19" t="s">
        <v>187</v>
      </c>
      <c r="D33" s="87"/>
      <c r="E33" s="88"/>
      <c r="F33" s="87">
        <v>1288</v>
      </c>
      <c r="G33" s="88"/>
      <c r="H33" s="17">
        <v>0.9</v>
      </c>
      <c r="I33" s="18">
        <f>+H33*F33</f>
        <v>1159.2</v>
      </c>
      <c r="K33" s="46"/>
      <c r="M33" s="39"/>
    </row>
    <row r="34" spans="2:13" ht="24.95" customHeight="1" x14ac:dyDescent="0.2">
      <c r="B34" s="41">
        <v>10</v>
      </c>
      <c r="C34" s="19" t="s">
        <v>189</v>
      </c>
      <c r="D34" s="87"/>
      <c r="E34" s="88"/>
      <c r="F34" s="87">
        <v>1354</v>
      </c>
      <c r="G34" s="88"/>
      <c r="H34" s="17">
        <v>0.9</v>
      </c>
      <c r="I34" s="18">
        <f>+H34*F34</f>
        <v>1218.6000000000001</v>
      </c>
      <c r="K34" s="46"/>
      <c r="M34" s="39"/>
    </row>
    <row r="35" spans="2:13" ht="21" customHeight="1" x14ac:dyDescent="0.2">
      <c r="B35" s="15" t="s">
        <v>15</v>
      </c>
      <c r="C35" s="15"/>
      <c r="D35" s="74"/>
      <c r="E35" s="76"/>
      <c r="F35" s="74"/>
      <c r="G35" s="76"/>
      <c r="H35" s="17"/>
      <c r="I35" s="48"/>
    </row>
    <row r="36" spans="2:13" ht="21.75" customHeight="1" x14ac:dyDescent="0.2">
      <c r="B36" s="15" t="s">
        <v>14</v>
      </c>
      <c r="C36" s="15"/>
      <c r="D36" s="85"/>
      <c r="E36" s="86"/>
      <c r="F36" s="87">
        <f>SUM(F32:G35)</f>
        <v>6572</v>
      </c>
      <c r="G36" s="88"/>
      <c r="H36" s="15"/>
      <c r="I36" s="14">
        <f>SUM(I32:I35)</f>
        <v>5914.8</v>
      </c>
      <c r="J36" s="40"/>
      <c r="K36" s="40"/>
    </row>
    <row r="37" spans="2:13" ht="21.75" customHeight="1" x14ac:dyDescent="0.2">
      <c r="B37" s="16" t="s">
        <v>13</v>
      </c>
      <c r="C37" s="15"/>
      <c r="D37" s="74"/>
      <c r="E37" s="76"/>
      <c r="F37" s="74"/>
      <c r="G37" s="76"/>
      <c r="H37" s="15"/>
      <c r="I37" s="48"/>
      <c r="J37" s="40"/>
    </row>
    <row r="38" spans="2:13" ht="21.75" customHeight="1" x14ac:dyDescent="0.2">
      <c r="B38" s="16" t="s">
        <v>12</v>
      </c>
      <c r="C38" s="15"/>
      <c r="D38" s="74"/>
      <c r="E38" s="76"/>
      <c r="F38" s="74"/>
      <c r="G38" s="76"/>
      <c r="H38" s="15"/>
      <c r="I38" s="14">
        <f>+I36</f>
        <v>5914.8</v>
      </c>
    </row>
    <row r="39" spans="2:13" ht="20.25" customHeight="1" x14ac:dyDescent="0.2">
      <c r="B39" s="15" t="s">
        <v>80</v>
      </c>
      <c r="C39" s="74" t="s">
        <v>11</v>
      </c>
      <c r="D39" s="75"/>
      <c r="E39" s="75"/>
      <c r="F39" s="75"/>
      <c r="G39" s="75"/>
      <c r="H39" s="76"/>
      <c r="I39" s="45"/>
    </row>
    <row r="40" spans="2:13" ht="21" customHeight="1" x14ac:dyDescent="0.2">
      <c r="B40" s="16" t="s">
        <v>10</v>
      </c>
      <c r="C40" s="15"/>
      <c r="D40" s="15"/>
      <c r="E40" s="15"/>
      <c r="F40" s="15"/>
      <c r="G40" s="15"/>
      <c r="H40" s="15"/>
      <c r="I40" s="14">
        <f>+I38+I39</f>
        <v>5914.8</v>
      </c>
    </row>
    <row r="41" spans="2:13" ht="18.75" customHeight="1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6"/>
      <c r="C42" s="5"/>
      <c r="D42" s="5"/>
      <c r="E42" s="5"/>
      <c r="F42" s="5"/>
      <c r="G42" s="5"/>
      <c r="H42" s="5"/>
      <c r="I42" s="4"/>
    </row>
    <row r="43" spans="2:13" x14ac:dyDescent="0.2">
      <c r="B43" s="13" t="s">
        <v>9</v>
      </c>
      <c r="C43" s="12"/>
      <c r="D43" s="12"/>
      <c r="E43" s="12"/>
      <c r="F43" s="12"/>
      <c r="G43" s="12"/>
      <c r="H43" s="12"/>
      <c r="I43" s="11"/>
    </row>
    <row r="44" spans="2:13" x14ac:dyDescent="0.2">
      <c r="B44" s="2" t="s">
        <v>86</v>
      </c>
      <c r="C44" s="1"/>
      <c r="D44" s="1"/>
      <c r="E44" s="1"/>
      <c r="F44" s="1"/>
      <c r="G44" s="1"/>
      <c r="H44" s="1"/>
      <c r="I44" s="3"/>
    </row>
    <row r="45" spans="2:13" x14ac:dyDescent="0.2">
      <c r="B45" s="6"/>
      <c r="C45" s="5"/>
      <c r="D45" s="5"/>
      <c r="E45" s="5"/>
      <c r="F45" s="5"/>
      <c r="G45" s="5"/>
      <c r="H45" s="5"/>
      <c r="I45" s="4"/>
    </row>
    <row r="46" spans="2:13" x14ac:dyDescent="0.2">
      <c r="B46" s="6" t="s">
        <v>8</v>
      </c>
      <c r="C46" s="5"/>
      <c r="D46" s="5"/>
      <c r="E46" s="5"/>
      <c r="F46" s="5"/>
      <c r="G46" s="5"/>
      <c r="H46" s="5"/>
      <c r="I46" s="4"/>
    </row>
    <row r="47" spans="2:13" x14ac:dyDescent="0.2">
      <c r="B47" s="6"/>
      <c r="C47" s="5"/>
      <c r="D47" s="5"/>
      <c r="E47" s="5"/>
      <c r="F47" s="5"/>
      <c r="G47" s="5"/>
      <c r="H47" s="5"/>
      <c r="I47" s="4"/>
    </row>
    <row r="48" spans="2:13" x14ac:dyDescent="0.2">
      <c r="B48" s="82" t="s">
        <v>7</v>
      </c>
      <c r="C48" s="82"/>
      <c r="D48" s="82"/>
      <c r="E48" s="10" t="s">
        <v>6</v>
      </c>
      <c r="F48" s="10"/>
      <c r="G48" s="10"/>
      <c r="H48" s="10"/>
      <c r="I48" s="10"/>
    </row>
    <row r="49" spans="2:11" x14ac:dyDescent="0.2">
      <c r="B49" s="2"/>
      <c r="C49" s="1"/>
      <c r="D49" s="3"/>
      <c r="E49" s="9" t="s">
        <v>5</v>
      </c>
      <c r="F49" s="9"/>
      <c r="G49" s="9"/>
      <c r="H49" s="2"/>
      <c r="I49" s="3"/>
    </row>
    <row r="50" spans="2:11" x14ac:dyDescent="0.2">
      <c r="B50" s="6"/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4</v>
      </c>
      <c r="C51" s="5"/>
      <c r="D51" s="5"/>
      <c r="E51" s="5"/>
      <c r="F51" s="5"/>
      <c r="G51" s="5"/>
      <c r="H51" s="5"/>
      <c r="I51" s="4"/>
    </row>
    <row r="52" spans="2:11" x14ac:dyDescent="0.2">
      <c r="B52" s="6" t="s">
        <v>3</v>
      </c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/>
      <c r="H53" s="5"/>
      <c r="I53" s="4"/>
    </row>
    <row r="54" spans="2:11" x14ac:dyDescent="0.2">
      <c r="B54" s="6"/>
      <c r="C54" s="5"/>
      <c r="D54" s="5"/>
      <c r="E54" s="5"/>
      <c r="F54" s="5"/>
      <c r="G54" s="5" t="s">
        <v>2</v>
      </c>
      <c r="H54" s="5" t="str">
        <f>VLOOKUP($K54,reff!B2:C29,2,0)</f>
        <v>265K0076</v>
      </c>
      <c r="I54" s="8"/>
      <c r="K54">
        <v>2</v>
      </c>
    </row>
    <row r="55" spans="2:11" x14ac:dyDescent="0.2">
      <c r="B55" s="6"/>
      <c r="C55" s="5"/>
      <c r="D55" s="5"/>
      <c r="E55" s="5"/>
      <c r="F55" s="5"/>
      <c r="G55" s="5"/>
      <c r="H55" s="7"/>
      <c r="I55" s="4"/>
    </row>
    <row r="56" spans="2:11" x14ac:dyDescent="0.2">
      <c r="B56" s="6"/>
      <c r="C56" s="5"/>
      <c r="D56" s="5"/>
      <c r="E56" s="5"/>
      <c r="F56" s="5"/>
      <c r="G56" s="5"/>
      <c r="H56" s="5"/>
      <c r="I56" s="4"/>
    </row>
    <row r="57" spans="2:11" x14ac:dyDescent="0.2">
      <c r="B57" s="6"/>
      <c r="C57" s="83" t="s">
        <v>1</v>
      </c>
      <c r="D57" s="83"/>
      <c r="E57" s="5"/>
      <c r="F57" s="5"/>
      <c r="G57" s="5"/>
      <c r="H57" s="5"/>
      <c r="I57" s="4"/>
    </row>
    <row r="58" spans="2:11" x14ac:dyDescent="0.2">
      <c r="B58" s="6"/>
      <c r="C58" s="84" t="s">
        <v>0</v>
      </c>
      <c r="D58" s="84"/>
      <c r="E58" s="5"/>
      <c r="F58" s="5"/>
      <c r="G58" s="5"/>
      <c r="H58" s="5"/>
      <c r="I58" s="4"/>
      <c r="K58">
        <v>2</v>
      </c>
    </row>
    <row r="59" spans="2:11" x14ac:dyDescent="0.2">
      <c r="B59" s="2"/>
      <c r="C59" s="81"/>
      <c r="D59" s="81"/>
      <c r="E59" s="1"/>
      <c r="F59" s="1"/>
      <c r="G59" s="1"/>
      <c r="H59" s="1"/>
      <c r="I59" s="1"/>
    </row>
    <row r="60" spans="2:11" x14ac:dyDescent="0.2">
      <c r="B60" s="5"/>
      <c r="C60" s="5"/>
      <c r="D60" s="5"/>
      <c r="E60" s="5"/>
      <c r="F60" s="5"/>
      <c r="G60" s="5"/>
      <c r="H60" s="5"/>
      <c r="I60" s="5"/>
    </row>
  </sheetData>
  <mergeCells count="24">
    <mergeCell ref="D34:E34"/>
    <mergeCell ref="F34:G34"/>
    <mergeCell ref="D32:E32"/>
    <mergeCell ref="F32:G32"/>
    <mergeCell ref="D33:E33"/>
    <mergeCell ref="F33:G33"/>
    <mergeCell ref="B2:I2"/>
    <mergeCell ref="B26:I26"/>
    <mergeCell ref="B27:I27"/>
    <mergeCell ref="D31:E31"/>
    <mergeCell ref="F31:G31"/>
    <mergeCell ref="C59:D59"/>
    <mergeCell ref="D38:E38"/>
    <mergeCell ref="F38:G38"/>
    <mergeCell ref="C39:H39"/>
    <mergeCell ref="B48:D48"/>
    <mergeCell ref="C57:D57"/>
    <mergeCell ref="C58:D58"/>
    <mergeCell ref="D35:E35"/>
    <mergeCell ref="F35:G35"/>
    <mergeCell ref="D36:E36"/>
    <mergeCell ref="F36:G36"/>
    <mergeCell ref="D37:E37"/>
    <mergeCell ref="F37:G37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205</v>
      </c>
      <c r="C2" s="72"/>
      <c r="D2" s="72"/>
      <c r="E2" s="72"/>
      <c r="F2" s="72"/>
      <c r="G2" s="72"/>
      <c r="H2" s="72"/>
      <c r="I2" s="73"/>
      <c r="J2" s="62">
        <v>61996963</v>
      </c>
      <c r="K2" s="64">
        <v>566</v>
      </c>
      <c r="L2" s="64">
        <v>7</v>
      </c>
      <c r="M2" s="64">
        <v>39.917999999999999</v>
      </c>
      <c r="N2" s="64">
        <v>41.05</v>
      </c>
      <c r="O2" s="64">
        <v>46.55</v>
      </c>
      <c r="P2" s="64" t="s">
        <v>54</v>
      </c>
      <c r="Q2" s="64">
        <v>0.23499999999999999</v>
      </c>
      <c r="R2" s="64" t="s">
        <v>62</v>
      </c>
    </row>
    <row r="3" spans="2:22" x14ac:dyDescent="0.2">
      <c r="B3" s="6" t="s">
        <v>53</v>
      </c>
      <c r="C3" s="68">
        <f>+'430'!C3+1</f>
        <v>431</v>
      </c>
      <c r="D3" s="5"/>
      <c r="E3" s="5"/>
      <c r="F3" s="5"/>
      <c r="G3" s="5" t="s">
        <v>52</v>
      </c>
      <c r="H3" s="31">
        <v>46273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61996963</v>
      </c>
      <c r="C21" s="49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46.55</v>
      </c>
      <c r="G23" s="23">
        <f>+N2</f>
        <v>41.05</v>
      </c>
      <c r="H23" s="23">
        <f>+M2</f>
        <v>39.917999999999999</v>
      </c>
      <c r="I23" s="48">
        <f>+L2</f>
        <v>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80" t="s">
        <v>19</v>
      </c>
      <c r="E31" s="80"/>
      <c r="F31" s="80" t="s">
        <v>18</v>
      </c>
      <c r="G31" s="80"/>
      <c r="H31" s="48" t="s">
        <v>17</v>
      </c>
      <c r="I31" s="19" t="s">
        <v>16</v>
      </c>
      <c r="M31"/>
    </row>
    <row r="32" spans="2:13" ht="28.5" customHeight="1" x14ac:dyDescent="0.2">
      <c r="B32" s="41" t="s">
        <v>194</v>
      </c>
      <c r="C32" s="19" t="s">
        <v>193</v>
      </c>
      <c r="D32" s="87"/>
      <c r="E32" s="88"/>
      <c r="F32" s="87">
        <f>+K2</f>
        <v>566</v>
      </c>
      <c r="G32" s="88"/>
      <c r="H32" s="17">
        <v>0.81</v>
      </c>
      <c r="I32" s="18">
        <f>+H32*F32</f>
        <v>458.46000000000004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48"/>
    </row>
    <row r="34" spans="2:11" ht="21.75" customHeight="1" x14ac:dyDescent="0.2">
      <c r="B34" s="15" t="s">
        <v>14</v>
      </c>
      <c r="C34" s="15"/>
      <c r="D34" s="85"/>
      <c r="E34" s="86"/>
      <c r="F34" s="87">
        <f>SUM(F31:G33)</f>
        <v>566</v>
      </c>
      <c r="G34" s="88"/>
      <c r="H34" s="15"/>
      <c r="I34" s="14">
        <f>SUM(I32:I33)</f>
        <v>458.46000000000004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48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458.46000000000004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458.46000000000004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B2:I2"/>
    <mergeCell ref="B26:I26"/>
    <mergeCell ref="B27:I27"/>
    <mergeCell ref="D31:E31"/>
    <mergeCell ref="F31:G31"/>
    <mergeCell ref="D32:E32"/>
    <mergeCell ref="F32:G32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205</v>
      </c>
      <c r="C2" s="72"/>
      <c r="D2" s="72"/>
      <c r="E2" s="72"/>
      <c r="F2" s="72"/>
      <c r="G2" s="72"/>
      <c r="H2" s="72"/>
      <c r="I2" s="73"/>
      <c r="J2" s="62">
        <v>61996947</v>
      </c>
      <c r="K2" s="64">
        <v>679</v>
      </c>
      <c r="L2" s="64">
        <v>7</v>
      </c>
      <c r="M2" s="64">
        <v>47.817</v>
      </c>
      <c r="N2" s="64">
        <v>49.174999999999997</v>
      </c>
      <c r="O2" s="64">
        <v>55.075000000000003</v>
      </c>
      <c r="P2" s="64" t="s">
        <v>54</v>
      </c>
      <c r="Q2" s="64">
        <v>0.29099999999999998</v>
      </c>
      <c r="R2" s="64" t="s">
        <v>62</v>
      </c>
    </row>
    <row r="3" spans="2:22" x14ac:dyDescent="0.2">
      <c r="B3" s="6" t="s">
        <v>53</v>
      </c>
      <c r="C3" s="68">
        <f>+'431'!C3+1</f>
        <v>432</v>
      </c>
      <c r="D3" s="5"/>
      <c r="E3" s="5"/>
      <c r="F3" s="5"/>
      <c r="G3" s="5" t="s">
        <v>52</v>
      </c>
      <c r="H3" s="31">
        <v>46273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61996947</v>
      </c>
      <c r="C21" s="53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55.075000000000003</v>
      </c>
      <c r="G23" s="23">
        <f>+N2</f>
        <v>49.174999999999997</v>
      </c>
      <c r="H23" s="23">
        <f>+M2</f>
        <v>47.817</v>
      </c>
      <c r="I23" s="54">
        <f>+L2</f>
        <v>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80" t="s">
        <v>19</v>
      </c>
      <c r="E31" s="80"/>
      <c r="F31" s="80" t="s">
        <v>18</v>
      </c>
      <c r="G31" s="80"/>
      <c r="H31" s="54" t="s">
        <v>17</v>
      </c>
      <c r="I31" s="19" t="s">
        <v>16</v>
      </c>
      <c r="M31"/>
    </row>
    <row r="32" spans="2:13" ht="26.25" customHeight="1" x14ac:dyDescent="0.2">
      <c r="B32" s="41" t="s">
        <v>188</v>
      </c>
      <c r="C32" s="19" t="s">
        <v>195</v>
      </c>
      <c r="D32" s="87"/>
      <c r="E32" s="88"/>
      <c r="F32" s="87">
        <f>+K2</f>
        <v>679</v>
      </c>
      <c r="G32" s="88"/>
      <c r="H32" s="17">
        <v>0.81</v>
      </c>
      <c r="I32" s="18">
        <f>+H32*F32</f>
        <v>549.99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54"/>
    </row>
    <row r="34" spans="2:11" ht="21.75" customHeight="1" x14ac:dyDescent="0.2">
      <c r="B34" s="15" t="s">
        <v>14</v>
      </c>
      <c r="C34" s="15"/>
      <c r="D34" s="85"/>
      <c r="E34" s="86"/>
      <c r="F34" s="87">
        <f>SUM(F32:G33)</f>
        <v>679</v>
      </c>
      <c r="G34" s="88"/>
      <c r="H34" s="15"/>
      <c r="I34" s="14">
        <f>SUM(I32:I33)</f>
        <v>549.99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54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549.99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549.99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>
        <v>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4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205</v>
      </c>
      <c r="C2" s="72"/>
      <c r="D2" s="72"/>
      <c r="E2" s="72"/>
      <c r="F2" s="72"/>
      <c r="G2" s="72"/>
      <c r="H2" s="72"/>
      <c r="I2" s="73"/>
      <c r="J2" s="62">
        <v>61997073</v>
      </c>
      <c r="K2" s="63">
        <v>2773</v>
      </c>
      <c r="L2" s="64">
        <v>33</v>
      </c>
      <c r="M2" s="64">
        <v>232.709</v>
      </c>
      <c r="N2" s="64">
        <v>238.255</v>
      </c>
      <c r="O2" s="64">
        <v>266.95499999999998</v>
      </c>
      <c r="P2" s="64" t="s">
        <v>54</v>
      </c>
      <c r="Q2" s="64">
        <v>1.5429999999999999</v>
      </c>
      <c r="R2" s="64" t="s">
        <v>62</v>
      </c>
    </row>
    <row r="3" spans="2:22" x14ac:dyDescent="0.2">
      <c r="B3" s="6" t="s">
        <v>53</v>
      </c>
      <c r="C3" s="68">
        <f>+'432'!C3+1</f>
        <v>433</v>
      </c>
      <c r="D3" s="5"/>
      <c r="E3" s="5"/>
      <c r="F3" s="5"/>
      <c r="G3" s="5" t="s">
        <v>52</v>
      </c>
      <c r="H3" s="31">
        <v>46273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61997073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266.95499999999998</v>
      </c>
      <c r="G23" s="23">
        <f>+N2</f>
        <v>238.255</v>
      </c>
      <c r="H23" s="23">
        <f>+M2</f>
        <v>232.709</v>
      </c>
      <c r="I23" s="55">
        <f>+L2</f>
        <v>33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33.75" customHeight="1" x14ac:dyDescent="0.2">
      <c r="B32" s="41" t="s">
        <v>197</v>
      </c>
      <c r="C32" s="19" t="s">
        <v>196</v>
      </c>
      <c r="D32" s="87"/>
      <c r="E32" s="88"/>
      <c r="F32" s="87">
        <f>+K2</f>
        <v>2773</v>
      </c>
      <c r="G32" s="88"/>
      <c r="H32" s="17">
        <v>0.84</v>
      </c>
      <c r="I32" s="18">
        <f>+H32*F32</f>
        <v>2329.3199999999997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59"/>
    </row>
    <row r="34" spans="2:11" ht="21.75" customHeight="1" x14ac:dyDescent="0.2">
      <c r="B34" s="15" t="s">
        <v>14</v>
      </c>
      <c r="C34" s="15"/>
      <c r="D34" s="85"/>
      <c r="E34" s="86"/>
      <c r="F34" s="87">
        <f>SUM(F32:G33)</f>
        <v>2773</v>
      </c>
      <c r="G34" s="88"/>
      <c r="H34" s="15"/>
      <c r="I34" s="14">
        <f>SUM(I32:I32)</f>
        <v>2329.3199999999997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2329.3199999999997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2329.3199999999997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265K0090</v>
      </c>
      <c r="I52" s="8"/>
      <c r="K52">
        <v>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5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F35:G35"/>
    <mergeCell ref="D32:E32"/>
    <mergeCell ref="F32:G32"/>
    <mergeCell ref="B2:I2"/>
    <mergeCell ref="B26:I26"/>
    <mergeCell ref="B27:I27"/>
    <mergeCell ref="D31:E31"/>
    <mergeCell ref="F31:G31"/>
    <mergeCell ref="D34:E34"/>
    <mergeCell ref="F34:G34"/>
    <mergeCell ref="D35:E35"/>
    <mergeCell ref="D33:E33"/>
    <mergeCell ref="F33:G33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4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205</v>
      </c>
      <c r="C2" s="72"/>
      <c r="D2" s="72"/>
      <c r="E2" s="72"/>
      <c r="F2" s="72"/>
      <c r="G2" s="72"/>
      <c r="H2" s="72"/>
      <c r="I2" s="73"/>
      <c r="J2" s="62">
        <v>62031447</v>
      </c>
      <c r="K2" s="63">
        <v>1445</v>
      </c>
      <c r="L2" s="64">
        <v>18</v>
      </c>
      <c r="M2" s="64">
        <v>120.97</v>
      </c>
      <c r="N2" s="64">
        <v>123.86</v>
      </c>
      <c r="O2" s="64">
        <v>139.16</v>
      </c>
      <c r="P2" s="64" t="s">
        <v>54</v>
      </c>
      <c r="Q2" s="64">
        <v>0.78300000000000003</v>
      </c>
      <c r="R2" s="64" t="s">
        <v>62</v>
      </c>
    </row>
    <row r="3" spans="2:22" x14ac:dyDescent="0.2">
      <c r="B3" s="6" t="s">
        <v>53</v>
      </c>
      <c r="C3" s="68">
        <f>+'433'!C3+1</f>
        <v>434</v>
      </c>
      <c r="D3" s="5"/>
      <c r="E3" s="5"/>
      <c r="F3" s="5"/>
      <c r="G3" s="5" t="s">
        <v>52</v>
      </c>
      <c r="H3" s="31">
        <v>46273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5">
        <f>J2</f>
        <v>62031447</v>
      </c>
      <c r="C21" s="56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5" t="s">
        <v>35</v>
      </c>
      <c r="G21" s="55"/>
      <c r="H21" s="47" t="str">
        <f>IF(LEFT(G17,2)="CA","CA",IF(LEFT(G17,2)="UN","US",IF(LEFT(G17,2)="PA","PA",IF(LEFT(G17,2)="JA","JP"))))</f>
        <v>US</v>
      </c>
      <c r="I21" s="55" t="s">
        <v>34</v>
      </c>
      <c r="K21" s="20">
        <v>6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5" t="s">
        <v>25</v>
      </c>
      <c r="C23" s="55"/>
      <c r="D23" s="55" t="s">
        <v>24</v>
      </c>
      <c r="E23" s="55" t="str">
        <f>+D23</f>
        <v>JAKARTA,ID</v>
      </c>
      <c r="F23" s="23">
        <f>+O2</f>
        <v>139.16</v>
      </c>
      <c r="G23" s="23">
        <f>+N2</f>
        <v>123.86</v>
      </c>
      <c r="H23" s="23">
        <f>+M2</f>
        <v>120.97</v>
      </c>
      <c r="I23" s="55">
        <f>+L2</f>
        <v>18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5" t="s">
        <v>21</v>
      </c>
      <c r="C31" s="55" t="s">
        <v>20</v>
      </c>
      <c r="D31" s="80" t="s">
        <v>19</v>
      </c>
      <c r="E31" s="80"/>
      <c r="F31" s="80" t="s">
        <v>18</v>
      </c>
      <c r="G31" s="80"/>
      <c r="H31" s="55" t="s">
        <v>17</v>
      </c>
      <c r="I31" s="19" t="s">
        <v>16</v>
      </c>
      <c r="M31"/>
    </row>
    <row r="32" spans="2:13" ht="43.5" customHeight="1" x14ac:dyDescent="0.2">
      <c r="B32" s="61" t="s">
        <v>199</v>
      </c>
      <c r="C32" s="19" t="s">
        <v>198</v>
      </c>
      <c r="D32" s="87"/>
      <c r="E32" s="88"/>
      <c r="F32" s="87">
        <f>+K2</f>
        <v>1445</v>
      </c>
      <c r="G32" s="88"/>
      <c r="H32" s="17">
        <v>0.84</v>
      </c>
      <c r="I32" s="18">
        <f>+H32*F32</f>
        <v>1213.8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55"/>
    </row>
    <row r="34" spans="2:11" ht="21.75" customHeight="1" x14ac:dyDescent="0.2">
      <c r="B34" s="15" t="s">
        <v>14</v>
      </c>
      <c r="C34" s="15"/>
      <c r="D34" s="85"/>
      <c r="E34" s="86"/>
      <c r="F34" s="87">
        <f>SUM(F32:G33)</f>
        <v>1445</v>
      </c>
      <c r="G34" s="88"/>
      <c r="H34" s="15"/>
      <c r="I34" s="14">
        <f>SUM(I32:I33)</f>
        <v>1213.8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55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1213.8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1213.8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265K0090</v>
      </c>
      <c r="I52" s="8"/>
      <c r="K52">
        <v>6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>
        <v>6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9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205</v>
      </c>
      <c r="C2" s="72"/>
      <c r="D2" s="72"/>
      <c r="E2" s="72"/>
      <c r="F2" s="72"/>
      <c r="G2" s="72"/>
      <c r="H2" s="72"/>
      <c r="I2" s="73"/>
      <c r="J2" s="62">
        <v>61996847</v>
      </c>
      <c r="K2" s="63">
        <v>4648</v>
      </c>
      <c r="L2" s="64">
        <v>58</v>
      </c>
      <c r="M2" s="64">
        <v>381.57400000000001</v>
      </c>
      <c r="N2" s="64">
        <v>390.87</v>
      </c>
      <c r="O2" s="64">
        <v>438.27</v>
      </c>
      <c r="P2" s="64" t="s">
        <v>54</v>
      </c>
      <c r="Q2" s="64">
        <v>2.617</v>
      </c>
      <c r="R2" s="64" t="s">
        <v>62</v>
      </c>
    </row>
    <row r="3" spans="2:22" x14ac:dyDescent="0.2">
      <c r="B3" s="6" t="s">
        <v>53</v>
      </c>
      <c r="C3" s="68">
        <f>+'434'!C3+1</f>
        <v>435</v>
      </c>
      <c r="D3" s="5"/>
      <c r="E3" s="5"/>
      <c r="F3" s="5"/>
      <c r="G3" s="5" t="s">
        <v>52</v>
      </c>
      <c r="H3" s="31">
        <v>46273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61996847</v>
      </c>
      <c r="C21" s="67">
        <f>VLOOKUP($K57,reff!E2:F29,2,0)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7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438.27</v>
      </c>
      <c r="G23" s="23">
        <f>+N2</f>
        <v>390.87</v>
      </c>
      <c r="H23" s="23">
        <f>+M2</f>
        <v>381.57400000000001</v>
      </c>
      <c r="I23" s="66">
        <f>+L2</f>
        <v>58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80" t="s">
        <v>19</v>
      </c>
      <c r="E31" s="80"/>
      <c r="F31" s="80" t="s">
        <v>18</v>
      </c>
      <c r="G31" s="80"/>
      <c r="H31" s="66" t="s">
        <v>17</v>
      </c>
      <c r="I31" s="19" t="s">
        <v>16</v>
      </c>
      <c r="M31"/>
    </row>
    <row r="32" spans="2:13" ht="39.75" customHeight="1" x14ac:dyDescent="0.2">
      <c r="B32" s="41" t="s">
        <v>197</v>
      </c>
      <c r="C32" s="19" t="s">
        <v>200</v>
      </c>
      <c r="D32" s="87"/>
      <c r="E32" s="88"/>
      <c r="F32" s="87">
        <f>+K2-F33</f>
        <v>2214</v>
      </c>
      <c r="G32" s="88"/>
      <c r="H32" s="17">
        <v>0.84</v>
      </c>
      <c r="I32" s="18">
        <f>+H32*F32</f>
        <v>1859.76</v>
      </c>
      <c r="K32" s="46"/>
      <c r="M32" s="39"/>
    </row>
    <row r="33" spans="2:13" ht="24.95" customHeight="1" x14ac:dyDescent="0.2">
      <c r="B33" s="41" t="s">
        <v>188</v>
      </c>
      <c r="C33" s="19" t="s">
        <v>195</v>
      </c>
      <c r="D33" s="87"/>
      <c r="E33" s="88"/>
      <c r="F33" s="87">
        <v>2434</v>
      </c>
      <c r="G33" s="88"/>
      <c r="H33" s="17">
        <v>0.84</v>
      </c>
      <c r="I33" s="18">
        <f>+H33*F33</f>
        <v>2044.56</v>
      </c>
      <c r="K33" s="46"/>
      <c r="M33" s="39"/>
    </row>
    <row r="34" spans="2:13" ht="21" customHeight="1" x14ac:dyDescent="0.2">
      <c r="B34" s="15" t="s">
        <v>15</v>
      </c>
      <c r="C34" s="15"/>
      <c r="D34" s="74"/>
      <c r="E34" s="76"/>
      <c r="F34" s="74"/>
      <c r="G34" s="76"/>
      <c r="H34" s="17"/>
      <c r="I34" s="66"/>
    </row>
    <row r="35" spans="2:13" ht="21.75" customHeight="1" x14ac:dyDescent="0.2">
      <c r="B35" s="15" t="s">
        <v>14</v>
      </c>
      <c r="C35" s="15"/>
      <c r="D35" s="85"/>
      <c r="E35" s="86"/>
      <c r="F35" s="87">
        <f>SUM(F32:G34)</f>
        <v>4648</v>
      </c>
      <c r="G35" s="88"/>
      <c r="H35" s="15"/>
      <c r="I35" s="14">
        <f>SUM(I32:I34)</f>
        <v>3904.3199999999997</v>
      </c>
      <c r="J35" s="40"/>
      <c r="K35" s="40"/>
    </row>
    <row r="36" spans="2:13" ht="21.75" customHeight="1" x14ac:dyDescent="0.2">
      <c r="B36" s="16" t="s">
        <v>13</v>
      </c>
      <c r="C36" s="15"/>
      <c r="D36" s="74"/>
      <c r="E36" s="76"/>
      <c r="F36" s="74"/>
      <c r="G36" s="76"/>
      <c r="H36" s="15"/>
      <c r="I36" s="66"/>
      <c r="J36" s="40"/>
    </row>
    <row r="37" spans="2:13" ht="21.75" customHeight="1" x14ac:dyDescent="0.2">
      <c r="B37" s="16" t="s">
        <v>12</v>
      </c>
      <c r="C37" s="15"/>
      <c r="D37" s="74"/>
      <c r="E37" s="76"/>
      <c r="F37" s="74"/>
      <c r="G37" s="76"/>
      <c r="H37" s="15"/>
      <c r="I37" s="14">
        <f>+I35</f>
        <v>3904.3199999999997</v>
      </c>
    </row>
    <row r="38" spans="2:13" ht="20.25" customHeight="1" x14ac:dyDescent="0.2">
      <c r="B38" s="15" t="s">
        <v>80</v>
      </c>
      <c r="C38" s="74" t="s">
        <v>11</v>
      </c>
      <c r="D38" s="75"/>
      <c r="E38" s="75"/>
      <c r="F38" s="75"/>
      <c r="G38" s="75"/>
      <c r="H38" s="76"/>
      <c r="I38" s="45"/>
    </row>
    <row r="39" spans="2:13" ht="21" customHeight="1" x14ac:dyDescent="0.2">
      <c r="B39" s="16" t="s">
        <v>10</v>
      </c>
      <c r="C39" s="15"/>
      <c r="D39" s="15"/>
      <c r="E39" s="15"/>
      <c r="F39" s="15"/>
      <c r="G39" s="15"/>
      <c r="H39" s="15"/>
      <c r="I39" s="14">
        <f>+I37+I38</f>
        <v>3904.3199999999997</v>
      </c>
    </row>
    <row r="40" spans="2:13" ht="18.75" customHeight="1" x14ac:dyDescent="0.2">
      <c r="B40" s="6"/>
      <c r="C40" s="5"/>
      <c r="D40" s="5"/>
      <c r="E40" s="5"/>
      <c r="F40" s="5"/>
      <c r="G40" s="5"/>
      <c r="H40" s="5"/>
      <c r="I40" s="4"/>
    </row>
    <row r="41" spans="2:13" x14ac:dyDescent="0.2">
      <c r="B41" s="6"/>
      <c r="C41" s="5"/>
      <c r="D41" s="5"/>
      <c r="E41" s="5"/>
      <c r="F41" s="5"/>
      <c r="G41" s="5"/>
      <c r="H41" s="5"/>
      <c r="I41" s="4"/>
    </row>
    <row r="42" spans="2:13" x14ac:dyDescent="0.2">
      <c r="B42" s="13" t="s">
        <v>9</v>
      </c>
      <c r="C42" s="12"/>
      <c r="D42" s="12"/>
      <c r="E42" s="12"/>
      <c r="F42" s="12"/>
      <c r="G42" s="12"/>
      <c r="H42" s="12"/>
      <c r="I42" s="11"/>
    </row>
    <row r="43" spans="2:13" x14ac:dyDescent="0.2">
      <c r="B43" s="2" t="s">
        <v>86</v>
      </c>
      <c r="C43" s="1"/>
      <c r="D43" s="1"/>
      <c r="E43" s="1"/>
      <c r="F43" s="1"/>
      <c r="G43" s="1"/>
      <c r="H43" s="1"/>
      <c r="I43" s="3"/>
    </row>
    <row r="44" spans="2:13" x14ac:dyDescent="0.2">
      <c r="B44" s="6"/>
      <c r="C44" s="5"/>
      <c r="D44" s="5"/>
      <c r="E44" s="5"/>
      <c r="F44" s="5"/>
      <c r="G44" s="5"/>
      <c r="H44" s="5"/>
      <c r="I44" s="4"/>
    </row>
    <row r="45" spans="2:13" x14ac:dyDescent="0.2">
      <c r="B45" s="6" t="s">
        <v>8</v>
      </c>
      <c r="C45" s="5"/>
      <c r="D45" s="5"/>
      <c r="E45" s="5"/>
      <c r="F45" s="5"/>
      <c r="G45" s="5"/>
      <c r="H45" s="5"/>
      <c r="I45" s="4"/>
    </row>
    <row r="46" spans="2:13" x14ac:dyDescent="0.2">
      <c r="B46" s="6"/>
      <c r="C46" s="5"/>
      <c r="D46" s="5"/>
      <c r="E46" s="5"/>
      <c r="F46" s="5"/>
      <c r="G46" s="5"/>
      <c r="H46" s="5"/>
      <c r="I46" s="4"/>
    </row>
    <row r="47" spans="2:13" x14ac:dyDescent="0.2">
      <c r="B47" s="82" t="s">
        <v>7</v>
      </c>
      <c r="C47" s="82"/>
      <c r="D47" s="82"/>
      <c r="E47" s="10" t="s">
        <v>6</v>
      </c>
      <c r="F47" s="10"/>
      <c r="G47" s="10"/>
      <c r="H47" s="10"/>
      <c r="I47" s="10"/>
    </row>
    <row r="48" spans="2:13" x14ac:dyDescent="0.2">
      <c r="B48" s="2"/>
      <c r="C48" s="1"/>
      <c r="D48" s="3"/>
      <c r="E48" s="9" t="s">
        <v>5</v>
      </c>
      <c r="F48" s="9"/>
      <c r="G48" s="9"/>
      <c r="H48" s="2"/>
      <c r="I48" s="3"/>
    </row>
    <row r="49" spans="2:11" x14ac:dyDescent="0.2">
      <c r="B49" s="6"/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4</v>
      </c>
      <c r="C50" s="5"/>
      <c r="D50" s="5"/>
      <c r="E50" s="5"/>
      <c r="F50" s="5"/>
      <c r="G50" s="5"/>
      <c r="H50" s="5"/>
      <c r="I50" s="4"/>
    </row>
    <row r="51" spans="2:11" x14ac:dyDescent="0.2">
      <c r="B51" s="6" t="s">
        <v>3</v>
      </c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/>
      <c r="H52" s="5"/>
      <c r="I52" s="4"/>
    </row>
    <row r="53" spans="2:11" x14ac:dyDescent="0.2">
      <c r="B53" s="6"/>
      <c r="C53" s="5"/>
      <c r="D53" s="5"/>
      <c r="E53" s="5"/>
      <c r="F53" s="5"/>
      <c r="G53" s="5" t="s">
        <v>2</v>
      </c>
      <c r="H53" s="5" t="str">
        <f>VLOOKUP($K53,reff!B2:C29,2,0)</f>
        <v>265K0090</v>
      </c>
      <c r="I53" s="8"/>
      <c r="K53">
        <v>7</v>
      </c>
    </row>
    <row r="54" spans="2:11" x14ac:dyDescent="0.2">
      <c r="B54" s="6"/>
      <c r="C54" s="5"/>
      <c r="D54" s="5"/>
      <c r="E54" s="5"/>
      <c r="F54" s="5"/>
      <c r="G54" s="5"/>
      <c r="H54" s="7"/>
      <c r="I54" s="4"/>
    </row>
    <row r="55" spans="2:11" x14ac:dyDescent="0.2">
      <c r="B55" s="6"/>
      <c r="C55" s="5"/>
      <c r="D55" s="5"/>
      <c r="E55" s="5"/>
      <c r="F55" s="5"/>
      <c r="G55" s="5"/>
      <c r="H55" s="5"/>
      <c r="I55" s="4"/>
    </row>
    <row r="56" spans="2:11" x14ac:dyDescent="0.2">
      <c r="B56" s="6"/>
      <c r="C56" s="83" t="s">
        <v>1</v>
      </c>
      <c r="D56" s="83"/>
      <c r="E56" s="5"/>
      <c r="F56" s="5"/>
      <c r="G56" s="5"/>
      <c r="H56" s="5"/>
      <c r="I56" s="4"/>
    </row>
    <row r="57" spans="2:11" x14ac:dyDescent="0.2">
      <c r="B57" s="6"/>
      <c r="C57" s="84" t="s">
        <v>0</v>
      </c>
      <c r="D57" s="84"/>
      <c r="E57" s="5"/>
      <c r="F57" s="5"/>
      <c r="G57" s="5"/>
      <c r="H57" s="5"/>
      <c r="I57" s="4"/>
      <c r="K57">
        <v>7</v>
      </c>
    </row>
    <row r="58" spans="2:11" x14ac:dyDescent="0.2">
      <c r="B58" s="2"/>
      <c r="C58" s="81"/>
      <c r="D58" s="81"/>
      <c r="E58" s="1"/>
      <c r="F58" s="1"/>
      <c r="G58" s="1"/>
      <c r="H58" s="1"/>
      <c r="I58" s="1"/>
    </row>
    <row r="59" spans="2:11" x14ac:dyDescent="0.2">
      <c r="B59" s="5"/>
      <c r="C59" s="5"/>
      <c r="D59" s="5"/>
      <c r="E59" s="5"/>
      <c r="F59" s="5"/>
      <c r="G59" s="5"/>
      <c r="H59" s="5"/>
      <c r="I59" s="5"/>
    </row>
  </sheetData>
  <mergeCells count="22">
    <mergeCell ref="D33:E33"/>
    <mergeCell ref="F33:G33"/>
    <mergeCell ref="D32:E32"/>
    <mergeCell ref="F32:G32"/>
    <mergeCell ref="B2:I2"/>
    <mergeCell ref="B26:I26"/>
    <mergeCell ref="B27:I27"/>
    <mergeCell ref="D31:E31"/>
    <mergeCell ref="F31:G31"/>
    <mergeCell ref="C58:D58"/>
    <mergeCell ref="D37:E37"/>
    <mergeCell ref="F37:G37"/>
    <mergeCell ref="C38:H38"/>
    <mergeCell ref="B47:D47"/>
    <mergeCell ref="C56:D56"/>
    <mergeCell ref="C57:D57"/>
    <mergeCell ref="D34:E34"/>
    <mergeCell ref="F34:G34"/>
    <mergeCell ref="D35:E35"/>
    <mergeCell ref="F35:G35"/>
    <mergeCell ref="D36:E36"/>
    <mergeCell ref="F36:G3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205</v>
      </c>
      <c r="C2" s="72"/>
      <c r="D2" s="72"/>
      <c r="E2" s="72"/>
      <c r="F2" s="72"/>
      <c r="G2" s="72"/>
      <c r="H2" s="72"/>
      <c r="I2" s="73"/>
      <c r="J2" s="62">
        <v>62046369</v>
      </c>
      <c r="K2" s="64">
        <v>894</v>
      </c>
      <c r="L2" s="64">
        <v>10</v>
      </c>
      <c r="M2" s="64">
        <v>71.137</v>
      </c>
      <c r="N2" s="64">
        <v>72.924999999999997</v>
      </c>
      <c r="O2" s="64">
        <v>81.224999999999994</v>
      </c>
      <c r="P2" s="64" t="s">
        <v>54</v>
      </c>
      <c r="Q2" s="64">
        <v>0.47</v>
      </c>
      <c r="R2" s="64" t="s">
        <v>62</v>
      </c>
    </row>
    <row r="3" spans="2:22" x14ac:dyDescent="0.2">
      <c r="B3" s="6" t="s">
        <v>53</v>
      </c>
      <c r="C3" s="68">
        <f>+'435'!C3+1</f>
        <v>436</v>
      </c>
      <c r="D3" s="5"/>
      <c r="E3" s="5"/>
      <c r="F3" s="5"/>
      <c r="G3" s="5" t="s">
        <v>52</v>
      </c>
      <c r="H3" s="31">
        <v>46273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62046369</v>
      </c>
      <c r="C21" s="67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Retail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8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81.224999999999994</v>
      </c>
      <c r="G23" s="23">
        <f>+N2</f>
        <v>72.924999999999997</v>
      </c>
      <c r="H23" s="23">
        <f>+M2</f>
        <v>71.137</v>
      </c>
      <c r="I23" s="66">
        <f>+L2</f>
        <v>10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80" t="s">
        <v>19</v>
      </c>
      <c r="E31" s="80"/>
      <c r="F31" s="80" t="s">
        <v>18</v>
      </c>
      <c r="G31" s="80"/>
      <c r="H31" s="66" t="s">
        <v>17</v>
      </c>
      <c r="I31" s="19" t="s">
        <v>16</v>
      </c>
      <c r="M31"/>
    </row>
    <row r="32" spans="2:13" ht="30.75" customHeight="1" x14ac:dyDescent="0.2">
      <c r="B32" s="41" t="s">
        <v>182</v>
      </c>
      <c r="C32" s="19" t="s">
        <v>183</v>
      </c>
      <c r="D32" s="87"/>
      <c r="E32" s="88"/>
      <c r="F32" s="87">
        <f>+K2</f>
        <v>894</v>
      </c>
      <c r="G32" s="88"/>
      <c r="H32" s="17">
        <v>0.84</v>
      </c>
      <c r="I32" s="18">
        <f>+H32*F32</f>
        <v>750.95999999999992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6"/>
    </row>
    <row r="34" spans="2:11" ht="21.75" customHeight="1" x14ac:dyDescent="0.2">
      <c r="B34" s="15" t="s">
        <v>14</v>
      </c>
      <c r="C34" s="15"/>
      <c r="D34" s="85"/>
      <c r="E34" s="86"/>
      <c r="F34" s="87">
        <f>SUM(F31:G33)</f>
        <v>894</v>
      </c>
      <c r="G34" s="88"/>
      <c r="H34" s="15"/>
      <c r="I34" s="14">
        <f>SUM(I32:I33)</f>
        <v>750.95999999999992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750.95999999999992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750.95999999999992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265K0090</v>
      </c>
      <c r="I52" s="8"/>
      <c r="K52" s="20">
        <v>8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 s="20">
        <v>8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205</v>
      </c>
      <c r="C2" s="72"/>
      <c r="D2" s="72"/>
      <c r="E2" s="72"/>
      <c r="F2" s="72"/>
      <c r="G2" s="72"/>
      <c r="H2" s="72"/>
      <c r="I2" s="73"/>
      <c r="J2" s="62">
        <v>62031463</v>
      </c>
      <c r="K2" s="64">
        <v>791</v>
      </c>
      <c r="L2" s="64">
        <v>9</v>
      </c>
      <c r="M2" s="64">
        <v>66.212999999999994</v>
      </c>
      <c r="N2" s="64">
        <v>67.795000000000002</v>
      </c>
      <c r="O2" s="64">
        <v>75.694999999999993</v>
      </c>
      <c r="P2" s="64" t="s">
        <v>54</v>
      </c>
      <c r="Q2" s="64">
        <v>0.436</v>
      </c>
      <c r="R2" s="64" t="s">
        <v>62</v>
      </c>
    </row>
    <row r="3" spans="2:22" x14ac:dyDescent="0.2">
      <c r="B3" s="6" t="s">
        <v>53</v>
      </c>
      <c r="C3" s="68">
        <f>+'436'!C3+1</f>
        <v>437</v>
      </c>
      <c r="D3" s="5"/>
      <c r="E3" s="5"/>
      <c r="F3" s="5"/>
      <c r="G3" s="5" t="s">
        <v>52</v>
      </c>
      <c r="H3" s="31">
        <v>46273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62031463</v>
      </c>
      <c r="C21" s="67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9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75.694999999999993</v>
      </c>
      <c r="G23" s="23">
        <f>+N2</f>
        <v>67.795000000000002</v>
      </c>
      <c r="H23" s="23">
        <f>+M2</f>
        <v>66.212999999999994</v>
      </c>
      <c r="I23" s="66">
        <f>+L2</f>
        <v>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80" t="s">
        <v>19</v>
      </c>
      <c r="E31" s="80"/>
      <c r="F31" s="80" t="s">
        <v>18</v>
      </c>
      <c r="G31" s="80"/>
      <c r="H31" s="66" t="s">
        <v>17</v>
      </c>
      <c r="I31" s="19" t="s">
        <v>16</v>
      </c>
      <c r="M31"/>
    </row>
    <row r="32" spans="2:13" ht="34.5" customHeight="1" x14ac:dyDescent="0.2">
      <c r="B32" s="41" t="s">
        <v>199</v>
      </c>
      <c r="C32" s="19" t="s">
        <v>201</v>
      </c>
      <c r="D32" s="87"/>
      <c r="E32" s="88"/>
      <c r="F32" s="87">
        <f>+K2</f>
        <v>791</v>
      </c>
      <c r="G32" s="88"/>
      <c r="H32" s="17">
        <v>0.84</v>
      </c>
      <c r="I32" s="18">
        <f>+H32*F32</f>
        <v>664.43999999999994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6"/>
    </row>
    <row r="34" spans="2:11" ht="21.75" customHeight="1" x14ac:dyDescent="0.2">
      <c r="B34" s="15" t="s">
        <v>14</v>
      </c>
      <c r="C34" s="15"/>
      <c r="D34" s="85"/>
      <c r="E34" s="86"/>
      <c r="F34" s="87">
        <f>SUM(F31:G33)</f>
        <v>791</v>
      </c>
      <c r="G34" s="88"/>
      <c r="H34" s="15"/>
      <c r="I34" s="14">
        <f>SUM(I32:I33)</f>
        <v>664.43999999999994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664.43999999999994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664.43999999999994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265K0090</v>
      </c>
      <c r="I52" s="8"/>
      <c r="K52" s="20">
        <v>9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 s="20">
        <v>9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5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2851562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205</v>
      </c>
      <c r="C2" s="72"/>
      <c r="D2" s="72"/>
      <c r="E2" s="72"/>
      <c r="F2" s="72"/>
      <c r="G2" s="72"/>
      <c r="H2" s="72"/>
      <c r="I2" s="73"/>
      <c r="J2" s="62">
        <v>61997078</v>
      </c>
      <c r="K2" s="63">
        <v>1516</v>
      </c>
      <c r="L2" s="64">
        <v>19</v>
      </c>
      <c r="M2" s="64">
        <v>127.19799999999999</v>
      </c>
      <c r="N2" s="64">
        <v>130.22999999999999</v>
      </c>
      <c r="O2" s="64">
        <v>146.33000000000001</v>
      </c>
      <c r="P2" s="64" t="s">
        <v>54</v>
      </c>
      <c r="Q2" s="64">
        <v>0.82799999999999996</v>
      </c>
      <c r="R2" s="64" t="s">
        <v>62</v>
      </c>
    </row>
    <row r="3" spans="2:22" x14ac:dyDescent="0.2">
      <c r="B3" s="6" t="s">
        <v>53</v>
      </c>
      <c r="C3" s="68">
        <f>+'437'!C3+1</f>
        <v>438</v>
      </c>
      <c r="D3" s="5"/>
      <c r="E3" s="5"/>
      <c r="F3" s="5"/>
      <c r="G3" s="5" t="s">
        <v>52</v>
      </c>
      <c r="H3" s="31">
        <v>46273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61997078</v>
      </c>
      <c r="C21" s="67">
        <f>VLOOKUP($K56,reff!E2:F29,2,0)</f>
        <v>906033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10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146.33000000000001</v>
      </c>
      <c r="G23" s="23">
        <f>+N2</f>
        <v>130.22999999999999</v>
      </c>
      <c r="H23" s="23">
        <f>+M2</f>
        <v>127.19799999999999</v>
      </c>
      <c r="I23" s="66">
        <f>+L2</f>
        <v>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80" t="s">
        <v>19</v>
      </c>
      <c r="E31" s="80"/>
      <c r="F31" s="80" t="s">
        <v>18</v>
      </c>
      <c r="G31" s="80"/>
      <c r="H31" s="66" t="s">
        <v>17</v>
      </c>
      <c r="I31" s="19" t="s">
        <v>16</v>
      </c>
      <c r="M31"/>
    </row>
    <row r="32" spans="2:13" ht="33.75" customHeight="1" x14ac:dyDescent="0.2">
      <c r="B32" s="41" t="s">
        <v>197</v>
      </c>
      <c r="C32" s="19" t="s">
        <v>200</v>
      </c>
      <c r="D32" s="87"/>
      <c r="E32" s="88"/>
      <c r="F32" s="87">
        <f>+K2</f>
        <v>1516</v>
      </c>
      <c r="G32" s="88"/>
      <c r="H32" s="17">
        <v>0.84</v>
      </c>
      <c r="I32" s="18">
        <f>+H32*F32</f>
        <v>1273.44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6"/>
    </row>
    <row r="34" spans="2:11" ht="21.75" customHeight="1" x14ac:dyDescent="0.2">
      <c r="B34" s="15" t="s">
        <v>14</v>
      </c>
      <c r="C34" s="15"/>
      <c r="D34" s="85"/>
      <c r="E34" s="86"/>
      <c r="F34" s="87">
        <f>SUM(F32:G33)</f>
        <v>1516</v>
      </c>
      <c r="G34" s="88"/>
      <c r="H34" s="15"/>
      <c r="I34" s="14">
        <f>SUM(I32:I33)</f>
        <v>1273.44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1273.44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1273.44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265K0090</v>
      </c>
      <c r="I52" s="8"/>
      <c r="K52" s="20">
        <v>10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 s="20">
        <v>10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2.855468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205</v>
      </c>
      <c r="C2" s="72"/>
      <c r="D2" s="72"/>
      <c r="E2" s="72"/>
      <c r="F2" s="72"/>
      <c r="G2" s="72"/>
      <c r="H2" s="72"/>
      <c r="I2" s="73"/>
      <c r="J2" s="62">
        <v>61996966</v>
      </c>
      <c r="K2" s="64">
        <v>280</v>
      </c>
      <c r="L2" s="64">
        <v>3</v>
      </c>
      <c r="M2" s="64">
        <v>19.655000000000001</v>
      </c>
      <c r="N2" s="64">
        <v>20.215</v>
      </c>
      <c r="O2" s="64">
        <v>22.614999999999998</v>
      </c>
      <c r="P2" s="64" t="s">
        <v>54</v>
      </c>
      <c r="Q2" s="64">
        <v>0.112</v>
      </c>
      <c r="R2" s="64" t="s">
        <v>62</v>
      </c>
    </row>
    <row r="3" spans="2:22" x14ac:dyDescent="0.2">
      <c r="B3" s="6" t="s">
        <v>53</v>
      </c>
      <c r="C3" s="68">
        <f>+'438'!C3+1</f>
        <v>439</v>
      </c>
      <c r="D3" s="5"/>
      <c r="E3" s="5"/>
      <c r="F3" s="5"/>
      <c r="G3" s="5" t="s">
        <v>52</v>
      </c>
      <c r="H3" s="31">
        <v>46273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61996966</v>
      </c>
      <c r="C21" s="67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11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22.614999999999998</v>
      </c>
      <c r="G23" s="23">
        <f>+N2</f>
        <v>20.215</v>
      </c>
      <c r="H23" s="23">
        <f>+M2</f>
        <v>19.655000000000001</v>
      </c>
      <c r="I23" s="66">
        <f>+L2</f>
        <v>3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80" t="s">
        <v>19</v>
      </c>
      <c r="E31" s="80"/>
      <c r="F31" s="80" t="s">
        <v>18</v>
      </c>
      <c r="G31" s="80"/>
      <c r="H31" s="66" t="s">
        <v>17</v>
      </c>
      <c r="I31" s="19" t="s">
        <v>16</v>
      </c>
      <c r="M31"/>
    </row>
    <row r="32" spans="2:13" ht="24.95" customHeight="1" x14ac:dyDescent="0.2">
      <c r="B32" s="41" t="s">
        <v>194</v>
      </c>
      <c r="C32" s="19" t="s">
        <v>193</v>
      </c>
      <c r="D32" s="87"/>
      <c r="E32" s="88"/>
      <c r="F32" s="87">
        <f>+K2</f>
        <v>280</v>
      </c>
      <c r="G32" s="88"/>
      <c r="H32" s="17">
        <v>0.81</v>
      </c>
      <c r="I32" s="18">
        <f>+H32*F32</f>
        <v>226.8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6"/>
    </row>
    <row r="34" spans="2:11" ht="21.75" customHeight="1" x14ac:dyDescent="0.2">
      <c r="B34" s="15" t="s">
        <v>14</v>
      </c>
      <c r="C34" s="15"/>
      <c r="D34" s="85"/>
      <c r="E34" s="86"/>
      <c r="F34" s="87">
        <f>SUM(F32:G33)</f>
        <v>280</v>
      </c>
      <c r="G34" s="88"/>
      <c r="H34" s="15"/>
      <c r="I34" s="14">
        <f>SUM(I32:I33)</f>
        <v>226.8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226.8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226.8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 s="20">
        <v>11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B2:I2"/>
    <mergeCell ref="B26:I26"/>
    <mergeCell ref="B27:I27"/>
    <mergeCell ref="D31:E31"/>
    <mergeCell ref="F31:G31"/>
    <mergeCell ref="D32:E32"/>
    <mergeCell ref="F32:G32"/>
    <mergeCell ref="C55:D55"/>
    <mergeCell ref="C56:D56"/>
    <mergeCell ref="C57:D57"/>
    <mergeCell ref="D35:E35"/>
    <mergeCell ref="F35:G35"/>
    <mergeCell ref="D36:E36"/>
    <mergeCell ref="F36:G36"/>
    <mergeCell ref="C37:H37"/>
    <mergeCell ref="B46:D46"/>
  </mergeCells>
  <printOptions horizontalCentered="1" verticalCentered="1"/>
  <pageMargins left="0.7" right="0.7" top="0.75" bottom="0.75" header="0.3" footer="0.3"/>
  <pageSetup paperSize="9" scale="68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0" max="10" width="10.140625" bestFit="1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205</v>
      </c>
      <c r="C2" s="72"/>
      <c r="D2" s="72"/>
      <c r="E2" s="72"/>
      <c r="F2" s="72"/>
      <c r="G2" s="72"/>
      <c r="H2" s="72"/>
      <c r="I2" s="73"/>
      <c r="J2" s="62">
        <v>61996953</v>
      </c>
      <c r="K2" s="64">
        <v>338</v>
      </c>
      <c r="L2" s="64">
        <v>4</v>
      </c>
      <c r="M2" s="64">
        <v>23.809000000000001</v>
      </c>
      <c r="N2" s="64">
        <v>24.484999999999999</v>
      </c>
      <c r="O2" s="64">
        <v>27.585000000000001</v>
      </c>
      <c r="P2" s="64" t="s">
        <v>54</v>
      </c>
      <c r="Q2" s="64">
        <v>0.13400000000000001</v>
      </c>
      <c r="R2" s="64" t="s">
        <v>62</v>
      </c>
    </row>
    <row r="3" spans="2:22" x14ac:dyDescent="0.2">
      <c r="B3" s="6" t="s">
        <v>53</v>
      </c>
      <c r="C3" s="68">
        <f>+'439'!C3+1</f>
        <v>440</v>
      </c>
      <c r="D3" s="5"/>
      <c r="E3" s="5"/>
      <c r="F3" s="5"/>
      <c r="G3" s="5" t="s">
        <v>52</v>
      </c>
      <c r="H3" s="31">
        <v>46273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178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61996953</v>
      </c>
      <c r="C21" s="67">
        <f>VLOOKUP($K56,reff!E2:F29,2,0)</f>
        <v>905994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12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27.585000000000001</v>
      </c>
      <c r="G23" s="23">
        <f>+N2</f>
        <v>24.484999999999999</v>
      </c>
      <c r="H23" s="23">
        <f>+M2</f>
        <v>23.809000000000001</v>
      </c>
      <c r="I23" s="66">
        <f>+L2</f>
        <v>4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GIRLS COTTON FIBERS, KNIT PULLOVER, WITH NO NECK CLOSURE, STITCH COUNT IS GREATER THAN 9/2CM, REACHES WAIST [100% COTTON]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80" t="s">
        <v>19</v>
      </c>
      <c r="E31" s="80"/>
      <c r="F31" s="80" t="s">
        <v>18</v>
      </c>
      <c r="G31" s="80"/>
      <c r="H31" s="66" t="s">
        <v>17</v>
      </c>
      <c r="I31" s="19" t="s">
        <v>16</v>
      </c>
      <c r="M31"/>
    </row>
    <row r="32" spans="2:13" ht="26.25" customHeight="1" x14ac:dyDescent="0.2">
      <c r="B32" s="61" t="s">
        <v>188</v>
      </c>
      <c r="C32" s="19" t="s">
        <v>195</v>
      </c>
      <c r="D32" s="87"/>
      <c r="E32" s="88"/>
      <c r="F32" s="87">
        <f>+K2</f>
        <v>338</v>
      </c>
      <c r="G32" s="88"/>
      <c r="H32" s="17">
        <v>0.81</v>
      </c>
      <c r="I32" s="18">
        <f>+H32*F32</f>
        <v>273.78000000000003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6"/>
    </row>
    <row r="34" spans="2:11" ht="21.75" customHeight="1" x14ac:dyDescent="0.2">
      <c r="B34" s="15" t="s">
        <v>14</v>
      </c>
      <c r="C34" s="15"/>
      <c r="D34" s="85"/>
      <c r="E34" s="86"/>
      <c r="F34" s="87">
        <f>SUM(F32:G33)</f>
        <v>338</v>
      </c>
      <c r="G34" s="88"/>
      <c r="H34" s="15"/>
      <c r="I34" s="14">
        <f>SUM(I32:I33)</f>
        <v>273.78000000000003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273.78000000000003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273.78000000000003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265K0089</v>
      </c>
      <c r="I52" s="8"/>
      <c r="K52" s="20">
        <v>12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 s="20">
        <v>12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22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205</v>
      </c>
      <c r="C2" s="72"/>
      <c r="D2" s="72"/>
      <c r="E2" s="72"/>
      <c r="F2" s="72"/>
      <c r="G2" s="72"/>
      <c r="H2" s="72"/>
      <c r="I2" s="73"/>
      <c r="J2" s="62">
        <v>62191454</v>
      </c>
      <c r="K2" s="63">
        <v>1150</v>
      </c>
      <c r="L2" s="64">
        <v>27</v>
      </c>
      <c r="M2" s="64">
        <v>124.675</v>
      </c>
      <c r="N2" s="64">
        <v>136.17500000000001</v>
      </c>
      <c r="O2" s="64">
        <v>156.57499999999999</v>
      </c>
      <c r="P2" s="64" t="s">
        <v>54</v>
      </c>
      <c r="Q2" s="64">
        <v>0.80500000000000005</v>
      </c>
      <c r="R2" s="64" t="s">
        <v>62</v>
      </c>
    </row>
    <row r="3" spans="2:22" x14ac:dyDescent="0.2">
      <c r="B3" s="6" t="s">
        <v>53</v>
      </c>
      <c r="C3" s="68">
        <f>+'440'!C3+1</f>
        <v>441</v>
      </c>
      <c r="D3" s="5"/>
      <c r="E3" s="5"/>
      <c r="F3" s="5"/>
      <c r="G3" s="5" t="s">
        <v>52</v>
      </c>
      <c r="H3" s="31">
        <v>46273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89</v>
      </c>
      <c r="H13" s="5"/>
      <c r="I13" s="4"/>
    </row>
    <row r="14" spans="2:22" x14ac:dyDescent="0.2">
      <c r="B14" s="6" t="s">
        <v>70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9500 MCLAUGHLIN ROAD N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9500 MCLAUGHLIN ROAD N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BRAMPTON, ONTARIO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BRAMPTON, ONTARIO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L6X 0B8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L6X 0B8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CANADA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CANADA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62191454</v>
      </c>
      <c r="C21" s="67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CA</v>
      </c>
      <c r="I21" s="66" t="s">
        <v>34</v>
      </c>
      <c r="K21" s="20">
        <v>13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156.57499999999999</v>
      </c>
      <c r="G23" s="23">
        <f>+N2</f>
        <v>136.17500000000001</v>
      </c>
      <c r="H23" s="23">
        <f>+M2</f>
        <v>124.675</v>
      </c>
      <c r="I23" s="66">
        <f>+L2</f>
        <v>27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WOMENS COTTON FIBERS, KNIT PULLOVER, WITH NO NECK CLOSURE, STITCH COUNT IS GREATER THAN 9/2CM, REACHES WAIST, SLEEVELESS [96% COTTON 4% SPANDEX]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80" t="s">
        <v>19</v>
      </c>
      <c r="E31" s="80"/>
      <c r="F31" s="80" t="s">
        <v>18</v>
      </c>
      <c r="G31" s="80"/>
      <c r="H31" s="66" t="s">
        <v>17</v>
      </c>
      <c r="I31" s="19" t="s">
        <v>16</v>
      </c>
      <c r="M31"/>
    </row>
    <row r="32" spans="2:13" ht="34.5" customHeight="1" x14ac:dyDescent="0.2">
      <c r="B32" s="41" t="s">
        <v>202</v>
      </c>
      <c r="C32" s="19" t="s">
        <v>203</v>
      </c>
      <c r="D32" s="87"/>
      <c r="E32" s="88"/>
      <c r="F32" s="87">
        <f>+K2</f>
        <v>1150</v>
      </c>
      <c r="G32" s="88"/>
      <c r="H32" s="17">
        <v>0.76</v>
      </c>
      <c r="I32" s="18">
        <f>+H32*F32</f>
        <v>874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6"/>
    </row>
    <row r="34" spans="2:11" ht="21.75" customHeight="1" x14ac:dyDescent="0.2">
      <c r="B34" s="15" t="s">
        <v>14</v>
      </c>
      <c r="C34" s="15"/>
      <c r="D34" s="85"/>
      <c r="E34" s="86"/>
      <c r="F34" s="87">
        <f>SUM(F32:G33)</f>
        <v>1150</v>
      </c>
      <c r="G34" s="88"/>
      <c r="H34" s="15"/>
      <c r="I34" s="14">
        <f>SUM(I32:I33)</f>
        <v>874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874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874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13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  <c r="K55" s="20">
        <v>13</v>
      </c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Sheet1!$L$5:$L$25</xm:f>
          </x14:formula1>
          <xm:sqref>G13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Sheet1!$K$5:$K$12</xm:f>
          </x14:formula1>
          <xm:sqref>B14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topLeftCell="A19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205</v>
      </c>
      <c r="C2" s="72"/>
      <c r="D2" s="72"/>
      <c r="E2" s="72"/>
      <c r="F2" s="72"/>
      <c r="G2" s="72"/>
      <c r="H2" s="72"/>
      <c r="I2" s="73"/>
      <c r="J2" s="62">
        <v>62188540</v>
      </c>
      <c r="K2" s="64">
        <v>858</v>
      </c>
      <c r="L2" s="64">
        <v>12</v>
      </c>
      <c r="M2" s="64">
        <v>90.92</v>
      </c>
      <c r="N2" s="64">
        <v>99.5</v>
      </c>
      <c r="O2" s="64">
        <v>109.8</v>
      </c>
      <c r="P2" s="64" t="s">
        <v>54</v>
      </c>
      <c r="Q2" s="64">
        <v>0.53700000000000003</v>
      </c>
      <c r="R2" s="64" t="s">
        <v>62</v>
      </c>
    </row>
    <row r="3" spans="2:22" x14ac:dyDescent="0.2">
      <c r="B3" s="6" t="s">
        <v>53</v>
      </c>
      <c r="C3" s="68">
        <f>+'441'!C3+1</f>
        <v>442</v>
      </c>
      <c r="D3" s="5"/>
      <c r="E3" s="5"/>
      <c r="F3" s="5"/>
      <c r="G3" s="5" t="s">
        <v>52</v>
      </c>
      <c r="H3" s="31">
        <v>46273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87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110 MERRITT BLVD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FISHKILL, NY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12524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66">
        <f>J2</f>
        <v>62188540</v>
      </c>
      <c r="C21" s="67">
        <f>VLOOKUP($K55,reff!E2:F29,2,0)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66" t="s">
        <v>35</v>
      </c>
      <c r="G21" s="66"/>
      <c r="H21" s="47" t="str">
        <f>IF(LEFT(G17,2)="CA","CA",IF(LEFT(G17,2)="UN","US",IF(LEFT(G17,2)="PA","PA",IF(LEFT(G17,2)="JA","JP"))))</f>
        <v>US</v>
      </c>
      <c r="I21" s="66" t="s">
        <v>34</v>
      </c>
      <c r="K21" s="20">
        <v>14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66" t="s">
        <v>25</v>
      </c>
      <c r="C23" s="66"/>
      <c r="D23" s="66" t="s">
        <v>24</v>
      </c>
      <c r="E23" s="66" t="str">
        <f>+D23</f>
        <v>JAKARTA,ID</v>
      </c>
      <c r="F23" s="23">
        <f>+O2</f>
        <v>109.8</v>
      </c>
      <c r="G23" s="23">
        <f>+N2</f>
        <v>99.5</v>
      </c>
      <c r="H23" s="23">
        <f>+M2</f>
        <v>90.92</v>
      </c>
      <c r="I23" s="66">
        <f>+L2</f>
        <v>12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WOMENS COTTON FIBERS, KNIT PULLOVER, WITH NO NECK CLOSURE, STITCH COUNT IS GREATER THAN 9/2CM, REACHES WAIST, SLEEVELESS [96% COTTON 4% SPANDEX]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66" t="s">
        <v>21</v>
      </c>
      <c r="C31" s="66" t="s">
        <v>20</v>
      </c>
      <c r="D31" s="80" t="s">
        <v>19</v>
      </c>
      <c r="E31" s="80"/>
      <c r="F31" s="80" t="s">
        <v>18</v>
      </c>
      <c r="G31" s="80"/>
      <c r="H31" s="66" t="s">
        <v>17</v>
      </c>
      <c r="I31" s="19" t="s">
        <v>16</v>
      </c>
      <c r="M31"/>
    </row>
    <row r="32" spans="2:13" ht="26.25" customHeight="1" x14ac:dyDescent="0.2">
      <c r="B32" s="41">
        <v>21</v>
      </c>
      <c r="C32" s="19" t="s">
        <v>204</v>
      </c>
      <c r="D32" s="87"/>
      <c r="E32" s="88"/>
      <c r="F32" s="87">
        <f>+K2</f>
        <v>858</v>
      </c>
      <c r="G32" s="88"/>
      <c r="H32" s="17">
        <v>0.76</v>
      </c>
      <c r="I32" s="18">
        <f>+H32*F32</f>
        <v>652.08000000000004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66"/>
    </row>
    <row r="34" spans="2:11" ht="21.75" customHeight="1" x14ac:dyDescent="0.2">
      <c r="B34" s="15" t="s">
        <v>14</v>
      </c>
      <c r="C34" s="15"/>
      <c r="D34" s="85"/>
      <c r="E34" s="86"/>
      <c r="F34" s="87">
        <f>SUM(F32:G33)</f>
        <v>858</v>
      </c>
      <c r="G34" s="88"/>
      <c r="H34" s="15"/>
      <c r="I34" s="14">
        <f>SUM(I32:I33)</f>
        <v>652.08000000000004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66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652.08000000000004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652.08000000000004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14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  <c r="K55" s="20">
        <v>14</v>
      </c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2:E32"/>
    <mergeCell ref="F32:G32"/>
    <mergeCell ref="B2:I2"/>
    <mergeCell ref="B26:I26"/>
    <mergeCell ref="B27:I27"/>
    <mergeCell ref="D31:E31"/>
    <mergeCell ref="F31:G31"/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V58"/>
  <sheetViews>
    <sheetView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71" t="s">
        <v>205</v>
      </c>
      <c r="C2" s="72"/>
      <c r="D2" s="72"/>
      <c r="E2" s="72"/>
      <c r="F2" s="72"/>
      <c r="G2" s="72"/>
      <c r="H2" s="72"/>
      <c r="I2" s="73"/>
      <c r="J2" s="62">
        <v>62188537</v>
      </c>
      <c r="K2" s="63">
        <v>1625</v>
      </c>
      <c r="L2" s="64">
        <v>22</v>
      </c>
      <c r="M2" s="64">
        <v>172.44499999999999</v>
      </c>
      <c r="N2" s="64">
        <v>188.69499999999999</v>
      </c>
      <c r="O2" s="64">
        <v>207.79499999999999</v>
      </c>
      <c r="P2" s="64" t="s">
        <v>54</v>
      </c>
      <c r="Q2" s="64">
        <v>1.018</v>
      </c>
      <c r="R2" s="64" t="s">
        <v>62</v>
      </c>
    </row>
    <row r="3" spans="2:22" x14ac:dyDescent="0.2">
      <c r="B3" s="6" t="s">
        <v>53</v>
      </c>
      <c r="C3" s="68">
        <f>+'442'!C3+1</f>
        <v>443</v>
      </c>
      <c r="D3" s="5"/>
      <c r="E3" s="5"/>
      <c r="F3" s="5"/>
      <c r="G3" s="5" t="s">
        <v>52</v>
      </c>
      <c r="H3" s="31">
        <v>46273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184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88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6001 GREEN POINTE DR S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GROVEPORT, OH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43125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70">
        <f>J2</f>
        <v>62188537</v>
      </c>
      <c r="C21" s="6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70" t="s">
        <v>35</v>
      </c>
      <c r="G21" s="70"/>
      <c r="H21" s="47" t="str">
        <f>IF(LEFT(G17,2)="CA","CA",IF(LEFT(G17,2)="UN","US",IF(LEFT(G17,2)="PA","PA",IF(LEFT(G17,2)="JA","JP"))))</f>
        <v>US</v>
      </c>
      <c r="I21" s="70" t="s">
        <v>34</v>
      </c>
      <c r="K21" s="20">
        <v>15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70" t="s">
        <v>25</v>
      </c>
      <c r="C23" s="70"/>
      <c r="D23" s="70" t="s">
        <v>24</v>
      </c>
      <c r="E23" s="70" t="str">
        <f>+D23</f>
        <v>JAKARTA,ID</v>
      </c>
      <c r="F23" s="23">
        <f>+O2</f>
        <v>207.79499999999999</v>
      </c>
      <c r="G23" s="23">
        <f>+N2</f>
        <v>188.69499999999999</v>
      </c>
      <c r="H23" s="23">
        <f>+M2</f>
        <v>172.44499999999999</v>
      </c>
      <c r="I23" s="70">
        <f>+L2</f>
        <v>22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74" t="s">
        <v>23</v>
      </c>
      <c r="C26" s="75"/>
      <c r="D26" s="75"/>
      <c r="E26" s="75"/>
      <c r="F26" s="75"/>
      <c r="G26" s="75"/>
      <c r="H26" s="75"/>
      <c r="I26" s="76"/>
    </row>
    <row r="27" spans="2:13" ht="24.75" customHeight="1" x14ac:dyDescent="0.2">
      <c r="B27" s="77" t="str">
        <f>+K4</f>
        <v>WOMENS COTTON FIBERS, KNIT PULLOVER, WITH NO NECK CLOSURE, STITCH COUNT IS GREATER THAN 9/2CM, REACHES WAIST, SLEEVELESS [96% COTTON 4% SPANDEX]</v>
      </c>
      <c r="C27" s="78"/>
      <c r="D27" s="78"/>
      <c r="E27" s="78"/>
      <c r="F27" s="78"/>
      <c r="G27" s="78"/>
      <c r="H27" s="78"/>
      <c r="I27" s="79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70" t="s">
        <v>21</v>
      </c>
      <c r="C31" s="70" t="s">
        <v>20</v>
      </c>
      <c r="D31" s="80" t="s">
        <v>19</v>
      </c>
      <c r="E31" s="80"/>
      <c r="F31" s="80" t="s">
        <v>18</v>
      </c>
      <c r="G31" s="80"/>
      <c r="H31" s="70" t="s">
        <v>17</v>
      </c>
      <c r="I31" s="19" t="s">
        <v>16</v>
      </c>
      <c r="M31"/>
    </row>
    <row r="32" spans="2:13" ht="26.25" customHeight="1" x14ac:dyDescent="0.2">
      <c r="B32" s="41">
        <v>21</v>
      </c>
      <c r="C32" s="19" t="s">
        <v>204</v>
      </c>
      <c r="D32" s="87"/>
      <c r="E32" s="88"/>
      <c r="F32" s="87">
        <f>+K2</f>
        <v>1625</v>
      </c>
      <c r="G32" s="88"/>
      <c r="H32" s="17">
        <v>0.76</v>
      </c>
      <c r="I32" s="18">
        <f>+H32*F32</f>
        <v>1235</v>
      </c>
      <c r="K32" s="46"/>
      <c r="M32" s="39"/>
    </row>
    <row r="33" spans="2:11" ht="21" customHeight="1" x14ac:dyDescent="0.2">
      <c r="B33" s="15" t="s">
        <v>15</v>
      </c>
      <c r="C33" s="15"/>
      <c r="D33" s="74"/>
      <c r="E33" s="76"/>
      <c r="F33" s="74"/>
      <c r="G33" s="76"/>
      <c r="H33" s="17"/>
      <c r="I33" s="70"/>
    </row>
    <row r="34" spans="2:11" ht="21.75" customHeight="1" x14ac:dyDescent="0.2">
      <c r="B34" s="15" t="s">
        <v>14</v>
      </c>
      <c r="C34" s="15"/>
      <c r="D34" s="85"/>
      <c r="E34" s="86"/>
      <c r="F34" s="87">
        <f>SUM(F31:G33)</f>
        <v>1625</v>
      </c>
      <c r="G34" s="88"/>
      <c r="H34" s="15"/>
      <c r="I34" s="14">
        <f>SUM(I32:I33)</f>
        <v>1235</v>
      </c>
      <c r="J34" s="40"/>
      <c r="K34" s="40"/>
    </row>
    <row r="35" spans="2:11" ht="21.75" customHeight="1" x14ac:dyDescent="0.2">
      <c r="B35" s="16" t="s">
        <v>13</v>
      </c>
      <c r="C35" s="15"/>
      <c r="D35" s="74"/>
      <c r="E35" s="76"/>
      <c r="F35" s="74"/>
      <c r="G35" s="76"/>
      <c r="H35" s="15"/>
      <c r="I35" s="70"/>
      <c r="J35" s="40"/>
    </row>
    <row r="36" spans="2:11" ht="21.75" customHeight="1" x14ac:dyDescent="0.2">
      <c r="B36" s="16" t="s">
        <v>12</v>
      </c>
      <c r="C36" s="15"/>
      <c r="D36" s="74"/>
      <c r="E36" s="76"/>
      <c r="F36" s="74"/>
      <c r="G36" s="76"/>
      <c r="H36" s="15"/>
      <c r="I36" s="14">
        <f>+I34</f>
        <v>1235</v>
      </c>
    </row>
    <row r="37" spans="2:11" ht="20.25" customHeight="1" x14ac:dyDescent="0.2">
      <c r="B37" s="15" t="s">
        <v>80</v>
      </c>
      <c r="C37" s="74" t="s">
        <v>11</v>
      </c>
      <c r="D37" s="75"/>
      <c r="E37" s="75"/>
      <c r="F37" s="75"/>
      <c r="G37" s="75"/>
      <c r="H37" s="76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1235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82" t="s">
        <v>7</v>
      </c>
      <c r="C46" s="82"/>
      <c r="D46" s="82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265K0103</v>
      </c>
      <c r="I52" s="8"/>
      <c r="K52" s="20">
        <v>15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83" t="s">
        <v>1</v>
      </c>
      <c r="D55" s="83"/>
      <c r="E55" s="5"/>
      <c r="F55" s="5"/>
      <c r="G55" s="5"/>
      <c r="H55" s="5"/>
      <c r="I55" s="4"/>
    </row>
    <row r="56" spans="2:11" x14ac:dyDescent="0.2">
      <c r="B56" s="6"/>
      <c r="C56" s="84" t="s">
        <v>0</v>
      </c>
      <c r="D56" s="84"/>
      <c r="E56" s="5"/>
      <c r="F56" s="5"/>
      <c r="G56" s="5"/>
      <c r="H56" s="5"/>
      <c r="I56" s="4"/>
      <c r="K56" s="20">
        <v>15</v>
      </c>
    </row>
    <row r="57" spans="2:11" x14ac:dyDescent="0.2">
      <c r="B57" s="2"/>
      <c r="C57" s="81"/>
      <c r="D57" s="81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Sheet1!$K$5:$K$12</xm:f>
          </x14:formula1>
          <xm:sqref>B14</xm:sqref>
        </x14:dataValidation>
        <x14:dataValidation type="list" allowBlank="1" showInputMessage="1" showErrorMessage="1">
          <x14:formula1>
            <xm:f>Sheet1!$B$17:$B$18</xm:f>
          </x14:formula1>
          <xm:sqref>G5</xm:sqref>
        </x14:dataValidation>
        <x14:dataValidation type="list" allowBlank="1" showInputMessage="1" showErrorMessage="1">
          <x14:formula1>
            <xm:f>Sheet1!$L$5:$L$25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15</vt:i4>
      </vt:variant>
    </vt:vector>
  </HeadingPairs>
  <TitlesOfParts>
    <vt:vector size="32" baseType="lpstr">
      <vt:lpstr>Sheet1</vt:lpstr>
      <vt:lpstr>reff</vt:lpstr>
      <vt:lpstr>429</vt:lpstr>
      <vt:lpstr>430</vt:lpstr>
      <vt:lpstr>431</vt:lpstr>
      <vt:lpstr>432</vt:lpstr>
      <vt:lpstr>433</vt:lpstr>
      <vt:lpstr>434</vt:lpstr>
      <vt:lpstr>435</vt:lpstr>
      <vt:lpstr>436</vt:lpstr>
      <vt:lpstr>437</vt:lpstr>
      <vt:lpstr>438</vt:lpstr>
      <vt:lpstr>439</vt:lpstr>
      <vt:lpstr>440</vt:lpstr>
      <vt:lpstr>441</vt:lpstr>
      <vt:lpstr>442</vt:lpstr>
      <vt:lpstr>443</vt:lpstr>
      <vt:lpstr>'429'!Print_Area</vt:lpstr>
      <vt:lpstr>'430'!Print_Area</vt:lpstr>
      <vt:lpstr>'431'!Print_Area</vt:lpstr>
      <vt:lpstr>'432'!Print_Area</vt:lpstr>
      <vt:lpstr>'433'!Print_Area</vt:lpstr>
      <vt:lpstr>'434'!Print_Area</vt:lpstr>
      <vt:lpstr>'435'!Print_Area</vt:lpstr>
      <vt:lpstr>'436'!Print_Area</vt:lpstr>
      <vt:lpstr>'437'!Print_Area</vt:lpstr>
      <vt:lpstr>'438'!Print_Area</vt:lpstr>
      <vt:lpstr>'439'!Print_Area</vt:lpstr>
      <vt:lpstr>'440'!Print_Area</vt:lpstr>
      <vt:lpstr>'441'!Print_Area</vt:lpstr>
      <vt:lpstr>'442'!Print_Area</vt:lpstr>
      <vt:lpstr>'443'!Print_Area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ADMEXIM3</cp:lastModifiedBy>
  <cp:lastPrinted>2026-08-13T02:02:12Z</cp:lastPrinted>
  <dcterms:created xsi:type="dcterms:W3CDTF">2024-04-17T09:56:05Z</dcterms:created>
  <dcterms:modified xsi:type="dcterms:W3CDTF">2026-09-01T01:15:12Z</dcterms:modified>
</cp:coreProperties>
</file>