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29.06.2026\"/>
    </mc:Choice>
  </mc:AlternateContent>
  <xr:revisionPtr revIDLastSave="0" documentId="13_ncr:1_{D22B79BA-C0DF-4859-8535-B72CC92CF1A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420" sheetId="129" r:id="rId3"/>
    <sheet name="421" sheetId="133" r:id="rId4"/>
    <sheet name="422" sheetId="134" r:id="rId5"/>
    <sheet name="423" sheetId="135" r:id="rId6"/>
    <sheet name="424" sheetId="137" r:id="rId7"/>
    <sheet name="425" sheetId="138" r:id="rId8"/>
    <sheet name="426" sheetId="141" r:id="rId9"/>
    <sheet name="427" sheetId="142" r:id="rId10"/>
    <sheet name="428" sheetId="143" r:id="rId11"/>
    <sheet name="429" sheetId="163" r:id="rId12"/>
    <sheet name="430" sheetId="164" r:id="rId13"/>
    <sheet name="431" sheetId="165" r:id="rId14"/>
    <sheet name="432" sheetId="166" r:id="rId15"/>
    <sheet name="433" sheetId="167" r:id="rId16"/>
  </sheets>
  <externalReferences>
    <externalReference r:id="rId17"/>
    <externalReference r:id="rId18"/>
    <externalReference r:id="rId19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>[2]xdata!#REF!</definedName>
    <definedName name="INVOICE">[2]xdata!$B$2</definedName>
    <definedName name="_xlnm.Print_Area" localSheetId="2">'420'!$B$1:$I$57</definedName>
    <definedName name="_xlnm.Print_Area" localSheetId="3">'421'!$B$1:$I$57</definedName>
    <definedName name="_xlnm.Print_Area" localSheetId="4">'422'!$B$1:$I$57</definedName>
    <definedName name="_xlnm.Print_Area" localSheetId="5">'423'!$B$1:$I$57</definedName>
    <definedName name="_xlnm.Print_Area" localSheetId="6">'424'!$B$1:$I$57</definedName>
    <definedName name="_xlnm.Print_Area" localSheetId="7">'425'!$B$1:$I$57</definedName>
    <definedName name="_xlnm.Print_Area" localSheetId="8">'426'!$B$1:$I$57</definedName>
    <definedName name="_xlnm.Print_Area" localSheetId="9">'427'!$B$1:$I$57</definedName>
    <definedName name="_xlnm.Print_Area" localSheetId="10">'428'!$B$1:$I$57</definedName>
    <definedName name="_xlnm.Print_Area" localSheetId="11">'429'!$B$1:$I$57</definedName>
    <definedName name="_xlnm.Print_Area" localSheetId="12">'430'!$B$1:$I$57</definedName>
    <definedName name="_xlnm.Print_Area" localSheetId="13">'431'!$B$1:$I$57</definedName>
    <definedName name="_xlnm.Print_Area" localSheetId="14">'432'!$B$1:$I$57</definedName>
    <definedName name="_xlnm.Print_Area" localSheetId="15">'433'!$B$1:$I$57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67" l="1"/>
  <c r="C3" i="166"/>
  <c r="C3" i="165"/>
  <c r="C3" i="164"/>
  <c r="C3" i="163"/>
  <c r="F32" i="167" l="1"/>
  <c r="F34" i="167" s="1"/>
  <c r="F32" i="166"/>
  <c r="I32" i="166" s="1"/>
  <c r="I34" i="166" s="1"/>
  <c r="I36" i="166" s="1"/>
  <c r="I38" i="166" s="1"/>
  <c r="F32" i="165"/>
  <c r="F34" i="165" s="1"/>
  <c r="F32" i="164"/>
  <c r="I32" i="164" s="1"/>
  <c r="I34" i="164" s="1"/>
  <c r="I36" i="164" s="1"/>
  <c r="I38" i="164" s="1"/>
  <c r="F32" i="163"/>
  <c r="F34" i="163" s="1"/>
  <c r="F32" i="143"/>
  <c r="F32" i="135"/>
  <c r="F34" i="135" s="1"/>
  <c r="F32" i="133"/>
  <c r="F32" i="129"/>
  <c r="H52" i="167"/>
  <c r="I32" i="167"/>
  <c r="I34" i="167" s="1"/>
  <c r="I36" i="167" s="1"/>
  <c r="I38" i="167" s="1"/>
  <c r="B27" i="167"/>
  <c r="I23" i="167"/>
  <c r="H23" i="167"/>
  <c r="G23" i="167"/>
  <c r="F23" i="167"/>
  <c r="E23" i="167"/>
  <c r="E21" i="167"/>
  <c r="D21" i="167"/>
  <c r="C21" i="167"/>
  <c r="B21" i="167"/>
  <c r="B15" i="167"/>
  <c r="B16" i="167" s="1"/>
  <c r="B17" i="167" s="1"/>
  <c r="B18" i="167" s="1"/>
  <c r="G14" i="167"/>
  <c r="G15" i="167" s="1"/>
  <c r="G16" i="167" s="1"/>
  <c r="G17" i="167" s="1"/>
  <c r="H21" i="167" s="1"/>
  <c r="H3" i="167"/>
  <c r="H52" i="166"/>
  <c r="B27" i="166"/>
  <c r="I23" i="166"/>
  <c r="H23" i="166"/>
  <c r="G23" i="166"/>
  <c r="F23" i="166"/>
  <c r="E23" i="166"/>
  <c r="E21" i="166"/>
  <c r="D21" i="166"/>
  <c r="C21" i="166"/>
  <c r="B21" i="166"/>
  <c r="B15" i="166"/>
  <c r="B16" i="166" s="1"/>
  <c r="B17" i="166" s="1"/>
  <c r="B18" i="166" s="1"/>
  <c r="G14" i="166"/>
  <c r="G15" i="166" s="1"/>
  <c r="G16" i="166" s="1"/>
  <c r="G17" i="166" s="1"/>
  <c r="H21" i="166" s="1"/>
  <c r="H3" i="166"/>
  <c r="H52" i="165"/>
  <c r="B27" i="165"/>
  <c r="I23" i="165"/>
  <c r="H23" i="165"/>
  <c r="G23" i="165"/>
  <c r="F23" i="165"/>
  <c r="E23" i="165"/>
  <c r="E21" i="165"/>
  <c r="D21" i="165"/>
  <c r="C21" i="165"/>
  <c r="B21" i="165"/>
  <c r="B15" i="165"/>
  <c r="B16" i="165" s="1"/>
  <c r="B17" i="165" s="1"/>
  <c r="B18" i="165" s="1"/>
  <c r="G14" i="165"/>
  <c r="G15" i="165" s="1"/>
  <c r="G16" i="165" s="1"/>
  <c r="G17" i="165" s="1"/>
  <c r="H21" i="165" s="1"/>
  <c r="H3" i="165"/>
  <c r="H52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3" i="164"/>
  <c r="H52" i="163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H3" i="163"/>
  <c r="F32" i="141"/>
  <c r="F32" i="138"/>
  <c r="F34" i="166" l="1"/>
  <c r="I32" i="165"/>
  <c r="I34" i="165" s="1"/>
  <c r="I36" i="165" s="1"/>
  <c r="I38" i="165" s="1"/>
  <c r="F34" i="164"/>
  <c r="I32" i="163"/>
  <c r="I34" i="163" s="1"/>
  <c r="I36" i="163" s="1"/>
  <c r="I38" i="163" s="1"/>
  <c r="F32" i="134"/>
  <c r="I32" i="138" l="1"/>
  <c r="F34" i="138"/>
  <c r="I34" i="138" l="1"/>
  <c r="F34" i="133" l="1"/>
  <c r="F34" i="129" l="1"/>
  <c r="F32" i="142"/>
  <c r="F34" i="142" s="1"/>
  <c r="I32" i="134"/>
  <c r="C3" i="133"/>
  <c r="F34" i="141"/>
  <c r="F32" i="137"/>
  <c r="H3" i="143"/>
  <c r="H3" i="142"/>
  <c r="H3" i="141"/>
  <c r="H3" i="138"/>
  <c r="H3" i="137"/>
  <c r="H3" i="135"/>
  <c r="H3" i="134"/>
  <c r="H3" i="133"/>
  <c r="I32" i="141" l="1"/>
  <c r="I34" i="141" s="1"/>
  <c r="F34" i="137"/>
  <c r="I32" i="129" l="1"/>
  <c r="I34" i="129" s="1"/>
  <c r="I32" i="137"/>
  <c r="F34" i="134"/>
  <c r="I32" i="133"/>
  <c r="B27" i="135" l="1"/>
  <c r="B27" i="134"/>
  <c r="E21" i="129" l="1"/>
  <c r="H52" i="142" l="1"/>
  <c r="E21" i="133"/>
  <c r="E21" i="135"/>
  <c r="E21" i="137"/>
  <c r="E21" i="138"/>
  <c r="E21" i="141"/>
  <c r="E21" i="142"/>
  <c r="E21" i="143"/>
  <c r="E21" i="134"/>
  <c r="H52" i="141"/>
  <c r="C21" i="129"/>
  <c r="C21" i="134"/>
  <c r="C21" i="135"/>
  <c r="C21" i="137"/>
  <c r="C21" i="138"/>
  <c r="C21" i="141"/>
  <c r="C21" i="142"/>
  <c r="C21" i="143"/>
  <c r="C21" i="133"/>
  <c r="H52" i="129"/>
  <c r="H52" i="134"/>
  <c r="H52" i="135"/>
  <c r="H52" i="137"/>
  <c r="H52" i="138"/>
  <c r="H52" i="143"/>
  <c r="H52" i="133"/>
  <c r="F34" i="143" l="1"/>
  <c r="I32" i="143"/>
  <c r="I34" i="143" s="1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4" i="135" l="1"/>
  <c r="I36" i="135" s="1"/>
  <c r="I38" i="135" s="1"/>
  <c r="I36" i="138"/>
  <c r="I38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38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l="1"/>
</calcChain>
</file>

<file path=xl/sharedStrings.xml><?xml version="1.0" encoding="utf-8"?>
<sst xmlns="http://schemas.openxmlformats.org/spreadsheetml/2006/main" count="1280" uniqueCount="212">
  <si>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</si>
  <si>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</si>
  <si>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</si>
  <si>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</si>
  <si>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</si>
  <si>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</si>
  <si>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</si>
  <si>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</si>
  <si>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</si>
  <si>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</si>
  <si>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</si>
  <si>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</si>
  <si>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</si>
  <si>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</si>
  <si>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</si>
  <si>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</si>
  <si>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</si>
  <si>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</si>
  <si>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</si>
  <si>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</si>
  <si>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</si>
  <si>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</si>
  <si>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</si>
  <si>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</si>
  <si>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</si>
  <si>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</si>
  <si>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</si>
  <si>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</si>
  <si>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</si>
  <si>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</si>
  <si>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</si>
  <si>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</si>
  <si>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</si>
  <si>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</si>
  <si>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</si>
  <si>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</si>
  <si>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</si>
  <si>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</si>
  <si>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</si>
  <si>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</si>
  <si>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</si>
  <si>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</si>
  <si>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</si>
  <si>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</si>
  <si>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</si>
  <si>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</si>
  <si>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</si>
  <si>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</si>
  <si>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</si>
  <si>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</si>
  <si>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</si>
  <si>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</si>
  <si>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</si>
  <si>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</si>
  <si>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</si>
  <si>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</si>
  <si>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</si>
  <si>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</si>
  <si>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</si>
  <si>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</si>
  <si>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</si>
  <si>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</si>
  <si>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</si>
  <si>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</si>
  <si>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</si>
  <si>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</si>
  <si>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</si>
  <si>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</si>
  <si>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</si>
  <si>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</si>
  <si>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</si>
  <si>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</si>
  <si>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</si>
  <si>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</si>
  <si>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</si>
  <si>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</si>
  <si>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</si>
  <si>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</si>
  <si>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</si>
  <si>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</si>
  <si>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</si>
  <si>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</si>
  <si>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</si>
  <si>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</si>
  <si>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</si>
  <si>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</si>
  <si>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</si>
  <si>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</si>
  <si>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</si>
  <si>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</si>
  <si>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</si>
  <si>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</si>
  <si>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</si>
  <si>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</si>
  <si>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</si>
  <si>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</si>
  <si>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</si>
  <si>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</si>
  <si>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</si>
  <si>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</si>
  <si>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</si>
  <si>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</si>
  <si>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</si>
  <si>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</si>
  <si>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</si>
  <si>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</si>
  <si>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</si>
  <si>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</si>
  <si>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</si>
  <si>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</si>
  <si>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</si>
  <si>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</si>
  <si>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</si>
  <si>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</si>
  <si>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</si>
  <si>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</si>
  <si>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</si>
  <si>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</si>
  <si>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</si>
  <si>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</si>
  <si>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</si>
  <si>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</si>
  <si>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</si>
  <si>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</si>
  <si>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</si>
  <si>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</si>
  <si>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</si>
  <si>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</si>
  <si>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</si>
  <si>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</si>
  <si>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</si>
  <si>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</si>
  <si>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</si>
  <si>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</si>
  <si>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</si>
  <si>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</si>
  <si>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</si>
  <si>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</si>
  <si>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</si>
  <si>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</si>
  <si>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</si>
  <si>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</si>
  <si>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</si>
  <si>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</si>
  <si>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</si>
  <si>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</si>
  <si>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</si>
  <si>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</si>
  <si>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</si>
  <si>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</si>
  <si>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</si>
  <si>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</si>
  <si>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</si>
  <si>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</si>
  <si>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</si>
  <si>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</si>
  <si>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</si>
  <si>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</si>
  <si>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</si>
  <si>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</si>
  <si>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</si>
  <si>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</si>
  <si>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</si>
  <si>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</si>
  <si>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</si>
  <si>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</si>
  <si>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</si>
  <si>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</si>
  <si>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</si>
  <si>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</si>
  <si>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</si>
  <si>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</si>
  <si>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</si>
  <si>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</si>
  <si>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</si>
  <si>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</si>
  <si>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</si>
  <si>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</si>
  <si>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</si>
  <si>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00, 01</t>
  </si>
  <si>
    <t>BLACK LEOPARD, PINK LEOPARD HEART</t>
  </si>
  <si>
    <t>GIRLS COTTON FIBERS, KNIT PULLOVER, WITH NO NECK CLOSURE, STITCH COUNT IS GREATER THAN 9/2CM, REACHES WAIST [100% COTTON]</t>
  </si>
  <si>
    <t>265K0051</t>
  </si>
  <si>
    <t xml:space="preserve"> 265K0075 </t>
  </si>
  <si>
    <t>SHOOTING STAR</t>
  </si>
  <si>
    <t>21</t>
  </si>
  <si>
    <t>265K0052</t>
  </si>
  <si>
    <t>BOYS COTTON FIBERS, KNIT SHIRT, WITH NECK CLOSURE, STITCH COUNT EQUAL OR IS GREATER THAN 10/1CM, HEM BOTTOM [60% COTTON 40% POLYESTER]</t>
  </si>
  <si>
    <t>MONET BLUE</t>
  </si>
  <si>
    <t>05</t>
  </si>
  <si>
    <t>BLACK JACK, BLUE TANGO, DARK GREEN, RED TAPE, RON BURGUNDY</t>
  </si>
  <si>
    <t>04, 07, 06, 01, 05</t>
  </si>
  <si>
    <t>CALLA LILY 451, INK BLUE, MONET BLUE</t>
  </si>
  <si>
    <t>00, 02, 03</t>
  </si>
  <si>
    <t>265K0056</t>
  </si>
  <si>
    <t>265K0059</t>
  </si>
  <si>
    <t>BLACK JACK, RED TAPE, RON BURGUNDY</t>
  </si>
  <si>
    <t>04, 01, 05</t>
  </si>
  <si>
    <t>DARK GREEN</t>
  </si>
  <si>
    <t>06</t>
  </si>
  <si>
    <t>BLUE TANGO, DARK GREEN</t>
  </si>
  <si>
    <t>07, 06</t>
  </si>
  <si>
    <t>DUSKY LAVENDER, PRESSED FLOWER</t>
  </si>
  <si>
    <t>GIRLS COTTON FIBERS, KNIT T-SHIRT, WITH NO NECK CLOSURE, STITCH COUNT IS GREATER THAN 9/2CM, REACHES WAIST [100% COTTON]</t>
  </si>
  <si>
    <t>BLACK COFFEE, BLACK JACK 3, CALLA LILY 2</t>
  </si>
  <si>
    <t>13, 15, 20</t>
  </si>
  <si>
    <t>WOMENS COTTON FIBERS, KNIT PULLOVER, WITH NO NECK CLOSURE, STITCH COUNT IS GREATER THAN 9/2CM, REACHES WAIST, SLEEVELESS [96% COTTON 4% SPANDEX]</t>
  </si>
  <si>
    <t>BLACK JACK 3</t>
  </si>
  <si>
    <t>15</t>
  </si>
  <si>
    <t>BLUSH ON YOU</t>
  </si>
  <si>
    <t>22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</si>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</sst>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46FA3E08-21C0-4433-A716-B1F45A60D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D7D257-BA55-4372-8490-FC4D30351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77575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DCEFA181-E701-47AE-BD53-BC4EA8297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0E2841-339D-4482-832F-8C4EBDD66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77575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1A3B00C-4887-428C-A5B5-34455068B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2BF0CD-BD6B-450B-BD02-203743CF5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77575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FCC83DB0-3C1A-439F-AB6A-7A4CA82BB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8101E4-C755-4232-A861-DCE177F0A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77575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EB8DE1AE-EF79-4230-9B5F-C3E615EFB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72103C-02DF-467D-89F8-AFFE9D1E4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7757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15" sqref="I15"/>
    </sheetView>
  </sheetViews>
  <sheetFormatPr defaultRowHeight="12.75" x14ac:dyDescent="0.2"/>
  <sheetData>
    <row r="2" spans="2:9" ht="15" x14ac:dyDescent="0.25">
      <c r="B2" s="57">
        <v>1</v>
      </c>
      <c r="C2" t="s">
        <v>182</v>
      </c>
      <c r="E2" s="57">
        <v>1</v>
      </c>
      <c r="F2">
        <v>416363</v>
      </c>
      <c r="H2" s="57">
        <v>1</v>
      </c>
      <c r="I2" s="58" t="s">
        <v>178</v>
      </c>
    </row>
    <row r="3" spans="2:9" ht="15" x14ac:dyDescent="0.25">
      <c r="B3" s="57">
        <v>2</v>
      </c>
      <c r="C3" t="s">
        <v>186</v>
      </c>
      <c r="E3" s="57">
        <v>2</v>
      </c>
      <c r="F3">
        <v>767468</v>
      </c>
      <c r="H3" s="57">
        <v>2</v>
      </c>
      <c r="I3" s="58" t="s">
        <v>177</v>
      </c>
    </row>
    <row r="4" spans="2:9" ht="15" x14ac:dyDescent="0.25">
      <c r="B4" s="57">
        <v>3</v>
      </c>
      <c r="C4" t="s">
        <v>186</v>
      </c>
      <c r="E4" s="57">
        <v>3</v>
      </c>
      <c r="F4">
        <v>767468</v>
      </c>
      <c r="H4" s="57">
        <v>3</v>
      </c>
      <c r="I4" s="58" t="s">
        <v>177</v>
      </c>
    </row>
    <row r="5" spans="2:9" ht="15" x14ac:dyDescent="0.25">
      <c r="B5" s="57">
        <v>4</v>
      </c>
      <c r="C5" t="s">
        <v>186</v>
      </c>
      <c r="E5" s="57">
        <v>4</v>
      </c>
      <c r="F5">
        <v>767468</v>
      </c>
      <c r="H5" s="57">
        <v>4</v>
      </c>
      <c r="I5" s="58" t="s">
        <v>177</v>
      </c>
    </row>
    <row r="6" spans="2:9" ht="15" x14ac:dyDescent="0.25">
      <c r="B6" s="57">
        <v>5</v>
      </c>
      <c r="C6" t="s">
        <v>186</v>
      </c>
      <c r="E6" s="57">
        <v>5</v>
      </c>
      <c r="F6">
        <v>767468</v>
      </c>
      <c r="H6" s="57">
        <v>5</v>
      </c>
      <c r="I6" s="58" t="s">
        <v>177</v>
      </c>
    </row>
    <row r="7" spans="2:9" ht="15" x14ac:dyDescent="0.25">
      <c r="B7" s="57">
        <v>6</v>
      </c>
      <c r="C7" t="s">
        <v>186</v>
      </c>
      <c r="E7" s="57">
        <v>6</v>
      </c>
      <c r="F7">
        <v>767468</v>
      </c>
      <c r="H7" s="57">
        <v>6</v>
      </c>
      <c r="I7" s="58" t="s">
        <v>177</v>
      </c>
    </row>
    <row r="8" spans="2:9" ht="15" x14ac:dyDescent="0.25">
      <c r="B8" s="57">
        <v>7</v>
      </c>
      <c r="C8" t="s">
        <v>186</v>
      </c>
      <c r="E8" s="57">
        <v>7</v>
      </c>
      <c r="F8">
        <v>767468</v>
      </c>
      <c r="H8" s="57">
        <v>7</v>
      </c>
      <c r="I8" s="58" t="s">
        <v>177</v>
      </c>
    </row>
    <row r="9" spans="2:9" ht="15" x14ac:dyDescent="0.25">
      <c r="B9" s="57">
        <v>8</v>
      </c>
      <c r="C9" t="s">
        <v>194</v>
      </c>
      <c r="E9" s="57">
        <v>8</v>
      </c>
      <c r="F9">
        <v>903770</v>
      </c>
      <c r="H9" s="57">
        <v>8</v>
      </c>
      <c r="I9" s="58" t="s">
        <v>178</v>
      </c>
    </row>
    <row r="10" spans="2:9" ht="15" x14ac:dyDescent="0.25">
      <c r="B10" s="57">
        <v>9</v>
      </c>
      <c r="C10" t="s">
        <v>195</v>
      </c>
      <c r="E10" s="57">
        <v>9</v>
      </c>
      <c r="F10">
        <v>906033</v>
      </c>
      <c r="H10" s="57">
        <v>9</v>
      </c>
      <c r="I10" s="58" t="s">
        <v>178</v>
      </c>
    </row>
    <row r="11" spans="2:9" ht="15" x14ac:dyDescent="0.25">
      <c r="B11" s="57">
        <v>10</v>
      </c>
      <c r="C11" t="s">
        <v>195</v>
      </c>
      <c r="E11" s="57">
        <v>10</v>
      </c>
      <c r="F11">
        <v>906033</v>
      </c>
      <c r="H11" s="57">
        <v>10</v>
      </c>
      <c r="I11" s="58" t="s">
        <v>177</v>
      </c>
    </row>
    <row r="12" spans="2:9" ht="15" x14ac:dyDescent="0.25">
      <c r="B12" s="57">
        <v>11</v>
      </c>
      <c r="C12" t="s">
        <v>183</v>
      </c>
      <c r="E12" s="57">
        <v>11</v>
      </c>
      <c r="F12">
        <v>692926</v>
      </c>
      <c r="H12" s="57">
        <v>11</v>
      </c>
      <c r="I12" s="58" t="s">
        <v>178</v>
      </c>
    </row>
    <row r="13" spans="2:9" ht="15" x14ac:dyDescent="0.25">
      <c r="B13" s="57">
        <v>12</v>
      </c>
      <c r="C13" t="s">
        <v>183</v>
      </c>
      <c r="E13" s="57">
        <v>12</v>
      </c>
      <c r="F13">
        <v>692926</v>
      </c>
      <c r="H13" s="57">
        <v>12</v>
      </c>
      <c r="I13" s="58" t="s">
        <v>178</v>
      </c>
    </row>
    <row r="14" spans="2:9" ht="15" x14ac:dyDescent="0.25">
      <c r="B14" s="57">
        <v>13</v>
      </c>
      <c r="C14" t="s">
        <v>183</v>
      </c>
      <c r="E14" s="57">
        <v>13</v>
      </c>
      <c r="F14">
        <v>692926</v>
      </c>
      <c r="H14" s="57">
        <v>13</v>
      </c>
      <c r="I14" s="58" t="s">
        <v>178</v>
      </c>
    </row>
    <row r="15" spans="2:9" ht="15" x14ac:dyDescent="0.25">
      <c r="B15" s="57">
        <v>14</v>
      </c>
      <c r="C15" t="s">
        <v>183</v>
      </c>
      <c r="E15" s="57">
        <v>14</v>
      </c>
      <c r="F15">
        <v>692926</v>
      </c>
      <c r="H15" s="57">
        <v>14</v>
      </c>
      <c r="I15" s="58" t="s">
        <v>178</v>
      </c>
    </row>
    <row r="16" spans="2:9" ht="15" x14ac:dyDescent="0.25">
      <c r="B16" s="57">
        <v>15</v>
      </c>
      <c r="E16" s="57">
        <v>15</v>
      </c>
      <c r="H16" s="57">
        <v>15</v>
      </c>
      <c r="I16" s="58"/>
    </row>
    <row r="17" spans="2:11" ht="15" x14ac:dyDescent="0.25">
      <c r="B17" s="57">
        <v>16</v>
      </c>
      <c r="E17" s="57">
        <v>16</v>
      </c>
      <c r="H17" s="57">
        <v>16</v>
      </c>
      <c r="I17" s="58"/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211</v>
      </c>
      <c r="C2" s="72"/>
      <c r="D2" s="72"/>
      <c r="E2" s="72"/>
      <c r="F2" s="72"/>
      <c r="G2" s="72"/>
      <c r="H2" s="72"/>
      <c r="I2" s="73"/>
      <c r="J2" s="61">
        <v>61730697</v>
      </c>
      <c r="K2" s="63">
        <v>794</v>
      </c>
      <c r="L2" s="63">
        <v>9</v>
      </c>
      <c r="M2" s="63">
        <v>71.072999999999993</v>
      </c>
      <c r="N2" s="63">
        <v>77.424999999999997</v>
      </c>
      <c r="O2" s="63">
        <v>84.924999999999997</v>
      </c>
      <c r="P2" s="63" t="s">
        <v>54</v>
      </c>
      <c r="Q2" s="63">
        <v>0.436</v>
      </c>
      <c r="R2" s="63" t="s">
        <v>62</v>
      </c>
    </row>
    <row r="3" spans="2:22" x14ac:dyDescent="0.2">
      <c r="B3" s="6" t="s">
        <v>53</v>
      </c>
      <c r="C3" s="64">
        <v>420</v>
      </c>
      <c r="D3" s="5"/>
      <c r="E3" s="5"/>
      <c r="F3" s="5"/>
      <c r="G3" s="5" t="s">
        <v>52</v>
      </c>
      <c r="H3" s="31">
        <v>46210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61730697</v>
      </c>
      <c r="C21" s="49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84.924999999999997</v>
      </c>
      <c r="G23" s="23">
        <f>+N2</f>
        <v>77.424999999999997</v>
      </c>
      <c r="H23" s="23">
        <f>+M2</f>
        <v>71.072999999999993</v>
      </c>
      <c r="I23" s="48">
        <f>+L2</f>
        <v>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0" t="s">
        <v>19</v>
      </c>
      <c r="E31" s="80"/>
      <c r="F31" s="80" t="s">
        <v>18</v>
      </c>
      <c r="G31" s="80"/>
      <c r="H31" s="48" t="s">
        <v>17</v>
      </c>
      <c r="I31" s="19" t="s">
        <v>16</v>
      </c>
      <c r="M31"/>
    </row>
    <row r="32" spans="2:13" ht="30.75" customHeight="1" x14ac:dyDescent="0.2">
      <c r="B32" s="41" t="s">
        <v>189</v>
      </c>
      <c r="C32" s="19" t="s">
        <v>188</v>
      </c>
      <c r="D32" s="69"/>
      <c r="E32" s="70"/>
      <c r="F32" s="69">
        <f>+K2</f>
        <v>794</v>
      </c>
      <c r="G32" s="70"/>
      <c r="H32" s="17">
        <v>0.9</v>
      </c>
      <c r="I32" s="18">
        <f>+H32*F32</f>
        <v>714.6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48"/>
    </row>
    <row r="34" spans="2:11" ht="21.75" customHeight="1" x14ac:dyDescent="0.2">
      <c r="B34" s="15" t="s">
        <v>14</v>
      </c>
      <c r="C34" s="15"/>
      <c r="D34" s="85"/>
      <c r="E34" s="86"/>
      <c r="F34" s="69">
        <f>SUM(F31:G33)</f>
        <v>794</v>
      </c>
      <c r="G34" s="70"/>
      <c r="H34" s="15"/>
      <c r="I34" s="14">
        <f>SUM(I32:I33)</f>
        <v>714.6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714.6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714.6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21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211</v>
      </c>
      <c r="C2" s="72"/>
      <c r="D2" s="72"/>
      <c r="E2" s="72"/>
      <c r="F2" s="72"/>
      <c r="G2" s="72"/>
      <c r="H2" s="72"/>
      <c r="I2" s="73"/>
      <c r="J2" s="61">
        <v>61475308</v>
      </c>
      <c r="K2" s="63">
        <v>769</v>
      </c>
      <c r="L2" s="63">
        <v>22</v>
      </c>
      <c r="M2" s="63">
        <v>108.44</v>
      </c>
      <c r="N2" s="63">
        <v>118.18</v>
      </c>
      <c r="O2" s="63">
        <v>134.88</v>
      </c>
      <c r="P2" s="63" t="s">
        <v>54</v>
      </c>
      <c r="Q2" s="63">
        <v>0.66</v>
      </c>
      <c r="R2" s="63" t="s">
        <v>62</v>
      </c>
    </row>
    <row r="3" spans="2:22" x14ac:dyDescent="0.2">
      <c r="B3" s="6" t="s">
        <v>53</v>
      </c>
      <c r="C3" s="64">
        <f>+'420'!C3+1</f>
        <v>421</v>
      </c>
      <c r="D3" s="5"/>
      <c r="E3" s="5"/>
      <c r="F3" s="5"/>
      <c r="G3" s="5" t="s">
        <v>52</v>
      </c>
      <c r="H3" s="31">
        <f>+'420'!H3+0</f>
        <v>46210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61475308</v>
      </c>
      <c r="C21" s="4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134.88</v>
      </c>
      <c r="G23" s="23">
        <f>+N2</f>
        <v>118.18</v>
      </c>
      <c r="H23" s="23">
        <f>+M2</f>
        <v>108.44</v>
      </c>
      <c r="I23" s="48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0" t="s">
        <v>19</v>
      </c>
      <c r="E31" s="80"/>
      <c r="F31" s="80" t="s">
        <v>18</v>
      </c>
      <c r="G31" s="80"/>
      <c r="H31" s="48" t="s">
        <v>17</v>
      </c>
      <c r="I31" s="19" t="s">
        <v>16</v>
      </c>
      <c r="M31"/>
    </row>
    <row r="32" spans="2:13" ht="27.75" customHeight="1" x14ac:dyDescent="0.2">
      <c r="B32" s="41" t="s">
        <v>197</v>
      </c>
      <c r="C32" s="19" t="s">
        <v>196</v>
      </c>
      <c r="D32" s="69"/>
      <c r="E32" s="70"/>
      <c r="F32" s="69">
        <f>+K2</f>
        <v>769</v>
      </c>
      <c r="G32" s="70"/>
      <c r="H32" s="17">
        <v>1.05</v>
      </c>
      <c r="I32" s="18">
        <f>+H32*F32</f>
        <v>807.45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48"/>
    </row>
    <row r="34" spans="2:11" ht="21.75" customHeight="1" x14ac:dyDescent="0.2">
      <c r="B34" s="15" t="s">
        <v>14</v>
      </c>
      <c r="C34" s="15"/>
      <c r="D34" s="85"/>
      <c r="E34" s="86"/>
      <c r="F34" s="69">
        <f>SUM(F31:G33)</f>
        <v>769</v>
      </c>
      <c r="G34" s="70"/>
      <c r="H34" s="15"/>
      <c r="I34" s="14">
        <f>SUM(I32:I33)</f>
        <v>807.45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807.45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807.45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topLeftCell="A27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211</v>
      </c>
      <c r="C2" s="72"/>
      <c r="D2" s="72"/>
      <c r="E2" s="72"/>
      <c r="F2" s="72"/>
      <c r="G2" s="72"/>
      <c r="H2" s="72"/>
      <c r="I2" s="73"/>
      <c r="J2" s="61">
        <v>61558573</v>
      </c>
      <c r="K2" s="63">
        <v>357</v>
      </c>
      <c r="L2" s="63">
        <v>8</v>
      </c>
      <c r="M2" s="63">
        <v>47.68</v>
      </c>
      <c r="N2" s="63">
        <v>54.82</v>
      </c>
      <c r="O2" s="63">
        <v>61.22</v>
      </c>
      <c r="P2" s="63" t="s">
        <v>54</v>
      </c>
      <c r="Q2" s="63">
        <v>0.29099999999999998</v>
      </c>
      <c r="R2" s="63" t="s">
        <v>62</v>
      </c>
    </row>
    <row r="3" spans="2:22" x14ac:dyDescent="0.2">
      <c r="B3" s="6" t="s">
        <v>53</v>
      </c>
      <c r="C3" s="64">
        <f>+'421'!C3+1</f>
        <v>422</v>
      </c>
      <c r="D3" s="5"/>
      <c r="E3" s="5"/>
      <c r="F3" s="5"/>
      <c r="G3" s="5" t="s">
        <v>52</v>
      </c>
      <c r="H3" s="31">
        <f>+'420'!H3+0</f>
        <v>46210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61558573</v>
      </c>
      <c r="C21" s="53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61.22</v>
      </c>
      <c r="G23" s="23">
        <f>+N2</f>
        <v>54.82</v>
      </c>
      <c r="H23" s="23">
        <f>+M2</f>
        <v>47.68</v>
      </c>
      <c r="I23" s="54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0" t="s">
        <v>19</v>
      </c>
      <c r="E31" s="80"/>
      <c r="F31" s="80" t="s">
        <v>18</v>
      </c>
      <c r="G31" s="80"/>
      <c r="H31" s="54" t="s">
        <v>17</v>
      </c>
      <c r="I31" s="19" t="s">
        <v>16</v>
      </c>
      <c r="M31"/>
    </row>
    <row r="32" spans="2:13" ht="27.75" customHeight="1" x14ac:dyDescent="0.2">
      <c r="B32" s="41" t="s">
        <v>199</v>
      </c>
      <c r="C32" s="19" t="s">
        <v>198</v>
      </c>
      <c r="D32" s="69"/>
      <c r="E32" s="70"/>
      <c r="F32" s="69">
        <f>+K2</f>
        <v>357</v>
      </c>
      <c r="G32" s="70"/>
      <c r="H32" s="17">
        <v>1.05</v>
      </c>
      <c r="I32" s="18">
        <f>+H32*F32</f>
        <v>374.85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54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357</v>
      </c>
      <c r="G34" s="70"/>
      <c r="H34" s="15"/>
      <c r="I34" s="14">
        <f>SUM(I32:I33)</f>
        <v>374.85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374.85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374.85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topLeftCell="A22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211</v>
      </c>
      <c r="C2" s="72"/>
      <c r="D2" s="72"/>
      <c r="E2" s="72"/>
      <c r="F2" s="72"/>
      <c r="G2" s="72"/>
      <c r="H2" s="72"/>
      <c r="I2" s="73"/>
      <c r="J2" s="61">
        <v>61717521</v>
      </c>
      <c r="K2" s="62">
        <v>1235</v>
      </c>
      <c r="L2" s="63">
        <v>32</v>
      </c>
      <c r="M2" s="63">
        <v>171.24199999999999</v>
      </c>
      <c r="N2" s="63">
        <v>192.03</v>
      </c>
      <c r="O2" s="63">
        <v>217.03</v>
      </c>
      <c r="P2" s="63" t="s">
        <v>54</v>
      </c>
      <c r="Q2" s="63">
        <v>1.0740000000000001</v>
      </c>
      <c r="R2" s="63" t="s">
        <v>62</v>
      </c>
    </row>
    <row r="3" spans="2:22" x14ac:dyDescent="0.2">
      <c r="B3" s="6" t="s">
        <v>53</v>
      </c>
      <c r="C3" s="64">
        <f>+'422'!C3+1</f>
        <v>423</v>
      </c>
      <c r="D3" s="5"/>
      <c r="E3" s="5"/>
      <c r="F3" s="5"/>
      <c r="G3" s="5" t="s">
        <v>52</v>
      </c>
      <c r="H3" s="31">
        <f>+'420'!H3+0</f>
        <v>46210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61717521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217.03</v>
      </c>
      <c r="G23" s="23">
        <f>+N2</f>
        <v>192.03</v>
      </c>
      <c r="H23" s="23">
        <f>+M2</f>
        <v>171.24199999999999</v>
      </c>
      <c r="I23" s="55">
        <f>+L2</f>
        <v>32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33" customHeight="1" x14ac:dyDescent="0.2">
      <c r="B32" s="41" t="s">
        <v>193</v>
      </c>
      <c r="C32" s="19" t="s">
        <v>192</v>
      </c>
      <c r="D32" s="69"/>
      <c r="E32" s="70"/>
      <c r="F32" s="69">
        <f>+K2</f>
        <v>1235</v>
      </c>
      <c r="G32" s="70"/>
      <c r="H32" s="17">
        <v>1.05</v>
      </c>
      <c r="I32" s="18">
        <f>+H32*F32</f>
        <v>1296.75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59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1235</v>
      </c>
      <c r="G34" s="70"/>
      <c r="H34" s="15"/>
      <c r="I34" s="14">
        <f>SUM(I32:I32)</f>
        <v>1296.75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1296.75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1296.75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21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211</v>
      </c>
      <c r="C2" s="72"/>
      <c r="D2" s="72"/>
      <c r="E2" s="72"/>
      <c r="F2" s="72"/>
      <c r="G2" s="72"/>
      <c r="H2" s="72"/>
      <c r="I2" s="73"/>
      <c r="J2" s="61">
        <v>61475305</v>
      </c>
      <c r="K2" s="62">
        <v>1428</v>
      </c>
      <c r="L2" s="63">
        <v>37</v>
      </c>
      <c r="M2" s="63">
        <v>201.98099999999999</v>
      </c>
      <c r="N2" s="63">
        <v>220.029</v>
      </c>
      <c r="O2" s="63">
        <v>249.029</v>
      </c>
      <c r="P2" s="63" t="s">
        <v>54</v>
      </c>
      <c r="Q2" s="63">
        <v>1.264</v>
      </c>
      <c r="R2" s="63" t="s">
        <v>62</v>
      </c>
    </row>
    <row r="3" spans="2:22" x14ac:dyDescent="0.2">
      <c r="B3" s="6" t="s">
        <v>53</v>
      </c>
      <c r="C3" s="64">
        <f>+'423'!C3+1</f>
        <v>424</v>
      </c>
      <c r="D3" s="5"/>
      <c r="E3" s="5"/>
      <c r="F3" s="5"/>
      <c r="G3" s="5" t="s">
        <v>52</v>
      </c>
      <c r="H3" s="31">
        <f>+'420'!H3+0</f>
        <v>46210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61475305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249.029</v>
      </c>
      <c r="G23" s="23">
        <f>+N2</f>
        <v>220.029</v>
      </c>
      <c r="H23" s="23">
        <f>+M2</f>
        <v>201.98099999999999</v>
      </c>
      <c r="I23" s="55">
        <f>+L2</f>
        <v>37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58.5" customHeight="1" x14ac:dyDescent="0.2">
      <c r="B32" s="66" t="s">
        <v>191</v>
      </c>
      <c r="C32" s="19" t="s">
        <v>190</v>
      </c>
      <c r="D32" s="69"/>
      <c r="E32" s="70"/>
      <c r="F32" s="69">
        <f>+K2</f>
        <v>1428</v>
      </c>
      <c r="G32" s="70"/>
      <c r="H32" s="17">
        <v>1.05</v>
      </c>
      <c r="I32" s="18">
        <f>+H32*F32</f>
        <v>1499.4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55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1428</v>
      </c>
      <c r="G34" s="70"/>
      <c r="H34" s="15"/>
      <c r="I34" s="14">
        <f>SUM(I32:I33)</f>
        <v>1499.4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1499.4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1499.4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8"/>
  <sheetViews>
    <sheetView view="pageBreakPreview" topLeftCell="A22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211</v>
      </c>
      <c r="C2" s="72"/>
      <c r="D2" s="72"/>
      <c r="E2" s="72"/>
      <c r="F2" s="72"/>
      <c r="G2" s="72"/>
      <c r="H2" s="72"/>
      <c r="I2" s="73"/>
      <c r="J2" s="61">
        <v>61558571</v>
      </c>
      <c r="K2" s="63">
        <v>867</v>
      </c>
      <c r="L2" s="63">
        <v>21</v>
      </c>
      <c r="M2" s="63">
        <v>116.21</v>
      </c>
      <c r="N2" s="63">
        <v>133.55000000000001</v>
      </c>
      <c r="O2" s="63">
        <v>150.44999999999999</v>
      </c>
      <c r="P2" s="63" t="s">
        <v>54</v>
      </c>
      <c r="Q2" s="63">
        <v>0.77200000000000002</v>
      </c>
      <c r="R2" s="63" t="s">
        <v>62</v>
      </c>
    </row>
    <row r="3" spans="2:22" x14ac:dyDescent="0.2">
      <c r="B3" s="6" t="s">
        <v>53</v>
      </c>
      <c r="C3" s="64">
        <f>+'424'!C3+1</f>
        <v>425</v>
      </c>
      <c r="D3" s="5"/>
      <c r="E3" s="5"/>
      <c r="F3" s="5"/>
      <c r="G3" s="5" t="s">
        <v>52</v>
      </c>
      <c r="H3" s="31">
        <f>+'420'!H3+0</f>
        <v>46210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61558571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150.44999999999999</v>
      </c>
      <c r="G23" s="23">
        <f>+N2</f>
        <v>133.55000000000001</v>
      </c>
      <c r="H23" s="23">
        <f>+M2</f>
        <v>116.21</v>
      </c>
      <c r="I23" s="55">
        <f>+L2</f>
        <v>21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27.75" customHeight="1" x14ac:dyDescent="0.2">
      <c r="B32" s="41" t="s">
        <v>201</v>
      </c>
      <c r="C32" s="19" t="s">
        <v>200</v>
      </c>
      <c r="D32" s="69"/>
      <c r="E32" s="70"/>
      <c r="F32" s="69">
        <f>+K2</f>
        <v>867</v>
      </c>
      <c r="G32" s="70"/>
      <c r="H32" s="17">
        <v>1.05</v>
      </c>
      <c r="I32" s="18">
        <f>+H32*F32</f>
        <v>910.35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5"/>
    </row>
    <row r="34" spans="2:11" ht="21.75" customHeight="1" x14ac:dyDescent="0.2">
      <c r="B34" s="15" t="s">
        <v>14</v>
      </c>
      <c r="C34" s="15"/>
      <c r="D34" s="85"/>
      <c r="E34" s="86"/>
      <c r="F34" s="69">
        <f>SUM(F32:G32)</f>
        <v>867</v>
      </c>
      <c r="G34" s="70"/>
      <c r="H34" s="15"/>
      <c r="I34" s="14">
        <f>SUM(I32:I32)</f>
        <v>910.35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910.35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910.35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8"/>
  <sheetViews>
    <sheetView view="pageBreakPreview" topLeftCell="A22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211</v>
      </c>
      <c r="C2" s="72"/>
      <c r="D2" s="72"/>
      <c r="E2" s="72"/>
      <c r="F2" s="72"/>
      <c r="G2" s="72"/>
      <c r="H2" s="72"/>
      <c r="I2" s="73"/>
      <c r="J2" s="61">
        <v>61717519</v>
      </c>
      <c r="K2" s="62">
        <v>2261</v>
      </c>
      <c r="L2" s="63">
        <v>48</v>
      </c>
      <c r="M2" s="63">
        <v>306.36</v>
      </c>
      <c r="N2" s="63">
        <v>351.58</v>
      </c>
      <c r="O2" s="63">
        <v>391.58</v>
      </c>
      <c r="P2" s="63" t="s">
        <v>54</v>
      </c>
      <c r="Q2" s="63">
        <v>1.968</v>
      </c>
      <c r="R2" s="63" t="s">
        <v>62</v>
      </c>
    </row>
    <row r="3" spans="2:22" x14ac:dyDescent="0.2">
      <c r="B3" s="6" t="s">
        <v>53</v>
      </c>
      <c r="C3" s="64">
        <f>+'425'!C3+1</f>
        <v>426</v>
      </c>
      <c r="D3" s="5"/>
      <c r="E3" s="5"/>
      <c r="F3" s="5"/>
      <c r="G3" s="5" t="s">
        <v>52</v>
      </c>
      <c r="H3" s="31">
        <f>+'420'!H3+0</f>
        <v>46210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61717519</v>
      </c>
      <c r="C21" s="56">
        <f>VLOOKUP($K55,reff!E2:F29,2,0)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391.58</v>
      </c>
      <c r="G23" s="23">
        <f>+N2</f>
        <v>351.58</v>
      </c>
      <c r="H23" s="23">
        <f>+M2</f>
        <v>306.36</v>
      </c>
      <c r="I23" s="55">
        <f>+L2</f>
        <v>48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27.75" customHeight="1" x14ac:dyDescent="0.2">
      <c r="B32" s="41" t="s">
        <v>193</v>
      </c>
      <c r="C32" s="19" t="s">
        <v>192</v>
      </c>
      <c r="D32" s="69"/>
      <c r="E32" s="70"/>
      <c r="F32" s="69">
        <f>+K2</f>
        <v>2261</v>
      </c>
      <c r="G32" s="70"/>
      <c r="H32" s="17">
        <v>1.05</v>
      </c>
      <c r="I32" s="18">
        <f>+H32*F32</f>
        <v>2374.0500000000002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0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2261</v>
      </c>
      <c r="G34" s="70"/>
      <c r="H34" s="15"/>
      <c r="I34" s="14">
        <f>SUM(I32:I33)</f>
        <v>2374.0500000000002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2374.0500000000002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2374.0500000000002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8"/>
  <sheetViews>
    <sheetView view="pageBreakPreview" topLeftCell="A21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211</v>
      </c>
      <c r="C2" s="72"/>
      <c r="D2" s="72"/>
      <c r="E2" s="72"/>
      <c r="F2" s="72"/>
      <c r="G2" s="72"/>
      <c r="H2" s="72"/>
      <c r="I2" s="73"/>
      <c r="J2" s="61">
        <v>61420135</v>
      </c>
      <c r="K2" s="62">
        <v>3911</v>
      </c>
      <c r="L2" s="63">
        <v>36</v>
      </c>
      <c r="M2" s="63">
        <v>276.13799999999998</v>
      </c>
      <c r="N2" s="63">
        <v>283.95999999999998</v>
      </c>
      <c r="O2" s="63">
        <v>313.20999999999998</v>
      </c>
      <c r="P2" s="63" t="s">
        <v>54</v>
      </c>
      <c r="Q2" s="63">
        <v>1.661</v>
      </c>
      <c r="R2" s="63" t="s">
        <v>62</v>
      </c>
    </row>
    <row r="3" spans="2:22" x14ac:dyDescent="0.2">
      <c r="B3" s="6" t="s">
        <v>53</v>
      </c>
      <c r="C3" s="64">
        <f>+'426'!C3+1</f>
        <v>427</v>
      </c>
      <c r="D3" s="5"/>
      <c r="E3" s="5"/>
      <c r="F3" s="5"/>
      <c r="G3" s="5" t="s">
        <v>52</v>
      </c>
      <c r="H3" s="31">
        <f>+'420'!H3+0</f>
        <v>46210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61420135</v>
      </c>
      <c r="C21" s="56">
        <f>VLOOKUP($K55,reff!E2:F29,2,0)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313.20999999999998</v>
      </c>
      <c r="G23" s="23">
        <f>+N2</f>
        <v>283.95999999999998</v>
      </c>
      <c r="H23" s="23">
        <f>+M2</f>
        <v>276.13799999999998</v>
      </c>
      <c r="I23" s="55">
        <f>+L2</f>
        <v>36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27.75" customHeight="1" x14ac:dyDescent="0.2">
      <c r="B32" s="41" t="s">
        <v>179</v>
      </c>
      <c r="C32" s="19" t="s">
        <v>202</v>
      </c>
      <c r="D32" s="69"/>
      <c r="E32" s="70"/>
      <c r="F32" s="69">
        <f>+K2</f>
        <v>3911</v>
      </c>
      <c r="G32" s="70"/>
      <c r="H32" s="17">
        <v>0.81</v>
      </c>
      <c r="I32" s="18">
        <f>+H32*F32</f>
        <v>3167.9100000000003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55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3911</v>
      </c>
      <c r="G34" s="70"/>
      <c r="H34" s="15"/>
      <c r="I34" s="14">
        <f>SUM(I32:I33)</f>
        <v>3167.9100000000003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3167.9100000000003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3167.9100000000003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265K0056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V58"/>
  <sheetViews>
    <sheetView view="pageBreakPreview" topLeftCell="A22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211</v>
      </c>
      <c r="C2" s="72"/>
      <c r="D2" s="72"/>
      <c r="E2" s="72"/>
      <c r="F2" s="72"/>
      <c r="G2" s="72"/>
      <c r="H2" s="72"/>
      <c r="I2" s="73"/>
      <c r="J2" s="61">
        <v>61634914</v>
      </c>
      <c r="K2" s="62">
        <v>1547</v>
      </c>
      <c r="L2" s="63">
        <v>20</v>
      </c>
      <c r="M2" s="63">
        <v>124.486</v>
      </c>
      <c r="N2" s="63">
        <v>127.58</v>
      </c>
      <c r="O2" s="63">
        <v>143.93</v>
      </c>
      <c r="P2" s="63" t="s">
        <v>54</v>
      </c>
      <c r="Q2" s="63">
        <v>0.85599999999999998</v>
      </c>
      <c r="R2" s="63" t="s">
        <v>62</v>
      </c>
    </row>
    <row r="3" spans="2:22" x14ac:dyDescent="0.2">
      <c r="B3" s="6" t="s">
        <v>53</v>
      </c>
      <c r="C3" s="64">
        <f>+'427'!C3+1</f>
        <v>428</v>
      </c>
      <c r="D3" s="5"/>
      <c r="E3" s="5"/>
      <c r="F3" s="5"/>
      <c r="G3" s="5" t="s">
        <v>52</v>
      </c>
      <c r="H3" s="31">
        <f>+'420'!H3+0</f>
        <v>46210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61634914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143.93</v>
      </c>
      <c r="G23" s="23">
        <f>+N2</f>
        <v>127.58</v>
      </c>
      <c r="H23" s="23">
        <f>+M2</f>
        <v>124.486</v>
      </c>
      <c r="I23" s="55">
        <f>+L2</f>
        <v>20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T-SHIRT,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40.5" customHeight="1" x14ac:dyDescent="0.2">
      <c r="B32" s="41" t="s">
        <v>179</v>
      </c>
      <c r="C32" s="19" t="s">
        <v>180</v>
      </c>
      <c r="D32" s="69"/>
      <c r="E32" s="70"/>
      <c r="F32" s="69">
        <f>+K2</f>
        <v>1547</v>
      </c>
      <c r="G32" s="70"/>
      <c r="H32" s="17">
        <v>0.84</v>
      </c>
      <c r="I32" s="18">
        <f>+H32*F32</f>
        <v>1299.48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55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1547</v>
      </c>
      <c r="G34" s="70"/>
      <c r="H34" s="15"/>
      <c r="I34" s="14">
        <f>SUM(I32:I33)</f>
        <v>1299.48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1299.48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1299.48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A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A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9634-DFB4-4030-B9A3-B612200B8198}">
  <sheetPr>
    <pageSetUpPr fitToPage="1"/>
  </sheetPr>
  <dimension ref="B1:V58"/>
  <sheetViews>
    <sheetView view="pageBreakPreview" topLeftCell="A21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211</v>
      </c>
      <c r="C2" s="72"/>
      <c r="D2" s="72"/>
      <c r="E2" s="72"/>
      <c r="F2" s="72"/>
      <c r="G2" s="72"/>
      <c r="H2" s="72"/>
      <c r="I2" s="73"/>
      <c r="J2" s="61">
        <v>61608897</v>
      </c>
      <c r="K2" s="63">
        <v>737</v>
      </c>
      <c r="L2" s="63">
        <v>10</v>
      </c>
      <c r="M2" s="63">
        <v>59.845999999999997</v>
      </c>
      <c r="N2" s="63">
        <v>61.32</v>
      </c>
      <c r="O2" s="63">
        <v>69.62</v>
      </c>
      <c r="P2" s="63" t="s">
        <v>54</v>
      </c>
      <c r="Q2" s="63">
        <v>0.40300000000000002</v>
      </c>
      <c r="R2" s="63" t="s">
        <v>62</v>
      </c>
    </row>
    <row r="3" spans="2:22" x14ac:dyDescent="0.2">
      <c r="B3" s="6" t="s">
        <v>53</v>
      </c>
      <c r="C3" s="64">
        <f>+'428'!C3+1</f>
        <v>429</v>
      </c>
      <c r="D3" s="5"/>
      <c r="E3" s="5"/>
      <c r="F3" s="5"/>
      <c r="G3" s="5" t="s">
        <v>52</v>
      </c>
      <c r="H3" s="31">
        <f>+'420'!H3+0</f>
        <v>46210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 t="s">
        <v>63</v>
      </c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61608897</v>
      </c>
      <c r="C21" s="68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CA</v>
      </c>
      <c r="I21" s="67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69.62</v>
      </c>
      <c r="G23" s="23">
        <f>+N2</f>
        <v>61.32</v>
      </c>
      <c r="H23" s="23">
        <f>+M2</f>
        <v>59.845999999999997</v>
      </c>
      <c r="I23" s="67">
        <f>+L2</f>
        <v>10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T-SHIRT,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0" t="s">
        <v>19</v>
      </c>
      <c r="E31" s="80"/>
      <c r="F31" s="80" t="s">
        <v>18</v>
      </c>
      <c r="G31" s="80"/>
      <c r="H31" s="67" t="s">
        <v>17</v>
      </c>
      <c r="I31" s="19" t="s">
        <v>16</v>
      </c>
      <c r="M31"/>
    </row>
    <row r="32" spans="2:13" ht="37.5" customHeight="1" x14ac:dyDescent="0.2">
      <c r="B32" s="41" t="s">
        <v>179</v>
      </c>
      <c r="C32" s="19" t="s">
        <v>180</v>
      </c>
      <c r="D32" s="69"/>
      <c r="E32" s="70"/>
      <c r="F32" s="69">
        <f>+K2</f>
        <v>737</v>
      </c>
      <c r="G32" s="70"/>
      <c r="H32" s="17">
        <v>0.84</v>
      </c>
      <c r="I32" s="18">
        <f>+H32*F32</f>
        <v>619.07999999999993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7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737</v>
      </c>
      <c r="G34" s="70"/>
      <c r="H34" s="15"/>
      <c r="I34" s="14">
        <f>SUM(I32:I33)</f>
        <v>619.07999999999993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619.07999999999993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619.07999999999993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10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8B020DB-BFBB-4EAF-8B11-7B0B2C8ADF05}">
          <x14:formula1>
            <xm:f>Sheet1!$K$5:$K$12</xm:f>
          </x14:formula1>
          <xm:sqref>B14</xm:sqref>
        </x14:dataValidation>
        <x14:dataValidation type="list" allowBlank="1" showInputMessage="1" showErrorMessage="1" xr:uid="{AE0A1F0A-10EB-4A61-94BB-DC04166BA8D5}">
          <x14:formula1>
            <xm:f>Sheet1!$B$17:$B$18</xm:f>
          </x14:formula1>
          <xm:sqref>G5</xm:sqref>
        </x14:dataValidation>
        <x14:dataValidation type="list" allowBlank="1" showInputMessage="1" showErrorMessage="1" xr:uid="{894B0A25-C231-4CB1-B83F-AD14596D6633}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E7F5-1BEF-4C4D-B8BD-3095EA96C1CB}">
  <sheetPr>
    <pageSetUpPr fitToPage="1"/>
  </sheetPr>
  <dimension ref="B1:V58"/>
  <sheetViews>
    <sheetView view="pageBreakPreview" topLeftCell="A25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211</v>
      </c>
      <c r="C2" s="72"/>
      <c r="D2" s="72"/>
      <c r="E2" s="72"/>
      <c r="F2" s="72"/>
      <c r="G2" s="72"/>
      <c r="H2" s="72"/>
      <c r="I2" s="73"/>
      <c r="J2" s="61">
        <v>61751584</v>
      </c>
      <c r="K2" s="62">
        <v>6084</v>
      </c>
      <c r="L2" s="63">
        <v>135</v>
      </c>
      <c r="M2" s="63">
        <v>633.04999999999995</v>
      </c>
      <c r="N2" s="63">
        <v>845.99</v>
      </c>
      <c r="O2" s="63">
        <v>973.19</v>
      </c>
      <c r="P2" s="63" t="s">
        <v>54</v>
      </c>
      <c r="Q2" s="63">
        <v>7.75</v>
      </c>
      <c r="R2" s="63" t="s">
        <v>62</v>
      </c>
    </row>
    <row r="3" spans="2:22" x14ac:dyDescent="0.2">
      <c r="B3" s="6" t="s">
        <v>53</v>
      </c>
      <c r="C3" s="64">
        <f>+'429'!C3+1</f>
        <v>430</v>
      </c>
      <c r="D3" s="5"/>
      <c r="E3" s="5"/>
      <c r="F3" s="5"/>
      <c r="G3" s="5" t="s">
        <v>52</v>
      </c>
      <c r="H3" s="31">
        <f>+'420'!H3+0</f>
        <v>46210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61751584</v>
      </c>
      <c r="C21" s="6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973.19</v>
      </c>
      <c r="G23" s="23">
        <f>+N2</f>
        <v>845.99</v>
      </c>
      <c r="H23" s="23">
        <f>+M2</f>
        <v>633.04999999999995</v>
      </c>
      <c r="I23" s="67">
        <f>+L2</f>
        <v>135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WOMENS COTTON FIBERS, KNIT PULLOVER, WITH NO NECK CLOSURE, STITCH COUNT IS GREATER THAN 9/2CM, REACHES WAIST, SLEEVELESS [96% COTTON 4% SPANDEX]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0" t="s">
        <v>19</v>
      </c>
      <c r="E31" s="80"/>
      <c r="F31" s="80" t="s">
        <v>18</v>
      </c>
      <c r="G31" s="80"/>
      <c r="H31" s="67" t="s">
        <v>17</v>
      </c>
      <c r="I31" s="19" t="s">
        <v>16</v>
      </c>
      <c r="M31"/>
    </row>
    <row r="32" spans="2:13" ht="36" customHeight="1" x14ac:dyDescent="0.2">
      <c r="B32" s="41" t="s">
        <v>205</v>
      </c>
      <c r="C32" s="19" t="s">
        <v>204</v>
      </c>
      <c r="D32" s="69"/>
      <c r="E32" s="70"/>
      <c r="F32" s="69">
        <f>+K2</f>
        <v>6084</v>
      </c>
      <c r="G32" s="70"/>
      <c r="H32" s="17">
        <v>0.76</v>
      </c>
      <c r="I32" s="18">
        <f>+H32*F32</f>
        <v>4623.84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7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6084</v>
      </c>
      <c r="G34" s="70"/>
      <c r="H34" s="15"/>
      <c r="I34" s="14">
        <f>SUM(I32:I33)</f>
        <v>4623.84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4623.84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4623.84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11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2694A94-4E9E-4E16-9CBD-9D4B3E241D3B}">
          <x14:formula1>
            <xm:f>Sheet1!$L$5:$L$25</xm:f>
          </x14:formula1>
          <xm:sqref>G13</xm:sqref>
        </x14:dataValidation>
        <x14:dataValidation type="list" allowBlank="1" showInputMessage="1" showErrorMessage="1" xr:uid="{F6BF3FBC-4F3F-48D9-A7E2-FF89485685A7}">
          <x14:formula1>
            <xm:f>Sheet1!$B$17:$B$18</xm:f>
          </x14:formula1>
          <xm:sqref>G5</xm:sqref>
        </x14:dataValidation>
        <x14:dataValidation type="list" allowBlank="1" showInputMessage="1" showErrorMessage="1" xr:uid="{17D7553E-1133-4EAB-9F8E-A5C82FCBDCDC}">
          <x14:formula1>
            <xm:f>Sheet1!$K$5:$K$12</xm:f>
          </x14:formula1>
          <xm:sqref>B14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BD73-958E-47B6-88A8-595AA712F751}">
  <sheetPr>
    <pageSetUpPr fitToPage="1"/>
  </sheetPr>
  <dimension ref="B1:V58"/>
  <sheetViews>
    <sheetView view="pageBreakPreview" topLeftCell="A21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211</v>
      </c>
      <c r="C2" s="72"/>
      <c r="D2" s="72"/>
      <c r="E2" s="72"/>
      <c r="F2" s="72"/>
      <c r="G2" s="72"/>
      <c r="H2" s="72"/>
      <c r="I2" s="73"/>
      <c r="J2" s="61">
        <v>61953714</v>
      </c>
      <c r="K2" s="62">
        <v>1847</v>
      </c>
      <c r="L2" s="63">
        <v>38</v>
      </c>
      <c r="M2" s="63">
        <v>192.69</v>
      </c>
      <c r="N2" s="63">
        <v>257.33499999999998</v>
      </c>
      <c r="O2" s="63">
        <v>293.935</v>
      </c>
      <c r="P2" s="63" t="s">
        <v>54</v>
      </c>
      <c r="Q2" s="63">
        <v>2.3149999999999999</v>
      </c>
      <c r="R2" s="63" t="s">
        <v>62</v>
      </c>
    </row>
    <row r="3" spans="2:22" x14ac:dyDescent="0.2">
      <c r="B3" s="6" t="s">
        <v>53</v>
      </c>
      <c r="C3" s="64">
        <f>+'430'!C3+1</f>
        <v>431</v>
      </c>
      <c r="D3" s="5"/>
      <c r="E3" s="5"/>
      <c r="F3" s="5"/>
      <c r="G3" s="5" t="s">
        <v>52</v>
      </c>
      <c r="H3" s="31">
        <f>+'420'!H3+0</f>
        <v>46210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61953714</v>
      </c>
      <c r="C21" s="6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293.935</v>
      </c>
      <c r="G23" s="23">
        <f>+N2</f>
        <v>257.33499999999998</v>
      </c>
      <c r="H23" s="23">
        <f>+M2</f>
        <v>192.69</v>
      </c>
      <c r="I23" s="67">
        <f>+L2</f>
        <v>38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WOMENS COTTON FIBERS, KNIT PULLOVER, WITH NO NECK CLOSURE, STITCH COUNT IS GREATER THAN 9/2CM, REACHES WAIST, SLEEVELESS [96% COTTON 4% SPANDEX]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0" t="s">
        <v>19</v>
      </c>
      <c r="E31" s="80"/>
      <c r="F31" s="80" t="s">
        <v>18</v>
      </c>
      <c r="G31" s="80"/>
      <c r="H31" s="67" t="s">
        <v>17</v>
      </c>
      <c r="I31" s="19" t="s">
        <v>16</v>
      </c>
      <c r="M31"/>
    </row>
    <row r="32" spans="2:13" ht="24" customHeight="1" x14ac:dyDescent="0.2">
      <c r="B32" s="41" t="s">
        <v>208</v>
      </c>
      <c r="C32" s="19" t="s">
        <v>207</v>
      </c>
      <c r="D32" s="69"/>
      <c r="E32" s="70"/>
      <c r="F32" s="69">
        <f>+K2</f>
        <v>1847</v>
      </c>
      <c r="G32" s="70"/>
      <c r="H32" s="17">
        <v>0.76</v>
      </c>
      <c r="I32" s="18">
        <f>+H32*F32</f>
        <v>1403.72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7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1847</v>
      </c>
      <c r="G34" s="70"/>
      <c r="H34" s="15"/>
      <c r="I34" s="14">
        <f>SUM(I32:I33)</f>
        <v>1403.72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1403.72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1403.72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12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370EE62-112F-4F30-BBD0-0D118DDF9E22}">
          <x14:formula1>
            <xm:f>Sheet1!$K$5:$K$12</xm:f>
          </x14:formula1>
          <xm:sqref>B14</xm:sqref>
        </x14:dataValidation>
        <x14:dataValidation type="list" allowBlank="1" showInputMessage="1" showErrorMessage="1" xr:uid="{477F97C5-55EF-4FA9-94A9-85A180529C83}">
          <x14:formula1>
            <xm:f>Sheet1!$B$17:$B$18</xm:f>
          </x14:formula1>
          <xm:sqref>G5</xm:sqref>
        </x14:dataValidation>
        <x14:dataValidation type="list" allowBlank="1" showInputMessage="1" showErrorMessage="1" xr:uid="{DBE2C9A2-FA53-4757-A54C-95ABD20E11E5}">
          <x14:formula1>
            <xm:f>Sheet1!$L$5:$L$25</xm:f>
          </x14:formula1>
          <xm:sqref>G13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496F-C263-415D-9A98-8D896F3C8498}">
  <sheetPr>
    <pageSetUpPr fitToPage="1"/>
  </sheetPr>
  <dimension ref="B1:V58"/>
  <sheetViews>
    <sheetView view="pageBreakPreview" topLeftCell="A20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211</v>
      </c>
      <c r="C2" s="72"/>
      <c r="D2" s="72"/>
      <c r="E2" s="72"/>
      <c r="F2" s="72"/>
      <c r="G2" s="72"/>
      <c r="H2" s="72"/>
      <c r="I2" s="73"/>
      <c r="J2" s="61">
        <v>62023839</v>
      </c>
      <c r="K2" s="63">
        <v>122</v>
      </c>
      <c r="L2" s="63">
        <v>4</v>
      </c>
      <c r="M2" s="63">
        <v>12.53</v>
      </c>
      <c r="N2" s="63">
        <v>16.8</v>
      </c>
      <c r="O2" s="63">
        <v>20.2</v>
      </c>
      <c r="P2" s="63" t="s">
        <v>54</v>
      </c>
      <c r="Q2" s="63">
        <v>0.16800000000000001</v>
      </c>
      <c r="R2" s="63" t="s">
        <v>62</v>
      </c>
    </row>
    <row r="3" spans="2:22" x14ac:dyDescent="0.2">
      <c r="B3" s="6" t="s">
        <v>53</v>
      </c>
      <c r="C3" s="64">
        <f>+'431'!C3+1</f>
        <v>432</v>
      </c>
      <c r="D3" s="5"/>
      <c r="E3" s="5"/>
      <c r="F3" s="5"/>
      <c r="G3" s="5" t="s">
        <v>52</v>
      </c>
      <c r="H3" s="31">
        <f>+'420'!H3+0</f>
        <v>46210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62023839</v>
      </c>
      <c r="C21" s="6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7" t="str">
        <f>IF(LEFT(G17,2)="CA","CA",IF(LEFT(G17,2)="UN","US",IF(LEFT(G17,2)="PA","PA",IF(LEFT(G17,2)="JA","JP"))))</f>
        <v>CA</v>
      </c>
      <c r="I21" s="67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20.2</v>
      </c>
      <c r="G23" s="23">
        <f>+N2</f>
        <v>16.8</v>
      </c>
      <c r="H23" s="23">
        <f>+M2</f>
        <v>12.53</v>
      </c>
      <c r="I23" s="67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WOMENS COTTON FIBERS, KNIT PULLOVER, WITH NO NECK CLOSURE, STITCH COUNT IS GREATER THAN 9/2CM, REACHES WAIST, SLEEVELESS [96% COTTON 4% SPANDEX]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0" t="s">
        <v>19</v>
      </c>
      <c r="E31" s="80"/>
      <c r="F31" s="80" t="s">
        <v>18</v>
      </c>
      <c r="G31" s="80"/>
      <c r="H31" s="67" t="s">
        <v>17</v>
      </c>
      <c r="I31" s="19" t="s">
        <v>16</v>
      </c>
      <c r="M31"/>
    </row>
    <row r="32" spans="2:13" ht="24" customHeight="1" x14ac:dyDescent="0.2">
      <c r="B32" s="41" t="s">
        <v>185</v>
      </c>
      <c r="C32" s="19" t="s">
        <v>184</v>
      </c>
      <c r="D32" s="69"/>
      <c r="E32" s="70"/>
      <c r="F32" s="69">
        <f>+K2</f>
        <v>122</v>
      </c>
      <c r="G32" s="70"/>
      <c r="H32" s="17">
        <v>0.76</v>
      </c>
      <c r="I32" s="18">
        <f>+H32*F32</f>
        <v>92.72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7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122</v>
      </c>
      <c r="G34" s="70"/>
      <c r="H34" s="15"/>
      <c r="I34" s="14">
        <f>SUM(I32:I33)</f>
        <v>92.72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92.72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92.72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13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CC6EE7-D259-45F5-A645-586D3D3C3F1D}">
          <x14:formula1>
            <xm:f>Sheet1!$L$5:$L$25</xm:f>
          </x14:formula1>
          <xm:sqref>G13</xm:sqref>
        </x14:dataValidation>
        <x14:dataValidation type="list" allowBlank="1" showInputMessage="1" showErrorMessage="1" xr:uid="{66FE809E-9DDF-4988-B4BE-FF8D7CBD308A}">
          <x14:formula1>
            <xm:f>Sheet1!$B$17:$B$18</xm:f>
          </x14:formula1>
          <xm:sqref>G5</xm:sqref>
        </x14:dataValidation>
        <x14:dataValidation type="list" allowBlank="1" showInputMessage="1" showErrorMessage="1" xr:uid="{FE293C3F-4124-4BAD-9D7F-F7A2E12AAB19}">
          <x14:formula1>
            <xm:f>Sheet1!$K$5:$K$12</xm:f>
          </x14:formula1>
          <xm:sqref>B14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B395-D66E-4695-AAC9-9D081AAE562E}">
  <sheetPr>
    <pageSetUpPr fitToPage="1"/>
  </sheetPr>
  <dimension ref="B1:V58"/>
  <sheetViews>
    <sheetView view="pageBreakPreview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211</v>
      </c>
      <c r="C2" s="72"/>
      <c r="D2" s="72"/>
      <c r="E2" s="72"/>
      <c r="F2" s="72"/>
      <c r="G2" s="72"/>
      <c r="H2" s="72"/>
      <c r="I2" s="73"/>
      <c r="J2" s="61">
        <v>62023840</v>
      </c>
      <c r="K2" s="63">
        <v>100</v>
      </c>
      <c r="L2" s="63">
        <v>3</v>
      </c>
      <c r="M2" s="63">
        <v>10.35</v>
      </c>
      <c r="N2" s="63">
        <v>13.85</v>
      </c>
      <c r="O2" s="63">
        <v>16.45</v>
      </c>
      <c r="P2" s="63" t="s">
        <v>54</v>
      </c>
      <c r="Q2" s="63">
        <v>0.13400000000000001</v>
      </c>
      <c r="R2" s="63" t="s">
        <v>62</v>
      </c>
    </row>
    <row r="3" spans="2:22" x14ac:dyDescent="0.2">
      <c r="B3" s="6" t="s">
        <v>53</v>
      </c>
      <c r="C3" s="64">
        <f>+'432'!C3+1</f>
        <v>433</v>
      </c>
      <c r="D3" s="5"/>
      <c r="E3" s="5"/>
      <c r="F3" s="5"/>
      <c r="G3" s="5" t="s">
        <v>52</v>
      </c>
      <c r="H3" s="31">
        <f>+'420'!H3+0</f>
        <v>46210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62023840</v>
      </c>
      <c r="C21" s="6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7" t="s">
        <v>35</v>
      </c>
      <c r="G21" s="67"/>
      <c r="H21" s="47" t="str">
        <f>IF(LEFT(G17,2)="CA","CA",IF(LEFT(G17,2)="UN","US",IF(LEFT(G17,2)="PA","PA",IF(LEFT(G17,2)="JA","JP"))))</f>
        <v>CA</v>
      </c>
      <c r="I21" s="67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16.45</v>
      </c>
      <c r="G23" s="23">
        <f>+N2</f>
        <v>13.85</v>
      </c>
      <c r="H23" s="23">
        <f>+M2</f>
        <v>10.35</v>
      </c>
      <c r="I23" s="67">
        <f>+L2</f>
        <v>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WOMENS COTTON FIBERS, KNIT PULLOVER, WITH NO NECK CLOSURE, STITCH COUNT IS GREATER THAN 9/2CM, REACHES WAIST, SLEEVELESS [96% COTTON 4% SPANDEX]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0" t="s">
        <v>19</v>
      </c>
      <c r="E31" s="80"/>
      <c r="F31" s="80" t="s">
        <v>18</v>
      </c>
      <c r="G31" s="80"/>
      <c r="H31" s="67" t="s">
        <v>17</v>
      </c>
      <c r="I31" s="19" t="s">
        <v>16</v>
      </c>
      <c r="M31"/>
    </row>
    <row r="32" spans="2:13" ht="24" customHeight="1" x14ac:dyDescent="0.2">
      <c r="B32" s="41" t="s">
        <v>210</v>
      </c>
      <c r="C32" s="19" t="s">
        <v>209</v>
      </c>
      <c r="D32" s="69"/>
      <c r="E32" s="70"/>
      <c r="F32" s="69">
        <f>+K2</f>
        <v>100</v>
      </c>
      <c r="G32" s="70"/>
      <c r="H32" s="17">
        <v>0.76</v>
      </c>
      <c r="I32" s="18">
        <f>+H32*F32</f>
        <v>76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7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100</v>
      </c>
      <c r="G34" s="70"/>
      <c r="H34" s="15"/>
      <c r="I34" s="14">
        <f>SUM(I32:I33)</f>
        <v>76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7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76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14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770FB7E-F94D-43F7-BC9C-BB78DEC9BD48}">
          <x14:formula1>
            <xm:f>Sheet1!$K$5:$K$12</xm:f>
          </x14:formula1>
          <xm:sqref>B14</xm:sqref>
        </x14:dataValidation>
        <x14:dataValidation type="list" allowBlank="1" showInputMessage="1" showErrorMessage="1" xr:uid="{EFC5D84E-2B52-402B-960E-A390C7E779ED}">
          <x14:formula1>
            <xm:f>Sheet1!$B$17:$B$18</xm:f>
          </x14:formula1>
          <xm:sqref>G5</xm:sqref>
        </x14:dataValidation>
        <x14:dataValidation type="list" allowBlank="1" showInputMessage="1" showErrorMessage="1" xr:uid="{E62FA088-EA0F-49C6-AC70-B68A1CFD8339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Sheet1</vt:lpstr>
      <vt:lpstr>reff</vt:lpstr>
      <vt:lpstr>420</vt:lpstr>
      <vt:lpstr>421</vt:lpstr>
      <vt:lpstr>422</vt:lpstr>
      <vt:lpstr>423</vt:lpstr>
      <vt:lpstr>424</vt:lpstr>
      <vt:lpstr>425</vt:lpstr>
      <vt:lpstr>426</vt:lpstr>
      <vt:lpstr>427</vt:lpstr>
      <vt:lpstr>428</vt:lpstr>
      <vt:lpstr>429</vt:lpstr>
      <vt:lpstr>430</vt:lpstr>
      <vt:lpstr>431</vt:lpstr>
      <vt:lpstr>432</vt:lpstr>
      <vt:lpstr>433</vt:lpstr>
      <vt:lpstr>'420'!Print_Area</vt:lpstr>
      <vt:lpstr>'421'!Print_Area</vt:lpstr>
      <vt:lpstr>'422'!Print_Area</vt:lpstr>
      <vt:lpstr>'423'!Print_Area</vt:lpstr>
      <vt:lpstr>'424'!Print_Area</vt:lpstr>
      <vt:lpstr>'425'!Print_Area</vt:lpstr>
      <vt:lpstr>'426'!Print_Area</vt:lpstr>
      <vt:lpstr>'427'!Print_Area</vt:lpstr>
      <vt:lpstr>'428'!Print_Area</vt:lpstr>
      <vt:lpstr>'429'!Print_Area</vt:lpstr>
      <vt:lpstr>'430'!Print_Area</vt:lpstr>
      <vt:lpstr>'431'!Print_Area</vt:lpstr>
      <vt:lpstr>'432'!Print_Area</vt:lpstr>
      <vt:lpstr>'433'!Print_Area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2026-06-29T00:54:04Z</cp:lastPrinted>
  <dcterms:created xsi:type="dcterms:W3CDTF">2024-04-17T09:56:05Z</dcterms:created>
  <dcterms:modified xsi:type="dcterms:W3CDTF">2026-06-30T08:23:13Z</dcterms:modified>
</cp:coreProperties>
</file>