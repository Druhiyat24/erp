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9\New folder\"/>
    </mc:Choice>
  </mc:AlternateContent>
  <bookViews>
    <workbookView xWindow="0" yWindow="0" windowWidth="20490" windowHeight="7650" activeTab="6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162913"/>
</workbook>
</file>

<file path=xl/calcChain.xml><?xml version="1.0" encoding="utf-8"?>
<calcChain xmlns="http://schemas.openxmlformats.org/spreadsheetml/2006/main">
  <c r="AJ2" i="7" l="1"/>
</calcChain>
</file>

<file path=xl/sharedStrings.xml><?xml version="1.0" encoding="utf-8"?>
<sst xmlns="http://schemas.openxmlformats.org/spreadsheetml/2006/main" count="888" uniqueCount="344">
  <si>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</si>
  <si>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</si>
  <si>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</si>
  <si>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</si>
  <si>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</si>
  <si>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</si>
  <si>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</si>
  <si>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</si>
  <si>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</si>
  <si>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</si>
  <si>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</si>
  <si>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</si>
  <si>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</si>
  <si>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</si>
  <si>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</si>
  <si>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</si>
  <si>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</si>
  <si>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</si>
  <si>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</si>
  <si>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</si>
  <si>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</si>
  <si>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</si>
  <si>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</si>
  <si>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</si>
  <si>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</si>
  <si>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</si>
  <si>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</si>
  <si>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</si>
  <si>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</si>
  <si>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</si>
  <si>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</si>
  <si>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</si>
  <si>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</si>
  <si>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</si>
  <si>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</si>
  <si>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</si>
  <si>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</si>
  <si>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</si>
  <si>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</si>
  <si>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</si>
  <si>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</si>
  <si>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</si>
  <si>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</si>
  <si>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</si>
  <si>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</si>
  <si>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</si>
  <si>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</si>
  <si>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</si>
  <si>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</si>
  <si>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</si>
  <si>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</si>
  <si>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</si>
  <si>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</si>
  <si>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</si>
  <si>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</si>
  <si>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</si>
  <si>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</si>
  <si>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</si>
  <si>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</si>
  <si>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</si>
  <si>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</si>
  <si>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</si>
  <si>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</si>
  <si>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</si>
  <si>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</si>
  <si>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</si>
  <si>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</si>
  <si>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</si>
  <si>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</si>
  <si>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</si>
  <si>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</si>
  <si>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</si>
  <si>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</si>
  <si>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</si>
  <si>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</si>
  <si>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</si>
  <si>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</si>
  <si>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</si>
  <si>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</si>
  <si>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</si>
  <si>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</si>
  <si>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</si>
  <si>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</si>
  <si>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</si>
  <si>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</si>
  <si>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</si>
  <si>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</si>
  <si>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</si>
  <si>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</si>
  <si>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</si>
  <si>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</si>
  <si>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</si>
  <si>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</si>
  <si>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</si>
  <si>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</si>
  <si>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</si>
  <si>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</si>
  <si>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</si>
  <si>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</si>
  <si>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</si>
  <si>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</si>
  <si>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</si>
  <si>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00003074540620250910001409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</si>
  <si>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</si>
  <si>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</si>
  <si>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</si>
  <si>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</si>
  <si>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</si>
  <si>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</si>
  <si>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</si>
  <si>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</si>
  <si>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</si>
  <si>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</si>
  <si>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VNSGN</t>
  </si>
  <si>
    <t>2025-09-17</t>
  </si>
  <si>
    <t>2025-09-10</t>
  </si>
  <si>
    <t>2</t>
  </si>
  <si>
    <t>DN</t>
  </si>
  <si>
    <t>BANDUNG</t>
  </si>
  <si>
    <t>YUS YULIUS</t>
  </si>
  <si>
    <t>MANAGER EXIM</t>
  </si>
  <si>
    <t>USD</t>
  </si>
  <si>
    <t>435511</t>
  </si>
  <si>
    <t>T</t>
  </si>
  <si>
    <t>00003074540620250910001410</t>
  </si>
  <si>
    <t>040300</t>
  </si>
  <si>
    <t>9</t>
  </si>
  <si>
    <t>US</t>
  </si>
  <si>
    <t>IDTPP</t>
  </si>
  <si>
    <t>USORQ</t>
  </si>
  <si>
    <t>EXW</t>
  </si>
  <si>
    <t>568093</t>
  </si>
  <si>
    <t>00003074540620250910001411</t>
  </si>
  <si>
    <t>TW</t>
  </si>
  <si>
    <t>TWTPE</t>
  </si>
  <si>
    <t>436968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</si>
  <si>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</si>
  <si>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</si>
  <si>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</si>
  <si>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</si>
  <si>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</si>
  <si>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</si>
  <si>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</si>
  <si>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</si>
  <si>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</si>
  <si>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</si>
  <si>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</si>
  <si>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</si>
  <si>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</si>
  <si>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</si>
  <si>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</si>
  <si>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</si>
  <si>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</si>
  <si>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</si>
  <si>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CHUTEX INTERNATIONAL CO. LTD</t>
  </si>
  <si>
    <t>18, THONG NHAT ROAD SONG THAN 2 INDUSTRIAL ZONE DI AN WARD HO CHI MINH HO CHI MINH
ATTN : JENNY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</si>
  <si>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</si>
  <si>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</si>
  <si>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</si>
  <si>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</si>
  <si>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</si>
  <si>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</si>
  <si>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</si>
  <si>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</si>
  <si>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</si>
  <si>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</si>
  <si>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</si>
  <si>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8</t>
  </si>
  <si>
    <t>NIRWANA ALABARE GARMENT</t>
  </si>
  <si>
    <t>JALAN RAYA RANCAEKAEK MAJALAYA NO.289 001/007 SOLOKANJERUK, SOLOKANJERUK, BANDUNG, JAWA BARAT</t>
  </si>
  <si>
    <t>0220103231143</t>
  </si>
  <si>
    <t>3</t>
  </si>
  <si>
    <t>13</t>
  </si>
  <si>
    <t>4</t>
  </si>
  <si>
    <t>000000000000000</t>
  </si>
  <si>
    <t>KANMAX ENTERPRISES LTD</t>
  </si>
  <si>
    <t>60 PAYA LEBAR ROAD #04-21 PAYA LEBAR SQUARE 409051 SINGAPORE</t>
  </si>
  <si>
    <t>MACYS MERCHANDISING GROUP INC</t>
  </si>
  <si>
    <t>151 W 34TH ST
NEW YORK, NY  10001
UNITED STATES</t>
  </si>
  <si>
    <t>GREAT GIANT FIBRE GARMENT CO.LTD.</t>
  </si>
  <si>
    <t>5F., NO.73. FU HSING N.ROAD, R.O.C 105039 TAIPEI , TAIPEI CITY
ATTN : VITA HSIAO#219 &amp; REBECCA TUNG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</si>
  <si>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</si>
  <si>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</si>
  <si>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</si>
  <si>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</si>
  <si>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</si>
  <si>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</si>
  <si>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</si>
  <si>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</si>
  <si>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0172/E/NAG/0925</t>
  </si>
  <si>
    <t>217</t>
  </si>
  <si>
    <t>-</t>
  </si>
  <si>
    <t>740</t>
  </si>
  <si>
    <t>3401601593</t>
  </si>
  <si>
    <t>2024-12-11</t>
  </si>
  <si>
    <t>0153/E/NAG/0925</t>
  </si>
  <si>
    <t>0154/E/NAG/0925</t>
  </si>
  <si>
    <t>0155/E/NAG/0925</t>
  </si>
  <si>
    <t>0156/E/NAG/0925</t>
  </si>
  <si>
    <t>0157/E/NAG/0925</t>
  </si>
  <si>
    <t>0158/E/NAG/0925</t>
  </si>
  <si>
    <t>0159/E/NAG/0925</t>
  </si>
  <si>
    <t>0160/E/NAG/0925</t>
  </si>
  <si>
    <t>0161/E/NAG/0925</t>
  </si>
  <si>
    <t>0162/E/NAG/0925</t>
  </si>
  <si>
    <t>0163/E/NAG/0925</t>
  </si>
  <si>
    <t>0164/E/NAG/0925</t>
  </si>
  <si>
    <t>0165/E/NAG/0925</t>
  </si>
  <si>
    <t>0166/E/NAG/0925</t>
  </si>
  <si>
    <t>0186/E/NAG/0925</t>
  </si>
  <si>
    <t>9519490735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</si>
  <si>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</si>
  <si>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</si>
  <si>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</si>
  <si>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</si>
  <si>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</si>
  <si>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</si>
  <si>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</si>
  <si>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</si>
  <si>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</si>
  <si>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</si>
  <si>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AS PENELOPE</t>
  </si>
  <si>
    <t>538 N</t>
  </si>
  <si>
    <t>LR</t>
  </si>
  <si>
    <t>KODE KEMASAN</t>
  </si>
  <si>
    <t>JUMLAH KEMASAN</t>
  </si>
  <si>
    <t>MEREK</t>
  </si>
  <si>
    <t>PK</t>
  </si>
  <si>
    <t>CT</t>
  </si>
  <si>
    <t>MACYS</t>
  </si>
  <si>
    <t>NOMOR KONTINER</t>
  </si>
  <si>
    <t>KODE UKURAN KONTAINER</t>
  </si>
  <si>
    <t>KODE JENIS KONTAINER</t>
  </si>
  <si>
    <t>KODE TIPE KONTAINER</t>
  </si>
  <si>
    <t>PONU8251878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</si>
  <si>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</si>
  <si>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</si>
  <si>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</si>
  <si>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</si>
  <si>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</si>
  <si>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</si>
  <si>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</si>
  <si>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</si>
  <si>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</si>
  <si>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</si>
  <si>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</si>
  <si>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</si>
  <si>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</si>
  <si>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</si>
  <si>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</si>
  <si>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</si>
  <si>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</si>
  <si>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</si>
  <si>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</si>
  <si>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</si>
  <si>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</si>
  <si>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</si>
  <si>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</si>
  <si>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</si>
  <si>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</si>
  <si>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</si>
  <si>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</si>
  <si>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</si>
  <si>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</si>
  <si>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</si>
  <si>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</si>
  <si>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</si>
  <si>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</si>
  <si>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</si>
  <si>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</si>
  <si>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</si>
  <si>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</si>
  <si>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</si>
  <si>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</si>
  <si>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</si>
  <si>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</si>
  <si>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</si>
  <si>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</si>
  <si>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</si>
  <si>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</si>
  <si>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</si>
  <si>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</si>
  <si>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</si>
  <si>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</si>
  <si>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</si>
  <si>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</si>
  <si>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49089000</t>
  </si>
  <si>
    <t>305</t>
  </si>
  <si>
    <t>SAMPLE ACCESORIES SEWING HEAT TRANSFER</t>
  </si>
  <si>
    <t>PCE</t>
  </si>
  <si>
    <t>3204</t>
  </si>
  <si>
    <t>ID</t>
  </si>
  <si>
    <t>61062000</t>
  </si>
  <si>
    <t>MCS/0925/004</t>
  </si>
  <si>
    <t>QUARTER ZIP
'WOMENS  KNIT SHIRT 76 % POLYESTER 19% MODAL5% SPANDEX
PO : 8564518 (100219098MS)
COLOR : 021-OXFORD HTHR</t>
  </si>
  <si>
    <t>QUARTER ZIP
'WOMENS  KNIT SHIRT 76 % POLYESTER 19% MODAL5% SPANDEX
PO : 8563881 (100198489W-B)
COLOR : '401 - DARK BLUE/001 - DEEP BLACK</t>
  </si>
  <si>
    <t>MCS/0725/001</t>
  </si>
  <si>
    <t>COWL NECK
'WOMENS  KNIT SHIRT 76 % POLYESTER 19% MODAL5% SPANDEX
PO : 8564478 (100213481MS)
COLOR : 050 - SLATE HTHR</t>
  </si>
  <si>
    <t>COWL NECK
'WOMENS  KNIT SHIRT 76 % POLYESTER 19% MODAL5% SPANDEX
PO : 8564471 (100213481MS)
COLOR : 050 - SLATE HTHR</t>
  </si>
  <si>
    <t>COWL NECK
'WOMENS  KNIT SHIRT 76 % POLYESTER 19% MODAL5% SPANDEX
PO : 8564401 (100213480MS)
COLOR : 001- DEEP BLACK</t>
  </si>
  <si>
    <t>COWL NECK
'WOMENS  KNIT SHIRT 76 % POLYESTER 19% MODAL5% SPANDEX
PO : 8563688 (100213481PT)
COLOR :  050 - SLATE HTHR</t>
  </si>
  <si>
    <t>QUARTER ZIP
'WOMENS  KNIT SHIRT 76 % POLYESTER 19% MODAL5% SPANDEX
PO : 8563888 (100198489W-B)
COLOR : '401 - DARK BLUE/001 - DEEP BLACK</t>
  </si>
  <si>
    <t>COWL NECK
'WOMENS  KNIT SHIRT 76 % POLYESTER 19% MODAL5% SPANDEX
PO : 8563628 (100213480PT)
COLOR :  001- DEEP BLACK</t>
  </si>
  <si>
    <t>COWL NECK
'WOMENS  KNIT SHIRT 76 % POLYESTER 19% MODAL5% SPANDEX
PO : 8564408 (100213480MS)
COLOR : 001- DEEP BLACK</t>
  </si>
  <si>
    <t>QUARTER ZIP
'WOMENS  KNIT SHIRT 76 % POLYESTER 19% MODAL5% SPANDEX
PO : 8564511 (100219098MS)
COLOR : 021-OXFORD HTHR</t>
  </si>
  <si>
    <t>COWL NECK
'WOMENS  KNIT SHIRT 76 % POLYESTER 19% MODAL5% SPANDEX
PO : 8563621 (100213480PT)
COLOR :  001- DEEP BLACK</t>
  </si>
  <si>
    <t>QUARTER ZIP
'WOMENS  KNIT SHIRT 76 % POLYESTER 19% MODAL5% SPANDEX
PO : 8564381 (100198489-B)
COLOR : '401 - DARK BLUE</t>
  </si>
  <si>
    <t>COWL NECK
'WOMENS  KNIT SHIRT 76 % POLYESTER 19% MODAL5% SPANDEX
PO : 8563681 (100213481PT)
COLOR :  050 - SLATE HTHR</t>
  </si>
  <si>
    <t>QUARTER ZIP
'WOMENS  KNIT SHIRT 76 % POLYESTER 19% MODAL5% SPANDEX
PO : 8564388 (100198489-B)
COLOR : '401 - DARK BLUE</t>
  </si>
  <si>
    <t>62101019</t>
  </si>
  <si>
    <t>GLB/GGF/0925/002</t>
  </si>
  <si>
    <t>FABRIC - SWATCHES (SAMPLE)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</si>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</sst>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65" formatCode="0.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A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>
        <v>0</v>
      </c>
      <c r="BL2">
        <v>0</v>
      </c>
      <c r="BN2">
        <v>0</v>
      </c>
      <c r="BO2">
        <v>0</v>
      </c>
      <c r="BP2">
        <v>0.12</v>
      </c>
      <c r="BQ2">
        <v>1.4</v>
      </c>
      <c r="BR2">
        <v>0</v>
      </c>
      <c r="BS2">
        <v>0</v>
      </c>
      <c r="BT2">
        <v>0</v>
      </c>
      <c r="BU2">
        <v>0</v>
      </c>
      <c r="BV2">
        <v>0</v>
      </c>
      <c r="BW2">
        <v>16436</v>
      </c>
      <c r="BY2">
        <v>0</v>
      </c>
      <c r="CA2">
        <v>0</v>
      </c>
      <c r="CB2">
        <v>0.8</v>
      </c>
      <c r="CC2">
        <v>0.7</v>
      </c>
      <c r="CD2">
        <v>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>
        <v>0</v>
      </c>
      <c r="CZ2" t="s">
        <v>123</v>
      </c>
      <c r="DA2" t="s">
        <v>106</v>
      </c>
    </row>
    <row r="3" spans="1:105" x14ac:dyDescent="0.25">
      <c r="A3" t="s">
        <v>124</v>
      </c>
      <c r="B3" t="s">
        <v>103</v>
      </c>
      <c r="C3" t="s">
        <v>125</v>
      </c>
      <c r="E3" t="s">
        <v>105</v>
      </c>
      <c r="G3" t="s">
        <v>125</v>
      </c>
      <c r="I3" t="s">
        <v>106</v>
      </c>
      <c r="P3" t="s">
        <v>107</v>
      </c>
      <c r="Q3" t="s">
        <v>126</v>
      </c>
      <c r="W3" t="s">
        <v>109</v>
      </c>
      <c r="AA3" t="s">
        <v>110</v>
      </c>
      <c r="AH3" t="s">
        <v>127</v>
      </c>
      <c r="AO3" t="s">
        <v>128</v>
      </c>
      <c r="AR3" t="s">
        <v>129</v>
      </c>
      <c r="AS3" t="s">
        <v>128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>
        <v>0</v>
      </c>
      <c r="BL3">
        <v>0</v>
      </c>
      <c r="BN3">
        <v>33056.639999999999</v>
      </c>
      <c r="BO3">
        <v>0</v>
      </c>
      <c r="BP3">
        <v>0</v>
      </c>
      <c r="BQ3">
        <v>134998.6</v>
      </c>
      <c r="BR3">
        <v>0</v>
      </c>
      <c r="BS3">
        <v>0</v>
      </c>
      <c r="BT3">
        <v>0</v>
      </c>
      <c r="BU3">
        <v>0</v>
      </c>
      <c r="BV3">
        <v>0</v>
      </c>
      <c r="BW3">
        <v>16436</v>
      </c>
      <c r="BY3">
        <v>0</v>
      </c>
      <c r="CA3">
        <v>0</v>
      </c>
      <c r="CB3">
        <v>7816.61</v>
      </c>
      <c r="CC3">
        <v>6453.76</v>
      </c>
      <c r="CD3">
        <v>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130</v>
      </c>
      <c r="CO3" t="s">
        <v>125</v>
      </c>
      <c r="CP3" t="s">
        <v>131</v>
      </c>
      <c r="CQ3" t="s">
        <v>115</v>
      </c>
      <c r="CT3">
        <v>0</v>
      </c>
      <c r="CZ3" t="s">
        <v>123</v>
      </c>
      <c r="DA3" t="s">
        <v>106</v>
      </c>
    </row>
    <row r="4" spans="1:105" x14ac:dyDescent="0.25">
      <c r="A4" t="s">
        <v>132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133</v>
      </c>
      <c r="AO4" t="s">
        <v>112</v>
      </c>
      <c r="AR4" t="s">
        <v>134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>
        <v>0.03</v>
      </c>
      <c r="BL4">
        <v>0</v>
      </c>
      <c r="BN4">
        <v>0</v>
      </c>
      <c r="BO4">
        <v>0.03</v>
      </c>
      <c r="BP4">
        <v>0.98</v>
      </c>
      <c r="BQ4">
        <v>15</v>
      </c>
      <c r="BR4">
        <v>0</v>
      </c>
      <c r="BS4">
        <v>0</v>
      </c>
      <c r="BT4">
        <v>0</v>
      </c>
      <c r="BU4">
        <v>0</v>
      </c>
      <c r="BV4">
        <v>0</v>
      </c>
      <c r="BW4">
        <v>16436</v>
      </c>
      <c r="BY4">
        <v>0</v>
      </c>
      <c r="CA4">
        <v>0</v>
      </c>
      <c r="CB4">
        <v>0.6</v>
      </c>
      <c r="CC4">
        <v>0.5</v>
      </c>
      <c r="CD4">
        <v>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135</v>
      </c>
      <c r="CQ4" t="s">
        <v>115</v>
      </c>
      <c r="CT4">
        <v>0</v>
      </c>
      <c r="CZ4" t="s">
        <v>123</v>
      </c>
      <c r="DA4" t="s">
        <v>106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4.42578125" bestFit="1" customWidth="1"/>
    <col min="7" max="7" width="120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</cols>
  <sheetData>
    <row r="1" spans="1:15" ht="15.75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</row>
    <row r="2" spans="1:15" x14ac:dyDescent="0.25">
      <c r="A2" t="s">
        <v>102</v>
      </c>
      <c r="B2" t="s">
        <v>110</v>
      </c>
      <c r="C2" t="s">
        <v>110</v>
      </c>
      <c r="F2" t="s">
        <v>154</v>
      </c>
      <c r="G2" t="s">
        <v>155</v>
      </c>
      <c r="M2" t="s">
        <v>111</v>
      </c>
    </row>
    <row r="3" spans="1:15" x14ac:dyDescent="0.25">
      <c r="A3" t="s">
        <v>102</v>
      </c>
      <c r="B3" t="s">
        <v>156</v>
      </c>
      <c r="C3" t="s">
        <v>156</v>
      </c>
      <c r="D3" t="s">
        <v>110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  <c r="O3" t="s">
        <v>106</v>
      </c>
    </row>
    <row r="4" spans="1:15" x14ac:dyDescent="0.25">
      <c r="A4" t="s">
        <v>102</v>
      </c>
      <c r="B4" t="s">
        <v>162</v>
      </c>
      <c r="C4" t="s">
        <v>163</v>
      </c>
      <c r="D4" t="s">
        <v>110</v>
      </c>
      <c r="E4" t="s">
        <v>164</v>
      </c>
      <c r="F4" t="s">
        <v>165</v>
      </c>
      <c r="G4" t="s">
        <v>166</v>
      </c>
    </row>
    <row r="5" spans="1:15" x14ac:dyDescent="0.25">
      <c r="A5" t="s">
        <v>102</v>
      </c>
      <c r="B5" t="s">
        <v>167</v>
      </c>
      <c r="C5" t="s">
        <v>167</v>
      </c>
      <c r="F5" t="s">
        <v>154</v>
      </c>
      <c r="G5" t="s">
        <v>155</v>
      </c>
      <c r="M5" t="s">
        <v>111</v>
      </c>
    </row>
    <row r="6" spans="1:15" x14ac:dyDescent="0.25">
      <c r="A6" t="s">
        <v>102</v>
      </c>
      <c r="B6" t="s">
        <v>116</v>
      </c>
      <c r="C6" t="s">
        <v>116</v>
      </c>
      <c r="D6" t="s">
        <v>110</v>
      </c>
      <c r="E6" t="s">
        <v>164</v>
      </c>
      <c r="F6" t="s">
        <v>168</v>
      </c>
      <c r="G6" t="s">
        <v>169</v>
      </c>
      <c r="H6" t="s">
        <v>170</v>
      </c>
      <c r="J6" t="s">
        <v>171</v>
      </c>
    </row>
    <row r="7" spans="1:15" x14ac:dyDescent="0.25">
      <c r="A7" t="s">
        <v>124</v>
      </c>
      <c r="B7" t="s">
        <v>172</v>
      </c>
      <c r="C7" t="s">
        <v>163</v>
      </c>
      <c r="D7" t="s">
        <v>173</v>
      </c>
      <c r="E7" t="s">
        <v>174</v>
      </c>
      <c r="F7" t="s">
        <v>175</v>
      </c>
      <c r="G7" t="s">
        <v>176</v>
      </c>
    </row>
    <row r="8" spans="1:15" x14ac:dyDescent="0.25">
      <c r="A8" t="s">
        <v>124</v>
      </c>
      <c r="B8" t="s">
        <v>110</v>
      </c>
      <c r="C8" t="s">
        <v>110</v>
      </c>
      <c r="F8" t="s">
        <v>177</v>
      </c>
      <c r="G8" t="s">
        <v>178</v>
      </c>
      <c r="M8" t="s">
        <v>127</v>
      </c>
    </row>
    <row r="9" spans="1:15" x14ac:dyDescent="0.25">
      <c r="A9" t="s">
        <v>124</v>
      </c>
      <c r="B9" t="s">
        <v>156</v>
      </c>
      <c r="C9" t="s">
        <v>156</v>
      </c>
      <c r="I9" t="s">
        <v>160</v>
      </c>
      <c r="J9" t="s">
        <v>161</v>
      </c>
    </row>
    <row r="10" spans="1:15" x14ac:dyDescent="0.25">
      <c r="A10" t="s">
        <v>124</v>
      </c>
      <c r="B10" t="s">
        <v>167</v>
      </c>
      <c r="C10" t="s">
        <v>167</v>
      </c>
      <c r="F10" t="s">
        <v>177</v>
      </c>
      <c r="G10" t="s">
        <v>178</v>
      </c>
      <c r="M10" t="s">
        <v>127</v>
      </c>
    </row>
    <row r="11" spans="1:15" x14ac:dyDescent="0.25">
      <c r="A11" t="s">
        <v>124</v>
      </c>
      <c r="B11" t="s">
        <v>116</v>
      </c>
      <c r="C11" t="s">
        <v>116</v>
      </c>
      <c r="D11" t="s">
        <v>110</v>
      </c>
      <c r="E11" t="s">
        <v>164</v>
      </c>
      <c r="F11" t="s">
        <v>168</v>
      </c>
      <c r="G11" t="s">
        <v>169</v>
      </c>
      <c r="H11" t="s">
        <v>170</v>
      </c>
      <c r="J11" t="s">
        <v>171</v>
      </c>
    </row>
    <row r="12" spans="1:15" x14ac:dyDescent="0.25">
      <c r="A12" t="s">
        <v>132</v>
      </c>
      <c r="B12" t="s">
        <v>116</v>
      </c>
      <c r="C12" t="s">
        <v>116</v>
      </c>
      <c r="D12" t="s">
        <v>110</v>
      </c>
      <c r="E12" t="s">
        <v>164</v>
      </c>
      <c r="F12" t="s">
        <v>168</v>
      </c>
      <c r="G12" t="s">
        <v>169</v>
      </c>
      <c r="H12" t="s">
        <v>170</v>
      </c>
      <c r="J12" t="s">
        <v>171</v>
      </c>
    </row>
    <row r="13" spans="1:15" x14ac:dyDescent="0.25">
      <c r="A13" t="s">
        <v>132</v>
      </c>
      <c r="B13" t="s">
        <v>110</v>
      </c>
      <c r="C13" t="s">
        <v>110</v>
      </c>
      <c r="F13" t="s">
        <v>179</v>
      </c>
      <c r="G13" t="s">
        <v>180</v>
      </c>
      <c r="M13" t="s">
        <v>133</v>
      </c>
    </row>
    <row r="14" spans="1:15" x14ac:dyDescent="0.25">
      <c r="A14" t="s">
        <v>132</v>
      </c>
      <c r="B14" t="s">
        <v>156</v>
      </c>
      <c r="C14" t="s">
        <v>156</v>
      </c>
      <c r="D14" t="s">
        <v>110</v>
      </c>
      <c r="E14" t="s">
        <v>157</v>
      </c>
      <c r="F14" t="s">
        <v>158</v>
      </c>
      <c r="G14" t="s">
        <v>159</v>
      </c>
      <c r="I14" t="s">
        <v>160</v>
      </c>
      <c r="J14" t="s">
        <v>161</v>
      </c>
      <c r="O14" t="s">
        <v>106</v>
      </c>
    </row>
    <row r="15" spans="1:15" x14ac:dyDescent="0.25">
      <c r="A15" t="s">
        <v>132</v>
      </c>
      <c r="B15" t="s">
        <v>162</v>
      </c>
      <c r="C15" t="s">
        <v>163</v>
      </c>
      <c r="D15" t="s">
        <v>110</v>
      </c>
      <c r="E15" t="s">
        <v>164</v>
      </c>
      <c r="F15" t="s">
        <v>165</v>
      </c>
      <c r="G15" t="s">
        <v>166</v>
      </c>
    </row>
    <row r="16" spans="1:15" x14ac:dyDescent="0.25">
      <c r="A16" t="s">
        <v>132</v>
      </c>
      <c r="B16" t="s">
        <v>167</v>
      </c>
      <c r="C16" t="s">
        <v>167</v>
      </c>
      <c r="F16" t="s">
        <v>179</v>
      </c>
      <c r="G16" t="s">
        <v>180</v>
      </c>
      <c r="M16" t="s">
        <v>133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140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 x14ac:dyDescent="0.25">
      <c r="A2" t="s">
        <v>102</v>
      </c>
      <c r="B2">
        <v>1</v>
      </c>
      <c r="C2" t="s">
        <v>185</v>
      </c>
      <c r="D2" t="s">
        <v>186</v>
      </c>
      <c r="E2" t="s">
        <v>187</v>
      </c>
    </row>
    <row r="3" spans="1:7" x14ac:dyDescent="0.25">
      <c r="A3" t="s">
        <v>102</v>
      </c>
      <c r="B3">
        <v>2</v>
      </c>
      <c r="C3" t="s">
        <v>188</v>
      </c>
      <c r="D3" t="s">
        <v>189</v>
      </c>
      <c r="E3" t="s">
        <v>115</v>
      </c>
    </row>
    <row r="4" spans="1:7" x14ac:dyDescent="0.25">
      <c r="A4" t="s">
        <v>102</v>
      </c>
      <c r="B4">
        <v>3</v>
      </c>
      <c r="C4" t="s">
        <v>190</v>
      </c>
      <c r="D4" t="s">
        <v>191</v>
      </c>
      <c r="E4" t="s">
        <v>115</v>
      </c>
    </row>
    <row r="5" spans="1:7" x14ac:dyDescent="0.25">
      <c r="A5" t="s">
        <v>102</v>
      </c>
      <c r="B5">
        <v>4</v>
      </c>
      <c r="C5" t="s">
        <v>192</v>
      </c>
      <c r="D5" t="s">
        <v>193</v>
      </c>
      <c r="E5" t="s">
        <v>115</v>
      </c>
    </row>
    <row r="6" spans="1:7" x14ac:dyDescent="0.25">
      <c r="A6" t="s">
        <v>124</v>
      </c>
      <c r="B6">
        <v>1</v>
      </c>
      <c r="C6" t="s">
        <v>185</v>
      </c>
      <c r="D6" t="s">
        <v>186</v>
      </c>
      <c r="E6" t="s">
        <v>194</v>
      </c>
    </row>
    <row r="7" spans="1:7" x14ac:dyDescent="0.25">
      <c r="A7" t="s">
        <v>124</v>
      </c>
      <c r="B7">
        <v>2</v>
      </c>
      <c r="C7" t="s">
        <v>188</v>
      </c>
      <c r="D7" t="s">
        <v>195</v>
      </c>
      <c r="E7" t="s">
        <v>115</v>
      </c>
    </row>
    <row r="8" spans="1:7" x14ac:dyDescent="0.25">
      <c r="A8" t="s">
        <v>124</v>
      </c>
      <c r="B8">
        <v>3</v>
      </c>
      <c r="C8" t="s">
        <v>188</v>
      </c>
      <c r="D8" t="s">
        <v>196</v>
      </c>
      <c r="E8" t="s">
        <v>115</v>
      </c>
    </row>
    <row r="9" spans="1:7" x14ac:dyDescent="0.25">
      <c r="A9" t="s">
        <v>124</v>
      </c>
      <c r="B9">
        <v>4</v>
      </c>
      <c r="C9" t="s">
        <v>188</v>
      </c>
      <c r="D9" t="s">
        <v>197</v>
      </c>
      <c r="E9" t="s">
        <v>115</v>
      </c>
    </row>
    <row r="10" spans="1:7" x14ac:dyDescent="0.25">
      <c r="A10" t="s">
        <v>124</v>
      </c>
      <c r="B10">
        <v>5</v>
      </c>
      <c r="C10" t="s">
        <v>188</v>
      </c>
      <c r="D10" t="s">
        <v>198</v>
      </c>
      <c r="E10" t="s">
        <v>115</v>
      </c>
    </row>
    <row r="11" spans="1:7" x14ac:dyDescent="0.25">
      <c r="A11" t="s">
        <v>124</v>
      </c>
      <c r="B11">
        <v>6</v>
      </c>
      <c r="C11" t="s">
        <v>188</v>
      </c>
      <c r="D11" t="s">
        <v>199</v>
      </c>
      <c r="E11" t="s">
        <v>115</v>
      </c>
    </row>
    <row r="12" spans="1:7" x14ac:dyDescent="0.25">
      <c r="A12" t="s">
        <v>124</v>
      </c>
      <c r="B12">
        <v>7</v>
      </c>
      <c r="C12" t="s">
        <v>188</v>
      </c>
      <c r="D12" t="s">
        <v>200</v>
      </c>
      <c r="E12" t="s">
        <v>115</v>
      </c>
    </row>
    <row r="13" spans="1:7" x14ac:dyDescent="0.25">
      <c r="A13" t="s">
        <v>124</v>
      </c>
      <c r="B13">
        <v>8</v>
      </c>
      <c r="C13" t="s">
        <v>188</v>
      </c>
      <c r="D13" t="s">
        <v>201</v>
      </c>
      <c r="E13" t="s">
        <v>115</v>
      </c>
    </row>
    <row r="14" spans="1:7" x14ac:dyDescent="0.25">
      <c r="A14" t="s">
        <v>124</v>
      </c>
      <c r="B14">
        <v>9</v>
      </c>
      <c r="C14" t="s">
        <v>188</v>
      </c>
      <c r="D14" t="s">
        <v>202</v>
      </c>
      <c r="E14" t="s">
        <v>115</v>
      </c>
    </row>
    <row r="15" spans="1:7" x14ac:dyDescent="0.25">
      <c r="A15" t="s">
        <v>124</v>
      </c>
      <c r="B15">
        <v>10</v>
      </c>
      <c r="C15" t="s">
        <v>188</v>
      </c>
      <c r="D15" t="s">
        <v>203</v>
      </c>
      <c r="E15" t="s">
        <v>115</v>
      </c>
    </row>
    <row r="16" spans="1:7" x14ac:dyDescent="0.25">
      <c r="A16" t="s">
        <v>124</v>
      </c>
      <c r="B16">
        <v>11</v>
      </c>
      <c r="C16" t="s">
        <v>188</v>
      </c>
      <c r="D16" t="s">
        <v>204</v>
      </c>
      <c r="E16" t="s">
        <v>115</v>
      </c>
    </row>
    <row r="17" spans="1:5" x14ac:dyDescent="0.25">
      <c r="A17" t="s">
        <v>124</v>
      </c>
      <c r="B17">
        <v>12</v>
      </c>
      <c r="C17" t="s">
        <v>188</v>
      </c>
      <c r="D17" t="s">
        <v>205</v>
      </c>
      <c r="E17" t="s">
        <v>115</v>
      </c>
    </row>
    <row r="18" spans="1:5" x14ac:dyDescent="0.25">
      <c r="A18" t="s">
        <v>124</v>
      </c>
      <c r="B18">
        <v>13</v>
      </c>
      <c r="C18" t="s">
        <v>188</v>
      </c>
      <c r="D18" t="s">
        <v>206</v>
      </c>
      <c r="E18" t="s">
        <v>115</v>
      </c>
    </row>
    <row r="19" spans="1:5" x14ac:dyDescent="0.25">
      <c r="A19" t="s">
        <v>124</v>
      </c>
      <c r="B19">
        <v>14</v>
      </c>
      <c r="C19" t="s">
        <v>188</v>
      </c>
      <c r="D19" t="s">
        <v>207</v>
      </c>
      <c r="E19" t="s">
        <v>115</v>
      </c>
    </row>
    <row r="20" spans="1:5" x14ac:dyDescent="0.25">
      <c r="A20" t="s">
        <v>124</v>
      </c>
      <c r="B20">
        <v>15</v>
      </c>
      <c r="C20" t="s">
        <v>188</v>
      </c>
      <c r="D20" t="s">
        <v>208</v>
      </c>
      <c r="E20" t="s">
        <v>115</v>
      </c>
    </row>
    <row r="21" spans="1:5" x14ac:dyDescent="0.25">
      <c r="A21" t="s">
        <v>124</v>
      </c>
      <c r="B21">
        <v>16</v>
      </c>
      <c r="C21" t="s">
        <v>190</v>
      </c>
      <c r="D21" t="s">
        <v>191</v>
      </c>
      <c r="E21" t="s">
        <v>115</v>
      </c>
    </row>
    <row r="22" spans="1:5" x14ac:dyDescent="0.25">
      <c r="A22" t="s">
        <v>132</v>
      </c>
      <c r="B22">
        <v>1</v>
      </c>
      <c r="C22" t="s">
        <v>185</v>
      </c>
      <c r="D22" t="s">
        <v>186</v>
      </c>
      <c r="E22" t="s">
        <v>187</v>
      </c>
    </row>
    <row r="23" spans="1:5" x14ac:dyDescent="0.25">
      <c r="A23" t="s">
        <v>132</v>
      </c>
      <c r="B23">
        <v>2</v>
      </c>
      <c r="C23" t="s">
        <v>188</v>
      </c>
      <c r="D23" t="s">
        <v>209</v>
      </c>
      <c r="E23" t="s">
        <v>115</v>
      </c>
    </row>
    <row r="24" spans="1:5" x14ac:dyDescent="0.25">
      <c r="A24" t="s">
        <v>132</v>
      </c>
      <c r="B24">
        <v>3</v>
      </c>
      <c r="C24" t="s">
        <v>190</v>
      </c>
      <c r="D24" t="s">
        <v>191</v>
      </c>
      <c r="E24" t="s">
        <v>115</v>
      </c>
    </row>
    <row r="25" spans="1:5" x14ac:dyDescent="0.25">
      <c r="A25" t="s">
        <v>132</v>
      </c>
      <c r="B25">
        <v>4</v>
      </c>
      <c r="C25" t="s">
        <v>192</v>
      </c>
      <c r="D25" t="s">
        <v>210</v>
      </c>
      <c r="E25" t="s">
        <v>115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140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 spans="1:9" x14ac:dyDescent="0.25">
      <c r="A2" t="s">
        <v>102</v>
      </c>
      <c r="B2">
        <v>1</v>
      </c>
      <c r="C2" t="s">
        <v>173</v>
      </c>
      <c r="D2" t="s">
        <v>218</v>
      </c>
      <c r="E2" t="s">
        <v>219</v>
      </c>
      <c r="F2" t="s">
        <v>220</v>
      </c>
    </row>
    <row r="3" spans="1:9" x14ac:dyDescent="0.25">
      <c r="A3" t="s">
        <v>124</v>
      </c>
      <c r="B3">
        <v>1</v>
      </c>
      <c r="C3" t="s">
        <v>106</v>
      </c>
      <c r="D3" t="s">
        <v>221</v>
      </c>
      <c r="E3" t="s">
        <v>222</v>
      </c>
      <c r="F3" t="s">
        <v>223</v>
      </c>
    </row>
    <row r="4" spans="1:9" x14ac:dyDescent="0.25">
      <c r="A4" t="s">
        <v>132</v>
      </c>
      <c r="B4">
        <v>1</v>
      </c>
      <c r="C4" t="s">
        <v>173</v>
      </c>
      <c r="D4" t="s">
        <v>218</v>
      </c>
      <c r="E4" t="s">
        <v>219</v>
      </c>
      <c r="F4" t="s">
        <v>220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</cols>
  <sheetData>
    <row r="1" spans="1:5" ht="15.75" x14ac:dyDescent="0.25">
      <c r="A1" s="1" t="s">
        <v>0</v>
      </c>
      <c r="B1" s="1" t="s">
        <v>140</v>
      </c>
      <c r="C1" s="1" t="s">
        <v>224</v>
      </c>
      <c r="D1" s="1" t="s">
        <v>225</v>
      </c>
      <c r="E1" s="1" t="s">
        <v>226</v>
      </c>
    </row>
    <row r="2" spans="1:5" x14ac:dyDescent="0.25">
      <c r="A2" t="s">
        <v>102</v>
      </c>
      <c r="B2">
        <v>1</v>
      </c>
      <c r="C2" t="s">
        <v>227</v>
      </c>
      <c r="D2">
        <v>1</v>
      </c>
      <c r="E2" t="s">
        <v>191</v>
      </c>
    </row>
    <row r="3" spans="1:5" x14ac:dyDescent="0.25">
      <c r="A3" t="s">
        <v>124</v>
      </c>
      <c r="B3">
        <v>1</v>
      </c>
      <c r="C3" t="s">
        <v>228</v>
      </c>
      <c r="D3">
        <v>1318</v>
      </c>
      <c r="E3" t="s">
        <v>229</v>
      </c>
    </row>
    <row r="4" spans="1:5" x14ac:dyDescent="0.25">
      <c r="A4" t="s">
        <v>132</v>
      </c>
      <c r="B4">
        <v>1</v>
      </c>
      <c r="C4" t="s">
        <v>227</v>
      </c>
      <c r="D4">
        <v>1</v>
      </c>
      <c r="E4" t="s">
        <v>191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140</v>
      </c>
      <c r="C1" s="1" t="s">
        <v>230</v>
      </c>
      <c r="D1" s="1" t="s">
        <v>231</v>
      </c>
      <c r="E1" s="1" t="s">
        <v>232</v>
      </c>
      <c r="F1" s="1" t="s">
        <v>233</v>
      </c>
    </row>
    <row r="2" spans="1:6" x14ac:dyDescent="0.25">
      <c r="A2" t="s">
        <v>124</v>
      </c>
      <c r="B2">
        <v>1</v>
      </c>
      <c r="C2" t="s">
        <v>234</v>
      </c>
      <c r="D2" t="s">
        <v>235</v>
      </c>
      <c r="E2" t="s">
        <v>167</v>
      </c>
      <c r="F2" t="s">
        <v>106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O17"/>
  <sheetViews>
    <sheetView tabSelected="1" topLeftCell="U1" workbookViewId="0">
      <selection activeCell="AF6" sqref="AF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7.42578125" bestFit="1" customWidth="1"/>
    <col min="5" max="5" width="13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</cols>
  <sheetData>
    <row r="1" spans="1:67" ht="15.75" x14ac:dyDescent="0.25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226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224</v>
      </c>
      <c r="M1" s="1" t="s">
        <v>225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</row>
    <row r="2" spans="1:67" x14ac:dyDescent="0.25">
      <c r="A2" t="s">
        <v>102</v>
      </c>
      <c r="B2">
        <v>1</v>
      </c>
      <c r="C2" t="s">
        <v>286</v>
      </c>
      <c r="D2" t="s">
        <v>287</v>
      </c>
      <c r="E2" t="s">
        <v>288</v>
      </c>
      <c r="F2" t="s">
        <v>191</v>
      </c>
      <c r="G2" t="s">
        <v>191</v>
      </c>
      <c r="H2" t="s">
        <v>191</v>
      </c>
      <c r="I2" t="s">
        <v>191</v>
      </c>
      <c r="J2" t="s">
        <v>289</v>
      </c>
      <c r="K2">
        <v>700</v>
      </c>
      <c r="L2" t="s">
        <v>227</v>
      </c>
      <c r="M2">
        <v>1</v>
      </c>
      <c r="T2">
        <v>0.7</v>
      </c>
      <c r="Z2">
        <v>0</v>
      </c>
      <c r="AA2">
        <v>0</v>
      </c>
      <c r="AB2">
        <v>16436</v>
      </c>
      <c r="AC2">
        <v>1.4</v>
      </c>
      <c r="AF2">
        <v>0</v>
      </c>
      <c r="AG2">
        <v>0</v>
      </c>
      <c r="AH2">
        <v>0</v>
      </c>
      <c r="AI2">
        <v>0</v>
      </c>
      <c r="AJ2" s="3">
        <f>+AC2/K2</f>
        <v>2E-3</v>
      </c>
      <c r="AK2">
        <v>0</v>
      </c>
      <c r="AM2">
        <v>0</v>
      </c>
      <c r="AN2">
        <v>0</v>
      </c>
      <c r="AS2" t="s">
        <v>290</v>
      </c>
      <c r="AY2" t="s">
        <v>291</v>
      </c>
      <c r="BJ2">
        <v>0</v>
      </c>
      <c r="BO2" t="s">
        <v>106</v>
      </c>
    </row>
    <row r="3" spans="1:67" x14ac:dyDescent="0.25">
      <c r="A3" t="s">
        <v>124</v>
      </c>
      <c r="B3">
        <v>5</v>
      </c>
      <c r="C3" t="s">
        <v>292</v>
      </c>
      <c r="D3" t="s">
        <v>293</v>
      </c>
      <c r="E3" t="s">
        <v>294</v>
      </c>
      <c r="F3" t="s">
        <v>229</v>
      </c>
      <c r="G3" t="s">
        <v>191</v>
      </c>
      <c r="H3" t="s">
        <v>191</v>
      </c>
      <c r="I3" t="s">
        <v>191</v>
      </c>
      <c r="J3" t="s">
        <v>289</v>
      </c>
      <c r="K3">
        <v>1194</v>
      </c>
      <c r="L3" t="s">
        <v>228</v>
      </c>
      <c r="M3">
        <v>101</v>
      </c>
      <c r="T3">
        <v>554.02</v>
      </c>
      <c r="Z3">
        <v>0</v>
      </c>
      <c r="AA3">
        <v>0</v>
      </c>
      <c r="AB3">
        <v>16436</v>
      </c>
      <c r="AC3">
        <v>11163.9</v>
      </c>
      <c r="AF3">
        <v>0</v>
      </c>
      <c r="AG3">
        <v>0</v>
      </c>
      <c r="AH3">
        <v>0</v>
      </c>
      <c r="AI3">
        <v>0</v>
      </c>
      <c r="AJ3">
        <v>9.35</v>
      </c>
      <c r="AK3">
        <v>0</v>
      </c>
      <c r="AM3">
        <v>0</v>
      </c>
      <c r="AN3">
        <v>0</v>
      </c>
      <c r="AS3" t="s">
        <v>290</v>
      </c>
      <c r="AY3" t="s">
        <v>291</v>
      </c>
      <c r="BJ3">
        <v>0</v>
      </c>
      <c r="BO3" t="s">
        <v>106</v>
      </c>
    </row>
    <row r="4" spans="1:67" x14ac:dyDescent="0.25">
      <c r="A4" t="s">
        <v>124</v>
      </c>
      <c r="B4">
        <v>4</v>
      </c>
      <c r="C4" t="s">
        <v>292</v>
      </c>
      <c r="D4" t="s">
        <v>293</v>
      </c>
      <c r="E4" t="s">
        <v>295</v>
      </c>
      <c r="F4" t="s">
        <v>229</v>
      </c>
      <c r="G4" t="s">
        <v>191</v>
      </c>
      <c r="H4" t="s">
        <v>191</v>
      </c>
      <c r="I4" t="s">
        <v>191</v>
      </c>
      <c r="J4" t="s">
        <v>289</v>
      </c>
      <c r="K4">
        <v>384</v>
      </c>
      <c r="L4" t="s">
        <v>228</v>
      </c>
      <c r="M4">
        <v>35</v>
      </c>
      <c r="T4">
        <v>212.16</v>
      </c>
      <c r="Z4">
        <v>0</v>
      </c>
      <c r="AA4">
        <v>0</v>
      </c>
      <c r="AB4">
        <v>16436</v>
      </c>
      <c r="AC4">
        <v>3978.24</v>
      </c>
      <c r="AF4">
        <v>0</v>
      </c>
      <c r="AG4">
        <v>0</v>
      </c>
      <c r="AH4">
        <v>0</v>
      </c>
      <c r="AI4">
        <v>0</v>
      </c>
      <c r="AJ4">
        <v>10.36</v>
      </c>
      <c r="AK4">
        <v>0</v>
      </c>
      <c r="AM4">
        <v>0</v>
      </c>
      <c r="AN4">
        <v>0</v>
      </c>
      <c r="AS4" t="s">
        <v>290</v>
      </c>
      <c r="AY4" t="s">
        <v>291</v>
      </c>
      <c r="BJ4">
        <v>0</v>
      </c>
      <c r="BO4" t="s">
        <v>106</v>
      </c>
    </row>
    <row r="5" spans="1:67" x14ac:dyDescent="0.25">
      <c r="A5" t="s">
        <v>124</v>
      </c>
      <c r="B5">
        <v>9</v>
      </c>
      <c r="C5" t="s">
        <v>292</v>
      </c>
      <c r="D5" t="s">
        <v>296</v>
      </c>
      <c r="E5" t="s">
        <v>297</v>
      </c>
      <c r="F5" t="s">
        <v>229</v>
      </c>
      <c r="G5" t="s">
        <v>191</v>
      </c>
      <c r="H5" t="s">
        <v>191</v>
      </c>
      <c r="I5" t="s">
        <v>191</v>
      </c>
      <c r="J5" t="s">
        <v>289</v>
      </c>
      <c r="K5">
        <v>1002</v>
      </c>
      <c r="L5" t="s">
        <v>228</v>
      </c>
      <c r="M5">
        <v>85</v>
      </c>
      <c r="T5">
        <v>433.28</v>
      </c>
      <c r="Z5">
        <v>0</v>
      </c>
      <c r="AA5">
        <v>0</v>
      </c>
      <c r="AB5">
        <v>16436</v>
      </c>
      <c r="AC5">
        <v>9478.92</v>
      </c>
      <c r="AF5">
        <v>0</v>
      </c>
      <c r="AG5">
        <v>0</v>
      </c>
      <c r="AH5">
        <v>0</v>
      </c>
      <c r="AI5">
        <v>0</v>
      </c>
      <c r="AJ5">
        <v>9.4600000000000009</v>
      </c>
      <c r="AK5">
        <v>0</v>
      </c>
      <c r="AM5">
        <v>0</v>
      </c>
      <c r="AN5">
        <v>0</v>
      </c>
      <c r="AS5" t="s">
        <v>290</v>
      </c>
      <c r="AY5" t="s">
        <v>291</v>
      </c>
      <c r="BJ5">
        <v>0</v>
      </c>
      <c r="BO5" t="s">
        <v>106</v>
      </c>
    </row>
    <row r="6" spans="1:67" x14ac:dyDescent="0.25">
      <c r="A6" t="s">
        <v>124</v>
      </c>
      <c r="B6">
        <v>10</v>
      </c>
      <c r="C6" t="s">
        <v>292</v>
      </c>
      <c r="D6" t="s">
        <v>296</v>
      </c>
      <c r="E6" t="s">
        <v>298</v>
      </c>
      <c r="F6" t="s">
        <v>229</v>
      </c>
      <c r="G6" t="s">
        <v>191</v>
      </c>
      <c r="H6" t="s">
        <v>191</v>
      </c>
      <c r="I6" t="s">
        <v>191</v>
      </c>
      <c r="J6" t="s">
        <v>289</v>
      </c>
      <c r="K6">
        <v>1394</v>
      </c>
      <c r="L6" t="s">
        <v>228</v>
      </c>
      <c r="M6">
        <v>130</v>
      </c>
      <c r="T6">
        <v>613.29</v>
      </c>
      <c r="Z6">
        <v>0</v>
      </c>
      <c r="AA6">
        <v>0</v>
      </c>
      <c r="AB6">
        <v>16436</v>
      </c>
      <c r="AC6">
        <v>13187.24</v>
      </c>
      <c r="AF6">
        <v>0</v>
      </c>
      <c r="AG6">
        <v>0</v>
      </c>
      <c r="AH6">
        <v>0</v>
      </c>
      <c r="AI6">
        <v>0</v>
      </c>
      <c r="AJ6">
        <v>9.4600000000000009</v>
      </c>
      <c r="AK6">
        <v>0</v>
      </c>
      <c r="AM6">
        <v>0</v>
      </c>
      <c r="AN6">
        <v>0</v>
      </c>
      <c r="AS6" t="s">
        <v>290</v>
      </c>
      <c r="AY6" t="s">
        <v>291</v>
      </c>
      <c r="BJ6">
        <v>0</v>
      </c>
      <c r="BO6" t="s">
        <v>106</v>
      </c>
    </row>
    <row r="7" spans="1:67" x14ac:dyDescent="0.25">
      <c r="A7" t="s">
        <v>124</v>
      </c>
      <c r="B7">
        <v>8</v>
      </c>
      <c r="C7" t="s">
        <v>292</v>
      </c>
      <c r="D7" t="s">
        <v>296</v>
      </c>
      <c r="E7" t="s">
        <v>299</v>
      </c>
      <c r="F7" t="s">
        <v>229</v>
      </c>
      <c r="G7" t="s">
        <v>191</v>
      </c>
      <c r="H7" t="s">
        <v>191</v>
      </c>
      <c r="I7" t="s">
        <v>191</v>
      </c>
      <c r="J7" t="s">
        <v>289</v>
      </c>
      <c r="K7">
        <v>1394</v>
      </c>
      <c r="L7" t="s">
        <v>228</v>
      </c>
      <c r="M7">
        <v>130</v>
      </c>
      <c r="T7">
        <v>630.58000000000004</v>
      </c>
      <c r="Z7">
        <v>0</v>
      </c>
      <c r="AA7">
        <v>0</v>
      </c>
      <c r="AB7">
        <v>16436</v>
      </c>
      <c r="AC7">
        <v>12964.2</v>
      </c>
      <c r="AF7">
        <v>0</v>
      </c>
      <c r="AG7">
        <v>0</v>
      </c>
      <c r="AH7">
        <v>0</v>
      </c>
      <c r="AI7">
        <v>0</v>
      </c>
      <c r="AJ7">
        <v>9.3000000000000007</v>
      </c>
      <c r="AK7">
        <v>0</v>
      </c>
      <c r="AM7">
        <v>0</v>
      </c>
      <c r="AN7">
        <v>0</v>
      </c>
      <c r="AS7" t="s">
        <v>290</v>
      </c>
      <c r="AY7" t="s">
        <v>291</v>
      </c>
      <c r="BJ7">
        <v>0</v>
      </c>
      <c r="BO7" t="s">
        <v>106</v>
      </c>
    </row>
    <row r="8" spans="1:67" x14ac:dyDescent="0.25">
      <c r="A8" t="s">
        <v>124</v>
      </c>
      <c r="B8">
        <v>13</v>
      </c>
      <c r="C8" t="s">
        <v>292</v>
      </c>
      <c r="D8" t="s">
        <v>296</v>
      </c>
      <c r="E8" t="s">
        <v>300</v>
      </c>
      <c r="F8" t="s">
        <v>229</v>
      </c>
      <c r="G8" t="s">
        <v>191</v>
      </c>
      <c r="H8" t="s">
        <v>191</v>
      </c>
      <c r="I8" t="s">
        <v>191</v>
      </c>
      <c r="J8" t="s">
        <v>289</v>
      </c>
      <c r="K8">
        <v>600</v>
      </c>
      <c r="L8" t="s">
        <v>228</v>
      </c>
      <c r="M8">
        <v>51</v>
      </c>
      <c r="T8">
        <v>231.99</v>
      </c>
      <c r="Z8">
        <v>0</v>
      </c>
      <c r="AA8">
        <v>0</v>
      </c>
      <c r="AB8">
        <v>16436</v>
      </c>
      <c r="AC8">
        <v>5610</v>
      </c>
      <c r="AF8">
        <v>0</v>
      </c>
      <c r="AG8">
        <v>0</v>
      </c>
      <c r="AH8">
        <v>0</v>
      </c>
      <c r="AI8">
        <v>0</v>
      </c>
      <c r="AJ8">
        <v>9.35</v>
      </c>
      <c r="AK8">
        <v>0</v>
      </c>
      <c r="AM8">
        <v>0</v>
      </c>
      <c r="AN8">
        <v>0</v>
      </c>
      <c r="AS8" t="s">
        <v>290</v>
      </c>
      <c r="AY8" t="s">
        <v>291</v>
      </c>
      <c r="BJ8">
        <v>0</v>
      </c>
      <c r="BO8" t="s">
        <v>106</v>
      </c>
    </row>
    <row r="9" spans="1:67" x14ac:dyDescent="0.25">
      <c r="A9" t="s">
        <v>124</v>
      </c>
      <c r="B9">
        <v>3</v>
      </c>
      <c r="C9" t="s">
        <v>292</v>
      </c>
      <c r="D9" t="s">
        <v>293</v>
      </c>
      <c r="E9" t="s">
        <v>301</v>
      </c>
      <c r="F9" t="s">
        <v>229</v>
      </c>
      <c r="G9" t="s">
        <v>191</v>
      </c>
      <c r="H9" t="s">
        <v>191</v>
      </c>
      <c r="I9" t="s">
        <v>191</v>
      </c>
      <c r="J9" t="s">
        <v>289</v>
      </c>
      <c r="K9">
        <v>804</v>
      </c>
      <c r="L9" t="s">
        <v>228</v>
      </c>
      <c r="M9">
        <v>70</v>
      </c>
      <c r="T9">
        <v>421.79</v>
      </c>
      <c r="Z9">
        <v>0</v>
      </c>
      <c r="AA9">
        <v>0</v>
      </c>
      <c r="AB9">
        <v>16436</v>
      </c>
      <c r="AC9">
        <v>8329.44</v>
      </c>
      <c r="AF9">
        <v>0</v>
      </c>
      <c r="AG9">
        <v>0</v>
      </c>
      <c r="AH9">
        <v>0</v>
      </c>
      <c r="AI9">
        <v>0</v>
      </c>
      <c r="AJ9">
        <v>10.36</v>
      </c>
      <c r="AK9">
        <v>0</v>
      </c>
      <c r="AM9">
        <v>0</v>
      </c>
      <c r="AN9">
        <v>0</v>
      </c>
      <c r="AS9" t="s">
        <v>290</v>
      </c>
      <c r="AY9" t="s">
        <v>291</v>
      </c>
      <c r="BJ9">
        <v>0</v>
      </c>
      <c r="BO9" t="s">
        <v>106</v>
      </c>
    </row>
    <row r="10" spans="1:67" x14ac:dyDescent="0.25">
      <c r="A10" t="s">
        <v>124</v>
      </c>
      <c r="B10">
        <v>11</v>
      </c>
      <c r="C10" t="s">
        <v>292</v>
      </c>
      <c r="D10" t="s">
        <v>296</v>
      </c>
      <c r="E10" t="s">
        <v>302</v>
      </c>
      <c r="F10" t="s">
        <v>229</v>
      </c>
      <c r="G10" t="s">
        <v>191</v>
      </c>
      <c r="H10" t="s">
        <v>191</v>
      </c>
      <c r="I10" t="s">
        <v>191</v>
      </c>
      <c r="J10" t="s">
        <v>289</v>
      </c>
      <c r="K10">
        <v>600</v>
      </c>
      <c r="L10" t="s">
        <v>228</v>
      </c>
      <c r="M10">
        <v>51</v>
      </c>
      <c r="T10">
        <v>237.42</v>
      </c>
      <c r="Z10">
        <v>0</v>
      </c>
      <c r="AA10">
        <v>0</v>
      </c>
      <c r="AB10">
        <v>16436</v>
      </c>
      <c r="AC10">
        <v>5526</v>
      </c>
      <c r="AF10">
        <v>0</v>
      </c>
      <c r="AG10">
        <v>0</v>
      </c>
      <c r="AH10">
        <v>0</v>
      </c>
      <c r="AI10">
        <v>0</v>
      </c>
      <c r="AJ10">
        <v>9.2100000000000009</v>
      </c>
      <c r="AK10">
        <v>0</v>
      </c>
      <c r="AM10">
        <v>0</v>
      </c>
      <c r="AN10">
        <v>0</v>
      </c>
      <c r="AS10" t="s">
        <v>290</v>
      </c>
      <c r="AY10" t="s">
        <v>291</v>
      </c>
      <c r="BJ10">
        <v>0</v>
      </c>
      <c r="BO10" t="s">
        <v>106</v>
      </c>
    </row>
    <row r="11" spans="1:67" x14ac:dyDescent="0.25">
      <c r="A11" t="s">
        <v>124</v>
      </c>
      <c r="B11">
        <v>7</v>
      </c>
      <c r="C11" t="s">
        <v>292</v>
      </c>
      <c r="D11" t="s">
        <v>296</v>
      </c>
      <c r="E11" t="s">
        <v>303</v>
      </c>
      <c r="F11" t="s">
        <v>229</v>
      </c>
      <c r="G11" t="s">
        <v>191</v>
      </c>
      <c r="H11" t="s">
        <v>191</v>
      </c>
      <c r="I11" t="s">
        <v>191</v>
      </c>
      <c r="J11" t="s">
        <v>289</v>
      </c>
      <c r="K11">
        <v>1002</v>
      </c>
      <c r="L11" t="s">
        <v>228</v>
      </c>
      <c r="M11">
        <v>85</v>
      </c>
      <c r="T11">
        <v>443.26</v>
      </c>
      <c r="Z11">
        <v>0</v>
      </c>
      <c r="AA11">
        <v>0</v>
      </c>
      <c r="AB11">
        <v>16436</v>
      </c>
      <c r="AC11">
        <v>9318.6</v>
      </c>
      <c r="AF11">
        <v>0</v>
      </c>
      <c r="AG11">
        <v>0</v>
      </c>
      <c r="AH11">
        <v>0</v>
      </c>
      <c r="AI11">
        <v>0</v>
      </c>
      <c r="AJ11">
        <v>9.3000000000000007</v>
      </c>
      <c r="AK11">
        <v>0</v>
      </c>
      <c r="AM11">
        <v>0</v>
      </c>
      <c r="AN11">
        <v>0</v>
      </c>
      <c r="AS11" t="s">
        <v>290</v>
      </c>
      <c r="AY11" t="s">
        <v>291</v>
      </c>
      <c r="BJ11">
        <v>0</v>
      </c>
      <c r="BO11" t="s">
        <v>106</v>
      </c>
    </row>
    <row r="12" spans="1:67" x14ac:dyDescent="0.25">
      <c r="A12" t="s">
        <v>124</v>
      </c>
      <c r="B12">
        <v>6</v>
      </c>
      <c r="C12" t="s">
        <v>292</v>
      </c>
      <c r="D12" t="s">
        <v>293</v>
      </c>
      <c r="E12" t="s">
        <v>304</v>
      </c>
      <c r="F12" t="s">
        <v>229</v>
      </c>
      <c r="G12" t="s">
        <v>191</v>
      </c>
      <c r="H12" t="s">
        <v>191</v>
      </c>
      <c r="I12" t="s">
        <v>191</v>
      </c>
      <c r="J12" t="s">
        <v>289</v>
      </c>
      <c r="K12">
        <v>1394</v>
      </c>
      <c r="L12" t="s">
        <v>228</v>
      </c>
      <c r="M12">
        <v>130</v>
      </c>
      <c r="T12">
        <v>650.55999999999995</v>
      </c>
      <c r="Z12">
        <v>0</v>
      </c>
      <c r="AA12">
        <v>0</v>
      </c>
      <c r="AB12">
        <v>16436</v>
      </c>
      <c r="AC12">
        <v>13033.9</v>
      </c>
      <c r="AF12">
        <v>0</v>
      </c>
      <c r="AG12">
        <v>0</v>
      </c>
      <c r="AH12">
        <v>0</v>
      </c>
      <c r="AI12">
        <v>0</v>
      </c>
      <c r="AJ12">
        <v>9.35</v>
      </c>
      <c r="AK12">
        <v>0</v>
      </c>
      <c r="AM12">
        <v>0</v>
      </c>
      <c r="AN12">
        <v>0</v>
      </c>
      <c r="AS12" t="s">
        <v>290</v>
      </c>
      <c r="AY12" t="s">
        <v>291</v>
      </c>
      <c r="BJ12">
        <v>0</v>
      </c>
      <c r="BO12" t="s">
        <v>106</v>
      </c>
    </row>
    <row r="13" spans="1:67" x14ac:dyDescent="0.25">
      <c r="A13" t="s">
        <v>124</v>
      </c>
      <c r="B13">
        <v>12</v>
      </c>
      <c r="C13" t="s">
        <v>292</v>
      </c>
      <c r="D13" t="s">
        <v>296</v>
      </c>
      <c r="E13" t="s">
        <v>305</v>
      </c>
      <c r="F13" t="s">
        <v>229</v>
      </c>
      <c r="G13" t="s">
        <v>191</v>
      </c>
      <c r="H13" t="s">
        <v>191</v>
      </c>
      <c r="I13" t="s">
        <v>191</v>
      </c>
      <c r="J13" t="s">
        <v>289</v>
      </c>
      <c r="K13">
        <v>1068</v>
      </c>
      <c r="L13" t="s">
        <v>228</v>
      </c>
      <c r="M13">
        <v>113</v>
      </c>
      <c r="T13">
        <v>444.38</v>
      </c>
      <c r="Z13">
        <v>0</v>
      </c>
      <c r="AA13">
        <v>0</v>
      </c>
      <c r="AB13">
        <v>16436</v>
      </c>
      <c r="AC13">
        <v>9836.2800000000007</v>
      </c>
      <c r="AF13">
        <v>0</v>
      </c>
      <c r="AG13">
        <v>0</v>
      </c>
      <c r="AH13">
        <v>0</v>
      </c>
      <c r="AI13">
        <v>0</v>
      </c>
      <c r="AJ13">
        <v>9.2100000000000009</v>
      </c>
      <c r="AK13">
        <v>0</v>
      </c>
      <c r="AM13">
        <v>0</v>
      </c>
      <c r="AN13">
        <v>0</v>
      </c>
      <c r="AS13" t="s">
        <v>290</v>
      </c>
      <c r="AY13" t="s">
        <v>291</v>
      </c>
      <c r="BJ13">
        <v>0</v>
      </c>
      <c r="BO13" t="s">
        <v>106</v>
      </c>
    </row>
    <row r="14" spans="1:67" x14ac:dyDescent="0.25">
      <c r="A14" t="s">
        <v>124</v>
      </c>
      <c r="B14">
        <v>2</v>
      </c>
      <c r="C14" t="s">
        <v>292</v>
      </c>
      <c r="D14" t="s">
        <v>293</v>
      </c>
      <c r="E14" t="s">
        <v>306</v>
      </c>
      <c r="F14" t="s">
        <v>229</v>
      </c>
      <c r="G14" t="s">
        <v>191</v>
      </c>
      <c r="H14" t="s">
        <v>191</v>
      </c>
      <c r="I14" t="s">
        <v>191</v>
      </c>
      <c r="J14" t="s">
        <v>289</v>
      </c>
      <c r="K14">
        <v>1310</v>
      </c>
      <c r="L14" t="s">
        <v>228</v>
      </c>
      <c r="M14">
        <v>123</v>
      </c>
      <c r="T14">
        <v>605.94000000000005</v>
      </c>
      <c r="Z14">
        <v>0</v>
      </c>
      <c r="AA14">
        <v>0</v>
      </c>
      <c r="AB14">
        <v>16436</v>
      </c>
      <c r="AC14">
        <v>11816.2</v>
      </c>
      <c r="AF14">
        <v>0</v>
      </c>
      <c r="AG14">
        <v>0</v>
      </c>
      <c r="AH14">
        <v>0</v>
      </c>
      <c r="AI14">
        <v>0</v>
      </c>
      <c r="AJ14">
        <v>9.02</v>
      </c>
      <c r="AK14">
        <v>0</v>
      </c>
      <c r="AM14">
        <v>0</v>
      </c>
      <c r="AN14">
        <v>0</v>
      </c>
      <c r="AS14" t="s">
        <v>290</v>
      </c>
      <c r="AY14" t="s">
        <v>291</v>
      </c>
      <c r="BJ14">
        <v>0</v>
      </c>
      <c r="BO14" t="s">
        <v>106</v>
      </c>
    </row>
    <row r="15" spans="1:67" x14ac:dyDescent="0.25">
      <c r="A15" t="s">
        <v>124</v>
      </c>
      <c r="B15">
        <v>14</v>
      </c>
      <c r="C15" t="s">
        <v>292</v>
      </c>
      <c r="D15" t="s">
        <v>296</v>
      </c>
      <c r="E15" t="s">
        <v>307</v>
      </c>
      <c r="F15" t="s">
        <v>229</v>
      </c>
      <c r="G15" t="s">
        <v>191</v>
      </c>
      <c r="H15" t="s">
        <v>191</v>
      </c>
      <c r="I15" t="s">
        <v>191</v>
      </c>
      <c r="J15" t="s">
        <v>289</v>
      </c>
      <c r="K15">
        <v>1068</v>
      </c>
      <c r="L15" t="s">
        <v>228</v>
      </c>
      <c r="M15">
        <v>113</v>
      </c>
      <c r="T15">
        <v>425.01</v>
      </c>
      <c r="Z15">
        <v>0</v>
      </c>
      <c r="AA15">
        <v>0</v>
      </c>
      <c r="AB15">
        <v>16436</v>
      </c>
      <c r="AC15">
        <v>9985.7999999999993</v>
      </c>
      <c r="AF15">
        <v>0</v>
      </c>
      <c r="AG15">
        <v>0</v>
      </c>
      <c r="AH15">
        <v>0</v>
      </c>
      <c r="AI15">
        <v>0</v>
      </c>
      <c r="AJ15">
        <v>9.35</v>
      </c>
      <c r="AK15">
        <v>0</v>
      </c>
      <c r="AM15">
        <v>0</v>
      </c>
      <c r="AN15">
        <v>0</v>
      </c>
      <c r="AS15" t="s">
        <v>290</v>
      </c>
      <c r="AY15" t="s">
        <v>291</v>
      </c>
      <c r="BJ15">
        <v>0</v>
      </c>
      <c r="BO15" t="s">
        <v>106</v>
      </c>
    </row>
    <row r="16" spans="1:67" x14ac:dyDescent="0.25">
      <c r="A16" t="s">
        <v>124</v>
      </c>
      <c r="B16">
        <v>1</v>
      </c>
      <c r="C16" t="s">
        <v>292</v>
      </c>
      <c r="D16" t="s">
        <v>293</v>
      </c>
      <c r="E16" t="s">
        <v>308</v>
      </c>
      <c r="F16" t="s">
        <v>229</v>
      </c>
      <c r="G16" t="s">
        <v>191</v>
      </c>
      <c r="H16" t="s">
        <v>191</v>
      </c>
      <c r="I16" t="s">
        <v>191</v>
      </c>
      <c r="J16" t="s">
        <v>289</v>
      </c>
      <c r="K16">
        <v>1194</v>
      </c>
      <c r="L16" t="s">
        <v>228</v>
      </c>
      <c r="M16">
        <v>101</v>
      </c>
      <c r="T16">
        <v>550.08000000000004</v>
      </c>
      <c r="Z16">
        <v>0</v>
      </c>
      <c r="AA16">
        <v>0</v>
      </c>
      <c r="AB16">
        <v>16436</v>
      </c>
      <c r="AC16">
        <v>10769.88</v>
      </c>
      <c r="AF16">
        <v>0</v>
      </c>
      <c r="AG16">
        <v>0</v>
      </c>
      <c r="AH16">
        <v>0</v>
      </c>
      <c r="AI16">
        <v>0</v>
      </c>
      <c r="AJ16">
        <v>9.02</v>
      </c>
      <c r="AK16">
        <v>0</v>
      </c>
      <c r="AM16">
        <v>0</v>
      </c>
      <c r="AN16">
        <v>0</v>
      </c>
      <c r="AS16" t="s">
        <v>290</v>
      </c>
      <c r="AY16" t="s">
        <v>291</v>
      </c>
      <c r="BJ16">
        <v>0</v>
      </c>
      <c r="BO16" t="s">
        <v>106</v>
      </c>
    </row>
    <row r="17" spans="1:67" x14ac:dyDescent="0.25">
      <c r="A17" t="s">
        <v>132</v>
      </c>
      <c r="B17">
        <v>1</v>
      </c>
      <c r="C17" t="s">
        <v>309</v>
      </c>
      <c r="D17" t="s">
        <v>310</v>
      </c>
      <c r="E17" t="s">
        <v>311</v>
      </c>
      <c r="F17" t="s">
        <v>191</v>
      </c>
      <c r="G17" t="s">
        <v>191</v>
      </c>
      <c r="H17" t="s">
        <v>191</v>
      </c>
      <c r="I17" t="s">
        <v>191</v>
      </c>
      <c r="J17" t="s">
        <v>289</v>
      </c>
      <c r="K17">
        <v>15</v>
      </c>
      <c r="L17" t="s">
        <v>227</v>
      </c>
      <c r="M17">
        <v>1</v>
      </c>
      <c r="T17">
        <v>0.5</v>
      </c>
      <c r="Z17">
        <v>0</v>
      </c>
      <c r="AA17">
        <v>0</v>
      </c>
      <c r="AB17">
        <v>16436</v>
      </c>
      <c r="AC17">
        <v>15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M17">
        <v>0</v>
      </c>
      <c r="AN17">
        <v>0</v>
      </c>
      <c r="AS17" t="s">
        <v>290</v>
      </c>
      <c r="AY17" t="s">
        <v>291</v>
      </c>
      <c r="BJ17">
        <v>0</v>
      </c>
      <c r="BO17" t="s">
        <v>106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236</v>
      </c>
      <c r="C1" s="1" t="s">
        <v>312</v>
      </c>
      <c r="D1" s="1" t="s">
        <v>313</v>
      </c>
      <c r="E1" s="1" t="s">
        <v>314</v>
      </c>
      <c r="F1" s="1" t="s">
        <v>183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243</v>
      </c>
      <c r="L1" s="1" t="s">
        <v>244</v>
      </c>
      <c r="M1" s="1" t="s">
        <v>319</v>
      </c>
      <c r="N1" s="1" t="s">
        <v>320</v>
      </c>
      <c r="O1" s="1" t="s">
        <v>321</v>
      </c>
      <c r="P1" s="1" t="s">
        <v>280</v>
      </c>
      <c r="Q1" s="1" t="s">
        <v>322</v>
      </c>
      <c r="R1" s="1" t="s">
        <v>224</v>
      </c>
      <c r="S1" s="1" t="s">
        <v>225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236</v>
      </c>
      <c r="C1" s="1" t="s">
        <v>323</v>
      </c>
      <c r="D1" s="1" t="s">
        <v>274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236</v>
      </c>
      <c r="C1" s="1" t="s">
        <v>324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236</v>
      </c>
      <c r="C1" s="1" t="s">
        <v>325</v>
      </c>
      <c r="D1" s="1" t="s">
        <v>239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236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236</v>
      </c>
      <c r="C1" s="1" t="s">
        <v>328</v>
      </c>
      <c r="D1" s="1" t="s">
        <v>329</v>
      </c>
      <c r="E1" s="1" t="s">
        <v>237</v>
      </c>
      <c r="F1" s="1" t="s">
        <v>238</v>
      </c>
      <c r="G1" s="1" t="s">
        <v>239</v>
      </c>
      <c r="H1" s="1" t="s">
        <v>226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224</v>
      </c>
      <c r="O1" s="1" t="s">
        <v>225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330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236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183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243</v>
      </c>
      <c r="N1" s="1" t="s">
        <v>244</v>
      </c>
      <c r="O1" s="1" t="s">
        <v>319</v>
      </c>
      <c r="P1" s="1" t="s">
        <v>320</v>
      </c>
      <c r="Q1" s="1" t="s">
        <v>321</v>
      </c>
      <c r="R1" s="1" t="s">
        <v>280</v>
      </c>
      <c r="S1" s="1" t="s">
        <v>322</v>
      </c>
      <c r="T1" s="1" t="s">
        <v>224</v>
      </c>
      <c r="U1" s="1" t="s">
        <v>321</v>
      </c>
      <c r="V1" s="1" t="s">
        <v>280</v>
      </c>
      <c r="W1" s="1" t="s">
        <v>322</v>
      </c>
      <c r="X1" s="1" t="s">
        <v>224</v>
      </c>
      <c r="Y1" s="1" t="s">
        <v>225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236</v>
      </c>
      <c r="C1" s="1" t="s">
        <v>328</v>
      </c>
      <c r="D1" s="1" t="s">
        <v>331</v>
      </c>
      <c r="E1" s="1" t="s">
        <v>323</v>
      </c>
      <c r="F1" s="1" t="s">
        <v>274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"/>
  <sheetViews>
    <sheetView workbookViewId="0"/>
  </sheetViews>
  <sheetFormatPr defaultRowHeight="15" x14ac:dyDescent="0.25"/>
  <cols>
    <col min="1" max="1" width="27.425781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140</v>
      </c>
      <c r="C1" s="1" t="s">
        <v>325</v>
      </c>
      <c r="D1" s="1" t="s">
        <v>340</v>
      </c>
    </row>
    <row r="2" spans="1:4" x14ac:dyDescent="0.25">
      <c r="A2" t="s">
        <v>102</v>
      </c>
      <c r="B2">
        <v>1</v>
      </c>
      <c r="C2" t="s">
        <v>108</v>
      </c>
      <c r="D2" t="s">
        <v>341</v>
      </c>
    </row>
    <row r="3" spans="1:4" x14ac:dyDescent="0.25">
      <c r="A3" t="s">
        <v>124</v>
      </c>
      <c r="B3">
        <v>1</v>
      </c>
      <c r="C3" t="s">
        <v>108</v>
      </c>
      <c r="D3" t="s">
        <v>341</v>
      </c>
    </row>
    <row r="4" spans="1:4" x14ac:dyDescent="0.25">
      <c r="A4" t="s">
        <v>132</v>
      </c>
      <c r="B4">
        <v>1</v>
      </c>
      <c r="C4" t="s">
        <v>108</v>
      </c>
      <c r="D4" t="s">
        <v>341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342</v>
      </c>
    </row>
    <row r="2" spans="1:1" x14ac:dyDescent="0.25">
      <c r="A2" t="s">
        <v>343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10-09-2025.xlsx</dc:creator>
  <cp:lastModifiedBy>ADMEXIM3</cp:lastModifiedBy>
  <dcterms:created xsi:type="dcterms:W3CDTF">2025-10-01T06:40:10Z</dcterms:created>
  <dcterms:modified xsi:type="dcterms:W3CDTF">2025-10-01T06:52:13Z</dcterms:modified>
</cp:coreProperties>
</file>