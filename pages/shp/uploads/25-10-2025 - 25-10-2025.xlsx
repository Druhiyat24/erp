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14" activeTab="19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44525"/>
</workbook>
</file>

<file path=xl/sharedStrings.xml><?xml version="1.0" encoding="utf-8"?>
<sst xmlns="http://schemas.openxmlformats.org/spreadsheetml/2006/main" count="784" uniqueCount="356">
  <si>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</si>
  <si>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</si>
  <si>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</si>
  <si>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</si>
  <si>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</si>
  <si>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</si>
  <si>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</si>
  <si>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</si>
  <si>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</si>
  <si>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</si>
  <si>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</si>
  <si>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</si>
  <si>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</si>
  <si>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</si>
  <si>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</si>
  <si>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</si>
  <si>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</si>
  <si>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</si>
  <si>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</si>
  <si>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</si>
  <si>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</si>
  <si>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</si>
  <si>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</si>
  <si>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</si>
  <si>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</si>
  <si>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</si>
  <si>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</si>
  <si>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</si>
  <si>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</si>
  <si>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</si>
  <si>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</si>
  <si>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</si>
  <si>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</si>
  <si>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</si>
  <si>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</si>
  <si>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</si>
  <si>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</si>
  <si>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</si>
  <si>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</si>
  <si>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</si>
  <si>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</si>
  <si>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</si>
  <si>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</si>
  <si>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</si>
  <si>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</si>
  <si>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</si>
  <si>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</si>
  <si>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</si>
  <si>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</si>
  <si>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</si>
  <si>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</si>
  <si>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</si>
  <si>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</si>
  <si>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</si>
  <si>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</si>
  <si>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</si>
  <si>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</si>
  <si>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</si>
  <si>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</si>
  <si>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</si>
  <si>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</si>
  <si>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</si>
  <si>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</si>
  <si>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</si>
  <si>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</si>
  <si>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</si>
  <si>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</si>
  <si>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</si>
  <si>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</si>
  <si>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</si>
  <si>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</si>
  <si>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</si>
  <si>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</si>
  <si>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</si>
  <si>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</si>
  <si>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</si>
  <si>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</si>
  <si>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</si>
  <si>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</si>
  <si>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</si>
  <si>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</si>
  <si>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</si>
  <si>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</si>
  <si>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</si>
  <si>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</si>
  <si>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</si>
  <si>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</si>
  <si>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</si>
  <si>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</si>
  <si>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</si>
  <si>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</si>
  <si>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</si>
  <si>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</si>
  <si>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</si>
  <si>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</si>
  <si>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</si>
  <si>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</si>
  <si>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</si>
  <si>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</si>
  <si>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</si>
  <si>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</si>
  <si>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</si>
  <si>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</si>
  <si>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</si>
  <si>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00026174540620251025000465</t>
  </si>
  <si>
    <t>261</t>
  </si>
  <si>
    <t>050500</t>
  </si>
  <si>
    <t>2</t>
  </si>
  <si>
    <t>BANDUNG</t>
  </si>
  <si>
    <t>2025-10-25</t>
  </si>
  <si>
    <t>YUS YULIUS</t>
  </si>
  <si>
    <t>EXIM MANAGER</t>
  </si>
  <si>
    <t>IDR</t>
  </si>
  <si>
    <t>024257</t>
  </si>
  <si>
    <t>00026174540620251025000463</t>
  </si>
  <si>
    <t>024251</t>
  </si>
  <si>
    <t>00026174540620251025000464</t>
  </si>
  <si>
    <t>024254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</si>
  <si>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</si>
  <si>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</si>
  <si>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</si>
  <si>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</si>
  <si>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</si>
  <si>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</si>
  <si>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</si>
  <si>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</si>
  <si>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</si>
  <si>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</si>
  <si>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</si>
  <si>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</si>
  <si>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</si>
  <si>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</si>
  <si>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</si>
  <si>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</si>
  <si>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</si>
  <si>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</si>
  <si>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</si>
  <si>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</si>
  <si>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</si>
  <si>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02</t>
  </si>
  <si>
    <t>LAINNYA</t>
  </si>
  <si>
    <t>258/KM.4/WBC.09/2024</t>
  </si>
  <si>
    <t>12-11-2024 00:00:00</t>
  </si>
  <si>
    <t>7</t>
  </si>
  <si>
    <t>JL RAYA RANCAEKEK MAJALAYA NO.289  SOLOKANJERUK SOLOKANJERUK KAB. BANDUNG JAWA BARAT</t>
  </si>
  <si>
    <t>8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</si>
  <si>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</si>
  <si>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</si>
  <si>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</si>
  <si>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SOLOKANJERUK SOLOKANJERUK KAB. BANDUNG JAWA BARAT</t>
  </si>
  <si>
    <t>0317950343528000000000</t>
  </si>
  <si>
    <t>ECO LAUNDRY HIJAU INDONESIA</t>
  </si>
  <si>
    <t>KARANGWARU,DESA/KELURAHAN KRIKILAN KEC.MASARAN KAB.SRAGEN,PROVINSI JAWA TENGAH</t>
  </si>
  <si>
    <t>0016656183422000000000</t>
  </si>
  <si>
    <t>PERINTIS PUTRA BANGSA</t>
  </si>
  <si>
    <t>JL. KOLONEL AHMAD SYAM  212 001 002 SAYANG JATINANGOR KAB. SUMEDANG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</si>
  <si>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</si>
  <si>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</si>
  <si>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</si>
  <si>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</si>
  <si>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</si>
  <si>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</si>
  <si>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</si>
  <si>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</si>
  <si>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</si>
  <si>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</si>
  <si>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</si>
  <si>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</si>
  <si>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</si>
  <si>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</si>
  <si>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</si>
  <si>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217</t>
  </si>
  <si>
    <t>-</t>
  </si>
  <si>
    <t>380</t>
  </si>
  <si>
    <t>14/NAG/X/2025</t>
  </si>
  <si>
    <t>23</t>
  </si>
  <si>
    <t>037231</t>
  </si>
  <si>
    <t>2025-09-18</t>
  </si>
  <si>
    <t>717/TPB-SK.01/KBC.0903/2025</t>
  </si>
  <si>
    <t>2025-08-20</t>
  </si>
  <si>
    <t>142/NAG-ELH/KK/VIII/2025/002-1</t>
  </si>
  <si>
    <t>2025-08-12</t>
  </si>
  <si>
    <t>13/NAG/X/2025</t>
  </si>
  <si>
    <t>40</t>
  </si>
  <si>
    <t>088904</t>
  </si>
  <si>
    <t>2025-08-15</t>
  </si>
  <si>
    <t>140/NAG/KK/VIII/2025</t>
  </si>
  <si>
    <t>2025-08-13</t>
  </si>
  <si>
    <t>722/TPB-SK.01/KBC.0903/2025</t>
  </si>
  <si>
    <t>087965</t>
  </si>
  <si>
    <t>09/NAG/X/2025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</si>
  <si>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</si>
  <si>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</si>
  <si>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</si>
  <si>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</si>
  <si>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</si>
  <si>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</si>
  <si>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</si>
  <si>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</si>
  <si>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</si>
  <si>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</si>
  <si>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</si>
  <si>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</si>
  <si>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</si>
  <si>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</si>
  <si>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</si>
  <si>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JENIS NILAI</t>
  </si>
  <si>
    <t>HARGA INVOICE</t>
  </si>
  <si>
    <t>PEMBAYARAN TIDAK LANGSUNG</t>
  </si>
  <si>
    <t>DISKON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</si>
  <si>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</si>
  <si>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</si>
  <si>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</si>
  <si>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</si>
  <si>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</si>
  <si>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</si>
  <si>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</si>
  <si>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</si>
  <si>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</si>
  <si>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</si>
  <si>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</si>
  <si>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</si>
  <si>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</si>
  <si>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</si>
  <si>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</si>
  <si>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</si>
  <si>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</si>
  <si>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</si>
  <si>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</si>
  <si>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</si>
  <si>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</si>
  <si>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</si>
  <si>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</si>
  <si>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</si>
  <si>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</si>
  <si>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</si>
  <si>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</si>
  <si>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</si>
  <si>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</si>
  <si>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</si>
  <si>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</si>
  <si>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</si>
  <si>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</si>
  <si>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</si>
  <si>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</si>
  <si>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</si>
  <si>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</si>
  <si>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</si>
  <si>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</si>
  <si>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</si>
  <si>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</si>
  <si>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</si>
  <si>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</si>
  <si>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</si>
  <si>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</si>
  <si>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</si>
  <si>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</si>
  <si>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</si>
  <si>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</si>
  <si>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</si>
  <si>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</si>
  <si>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</si>
  <si>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</si>
  <si>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</si>
  <si>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</si>
  <si>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</si>
  <si>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</si>
  <si>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</si>
  <si>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</si>
  <si>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</si>
  <si>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</si>
  <si>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</si>
  <si>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</si>
  <si>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</si>
  <si>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</si>
  <si>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</si>
  <si>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</si>
  <si>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</si>
  <si>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</si>
  <si>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UNTUK DI PRINTING ( COTTON DYED FABRIC 91% COTTON,9% LYCRA )</t>
  </si>
  <si>
    <t>PCE</t>
  </si>
  <si>
    <t>CN</t>
  </si>
  <si>
    <t>T</t>
  </si>
  <si>
    <t>61091010</t>
  </si>
  <si>
    <t>HLT/0725/015</t>
  </si>
  <si>
    <t>GARMENT/T-SHIRT UNTUK DI WASHING</t>
  </si>
  <si>
    <t>ID</t>
  </si>
  <si>
    <t>HLT/0725/016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</si>
  <si>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</si>
  <si>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</si>
  <si>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</si>
  <si>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</si>
  <si>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</si>
  <si>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</si>
  <si>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</si>
  <si>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</si>
  <si>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</si>
  <si>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</si>
  <si>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</si>
  <si>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</si>
  <si>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</si>
  <si>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</si>
  <si>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</si>
  <si>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</si>
  <si>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</si>
  <si>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</si>
  <si>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</si>
  <si>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</si>
  <si>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</si>
  <si>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2896</t>
  </si>
  <si>
    <t>COTTON DYED FABRICS 91% COTTON, 9% LYCRA</t>
  </si>
  <si>
    <t>KGM</t>
  </si>
  <si>
    <t>09-18-2025 00:00:00</t>
  </si>
  <si>
    <t>00002374540620250918000231</t>
  </si>
  <si>
    <t>52083900</t>
  </si>
  <si>
    <t>2082</t>
  </si>
  <si>
    <t>FABRIC KNIT 100% COTTON JERSEY PFD REVERSE SIDE</t>
  </si>
  <si>
    <t>08-15-2025 00:00:00</t>
  </si>
  <si>
    <t>00004074540620250815003894</t>
  </si>
  <si>
    <t>2754</t>
  </si>
  <si>
    <t>FABRIC KNIT 100% COTTON JERSEY 16S, ENZYME, COMPACT PFD</t>
  </si>
  <si>
    <t>08-13-2025 00:00:00</t>
  </si>
  <si>
    <t>00004074540620250813003831</t>
  </si>
  <si>
    <t>PPH</t>
  </si>
  <si>
    <t>BM</t>
  </si>
  <si>
    <t>BMTP</t>
  </si>
  <si>
    <t>PPN</t>
  </si>
  <si>
    <t>PPNLOKAL</t>
  </si>
  <si>
    <t>5</t>
  </si>
  <si>
    <t>KODE_ASAL_BAHAN_BAKU</t>
  </si>
  <si>
    <t>KODE FASILITAS TARIF</t>
  </si>
  <si>
    <t>KODE JENIS PUNGUTAN</t>
  </si>
  <si>
    <t>NILAI PUNGUTAN</t>
  </si>
  <si>
    <t>NPWP BILLING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</si>
  <si>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</si>
  <si>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</si>
  <si>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</si>
  <si>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</si>
  <si>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</si>
  <si>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</si>
  <si>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</si>
  <si>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</si>
  <si>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</si>
  <si>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</si>
  <si>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</si>
  <si>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NAMA</t>
  </si>
  <si>
    <t>VERSI</t>
  </si>
  <si>
    <t>1.3</t>
  </si>
  <si>
    <t>KODE RESPON</t>
  </si>
  <si>
    <t>NOMOR RESPON</t>
  </si>
  <si>
    <t>TANGGAL RESPON</t>
  </si>
  <si>
    <t>26108</t>
  </si>
  <si>
    <t>024532/KBC.0903/2025</t>
  </si>
  <si>
    <t>024529/KBC.0903/2025</t>
  </si>
  <si>
    <t>26106</t>
  </si>
  <si>
    <t>024537/KBC.0903/2025</t>
  </si>
</sst>
</file>

<file path=xl/styles.xml><?xml version="1.0" encoding="utf-8"?>
<styleSheet xmlns="http://schemas.openxmlformats.org/spreadsheetml/2006/main">
  <numFmts count="5">
    <numFmt numFmtId="176" formatCode="dd\-mm\-yyyy\ hh:mm:ss"/>
    <numFmt numFmtId="177" formatCode="_(* #,###.##000_);_(* \(#,###.##000\);_(* &quot;-&quot;??_);_(@_)"/>
    <numFmt numFmtId="178" formatCode="_-&quot;Rp&quot;* #,##0_-;\-&quot;Rp&quot;* #,##0_-;_-&quot;Rp&quot;* &quot;-&quot;??_-;_-@_-"/>
    <numFmt numFmtId="179" formatCode="_-&quot;Rp&quot;* #,##0.00_-;\-&quot;Rp&quot;* #,##0.00_-;_-&quot;Rp&quot;* &quot;-&quot;??_-;_-@_-"/>
    <numFmt numFmtId="180" formatCode="_(* #.##0_);_(* \(#.##0\);_(* &quot;-&quot;_);_(@_)"/>
  </numFmts>
  <fonts count="22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2" fillId="0" borderId="0">
      <alignment vertical="center"/>
    </xf>
    <xf numFmtId="0" fontId="3" fillId="1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2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176" fontId="1" fillId="0" borderId="0" xfId="0" applyNumberFormat="1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4"/>
  <sheetViews>
    <sheetView workbookViewId="0">
      <selection activeCell="A11" sqref="A11"/>
    </sheetView>
  </sheetViews>
  <sheetFormatPr defaultColWidth="9" defaultRowHeight="15" outlineLevelRow="3"/>
  <cols>
    <col min="1" max="1" width="27.4285714285714" customWidth="1"/>
    <col min="2" max="2" width="13.4285714285714" customWidth="1"/>
    <col min="3" max="3" width="12.4285714285714" customWidth="1"/>
    <col min="4" max="5" width="20.4285714285714" customWidth="1"/>
    <col min="6" max="7" width="19.4285714285714" customWidth="1"/>
    <col min="8" max="8" width="17.4285714285714" customWidth="1"/>
    <col min="9" max="9" width="18.4285714285714" customWidth="1"/>
    <col min="10" max="11" width="15.4285714285714" customWidth="1"/>
    <col min="12" max="12" width="20.4285714285714" customWidth="1"/>
    <col min="13" max="13" width="22.4285714285714" customWidth="1"/>
    <col min="14" max="14" width="23.4285714285714" customWidth="1"/>
    <col min="15" max="15" width="16.4285714285714" customWidth="1"/>
    <col min="16" max="16" width="17.4285714285714" customWidth="1"/>
    <col min="17" max="17" width="16.4285714285714" customWidth="1"/>
    <col min="18" max="18" width="24.4285714285714" customWidth="1"/>
    <col min="19" max="19" width="17.4285714285714" customWidth="1"/>
    <col min="20" max="20" width="19.4285714285714" customWidth="1"/>
    <col min="21" max="21" width="17.4285714285714" customWidth="1"/>
    <col min="22" max="22" width="22.4285714285714" customWidth="1"/>
    <col min="23" max="23" width="21.4285714285714" customWidth="1"/>
    <col min="24" max="24" width="24.4285714285714" customWidth="1"/>
    <col min="25" max="26" width="25.4285714285714" customWidth="1"/>
    <col min="27" max="27" width="12.4285714285714" customWidth="1"/>
    <col min="28" max="28" width="18.4285714285714" customWidth="1"/>
    <col min="29" max="29" width="12.4285714285714" customWidth="1"/>
    <col min="30" max="30" width="14.4285714285714" customWidth="1"/>
    <col min="31" max="32" width="17.4285714285714" customWidth="1"/>
    <col min="33" max="34" width="19.4285714285714" customWidth="1"/>
    <col min="35" max="35" width="14.4285714285714" customWidth="1"/>
    <col min="36" max="36" width="11.4285714285714" customWidth="1"/>
    <col min="37" max="37" width="13.4285714285714" customWidth="1"/>
    <col min="38" max="38" width="10.4285714285714" customWidth="1"/>
    <col min="39" max="39" width="14.4285714285714" customWidth="1"/>
    <col min="40" max="40" width="23.4285714285714" customWidth="1"/>
    <col min="41" max="41" width="20.4285714285714" customWidth="1"/>
    <col min="42" max="42" width="26.4285714285714" customWidth="1"/>
    <col min="43" max="43" width="23.4285714285714" customWidth="1"/>
    <col min="44" max="45" width="22.4285714285714" customWidth="1"/>
    <col min="46" max="46" width="9.42857142857143" customWidth="1"/>
    <col min="47" max="47" width="18.4285714285714" customWidth="1"/>
    <col min="48" max="48" width="15.4285714285714" customWidth="1"/>
    <col min="49" max="49" width="14.4285714285714" customWidth="1"/>
    <col min="50" max="51" width="13.4285714285714" customWidth="1"/>
    <col min="52" max="53" width="16.4285714285714" customWidth="1"/>
    <col min="54" max="54" width="17.4285714285714" customWidth="1"/>
    <col min="55" max="55" width="20.4285714285714" customWidth="1"/>
    <col min="56" max="56" width="22.4285714285714" customWidth="1"/>
    <col min="57" max="57" width="11.4285714285714" customWidth="1"/>
    <col min="58" max="58" width="9.42857142857143" customWidth="1"/>
    <col min="60" max="61" width="11.4285714285714" customWidth="1"/>
    <col min="62" max="62" width="14.4285714285714" customWidth="1"/>
    <col min="63" max="63" width="9.42857142857143" customWidth="1"/>
    <col min="64" max="64" width="13.4285714285714" customWidth="1"/>
    <col min="65" max="65" width="15.4285714285714" customWidth="1"/>
    <col min="66" max="66" width="13.4285714285714" customWidth="1"/>
    <col min="67" max="67" width="9.42857142857143" customWidth="1"/>
    <col min="70" max="70" width="15.4285714285714" customWidth="1"/>
    <col min="71" max="71" width="16.4285714285714" customWidth="1"/>
    <col min="73" max="73" width="14.4285714285714" customWidth="1"/>
    <col min="74" max="74" width="17.4285714285714" customWidth="1"/>
    <col min="76" max="76" width="17.4285714285714" customWidth="1"/>
    <col min="77" max="77" width="22.4285714285714" customWidth="1"/>
    <col min="78" max="78" width="11.4285714285714" customWidth="1"/>
    <col min="79" max="79" width="10.4285714285714" customWidth="1"/>
    <col min="83" max="83" width="16.4285714285714" customWidth="1"/>
    <col min="84" max="84" width="19.4285714285714" customWidth="1"/>
    <col min="85" max="85" width="16.4285714285714" customWidth="1"/>
    <col min="86" max="86" width="19.4285714285714" customWidth="1"/>
    <col min="87" max="87" width="12.4285714285714" customWidth="1"/>
    <col min="88" max="88" width="14.4285714285714" customWidth="1"/>
    <col min="89" max="89" width="21.4285714285714" customWidth="1"/>
    <col min="90" max="90" width="18.4285714285714" customWidth="1"/>
    <col min="91" max="91" width="20.4285714285714" customWidth="1"/>
    <col min="92" max="93" width="17.4285714285714" customWidth="1"/>
    <col min="94" max="94" width="13.4285714285714" customWidth="1"/>
    <col min="95" max="95" width="15.4285714285714" customWidth="1"/>
    <col min="96" max="96" width="21.4285714285714" customWidth="1"/>
    <col min="97" max="97" width="24.4285714285714" customWidth="1"/>
    <col min="98" max="98" width="10.4285714285714" customWidth="1"/>
    <col min="99" max="99" width="12.4285714285714" customWidth="1"/>
    <col min="100" max="100" width="16.4285714285714" customWidth="1"/>
    <col min="101" max="101" width="18.4285714285714" customWidth="1"/>
    <col min="102" max="102" width="22.4285714285714" customWidth="1"/>
    <col min="103" max="103" width="23.4285714285714" customWidth="1"/>
    <col min="104" max="104" width="15.4285714285714" customWidth="1"/>
    <col min="105" max="105" width="12.4285714285714" customWidth="1"/>
    <col min="106" max="107" width="24.4285714285714" customWidth="1"/>
  </cols>
  <sheetData>
    <row r="1" ht="15.75" spans="1:10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18</v>
      </c>
      <c r="AG1" s="2" t="s">
        <v>19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60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</row>
    <row r="2" spans="1:98">
      <c r="A2" t="s">
        <v>104</v>
      </c>
      <c r="B2" t="s">
        <v>105</v>
      </c>
      <c r="C2" t="s">
        <v>106</v>
      </c>
      <c r="N2" t="s">
        <v>107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90988155.58</v>
      </c>
      <c r="BV2">
        <v>0</v>
      </c>
      <c r="BW2">
        <v>1</v>
      </c>
      <c r="BY2">
        <v>0</v>
      </c>
      <c r="CA2">
        <v>0</v>
      </c>
      <c r="CB2">
        <v>126.18</v>
      </c>
      <c r="CC2">
        <v>124.7</v>
      </c>
      <c r="CD2">
        <v>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>
        <v>0</v>
      </c>
    </row>
    <row r="3" spans="1:98">
      <c r="A3" t="s">
        <v>114</v>
      </c>
      <c r="B3" t="s">
        <v>105</v>
      </c>
      <c r="C3" t="s">
        <v>106</v>
      </c>
      <c r="N3" t="s">
        <v>107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1100685.69</v>
      </c>
      <c r="BV3">
        <v>0</v>
      </c>
      <c r="BW3">
        <v>1</v>
      </c>
      <c r="BY3">
        <v>0</v>
      </c>
      <c r="CA3">
        <v>0</v>
      </c>
      <c r="CB3">
        <v>38.13</v>
      </c>
      <c r="CC3">
        <v>37.5</v>
      </c>
      <c r="CD3">
        <v>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>
        <v>0</v>
      </c>
    </row>
    <row r="4" spans="1:98">
      <c r="A4" t="s">
        <v>116</v>
      </c>
      <c r="B4" t="s">
        <v>105</v>
      </c>
      <c r="C4" t="s">
        <v>106</v>
      </c>
      <c r="N4" t="s">
        <v>107</v>
      </c>
      <c r="BK4">
        <v>0</v>
      </c>
      <c r="BL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5800759.47</v>
      </c>
      <c r="BV4">
        <v>0</v>
      </c>
      <c r="BW4">
        <v>1</v>
      </c>
      <c r="BY4">
        <v>0</v>
      </c>
      <c r="CA4">
        <v>0</v>
      </c>
      <c r="CB4">
        <v>204.59</v>
      </c>
      <c r="CC4">
        <v>203.35</v>
      </c>
      <c r="CD4">
        <v>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>
        <v>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A9" sqref="A9"/>
    </sheetView>
  </sheetViews>
  <sheetFormatPr defaultColWidth="9" defaultRowHeight="15"/>
  <cols>
    <col min="1" max="1" width="27.4285714285714" customWidth="1"/>
    <col min="3" max="3" width="13.4285714285714" customWidth="1"/>
    <col min="4" max="4" width="21.4285714285714" customWidth="1"/>
    <col min="5" max="5" width="23.4285714285714" customWidth="1"/>
    <col min="6" max="6" width="28.4285714285714" customWidth="1"/>
    <col min="7" max="7" width="103.428571428571" customWidth="1"/>
    <col min="8" max="8" width="14.4285714285714" customWidth="1"/>
    <col min="9" max="9" width="15.4285714285714" customWidth="1"/>
    <col min="10" max="10" width="12.4285714285714" customWidth="1"/>
    <col min="11" max="12" width="21.4285714285714" customWidth="1"/>
    <col min="13" max="13" width="12.4285714285714" customWidth="1"/>
    <col min="14" max="14" width="14.4285714285714" customWidth="1"/>
    <col min="15" max="15" width="27.4285714285714" customWidth="1"/>
    <col min="16" max="16" width="14.4285714285714" customWidth="1"/>
  </cols>
  <sheetData>
    <row r="1" ht="15.75" spans="1:16">
      <c r="A1" s="2" t="s">
        <v>0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  <c r="I1" s="2" t="s">
        <v>125</v>
      </c>
      <c r="J1" s="2" t="s">
        <v>126</v>
      </c>
      <c r="K1" s="2" t="s">
        <v>127</v>
      </c>
      <c r="L1" s="2" t="s">
        <v>128</v>
      </c>
      <c r="M1" s="2" t="s">
        <v>129</v>
      </c>
      <c r="N1" s="2" t="s">
        <v>130</v>
      </c>
      <c r="O1" s="2" t="s">
        <v>131</v>
      </c>
      <c r="P1" s="2" t="s">
        <v>132</v>
      </c>
    </row>
    <row r="2" spans="1:12">
      <c r="A2" t="s">
        <v>104</v>
      </c>
      <c r="B2" t="s">
        <v>133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</row>
    <row r="3" spans="1:10">
      <c r="A3" t="s">
        <v>104</v>
      </c>
      <c r="B3" t="s">
        <v>143</v>
      </c>
      <c r="C3" t="s">
        <v>143</v>
      </c>
      <c r="D3" t="s">
        <v>134</v>
      </c>
      <c r="E3" t="s">
        <v>135</v>
      </c>
      <c r="F3" t="s">
        <v>136</v>
      </c>
      <c r="G3" t="s">
        <v>144</v>
      </c>
      <c r="I3" t="s">
        <v>139</v>
      </c>
      <c r="J3" t="s">
        <v>140</v>
      </c>
    </row>
    <row r="4" spans="1:10">
      <c r="A4" t="s">
        <v>104</v>
      </c>
      <c r="B4" t="s">
        <v>145</v>
      </c>
      <c r="C4" t="s">
        <v>145</v>
      </c>
      <c r="D4" t="s">
        <v>134</v>
      </c>
      <c r="E4" t="s">
        <v>146</v>
      </c>
      <c r="F4" t="s">
        <v>147</v>
      </c>
      <c r="G4" t="s">
        <v>148</v>
      </c>
      <c r="I4" t="s">
        <v>139</v>
      </c>
      <c r="J4" t="s">
        <v>140</v>
      </c>
    </row>
    <row r="5" spans="1:10">
      <c r="A5" t="s">
        <v>114</v>
      </c>
      <c r="B5" t="s">
        <v>143</v>
      </c>
      <c r="C5" t="s">
        <v>143</v>
      </c>
      <c r="D5" t="s">
        <v>134</v>
      </c>
      <c r="E5" t="s">
        <v>135</v>
      </c>
      <c r="F5" t="s">
        <v>136</v>
      </c>
      <c r="G5" t="s">
        <v>149</v>
      </c>
      <c r="I5" t="s">
        <v>139</v>
      </c>
      <c r="J5" t="s">
        <v>140</v>
      </c>
    </row>
    <row r="6" spans="1:10">
      <c r="A6" t="s">
        <v>114</v>
      </c>
      <c r="B6" t="s">
        <v>145</v>
      </c>
      <c r="C6" t="s">
        <v>145</v>
      </c>
      <c r="D6" t="s">
        <v>134</v>
      </c>
      <c r="E6" t="s">
        <v>150</v>
      </c>
      <c r="F6" t="s">
        <v>151</v>
      </c>
      <c r="G6" t="s">
        <v>152</v>
      </c>
      <c r="I6" t="s">
        <v>139</v>
      </c>
      <c r="J6" t="s">
        <v>140</v>
      </c>
    </row>
    <row r="7" spans="1:12">
      <c r="A7" t="s">
        <v>114</v>
      </c>
      <c r="B7" t="s">
        <v>133</v>
      </c>
      <c r="C7" t="s">
        <v>133</v>
      </c>
      <c r="D7" t="s">
        <v>134</v>
      </c>
      <c r="E7" t="s">
        <v>135</v>
      </c>
      <c r="F7" t="s">
        <v>136</v>
      </c>
      <c r="G7" t="s">
        <v>149</v>
      </c>
      <c r="H7" t="s">
        <v>138</v>
      </c>
      <c r="I7" t="s">
        <v>139</v>
      </c>
      <c r="J7" t="s">
        <v>140</v>
      </c>
      <c r="K7" t="s">
        <v>141</v>
      </c>
      <c r="L7" t="s">
        <v>142</v>
      </c>
    </row>
    <row r="8" spans="1:12">
      <c r="A8" t="s">
        <v>116</v>
      </c>
      <c r="B8" t="s">
        <v>133</v>
      </c>
      <c r="C8" t="s">
        <v>133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  <c r="I8" t="s">
        <v>139</v>
      </c>
      <c r="J8" t="s">
        <v>140</v>
      </c>
      <c r="K8" t="s">
        <v>141</v>
      </c>
      <c r="L8" t="s">
        <v>142</v>
      </c>
    </row>
    <row r="9" spans="1:10">
      <c r="A9" t="s">
        <v>116</v>
      </c>
      <c r="B9" t="s">
        <v>145</v>
      </c>
      <c r="C9" t="s">
        <v>145</v>
      </c>
      <c r="D9" t="s">
        <v>134</v>
      </c>
      <c r="E9" t="s">
        <v>153</v>
      </c>
      <c r="F9" t="s">
        <v>154</v>
      </c>
      <c r="G9" t="s">
        <v>155</v>
      </c>
      <c r="I9" t="s">
        <v>139</v>
      </c>
      <c r="J9" t="s">
        <v>140</v>
      </c>
    </row>
    <row r="10" spans="1:10">
      <c r="A10" t="s">
        <v>116</v>
      </c>
      <c r="B10" t="s">
        <v>143</v>
      </c>
      <c r="C10" t="s">
        <v>143</v>
      </c>
      <c r="D10" t="s">
        <v>134</v>
      </c>
      <c r="E10" t="s">
        <v>135</v>
      </c>
      <c r="F10" t="s">
        <v>136</v>
      </c>
      <c r="G10" t="s">
        <v>137</v>
      </c>
      <c r="I10" t="s">
        <v>139</v>
      </c>
      <c r="J10" t="s">
        <v>140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D15" sqref="D15"/>
    </sheetView>
  </sheetViews>
  <sheetFormatPr defaultColWidth="9" defaultRowHeight="15" outlineLevelCol="6"/>
  <cols>
    <col min="1" max="1" width="27.4285714285714" customWidth="1"/>
    <col min="3" max="3" width="13.4285714285714" customWidth="1"/>
    <col min="4" max="4" width="31.4285714285714" customWidth="1"/>
    <col min="5" max="5" width="16.4285714285714" customWidth="1"/>
    <col min="6" max="6" width="15.4285714285714" customWidth="1"/>
    <col min="7" max="7" width="10.4285714285714" customWidth="1"/>
  </cols>
  <sheetData>
    <row r="1" ht="15.75" spans="1:7">
      <c r="A1" s="2" t="s">
        <v>0</v>
      </c>
      <c r="B1" s="2" t="s">
        <v>118</v>
      </c>
      <c r="C1" s="2" t="s">
        <v>1</v>
      </c>
      <c r="D1" s="2" t="s">
        <v>156</v>
      </c>
      <c r="E1" s="2" t="s">
        <v>157</v>
      </c>
      <c r="F1" s="2" t="s">
        <v>158</v>
      </c>
      <c r="G1" s="2" t="s">
        <v>159</v>
      </c>
    </row>
    <row r="2" spans="1:5">
      <c r="A2" t="s">
        <v>104</v>
      </c>
      <c r="B2">
        <v>1</v>
      </c>
      <c r="C2" t="s">
        <v>160</v>
      </c>
      <c r="D2" t="s">
        <v>161</v>
      </c>
      <c r="E2" t="s">
        <v>162</v>
      </c>
    </row>
    <row r="3" spans="1:5">
      <c r="A3" t="s">
        <v>104</v>
      </c>
      <c r="B3">
        <v>2</v>
      </c>
      <c r="C3" t="s">
        <v>163</v>
      </c>
      <c r="D3" t="s">
        <v>164</v>
      </c>
      <c r="E3" t="s">
        <v>165</v>
      </c>
    </row>
    <row r="4" spans="1:5">
      <c r="A4" t="s">
        <v>104</v>
      </c>
      <c r="B4">
        <v>3</v>
      </c>
      <c r="C4" t="s">
        <v>166</v>
      </c>
      <c r="D4" t="s">
        <v>167</v>
      </c>
      <c r="E4" t="s">
        <v>168</v>
      </c>
    </row>
    <row r="5" spans="1:5">
      <c r="A5" t="s">
        <v>104</v>
      </c>
      <c r="B5">
        <v>4</v>
      </c>
      <c r="C5" t="s">
        <v>169</v>
      </c>
      <c r="D5" t="s">
        <v>170</v>
      </c>
      <c r="E5" t="s">
        <v>168</v>
      </c>
    </row>
    <row r="6" spans="1:5">
      <c r="A6" t="s">
        <v>104</v>
      </c>
      <c r="B6">
        <v>5</v>
      </c>
      <c r="C6" t="s">
        <v>171</v>
      </c>
      <c r="D6" t="s">
        <v>172</v>
      </c>
      <c r="E6" t="s">
        <v>109</v>
      </c>
    </row>
    <row r="7" spans="1:5">
      <c r="A7" t="s">
        <v>104</v>
      </c>
      <c r="B7">
        <v>6</v>
      </c>
      <c r="C7" t="s">
        <v>173</v>
      </c>
      <c r="D7" t="s">
        <v>174</v>
      </c>
      <c r="E7" t="s">
        <v>109</v>
      </c>
    </row>
    <row r="8" spans="1:5">
      <c r="A8" t="s">
        <v>104</v>
      </c>
      <c r="B8">
        <v>7</v>
      </c>
      <c r="C8" t="s">
        <v>175</v>
      </c>
      <c r="D8" t="s">
        <v>176</v>
      </c>
      <c r="E8" t="s">
        <v>177</v>
      </c>
    </row>
    <row r="9" spans="1:5">
      <c r="A9" t="s">
        <v>114</v>
      </c>
      <c r="B9">
        <v>1</v>
      </c>
      <c r="C9" t="s">
        <v>160</v>
      </c>
      <c r="D9" t="s">
        <v>178</v>
      </c>
      <c r="E9" t="s">
        <v>179</v>
      </c>
    </row>
    <row r="10" spans="1:5">
      <c r="A10" t="s">
        <v>114</v>
      </c>
      <c r="B10">
        <v>2</v>
      </c>
      <c r="C10" t="s">
        <v>163</v>
      </c>
      <c r="D10" t="s">
        <v>180</v>
      </c>
      <c r="E10" t="s">
        <v>181</v>
      </c>
    </row>
    <row r="11" spans="1:5">
      <c r="A11" t="s">
        <v>114</v>
      </c>
      <c r="B11">
        <v>3</v>
      </c>
      <c r="C11" t="s">
        <v>171</v>
      </c>
      <c r="D11" t="s">
        <v>172</v>
      </c>
      <c r="E11" t="s">
        <v>109</v>
      </c>
    </row>
    <row r="12" spans="1:5">
      <c r="A12" t="s">
        <v>114</v>
      </c>
      <c r="B12">
        <v>4</v>
      </c>
      <c r="C12" t="s">
        <v>173</v>
      </c>
      <c r="D12" t="s">
        <v>182</v>
      </c>
      <c r="E12" t="s">
        <v>109</v>
      </c>
    </row>
    <row r="13" spans="1:5">
      <c r="A13" t="s">
        <v>114</v>
      </c>
      <c r="B13">
        <v>5</v>
      </c>
      <c r="C13" t="s">
        <v>183</v>
      </c>
      <c r="D13" t="s">
        <v>184</v>
      </c>
      <c r="E13" t="s">
        <v>185</v>
      </c>
    </row>
    <row r="14" spans="1:5">
      <c r="A14" t="s">
        <v>116</v>
      </c>
      <c r="B14">
        <v>1</v>
      </c>
      <c r="C14" t="s">
        <v>171</v>
      </c>
      <c r="D14" t="s">
        <v>172</v>
      </c>
      <c r="E14" t="s">
        <v>109</v>
      </c>
    </row>
    <row r="15" spans="1:5">
      <c r="A15" t="s">
        <v>116</v>
      </c>
      <c r="B15">
        <v>2</v>
      </c>
      <c r="C15" t="s">
        <v>163</v>
      </c>
      <c r="D15" t="s">
        <v>186</v>
      </c>
      <c r="E15" t="s">
        <v>187</v>
      </c>
    </row>
    <row r="16" spans="1:5">
      <c r="A16" t="s">
        <v>116</v>
      </c>
      <c r="B16">
        <v>3</v>
      </c>
      <c r="C16" t="s">
        <v>160</v>
      </c>
      <c r="D16" t="s">
        <v>188</v>
      </c>
      <c r="E16" t="s">
        <v>179</v>
      </c>
    </row>
    <row r="17" spans="1:5">
      <c r="A17" t="s">
        <v>116</v>
      </c>
      <c r="B17">
        <v>4</v>
      </c>
      <c r="C17" t="s">
        <v>183</v>
      </c>
      <c r="D17" t="s">
        <v>189</v>
      </c>
      <c r="E17" t="s">
        <v>187</v>
      </c>
    </row>
    <row r="18" spans="1:5">
      <c r="A18" t="s">
        <v>116</v>
      </c>
      <c r="B18">
        <v>5</v>
      </c>
      <c r="C18" t="s">
        <v>173</v>
      </c>
      <c r="D18" t="s">
        <v>190</v>
      </c>
      <c r="E18" t="s">
        <v>109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cols>
    <col min="1" max="1" width="27.4285714285714" customWidth="1"/>
    <col min="3" max="3" width="17.4285714285714" customWidth="1"/>
    <col min="4" max="4" width="16.4285714285714" customWidth="1"/>
    <col min="5" max="5" width="17.4285714285714" customWidth="1"/>
    <col min="6" max="6" width="13.4285714285714" customWidth="1"/>
    <col min="7" max="7" width="10.4285714285714" customWidth="1"/>
    <col min="8" max="8" width="16.4285714285714" customWidth="1"/>
    <col min="9" max="9" width="26.4285714285714" customWidth="1"/>
  </cols>
  <sheetData>
    <row r="1" ht="15.75" spans="1:9">
      <c r="A1" s="2" t="s">
        <v>0</v>
      </c>
      <c r="B1" s="2" t="s">
        <v>118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</row>
    <row r="2" spans="1:3">
      <c r="A2" t="s">
        <v>104</v>
      </c>
      <c r="B2">
        <v>1</v>
      </c>
      <c r="C2" t="s">
        <v>133</v>
      </c>
    </row>
    <row r="3" spans="1:3">
      <c r="A3" t="s">
        <v>114</v>
      </c>
      <c r="B3">
        <v>1</v>
      </c>
      <c r="C3" t="s">
        <v>133</v>
      </c>
    </row>
    <row r="4" spans="1:3">
      <c r="A4" t="s">
        <v>116</v>
      </c>
      <c r="B4">
        <v>1</v>
      </c>
      <c r="C4" t="s">
        <v>133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G18" sqref="G18"/>
    </sheetView>
  </sheetViews>
  <sheetFormatPr defaultColWidth="9" defaultRowHeight="15" outlineLevelRow="3" outlineLevelCol="4"/>
  <cols>
    <col min="1" max="1" width="27.4285714285714" customWidth="1"/>
    <col min="3" max="3" width="13.4285714285714" customWidth="1"/>
    <col min="4" max="4" width="15.4285714285714" customWidth="1"/>
  </cols>
  <sheetData>
    <row r="1" ht="15.75" spans="1:5">
      <c r="A1" s="2" t="s">
        <v>0</v>
      </c>
      <c r="B1" s="2" t="s">
        <v>118</v>
      </c>
      <c r="C1" s="2" t="s">
        <v>198</v>
      </c>
      <c r="D1" s="2" t="s">
        <v>199</v>
      </c>
      <c r="E1" s="2" t="s">
        <v>200</v>
      </c>
    </row>
    <row r="2" spans="1:4">
      <c r="A2" t="s">
        <v>104</v>
      </c>
      <c r="B2">
        <v>1</v>
      </c>
      <c r="C2" t="s">
        <v>201</v>
      </c>
      <c r="D2">
        <v>9</v>
      </c>
    </row>
    <row r="3" spans="1:4">
      <c r="A3" t="s">
        <v>114</v>
      </c>
      <c r="B3">
        <v>1</v>
      </c>
      <c r="C3" t="s">
        <v>201</v>
      </c>
      <c r="D3">
        <v>2</v>
      </c>
    </row>
    <row r="4" spans="1:4">
      <c r="A4" t="s">
        <v>116</v>
      </c>
      <c r="B4">
        <v>1</v>
      </c>
      <c r="C4" t="s">
        <v>201</v>
      </c>
      <c r="D4">
        <v>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F16" sqref="F16"/>
    </sheetView>
  </sheetViews>
  <sheetFormatPr defaultColWidth="9" defaultRowHeight="15" outlineLevelCol="5"/>
  <cols>
    <col min="1" max="1" width="10.4285714285714" customWidth="1"/>
    <col min="3" max="3" width="15.4285714285714" customWidth="1"/>
    <col min="4" max="4" width="22.4285714285714" customWidth="1"/>
    <col min="5" max="5" width="21.4285714285714" customWidth="1"/>
    <col min="6" max="6" width="20.4285714285714" customWidth="1"/>
  </cols>
  <sheetData>
    <row r="1" ht="15.75" spans="1:6">
      <c r="A1" s="2" t="s">
        <v>0</v>
      </c>
      <c r="B1" s="2" t="s">
        <v>118</v>
      </c>
      <c r="C1" s="2" t="s">
        <v>202</v>
      </c>
      <c r="D1" s="2" t="s">
        <v>203</v>
      </c>
      <c r="E1" s="2" t="s">
        <v>204</v>
      </c>
      <c r="F1" s="2" t="s">
        <v>205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D16" sqref="D16"/>
    </sheetView>
  </sheetViews>
  <sheetFormatPr defaultColWidth="9" defaultRowHeight="15" outlineLevelRow="6"/>
  <cols>
    <col min="1" max="1" width="27.4285714285714" customWidth="1"/>
    <col min="2" max="2" width="12.4285714285714" customWidth="1"/>
    <col min="3" max="3" width="14.4285714285714" customWidth="1"/>
    <col min="4" max="4" width="26.4285714285714" customWidth="1"/>
    <col min="6" max="8" width="17.4285714285714" customWidth="1"/>
    <col min="11" max="11" width="9.42857142857143" customWidth="1"/>
    <col min="12" max="12" width="19.4285714285714" customWidth="1"/>
    <col min="13" max="13" width="15.4285714285714" customWidth="1"/>
    <col min="14" max="14" width="9.42857142857143" customWidth="1"/>
    <col min="16" max="16" width="26.4285714285714" customWidth="1"/>
    <col min="17" max="17" width="18.4285714285714" customWidth="1"/>
    <col min="18" max="18" width="21.4285714285714" customWidth="1"/>
  </cols>
  <sheetData>
    <row r="1" ht="15.75" spans="1:20">
      <c r="A1" s="2" t="s">
        <v>0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60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</row>
    <row r="2" spans="1:20">
      <c r="A2" t="s">
        <v>104</v>
      </c>
      <c r="B2" t="s">
        <v>224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104</v>
      </c>
      <c r="B3" t="s">
        <v>107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114</v>
      </c>
      <c r="B4" t="s">
        <v>224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114</v>
      </c>
      <c r="B5" t="s">
        <v>107</v>
      </c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116</v>
      </c>
      <c r="B6" t="s">
        <v>224</v>
      </c>
      <c r="C6">
        <v>0</v>
      </c>
      <c r="D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116</v>
      </c>
      <c r="B7" t="s">
        <v>107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5"/>
  <sheetViews>
    <sheetView workbookViewId="0">
      <selection activeCell="E18" sqref="E18"/>
    </sheetView>
  </sheetViews>
  <sheetFormatPr defaultColWidth="9" defaultRowHeight="15" outlineLevelRow="4"/>
  <cols>
    <col min="1" max="1" width="27.4285714285714" customWidth="1"/>
    <col min="2" max="2" width="12.4285714285714" customWidth="1"/>
    <col min="3" max="3" width="9.42857142857143" customWidth="1"/>
    <col min="4" max="4" width="13.4285714285714" customWidth="1"/>
    <col min="5" max="5" width="67.4285714285714" customWidth="1"/>
    <col min="9" max="9" width="17.4285714285714" customWidth="1"/>
    <col min="10" max="10" width="12.4285714285714" customWidth="1"/>
    <col min="11" max="11" width="14.4285714285714" customWidth="1"/>
    <col min="12" max="12" width="13.4285714285714" customWidth="1"/>
    <col min="13" max="13" width="15.4285714285714" customWidth="1"/>
    <col min="14" max="14" width="18.4285714285714" customWidth="1"/>
    <col min="15" max="15" width="17.4285714285714" customWidth="1"/>
    <col min="16" max="16" width="18.4285714285714" customWidth="1"/>
    <col min="17" max="17" width="20.4285714285714" customWidth="1"/>
    <col min="18" max="18" width="15.4285714285714" customWidth="1"/>
    <col min="19" max="19" width="17.4285714285714" customWidth="1"/>
    <col min="23" max="23" width="11.4285714285714" customWidth="1"/>
    <col min="24" max="24" width="12.4285714285714" customWidth="1"/>
    <col min="25" max="25" width="17.4285714285714" customWidth="1"/>
    <col min="26" max="27" width="14.4285714285714" customWidth="1"/>
    <col min="30" max="30" width="9.42857142857143" customWidth="1"/>
    <col min="32" max="32" width="13.4285714285714" customWidth="1"/>
    <col min="34" max="34" width="17.4285714285714" customWidth="1"/>
    <col min="35" max="35" width="16.4285714285714" customWidth="1"/>
    <col min="36" max="37" width="13.4285714285714" customWidth="1"/>
    <col min="38" max="38" width="14.4285714285714" customWidth="1"/>
    <col min="39" max="39" width="13.4285714285714" customWidth="1"/>
    <col min="40" max="40" width="11.4285714285714" customWidth="1"/>
    <col min="41" max="41" width="17.4285714285714" customWidth="1"/>
    <col min="42" max="42" width="13.4285714285714" customWidth="1"/>
    <col min="43" max="47" width="17.4285714285714" customWidth="1"/>
    <col min="48" max="48" width="20.4285714285714" customWidth="1"/>
    <col min="49" max="49" width="21.4285714285714" customWidth="1"/>
    <col min="50" max="50" width="20.4285714285714" customWidth="1"/>
    <col min="51" max="52" width="17.4285714285714" customWidth="1"/>
    <col min="53" max="53" width="18.4285714285714" customWidth="1"/>
    <col min="54" max="54" width="13.4285714285714" customWidth="1"/>
    <col min="55" max="55" width="10.4285714285714" customWidth="1"/>
    <col min="56" max="56" width="16.4285714285714" customWidth="1"/>
    <col min="57" max="57" width="19.4285714285714" customWidth="1"/>
    <col min="58" max="58" width="9.42857142857143" customWidth="1"/>
    <col min="59" max="59" width="18.4285714285714" customWidth="1"/>
    <col min="60" max="60" width="22.4285714285714" customWidth="1"/>
    <col min="61" max="61" width="9.42857142857143" customWidth="1"/>
    <col min="62" max="62" width="16.4285714285714" customWidth="1"/>
    <col min="63" max="64" width="18.4285714285714" customWidth="1"/>
    <col min="65" max="65" width="10.4285714285714" customWidth="1"/>
    <col min="66" max="66" width="12.4285714285714" customWidth="1"/>
    <col min="67" max="67" width="18.4285714285714" customWidth="1"/>
    <col min="68" max="68" width="23.4285714285714" customWidth="1"/>
    <col min="69" max="69" width="30.4285714285714" customWidth="1"/>
    <col min="70" max="70" width="26.4285714285714" customWidth="1"/>
  </cols>
  <sheetData>
    <row r="1" ht="15.75" spans="1:70">
      <c r="A1" s="2" t="s">
        <v>0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200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198</v>
      </c>
      <c r="M1" s="2" t="s">
        <v>199</v>
      </c>
      <c r="N1" s="2" t="s">
        <v>234</v>
      </c>
      <c r="O1" s="2" t="s">
        <v>235</v>
      </c>
      <c r="P1" s="2" t="s">
        <v>236</v>
      </c>
      <c r="Q1" s="2" t="s">
        <v>237</v>
      </c>
      <c r="R1" s="2" t="s">
        <v>238</v>
      </c>
      <c r="S1" s="2" t="s">
        <v>239</v>
      </c>
      <c r="T1" s="2" t="s">
        <v>77</v>
      </c>
      <c r="U1" s="2" t="s">
        <v>76</v>
      </c>
      <c r="V1" s="2" t="s">
        <v>78</v>
      </c>
      <c r="W1" s="2" t="s">
        <v>240</v>
      </c>
      <c r="X1" s="2" t="s">
        <v>241</v>
      </c>
      <c r="Y1" s="2" t="s">
        <v>242</v>
      </c>
      <c r="Z1" s="2" t="s">
        <v>69</v>
      </c>
      <c r="AA1" s="2" t="s">
        <v>243</v>
      </c>
      <c r="AB1" s="2" t="s">
        <v>71</v>
      </c>
      <c r="AC1" s="2" t="s">
        <v>65</v>
      </c>
      <c r="AD1" s="2" t="s">
        <v>60</v>
      </c>
      <c r="AE1" s="2" t="s">
        <v>64</v>
      </c>
      <c r="AF1" s="2" t="s">
        <v>244</v>
      </c>
      <c r="AG1" s="2" t="s">
        <v>209</v>
      </c>
      <c r="AH1" s="2" t="s">
        <v>245</v>
      </c>
      <c r="AI1" s="2" t="s">
        <v>246</v>
      </c>
      <c r="AJ1" s="2" t="s">
        <v>247</v>
      </c>
      <c r="AK1" s="2" t="s">
        <v>248</v>
      </c>
      <c r="AL1" s="2" t="s">
        <v>249</v>
      </c>
      <c r="AM1" s="2" t="s">
        <v>61</v>
      </c>
      <c r="AN1" s="2" t="s">
        <v>74</v>
      </c>
      <c r="AO1" s="2" t="s">
        <v>250</v>
      </c>
      <c r="AP1" s="2" t="s">
        <v>251</v>
      </c>
      <c r="AQ1" s="2" t="s">
        <v>252</v>
      </c>
      <c r="AR1" s="2" t="s">
        <v>253</v>
      </c>
      <c r="AS1" s="2" t="s">
        <v>30</v>
      </c>
      <c r="AT1" s="2" t="s">
        <v>254</v>
      </c>
      <c r="AU1" s="2" t="s">
        <v>88</v>
      </c>
      <c r="AV1" s="2" t="s">
        <v>255</v>
      </c>
      <c r="AW1" s="2" t="s">
        <v>256</v>
      </c>
      <c r="AX1" s="2" t="s">
        <v>257</v>
      </c>
      <c r="AY1" s="2" t="s">
        <v>258</v>
      </c>
      <c r="AZ1" s="2" t="s">
        <v>259</v>
      </c>
      <c r="BA1" s="2" t="s">
        <v>260</v>
      </c>
      <c r="BB1" s="2" t="s">
        <v>261</v>
      </c>
      <c r="BC1" s="2" t="s">
        <v>262</v>
      </c>
      <c r="BD1" s="2" t="s">
        <v>263</v>
      </c>
      <c r="BE1" s="2" t="s">
        <v>264</v>
      </c>
      <c r="BF1" s="2" t="s">
        <v>265</v>
      </c>
      <c r="BG1" s="2" t="s">
        <v>266</v>
      </c>
      <c r="BH1" s="2" t="s">
        <v>267</v>
      </c>
      <c r="BI1" s="2" t="s">
        <v>268</v>
      </c>
      <c r="BJ1" s="2" t="s">
        <v>269</v>
      </c>
      <c r="BK1" s="2" t="s">
        <v>270</v>
      </c>
      <c r="BL1" s="2" t="s">
        <v>271</v>
      </c>
      <c r="BM1" s="2" t="s">
        <v>272</v>
      </c>
      <c r="BN1" s="2" t="s">
        <v>273</v>
      </c>
      <c r="BO1" s="2" t="s">
        <v>8</v>
      </c>
      <c r="BP1" s="2" t="s">
        <v>274</v>
      </c>
      <c r="BQ1" s="2" t="s">
        <v>275</v>
      </c>
      <c r="BR1" s="2" t="s">
        <v>276</v>
      </c>
    </row>
    <row r="2" spans="1:70">
      <c r="A2" t="s">
        <v>104</v>
      </c>
      <c r="B2">
        <v>1</v>
      </c>
      <c r="C2" t="s">
        <v>277</v>
      </c>
      <c r="D2" t="s">
        <v>278</v>
      </c>
      <c r="E2" t="s">
        <v>279</v>
      </c>
      <c r="F2" t="s">
        <v>172</v>
      </c>
      <c r="G2" t="s">
        <v>172</v>
      </c>
      <c r="H2" t="s">
        <v>172</v>
      </c>
      <c r="I2" t="s">
        <v>172</v>
      </c>
      <c r="J2" t="s">
        <v>280</v>
      </c>
      <c r="K2">
        <v>2969</v>
      </c>
      <c r="L2" t="s">
        <v>201</v>
      </c>
      <c r="M2">
        <v>9</v>
      </c>
      <c r="T2">
        <v>124.7</v>
      </c>
      <c r="Z2">
        <v>90988155.58</v>
      </c>
      <c r="AA2">
        <v>90988155.58</v>
      </c>
      <c r="AB2">
        <v>1</v>
      </c>
      <c r="AC2">
        <v>0</v>
      </c>
      <c r="AF2">
        <v>0</v>
      </c>
      <c r="AG2">
        <v>0</v>
      </c>
      <c r="AH2">
        <v>0</v>
      </c>
      <c r="AI2">
        <v>0</v>
      </c>
      <c r="AK2">
        <v>0</v>
      </c>
      <c r="AM2">
        <v>0</v>
      </c>
      <c r="AN2">
        <v>0</v>
      </c>
      <c r="AR2" t="s">
        <v>133</v>
      </c>
      <c r="AY2" t="s">
        <v>281</v>
      </c>
      <c r="BJ2">
        <v>0</v>
      </c>
      <c r="BR2" t="s">
        <v>282</v>
      </c>
    </row>
    <row r="3" spans="1:70">
      <c r="A3" t="s">
        <v>114</v>
      </c>
      <c r="B3">
        <v>1</v>
      </c>
      <c r="C3" t="s">
        <v>283</v>
      </c>
      <c r="D3" t="s">
        <v>284</v>
      </c>
      <c r="E3" t="s">
        <v>285</v>
      </c>
      <c r="F3" t="s">
        <v>172</v>
      </c>
      <c r="G3" t="s">
        <v>172</v>
      </c>
      <c r="H3" t="s">
        <v>172</v>
      </c>
      <c r="I3" t="s">
        <v>172</v>
      </c>
      <c r="J3" t="s">
        <v>280</v>
      </c>
      <c r="K3">
        <v>93</v>
      </c>
      <c r="L3" t="s">
        <v>201</v>
      </c>
      <c r="M3">
        <v>2</v>
      </c>
      <c r="T3">
        <v>37.5</v>
      </c>
      <c r="Z3">
        <v>1100685.69</v>
      </c>
      <c r="AA3">
        <f>+Z3</f>
        <v>1100685.69</v>
      </c>
      <c r="AB3">
        <v>1</v>
      </c>
      <c r="AC3">
        <v>0</v>
      </c>
      <c r="AF3">
        <v>0</v>
      </c>
      <c r="AG3">
        <v>0</v>
      </c>
      <c r="AH3">
        <v>0</v>
      </c>
      <c r="AI3">
        <v>0</v>
      </c>
      <c r="AK3">
        <v>0</v>
      </c>
      <c r="AM3">
        <v>0</v>
      </c>
      <c r="AN3">
        <v>0</v>
      </c>
      <c r="AR3" t="s">
        <v>133</v>
      </c>
      <c r="AY3" t="s">
        <v>286</v>
      </c>
      <c r="BJ3">
        <v>0</v>
      </c>
      <c r="BR3" t="s">
        <v>282</v>
      </c>
    </row>
    <row r="4" spans="1:70">
      <c r="A4" t="s">
        <v>116</v>
      </c>
      <c r="B4">
        <v>1</v>
      </c>
      <c r="C4" t="s">
        <v>283</v>
      </c>
      <c r="D4" t="s">
        <v>284</v>
      </c>
      <c r="E4" t="s">
        <v>285</v>
      </c>
      <c r="F4" t="s">
        <v>172</v>
      </c>
      <c r="G4" t="s">
        <v>172</v>
      </c>
      <c r="H4" t="s">
        <v>172</v>
      </c>
      <c r="I4" t="s">
        <v>172</v>
      </c>
      <c r="J4" t="s">
        <v>280</v>
      </c>
      <c r="K4">
        <v>455</v>
      </c>
      <c r="L4" t="s">
        <v>201</v>
      </c>
      <c r="M4">
        <v>6</v>
      </c>
      <c r="T4">
        <v>185.55</v>
      </c>
      <c r="Z4">
        <v>5490020.9</v>
      </c>
      <c r="AA4">
        <v>5490020.9</v>
      </c>
      <c r="AB4">
        <v>1</v>
      </c>
      <c r="AC4">
        <v>0</v>
      </c>
      <c r="AF4">
        <v>0</v>
      </c>
      <c r="AG4">
        <v>0</v>
      </c>
      <c r="AH4">
        <v>0</v>
      </c>
      <c r="AI4">
        <v>0</v>
      </c>
      <c r="AK4">
        <v>0</v>
      </c>
      <c r="AM4">
        <v>0</v>
      </c>
      <c r="AN4">
        <v>0</v>
      </c>
      <c r="AR4" t="s">
        <v>133</v>
      </c>
      <c r="AY4" t="s">
        <v>286</v>
      </c>
      <c r="BJ4">
        <v>0</v>
      </c>
      <c r="BR4" t="s">
        <v>282</v>
      </c>
    </row>
    <row r="5" spans="1:70">
      <c r="A5" t="s">
        <v>116</v>
      </c>
      <c r="B5">
        <v>2</v>
      </c>
      <c r="C5" t="s">
        <v>283</v>
      </c>
      <c r="D5" t="s">
        <v>287</v>
      </c>
      <c r="E5" t="s">
        <v>285</v>
      </c>
      <c r="F5" t="s">
        <v>172</v>
      </c>
      <c r="G5" t="s">
        <v>172</v>
      </c>
      <c r="H5" t="s">
        <v>172</v>
      </c>
      <c r="I5" t="s">
        <v>172</v>
      </c>
      <c r="J5" t="s">
        <v>280</v>
      </c>
      <c r="K5">
        <v>44</v>
      </c>
      <c r="L5" t="s">
        <v>201</v>
      </c>
      <c r="M5">
        <v>1</v>
      </c>
      <c r="T5">
        <v>17.8</v>
      </c>
      <c r="Z5">
        <v>310738.57</v>
      </c>
      <c r="AA5">
        <v>310738.57</v>
      </c>
      <c r="AB5">
        <v>1</v>
      </c>
      <c r="AC5">
        <v>0</v>
      </c>
      <c r="AF5">
        <v>0</v>
      </c>
      <c r="AG5">
        <v>0</v>
      </c>
      <c r="AH5">
        <v>0</v>
      </c>
      <c r="AI5">
        <v>0</v>
      </c>
      <c r="AK5">
        <v>0</v>
      </c>
      <c r="AM5">
        <v>0</v>
      </c>
      <c r="AN5">
        <v>0</v>
      </c>
      <c r="AR5" t="s">
        <v>133</v>
      </c>
      <c r="AY5" t="s">
        <v>286</v>
      </c>
      <c r="BJ5">
        <v>0</v>
      </c>
      <c r="BR5" t="s">
        <v>282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workbookViewId="0">
      <selection activeCell="G20" sqref="G20"/>
    </sheetView>
  </sheetViews>
  <sheetFormatPr defaultColWidth="9" defaultRowHeight="15"/>
  <cols>
    <col min="1" max="1" width="10.4285714285714" customWidth="1"/>
    <col min="2" max="2" width="12.4285714285714" customWidth="1"/>
    <col min="3" max="3" width="14.4285714285714" customWidth="1"/>
    <col min="4" max="4" width="11.4285714285714" customWidth="1"/>
    <col min="6" max="6" width="15.4285714285714" customWidth="1"/>
    <col min="7" max="7" width="16.4285714285714" customWidth="1"/>
    <col min="8" max="8" width="12.4285714285714" customWidth="1"/>
    <col min="9" max="9" width="16.4285714285714" customWidth="1"/>
    <col min="10" max="10" width="21.4285714285714" customWidth="1"/>
    <col min="11" max="11" width="12.4285714285714" customWidth="1"/>
    <col min="12" max="12" width="14.4285714285714" customWidth="1"/>
    <col min="13" max="13" width="19.4285714285714" customWidth="1"/>
    <col min="14" max="14" width="20.4285714285714" customWidth="1"/>
    <col min="15" max="15" width="24.4285714285714" customWidth="1"/>
    <col min="16" max="16" width="9.42857142857143" customWidth="1"/>
    <col min="17" max="17" width="15.4285714285714" customWidth="1"/>
    <col min="18" max="18" width="13.4285714285714" customWidth="1"/>
    <col min="19" max="19" width="15.4285714285714" customWidth="1"/>
  </cols>
  <sheetData>
    <row r="1" ht="15.75" spans="1:19">
      <c r="A1" s="2" t="s">
        <v>0</v>
      </c>
      <c r="B1" s="2" t="s">
        <v>225</v>
      </c>
      <c r="C1" s="2" t="s">
        <v>288</v>
      </c>
      <c r="D1" s="2" t="s">
        <v>289</v>
      </c>
      <c r="E1" s="2" t="s">
        <v>290</v>
      </c>
      <c r="F1" s="2" t="s">
        <v>158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232</v>
      </c>
      <c r="L1" s="2" t="s">
        <v>233</v>
      </c>
      <c r="M1" s="2" t="s">
        <v>295</v>
      </c>
      <c r="N1" s="2" t="s">
        <v>296</v>
      </c>
      <c r="O1" s="2" t="s">
        <v>297</v>
      </c>
      <c r="P1" s="2" t="s">
        <v>268</v>
      </c>
      <c r="Q1" s="2" t="s">
        <v>298</v>
      </c>
      <c r="R1" s="2" t="s">
        <v>198</v>
      </c>
      <c r="S1" s="2" t="s">
        <v>199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I20" sqref="I20"/>
    </sheetView>
  </sheetViews>
  <sheetFormatPr defaultColWidth="9" defaultRowHeight="15" outlineLevelCol="3"/>
  <cols>
    <col min="1" max="1" width="10.4285714285714" customWidth="1"/>
    <col min="2" max="2" width="12.4285714285714" customWidth="1"/>
    <col min="3" max="3" width="13.4285714285714" customWidth="1"/>
    <col min="4" max="4" width="10.4285714285714" customWidth="1"/>
  </cols>
  <sheetData>
    <row r="1" ht="15.75" spans="1:4">
      <c r="A1" s="2" t="s">
        <v>0</v>
      </c>
      <c r="B1" s="2" t="s">
        <v>225</v>
      </c>
      <c r="C1" s="2" t="s">
        <v>299</v>
      </c>
      <c r="D1" s="2" t="s">
        <v>262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J19" sqref="J19"/>
    </sheetView>
  </sheetViews>
  <sheetFormatPr defaultColWidth="9" defaultRowHeight="15" outlineLevelCol="2"/>
  <cols>
    <col min="1" max="1" width="10.4285714285714" customWidth="1"/>
    <col min="2" max="2" width="12.4285714285714" customWidth="1"/>
    <col min="3" max="3" width="13.4285714285714" customWidth="1"/>
  </cols>
  <sheetData>
    <row r="1" ht="15.75" spans="1:3">
      <c r="A1" s="2" t="s">
        <v>0</v>
      </c>
      <c r="B1" s="2" t="s">
        <v>225</v>
      </c>
      <c r="C1" s="2" t="s">
        <v>300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5" outlineLevelCol="3"/>
  <cols>
    <col min="1" max="1" width="10.4285714285714" customWidth="1"/>
    <col min="2" max="2" width="12.4285714285714" customWidth="1"/>
  </cols>
  <sheetData>
    <row r="1" ht="15.75" spans="1:4">
      <c r="A1" s="2" t="s">
        <v>0</v>
      </c>
      <c r="B1" s="2" t="s">
        <v>225</v>
      </c>
      <c r="C1" s="2" t="s">
        <v>301</v>
      </c>
      <c r="D1" s="2" t="s">
        <v>228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5" outlineLevelCol="6"/>
  <cols>
    <col min="1" max="1" width="10.4285714285714" customWidth="1"/>
    <col min="2" max="2" width="12.4285714285714" customWidth="1"/>
    <col min="4" max="4" width="13.4285714285714" customWidth="1"/>
    <col min="5" max="5" width="15.4285714285714" customWidth="1"/>
    <col min="6" max="6" width="16.4285714285714" customWidth="1"/>
    <col min="7" max="7" width="12.4285714285714" customWidth="1"/>
  </cols>
  <sheetData>
    <row r="1" ht="15.75" spans="1:7">
      <c r="A1" s="2" t="s">
        <v>0</v>
      </c>
      <c r="B1" s="2" t="s">
        <v>225</v>
      </c>
      <c r="C1" s="2" t="s">
        <v>302</v>
      </c>
      <c r="D1" s="2" t="s">
        <v>61</v>
      </c>
      <c r="E1" s="2" t="s">
        <v>66</v>
      </c>
      <c r="F1" s="2" t="s">
        <v>67</v>
      </c>
      <c r="G1" s="2" t="s">
        <v>303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"/>
  <sheetViews>
    <sheetView workbookViewId="0">
      <selection activeCell="A1" sqref="A1"/>
    </sheetView>
  </sheetViews>
  <sheetFormatPr defaultColWidth="9" defaultRowHeight="15" outlineLevelRow="4"/>
  <cols>
    <col min="1" max="1" width="27.4285714285714" customWidth="1"/>
    <col min="2" max="2" width="12.4285714285714" customWidth="1"/>
    <col min="3" max="3" width="16.4285714285714" customWidth="1"/>
    <col min="4" max="4" width="21.4285714285714" customWidth="1"/>
    <col min="5" max="5" width="9.42857142857143" customWidth="1"/>
    <col min="6" max="6" width="12.4285714285714" customWidth="1"/>
    <col min="7" max="7" width="56.4285714285714" customWidth="1"/>
    <col min="11" max="11" width="17.4285714285714" customWidth="1"/>
    <col min="12" max="12" width="12.4285714285714" customWidth="1"/>
    <col min="13" max="13" width="14.4285714285714" customWidth="1"/>
    <col min="14" max="14" width="13.4285714285714" customWidth="1"/>
    <col min="15" max="15" width="15.4285714285714" customWidth="1"/>
    <col min="16" max="16" width="18.4285714285714" customWidth="1"/>
    <col min="17" max="17" width="17.4285714285714" customWidth="1"/>
    <col min="18" max="18" width="18.4285714285714" customWidth="1"/>
    <col min="19" max="19" width="20.4285714285714" customWidth="1"/>
    <col min="20" max="20" width="27.4285714285714" customWidth="1"/>
    <col min="21" max="21" width="17.4285714285714" customWidth="1"/>
    <col min="25" max="26" width="14.4285714285714" customWidth="1"/>
    <col min="28" max="28" width="17.4285714285714" customWidth="1"/>
    <col min="29" max="29" width="16.4285714285714" customWidth="1"/>
    <col min="30" max="30" width="11.4285714285714" customWidth="1"/>
    <col min="31" max="31" width="10.4285714285714" customWidth="1"/>
    <col min="33" max="33" width="9.42857142857143" customWidth="1"/>
    <col min="34" max="34" width="18.4285714285714" customWidth="1"/>
    <col min="35" max="35" width="22.4285714285714" customWidth="1"/>
    <col min="36" max="36" width="9.42857142857143" customWidth="1"/>
    <col min="37" max="37" width="16.4285714285714" customWidth="1"/>
    <col min="38" max="39" width="18.4285714285714" customWidth="1"/>
    <col min="40" max="40" width="10.4285714285714" customWidth="1"/>
    <col min="41" max="41" width="12.4285714285714" customWidth="1"/>
  </cols>
  <sheetData>
    <row r="1" ht="15.75" spans="1:41">
      <c r="A1" s="2" t="s">
        <v>0</v>
      </c>
      <c r="B1" s="2" t="s">
        <v>225</v>
      </c>
      <c r="C1" s="2" t="s">
        <v>304</v>
      </c>
      <c r="D1" s="2" t="s">
        <v>305</v>
      </c>
      <c r="E1" s="2" t="s">
        <v>226</v>
      </c>
      <c r="F1" s="2" t="s">
        <v>227</v>
      </c>
      <c r="G1" s="2" t="s">
        <v>228</v>
      </c>
      <c r="H1" s="2" t="s">
        <v>200</v>
      </c>
      <c r="I1" s="2" t="s">
        <v>229</v>
      </c>
      <c r="J1" s="2" t="s">
        <v>230</v>
      </c>
      <c r="K1" s="2" t="s">
        <v>231</v>
      </c>
      <c r="L1" s="2" t="s">
        <v>232</v>
      </c>
      <c r="M1" s="2" t="s">
        <v>233</v>
      </c>
      <c r="N1" s="2" t="s">
        <v>198</v>
      </c>
      <c r="O1" s="2" t="s">
        <v>199</v>
      </c>
      <c r="P1" s="2" t="s">
        <v>234</v>
      </c>
      <c r="Q1" s="2" t="s">
        <v>235</v>
      </c>
      <c r="R1" s="2" t="s">
        <v>236</v>
      </c>
      <c r="S1" s="2" t="s">
        <v>237</v>
      </c>
      <c r="T1" s="2" t="s">
        <v>238</v>
      </c>
      <c r="U1" s="2" t="s">
        <v>239</v>
      </c>
      <c r="V1" s="2" t="s">
        <v>77</v>
      </c>
      <c r="W1" s="2" t="s">
        <v>76</v>
      </c>
      <c r="X1" s="2" t="s">
        <v>78</v>
      </c>
      <c r="Y1" s="2" t="s">
        <v>69</v>
      </c>
      <c r="Z1" s="2" t="s">
        <v>243</v>
      </c>
      <c r="AA1" s="2" t="s">
        <v>71</v>
      </c>
      <c r="AB1" s="2" t="s">
        <v>245</v>
      </c>
      <c r="AC1" s="2" t="s">
        <v>246</v>
      </c>
      <c r="AD1" s="2" t="s">
        <v>74</v>
      </c>
      <c r="AE1" s="2" t="s">
        <v>262</v>
      </c>
      <c r="AF1" s="2" t="s">
        <v>306</v>
      </c>
      <c r="AG1" s="2" t="s">
        <v>265</v>
      </c>
      <c r="AH1" s="2" t="s">
        <v>266</v>
      </c>
      <c r="AI1" s="2" t="s">
        <v>267</v>
      </c>
      <c r="AJ1" s="2" t="s">
        <v>268</v>
      </c>
      <c r="AK1" s="2" t="s">
        <v>269</v>
      </c>
      <c r="AL1" s="2" t="s">
        <v>270</v>
      </c>
      <c r="AM1" s="2" t="s">
        <v>271</v>
      </c>
      <c r="AN1" s="2" t="s">
        <v>272</v>
      </c>
      <c r="AO1" s="2" t="s">
        <v>273</v>
      </c>
    </row>
    <row r="2" spans="1:31">
      <c r="A2" t="s">
        <v>104</v>
      </c>
      <c r="B2">
        <v>1</v>
      </c>
      <c r="C2">
        <v>1</v>
      </c>
      <c r="D2" t="s">
        <v>307</v>
      </c>
      <c r="E2" t="s">
        <v>308</v>
      </c>
      <c r="F2" t="s">
        <v>309</v>
      </c>
      <c r="G2" t="s">
        <v>310</v>
      </c>
      <c r="H2" t="s">
        <v>172</v>
      </c>
      <c r="I2" t="s">
        <v>172</v>
      </c>
      <c r="J2" t="s">
        <v>172</v>
      </c>
      <c r="K2" t="s">
        <v>172</v>
      </c>
      <c r="L2" t="s">
        <v>311</v>
      </c>
      <c r="M2">
        <v>124.7</v>
      </c>
      <c r="P2" t="s">
        <v>175</v>
      </c>
      <c r="Q2" t="s">
        <v>106</v>
      </c>
      <c r="R2" t="s">
        <v>176</v>
      </c>
      <c r="S2" t="s">
        <v>312</v>
      </c>
      <c r="T2" t="s">
        <v>313</v>
      </c>
      <c r="U2">
        <v>1</v>
      </c>
      <c r="V2">
        <v>5554.3</v>
      </c>
      <c r="Y2">
        <v>90988155.58</v>
      </c>
      <c r="Z2">
        <v>90988155.58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114</v>
      </c>
      <c r="B3">
        <v>1</v>
      </c>
      <c r="C3">
        <v>1</v>
      </c>
      <c r="D3" t="s">
        <v>224</v>
      </c>
      <c r="E3" t="s">
        <v>314</v>
      </c>
      <c r="F3" t="s">
        <v>315</v>
      </c>
      <c r="G3" t="s">
        <v>316</v>
      </c>
      <c r="H3" t="s">
        <v>172</v>
      </c>
      <c r="I3" t="s">
        <v>172</v>
      </c>
      <c r="J3" t="s">
        <v>172</v>
      </c>
      <c r="K3" t="s">
        <v>172</v>
      </c>
      <c r="L3" t="s">
        <v>311</v>
      </c>
      <c r="M3">
        <v>37.5</v>
      </c>
      <c r="P3" t="s">
        <v>183</v>
      </c>
      <c r="Q3" t="s">
        <v>106</v>
      </c>
      <c r="R3" t="s">
        <v>184</v>
      </c>
      <c r="S3" t="s">
        <v>317</v>
      </c>
      <c r="T3" t="s">
        <v>318</v>
      </c>
      <c r="U3">
        <v>1</v>
      </c>
      <c r="V3">
        <v>1675.95</v>
      </c>
      <c r="Y3">
        <v>0</v>
      </c>
      <c r="Z3">
        <v>0</v>
      </c>
      <c r="AA3">
        <v>0</v>
      </c>
      <c r="AB3">
        <v>100685.69</v>
      </c>
      <c r="AC3">
        <v>0</v>
      </c>
      <c r="AD3">
        <v>0</v>
      </c>
      <c r="AE3">
        <v>0</v>
      </c>
    </row>
    <row r="4" spans="1:31">
      <c r="A4" t="s">
        <v>116</v>
      </c>
      <c r="B4">
        <v>2</v>
      </c>
      <c r="C4">
        <v>1</v>
      </c>
      <c r="D4" t="s">
        <v>224</v>
      </c>
      <c r="E4" t="s">
        <v>314</v>
      </c>
      <c r="F4" t="s">
        <v>319</v>
      </c>
      <c r="G4" t="s">
        <v>320</v>
      </c>
      <c r="H4" t="s">
        <v>172</v>
      </c>
      <c r="I4" t="s">
        <v>172</v>
      </c>
      <c r="J4" t="s">
        <v>172</v>
      </c>
      <c r="K4" t="s">
        <v>172</v>
      </c>
      <c r="L4" t="s">
        <v>311</v>
      </c>
      <c r="M4">
        <v>17.8</v>
      </c>
      <c r="P4" t="s">
        <v>183</v>
      </c>
      <c r="Q4" t="s">
        <v>106</v>
      </c>
      <c r="R4" t="s">
        <v>189</v>
      </c>
      <c r="S4" t="s">
        <v>321</v>
      </c>
      <c r="T4" t="s">
        <v>322</v>
      </c>
      <c r="U4">
        <v>1</v>
      </c>
      <c r="V4">
        <v>1589.9</v>
      </c>
      <c r="Y4">
        <v>0</v>
      </c>
      <c r="Z4">
        <v>0</v>
      </c>
      <c r="AA4">
        <v>0</v>
      </c>
      <c r="AB4">
        <v>310738.57</v>
      </c>
      <c r="AC4">
        <v>0</v>
      </c>
      <c r="AD4">
        <v>0</v>
      </c>
      <c r="AE4">
        <v>0</v>
      </c>
    </row>
    <row r="5" spans="1:31">
      <c r="A5" t="s">
        <v>116</v>
      </c>
      <c r="B5">
        <v>1</v>
      </c>
      <c r="C5">
        <v>1</v>
      </c>
      <c r="D5" t="s">
        <v>224</v>
      </c>
      <c r="E5" t="s">
        <v>314</v>
      </c>
      <c r="F5" t="s">
        <v>319</v>
      </c>
      <c r="G5" t="s">
        <v>320</v>
      </c>
      <c r="H5" t="s">
        <v>172</v>
      </c>
      <c r="I5" t="s">
        <v>172</v>
      </c>
      <c r="J5" t="s">
        <v>172</v>
      </c>
      <c r="K5" t="s">
        <v>172</v>
      </c>
      <c r="L5" t="s">
        <v>311</v>
      </c>
      <c r="M5">
        <v>185.55</v>
      </c>
      <c r="P5" t="s">
        <v>183</v>
      </c>
      <c r="Q5" t="s">
        <v>106</v>
      </c>
      <c r="R5" t="s">
        <v>189</v>
      </c>
      <c r="S5" t="s">
        <v>321</v>
      </c>
      <c r="T5" t="s">
        <v>322</v>
      </c>
      <c r="U5">
        <v>1</v>
      </c>
      <c r="V5">
        <v>1589.9</v>
      </c>
      <c r="Y5">
        <v>0</v>
      </c>
      <c r="Z5">
        <v>0</v>
      </c>
      <c r="AA5">
        <v>0</v>
      </c>
      <c r="AB5">
        <v>5490020.9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workbookViewId="0">
      <selection activeCell="D20" sqref="D19:D20"/>
    </sheetView>
  </sheetViews>
  <sheetFormatPr defaultColWidth="9" defaultRowHeight="15" outlineLevelRow="7"/>
  <cols>
    <col min="1" max="1" width="27.4285714285714" customWidth="1"/>
    <col min="2" max="2" width="12.4285714285714" customWidth="1"/>
    <col min="3" max="3" width="16.4285714285714" customWidth="1"/>
    <col min="4" max="4" width="21.4285714285714" customWidth="1"/>
    <col min="5" max="5" width="14.4285714285714" customWidth="1"/>
    <col min="6" max="6" width="11.4285714285714" customWidth="1"/>
    <col min="8" max="8" width="15.4285714285714" customWidth="1"/>
    <col min="9" max="9" width="16.4285714285714" customWidth="1"/>
    <col min="10" max="10" width="12.4285714285714" customWidth="1"/>
    <col min="11" max="11" width="16.4285714285714" customWidth="1"/>
    <col min="12" max="12" width="21.4285714285714" customWidth="1"/>
    <col min="13" max="13" width="12.4285714285714" customWidth="1"/>
    <col min="14" max="14" width="14.4285714285714" customWidth="1"/>
    <col min="15" max="15" width="19.4285714285714" customWidth="1"/>
    <col min="16" max="16" width="20.4285714285714" customWidth="1"/>
    <col min="17" max="17" width="24.4285714285714" customWidth="1"/>
    <col min="18" max="18" width="9.42857142857143" customWidth="1"/>
    <col min="19" max="19" width="15.4285714285714" customWidth="1"/>
    <col min="20" max="20" width="13.4285714285714" customWidth="1"/>
    <col min="21" max="21" width="24.4285714285714" customWidth="1"/>
    <col min="22" max="22" width="9.42857142857143" customWidth="1"/>
    <col min="23" max="23" width="15.4285714285714" customWidth="1"/>
    <col min="24" max="24" width="13.4285714285714" customWidth="1"/>
    <col min="25" max="25" width="15.4285714285714" customWidth="1"/>
  </cols>
  <sheetData>
    <row r="1" ht="15.75" spans="1:25">
      <c r="A1" s="2" t="s">
        <v>0</v>
      </c>
      <c r="B1" s="2" t="s">
        <v>225</v>
      </c>
      <c r="C1" s="2" t="s">
        <v>304</v>
      </c>
      <c r="D1" s="2" t="s">
        <v>305</v>
      </c>
      <c r="E1" s="2" t="s">
        <v>288</v>
      </c>
      <c r="F1" s="2" t="s">
        <v>289</v>
      </c>
      <c r="G1" s="2" t="s">
        <v>290</v>
      </c>
      <c r="H1" s="2" t="s">
        <v>158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232</v>
      </c>
      <c r="N1" s="2" t="s">
        <v>233</v>
      </c>
      <c r="O1" s="2" t="s">
        <v>295</v>
      </c>
      <c r="P1" s="2" t="s">
        <v>296</v>
      </c>
      <c r="Q1" s="2" t="s">
        <v>297</v>
      </c>
      <c r="R1" s="2" t="s">
        <v>268</v>
      </c>
      <c r="S1" s="2" t="s">
        <v>298</v>
      </c>
      <c r="T1" s="2" t="s">
        <v>198</v>
      </c>
      <c r="U1" s="2" t="s">
        <v>297</v>
      </c>
      <c r="V1" s="2" t="s">
        <v>268</v>
      </c>
      <c r="W1" s="2" t="s">
        <v>298</v>
      </c>
      <c r="X1" s="2" t="s">
        <v>198</v>
      </c>
      <c r="Y1" s="2" t="s">
        <v>199</v>
      </c>
    </row>
    <row r="2" spans="1:14">
      <c r="A2" t="s">
        <v>104</v>
      </c>
      <c r="B2">
        <v>1</v>
      </c>
      <c r="C2">
        <v>1</v>
      </c>
      <c r="D2" t="s">
        <v>307</v>
      </c>
      <c r="E2" t="s">
        <v>323</v>
      </c>
      <c r="F2" t="s">
        <v>224</v>
      </c>
      <c r="G2">
        <v>2.5</v>
      </c>
      <c r="H2" t="s">
        <v>145</v>
      </c>
      <c r="I2">
        <v>100</v>
      </c>
      <c r="J2">
        <v>0</v>
      </c>
      <c r="K2">
        <v>2693067.6</v>
      </c>
      <c r="L2">
        <v>0</v>
      </c>
      <c r="M2" t="s">
        <v>311</v>
      </c>
      <c r="N2">
        <v>124.7</v>
      </c>
    </row>
    <row r="3" spans="1:14">
      <c r="A3" t="s">
        <v>104</v>
      </c>
      <c r="B3">
        <v>1</v>
      </c>
      <c r="C3">
        <v>1</v>
      </c>
      <c r="D3" t="s">
        <v>307</v>
      </c>
      <c r="E3" t="s">
        <v>324</v>
      </c>
      <c r="F3" t="s">
        <v>224</v>
      </c>
      <c r="G3">
        <v>15</v>
      </c>
      <c r="H3" t="s">
        <v>145</v>
      </c>
      <c r="I3">
        <v>100</v>
      </c>
      <c r="J3">
        <v>0</v>
      </c>
      <c r="K3">
        <v>13648223.34</v>
      </c>
      <c r="L3">
        <v>0</v>
      </c>
      <c r="M3" t="s">
        <v>311</v>
      </c>
      <c r="N3">
        <v>124.7</v>
      </c>
    </row>
    <row r="4" spans="1:14">
      <c r="A4" t="s">
        <v>104</v>
      </c>
      <c r="B4">
        <v>1</v>
      </c>
      <c r="C4">
        <v>1</v>
      </c>
      <c r="D4" t="s">
        <v>307</v>
      </c>
      <c r="E4" t="s">
        <v>325</v>
      </c>
      <c r="F4" t="s">
        <v>107</v>
      </c>
      <c r="G4">
        <v>24750</v>
      </c>
      <c r="H4" t="s">
        <v>145</v>
      </c>
      <c r="I4">
        <v>100</v>
      </c>
      <c r="J4">
        <v>0</v>
      </c>
      <c r="K4">
        <v>3086325</v>
      </c>
      <c r="L4">
        <v>0</v>
      </c>
      <c r="M4" t="s">
        <v>311</v>
      </c>
      <c r="N4">
        <v>124.7</v>
      </c>
    </row>
    <row r="5" spans="1:14">
      <c r="A5" t="s">
        <v>104</v>
      </c>
      <c r="B5">
        <v>1</v>
      </c>
      <c r="C5">
        <v>1</v>
      </c>
      <c r="D5" t="s">
        <v>307</v>
      </c>
      <c r="E5" t="s">
        <v>326</v>
      </c>
      <c r="F5" t="s">
        <v>224</v>
      </c>
      <c r="G5">
        <v>11</v>
      </c>
      <c r="H5" t="s">
        <v>145</v>
      </c>
      <c r="I5">
        <v>100</v>
      </c>
      <c r="J5">
        <v>0</v>
      </c>
      <c r="K5">
        <v>11849497.43</v>
      </c>
      <c r="L5">
        <v>0</v>
      </c>
      <c r="M5" t="s">
        <v>311</v>
      </c>
      <c r="N5">
        <v>124.7</v>
      </c>
    </row>
    <row r="6" spans="1:14">
      <c r="A6" t="s">
        <v>114</v>
      </c>
      <c r="B6">
        <v>1</v>
      </c>
      <c r="C6">
        <v>1</v>
      </c>
      <c r="D6" t="s">
        <v>224</v>
      </c>
      <c r="E6" t="s">
        <v>327</v>
      </c>
      <c r="F6" t="s">
        <v>224</v>
      </c>
      <c r="G6">
        <v>11</v>
      </c>
      <c r="H6" t="s">
        <v>328</v>
      </c>
      <c r="I6">
        <v>100</v>
      </c>
      <c r="J6">
        <v>0</v>
      </c>
      <c r="K6">
        <v>11075.43</v>
      </c>
      <c r="L6">
        <v>0</v>
      </c>
      <c r="M6" t="s">
        <v>311</v>
      </c>
      <c r="N6">
        <v>37.5</v>
      </c>
    </row>
    <row r="7" spans="1:14">
      <c r="A7" t="s">
        <v>116</v>
      </c>
      <c r="B7">
        <v>2</v>
      </c>
      <c r="C7">
        <v>1</v>
      </c>
      <c r="D7" t="s">
        <v>224</v>
      </c>
      <c r="E7" t="s">
        <v>327</v>
      </c>
      <c r="F7" t="s">
        <v>224</v>
      </c>
      <c r="G7">
        <v>11</v>
      </c>
      <c r="H7" t="s">
        <v>328</v>
      </c>
      <c r="I7">
        <v>100</v>
      </c>
      <c r="J7">
        <v>0</v>
      </c>
      <c r="K7">
        <v>34181.24</v>
      </c>
      <c r="L7">
        <v>0</v>
      </c>
      <c r="M7" t="s">
        <v>311</v>
      </c>
      <c r="N7">
        <v>17.8</v>
      </c>
    </row>
    <row r="8" spans="1:14">
      <c r="A8" t="s">
        <v>116</v>
      </c>
      <c r="B8">
        <v>1</v>
      </c>
      <c r="C8">
        <v>1</v>
      </c>
      <c r="D8" t="s">
        <v>224</v>
      </c>
      <c r="E8" t="s">
        <v>327</v>
      </c>
      <c r="F8" t="s">
        <v>224</v>
      </c>
      <c r="G8">
        <v>11</v>
      </c>
      <c r="H8" t="s">
        <v>328</v>
      </c>
      <c r="I8">
        <v>100</v>
      </c>
      <c r="J8">
        <v>0</v>
      </c>
      <c r="K8">
        <v>603902.3</v>
      </c>
      <c r="L8">
        <v>0</v>
      </c>
      <c r="M8" t="s">
        <v>311</v>
      </c>
      <c r="N8">
        <v>185.55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5" outlineLevelCol="5"/>
  <cols>
    <col min="1" max="1" width="10.4285714285714" customWidth="1"/>
    <col min="2" max="2" width="12.4285714285714" customWidth="1"/>
    <col min="3" max="3" width="16.4285714285714" customWidth="1"/>
    <col min="4" max="4" width="21.4285714285714" customWidth="1"/>
    <col min="5" max="5" width="13.4285714285714" customWidth="1"/>
    <col min="6" max="6" width="10.4285714285714" customWidth="1"/>
  </cols>
  <sheetData>
    <row r="1" ht="15.75" spans="1:6">
      <c r="A1" s="2" t="s">
        <v>0</v>
      </c>
      <c r="B1" s="2" t="s">
        <v>225</v>
      </c>
      <c r="C1" s="2" t="s">
        <v>304</v>
      </c>
      <c r="D1" s="2" t="s">
        <v>329</v>
      </c>
      <c r="E1" s="2" t="s">
        <v>299</v>
      </c>
      <c r="F1" s="2" t="s">
        <v>262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5" outlineLevelRow="6" outlineLevelCol="4"/>
  <cols>
    <col min="1" max="1" width="27.4285714285714" customWidth="1"/>
    <col min="2" max="2" width="21.4285714285714" customWidth="1"/>
    <col min="3" max="3" width="20.4285714285714" customWidth="1"/>
    <col min="4" max="4" width="15.4285714285714" customWidth="1"/>
    <col min="5" max="5" width="13.4285714285714" customWidth="1"/>
  </cols>
  <sheetData>
    <row r="1" ht="15.75" spans="1:5">
      <c r="A1" s="2" t="s">
        <v>0</v>
      </c>
      <c r="B1" s="2" t="s">
        <v>330</v>
      </c>
      <c r="C1" s="2" t="s">
        <v>331</v>
      </c>
      <c r="D1" s="2" t="s">
        <v>332</v>
      </c>
      <c r="E1" s="2" t="s">
        <v>333</v>
      </c>
    </row>
    <row r="2" spans="1:4">
      <c r="A2" t="s">
        <v>104</v>
      </c>
      <c r="B2" t="s">
        <v>145</v>
      </c>
      <c r="C2" t="s">
        <v>324</v>
      </c>
      <c r="D2">
        <v>13648223</v>
      </c>
    </row>
    <row r="3" spans="1:4">
      <c r="A3" t="s">
        <v>104</v>
      </c>
      <c r="B3" t="s">
        <v>145</v>
      </c>
      <c r="C3" t="s">
        <v>323</v>
      </c>
      <c r="D3">
        <v>2693067</v>
      </c>
    </row>
    <row r="4" spans="1:4">
      <c r="A4" t="s">
        <v>104</v>
      </c>
      <c r="B4" t="s">
        <v>145</v>
      </c>
      <c r="C4" t="s">
        <v>325</v>
      </c>
      <c r="D4">
        <v>3086325</v>
      </c>
    </row>
    <row r="5" spans="1:4">
      <c r="A5" t="s">
        <v>104</v>
      </c>
      <c r="B5" t="s">
        <v>145</v>
      </c>
      <c r="C5" t="s">
        <v>326</v>
      </c>
      <c r="D5">
        <v>11849497</v>
      </c>
    </row>
    <row r="6" spans="1:4">
      <c r="A6" t="s">
        <v>114</v>
      </c>
      <c r="B6" t="s">
        <v>328</v>
      </c>
      <c r="C6" t="s">
        <v>327</v>
      </c>
      <c r="D6">
        <v>11075</v>
      </c>
    </row>
    <row r="7" spans="1:4">
      <c r="A7" t="s">
        <v>116</v>
      </c>
      <c r="B7" t="s">
        <v>328</v>
      </c>
      <c r="C7" t="s">
        <v>327</v>
      </c>
      <c r="D7">
        <v>638083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5" outlineLevelRow="1"/>
  <cols>
    <col min="1" max="1" width="27.4285714285714" customWidth="1"/>
    <col min="2" max="2" width="12.4285714285714" customWidth="1"/>
    <col min="3" max="3" width="13.4285714285714" customWidth="1"/>
    <col min="4" max="4" width="25.4285714285714" customWidth="1"/>
    <col min="5" max="5" width="20.4285714285714" customWidth="1"/>
    <col min="6" max="6" width="14.4285714285714" customWidth="1"/>
    <col min="7" max="7" width="17.4285714285714" customWidth="1"/>
    <col min="8" max="8" width="20.4285714285714" customWidth="1"/>
    <col min="9" max="9" width="19.4285714285714" customWidth="1"/>
    <col min="10" max="10" width="20.4285714285714" customWidth="1"/>
  </cols>
  <sheetData>
    <row r="1" ht="15.75" spans="1:10">
      <c r="A1" s="2" t="s">
        <v>0</v>
      </c>
      <c r="B1" s="2" t="s">
        <v>2</v>
      </c>
      <c r="C1" s="2" t="s">
        <v>334</v>
      </c>
      <c r="D1" s="2" t="s">
        <v>335</v>
      </c>
      <c r="E1" s="2" t="s">
        <v>336</v>
      </c>
      <c r="F1" s="2" t="s">
        <v>337</v>
      </c>
      <c r="G1" s="2" t="s">
        <v>338</v>
      </c>
      <c r="H1" s="2" t="s">
        <v>339</v>
      </c>
      <c r="I1" s="2" t="s">
        <v>340</v>
      </c>
      <c r="J1" s="2" t="s">
        <v>341</v>
      </c>
    </row>
    <row r="2" spans="1:10">
      <c r="A2" t="s">
        <v>104</v>
      </c>
      <c r="C2" t="s">
        <v>133</v>
      </c>
      <c r="D2" t="s">
        <v>167</v>
      </c>
      <c r="E2" t="s">
        <v>342</v>
      </c>
      <c r="F2">
        <v>479171000</v>
      </c>
      <c r="G2" t="s">
        <v>343</v>
      </c>
      <c r="H2" t="s">
        <v>344</v>
      </c>
      <c r="I2" t="s">
        <v>170</v>
      </c>
      <c r="J2" t="s">
        <v>342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opLeftCell="B1" workbookViewId="0">
      <selection activeCell="K19" sqref="K19"/>
    </sheetView>
  </sheetViews>
  <sheetFormatPr defaultColWidth="9" defaultRowHeight="15" outlineLevelCol="3"/>
  <cols>
    <col min="1" max="1" width="10.4285714285714" customWidth="1"/>
  </cols>
  <sheetData>
    <row r="1" ht="15.75" spans="1:4">
      <c r="A1" s="2" t="s">
        <v>0</v>
      </c>
      <c r="B1" s="2" t="s">
        <v>118</v>
      </c>
      <c r="C1" s="2" t="s">
        <v>301</v>
      </c>
      <c r="D1" s="2" t="s">
        <v>345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K17" sqref="K17"/>
    </sheetView>
  </sheetViews>
  <sheetFormatPr defaultColWidth="9" defaultRowHeight="15" outlineLevelRow="1"/>
  <sheetData>
    <row r="1" ht="15.75" spans="1:1">
      <c r="A1" s="1" t="s">
        <v>346</v>
      </c>
    </row>
    <row r="2" spans="1:1">
      <c r="A2" t="s">
        <v>347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5" outlineLevelRow="4" outlineLevelCol="3"/>
  <cols>
    <col min="1" max="1" width="27.4285714285714" customWidth="1"/>
    <col min="2" max="2" width="12.4285714285714" customWidth="1"/>
    <col min="3" max="3" width="21.4285714285714" customWidth="1"/>
    <col min="4" max="4" width="15.4285714285714" customWidth="1"/>
  </cols>
  <sheetData>
    <row r="1" spans="1:4">
      <c r="A1" t="s">
        <v>0</v>
      </c>
      <c r="B1" t="s">
        <v>348</v>
      </c>
      <c r="C1" t="s">
        <v>349</v>
      </c>
      <c r="D1" t="s">
        <v>350</v>
      </c>
    </row>
    <row r="2" spans="1:4">
      <c r="A2" t="s">
        <v>116</v>
      </c>
      <c r="B2" t="s">
        <v>351</v>
      </c>
      <c r="C2" t="s">
        <v>352</v>
      </c>
      <c r="D2" t="s">
        <v>109</v>
      </c>
    </row>
    <row r="3" spans="1:4">
      <c r="A3" t="s">
        <v>114</v>
      </c>
      <c r="B3" t="s">
        <v>351</v>
      </c>
      <c r="C3" t="s">
        <v>353</v>
      </c>
      <c r="D3" t="s">
        <v>109</v>
      </c>
    </row>
    <row r="4" spans="1:4">
      <c r="A4" t="s">
        <v>114</v>
      </c>
      <c r="B4" t="s">
        <v>354</v>
      </c>
      <c r="D4" t="s">
        <v>109</v>
      </c>
    </row>
    <row r="5" spans="1:4">
      <c r="A5" t="s">
        <v>104</v>
      </c>
      <c r="B5" t="s">
        <v>351</v>
      </c>
      <c r="C5" t="s">
        <v>355</v>
      </c>
      <c r="D5" t="s">
        <v>109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Dokumen Tanggal 25-10-2025.xlsx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25-10-2025.xlsx</dc:creator>
  <cp:lastModifiedBy>EXIM</cp:lastModifiedBy>
  <dcterms:created xsi:type="dcterms:W3CDTF">2025-10-27T00:13:00Z</dcterms:created>
  <dcterms:modified xsi:type="dcterms:W3CDTF">2025-11-05T06:39:15Z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