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0 DATA SRI\EKSPORT\Laporan Penjualan\2026\8\"/>
    </mc:Choice>
  </mc:AlternateContent>
  <bookViews>
    <workbookView xWindow="0" yWindow="0" windowWidth="20490" windowHeight="7650" firstSheet="2" activeTab="7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162913"/>
</workbook>
</file>

<file path=xl/calcChain.xml><?xml version="1.0" encoding="utf-8"?>
<calcChain xmlns="http://schemas.openxmlformats.org/spreadsheetml/2006/main">
  <c r="AJ3" i="8" l="1"/>
  <c r="AJ4" i="8"/>
  <c r="AJ5" i="8"/>
  <c r="AJ6" i="8"/>
  <c r="AJ7" i="8"/>
  <c r="AJ8" i="8"/>
  <c r="AJ9" i="8"/>
  <c r="AJ10" i="8"/>
  <c r="AJ11" i="8"/>
  <c r="AJ12" i="8"/>
  <c r="AJ13" i="8"/>
  <c r="AJ14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2" i="8"/>
</calcChain>
</file>

<file path=xl/sharedStrings.xml><?xml version="1.0" encoding="utf-8"?>
<sst xmlns="http://schemas.openxmlformats.org/spreadsheetml/2006/main" count="2934" uniqueCount="487">
  <si>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</si>
  <si>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</si>
  <si>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</si>
  <si>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</si>
  <si>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</si>
  <si>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</si>
  <si>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</si>
  <si>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</si>
  <si>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</si>
  <si>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</si>
  <si>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</si>
  <si>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</si>
  <si>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</si>
  <si>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</si>
  <si>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</si>
  <si>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</si>
  <si>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</si>
  <si>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</si>
  <si>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</si>
  <si>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</si>
  <si>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</si>
  <si>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</si>
  <si>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</si>
  <si>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</si>
  <si>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</si>
  <si>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</si>
  <si>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</si>
  <si>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</si>
  <si>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</si>
  <si>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</si>
  <si>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</si>
  <si>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</si>
  <si>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</si>
  <si>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</si>
  <si>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</si>
  <si>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</si>
  <si>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</si>
  <si>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</si>
  <si>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</si>
  <si>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</si>
  <si>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</si>
  <si>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</si>
  <si>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</si>
  <si>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</si>
  <si>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</si>
  <si>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</si>
  <si>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</si>
  <si>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</si>
  <si>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</si>
  <si>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</si>
  <si>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</si>
  <si>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</si>
  <si>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</si>
  <si>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</si>
  <si>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</si>
  <si>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</si>
  <si>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</si>
  <si>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</si>
  <si>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</si>
  <si>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</si>
  <si>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</si>
  <si>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</si>
  <si>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</si>
  <si>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</si>
  <si>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</si>
  <si>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</si>
  <si>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</si>
  <si>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</si>
  <si>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</si>
  <si>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</si>
  <si>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</si>
  <si>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</si>
  <si>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</si>
  <si>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</si>
  <si>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</si>
  <si>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</si>
  <si>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</si>
  <si>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</si>
  <si>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</si>
  <si>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</si>
  <si>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</si>
  <si>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</si>
  <si>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</si>
  <si>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</si>
  <si>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</si>
  <si>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</si>
  <si>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</si>
  <si>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</si>
  <si>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</si>
  <si>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</si>
  <si>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</si>
  <si>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</si>
  <si>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</si>
  <si>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</si>
  <si>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</si>
  <si>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</si>
  <si>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</si>
  <si>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</si>
  <si>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</si>
  <si>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</si>
  <si>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</si>
  <si>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</si>
  <si>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</si>
  <si>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</si>
  <si>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000030NIW34520260804001240</t>
  </si>
  <si>
    <t>30</t>
  </si>
  <si>
    <t>040300</t>
  </si>
  <si>
    <t>050500</t>
  </si>
  <si>
    <t>1</t>
  </si>
  <si>
    <t>15</t>
  </si>
  <si>
    <t>9</t>
  </si>
  <si>
    <t>41</t>
  </si>
  <si>
    <t>6</t>
  </si>
  <si>
    <t>US</t>
  </si>
  <si>
    <t>IDTPP</t>
  </si>
  <si>
    <t>USLAX</t>
  </si>
  <si>
    <t>2026-08-13</t>
  </si>
  <si>
    <t>2026-08-06</t>
  </si>
  <si>
    <t>2</t>
  </si>
  <si>
    <t>DN</t>
  </si>
  <si>
    <t>BANDUNG</t>
  </si>
  <si>
    <t>YUS YULIUS</t>
  </si>
  <si>
    <t>MANAGER EXIM</t>
  </si>
  <si>
    <t>USD</t>
  </si>
  <si>
    <t>EXW</t>
  </si>
  <si>
    <t>490953</t>
  </si>
  <si>
    <t>T</t>
  </si>
  <si>
    <t>000030NIW34520260804001239</t>
  </si>
  <si>
    <t>490928</t>
  </si>
  <si>
    <t>000030NIW34520260804001244</t>
  </si>
  <si>
    <t>491236</t>
  </si>
  <si>
    <t>000030NIW34520260806001236</t>
  </si>
  <si>
    <t>490848</t>
  </si>
  <si>
    <t>000030NIW34520260804001235</t>
  </si>
  <si>
    <t>490239</t>
  </si>
  <si>
    <t>000030NIW34520260804001234</t>
  </si>
  <si>
    <t>490041</t>
  </si>
  <si>
    <t>000030NIW34520260804001237</t>
  </si>
  <si>
    <t>490884</t>
  </si>
  <si>
    <t>000030NIW34520260806001242</t>
  </si>
  <si>
    <t>491044</t>
  </si>
  <si>
    <t>000030NIW34520260806001241</t>
  </si>
  <si>
    <t>491017</t>
  </si>
  <si>
    <t>000030NIW34520260806001245</t>
  </si>
  <si>
    <t>050100</t>
  </si>
  <si>
    <t>5</t>
  </si>
  <si>
    <t>14</t>
  </si>
  <si>
    <t>KR</t>
  </si>
  <si>
    <t>IDCGK</t>
  </si>
  <si>
    <t>KRSEL</t>
  </si>
  <si>
    <t>396796</t>
  </si>
  <si>
    <t>000030NIW34520260806001238</t>
  </si>
  <si>
    <t>490905</t>
  </si>
  <si>
    <t>000030NIW34520260804001243</t>
  </si>
  <si>
    <t>491091</t>
  </si>
  <si>
    <t>000030NIW34520260806001246</t>
  </si>
  <si>
    <t>VN</t>
  </si>
  <si>
    <t>VNSGN</t>
  </si>
  <si>
    <t>397007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</si>
  <si>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</si>
  <si>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</si>
  <si>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</si>
  <si>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</si>
  <si>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</si>
  <si>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</si>
  <si>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</si>
  <si>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</si>
  <si>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</si>
  <si>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</si>
  <si>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</si>
  <si>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</si>
  <si>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</si>
  <si>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</si>
  <si>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</si>
  <si>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</si>
  <si>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</si>
  <si>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</si>
  <si>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</si>
  <si>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23</t>
  </si>
  <si>
    <t>0926856451045000000000</t>
  </si>
  <si>
    <t>KBN PRIMA LOGISTIK</t>
  </si>
  <si>
    <t>GEDUNG MAWAR, JALAN RAYA CAKUNG CILINCING, TANJUNG PRIOK RT.000 RW.000, SUKAPURA, CILINCING, KOTA ADMINISTRASI JAKARTA UTARA, DAERAH KHUSUS IBUKOTA JAKARTA</t>
  </si>
  <si>
    <t>02</t>
  </si>
  <si>
    <t>LAINNYA</t>
  </si>
  <si>
    <t>0745406926444000000000</t>
  </si>
  <si>
    <t>NIRWANA ALABARE GARMENT</t>
  </si>
  <si>
    <t>JL RAYA RANCAEKEK MAJALAYA NO.289 RT.002 RW.007, SOLOKANJERUK, SOLOKANJERUK, KABUPATEN BANDUNG, JAWA BARAT</t>
  </si>
  <si>
    <t>3</t>
  </si>
  <si>
    <t>7</t>
  </si>
  <si>
    <t>4</t>
  </si>
  <si>
    <t>0000000000000000</t>
  </si>
  <si>
    <t>KANMAX ENTERPRISES LTD</t>
  </si>
  <si>
    <t>103 PENANG ROAD, #08-07, VISIONCREST ORCHARD, SINGAPORE 238467</t>
  </si>
  <si>
    <t>8</t>
  </si>
  <si>
    <t>FDC-0026</t>
  </si>
  <si>
    <t>3685 NORTH GAP DRIVE
FRESNO, CA
93727</t>
  </si>
  <si>
    <t>OLD NAVY, LLC</t>
  </si>
  <si>
    <t>2 FOLSOM STREET
SAN FRANCISCO, CALIFORNIA
94105</t>
  </si>
  <si>
    <t>WESTERN OMNI WEO-0008</t>
  </si>
  <si>
    <t>3400 NORTH GAP DR
FRESNO, CA
93727</t>
  </si>
  <si>
    <t>13</t>
  </si>
  <si>
    <t>000000000000000</t>
  </si>
  <si>
    <t>103 PENANG ROAD, #08-07, VISIONCREST  ORCHARD, SINGAPORE 238467</t>
  </si>
  <si>
    <t>0220103231143</t>
  </si>
  <si>
    <t>GEDUNG MAWAR, JALAN RAYA CAKUNG CILINCING, TANJUNG PRIOK  RT.000 RW.000, SUKAPURA, CILINCING, KOTA ADMINISTRASI JAKARTA UTARA, DAERAH KHUSUS IBUKOTA JAKARTA</t>
  </si>
  <si>
    <t>COLOR &amp; TOUCH CO.,LTD</t>
  </si>
  <si>
    <t>4F, 25, EUNHAENG-RO
YEONGDEUNPO-GU, SEOUL
REPUBLIC OF KOREA 07238,07238 SEOUL  SEOUL
ATTN :HARYEONG KWON /FABRIC SALES 2 TEAM</t>
  </si>
  <si>
    <t>0013107743062000000000</t>
  </si>
  <si>
    <t>BIROTIKA SEMESTA</t>
  </si>
  <si>
    <t>MULIA BUSINESS PARK BLD F, JL MT. HARYONO KAV 58-60 RT.000 RW.000, PANCORAN, PANCORAN, KOTA ADMINISTRASI JAKARTA SELATAN, DAERAH KHUSUS IBUKOTA JAKARTA</t>
  </si>
  <si>
    <t>24</t>
  </si>
  <si>
    <t>FAR EASTERN APPAREL (VIETNAM) LTD</t>
  </si>
  <si>
    <t>46 TU DO AVENUE, VIETNAM - SINGAPORE INDUSTRIAL PARK 1, BINH HOA WARD, HO CHI MINH CITY
ATTN :  IRIS NGUYEN</t>
  </si>
  <si>
    <t>0019404169432000000000</t>
  </si>
  <si>
    <t>BERKAT SUBUH TRANSPOR</t>
  </si>
  <si>
    <t>JALAN DR LATUMENTEN 1 NO.6 RT.001 RW.005, JELAMBAR, GROGOL PETAMBURAN, KOTA ADMINISTRASI JAKARTA BARAT, DAERAH KHUSUS IBUKOTA JAKARTA</t>
  </si>
  <si>
    <t>NOMOR DOKUMEN</t>
  </si>
  <si>
    <t>TANGGAL DOKUMEN</t>
  </si>
  <si>
    <t>KODE FASILITAS</t>
  </si>
  <si>
    <t>KODE IJIN</t>
  </si>
  <si>
    <t>920</t>
  </si>
  <si>
    <t>16/MK/WBC.09/2026</t>
  </si>
  <si>
    <t>2026-01-20</t>
  </si>
  <si>
    <t>380</t>
  </si>
  <si>
    <t>0070ENAG0826</t>
  </si>
  <si>
    <t>217</t>
  </si>
  <si>
    <t>025758</t>
  </si>
  <si>
    <t>2026-06-30</t>
  </si>
  <si>
    <t>026656</t>
  </si>
  <si>
    <t>2026-07-06</t>
  </si>
  <si>
    <t>027552</t>
  </si>
  <si>
    <t>2026-07-11</t>
  </si>
  <si>
    <t>0069ENAG0826</t>
  </si>
  <si>
    <t>0074ENAG0826</t>
  </si>
  <si>
    <t>0066ENAG0826</t>
  </si>
  <si>
    <t>013834</t>
  </si>
  <si>
    <t>2026-04-13</t>
  </si>
  <si>
    <t>011279</t>
  </si>
  <si>
    <t>2026-03-27</t>
  </si>
  <si>
    <t>012696</t>
  </si>
  <si>
    <t>2026-04-06</t>
  </si>
  <si>
    <t>0065ENAG0826</t>
  </si>
  <si>
    <t>0064ENAG0826</t>
  </si>
  <si>
    <t>023396</t>
  </si>
  <si>
    <t>2026-06-15</t>
  </si>
  <si>
    <t>0067ENAG0826</t>
  </si>
  <si>
    <t>0072ENAG0826</t>
  </si>
  <si>
    <t>027545</t>
  </si>
  <si>
    <t>027549</t>
  </si>
  <si>
    <t>0071ENAG0826</t>
  </si>
  <si>
    <t>921</t>
  </si>
  <si>
    <t>030423</t>
  </si>
  <si>
    <t>2026-07-31</t>
  </si>
  <si>
    <t>740</t>
  </si>
  <si>
    <t>1594331384</t>
  </si>
  <si>
    <t>630</t>
  </si>
  <si>
    <t>GK/OUT/0826/00150</t>
  </si>
  <si>
    <t>0083/E/NAG/0826</t>
  </si>
  <si>
    <t>0068ENAG0826</t>
  </si>
  <si>
    <t>0073ENAG0826</t>
  </si>
  <si>
    <t>76111009550</t>
  </si>
  <si>
    <t>0086/E/NAG/0826</t>
  </si>
  <si>
    <t>021086</t>
  </si>
  <si>
    <t>2026-05-29</t>
  </si>
  <si>
    <t>023636</t>
  </si>
  <si>
    <t>2026-06-17</t>
  </si>
  <si>
    <t>024290</t>
  </si>
  <si>
    <t>2026-06-19</t>
  </si>
  <si>
    <t>024785</t>
  </si>
  <si>
    <t>2026-06-24</t>
  </si>
  <si>
    <t>026291</t>
  </si>
  <si>
    <t>2026-07-03</t>
  </si>
  <si>
    <t>027100</t>
  </si>
  <si>
    <t>2026-07-08</t>
  </si>
  <si>
    <t>027079</t>
  </si>
  <si>
    <t>021181</t>
  </si>
  <si>
    <t>2026-05-30</t>
  </si>
  <si>
    <t>025036</t>
  </si>
  <si>
    <t>2026-06-25</t>
  </si>
  <si>
    <t>025298</t>
  </si>
  <si>
    <t>025555</t>
  </si>
  <si>
    <t>2026-06-29</t>
  </si>
  <si>
    <t>025727</t>
  </si>
  <si>
    <t>026090</t>
  </si>
  <si>
    <t>2026-07-02</t>
  </si>
  <si>
    <t>027998</t>
  </si>
  <si>
    <t>2026-07-15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</si>
  <si>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</si>
  <si>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</si>
  <si>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</si>
  <si>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</si>
  <si>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</si>
  <si>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</si>
  <si>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</si>
  <si>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JULIUS-S.</t>
  </si>
  <si>
    <t>VV 633N</t>
  </si>
  <si>
    <t>AG</t>
  </si>
  <si>
    <t>KE-MILE AIR</t>
  </si>
  <si>
    <t>8K0801</t>
  </si>
  <si>
    <t>TH</t>
  </si>
  <si>
    <t>634</t>
  </si>
  <si>
    <t>KODE KEMASAN</t>
  </si>
  <si>
    <t>JUMLAH KEMASAN</t>
  </si>
  <si>
    <t>MEREK</t>
  </si>
  <si>
    <t>NOMOR SEGEL</t>
  </si>
  <si>
    <t>CT</t>
  </si>
  <si>
    <t>OLD NAVY</t>
  </si>
  <si>
    <t>-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</si>
  <si>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</si>
  <si>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</si>
  <si>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</si>
  <si>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</si>
  <si>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</si>
  <si>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</si>
  <si>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</si>
  <si>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</si>
  <si>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</si>
  <si>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</si>
  <si>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</si>
  <si>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</si>
  <si>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</si>
  <si>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</si>
  <si>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</si>
  <si>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</si>
  <si>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</si>
  <si>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</si>
  <si>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</si>
  <si>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</si>
  <si>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</si>
  <si>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</si>
  <si>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</si>
  <si>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</si>
  <si>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</si>
  <si>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</si>
  <si>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</si>
  <si>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</si>
  <si>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</si>
  <si>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</si>
  <si>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</si>
  <si>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</si>
  <si>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</si>
  <si>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</si>
  <si>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</si>
  <si>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</si>
  <si>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</si>
  <si>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</si>
  <si>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</si>
  <si>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</si>
  <si>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</si>
  <si>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</si>
  <si>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</si>
  <si>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</si>
  <si>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</si>
  <si>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</si>
  <si>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</si>
  <si>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</si>
  <si>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</si>
  <si>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</si>
  <si>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</si>
  <si>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</si>
  <si>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</si>
  <si>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</si>
  <si>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</si>
  <si>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</si>
  <si>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</si>
  <si>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</si>
  <si>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61102000</t>
  </si>
  <si>
    <t>KNM/0626/341</t>
  </si>
  <si>
    <t>T-SHIRT SHORT SLEEVE PINK FLORAL _x000D_
PO : 61996889 OF GIRLS COTTON FIBERS, KNIT PULLOVER [100% COTTON}</t>
  </si>
  <si>
    <t>905994</t>
  </si>
  <si>
    <t>S</t>
  </si>
  <si>
    <t>PCE</t>
  </si>
  <si>
    <t>3204</t>
  </si>
  <si>
    <t>ID</t>
  </si>
  <si>
    <t>M</t>
  </si>
  <si>
    <t>L</t>
  </si>
  <si>
    <t>XL</t>
  </si>
  <si>
    <t>XS</t>
  </si>
  <si>
    <t>T-SHIRT SHORT SLEEVE PURPLE CHECK
PO : 61996866 OF GIRLS COTTON FIBERS, KNIT PULLOVER [100% COTTON}</t>
  </si>
  <si>
    <t>KNM/0626/342</t>
  </si>
  <si>
    <t>T-SHIRT SHORT SLEEVE PURPLE CHECK
PO : 61996970 OF GIRLS COTTON FIBERS, KNIT PULLOVER [100% COTTON}</t>
  </si>
  <si>
    <t>XXL</t>
  </si>
  <si>
    <t>L HUSKY</t>
  </si>
  <si>
    <t>XL HUSKY</t>
  </si>
  <si>
    <t>XXL HUSKY</t>
  </si>
  <si>
    <t>KNM/0426/215</t>
  </si>
  <si>
    <t>T-SHIRT LONG SLEEVE
PO : 61613711 STYLE: 906033 GIRLS COTTON FIBERS, KNIT PULLOVER [100% COTTON}, COLOR : PINK LEOPARD HEART, BLACK LEOPARD</t>
  </si>
  <si>
    <t>KNM/0426/138</t>
  </si>
  <si>
    <t>T-SHIRT SHORT SLEEVE PINK LEOPARD HEART _x000D_
PO : 61635628 OF GIRLS COTTON FIBERS, KNIT PULLOVER [100% COTTON}</t>
  </si>
  <si>
    <t>T-SHIRT SHORT SLEEVE BLACK LEOPARD _x000D_
PO : 61635628 OF GIRLS COTTON FIBERS, KNIT PULLOVER [100% COTTON}</t>
  </si>
  <si>
    <t>61051000</t>
  </si>
  <si>
    <t>KNM/0526/312</t>
  </si>
  <si>
    <t>POLO SHIRT SHORT SLEEVE CALLA LILY 451 
PO : 61808372 OF BOYS COTTON FIBERS, KNIT SHIRT, 60% COTTON 40% POLYESTER</t>
  </si>
  <si>
    <t>769950</t>
  </si>
  <si>
    <t>POLO SHIRT SHORT SLEEVE INK BLUE 
PO : 61808372 OF BOYS COTTON FIBERS, KNIT SHIRT, 60% COTTON 40% POLYESTER</t>
  </si>
  <si>
    <t>POLO SHIRT SHORT SLEEVE INK BLUE _x000D_
PO : 61808372 OF BOYS COTTON FIBERS, KNIT SHIRT, 60% COTTON 40% POLYESTER</t>
  </si>
  <si>
    <t>KNM/0426/132</t>
  </si>
  <si>
    <t>T-SHIRT SHORT SLEEVE PINK LEOPARD HEART _x000D_
PO : 61646956 OF GIRLS COTTON FIBERS, KNIT PULLOVER [100% COTTON]</t>
  </si>
  <si>
    <t>T-SHIRT SHORT SLEEVE BLACK LEOPARD _x000D_
PO : 61646956 OF GIRLS COTTON FIBERS, KNIT PULLOVER [100% COTTON]</t>
  </si>
  <si>
    <t>KNM/0726/348</t>
  </si>
  <si>
    <t>T-SHIRT LONG SLEEVE
PO :  61997057 STYLE: 906033 GIRLS COTTON FIBERS, KNIT PULLOVER [100% COTTON], COLOR : PINK FLORAL</t>
  </si>
  <si>
    <t>T-SHIRT LONG SLEEVE
PO :  61997057 STYLE: 906033 GIRLS COTTON FIBERS, KNIT PULLOVER [100% COTTON], COLOR : PURPLE CHECK, RED HEART</t>
  </si>
  <si>
    <t>KNM/0726/349</t>
  </si>
  <si>
    <t>T-SHIRT LONG SLEEVE
PO :  61996851 STYLE: 906033 GIRLS COTTON FIBERS, KNIT PULLOVER [100% COTTON], COLOR : PURPLE CHECK, RED HEART</t>
  </si>
  <si>
    <t>T-SHIRT LONG SLEEVE
PO :  61996851 STYLE: 906033 GIRLS COTTON FIBERS, KNIT PULLOVER [100% COTTON], COLOR : PINK FLORAL</t>
  </si>
  <si>
    <t>60041010</t>
  </si>
  <si>
    <t>FABRIC 95% COTTON 5% SPANDEX SINGLE
JERSEY (1457.40 YRD)-BLACK COFFE</t>
  </si>
  <si>
    <t>YRD</t>
  </si>
  <si>
    <t>KNM/0426/157</t>
  </si>
  <si>
    <t>T-SHIRT LONG SLEEVE
PO : 61646972 STYLE: 906033 GIRLS COTTON FIBERS, KNIT PULLOVER [100% COTTON}, COLOR : PINK LEOPARD HEART, BLACK LEOPARD</t>
  </si>
  <si>
    <t>T-SHIRT SHORT SLEEVE PINK FLORAL _x000D_
PO : 61996931 OF GIRLS COTTON FIBERS, KNIT PULLOVER [100% COTTON}</t>
  </si>
  <si>
    <t>T-SHIRT SHORT SLEEVE PINK FLORAL XXL_x000D_
PO : 61996931 OF GIRLS COTTON FIBERS, KNIT PULLOVER [100% COTTON}</t>
  </si>
  <si>
    <t>61031000</t>
  </si>
  <si>
    <t>FEA/0126/001</t>
  </si>
  <si>
    <t>BARANG JADI MIX MIX COLOR MIX SIZE</t>
  </si>
  <si>
    <t>BEYOND YOGA</t>
  </si>
  <si>
    <t>NN5155, NN7951, SD1367, SD7971D</t>
  </si>
  <si>
    <t>S, M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</si>
  <si>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</si>
  <si>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</si>
  <si>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</si>
  <si>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</si>
  <si>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</si>
  <si>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</si>
  <si>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</si>
  <si>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</si>
  <si>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</si>
  <si>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</si>
  <si>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</si>
  <si>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</si>
  <si>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</si>
  <si>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</si>
  <si>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</si>
  <si>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</si>
  <si>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</si>
  <si>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</si>
  <si>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</si>
  <si>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</si>
  <si>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</si>
  <si>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</si>
  <si>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</si>
  <si>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</si>
  <si>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</si>
  <si>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</si>
  <si>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</si>
  <si>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</si>
  <si>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</si>
  <si>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CENTRAL ASIA</t>
  </si>
  <si>
    <t>BANK BCA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</si>
  <si>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</si>
  <si>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</si>
  <si>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</si>
  <si>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</si>
  <si>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</si>
  <si>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</si>
  <si>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</si>
  <si>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</si>
  <si>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</si>
  <si>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</si>
  <si>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</si>
  <si>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</si>
  <si>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</si>
  <si>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</si>
  <si>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</si>
  <si>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</si>
  <si>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</si>
  <si>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</si>
  <si>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</si>
  <si>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</si>
  <si>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</si>
  <si>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</si>
  <si>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</si>
  <si>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490179/PM/KPU.1/2026</t>
  </si>
  <si>
    <t>489981/PM/KPU.1/2026</t>
  </si>
  <si>
    <t>3014</t>
  </si>
  <si>
    <t>007636/KPU.3/2026</t>
  </si>
  <si>
    <t>396757/KPU.3/2026</t>
  </si>
  <si>
    <t>30966</t>
  </si>
  <si>
    <t>490956/PM/KPU.1/2026</t>
  </si>
  <si>
    <t>490983/PM/KPU.1/2026</t>
  </si>
  <si>
    <t>490823/PM/KPU.1/2026</t>
  </si>
  <si>
    <t>490892/PM/KPU.1/2026</t>
  </si>
  <si>
    <t>491030/PM/KPU.1/2026</t>
  </si>
  <si>
    <t>490844/PM/KPU.1/2026</t>
  </si>
  <si>
    <t>490867/PM/KPU.1/2026</t>
  </si>
  <si>
    <t>490787/PM/KPU.1/2026</t>
  </si>
  <si>
    <t>491174/PM/KPU.1/2026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</si>
</sst>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\-mm\-yyyy\ hh:mm:ss"/>
    <numFmt numFmtId="165" formatCode="0.000"/>
    <numFmt numFmtId="176" formatCode="0.00000000000000"/>
  </numFmts>
  <fonts count="2" x14ac:knownFonts="1">
    <font>
      <sz val="11"/>
      <color rgb="FF000000"/>
      <name val="Calibri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1" fillId="0" borderId="0" xfId="0" applyNumberFormat="1" applyFont="1"/>
    <xf numFmtId="0" fontId="1" fillId="0" borderId="0" xfId="0" applyFont="1"/>
    <xf numFmtId="165" fontId="0" fillId="0" borderId="0" xfId="0" applyNumberFormat="1"/>
    <xf numFmtId="17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C14"/>
  <sheetViews>
    <sheetView workbookViewId="0"/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69" max="69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0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O2" t="s">
        <v>114</v>
      </c>
      <c r="AR2" t="s">
        <v>115</v>
      </c>
      <c r="AS2" t="s">
        <v>114</v>
      </c>
      <c r="AV2" t="s">
        <v>116</v>
      </c>
      <c r="AZ2" t="s">
        <v>117</v>
      </c>
      <c r="BE2" t="s">
        <v>118</v>
      </c>
      <c r="BF2" t="s">
        <v>118</v>
      </c>
      <c r="BI2" t="s">
        <v>118</v>
      </c>
      <c r="BJ2" t="s">
        <v>119</v>
      </c>
      <c r="BK2">
        <v>0</v>
      </c>
      <c r="BL2">
        <v>0</v>
      </c>
      <c r="BN2">
        <v>1863</v>
      </c>
      <c r="BO2">
        <v>0</v>
      </c>
      <c r="BP2">
        <v>0</v>
      </c>
      <c r="BQ2">
        <v>4439</v>
      </c>
      <c r="BR2">
        <v>0</v>
      </c>
      <c r="BS2">
        <v>0</v>
      </c>
      <c r="BT2">
        <v>0</v>
      </c>
      <c r="BU2">
        <v>0</v>
      </c>
      <c r="BV2">
        <v>0</v>
      </c>
      <c r="BW2">
        <v>18062</v>
      </c>
      <c r="BX2">
        <v>0</v>
      </c>
      <c r="BY2">
        <v>0</v>
      </c>
      <c r="CA2">
        <v>0</v>
      </c>
      <c r="CB2">
        <v>177.345</v>
      </c>
      <c r="CC2">
        <v>156.69499999999999</v>
      </c>
      <c r="CD2">
        <v>0</v>
      </c>
      <c r="CE2" t="s">
        <v>120</v>
      </c>
      <c r="CF2" t="s">
        <v>117</v>
      </c>
      <c r="CG2" t="s">
        <v>121</v>
      </c>
      <c r="CH2" t="s">
        <v>122</v>
      </c>
      <c r="CI2" t="s">
        <v>123</v>
      </c>
      <c r="CJ2" t="s">
        <v>124</v>
      </c>
      <c r="CO2" t="s">
        <v>106</v>
      </c>
      <c r="CP2" t="s">
        <v>125</v>
      </c>
      <c r="CQ2" t="s">
        <v>117</v>
      </c>
      <c r="CT2">
        <v>0</v>
      </c>
      <c r="CZ2" t="s">
        <v>126</v>
      </c>
      <c r="DB2" t="s">
        <v>108</v>
      </c>
    </row>
    <row r="3" spans="1:107" x14ac:dyDescent="0.25">
      <c r="A3" t="s">
        <v>127</v>
      </c>
      <c r="B3" t="s">
        <v>105</v>
      </c>
      <c r="C3" t="s">
        <v>106</v>
      </c>
      <c r="E3" t="s">
        <v>107</v>
      </c>
      <c r="G3" t="s">
        <v>106</v>
      </c>
      <c r="I3" t="s">
        <v>108</v>
      </c>
      <c r="P3" t="s">
        <v>109</v>
      </c>
      <c r="Q3" t="s">
        <v>110</v>
      </c>
      <c r="W3" t="s">
        <v>111</v>
      </c>
      <c r="AA3" t="s">
        <v>112</v>
      </c>
      <c r="AH3" t="s">
        <v>113</v>
      </c>
      <c r="AO3" t="s">
        <v>114</v>
      </c>
      <c r="AR3" t="s">
        <v>115</v>
      </c>
      <c r="AS3" t="s">
        <v>114</v>
      </c>
      <c r="AV3" t="s">
        <v>116</v>
      </c>
      <c r="AZ3" t="s">
        <v>117</v>
      </c>
      <c r="BE3" t="s">
        <v>118</v>
      </c>
      <c r="BF3" t="s">
        <v>118</v>
      </c>
      <c r="BI3" t="s">
        <v>118</v>
      </c>
      <c r="BJ3" t="s">
        <v>119</v>
      </c>
      <c r="BK3">
        <v>0</v>
      </c>
      <c r="BL3">
        <v>0</v>
      </c>
      <c r="BN3">
        <v>618.84</v>
      </c>
      <c r="BO3">
        <v>0</v>
      </c>
      <c r="BP3">
        <v>0</v>
      </c>
      <c r="BQ3">
        <v>1474.52</v>
      </c>
      <c r="BR3">
        <v>0</v>
      </c>
      <c r="BS3">
        <v>0</v>
      </c>
      <c r="BT3">
        <v>0</v>
      </c>
      <c r="BU3">
        <v>0</v>
      </c>
      <c r="BV3">
        <v>0</v>
      </c>
      <c r="BW3">
        <v>18062</v>
      </c>
      <c r="BX3">
        <v>0</v>
      </c>
      <c r="BY3">
        <v>0</v>
      </c>
      <c r="CA3">
        <v>0</v>
      </c>
      <c r="CB3">
        <v>58.6</v>
      </c>
      <c r="CC3">
        <v>51.85</v>
      </c>
      <c r="CD3">
        <v>0</v>
      </c>
      <c r="CE3" t="s">
        <v>120</v>
      </c>
      <c r="CF3" t="s">
        <v>117</v>
      </c>
      <c r="CG3" t="s">
        <v>121</v>
      </c>
      <c r="CH3" t="s">
        <v>122</v>
      </c>
      <c r="CI3" t="s">
        <v>123</v>
      </c>
      <c r="CJ3" t="s">
        <v>124</v>
      </c>
      <c r="CO3" t="s">
        <v>106</v>
      </c>
      <c r="CP3" t="s">
        <v>128</v>
      </c>
      <c r="CQ3" t="s">
        <v>117</v>
      </c>
      <c r="CT3">
        <v>0</v>
      </c>
      <c r="CZ3" t="s">
        <v>126</v>
      </c>
      <c r="DB3" t="s">
        <v>108</v>
      </c>
    </row>
    <row r="4" spans="1:107" x14ac:dyDescent="0.25">
      <c r="A4" t="s">
        <v>129</v>
      </c>
      <c r="B4" t="s">
        <v>105</v>
      </c>
      <c r="C4" t="s">
        <v>106</v>
      </c>
      <c r="E4" t="s">
        <v>107</v>
      </c>
      <c r="G4" t="s">
        <v>106</v>
      </c>
      <c r="I4" t="s">
        <v>108</v>
      </c>
      <c r="P4" t="s">
        <v>109</v>
      </c>
      <c r="Q4" t="s">
        <v>110</v>
      </c>
      <c r="W4" t="s">
        <v>111</v>
      </c>
      <c r="AA4" t="s">
        <v>112</v>
      </c>
      <c r="AH4" t="s">
        <v>113</v>
      </c>
      <c r="AO4" t="s">
        <v>114</v>
      </c>
      <c r="AR4" t="s">
        <v>115</v>
      </c>
      <c r="AS4" t="s">
        <v>114</v>
      </c>
      <c r="AV4" t="s">
        <v>116</v>
      </c>
      <c r="AZ4" t="s">
        <v>117</v>
      </c>
      <c r="BE4" t="s">
        <v>118</v>
      </c>
      <c r="BF4" t="s">
        <v>118</v>
      </c>
      <c r="BI4" t="s">
        <v>118</v>
      </c>
      <c r="BJ4" t="s">
        <v>119</v>
      </c>
      <c r="BK4">
        <v>0</v>
      </c>
      <c r="BL4">
        <v>0</v>
      </c>
      <c r="BN4">
        <v>401.76</v>
      </c>
      <c r="BO4">
        <v>0</v>
      </c>
      <c r="BP4">
        <v>0</v>
      </c>
      <c r="BQ4">
        <v>957.28</v>
      </c>
      <c r="BR4">
        <v>0</v>
      </c>
      <c r="BS4">
        <v>0</v>
      </c>
      <c r="BT4">
        <v>0</v>
      </c>
      <c r="BU4">
        <v>0</v>
      </c>
      <c r="BV4">
        <v>0</v>
      </c>
      <c r="BW4">
        <v>18062</v>
      </c>
      <c r="BX4">
        <v>0</v>
      </c>
      <c r="BY4">
        <v>0</v>
      </c>
      <c r="CA4">
        <v>0</v>
      </c>
      <c r="CB4">
        <v>40.695</v>
      </c>
      <c r="CC4">
        <v>35.895000000000003</v>
      </c>
      <c r="CD4">
        <v>0</v>
      </c>
      <c r="CE4" t="s">
        <v>120</v>
      </c>
      <c r="CF4" t="s">
        <v>117</v>
      </c>
      <c r="CG4" t="s">
        <v>121</v>
      </c>
      <c r="CH4" t="s">
        <v>122</v>
      </c>
      <c r="CI4" t="s">
        <v>123</v>
      </c>
      <c r="CJ4" t="s">
        <v>124</v>
      </c>
      <c r="CO4" t="s">
        <v>106</v>
      </c>
      <c r="CP4" t="s">
        <v>130</v>
      </c>
      <c r="CQ4" t="s">
        <v>117</v>
      </c>
      <c r="CT4">
        <v>0</v>
      </c>
      <c r="CZ4" t="s">
        <v>126</v>
      </c>
      <c r="DB4" t="s">
        <v>108</v>
      </c>
    </row>
    <row r="5" spans="1:107" x14ac:dyDescent="0.25">
      <c r="A5" t="s">
        <v>131</v>
      </c>
      <c r="B5" t="s">
        <v>105</v>
      </c>
      <c r="C5" t="s">
        <v>106</v>
      </c>
      <c r="E5" t="s">
        <v>107</v>
      </c>
      <c r="G5" t="s">
        <v>106</v>
      </c>
      <c r="I5" t="s">
        <v>108</v>
      </c>
      <c r="P5" t="s">
        <v>109</v>
      </c>
      <c r="Q5" t="s">
        <v>110</v>
      </c>
      <c r="W5" t="s">
        <v>111</v>
      </c>
      <c r="AA5" t="s">
        <v>112</v>
      </c>
      <c r="AH5" t="s">
        <v>113</v>
      </c>
      <c r="AO5" t="s">
        <v>114</v>
      </c>
      <c r="AR5" t="s">
        <v>115</v>
      </c>
      <c r="AS5" t="s">
        <v>114</v>
      </c>
      <c r="AV5" t="s">
        <v>117</v>
      </c>
      <c r="AZ5" t="s">
        <v>117</v>
      </c>
      <c r="BE5" t="s">
        <v>118</v>
      </c>
      <c r="BF5" t="s">
        <v>118</v>
      </c>
      <c r="BI5" t="s">
        <v>118</v>
      </c>
      <c r="BJ5" t="s">
        <v>119</v>
      </c>
      <c r="BK5">
        <v>0</v>
      </c>
      <c r="BL5">
        <v>0</v>
      </c>
      <c r="BN5">
        <v>4044.6</v>
      </c>
      <c r="BO5">
        <v>0</v>
      </c>
      <c r="BP5">
        <v>0</v>
      </c>
      <c r="BQ5">
        <v>9678.15</v>
      </c>
      <c r="BR5">
        <v>0</v>
      </c>
      <c r="BS5">
        <v>0</v>
      </c>
      <c r="BT5">
        <v>0</v>
      </c>
      <c r="BU5">
        <v>0</v>
      </c>
      <c r="BV5">
        <v>0</v>
      </c>
      <c r="BW5">
        <v>18062</v>
      </c>
      <c r="BY5">
        <v>0</v>
      </c>
      <c r="CA5">
        <v>0</v>
      </c>
      <c r="CB5">
        <v>444.495</v>
      </c>
      <c r="CC5">
        <v>401.14499999999998</v>
      </c>
      <c r="CD5">
        <v>0</v>
      </c>
      <c r="CE5" t="s">
        <v>120</v>
      </c>
      <c r="CF5" t="s">
        <v>117</v>
      </c>
      <c r="CG5" t="s">
        <v>121</v>
      </c>
      <c r="CH5" t="s">
        <v>122</v>
      </c>
      <c r="CI5" t="s">
        <v>123</v>
      </c>
      <c r="CJ5" t="s">
        <v>124</v>
      </c>
      <c r="CO5" t="s">
        <v>106</v>
      </c>
      <c r="CP5" t="s">
        <v>132</v>
      </c>
      <c r="CQ5" t="s">
        <v>117</v>
      </c>
      <c r="CT5">
        <v>0</v>
      </c>
      <c r="CZ5" t="s">
        <v>126</v>
      </c>
      <c r="DB5" t="s">
        <v>108</v>
      </c>
    </row>
    <row r="6" spans="1:107" x14ac:dyDescent="0.25">
      <c r="A6" t="s">
        <v>133</v>
      </c>
      <c r="B6" t="s">
        <v>105</v>
      </c>
      <c r="C6" t="s">
        <v>106</v>
      </c>
      <c r="E6" t="s">
        <v>107</v>
      </c>
      <c r="G6" t="s">
        <v>106</v>
      </c>
      <c r="I6" t="s">
        <v>108</v>
      </c>
      <c r="P6" t="s">
        <v>109</v>
      </c>
      <c r="Q6" t="s">
        <v>110</v>
      </c>
      <c r="W6" t="s">
        <v>111</v>
      </c>
      <c r="AA6" t="s">
        <v>112</v>
      </c>
      <c r="AH6" t="s">
        <v>113</v>
      </c>
      <c r="AO6" t="s">
        <v>114</v>
      </c>
      <c r="AR6" t="s">
        <v>115</v>
      </c>
      <c r="AS6" t="s">
        <v>114</v>
      </c>
      <c r="AV6" t="s">
        <v>116</v>
      </c>
      <c r="AZ6" t="s">
        <v>117</v>
      </c>
      <c r="BE6" t="s">
        <v>118</v>
      </c>
      <c r="BF6" t="s">
        <v>118</v>
      </c>
      <c r="BI6" t="s">
        <v>118</v>
      </c>
      <c r="BJ6" t="s">
        <v>119</v>
      </c>
      <c r="BK6">
        <v>0</v>
      </c>
      <c r="BL6">
        <v>0</v>
      </c>
      <c r="BN6">
        <v>605.07000000000005</v>
      </c>
      <c r="BO6">
        <v>0</v>
      </c>
      <c r="BP6">
        <v>0</v>
      </c>
      <c r="BQ6">
        <v>1411.83</v>
      </c>
      <c r="BR6">
        <v>0</v>
      </c>
      <c r="BS6">
        <v>0</v>
      </c>
      <c r="BT6">
        <v>0</v>
      </c>
      <c r="BU6">
        <v>0</v>
      </c>
      <c r="BV6">
        <v>0</v>
      </c>
      <c r="BW6">
        <v>18062</v>
      </c>
      <c r="BX6">
        <v>0</v>
      </c>
      <c r="BY6">
        <v>0</v>
      </c>
      <c r="CA6">
        <v>0</v>
      </c>
      <c r="CB6">
        <v>60.505000000000003</v>
      </c>
      <c r="CC6">
        <v>53.555</v>
      </c>
      <c r="CD6">
        <v>0</v>
      </c>
      <c r="CE6" t="s">
        <v>120</v>
      </c>
      <c r="CF6" t="s">
        <v>117</v>
      </c>
      <c r="CG6" t="s">
        <v>121</v>
      </c>
      <c r="CH6" t="s">
        <v>122</v>
      </c>
      <c r="CI6" t="s">
        <v>123</v>
      </c>
      <c r="CJ6" t="s">
        <v>124</v>
      </c>
      <c r="CO6" t="s">
        <v>106</v>
      </c>
      <c r="CP6" t="s">
        <v>134</v>
      </c>
      <c r="CQ6" t="s">
        <v>117</v>
      </c>
      <c r="CT6">
        <v>0</v>
      </c>
      <c r="CZ6" t="s">
        <v>126</v>
      </c>
      <c r="DB6" t="s">
        <v>108</v>
      </c>
    </row>
    <row r="7" spans="1:107" x14ac:dyDescent="0.25">
      <c r="A7" t="s">
        <v>135</v>
      </c>
      <c r="B7" t="s">
        <v>105</v>
      </c>
      <c r="C7" t="s">
        <v>106</v>
      </c>
      <c r="E7" t="s">
        <v>107</v>
      </c>
      <c r="G7" t="s">
        <v>106</v>
      </c>
      <c r="I7" t="s">
        <v>108</v>
      </c>
      <c r="P7" t="s">
        <v>109</v>
      </c>
      <c r="Q7" t="s">
        <v>110</v>
      </c>
      <c r="W7" t="s">
        <v>111</v>
      </c>
      <c r="AA7" t="s">
        <v>112</v>
      </c>
      <c r="AH7" t="s">
        <v>113</v>
      </c>
      <c r="AO7" t="s">
        <v>114</v>
      </c>
      <c r="AR7" t="s">
        <v>115</v>
      </c>
      <c r="AS7" t="s">
        <v>114</v>
      </c>
      <c r="AV7" t="s">
        <v>116</v>
      </c>
      <c r="AZ7" t="s">
        <v>117</v>
      </c>
      <c r="BE7" t="s">
        <v>118</v>
      </c>
      <c r="BF7" t="s">
        <v>118</v>
      </c>
      <c r="BI7" t="s">
        <v>118</v>
      </c>
      <c r="BJ7" t="s">
        <v>119</v>
      </c>
      <c r="BK7">
        <v>0</v>
      </c>
      <c r="BL7">
        <v>0</v>
      </c>
      <c r="BN7">
        <v>4851.8999999999996</v>
      </c>
      <c r="BO7">
        <v>0</v>
      </c>
      <c r="BP7">
        <v>0</v>
      </c>
      <c r="BQ7">
        <v>12549.66</v>
      </c>
      <c r="BR7">
        <v>0</v>
      </c>
      <c r="BS7">
        <v>0</v>
      </c>
      <c r="BT7">
        <v>0</v>
      </c>
      <c r="BU7">
        <v>0</v>
      </c>
      <c r="BV7">
        <v>0</v>
      </c>
      <c r="BW7">
        <v>18062</v>
      </c>
      <c r="BX7">
        <v>0</v>
      </c>
      <c r="BY7">
        <v>0</v>
      </c>
      <c r="CA7">
        <v>0</v>
      </c>
      <c r="CB7">
        <v>729.56</v>
      </c>
      <c r="CC7">
        <v>672.66</v>
      </c>
      <c r="CD7">
        <v>0</v>
      </c>
      <c r="CE7" t="s">
        <v>120</v>
      </c>
      <c r="CF7" t="s">
        <v>117</v>
      </c>
      <c r="CG7" t="s">
        <v>121</v>
      </c>
      <c r="CH7" t="s">
        <v>122</v>
      </c>
      <c r="CI7" t="s">
        <v>123</v>
      </c>
      <c r="CJ7" t="s">
        <v>124</v>
      </c>
      <c r="CO7" t="s">
        <v>106</v>
      </c>
      <c r="CP7" t="s">
        <v>136</v>
      </c>
      <c r="CQ7" t="s">
        <v>117</v>
      </c>
      <c r="CT7">
        <v>0</v>
      </c>
      <c r="CZ7" t="s">
        <v>126</v>
      </c>
      <c r="DB7" t="s">
        <v>108</v>
      </c>
    </row>
    <row r="8" spans="1:107" x14ac:dyDescent="0.25">
      <c r="A8" t="s">
        <v>137</v>
      </c>
      <c r="B8" t="s">
        <v>105</v>
      </c>
      <c r="C8" t="s">
        <v>106</v>
      </c>
      <c r="E8" t="s">
        <v>107</v>
      </c>
      <c r="G8" t="s">
        <v>106</v>
      </c>
      <c r="I8" t="s">
        <v>108</v>
      </c>
      <c r="P8" t="s">
        <v>109</v>
      </c>
      <c r="Q8" t="s">
        <v>110</v>
      </c>
      <c r="W8" t="s">
        <v>111</v>
      </c>
      <c r="AA8" t="s">
        <v>112</v>
      </c>
      <c r="AH8" t="s">
        <v>113</v>
      </c>
      <c r="AO8" t="s">
        <v>114</v>
      </c>
      <c r="AR8" t="s">
        <v>115</v>
      </c>
      <c r="AS8" t="s">
        <v>114</v>
      </c>
      <c r="AV8" t="s">
        <v>116</v>
      </c>
      <c r="AZ8" t="s">
        <v>117</v>
      </c>
      <c r="BE8" t="s">
        <v>118</v>
      </c>
      <c r="BF8" t="s">
        <v>118</v>
      </c>
      <c r="BI8" t="s">
        <v>118</v>
      </c>
      <c r="BJ8" t="s">
        <v>119</v>
      </c>
      <c r="BK8">
        <v>0</v>
      </c>
      <c r="BL8">
        <v>0</v>
      </c>
      <c r="BN8">
        <v>315.89999999999998</v>
      </c>
      <c r="BO8">
        <v>0</v>
      </c>
      <c r="BP8">
        <v>0</v>
      </c>
      <c r="BQ8">
        <v>737.1</v>
      </c>
      <c r="BR8">
        <v>0</v>
      </c>
      <c r="BS8">
        <v>0</v>
      </c>
      <c r="BT8">
        <v>0</v>
      </c>
      <c r="BU8">
        <v>0</v>
      </c>
      <c r="BV8">
        <v>0</v>
      </c>
      <c r="BW8">
        <v>18062</v>
      </c>
      <c r="BX8">
        <v>0</v>
      </c>
      <c r="BY8">
        <v>0</v>
      </c>
      <c r="CA8">
        <v>0</v>
      </c>
      <c r="CB8">
        <v>32.049999999999997</v>
      </c>
      <c r="CC8">
        <v>29.35</v>
      </c>
      <c r="CD8">
        <v>0</v>
      </c>
      <c r="CE8" t="s">
        <v>120</v>
      </c>
      <c r="CF8" t="s">
        <v>117</v>
      </c>
      <c r="CG8" t="s">
        <v>121</v>
      </c>
      <c r="CH8" t="s">
        <v>122</v>
      </c>
      <c r="CI8" t="s">
        <v>123</v>
      </c>
      <c r="CJ8" t="s">
        <v>124</v>
      </c>
      <c r="CO8" t="s">
        <v>106</v>
      </c>
      <c r="CP8" t="s">
        <v>138</v>
      </c>
      <c r="CQ8" t="s">
        <v>117</v>
      </c>
      <c r="CT8">
        <v>0</v>
      </c>
      <c r="CZ8" t="s">
        <v>126</v>
      </c>
      <c r="DB8" t="s">
        <v>108</v>
      </c>
    </row>
    <row r="9" spans="1:107" x14ac:dyDescent="0.25">
      <c r="A9" t="s">
        <v>139</v>
      </c>
      <c r="B9" t="s">
        <v>105</v>
      </c>
      <c r="C9" t="s">
        <v>106</v>
      </c>
      <c r="E9" t="s">
        <v>107</v>
      </c>
      <c r="G9" t="s">
        <v>106</v>
      </c>
      <c r="I9" t="s">
        <v>108</v>
      </c>
      <c r="P9" t="s">
        <v>109</v>
      </c>
      <c r="Q9" t="s">
        <v>110</v>
      </c>
      <c r="W9" t="s">
        <v>111</v>
      </c>
      <c r="AA9" t="s">
        <v>112</v>
      </c>
      <c r="AH9" t="s">
        <v>113</v>
      </c>
      <c r="AO9" t="s">
        <v>114</v>
      </c>
      <c r="AR9" t="s">
        <v>115</v>
      </c>
      <c r="AS9" t="s">
        <v>114</v>
      </c>
      <c r="AV9" t="s">
        <v>116</v>
      </c>
      <c r="AZ9" t="s">
        <v>117</v>
      </c>
      <c r="BE9" t="s">
        <v>118</v>
      </c>
      <c r="BF9" t="s">
        <v>118</v>
      </c>
      <c r="BI9" t="s">
        <v>118</v>
      </c>
      <c r="BJ9" t="s">
        <v>119</v>
      </c>
      <c r="BK9">
        <v>0</v>
      </c>
      <c r="BL9">
        <v>0</v>
      </c>
      <c r="BN9">
        <v>4083.24</v>
      </c>
      <c r="BO9">
        <v>0</v>
      </c>
      <c r="BP9">
        <v>0</v>
      </c>
      <c r="BQ9">
        <v>9701.18</v>
      </c>
      <c r="BR9">
        <v>0</v>
      </c>
      <c r="BS9">
        <v>0</v>
      </c>
      <c r="BT9">
        <v>0</v>
      </c>
      <c r="BU9">
        <v>0</v>
      </c>
      <c r="BV9">
        <v>0</v>
      </c>
      <c r="BW9">
        <v>18062</v>
      </c>
      <c r="BY9">
        <v>0</v>
      </c>
      <c r="CA9">
        <v>0</v>
      </c>
      <c r="CB9">
        <v>466.83499999999998</v>
      </c>
      <c r="CC9">
        <v>417.63499999999999</v>
      </c>
      <c r="CD9">
        <v>0</v>
      </c>
      <c r="CE9" t="s">
        <v>120</v>
      </c>
      <c r="CF9" t="s">
        <v>117</v>
      </c>
      <c r="CG9" t="s">
        <v>121</v>
      </c>
      <c r="CH9" t="s">
        <v>122</v>
      </c>
      <c r="CI9" t="s">
        <v>123</v>
      </c>
      <c r="CJ9" t="s">
        <v>124</v>
      </c>
      <c r="CO9" t="s">
        <v>106</v>
      </c>
      <c r="CP9" t="s">
        <v>140</v>
      </c>
      <c r="CQ9" t="s">
        <v>117</v>
      </c>
      <c r="CT9">
        <v>0</v>
      </c>
      <c r="CZ9" t="s">
        <v>126</v>
      </c>
      <c r="DB9" t="s">
        <v>108</v>
      </c>
    </row>
    <row r="10" spans="1:107" x14ac:dyDescent="0.25">
      <c r="A10" t="s">
        <v>141</v>
      </c>
      <c r="B10" t="s">
        <v>105</v>
      </c>
      <c r="C10" t="s">
        <v>106</v>
      </c>
      <c r="E10" t="s">
        <v>107</v>
      </c>
      <c r="G10" t="s">
        <v>106</v>
      </c>
      <c r="I10" t="s">
        <v>108</v>
      </c>
      <c r="P10" t="s">
        <v>109</v>
      </c>
      <c r="Q10" t="s">
        <v>110</v>
      </c>
      <c r="W10" t="s">
        <v>111</v>
      </c>
      <c r="AA10" t="s">
        <v>112</v>
      </c>
      <c r="AH10" t="s">
        <v>113</v>
      </c>
      <c r="AO10" t="s">
        <v>114</v>
      </c>
      <c r="AR10" t="s">
        <v>115</v>
      </c>
      <c r="AS10" t="s">
        <v>114</v>
      </c>
      <c r="AV10" t="s">
        <v>116</v>
      </c>
      <c r="AZ10" t="s">
        <v>117</v>
      </c>
      <c r="BE10" t="s">
        <v>118</v>
      </c>
      <c r="BF10" t="s">
        <v>118</v>
      </c>
      <c r="BI10" t="s">
        <v>118</v>
      </c>
      <c r="BJ10" t="s">
        <v>119</v>
      </c>
      <c r="BK10">
        <v>0</v>
      </c>
      <c r="BL10">
        <v>0</v>
      </c>
      <c r="BN10">
        <v>12160.68</v>
      </c>
      <c r="BO10">
        <v>0</v>
      </c>
      <c r="BP10">
        <v>0</v>
      </c>
      <c r="BQ10">
        <v>29625.48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18062</v>
      </c>
      <c r="BY10">
        <v>0</v>
      </c>
      <c r="CA10">
        <v>0</v>
      </c>
      <c r="CB10">
        <v>1335.6</v>
      </c>
      <c r="CC10">
        <v>1209.3</v>
      </c>
      <c r="CD10">
        <v>0</v>
      </c>
      <c r="CE10" t="s">
        <v>120</v>
      </c>
      <c r="CF10" t="s">
        <v>117</v>
      </c>
      <c r="CG10" t="s">
        <v>121</v>
      </c>
      <c r="CH10" t="s">
        <v>122</v>
      </c>
      <c r="CI10" t="s">
        <v>123</v>
      </c>
      <c r="CJ10" t="s">
        <v>124</v>
      </c>
      <c r="CO10" t="s">
        <v>106</v>
      </c>
      <c r="CP10" t="s">
        <v>142</v>
      </c>
      <c r="CQ10" t="s">
        <v>117</v>
      </c>
      <c r="CT10">
        <v>0</v>
      </c>
      <c r="CZ10" t="s">
        <v>126</v>
      </c>
      <c r="DB10" t="s">
        <v>108</v>
      </c>
    </row>
    <row r="11" spans="1:107" x14ac:dyDescent="0.25">
      <c r="A11" t="s">
        <v>143</v>
      </c>
      <c r="B11" t="s">
        <v>105</v>
      </c>
      <c r="C11" t="s">
        <v>144</v>
      </c>
      <c r="E11" t="s">
        <v>107</v>
      </c>
      <c r="G11" t="s">
        <v>144</v>
      </c>
      <c r="I11" t="s">
        <v>145</v>
      </c>
      <c r="P11" t="s">
        <v>109</v>
      </c>
      <c r="Q11" t="s">
        <v>146</v>
      </c>
      <c r="W11" t="s">
        <v>111</v>
      </c>
      <c r="AA11" t="s">
        <v>112</v>
      </c>
      <c r="AH11" t="s">
        <v>147</v>
      </c>
      <c r="AO11" t="s">
        <v>148</v>
      </c>
      <c r="AR11" t="s">
        <v>149</v>
      </c>
      <c r="AS11" t="s">
        <v>148</v>
      </c>
      <c r="AV11" t="s">
        <v>116</v>
      </c>
      <c r="AZ11" t="s">
        <v>117</v>
      </c>
      <c r="BE11" t="s">
        <v>118</v>
      </c>
      <c r="BF11" t="s">
        <v>118</v>
      </c>
      <c r="BI11" t="s">
        <v>118</v>
      </c>
      <c r="BJ11" t="s">
        <v>119</v>
      </c>
      <c r="BK11">
        <v>0.19</v>
      </c>
      <c r="BL11">
        <v>0</v>
      </c>
      <c r="BN11">
        <v>0</v>
      </c>
      <c r="BO11">
        <v>0.19</v>
      </c>
      <c r="BP11">
        <v>8.7100000000000009</v>
      </c>
      <c r="BQ11">
        <v>103.6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18062</v>
      </c>
      <c r="BY11">
        <v>0</v>
      </c>
      <c r="CA11">
        <v>0</v>
      </c>
      <c r="CB11">
        <v>18.5</v>
      </c>
      <c r="CC11">
        <v>17.2</v>
      </c>
      <c r="CD11">
        <v>0</v>
      </c>
      <c r="CE11" t="s">
        <v>120</v>
      </c>
      <c r="CF11" t="s">
        <v>117</v>
      </c>
      <c r="CG11" t="s">
        <v>121</v>
      </c>
      <c r="CH11" t="s">
        <v>122</v>
      </c>
      <c r="CI11" t="s">
        <v>123</v>
      </c>
      <c r="CJ11" t="s">
        <v>65</v>
      </c>
      <c r="CO11" t="s">
        <v>144</v>
      </c>
      <c r="CP11" t="s">
        <v>150</v>
      </c>
      <c r="CQ11" t="s">
        <v>117</v>
      </c>
      <c r="CT11">
        <v>0</v>
      </c>
      <c r="CZ11" t="s">
        <v>126</v>
      </c>
      <c r="DB11" t="s">
        <v>108</v>
      </c>
    </row>
    <row r="12" spans="1:107" x14ac:dyDescent="0.25">
      <c r="A12" t="s">
        <v>151</v>
      </c>
      <c r="B12" t="s">
        <v>105</v>
      </c>
      <c r="C12" t="s">
        <v>106</v>
      </c>
      <c r="E12" t="s">
        <v>107</v>
      </c>
      <c r="G12" t="s">
        <v>106</v>
      </c>
      <c r="I12" t="s">
        <v>108</v>
      </c>
      <c r="P12" t="s">
        <v>109</v>
      </c>
      <c r="Q12" t="s">
        <v>110</v>
      </c>
      <c r="W12" t="s">
        <v>111</v>
      </c>
      <c r="AA12" t="s">
        <v>112</v>
      </c>
      <c r="AH12" t="s">
        <v>113</v>
      </c>
      <c r="AO12" t="s">
        <v>114</v>
      </c>
      <c r="AR12" t="s">
        <v>115</v>
      </c>
      <c r="AS12" t="s">
        <v>114</v>
      </c>
      <c r="AV12" t="s">
        <v>116</v>
      </c>
      <c r="AZ12" t="s">
        <v>117</v>
      </c>
      <c r="BE12" t="s">
        <v>118</v>
      </c>
      <c r="BF12" t="s">
        <v>118</v>
      </c>
      <c r="BI12" t="s">
        <v>118</v>
      </c>
      <c r="BJ12" t="s">
        <v>119</v>
      </c>
      <c r="BK12">
        <v>0</v>
      </c>
      <c r="BL12">
        <v>0</v>
      </c>
      <c r="BN12">
        <v>1492.68</v>
      </c>
      <c r="BO12">
        <v>0</v>
      </c>
      <c r="BP12">
        <v>0</v>
      </c>
      <c r="BQ12">
        <v>3482.92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18062</v>
      </c>
      <c r="BY12">
        <v>0</v>
      </c>
      <c r="CA12">
        <v>0</v>
      </c>
      <c r="CB12">
        <v>172.26</v>
      </c>
      <c r="CC12">
        <v>152.36000000000001</v>
      </c>
      <c r="CD12">
        <v>0</v>
      </c>
      <c r="CE12" t="s">
        <v>120</v>
      </c>
      <c r="CF12" t="s">
        <v>117</v>
      </c>
      <c r="CG12" t="s">
        <v>121</v>
      </c>
      <c r="CH12" t="s">
        <v>122</v>
      </c>
      <c r="CI12" t="s">
        <v>123</v>
      </c>
      <c r="CJ12" t="s">
        <v>124</v>
      </c>
      <c r="CO12" t="s">
        <v>106</v>
      </c>
      <c r="CP12" t="s">
        <v>152</v>
      </c>
      <c r="CQ12" t="s">
        <v>117</v>
      </c>
      <c r="CT12">
        <v>0</v>
      </c>
      <c r="CZ12" t="s">
        <v>126</v>
      </c>
      <c r="DB12" t="s">
        <v>108</v>
      </c>
    </row>
    <row r="13" spans="1:107" x14ac:dyDescent="0.25">
      <c r="A13" t="s">
        <v>153</v>
      </c>
      <c r="B13" t="s">
        <v>105</v>
      </c>
      <c r="C13" t="s">
        <v>106</v>
      </c>
      <c r="E13" t="s">
        <v>107</v>
      </c>
      <c r="G13" t="s">
        <v>106</v>
      </c>
      <c r="I13" t="s">
        <v>108</v>
      </c>
      <c r="P13" t="s">
        <v>109</v>
      </c>
      <c r="Q13" t="s">
        <v>110</v>
      </c>
      <c r="W13" t="s">
        <v>111</v>
      </c>
      <c r="AA13" t="s">
        <v>112</v>
      </c>
      <c r="AH13" t="s">
        <v>113</v>
      </c>
      <c r="AO13" t="s">
        <v>114</v>
      </c>
      <c r="AR13" t="s">
        <v>115</v>
      </c>
      <c r="AS13" t="s">
        <v>114</v>
      </c>
      <c r="AV13" t="s">
        <v>116</v>
      </c>
      <c r="AZ13" t="s">
        <v>117</v>
      </c>
      <c r="BE13" t="s">
        <v>118</v>
      </c>
      <c r="BF13" t="s">
        <v>118</v>
      </c>
      <c r="BI13" t="s">
        <v>118</v>
      </c>
      <c r="BJ13" t="s">
        <v>119</v>
      </c>
      <c r="BK13">
        <v>0</v>
      </c>
      <c r="BL13">
        <v>0</v>
      </c>
      <c r="BN13">
        <v>852.12</v>
      </c>
      <c r="BO13">
        <v>0</v>
      </c>
      <c r="BP13">
        <v>0</v>
      </c>
      <c r="BQ13">
        <v>1977.76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18062</v>
      </c>
      <c r="BX13">
        <v>0</v>
      </c>
      <c r="BY13">
        <v>0</v>
      </c>
      <c r="CA13">
        <v>0</v>
      </c>
      <c r="CB13">
        <v>84.68</v>
      </c>
      <c r="CC13">
        <v>76.180000000000007</v>
      </c>
      <c r="CD13">
        <v>0</v>
      </c>
      <c r="CE13" t="s">
        <v>120</v>
      </c>
      <c r="CF13" t="s">
        <v>117</v>
      </c>
      <c r="CG13" t="s">
        <v>121</v>
      </c>
      <c r="CH13" t="s">
        <v>122</v>
      </c>
      <c r="CI13" t="s">
        <v>123</v>
      </c>
      <c r="CJ13" t="s">
        <v>124</v>
      </c>
      <c r="CO13" t="s">
        <v>106</v>
      </c>
      <c r="CP13" t="s">
        <v>154</v>
      </c>
      <c r="CQ13" t="s">
        <v>117</v>
      </c>
      <c r="CT13">
        <v>0</v>
      </c>
      <c r="CZ13" t="s">
        <v>126</v>
      </c>
      <c r="DB13" t="s">
        <v>108</v>
      </c>
    </row>
    <row r="14" spans="1:107" x14ac:dyDescent="0.25">
      <c r="A14" t="s">
        <v>155</v>
      </c>
      <c r="B14" t="s">
        <v>105</v>
      </c>
      <c r="C14" t="s">
        <v>144</v>
      </c>
      <c r="E14" t="s">
        <v>107</v>
      </c>
      <c r="G14" t="s">
        <v>144</v>
      </c>
      <c r="I14" t="s">
        <v>108</v>
      </c>
      <c r="P14" t="s">
        <v>109</v>
      </c>
      <c r="Q14" t="s">
        <v>146</v>
      </c>
      <c r="W14" t="s">
        <v>111</v>
      </c>
      <c r="AA14" t="s">
        <v>112</v>
      </c>
      <c r="AH14" t="s">
        <v>156</v>
      </c>
      <c r="AO14" t="s">
        <v>148</v>
      </c>
      <c r="AR14" t="s">
        <v>157</v>
      </c>
      <c r="AS14" t="s">
        <v>148</v>
      </c>
      <c r="AV14" t="s">
        <v>116</v>
      </c>
      <c r="AZ14" t="s">
        <v>117</v>
      </c>
      <c r="BE14" t="s">
        <v>118</v>
      </c>
      <c r="BF14" t="s">
        <v>118</v>
      </c>
      <c r="BI14" t="s">
        <v>118</v>
      </c>
      <c r="BJ14" t="s">
        <v>119</v>
      </c>
      <c r="BK14">
        <v>0.28999999999999998</v>
      </c>
      <c r="BL14">
        <v>0</v>
      </c>
      <c r="BN14">
        <v>0</v>
      </c>
      <c r="BO14">
        <v>0.28999999999999998</v>
      </c>
      <c r="BP14">
        <v>11.05</v>
      </c>
      <c r="BQ14">
        <v>170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18062</v>
      </c>
      <c r="BX14">
        <v>0</v>
      </c>
      <c r="BY14">
        <v>0</v>
      </c>
      <c r="CA14">
        <v>0</v>
      </c>
      <c r="CB14">
        <v>5.3</v>
      </c>
      <c r="CC14">
        <v>5.0999999999999996</v>
      </c>
      <c r="CD14">
        <v>0</v>
      </c>
      <c r="CE14" t="s">
        <v>120</v>
      </c>
      <c r="CF14" t="s">
        <v>117</v>
      </c>
      <c r="CG14" t="s">
        <v>121</v>
      </c>
      <c r="CH14" t="s">
        <v>122</v>
      </c>
      <c r="CI14" t="s">
        <v>123</v>
      </c>
      <c r="CJ14" t="s">
        <v>65</v>
      </c>
      <c r="CO14" t="s">
        <v>144</v>
      </c>
      <c r="CP14" t="s">
        <v>158</v>
      </c>
      <c r="CQ14" t="s">
        <v>117</v>
      </c>
      <c r="CT14">
        <v>0</v>
      </c>
      <c r="CZ14" t="s">
        <v>126</v>
      </c>
      <c r="DB14" t="s">
        <v>108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P66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34.42578125" bestFit="1" customWidth="1"/>
    <col min="7" max="7" width="157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163</v>
      </c>
      <c r="C1" s="1" t="s">
        <v>164</v>
      </c>
      <c r="D1" s="1" t="s">
        <v>165</v>
      </c>
      <c r="E1" s="1" t="s">
        <v>166</v>
      </c>
      <c r="F1" s="1" t="s">
        <v>167</v>
      </c>
      <c r="G1" s="1" t="s">
        <v>168</v>
      </c>
      <c r="H1" s="1" t="s">
        <v>169</v>
      </c>
      <c r="I1" s="1" t="s">
        <v>170</v>
      </c>
      <c r="J1" s="1" t="s">
        <v>171</v>
      </c>
      <c r="K1" s="1" t="s">
        <v>172</v>
      </c>
      <c r="L1" s="1" t="s">
        <v>173</v>
      </c>
      <c r="M1" s="1" t="s">
        <v>174</v>
      </c>
      <c r="N1" s="1" t="s">
        <v>175</v>
      </c>
      <c r="O1" s="1" t="s">
        <v>176</v>
      </c>
      <c r="P1" s="1" t="s">
        <v>177</v>
      </c>
    </row>
    <row r="2" spans="1:16" x14ac:dyDescent="0.25">
      <c r="A2" t="s">
        <v>104</v>
      </c>
      <c r="B2" t="s">
        <v>178</v>
      </c>
      <c r="C2" t="s">
        <v>178</v>
      </c>
      <c r="D2" t="s">
        <v>112</v>
      </c>
      <c r="E2" t="s">
        <v>179</v>
      </c>
      <c r="F2" t="s">
        <v>180</v>
      </c>
      <c r="G2" t="s">
        <v>181</v>
      </c>
      <c r="I2" t="s">
        <v>182</v>
      </c>
      <c r="J2" t="s">
        <v>183</v>
      </c>
      <c r="O2" t="s">
        <v>108</v>
      </c>
    </row>
    <row r="3" spans="1:16" x14ac:dyDescent="0.25">
      <c r="A3" t="s">
        <v>104</v>
      </c>
      <c r="B3" t="s">
        <v>108</v>
      </c>
      <c r="C3" t="s">
        <v>118</v>
      </c>
      <c r="D3" t="s">
        <v>112</v>
      </c>
      <c r="E3" t="s">
        <v>184</v>
      </c>
      <c r="F3" t="s">
        <v>185</v>
      </c>
      <c r="G3" t="s">
        <v>186</v>
      </c>
      <c r="J3" t="s">
        <v>187</v>
      </c>
    </row>
    <row r="4" spans="1:16" x14ac:dyDescent="0.25">
      <c r="A4" t="s">
        <v>104</v>
      </c>
      <c r="B4" t="s">
        <v>118</v>
      </c>
      <c r="C4" t="s">
        <v>188</v>
      </c>
      <c r="D4" t="s">
        <v>189</v>
      </c>
      <c r="E4" t="s">
        <v>190</v>
      </c>
      <c r="F4" t="s">
        <v>191</v>
      </c>
      <c r="G4" t="s">
        <v>192</v>
      </c>
    </row>
    <row r="5" spans="1:16" x14ac:dyDescent="0.25">
      <c r="A5" t="s">
        <v>104</v>
      </c>
      <c r="B5" t="s">
        <v>187</v>
      </c>
      <c r="C5" t="s">
        <v>193</v>
      </c>
      <c r="F5" t="s">
        <v>194</v>
      </c>
      <c r="G5" t="s">
        <v>195</v>
      </c>
      <c r="M5" t="s">
        <v>113</v>
      </c>
    </row>
    <row r="6" spans="1:16" x14ac:dyDescent="0.25">
      <c r="A6" t="s">
        <v>104</v>
      </c>
      <c r="B6" t="s">
        <v>189</v>
      </c>
      <c r="C6" t="s">
        <v>112</v>
      </c>
      <c r="F6" t="s">
        <v>196</v>
      </c>
      <c r="G6" t="s">
        <v>197</v>
      </c>
      <c r="M6" t="s">
        <v>113</v>
      </c>
    </row>
    <row r="7" spans="1:16" x14ac:dyDescent="0.25">
      <c r="A7" t="s">
        <v>127</v>
      </c>
      <c r="B7" t="s">
        <v>108</v>
      </c>
      <c r="C7" t="s">
        <v>118</v>
      </c>
      <c r="D7" t="s">
        <v>112</v>
      </c>
      <c r="E7" t="s">
        <v>184</v>
      </c>
      <c r="F7" t="s">
        <v>185</v>
      </c>
      <c r="G7" t="s">
        <v>186</v>
      </c>
      <c r="J7" t="s">
        <v>118</v>
      </c>
    </row>
    <row r="8" spans="1:16" x14ac:dyDescent="0.25">
      <c r="A8" t="s">
        <v>127</v>
      </c>
      <c r="B8" t="s">
        <v>118</v>
      </c>
      <c r="C8" t="s">
        <v>188</v>
      </c>
      <c r="D8" t="s">
        <v>189</v>
      </c>
      <c r="E8" t="s">
        <v>190</v>
      </c>
      <c r="F8" t="s">
        <v>191</v>
      </c>
      <c r="G8" t="s">
        <v>192</v>
      </c>
    </row>
    <row r="9" spans="1:16" x14ac:dyDescent="0.25">
      <c r="A9" t="s">
        <v>127</v>
      </c>
      <c r="B9" t="s">
        <v>187</v>
      </c>
      <c r="C9" t="s">
        <v>193</v>
      </c>
      <c r="F9" t="s">
        <v>194</v>
      </c>
      <c r="G9" t="s">
        <v>195</v>
      </c>
      <c r="M9" t="s">
        <v>113</v>
      </c>
    </row>
    <row r="10" spans="1:16" x14ac:dyDescent="0.25">
      <c r="A10" t="s">
        <v>127</v>
      </c>
      <c r="B10" t="s">
        <v>189</v>
      </c>
      <c r="C10" t="s">
        <v>112</v>
      </c>
      <c r="F10" t="s">
        <v>196</v>
      </c>
      <c r="G10" t="s">
        <v>197</v>
      </c>
      <c r="M10" t="s">
        <v>113</v>
      </c>
    </row>
    <row r="11" spans="1:16" x14ac:dyDescent="0.25">
      <c r="A11" t="s">
        <v>127</v>
      </c>
      <c r="B11" t="s">
        <v>178</v>
      </c>
      <c r="C11" t="s">
        <v>178</v>
      </c>
      <c r="D11" t="s">
        <v>112</v>
      </c>
      <c r="E11" t="s">
        <v>179</v>
      </c>
      <c r="F11" t="s">
        <v>180</v>
      </c>
      <c r="G11" t="s">
        <v>181</v>
      </c>
      <c r="I11" t="s">
        <v>182</v>
      </c>
      <c r="J11" t="s">
        <v>183</v>
      </c>
      <c r="O11" t="s">
        <v>108</v>
      </c>
    </row>
    <row r="12" spans="1:16" x14ac:dyDescent="0.25">
      <c r="A12" t="s">
        <v>129</v>
      </c>
      <c r="B12" t="s">
        <v>178</v>
      </c>
      <c r="C12" t="s">
        <v>178</v>
      </c>
      <c r="D12" t="s">
        <v>112</v>
      </c>
      <c r="E12" t="s">
        <v>179</v>
      </c>
      <c r="F12" t="s">
        <v>180</v>
      </c>
      <c r="G12" t="s">
        <v>181</v>
      </c>
      <c r="I12" t="s">
        <v>182</v>
      </c>
      <c r="J12" t="s">
        <v>183</v>
      </c>
      <c r="O12" t="s">
        <v>108</v>
      </c>
    </row>
    <row r="13" spans="1:16" x14ac:dyDescent="0.25">
      <c r="A13" t="s">
        <v>129</v>
      </c>
      <c r="B13" t="s">
        <v>108</v>
      </c>
      <c r="C13" t="s">
        <v>118</v>
      </c>
      <c r="D13" t="s">
        <v>112</v>
      </c>
      <c r="E13" t="s">
        <v>184</v>
      </c>
      <c r="F13" t="s">
        <v>185</v>
      </c>
      <c r="G13" t="s">
        <v>186</v>
      </c>
      <c r="J13" t="s">
        <v>187</v>
      </c>
    </row>
    <row r="14" spans="1:16" x14ac:dyDescent="0.25">
      <c r="A14" t="s">
        <v>129</v>
      </c>
      <c r="B14" t="s">
        <v>118</v>
      </c>
      <c r="C14" t="s">
        <v>188</v>
      </c>
      <c r="D14" t="s">
        <v>189</v>
      </c>
      <c r="E14" t="s">
        <v>190</v>
      </c>
      <c r="F14" t="s">
        <v>191</v>
      </c>
      <c r="G14" t="s">
        <v>192</v>
      </c>
    </row>
    <row r="15" spans="1:16" x14ac:dyDescent="0.25">
      <c r="A15" t="s">
        <v>129</v>
      </c>
      <c r="B15" t="s">
        <v>187</v>
      </c>
      <c r="C15" t="s">
        <v>193</v>
      </c>
      <c r="F15" t="s">
        <v>198</v>
      </c>
      <c r="G15" t="s">
        <v>199</v>
      </c>
      <c r="M15" t="s">
        <v>113</v>
      </c>
    </row>
    <row r="16" spans="1:16" x14ac:dyDescent="0.25">
      <c r="A16" t="s">
        <v>129</v>
      </c>
      <c r="B16" t="s">
        <v>189</v>
      </c>
      <c r="C16" t="s">
        <v>112</v>
      </c>
      <c r="F16" t="s">
        <v>196</v>
      </c>
      <c r="G16" t="s">
        <v>197</v>
      </c>
      <c r="M16" t="s">
        <v>113</v>
      </c>
    </row>
    <row r="17" spans="1:15" x14ac:dyDescent="0.25">
      <c r="A17" t="s">
        <v>131</v>
      </c>
      <c r="B17" t="s">
        <v>200</v>
      </c>
      <c r="C17" t="s">
        <v>188</v>
      </c>
      <c r="D17" t="s">
        <v>189</v>
      </c>
      <c r="E17" t="s">
        <v>201</v>
      </c>
      <c r="F17" t="s">
        <v>191</v>
      </c>
      <c r="G17" t="s">
        <v>202</v>
      </c>
    </row>
    <row r="18" spans="1:15" x14ac:dyDescent="0.25">
      <c r="A18" t="s">
        <v>131</v>
      </c>
      <c r="B18" t="s">
        <v>118</v>
      </c>
      <c r="C18" t="s">
        <v>118</v>
      </c>
      <c r="D18" t="s">
        <v>112</v>
      </c>
      <c r="E18" t="s">
        <v>184</v>
      </c>
      <c r="F18" t="s">
        <v>185</v>
      </c>
      <c r="G18" t="s">
        <v>186</v>
      </c>
      <c r="H18" t="s">
        <v>203</v>
      </c>
      <c r="J18" t="s">
        <v>187</v>
      </c>
    </row>
    <row r="19" spans="1:15" x14ac:dyDescent="0.25">
      <c r="A19" t="s">
        <v>131</v>
      </c>
      <c r="B19" t="s">
        <v>193</v>
      </c>
      <c r="C19" t="s">
        <v>193</v>
      </c>
      <c r="F19" t="s">
        <v>194</v>
      </c>
      <c r="G19" t="s">
        <v>195</v>
      </c>
      <c r="M19" t="s">
        <v>113</v>
      </c>
    </row>
    <row r="20" spans="1:15" x14ac:dyDescent="0.25">
      <c r="A20" t="s">
        <v>131</v>
      </c>
      <c r="B20" t="s">
        <v>178</v>
      </c>
      <c r="C20" t="s">
        <v>178</v>
      </c>
      <c r="D20" t="s">
        <v>112</v>
      </c>
      <c r="E20" t="s">
        <v>179</v>
      </c>
      <c r="F20" t="s">
        <v>180</v>
      </c>
      <c r="G20" t="s">
        <v>204</v>
      </c>
      <c r="I20" t="s">
        <v>182</v>
      </c>
      <c r="J20" t="s">
        <v>183</v>
      </c>
      <c r="O20" t="s">
        <v>108</v>
      </c>
    </row>
    <row r="21" spans="1:15" x14ac:dyDescent="0.25">
      <c r="A21" t="s">
        <v>131</v>
      </c>
      <c r="B21" t="s">
        <v>112</v>
      </c>
      <c r="C21" t="s">
        <v>112</v>
      </c>
      <c r="F21" t="s">
        <v>196</v>
      </c>
      <c r="G21" t="s">
        <v>197</v>
      </c>
      <c r="M21" t="s">
        <v>113</v>
      </c>
    </row>
    <row r="22" spans="1:15" x14ac:dyDescent="0.25">
      <c r="A22" t="s">
        <v>133</v>
      </c>
      <c r="B22" t="s">
        <v>108</v>
      </c>
      <c r="C22" t="s">
        <v>118</v>
      </c>
      <c r="D22" t="s">
        <v>112</v>
      </c>
      <c r="E22" t="s">
        <v>184</v>
      </c>
      <c r="F22" t="s">
        <v>185</v>
      </c>
      <c r="G22" t="s">
        <v>186</v>
      </c>
      <c r="J22" t="s">
        <v>187</v>
      </c>
    </row>
    <row r="23" spans="1:15" x14ac:dyDescent="0.25">
      <c r="A23" t="s">
        <v>133</v>
      </c>
      <c r="B23" t="s">
        <v>118</v>
      </c>
      <c r="C23" t="s">
        <v>188</v>
      </c>
      <c r="D23" t="s">
        <v>189</v>
      </c>
      <c r="E23" t="s">
        <v>190</v>
      </c>
      <c r="F23" t="s">
        <v>191</v>
      </c>
      <c r="G23" t="s">
        <v>192</v>
      </c>
    </row>
    <row r="24" spans="1:15" x14ac:dyDescent="0.25">
      <c r="A24" t="s">
        <v>133</v>
      </c>
      <c r="B24" t="s">
        <v>187</v>
      </c>
      <c r="C24" t="s">
        <v>193</v>
      </c>
      <c r="F24" t="s">
        <v>194</v>
      </c>
      <c r="G24" t="s">
        <v>195</v>
      </c>
      <c r="M24" t="s">
        <v>113</v>
      </c>
    </row>
    <row r="25" spans="1:15" x14ac:dyDescent="0.25">
      <c r="A25" t="s">
        <v>133</v>
      </c>
      <c r="B25" t="s">
        <v>189</v>
      </c>
      <c r="C25" t="s">
        <v>112</v>
      </c>
      <c r="F25" t="s">
        <v>196</v>
      </c>
      <c r="G25" t="s">
        <v>197</v>
      </c>
      <c r="M25" t="s">
        <v>113</v>
      </c>
    </row>
    <row r="26" spans="1:15" x14ac:dyDescent="0.25">
      <c r="A26" t="s">
        <v>133</v>
      </c>
      <c r="B26" t="s">
        <v>178</v>
      </c>
      <c r="C26" t="s">
        <v>178</v>
      </c>
      <c r="D26" t="s">
        <v>112</v>
      </c>
      <c r="E26" t="s">
        <v>179</v>
      </c>
      <c r="F26" t="s">
        <v>180</v>
      </c>
      <c r="G26" t="s">
        <v>181</v>
      </c>
      <c r="I26" t="s">
        <v>182</v>
      </c>
      <c r="J26" t="s">
        <v>183</v>
      </c>
      <c r="O26" t="s">
        <v>108</v>
      </c>
    </row>
    <row r="27" spans="1:15" x14ac:dyDescent="0.25">
      <c r="A27" t="s">
        <v>135</v>
      </c>
      <c r="B27" t="s">
        <v>178</v>
      </c>
      <c r="C27" t="s">
        <v>178</v>
      </c>
      <c r="D27" t="s">
        <v>112</v>
      </c>
      <c r="E27" t="s">
        <v>179</v>
      </c>
      <c r="F27" t="s">
        <v>180</v>
      </c>
      <c r="G27" t="s">
        <v>181</v>
      </c>
      <c r="I27" t="s">
        <v>182</v>
      </c>
      <c r="J27" t="s">
        <v>183</v>
      </c>
      <c r="O27" t="s">
        <v>108</v>
      </c>
    </row>
    <row r="28" spans="1:15" x14ac:dyDescent="0.25">
      <c r="A28" t="s">
        <v>135</v>
      </c>
      <c r="B28" t="s">
        <v>108</v>
      </c>
      <c r="C28" t="s">
        <v>118</v>
      </c>
      <c r="D28" t="s">
        <v>112</v>
      </c>
      <c r="E28" t="s">
        <v>184</v>
      </c>
      <c r="F28" t="s">
        <v>185</v>
      </c>
      <c r="G28" t="s">
        <v>186</v>
      </c>
      <c r="J28" t="s">
        <v>187</v>
      </c>
    </row>
    <row r="29" spans="1:15" x14ac:dyDescent="0.25">
      <c r="A29" t="s">
        <v>135</v>
      </c>
      <c r="B29" t="s">
        <v>118</v>
      </c>
      <c r="C29" t="s">
        <v>188</v>
      </c>
      <c r="D29" t="s">
        <v>189</v>
      </c>
      <c r="E29" t="s">
        <v>190</v>
      </c>
      <c r="F29" t="s">
        <v>191</v>
      </c>
      <c r="G29" t="s">
        <v>192</v>
      </c>
    </row>
    <row r="30" spans="1:15" x14ac:dyDescent="0.25">
      <c r="A30" t="s">
        <v>135</v>
      </c>
      <c r="B30" t="s">
        <v>187</v>
      </c>
      <c r="C30" t="s">
        <v>193</v>
      </c>
      <c r="F30" t="s">
        <v>198</v>
      </c>
      <c r="G30" t="s">
        <v>199</v>
      </c>
      <c r="M30" t="s">
        <v>113</v>
      </c>
    </row>
    <row r="31" spans="1:15" x14ac:dyDescent="0.25">
      <c r="A31" t="s">
        <v>135</v>
      </c>
      <c r="B31" t="s">
        <v>189</v>
      </c>
      <c r="C31" t="s">
        <v>112</v>
      </c>
      <c r="F31" t="s">
        <v>196</v>
      </c>
      <c r="G31" t="s">
        <v>197</v>
      </c>
      <c r="M31" t="s">
        <v>113</v>
      </c>
    </row>
    <row r="32" spans="1:15" x14ac:dyDescent="0.25">
      <c r="A32" t="s">
        <v>137</v>
      </c>
      <c r="B32" t="s">
        <v>108</v>
      </c>
      <c r="C32" t="s">
        <v>118</v>
      </c>
      <c r="D32" t="s">
        <v>112</v>
      </c>
      <c r="E32" t="s">
        <v>184</v>
      </c>
      <c r="F32" t="s">
        <v>185</v>
      </c>
      <c r="G32" t="s">
        <v>186</v>
      </c>
      <c r="J32" t="s">
        <v>187</v>
      </c>
    </row>
    <row r="33" spans="1:15" x14ac:dyDescent="0.25">
      <c r="A33" t="s">
        <v>137</v>
      </c>
      <c r="B33" t="s">
        <v>118</v>
      </c>
      <c r="C33" t="s">
        <v>188</v>
      </c>
      <c r="D33" t="s">
        <v>189</v>
      </c>
      <c r="E33" t="s">
        <v>190</v>
      </c>
      <c r="F33" t="s">
        <v>191</v>
      </c>
      <c r="G33" t="s">
        <v>192</v>
      </c>
    </row>
    <row r="34" spans="1:15" x14ac:dyDescent="0.25">
      <c r="A34" t="s">
        <v>137</v>
      </c>
      <c r="B34" t="s">
        <v>187</v>
      </c>
      <c r="C34" t="s">
        <v>193</v>
      </c>
      <c r="F34" t="s">
        <v>198</v>
      </c>
      <c r="G34" t="s">
        <v>199</v>
      </c>
      <c r="M34" t="s">
        <v>113</v>
      </c>
    </row>
    <row r="35" spans="1:15" x14ac:dyDescent="0.25">
      <c r="A35" t="s">
        <v>137</v>
      </c>
      <c r="B35" t="s">
        <v>189</v>
      </c>
      <c r="C35" t="s">
        <v>112</v>
      </c>
      <c r="F35" t="s">
        <v>196</v>
      </c>
      <c r="G35" t="s">
        <v>197</v>
      </c>
      <c r="M35" t="s">
        <v>113</v>
      </c>
    </row>
    <row r="36" spans="1:15" x14ac:dyDescent="0.25">
      <c r="A36" t="s">
        <v>137</v>
      </c>
      <c r="B36" t="s">
        <v>178</v>
      </c>
      <c r="C36" t="s">
        <v>178</v>
      </c>
      <c r="D36" t="s">
        <v>112</v>
      </c>
      <c r="E36" t="s">
        <v>179</v>
      </c>
      <c r="F36" t="s">
        <v>180</v>
      </c>
      <c r="G36" t="s">
        <v>181</v>
      </c>
      <c r="I36" t="s">
        <v>182</v>
      </c>
      <c r="J36" t="s">
        <v>183</v>
      </c>
      <c r="O36" t="s">
        <v>108</v>
      </c>
    </row>
    <row r="37" spans="1:15" x14ac:dyDescent="0.25">
      <c r="A37" t="s">
        <v>139</v>
      </c>
      <c r="B37" t="s">
        <v>200</v>
      </c>
      <c r="C37" t="s">
        <v>188</v>
      </c>
      <c r="D37" t="s">
        <v>189</v>
      </c>
      <c r="E37" t="s">
        <v>190</v>
      </c>
      <c r="F37" t="s">
        <v>191</v>
      </c>
      <c r="G37" t="s">
        <v>202</v>
      </c>
    </row>
    <row r="38" spans="1:15" x14ac:dyDescent="0.25">
      <c r="A38" t="s">
        <v>139</v>
      </c>
      <c r="B38" t="s">
        <v>178</v>
      </c>
      <c r="C38" t="s">
        <v>178</v>
      </c>
      <c r="D38" t="s">
        <v>112</v>
      </c>
      <c r="E38" t="s">
        <v>179</v>
      </c>
      <c r="F38" t="s">
        <v>180</v>
      </c>
      <c r="G38" t="s">
        <v>204</v>
      </c>
      <c r="I38" t="s">
        <v>182</v>
      </c>
      <c r="J38" t="s">
        <v>183</v>
      </c>
      <c r="O38" t="s">
        <v>108</v>
      </c>
    </row>
    <row r="39" spans="1:15" x14ac:dyDescent="0.25">
      <c r="A39" t="s">
        <v>139</v>
      </c>
      <c r="B39" t="s">
        <v>118</v>
      </c>
      <c r="C39" t="s">
        <v>118</v>
      </c>
      <c r="D39" t="s">
        <v>112</v>
      </c>
      <c r="E39" t="s">
        <v>184</v>
      </c>
      <c r="F39" t="s">
        <v>185</v>
      </c>
      <c r="G39" t="s">
        <v>186</v>
      </c>
      <c r="H39" t="s">
        <v>203</v>
      </c>
      <c r="J39" t="s">
        <v>187</v>
      </c>
    </row>
    <row r="40" spans="1:15" x14ac:dyDescent="0.25">
      <c r="A40" t="s">
        <v>139</v>
      </c>
      <c r="B40" t="s">
        <v>112</v>
      </c>
      <c r="C40" t="s">
        <v>112</v>
      </c>
      <c r="F40" t="s">
        <v>196</v>
      </c>
      <c r="G40" t="s">
        <v>197</v>
      </c>
      <c r="M40" t="s">
        <v>113</v>
      </c>
    </row>
    <row r="41" spans="1:15" x14ac:dyDescent="0.25">
      <c r="A41" t="s">
        <v>139</v>
      </c>
      <c r="B41" t="s">
        <v>193</v>
      </c>
      <c r="C41" t="s">
        <v>193</v>
      </c>
      <c r="F41" t="s">
        <v>198</v>
      </c>
      <c r="G41" t="s">
        <v>199</v>
      </c>
      <c r="M41" t="s">
        <v>113</v>
      </c>
    </row>
    <row r="42" spans="1:15" x14ac:dyDescent="0.25">
      <c r="A42" t="s">
        <v>141</v>
      </c>
      <c r="B42" t="s">
        <v>200</v>
      </c>
      <c r="C42" t="s">
        <v>188</v>
      </c>
      <c r="D42" t="s">
        <v>189</v>
      </c>
      <c r="E42" t="s">
        <v>190</v>
      </c>
      <c r="F42" t="s">
        <v>191</v>
      </c>
      <c r="G42" t="s">
        <v>202</v>
      </c>
    </row>
    <row r="43" spans="1:15" x14ac:dyDescent="0.25">
      <c r="A43" t="s">
        <v>141</v>
      </c>
      <c r="B43" t="s">
        <v>178</v>
      </c>
      <c r="C43" t="s">
        <v>178</v>
      </c>
      <c r="D43" t="s">
        <v>112</v>
      </c>
      <c r="E43" t="s">
        <v>179</v>
      </c>
      <c r="F43" t="s">
        <v>180</v>
      </c>
      <c r="G43" t="s">
        <v>204</v>
      </c>
      <c r="I43" t="s">
        <v>182</v>
      </c>
      <c r="J43" t="s">
        <v>183</v>
      </c>
      <c r="O43" t="s">
        <v>108</v>
      </c>
    </row>
    <row r="44" spans="1:15" x14ac:dyDescent="0.25">
      <c r="A44" t="s">
        <v>141</v>
      </c>
      <c r="B44" t="s">
        <v>118</v>
      </c>
      <c r="C44" t="s">
        <v>118</v>
      </c>
      <c r="D44" t="s">
        <v>112</v>
      </c>
      <c r="E44" t="s">
        <v>184</v>
      </c>
      <c r="F44" t="s">
        <v>185</v>
      </c>
      <c r="G44" t="s">
        <v>186</v>
      </c>
      <c r="H44" t="s">
        <v>203</v>
      </c>
      <c r="J44" t="s">
        <v>187</v>
      </c>
    </row>
    <row r="45" spans="1:15" x14ac:dyDescent="0.25">
      <c r="A45" t="s">
        <v>141</v>
      </c>
      <c r="B45" t="s">
        <v>112</v>
      </c>
      <c r="C45" t="s">
        <v>112</v>
      </c>
      <c r="F45" t="s">
        <v>196</v>
      </c>
      <c r="G45" t="s">
        <v>197</v>
      </c>
      <c r="M45" t="s">
        <v>113</v>
      </c>
    </row>
    <row r="46" spans="1:15" x14ac:dyDescent="0.25">
      <c r="A46" t="s">
        <v>141</v>
      </c>
      <c r="B46" t="s">
        <v>193</v>
      </c>
      <c r="C46" t="s">
        <v>193</v>
      </c>
      <c r="F46" t="s">
        <v>194</v>
      </c>
      <c r="G46" t="s">
        <v>195</v>
      </c>
      <c r="M46" t="s">
        <v>113</v>
      </c>
    </row>
    <row r="47" spans="1:15" x14ac:dyDescent="0.25">
      <c r="A47" t="s">
        <v>143</v>
      </c>
      <c r="B47" t="s">
        <v>112</v>
      </c>
      <c r="C47" t="s">
        <v>112</v>
      </c>
      <c r="F47" t="s">
        <v>205</v>
      </c>
      <c r="G47" t="s">
        <v>206</v>
      </c>
      <c r="M47" t="s">
        <v>147</v>
      </c>
    </row>
    <row r="48" spans="1:15" x14ac:dyDescent="0.25">
      <c r="A48" t="s">
        <v>143</v>
      </c>
      <c r="B48" t="s">
        <v>118</v>
      </c>
      <c r="C48" t="s">
        <v>118</v>
      </c>
      <c r="D48" t="s">
        <v>112</v>
      </c>
      <c r="E48" t="s">
        <v>184</v>
      </c>
      <c r="F48" t="s">
        <v>185</v>
      </c>
      <c r="G48" t="s">
        <v>186</v>
      </c>
      <c r="H48" t="s">
        <v>203</v>
      </c>
      <c r="J48" t="s">
        <v>187</v>
      </c>
    </row>
    <row r="49" spans="1:15" x14ac:dyDescent="0.25">
      <c r="A49" t="s">
        <v>143</v>
      </c>
      <c r="B49" t="s">
        <v>193</v>
      </c>
      <c r="C49" t="s">
        <v>193</v>
      </c>
      <c r="F49" t="s">
        <v>205</v>
      </c>
      <c r="G49" t="s">
        <v>206</v>
      </c>
      <c r="M49" t="s">
        <v>147</v>
      </c>
    </row>
    <row r="50" spans="1:15" x14ac:dyDescent="0.25">
      <c r="A50" t="s">
        <v>143</v>
      </c>
      <c r="B50" t="s">
        <v>178</v>
      </c>
      <c r="C50" t="s">
        <v>178</v>
      </c>
      <c r="D50" t="s">
        <v>112</v>
      </c>
      <c r="E50" t="s">
        <v>207</v>
      </c>
      <c r="F50" t="s">
        <v>208</v>
      </c>
      <c r="G50" t="s">
        <v>209</v>
      </c>
      <c r="I50" t="s">
        <v>182</v>
      </c>
      <c r="J50" t="s">
        <v>183</v>
      </c>
      <c r="O50" t="s">
        <v>108</v>
      </c>
    </row>
    <row r="51" spans="1:15" x14ac:dyDescent="0.25">
      <c r="A51" t="s">
        <v>143</v>
      </c>
      <c r="B51" t="s">
        <v>210</v>
      </c>
      <c r="C51" t="s">
        <v>188</v>
      </c>
      <c r="D51" t="s">
        <v>112</v>
      </c>
      <c r="E51" t="s">
        <v>184</v>
      </c>
      <c r="F51" t="s">
        <v>185</v>
      </c>
      <c r="G51" t="s">
        <v>186</v>
      </c>
      <c r="I51" t="s">
        <v>182</v>
      </c>
      <c r="J51" t="s">
        <v>183</v>
      </c>
    </row>
    <row r="52" spans="1:15" x14ac:dyDescent="0.25">
      <c r="A52" t="s">
        <v>151</v>
      </c>
      <c r="B52" t="s">
        <v>200</v>
      </c>
      <c r="C52" t="s">
        <v>188</v>
      </c>
      <c r="D52" t="s">
        <v>189</v>
      </c>
      <c r="E52" t="s">
        <v>201</v>
      </c>
      <c r="F52" t="s">
        <v>191</v>
      </c>
      <c r="G52" t="s">
        <v>202</v>
      </c>
    </row>
    <row r="53" spans="1:15" x14ac:dyDescent="0.25">
      <c r="A53" t="s">
        <v>151</v>
      </c>
      <c r="B53" t="s">
        <v>178</v>
      </c>
      <c r="C53" t="s">
        <v>178</v>
      </c>
      <c r="D53" t="s">
        <v>112</v>
      </c>
      <c r="E53" t="s">
        <v>179</v>
      </c>
      <c r="F53" t="s">
        <v>180</v>
      </c>
      <c r="G53" t="s">
        <v>204</v>
      </c>
      <c r="I53" t="s">
        <v>182</v>
      </c>
      <c r="J53" t="s">
        <v>183</v>
      </c>
      <c r="O53" t="s">
        <v>108</v>
      </c>
    </row>
    <row r="54" spans="1:15" x14ac:dyDescent="0.25">
      <c r="A54" t="s">
        <v>151</v>
      </c>
      <c r="B54" t="s">
        <v>112</v>
      </c>
      <c r="C54" t="s">
        <v>112</v>
      </c>
      <c r="F54" t="s">
        <v>196</v>
      </c>
      <c r="G54" t="s">
        <v>197</v>
      </c>
      <c r="M54" t="s">
        <v>113</v>
      </c>
    </row>
    <row r="55" spans="1:15" x14ac:dyDescent="0.25">
      <c r="A55" t="s">
        <v>151</v>
      </c>
      <c r="B55" t="s">
        <v>118</v>
      </c>
      <c r="C55" t="s">
        <v>118</v>
      </c>
      <c r="D55" t="s">
        <v>112</v>
      </c>
      <c r="E55" t="s">
        <v>184</v>
      </c>
      <c r="F55" t="s">
        <v>185</v>
      </c>
      <c r="G55" t="s">
        <v>186</v>
      </c>
      <c r="H55" t="s">
        <v>203</v>
      </c>
      <c r="J55" t="s">
        <v>187</v>
      </c>
    </row>
    <row r="56" spans="1:15" x14ac:dyDescent="0.25">
      <c r="A56" t="s">
        <v>151</v>
      </c>
      <c r="B56" t="s">
        <v>193</v>
      </c>
      <c r="C56" t="s">
        <v>193</v>
      </c>
      <c r="F56" t="s">
        <v>198</v>
      </c>
      <c r="G56" t="s">
        <v>199</v>
      </c>
      <c r="M56" t="s">
        <v>113</v>
      </c>
    </row>
    <row r="57" spans="1:15" x14ac:dyDescent="0.25">
      <c r="A57" t="s">
        <v>153</v>
      </c>
      <c r="B57" t="s">
        <v>178</v>
      </c>
      <c r="C57" t="s">
        <v>178</v>
      </c>
      <c r="D57" t="s">
        <v>112</v>
      </c>
      <c r="E57" t="s">
        <v>179</v>
      </c>
      <c r="F57" t="s">
        <v>180</v>
      </c>
      <c r="G57" t="s">
        <v>181</v>
      </c>
      <c r="I57" t="s">
        <v>182</v>
      </c>
      <c r="J57" t="s">
        <v>183</v>
      </c>
      <c r="O57" t="s">
        <v>108</v>
      </c>
    </row>
    <row r="58" spans="1:15" x14ac:dyDescent="0.25">
      <c r="A58" t="s">
        <v>153</v>
      </c>
      <c r="B58" t="s">
        <v>118</v>
      </c>
      <c r="C58" t="s">
        <v>188</v>
      </c>
      <c r="D58" t="s">
        <v>189</v>
      </c>
      <c r="E58" t="s">
        <v>190</v>
      </c>
      <c r="F58" t="s">
        <v>191</v>
      </c>
      <c r="G58" t="s">
        <v>192</v>
      </c>
    </row>
    <row r="59" spans="1:15" x14ac:dyDescent="0.25">
      <c r="A59" t="s">
        <v>153</v>
      </c>
      <c r="B59" t="s">
        <v>187</v>
      </c>
      <c r="C59" t="s">
        <v>193</v>
      </c>
      <c r="F59" t="s">
        <v>198</v>
      </c>
      <c r="G59" t="s">
        <v>199</v>
      </c>
      <c r="M59" t="s">
        <v>113</v>
      </c>
    </row>
    <row r="60" spans="1:15" x14ac:dyDescent="0.25">
      <c r="A60" t="s">
        <v>153</v>
      </c>
      <c r="B60" t="s">
        <v>108</v>
      </c>
      <c r="C60" t="s">
        <v>118</v>
      </c>
      <c r="D60" t="s">
        <v>112</v>
      </c>
      <c r="E60" t="s">
        <v>184</v>
      </c>
      <c r="F60" t="s">
        <v>185</v>
      </c>
      <c r="G60" t="s">
        <v>186</v>
      </c>
      <c r="J60" t="s">
        <v>187</v>
      </c>
    </row>
    <row r="61" spans="1:15" x14ac:dyDescent="0.25">
      <c r="A61" t="s">
        <v>153</v>
      </c>
      <c r="B61" t="s">
        <v>189</v>
      </c>
      <c r="C61" t="s">
        <v>112</v>
      </c>
      <c r="F61" t="s">
        <v>196</v>
      </c>
      <c r="G61" t="s">
        <v>197</v>
      </c>
      <c r="M61" t="s">
        <v>113</v>
      </c>
    </row>
    <row r="62" spans="1:15" x14ac:dyDescent="0.25">
      <c r="A62" t="s">
        <v>155</v>
      </c>
      <c r="B62" t="s">
        <v>108</v>
      </c>
      <c r="C62" t="s">
        <v>118</v>
      </c>
      <c r="D62" t="s">
        <v>112</v>
      </c>
      <c r="E62" t="s">
        <v>184</v>
      </c>
      <c r="F62" t="s">
        <v>185</v>
      </c>
      <c r="G62" t="s">
        <v>186</v>
      </c>
      <c r="J62" t="s">
        <v>187</v>
      </c>
    </row>
    <row r="63" spans="1:15" x14ac:dyDescent="0.25">
      <c r="A63" t="s">
        <v>155</v>
      </c>
      <c r="B63" t="s">
        <v>118</v>
      </c>
      <c r="C63" t="s">
        <v>188</v>
      </c>
      <c r="D63" t="s">
        <v>112</v>
      </c>
      <c r="E63" t="s">
        <v>184</v>
      </c>
      <c r="F63" t="s">
        <v>185</v>
      </c>
      <c r="G63" t="s">
        <v>186</v>
      </c>
    </row>
    <row r="64" spans="1:15" x14ac:dyDescent="0.25">
      <c r="A64" t="s">
        <v>155</v>
      </c>
      <c r="B64" t="s">
        <v>187</v>
      </c>
      <c r="C64" t="s">
        <v>193</v>
      </c>
      <c r="F64" t="s">
        <v>211</v>
      </c>
      <c r="G64" t="s">
        <v>212</v>
      </c>
      <c r="M64" t="s">
        <v>156</v>
      </c>
    </row>
    <row r="65" spans="1:15" x14ac:dyDescent="0.25">
      <c r="A65" t="s">
        <v>155</v>
      </c>
      <c r="B65" t="s">
        <v>189</v>
      </c>
      <c r="C65" t="s">
        <v>112</v>
      </c>
      <c r="F65" t="s">
        <v>211</v>
      </c>
      <c r="G65" t="s">
        <v>212</v>
      </c>
      <c r="M65" t="s">
        <v>156</v>
      </c>
    </row>
    <row r="66" spans="1:15" x14ac:dyDescent="0.25">
      <c r="A66" t="s">
        <v>155</v>
      </c>
      <c r="B66" t="s">
        <v>178</v>
      </c>
      <c r="C66" t="s">
        <v>178</v>
      </c>
      <c r="D66" t="s">
        <v>112</v>
      </c>
      <c r="E66" t="s">
        <v>213</v>
      </c>
      <c r="F66" t="s">
        <v>214</v>
      </c>
      <c r="G66" t="s">
        <v>215</v>
      </c>
      <c r="I66" t="s">
        <v>182</v>
      </c>
      <c r="J66" t="s">
        <v>183</v>
      </c>
      <c r="O66" t="s">
        <v>108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G91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8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163</v>
      </c>
      <c r="C1" s="1" t="s">
        <v>1</v>
      </c>
      <c r="D1" s="1" t="s">
        <v>216</v>
      </c>
      <c r="E1" s="1" t="s">
        <v>217</v>
      </c>
      <c r="F1" s="1" t="s">
        <v>218</v>
      </c>
      <c r="G1" s="1" t="s">
        <v>219</v>
      </c>
    </row>
    <row r="2" spans="1:7" x14ac:dyDescent="0.25">
      <c r="A2" t="s">
        <v>104</v>
      </c>
      <c r="B2">
        <v>1</v>
      </c>
      <c r="C2" t="s">
        <v>220</v>
      </c>
      <c r="D2" t="s">
        <v>221</v>
      </c>
      <c r="E2" t="s">
        <v>222</v>
      </c>
    </row>
    <row r="3" spans="1:7" x14ac:dyDescent="0.25">
      <c r="A3" t="s">
        <v>104</v>
      </c>
      <c r="B3">
        <v>2</v>
      </c>
      <c r="C3" t="s">
        <v>223</v>
      </c>
      <c r="D3" t="s">
        <v>224</v>
      </c>
      <c r="E3" t="s">
        <v>117</v>
      </c>
    </row>
    <row r="4" spans="1:7" x14ac:dyDescent="0.25">
      <c r="A4" t="s">
        <v>104</v>
      </c>
      <c r="B4">
        <v>3</v>
      </c>
      <c r="C4" t="s">
        <v>225</v>
      </c>
      <c r="D4" t="s">
        <v>224</v>
      </c>
      <c r="E4" t="s">
        <v>117</v>
      </c>
    </row>
    <row r="5" spans="1:7" x14ac:dyDescent="0.25">
      <c r="A5" t="s">
        <v>104</v>
      </c>
      <c r="B5">
        <v>4</v>
      </c>
      <c r="C5" t="s">
        <v>178</v>
      </c>
      <c r="D5" t="s">
        <v>226</v>
      </c>
      <c r="E5" t="s">
        <v>227</v>
      </c>
    </row>
    <row r="6" spans="1:7" x14ac:dyDescent="0.25">
      <c r="A6" t="s">
        <v>104</v>
      </c>
      <c r="B6">
        <v>5</v>
      </c>
      <c r="C6" t="s">
        <v>178</v>
      </c>
      <c r="D6" t="s">
        <v>228</v>
      </c>
      <c r="E6" t="s">
        <v>229</v>
      </c>
    </row>
    <row r="7" spans="1:7" x14ac:dyDescent="0.25">
      <c r="A7" t="s">
        <v>104</v>
      </c>
      <c r="B7">
        <v>6</v>
      </c>
      <c r="C7" t="s">
        <v>178</v>
      </c>
      <c r="D7" t="s">
        <v>230</v>
      </c>
      <c r="E7" t="s">
        <v>231</v>
      </c>
    </row>
    <row r="8" spans="1:7" x14ac:dyDescent="0.25">
      <c r="A8" t="s">
        <v>127</v>
      </c>
      <c r="B8">
        <v>1</v>
      </c>
      <c r="C8" t="s">
        <v>220</v>
      </c>
      <c r="D8" t="s">
        <v>221</v>
      </c>
      <c r="E8" t="s">
        <v>222</v>
      </c>
    </row>
    <row r="9" spans="1:7" x14ac:dyDescent="0.25">
      <c r="A9" t="s">
        <v>127</v>
      </c>
      <c r="B9">
        <v>2</v>
      </c>
      <c r="C9" t="s">
        <v>223</v>
      </c>
      <c r="D9" t="s">
        <v>232</v>
      </c>
      <c r="E9" t="s">
        <v>117</v>
      </c>
    </row>
    <row r="10" spans="1:7" x14ac:dyDescent="0.25">
      <c r="A10" t="s">
        <v>127</v>
      </c>
      <c r="B10">
        <v>3</v>
      </c>
      <c r="C10" t="s">
        <v>225</v>
      </c>
      <c r="D10" t="s">
        <v>232</v>
      </c>
      <c r="E10" t="s">
        <v>117</v>
      </c>
    </row>
    <row r="11" spans="1:7" x14ac:dyDescent="0.25">
      <c r="A11" t="s">
        <v>127</v>
      </c>
      <c r="B11">
        <v>4</v>
      </c>
      <c r="C11" t="s">
        <v>178</v>
      </c>
      <c r="D11" t="s">
        <v>226</v>
      </c>
      <c r="E11" t="s">
        <v>227</v>
      </c>
    </row>
    <row r="12" spans="1:7" x14ac:dyDescent="0.25">
      <c r="A12" t="s">
        <v>127</v>
      </c>
      <c r="B12">
        <v>5</v>
      </c>
      <c r="C12" t="s">
        <v>178</v>
      </c>
      <c r="D12" t="s">
        <v>228</v>
      </c>
      <c r="E12" t="s">
        <v>229</v>
      </c>
    </row>
    <row r="13" spans="1:7" x14ac:dyDescent="0.25">
      <c r="A13" t="s">
        <v>127</v>
      </c>
      <c r="B13">
        <v>6</v>
      </c>
      <c r="C13" t="s">
        <v>178</v>
      </c>
      <c r="D13" t="s">
        <v>230</v>
      </c>
      <c r="E13" t="s">
        <v>231</v>
      </c>
    </row>
    <row r="14" spans="1:7" x14ac:dyDescent="0.25">
      <c r="A14" t="s">
        <v>129</v>
      </c>
      <c r="B14">
        <v>1</v>
      </c>
      <c r="C14" t="s">
        <v>220</v>
      </c>
      <c r="D14" t="s">
        <v>221</v>
      </c>
      <c r="E14" t="s">
        <v>222</v>
      </c>
    </row>
    <row r="15" spans="1:7" x14ac:dyDescent="0.25">
      <c r="A15" t="s">
        <v>129</v>
      </c>
      <c r="B15">
        <v>2</v>
      </c>
      <c r="C15" t="s">
        <v>223</v>
      </c>
      <c r="D15" t="s">
        <v>233</v>
      </c>
      <c r="E15" t="s">
        <v>117</v>
      </c>
    </row>
    <row r="16" spans="1:7" x14ac:dyDescent="0.25">
      <c r="A16" t="s">
        <v>129</v>
      </c>
      <c r="B16">
        <v>3</v>
      </c>
      <c r="C16" t="s">
        <v>225</v>
      </c>
      <c r="D16" t="s">
        <v>233</v>
      </c>
      <c r="E16" t="s">
        <v>117</v>
      </c>
    </row>
    <row r="17" spans="1:5" x14ac:dyDescent="0.25">
      <c r="A17" t="s">
        <v>129</v>
      </c>
      <c r="B17">
        <v>4</v>
      </c>
      <c r="C17" t="s">
        <v>178</v>
      </c>
      <c r="D17" t="s">
        <v>226</v>
      </c>
      <c r="E17" t="s">
        <v>227</v>
      </c>
    </row>
    <row r="18" spans="1:5" x14ac:dyDescent="0.25">
      <c r="A18" t="s">
        <v>129</v>
      </c>
      <c r="B18">
        <v>5</v>
      </c>
      <c r="C18" t="s">
        <v>178</v>
      </c>
      <c r="D18" t="s">
        <v>228</v>
      </c>
      <c r="E18" t="s">
        <v>229</v>
      </c>
    </row>
    <row r="19" spans="1:5" x14ac:dyDescent="0.25">
      <c r="A19" t="s">
        <v>129</v>
      </c>
      <c r="B19">
        <v>6</v>
      </c>
      <c r="C19" t="s">
        <v>178</v>
      </c>
      <c r="D19" t="s">
        <v>230</v>
      </c>
      <c r="E19" t="s">
        <v>231</v>
      </c>
    </row>
    <row r="20" spans="1:5" x14ac:dyDescent="0.25">
      <c r="A20" t="s">
        <v>131</v>
      </c>
      <c r="B20">
        <v>1</v>
      </c>
      <c r="C20" t="s">
        <v>220</v>
      </c>
      <c r="D20" t="s">
        <v>221</v>
      </c>
      <c r="E20" t="s">
        <v>222</v>
      </c>
    </row>
    <row r="21" spans="1:5" x14ac:dyDescent="0.25">
      <c r="A21" t="s">
        <v>131</v>
      </c>
      <c r="B21">
        <v>2</v>
      </c>
      <c r="C21" t="s">
        <v>223</v>
      </c>
      <c r="D21" t="s">
        <v>234</v>
      </c>
      <c r="E21" t="s">
        <v>117</v>
      </c>
    </row>
    <row r="22" spans="1:5" x14ac:dyDescent="0.25">
      <c r="A22" t="s">
        <v>131</v>
      </c>
      <c r="B22">
        <v>3</v>
      </c>
      <c r="C22" t="s">
        <v>225</v>
      </c>
      <c r="D22" t="s">
        <v>234</v>
      </c>
      <c r="E22" t="s">
        <v>117</v>
      </c>
    </row>
    <row r="23" spans="1:5" x14ac:dyDescent="0.25">
      <c r="A23" t="s">
        <v>131</v>
      </c>
      <c r="B23">
        <v>4</v>
      </c>
      <c r="C23" t="s">
        <v>178</v>
      </c>
      <c r="D23" t="s">
        <v>235</v>
      </c>
      <c r="E23" t="s">
        <v>236</v>
      </c>
    </row>
    <row r="24" spans="1:5" x14ac:dyDescent="0.25">
      <c r="A24" t="s">
        <v>131</v>
      </c>
      <c r="B24">
        <v>5</v>
      </c>
      <c r="C24" t="s">
        <v>178</v>
      </c>
      <c r="D24" t="s">
        <v>237</v>
      </c>
      <c r="E24" t="s">
        <v>238</v>
      </c>
    </row>
    <row r="25" spans="1:5" x14ac:dyDescent="0.25">
      <c r="A25" t="s">
        <v>131</v>
      </c>
      <c r="B25">
        <v>6</v>
      </c>
      <c r="C25" t="s">
        <v>178</v>
      </c>
      <c r="D25" t="s">
        <v>239</v>
      </c>
      <c r="E25" t="s">
        <v>240</v>
      </c>
    </row>
    <row r="26" spans="1:5" x14ac:dyDescent="0.25">
      <c r="A26" t="s">
        <v>133</v>
      </c>
      <c r="B26">
        <v>1</v>
      </c>
      <c r="C26" t="s">
        <v>220</v>
      </c>
      <c r="D26" t="s">
        <v>221</v>
      </c>
      <c r="E26" t="s">
        <v>222</v>
      </c>
    </row>
    <row r="27" spans="1:5" x14ac:dyDescent="0.25">
      <c r="A27" t="s">
        <v>133</v>
      </c>
      <c r="B27">
        <v>2</v>
      </c>
      <c r="C27" t="s">
        <v>223</v>
      </c>
      <c r="D27" t="s">
        <v>241</v>
      </c>
      <c r="E27" t="s">
        <v>117</v>
      </c>
    </row>
    <row r="28" spans="1:5" x14ac:dyDescent="0.25">
      <c r="A28" t="s">
        <v>133</v>
      </c>
      <c r="B28">
        <v>3</v>
      </c>
      <c r="C28" t="s">
        <v>225</v>
      </c>
      <c r="D28" t="s">
        <v>241</v>
      </c>
      <c r="E28" t="s">
        <v>117</v>
      </c>
    </row>
    <row r="29" spans="1:5" x14ac:dyDescent="0.25">
      <c r="A29" t="s">
        <v>133</v>
      </c>
      <c r="B29">
        <v>4</v>
      </c>
      <c r="C29" t="s">
        <v>178</v>
      </c>
      <c r="D29" t="s">
        <v>237</v>
      </c>
      <c r="E29" t="s">
        <v>238</v>
      </c>
    </row>
    <row r="30" spans="1:5" x14ac:dyDescent="0.25">
      <c r="A30" t="s">
        <v>133</v>
      </c>
      <c r="B30">
        <v>5</v>
      </c>
      <c r="C30" t="s">
        <v>178</v>
      </c>
      <c r="D30" t="s">
        <v>239</v>
      </c>
      <c r="E30" t="s">
        <v>240</v>
      </c>
    </row>
    <row r="31" spans="1:5" x14ac:dyDescent="0.25">
      <c r="A31" t="s">
        <v>135</v>
      </c>
      <c r="B31">
        <v>1</v>
      </c>
      <c r="C31" t="s">
        <v>220</v>
      </c>
      <c r="D31" t="s">
        <v>221</v>
      </c>
      <c r="E31" t="s">
        <v>222</v>
      </c>
    </row>
    <row r="32" spans="1:5" x14ac:dyDescent="0.25">
      <c r="A32" t="s">
        <v>135</v>
      </c>
      <c r="B32">
        <v>2</v>
      </c>
      <c r="C32" t="s">
        <v>223</v>
      </c>
      <c r="D32" t="s">
        <v>242</v>
      </c>
      <c r="E32" t="s">
        <v>117</v>
      </c>
    </row>
    <row r="33" spans="1:5" x14ac:dyDescent="0.25">
      <c r="A33" t="s">
        <v>135</v>
      </c>
      <c r="B33">
        <v>3</v>
      </c>
      <c r="C33" t="s">
        <v>225</v>
      </c>
      <c r="D33" t="s">
        <v>242</v>
      </c>
      <c r="E33" t="s">
        <v>117</v>
      </c>
    </row>
    <row r="34" spans="1:5" x14ac:dyDescent="0.25">
      <c r="A34" t="s">
        <v>135</v>
      </c>
      <c r="B34">
        <v>4</v>
      </c>
      <c r="C34" t="s">
        <v>178</v>
      </c>
      <c r="D34" t="s">
        <v>243</v>
      </c>
      <c r="E34" t="s">
        <v>244</v>
      </c>
    </row>
    <row r="35" spans="1:5" x14ac:dyDescent="0.25">
      <c r="A35" t="s">
        <v>137</v>
      </c>
      <c r="B35">
        <v>1</v>
      </c>
      <c r="C35" t="s">
        <v>220</v>
      </c>
      <c r="D35" t="s">
        <v>221</v>
      </c>
      <c r="E35" t="s">
        <v>222</v>
      </c>
    </row>
    <row r="36" spans="1:5" x14ac:dyDescent="0.25">
      <c r="A36" t="s">
        <v>137</v>
      </c>
      <c r="B36">
        <v>2</v>
      </c>
      <c r="C36" t="s">
        <v>223</v>
      </c>
      <c r="D36" t="s">
        <v>245</v>
      </c>
      <c r="E36" t="s">
        <v>117</v>
      </c>
    </row>
    <row r="37" spans="1:5" x14ac:dyDescent="0.25">
      <c r="A37" t="s">
        <v>137</v>
      </c>
      <c r="B37">
        <v>3</v>
      </c>
      <c r="C37" t="s">
        <v>225</v>
      </c>
      <c r="D37" t="s">
        <v>245</v>
      </c>
      <c r="E37" t="s">
        <v>117</v>
      </c>
    </row>
    <row r="38" spans="1:5" x14ac:dyDescent="0.25">
      <c r="A38" t="s">
        <v>137</v>
      </c>
      <c r="B38">
        <v>4</v>
      </c>
      <c r="C38" t="s">
        <v>178</v>
      </c>
      <c r="D38" t="s">
        <v>237</v>
      </c>
      <c r="E38" t="s">
        <v>238</v>
      </c>
    </row>
    <row r="39" spans="1:5" x14ac:dyDescent="0.25">
      <c r="A39" t="s">
        <v>137</v>
      </c>
      <c r="B39">
        <v>5</v>
      </c>
      <c r="C39" t="s">
        <v>178</v>
      </c>
      <c r="D39" t="s">
        <v>239</v>
      </c>
      <c r="E39" t="s">
        <v>240</v>
      </c>
    </row>
    <row r="40" spans="1:5" x14ac:dyDescent="0.25">
      <c r="A40" t="s">
        <v>139</v>
      </c>
      <c r="B40">
        <v>1</v>
      </c>
      <c r="C40" t="s">
        <v>220</v>
      </c>
      <c r="D40" t="s">
        <v>221</v>
      </c>
      <c r="E40" t="s">
        <v>222</v>
      </c>
    </row>
    <row r="41" spans="1:5" x14ac:dyDescent="0.25">
      <c r="A41" t="s">
        <v>139</v>
      </c>
      <c r="B41">
        <v>2</v>
      </c>
      <c r="C41" t="s">
        <v>223</v>
      </c>
      <c r="D41" t="s">
        <v>246</v>
      </c>
      <c r="E41" t="s">
        <v>117</v>
      </c>
    </row>
    <row r="42" spans="1:5" x14ac:dyDescent="0.25">
      <c r="A42" t="s">
        <v>139</v>
      </c>
      <c r="B42">
        <v>3</v>
      </c>
      <c r="C42" t="s">
        <v>225</v>
      </c>
      <c r="D42" t="s">
        <v>246</v>
      </c>
      <c r="E42" t="s">
        <v>117</v>
      </c>
    </row>
    <row r="43" spans="1:5" x14ac:dyDescent="0.25">
      <c r="A43" t="s">
        <v>139</v>
      </c>
      <c r="B43">
        <v>4</v>
      </c>
      <c r="C43" t="s">
        <v>178</v>
      </c>
      <c r="D43" t="s">
        <v>226</v>
      </c>
      <c r="E43" t="s">
        <v>227</v>
      </c>
    </row>
    <row r="44" spans="1:5" x14ac:dyDescent="0.25">
      <c r="A44" t="s">
        <v>139</v>
      </c>
      <c r="B44">
        <v>5</v>
      </c>
      <c r="C44" t="s">
        <v>178</v>
      </c>
      <c r="D44" t="s">
        <v>228</v>
      </c>
      <c r="E44" t="s">
        <v>229</v>
      </c>
    </row>
    <row r="45" spans="1:5" x14ac:dyDescent="0.25">
      <c r="A45" t="s">
        <v>139</v>
      </c>
      <c r="B45">
        <v>6</v>
      </c>
      <c r="C45" t="s">
        <v>178</v>
      </c>
      <c r="D45" t="s">
        <v>230</v>
      </c>
      <c r="E45" t="s">
        <v>231</v>
      </c>
    </row>
    <row r="46" spans="1:5" x14ac:dyDescent="0.25">
      <c r="A46" t="s">
        <v>139</v>
      </c>
      <c r="B46">
        <v>7</v>
      </c>
      <c r="C46" t="s">
        <v>178</v>
      </c>
      <c r="D46" t="s">
        <v>247</v>
      </c>
      <c r="E46" t="s">
        <v>231</v>
      </c>
    </row>
    <row r="47" spans="1:5" x14ac:dyDescent="0.25">
      <c r="A47" t="s">
        <v>139</v>
      </c>
      <c r="B47">
        <v>8</v>
      </c>
      <c r="C47" t="s">
        <v>178</v>
      </c>
      <c r="D47" t="s">
        <v>248</v>
      </c>
      <c r="E47" t="s">
        <v>231</v>
      </c>
    </row>
    <row r="48" spans="1:5" x14ac:dyDescent="0.25">
      <c r="A48" t="s">
        <v>141</v>
      </c>
      <c r="B48">
        <v>1</v>
      </c>
      <c r="C48" t="s">
        <v>220</v>
      </c>
      <c r="D48" t="s">
        <v>221</v>
      </c>
      <c r="E48" t="s">
        <v>222</v>
      </c>
    </row>
    <row r="49" spans="1:5" x14ac:dyDescent="0.25">
      <c r="A49" t="s">
        <v>141</v>
      </c>
      <c r="B49">
        <v>2</v>
      </c>
      <c r="C49" t="s">
        <v>223</v>
      </c>
      <c r="D49" t="s">
        <v>249</v>
      </c>
      <c r="E49" t="s">
        <v>117</v>
      </c>
    </row>
    <row r="50" spans="1:5" x14ac:dyDescent="0.25">
      <c r="A50" t="s">
        <v>141</v>
      </c>
      <c r="B50">
        <v>3</v>
      </c>
      <c r="C50" t="s">
        <v>225</v>
      </c>
      <c r="D50" t="s">
        <v>249</v>
      </c>
      <c r="E50" t="s">
        <v>117</v>
      </c>
    </row>
    <row r="51" spans="1:5" x14ac:dyDescent="0.25">
      <c r="A51" t="s">
        <v>141</v>
      </c>
      <c r="B51">
        <v>4</v>
      </c>
      <c r="C51" t="s">
        <v>178</v>
      </c>
      <c r="D51" t="s">
        <v>226</v>
      </c>
      <c r="E51" t="s">
        <v>227</v>
      </c>
    </row>
    <row r="52" spans="1:5" x14ac:dyDescent="0.25">
      <c r="A52" t="s">
        <v>141</v>
      </c>
      <c r="B52">
        <v>5</v>
      </c>
      <c r="C52" t="s">
        <v>178</v>
      </c>
      <c r="D52" t="s">
        <v>228</v>
      </c>
      <c r="E52" t="s">
        <v>229</v>
      </c>
    </row>
    <row r="53" spans="1:5" x14ac:dyDescent="0.25">
      <c r="A53" t="s">
        <v>141</v>
      </c>
      <c r="B53">
        <v>6</v>
      </c>
      <c r="C53" t="s">
        <v>178</v>
      </c>
      <c r="D53" t="s">
        <v>230</v>
      </c>
      <c r="E53" t="s">
        <v>231</v>
      </c>
    </row>
    <row r="54" spans="1:5" x14ac:dyDescent="0.25">
      <c r="A54" t="s">
        <v>141</v>
      </c>
      <c r="B54">
        <v>7</v>
      </c>
      <c r="C54" t="s">
        <v>178</v>
      </c>
      <c r="D54" t="s">
        <v>247</v>
      </c>
      <c r="E54" t="s">
        <v>231</v>
      </c>
    </row>
    <row r="55" spans="1:5" x14ac:dyDescent="0.25">
      <c r="A55" t="s">
        <v>141</v>
      </c>
      <c r="B55">
        <v>8</v>
      </c>
      <c r="C55" t="s">
        <v>178</v>
      </c>
      <c r="D55" t="s">
        <v>248</v>
      </c>
      <c r="E55" t="s">
        <v>231</v>
      </c>
    </row>
    <row r="56" spans="1:5" x14ac:dyDescent="0.25">
      <c r="A56" t="s">
        <v>143</v>
      </c>
      <c r="B56">
        <v>1</v>
      </c>
      <c r="C56" t="s">
        <v>220</v>
      </c>
      <c r="D56" t="s">
        <v>221</v>
      </c>
      <c r="E56" t="s">
        <v>222</v>
      </c>
    </row>
    <row r="57" spans="1:5" x14ac:dyDescent="0.25">
      <c r="A57" t="s">
        <v>143</v>
      </c>
      <c r="B57">
        <v>2</v>
      </c>
      <c r="C57" t="s">
        <v>250</v>
      </c>
      <c r="D57" t="s">
        <v>251</v>
      </c>
      <c r="E57" t="s">
        <v>252</v>
      </c>
    </row>
    <row r="58" spans="1:5" x14ac:dyDescent="0.25">
      <c r="A58" t="s">
        <v>143</v>
      </c>
      <c r="B58">
        <v>3</v>
      </c>
      <c r="C58" t="s">
        <v>253</v>
      </c>
      <c r="D58" t="s">
        <v>254</v>
      </c>
      <c r="E58" t="s">
        <v>117</v>
      </c>
    </row>
    <row r="59" spans="1:5" x14ac:dyDescent="0.25">
      <c r="A59" t="s">
        <v>143</v>
      </c>
      <c r="B59">
        <v>4</v>
      </c>
      <c r="C59" t="s">
        <v>255</v>
      </c>
      <c r="D59" t="s">
        <v>256</v>
      </c>
      <c r="E59" t="s">
        <v>117</v>
      </c>
    </row>
    <row r="60" spans="1:5" x14ac:dyDescent="0.25">
      <c r="A60" t="s">
        <v>143</v>
      </c>
      <c r="B60">
        <v>5</v>
      </c>
      <c r="C60" t="s">
        <v>223</v>
      </c>
      <c r="D60" t="s">
        <v>257</v>
      </c>
      <c r="E60" t="s">
        <v>117</v>
      </c>
    </row>
    <row r="61" spans="1:5" x14ac:dyDescent="0.25">
      <c r="A61" t="s">
        <v>143</v>
      </c>
      <c r="B61">
        <v>6</v>
      </c>
      <c r="C61" t="s">
        <v>225</v>
      </c>
      <c r="D61" t="s">
        <v>257</v>
      </c>
      <c r="E61" t="s">
        <v>117</v>
      </c>
    </row>
    <row r="62" spans="1:5" x14ac:dyDescent="0.25">
      <c r="A62" t="s">
        <v>151</v>
      </c>
      <c r="B62">
        <v>1</v>
      </c>
      <c r="C62" t="s">
        <v>220</v>
      </c>
      <c r="D62" t="s">
        <v>221</v>
      </c>
      <c r="E62" t="s">
        <v>222</v>
      </c>
    </row>
    <row r="63" spans="1:5" x14ac:dyDescent="0.25">
      <c r="A63" t="s">
        <v>151</v>
      </c>
      <c r="B63">
        <v>2</v>
      </c>
      <c r="C63" t="s">
        <v>223</v>
      </c>
      <c r="D63" t="s">
        <v>258</v>
      </c>
      <c r="E63" t="s">
        <v>117</v>
      </c>
    </row>
    <row r="64" spans="1:5" x14ac:dyDescent="0.25">
      <c r="A64" t="s">
        <v>151</v>
      </c>
      <c r="B64">
        <v>3</v>
      </c>
      <c r="C64" t="s">
        <v>225</v>
      </c>
      <c r="D64" t="s">
        <v>258</v>
      </c>
      <c r="E64" t="s">
        <v>117</v>
      </c>
    </row>
    <row r="65" spans="1:5" x14ac:dyDescent="0.25">
      <c r="A65" t="s">
        <v>151</v>
      </c>
      <c r="B65">
        <v>4</v>
      </c>
      <c r="C65" t="s">
        <v>178</v>
      </c>
      <c r="D65" t="s">
        <v>235</v>
      </c>
      <c r="E65" t="s">
        <v>236</v>
      </c>
    </row>
    <row r="66" spans="1:5" x14ac:dyDescent="0.25">
      <c r="A66" t="s">
        <v>151</v>
      </c>
      <c r="B66">
        <v>5</v>
      </c>
      <c r="C66" t="s">
        <v>178</v>
      </c>
      <c r="D66" t="s">
        <v>237</v>
      </c>
      <c r="E66" t="s">
        <v>238</v>
      </c>
    </row>
    <row r="67" spans="1:5" x14ac:dyDescent="0.25">
      <c r="A67" t="s">
        <v>151</v>
      </c>
      <c r="B67">
        <v>6</v>
      </c>
      <c r="C67" t="s">
        <v>178</v>
      </c>
      <c r="D67" t="s">
        <v>239</v>
      </c>
      <c r="E67" t="s">
        <v>240</v>
      </c>
    </row>
    <row r="68" spans="1:5" x14ac:dyDescent="0.25">
      <c r="A68" t="s">
        <v>153</v>
      </c>
      <c r="B68">
        <v>1</v>
      </c>
      <c r="C68" t="s">
        <v>220</v>
      </c>
      <c r="D68" t="s">
        <v>221</v>
      </c>
      <c r="E68" t="s">
        <v>222</v>
      </c>
    </row>
    <row r="69" spans="1:5" x14ac:dyDescent="0.25">
      <c r="A69" t="s">
        <v>153</v>
      </c>
      <c r="B69">
        <v>2</v>
      </c>
      <c r="C69" t="s">
        <v>223</v>
      </c>
      <c r="D69" t="s">
        <v>259</v>
      </c>
      <c r="E69" t="s">
        <v>117</v>
      </c>
    </row>
    <row r="70" spans="1:5" x14ac:dyDescent="0.25">
      <c r="A70" t="s">
        <v>153</v>
      </c>
      <c r="B70">
        <v>3</v>
      </c>
      <c r="C70" t="s">
        <v>225</v>
      </c>
      <c r="D70" t="s">
        <v>259</v>
      </c>
      <c r="E70" t="s">
        <v>117</v>
      </c>
    </row>
    <row r="71" spans="1:5" x14ac:dyDescent="0.25">
      <c r="A71" t="s">
        <v>153</v>
      </c>
      <c r="B71">
        <v>4</v>
      </c>
      <c r="C71" t="s">
        <v>178</v>
      </c>
      <c r="D71" t="s">
        <v>226</v>
      </c>
      <c r="E71" t="s">
        <v>227</v>
      </c>
    </row>
    <row r="72" spans="1:5" x14ac:dyDescent="0.25">
      <c r="A72" t="s">
        <v>153</v>
      </c>
      <c r="B72">
        <v>5</v>
      </c>
      <c r="C72" t="s">
        <v>178</v>
      </c>
      <c r="D72" t="s">
        <v>228</v>
      </c>
      <c r="E72" t="s">
        <v>229</v>
      </c>
    </row>
    <row r="73" spans="1:5" x14ac:dyDescent="0.25">
      <c r="A73" t="s">
        <v>153</v>
      </c>
      <c r="B73">
        <v>6</v>
      </c>
      <c r="C73" t="s">
        <v>178</v>
      </c>
      <c r="D73" t="s">
        <v>230</v>
      </c>
      <c r="E73" t="s">
        <v>231</v>
      </c>
    </row>
    <row r="74" spans="1:5" x14ac:dyDescent="0.25">
      <c r="A74" t="s">
        <v>155</v>
      </c>
      <c r="B74">
        <v>18</v>
      </c>
      <c r="C74" t="s">
        <v>253</v>
      </c>
      <c r="D74" t="s">
        <v>260</v>
      </c>
      <c r="E74" t="s">
        <v>117</v>
      </c>
    </row>
    <row r="75" spans="1:5" x14ac:dyDescent="0.25">
      <c r="A75" t="s">
        <v>155</v>
      </c>
      <c r="B75">
        <v>1</v>
      </c>
      <c r="C75" t="s">
        <v>220</v>
      </c>
      <c r="D75" t="s">
        <v>221</v>
      </c>
      <c r="E75" t="s">
        <v>222</v>
      </c>
    </row>
    <row r="76" spans="1:5" x14ac:dyDescent="0.25">
      <c r="A76" t="s">
        <v>155</v>
      </c>
      <c r="B76">
        <v>2</v>
      </c>
      <c r="C76" t="s">
        <v>223</v>
      </c>
      <c r="D76" t="s">
        <v>261</v>
      </c>
      <c r="E76" t="s">
        <v>117</v>
      </c>
    </row>
    <row r="77" spans="1:5" x14ac:dyDescent="0.25">
      <c r="A77" t="s">
        <v>155</v>
      </c>
      <c r="B77">
        <v>3</v>
      </c>
      <c r="C77" t="s">
        <v>225</v>
      </c>
      <c r="D77" t="s">
        <v>261</v>
      </c>
      <c r="E77" t="s">
        <v>117</v>
      </c>
    </row>
    <row r="78" spans="1:5" x14ac:dyDescent="0.25">
      <c r="A78" t="s">
        <v>155</v>
      </c>
      <c r="B78">
        <v>4</v>
      </c>
      <c r="C78" t="s">
        <v>178</v>
      </c>
      <c r="D78" t="s">
        <v>262</v>
      </c>
      <c r="E78" t="s">
        <v>263</v>
      </c>
    </row>
    <row r="79" spans="1:5" x14ac:dyDescent="0.25">
      <c r="A79" t="s">
        <v>155</v>
      </c>
      <c r="B79">
        <v>5</v>
      </c>
      <c r="C79" t="s">
        <v>178</v>
      </c>
      <c r="D79" t="s">
        <v>264</v>
      </c>
      <c r="E79" t="s">
        <v>265</v>
      </c>
    </row>
    <row r="80" spans="1:5" x14ac:dyDescent="0.25">
      <c r="A80" t="s">
        <v>155</v>
      </c>
      <c r="B80">
        <v>6</v>
      </c>
      <c r="C80" t="s">
        <v>178</v>
      </c>
      <c r="D80" t="s">
        <v>266</v>
      </c>
      <c r="E80" t="s">
        <v>267</v>
      </c>
    </row>
    <row r="81" spans="1:5" x14ac:dyDescent="0.25">
      <c r="A81" t="s">
        <v>155</v>
      </c>
      <c r="B81">
        <v>7</v>
      </c>
      <c r="C81" t="s">
        <v>178</v>
      </c>
      <c r="D81" t="s">
        <v>268</v>
      </c>
      <c r="E81" t="s">
        <v>269</v>
      </c>
    </row>
    <row r="82" spans="1:5" x14ac:dyDescent="0.25">
      <c r="A82" t="s">
        <v>155</v>
      </c>
      <c r="B82">
        <v>8</v>
      </c>
      <c r="C82" t="s">
        <v>178</v>
      </c>
      <c r="D82" t="s">
        <v>270</v>
      </c>
      <c r="E82" t="s">
        <v>271</v>
      </c>
    </row>
    <row r="83" spans="1:5" x14ac:dyDescent="0.25">
      <c r="A83" t="s">
        <v>155</v>
      </c>
      <c r="B83">
        <v>9</v>
      </c>
      <c r="C83" t="s">
        <v>178</v>
      </c>
      <c r="D83" t="s">
        <v>272</v>
      </c>
      <c r="E83" t="s">
        <v>273</v>
      </c>
    </row>
    <row r="84" spans="1:5" x14ac:dyDescent="0.25">
      <c r="A84" t="s">
        <v>155</v>
      </c>
      <c r="B84">
        <v>10</v>
      </c>
      <c r="C84" t="s">
        <v>178</v>
      </c>
      <c r="D84" t="s">
        <v>274</v>
      </c>
      <c r="E84" t="s">
        <v>273</v>
      </c>
    </row>
    <row r="85" spans="1:5" x14ac:dyDescent="0.25">
      <c r="A85" t="s">
        <v>155</v>
      </c>
      <c r="B85">
        <v>11</v>
      </c>
      <c r="C85" t="s">
        <v>178</v>
      </c>
      <c r="D85" t="s">
        <v>275</v>
      </c>
      <c r="E85" t="s">
        <v>276</v>
      </c>
    </row>
    <row r="86" spans="1:5" x14ac:dyDescent="0.25">
      <c r="A86" t="s">
        <v>155</v>
      </c>
      <c r="B86">
        <v>12</v>
      </c>
      <c r="C86" t="s">
        <v>178</v>
      </c>
      <c r="D86" t="s">
        <v>277</v>
      </c>
      <c r="E86" t="s">
        <v>278</v>
      </c>
    </row>
    <row r="87" spans="1:5" x14ac:dyDescent="0.25">
      <c r="A87" t="s">
        <v>155</v>
      </c>
      <c r="B87">
        <v>13</v>
      </c>
      <c r="C87" t="s">
        <v>178</v>
      </c>
      <c r="D87" t="s">
        <v>279</v>
      </c>
      <c r="E87" t="s">
        <v>269</v>
      </c>
    </row>
    <row r="88" spans="1:5" x14ac:dyDescent="0.25">
      <c r="A88" t="s">
        <v>155</v>
      </c>
      <c r="B88">
        <v>14</v>
      </c>
      <c r="C88" t="s">
        <v>178</v>
      </c>
      <c r="D88" t="s">
        <v>280</v>
      </c>
      <c r="E88" t="s">
        <v>281</v>
      </c>
    </row>
    <row r="89" spans="1:5" x14ac:dyDescent="0.25">
      <c r="A89" t="s">
        <v>155</v>
      </c>
      <c r="B89">
        <v>15</v>
      </c>
      <c r="C89" t="s">
        <v>178</v>
      </c>
      <c r="D89" t="s">
        <v>282</v>
      </c>
      <c r="E89" t="s">
        <v>227</v>
      </c>
    </row>
    <row r="90" spans="1:5" x14ac:dyDescent="0.25">
      <c r="A90" t="s">
        <v>155</v>
      </c>
      <c r="B90">
        <v>16</v>
      </c>
      <c r="C90" t="s">
        <v>178</v>
      </c>
      <c r="D90" t="s">
        <v>283</v>
      </c>
      <c r="E90" t="s">
        <v>284</v>
      </c>
    </row>
    <row r="91" spans="1:5" x14ac:dyDescent="0.25">
      <c r="A91" t="s">
        <v>155</v>
      </c>
      <c r="B91">
        <v>17</v>
      </c>
      <c r="C91" t="s">
        <v>178</v>
      </c>
      <c r="D91" t="s">
        <v>285</v>
      </c>
      <c r="E91" t="s">
        <v>286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I14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163</v>
      </c>
      <c r="C1" s="1" t="s">
        <v>287</v>
      </c>
      <c r="D1" s="1" t="s">
        <v>288</v>
      </c>
      <c r="E1" s="1" t="s">
        <v>289</v>
      </c>
      <c r="F1" s="1" t="s">
        <v>290</v>
      </c>
      <c r="G1" s="1" t="s">
        <v>291</v>
      </c>
      <c r="H1" s="1" t="s">
        <v>292</v>
      </c>
      <c r="I1" s="1" t="s">
        <v>293</v>
      </c>
    </row>
    <row r="2" spans="1:9" x14ac:dyDescent="0.25">
      <c r="A2" t="s">
        <v>104</v>
      </c>
      <c r="B2">
        <v>1</v>
      </c>
      <c r="C2" t="s">
        <v>108</v>
      </c>
      <c r="D2" t="s">
        <v>294</v>
      </c>
      <c r="E2" t="s">
        <v>295</v>
      </c>
      <c r="F2" t="s">
        <v>296</v>
      </c>
    </row>
    <row r="3" spans="1:9" x14ac:dyDescent="0.25">
      <c r="A3" t="s">
        <v>127</v>
      </c>
      <c r="B3">
        <v>1</v>
      </c>
      <c r="C3" t="s">
        <v>108</v>
      </c>
      <c r="D3" t="s">
        <v>294</v>
      </c>
      <c r="E3" t="s">
        <v>295</v>
      </c>
      <c r="F3" t="s">
        <v>296</v>
      </c>
    </row>
    <row r="4" spans="1:9" x14ac:dyDescent="0.25">
      <c r="A4" t="s">
        <v>129</v>
      </c>
      <c r="B4">
        <v>1</v>
      </c>
      <c r="C4" t="s">
        <v>108</v>
      </c>
      <c r="D4" t="s">
        <v>294</v>
      </c>
      <c r="E4" t="s">
        <v>295</v>
      </c>
      <c r="F4" t="s">
        <v>296</v>
      </c>
    </row>
    <row r="5" spans="1:9" x14ac:dyDescent="0.25">
      <c r="A5" t="s">
        <v>131</v>
      </c>
      <c r="B5">
        <v>1</v>
      </c>
      <c r="C5" t="s">
        <v>108</v>
      </c>
      <c r="D5" t="s">
        <v>294</v>
      </c>
      <c r="E5" t="s">
        <v>295</v>
      </c>
      <c r="F5" t="s">
        <v>296</v>
      </c>
    </row>
    <row r="6" spans="1:9" x14ac:dyDescent="0.25">
      <c r="A6" t="s">
        <v>133</v>
      </c>
      <c r="B6">
        <v>1</v>
      </c>
      <c r="C6" t="s">
        <v>108</v>
      </c>
      <c r="D6" t="s">
        <v>294</v>
      </c>
      <c r="E6" t="s">
        <v>295</v>
      </c>
      <c r="F6" t="s">
        <v>296</v>
      </c>
    </row>
    <row r="7" spans="1:9" x14ac:dyDescent="0.25">
      <c r="A7" t="s">
        <v>135</v>
      </c>
      <c r="B7">
        <v>1</v>
      </c>
      <c r="C7" t="s">
        <v>108</v>
      </c>
      <c r="D7" t="s">
        <v>294</v>
      </c>
      <c r="E7" t="s">
        <v>295</v>
      </c>
      <c r="F7" t="s">
        <v>296</v>
      </c>
    </row>
    <row r="8" spans="1:9" x14ac:dyDescent="0.25">
      <c r="A8" t="s">
        <v>137</v>
      </c>
      <c r="B8">
        <v>1</v>
      </c>
      <c r="C8" t="s">
        <v>108</v>
      </c>
      <c r="D8" t="s">
        <v>294</v>
      </c>
      <c r="E8" t="s">
        <v>295</v>
      </c>
      <c r="F8" t="s">
        <v>296</v>
      </c>
    </row>
    <row r="9" spans="1:9" x14ac:dyDescent="0.25">
      <c r="A9" t="s">
        <v>139</v>
      </c>
      <c r="B9">
        <v>1</v>
      </c>
      <c r="C9" t="s">
        <v>108</v>
      </c>
      <c r="D9" t="s">
        <v>294</v>
      </c>
      <c r="E9" t="s">
        <v>295</v>
      </c>
      <c r="F9" t="s">
        <v>296</v>
      </c>
    </row>
    <row r="10" spans="1:9" x14ac:dyDescent="0.25">
      <c r="A10" t="s">
        <v>141</v>
      </c>
      <c r="B10">
        <v>1</v>
      </c>
      <c r="C10" t="s">
        <v>108</v>
      </c>
      <c r="D10" t="s">
        <v>294</v>
      </c>
      <c r="E10" t="s">
        <v>295</v>
      </c>
      <c r="F10" t="s">
        <v>296</v>
      </c>
    </row>
    <row r="11" spans="1:9" x14ac:dyDescent="0.25">
      <c r="A11" t="s">
        <v>143</v>
      </c>
      <c r="B11">
        <v>1</v>
      </c>
      <c r="C11" t="s">
        <v>189</v>
      </c>
      <c r="D11" t="s">
        <v>297</v>
      </c>
      <c r="E11" t="s">
        <v>298</v>
      </c>
      <c r="F11" t="s">
        <v>299</v>
      </c>
    </row>
    <row r="12" spans="1:9" x14ac:dyDescent="0.25">
      <c r="A12" t="s">
        <v>151</v>
      </c>
      <c r="B12">
        <v>1</v>
      </c>
      <c r="C12" t="s">
        <v>108</v>
      </c>
      <c r="D12" t="s">
        <v>294</v>
      </c>
      <c r="E12" t="s">
        <v>295</v>
      </c>
      <c r="F12" t="s">
        <v>296</v>
      </c>
    </row>
    <row r="13" spans="1:9" x14ac:dyDescent="0.25">
      <c r="A13" t="s">
        <v>153</v>
      </c>
      <c r="B13">
        <v>1</v>
      </c>
      <c r="C13" t="s">
        <v>108</v>
      </c>
      <c r="D13" t="s">
        <v>294</v>
      </c>
      <c r="E13" t="s">
        <v>295</v>
      </c>
      <c r="F13" t="s">
        <v>296</v>
      </c>
    </row>
    <row r="14" spans="1:9" x14ac:dyDescent="0.25">
      <c r="A14" t="s">
        <v>155</v>
      </c>
      <c r="B14">
        <v>1</v>
      </c>
      <c r="C14" t="s">
        <v>189</v>
      </c>
      <c r="D14" t="s">
        <v>156</v>
      </c>
      <c r="E14" t="s">
        <v>300</v>
      </c>
      <c r="F14" t="s">
        <v>156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F1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5" max="5" width="9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163</v>
      </c>
      <c r="C1" s="1" t="s">
        <v>301</v>
      </c>
      <c r="D1" s="1" t="s">
        <v>302</v>
      </c>
      <c r="E1" s="1" t="s">
        <v>303</v>
      </c>
      <c r="F1" s="1" t="s">
        <v>304</v>
      </c>
    </row>
    <row r="2" spans="1:6" x14ac:dyDescent="0.25">
      <c r="A2" t="s">
        <v>104</v>
      </c>
      <c r="B2">
        <v>1</v>
      </c>
      <c r="C2" t="s">
        <v>305</v>
      </c>
      <c r="D2">
        <v>28</v>
      </c>
      <c r="E2" t="s">
        <v>306</v>
      </c>
    </row>
    <row r="3" spans="1:6" x14ac:dyDescent="0.25">
      <c r="A3" t="s">
        <v>127</v>
      </c>
      <c r="B3">
        <v>1</v>
      </c>
      <c r="C3" t="s">
        <v>305</v>
      </c>
      <c r="D3">
        <v>9</v>
      </c>
      <c r="E3" t="s">
        <v>307</v>
      </c>
    </row>
    <row r="4" spans="1:6" x14ac:dyDescent="0.25">
      <c r="A4" t="s">
        <v>129</v>
      </c>
      <c r="B4">
        <v>1</v>
      </c>
      <c r="C4" t="s">
        <v>305</v>
      </c>
      <c r="D4">
        <v>6</v>
      </c>
      <c r="E4" t="s">
        <v>306</v>
      </c>
    </row>
    <row r="5" spans="1:6" x14ac:dyDescent="0.25">
      <c r="A5" t="s">
        <v>131</v>
      </c>
      <c r="B5">
        <v>1</v>
      </c>
      <c r="C5" t="s">
        <v>305</v>
      </c>
      <c r="D5">
        <v>49</v>
      </c>
      <c r="E5" t="s">
        <v>306</v>
      </c>
    </row>
    <row r="6" spans="1:6" x14ac:dyDescent="0.25">
      <c r="A6" t="s">
        <v>133</v>
      </c>
      <c r="B6">
        <v>1</v>
      </c>
      <c r="C6" t="s">
        <v>305</v>
      </c>
      <c r="D6">
        <v>13</v>
      </c>
      <c r="E6" t="s">
        <v>306</v>
      </c>
    </row>
    <row r="7" spans="1:6" x14ac:dyDescent="0.25">
      <c r="A7" t="s">
        <v>135</v>
      </c>
      <c r="B7">
        <v>1</v>
      </c>
      <c r="C7" t="s">
        <v>305</v>
      </c>
      <c r="D7">
        <v>62</v>
      </c>
      <c r="E7" t="s">
        <v>306</v>
      </c>
    </row>
    <row r="8" spans="1:6" x14ac:dyDescent="0.25">
      <c r="A8" t="s">
        <v>137</v>
      </c>
      <c r="B8">
        <v>1</v>
      </c>
      <c r="C8" t="s">
        <v>305</v>
      </c>
      <c r="D8">
        <v>3</v>
      </c>
      <c r="E8" t="s">
        <v>306</v>
      </c>
    </row>
    <row r="9" spans="1:6" x14ac:dyDescent="0.25">
      <c r="A9" t="s">
        <v>139</v>
      </c>
      <c r="B9">
        <v>1</v>
      </c>
      <c r="C9" t="s">
        <v>305</v>
      </c>
      <c r="D9">
        <v>56</v>
      </c>
      <c r="E9" t="s">
        <v>306</v>
      </c>
    </row>
    <row r="10" spans="1:6" x14ac:dyDescent="0.25">
      <c r="A10" t="s">
        <v>141</v>
      </c>
      <c r="B10">
        <v>1</v>
      </c>
      <c r="C10" t="s">
        <v>305</v>
      </c>
      <c r="D10">
        <v>142</v>
      </c>
      <c r="E10" t="s">
        <v>306</v>
      </c>
    </row>
    <row r="11" spans="1:6" x14ac:dyDescent="0.25">
      <c r="A11" t="s">
        <v>143</v>
      </c>
      <c r="B11">
        <v>1</v>
      </c>
      <c r="C11" t="s">
        <v>308</v>
      </c>
      <c r="D11">
        <v>1</v>
      </c>
      <c r="E11" t="s">
        <v>307</v>
      </c>
    </row>
    <row r="12" spans="1:6" x14ac:dyDescent="0.25">
      <c r="A12" t="s">
        <v>151</v>
      </c>
      <c r="B12">
        <v>1</v>
      </c>
      <c r="C12" t="s">
        <v>305</v>
      </c>
      <c r="D12">
        <v>24</v>
      </c>
      <c r="E12" t="s">
        <v>306</v>
      </c>
    </row>
    <row r="13" spans="1:6" x14ac:dyDescent="0.25">
      <c r="A13" t="s">
        <v>153</v>
      </c>
      <c r="B13">
        <v>1</v>
      </c>
      <c r="C13" t="s">
        <v>305</v>
      </c>
      <c r="D13">
        <v>10</v>
      </c>
      <c r="E13" t="s">
        <v>306</v>
      </c>
    </row>
    <row r="14" spans="1:6" x14ac:dyDescent="0.25">
      <c r="A14" t="s">
        <v>155</v>
      </c>
      <c r="B14">
        <v>1</v>
      </c>
      <c r="C14" t="s">
        <v>308</v>
      </c>
      <c r="D14">
        <v>1</v>
      </c>
      <c r="E14" t="s">
        <v>307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163</v>
      </c>
      <c r="C1" s="1" t="s">
        <v>309</v>
      </c>
      <c r="D1" s="1" t="s">
        <v>310</v>
      </c>
      <c r="E1" s="1" t="s">
        <v>311</v>
      </c>
      <c r="F1" s="1" t="s">
        <v>312</v>
      </c>
      <c r="G1" s="1" t="s">
        <v>304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449</v>
      </c>
      <c r="C1" s="1" t="s">
        <v>450</v>
      </c>
      <c r="D1" s="1" t="s">
        <v>451</v>
      </c>
      <c r="E1" s="1" t="s">
        <v>333</v>
      </c>
      <c r="F1" s="1" t="s">
        <v>452</v>
      </c>
      <c r="G1" s="1" t="s">
        <v>453</v>
      </c>
      <c r="H1" s="1" t="s">
        <v>454</v>
      </c>
      <c r="I1" s="1" t="s">
        <v>455</v>
      </c>
      <c r="J1" s="1" t="s">
        <v>456</v>
      </c>
      <c r="K1" s="1" t="s">
        <v>457</v>
      </c>
      <c r="L1" s="1" t="s">
        <v>458</v>
      </c>
      <c r="M1" s="1" t="s">
        <v>459</v>
      </c>
      <c r="N1" s="1" t="s">
        <v>60</v>
      </c>
      <c r="O1" s="1" t="s">
        <v>460</v>
      </c>
      <c r="P1" s="1" t="s">
        <v>461</v>
      </c>
      <c r="Q1" s="1" t="s">
        <v>462</v>
      </c>
      <c r="R1" s="1" t="s">
        <v>463</v>
      </c>
      <c r="S1" s="1" t="s">
        <v>464</v>
      </c>
      <c r="T1" s="1" t="s">
        <v>465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R83"/>
  <sheetViews>
    <sheetView tabSelected="1" topLeftCell="X1" workbookViewId="0">
      <selection activeCell="AK72" sqref="AK72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3.42578125" bestFit="1" customWidth="1"/>
    <col min="5" max="5" width="140.42578125" bestFit="1" customWidth="1"/>
    <col min="6" max="6" width="12.42578125" bestFit="1" customWidth="1"/>
    <col min="7" max="7" width="32.42578125" bestFit="1" customWidth="1"/>
    <col min="8" max="8" width="10.4257812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42578125" bestFit="1" customWidth="1"/>
    <col min="29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6" width="20.85546875" bestFit="1" customWidth="1"/>
    <col min="37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313</v>
      </c>
      <c r="C1" s="1" t="s">
        <v>314</v>
      </c>
      <c r="D1" s="1" t="s">
        <v>315</v>
      </c>
      <c r="E1" s="1" t="s">
        <v>316</v>
      </c>
      <c r="F1" s="1" t="s">
        <v>303</v>
      </c>
      <c r="G1" s="1" t="s">
        <v>317</v>
      </c>
      <c r="H1" s="1" t="s">
        <v>318</v>
      </c>
      <c r="I1" s="1" t="s">
        <v>319</v>
      </c>
      <c r="J1" s="1" t="s">
        <v>320</v>
      </c>
      <c r="K1" s="1" t="s">
        <v>321</v>
      </c>
      <c r="L1" s="1" t="s">
        <v>301</v>
      </c>
      <c r="M1" s="1" t="s">
        <v>302</v>
      </c>
      <c r="N1" s="1" t="s">
        <v>322</v>
      </c>
      <c r="O1" s="1" t="s">
        <v>323</v>
      </c>
      <c r="P1" s="1" t="s">
        <v>324</v>
      </c>
      <c r="Q1" s="1" t="s">
        <v>325</v>
      </c>
      <c r="R1" s="1" t="s">
        <v>326</v>
      </c>
      <c r="S1" s="1" t="s">
        <v>327</v>
      </c>
      <c r="T1" s="1" t="s">
        <v>77</v>
      </c>
      <c r="U1" s="1" t="s">
        <v>76</v>
      </c>
      <c r="V1" s="1" t="s">
        <v>78</v>
      </c>
      <c r="W1" s="1" t="s">
        <v>328</v>
      </c>
      <c r="X1" s="1" t="s">
        <v>329</v>
      </c>
      <c r="Y1" s="1" t="s">
        <v>330</v>
      </c>
      <c r="Z1" s="1" t="s">
        <v>69</v>
      </c>
      <c r="AA1" s="1" t="s">
        <v>331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332</v>
      </c>
      <c r="AG1" s="1" t="s">
        <v>333</v>
      </c>
      <c r="AH1" s="1" t="s">
        <v>334</v>
      </c>
      <c r="AI1" s="1" t="s">
        <v>335</v>
      </c>
      <c r="AJ1" s="1" t="s">
        <v>336</v>
      </c>
      <c r="AK1" s="1" t="s">
        <v>337</v>
      </c>
      <c r="AL1" s="1" t="s">
        <v>338</v>
      </c>
      <c r="AM1" s="1" t="s">
        <v>61</v>
      </c>
      <c r="AN1" s="1" t="s">
        <v>74</v>
      </c>
      <c r="AO1" s="1" t="s">
        <v>339</v>
      </c>
      <c r="AP1" s="1" t="s">
        <v>340</v>
      </c>
      <c r="AQ1" s="1" t="s">
        <v>341</v>
      </c>
      <c r="AR1" s="1" t="s">
        <v>342</v>
      </c>
      <c r="AS1" s="1" t="s">
        <v>30</v>
      </c>
      <c r="AT1" s="1" t="s">
        <v>343</v>
      </c>
      <c r="AU1" s="1" t="s">
        <v>88</v>
      </c>
      <c r="AV1" s="1" t="s">
        <v>344</v>
      </c>
      <c r="AW1" s="1" t="s">
        <v>345</v>
      </c>
      <c r="AX1" s="1" t="s">
        <v>346</v>
      </c>
      <c r="AY1" s="1" t="s">
        <v>347</v>
      </c>
      <c r="AZ1" s="1" t="s">
        <v>348</v>
      </c>
      <c r="BA1" s="1" t="s">
        <v>349</v>
      </c>
      <c r="BB1" s="1" t="s">
        <v>350</v>
      </c>
      <c r="BC1" s="1" t="s">
        <v>351</v>
      </c>
      <c r="BD1" s="1" t="s">
        <v>352</v>
      </c>
      <c r="BE1" s="1" t="s">
        <v>353</v>
      </c>
      <c r="BF1" s="1" t="s">
        <v>354</v>
      </c>
      <c r="BG1" s="1" t="s">
        <v>355</v>
      </c>
      <c r="BH1" s="1" t="s">
        <v>356</v>
      </c>
      <c r="BI1" s="1" t="s">
        <v>357</v>
      </c>
      <c r="BJ1" s="1" t="s">
        <v>358</v>
      </c>
      <c r="BK1" s="1" t="s">
        <v>359</v>
      </c>
      <c r="BL1" s="1" t="s">
        <v>360</v>
      </c>
      <c r="BM1" s="1" t="s">
        <v>361</v>
      </c>
      <c r="BN1" s="1" t="s">
        <v>362</v>
      </c>
      <c r="BO1" s="1" t="s">
        <v>8</v>
      </c>
      <c r="BP1" s="1" t="s">
        <v>363</v>
      </c>
      <c r="BQ1" s="1" t="s">
        <v>364</v>
      </c>
      <c r="BR1" s="1" t="s">
        <v>365</v>
      </c>
    </row>
    <row r="2" spans="1:70" x14ac:dyDescent="0.25">
      <c r="A2" t="s">
        <v>104</v>
      </c>
      <c r="B2">
        <v>1</v>
      </c>
      <c r="C2" t="s">
        <v>366</v>
      </c>
      <c r="D2" t="s">
        <v>367</v>
      </c>
      <c r="E2" t="s">
        <v>368</v>
      </c>
      <c r="F2" t="s">
        <v>306</v>
      </c>
      <c r="G2" t="s">
        <v>369</v>
      </c>
      <c r="H2" t="s">
        <v>370</v>
      </c>
      <c r="I2" t="s">
        <v>307</v>
      </c>
      <c r="J2" t="s">
        <v>371</v>
      </c>
      <c r="K2">
        <v>515</v>
      </c>
      <c r="L2" t="s">
        <v>305</v>
      </c>
      <c r="M2">
        <v>5</v>
      </c>
      <c r="T2">
        <v>32.799999999999997</v>
      </c>
      <c r="AA2">
        <v>0</v>
      </c>
      <c r="AB2">
        <v>0</v>
      </c>
      <c r="AC2">
        <v>993.95</v>
      </c>
      <c r="AI2">
        <v>0</v>
      </c>
      <c r="AJ2" s="3">
        <f>+AC2/K2</f>
        <v>1.9300000000000002</v>
      </c>
      <c r="AK2">
        <v>0.81</v>
      </c>
      <c r="AL2">
        <v>0</v>
      </c>
      <c r="AS2" t="s">
        <v>372</v>
      </c>
      <c r="AY2" t="s">
        <v>373</v>
      </c>
      <c r="BO2" t="s">
        <v>108</v>
      </c>
    </row>
    <row r="3" spans="1:70" x14ac:dyDescent="0.25">
      <c r="A3" t="s">
        <v>104</v>
      </c>
      <c r="B3">
        <v>2</v>
      </c>
      <c r="C3" t="s">
        <v>366</v>
      </c>
      <c r="D3" t="s">
        <v>367</v>
      </c>
      <c r="E3" t="s">
        <v>368</v>
      </c>
      <c r="F3" t="s">
        <v>306</v>
      </c>
      <c r="G3" t="s">
        <v>369</v>
      </c>
      <c r="H3" t="s">
        <v>374</v>
      </c>
      <c r="I3" t="s">
        <v>307</v>
      </c>
      <c r="J3" t="s">
        <v>371</v>
      </c>
      <c r="K3">
        <v>615</v>
      </c>
      <c r="L3" t="s">
        <v>305</v>
      </c>
      <c r="M3">
        <v>4</v>
      </c>
      <c r="T3">
        <v>23.92</v>
      </c>
      <c r="AA3">
        <v>0</v>
      </c>
      <c r="AB3">
        <v>0</v>
      </c>
      <c r="AC3">
        <v>1186.95</v>
      </c>
      <c r="AI3">
        <v>0</v>
      </c>
      <c r="AJ3" s="3">
        <f t="shared" ref="AJ3:AJ66" si="0">+AC3/K3</f>
        <v>1.9300000000000002</v>
      </c>
      <c r="AK3">
        <v>0.81</v>
      </c>
      <c r="AL3">
        <v>0</v>
      </c>
      <c r="AS3" t="s">
        <v>372</v>
      </c>
      <c r="AY3" t="s">
        <v>373</v>
      </c>
      <c r="BO3" t="s">
        <v>108</v>
      </c>
    </row>
    <row r="4" spans="1:70" x14ac:dyDescent="0.25">
      <c r="A4" t="s">
        <v>104</v>
      </c>
      <c r="B4">
        <v>3</v>
      </c>
      <c r="C4" t="s">
        <v>366</v>
      </c>
      <c r="D4" t="s">
        <v>367</v>
      </c>
      <c r="E4" t="s">
        <v>368</v>
      </c>
      <c r="F4" t="s">
        <v>306</v>
      </c>
      <c r="G4" t="s">
        <v>369</v>
      </c>
      <c r="H4" t="s">
        <v>375</v>
      </c>
      <c r="I4" t="s">
        <v>307</v>
      </c>
      <c r="J4" t="s">
        <v>371</v>
      </c>
      <c r="K4">
        <v>581</v>
      </c>
      <c r="L4" t="s">
        <v>305</v>
      </c>
      <c r="M4">
        <v>11</v>
      </c>
      <c r="T4">
        <v>66.224999999999994</v>
      </c>
      <c r="AA4">
        <v>0</v>
      </c>
      <c r="AB4">
        <v>0</v>
      </c>
      <c r="AC4">
        <v>1121.33</v>
      </c>
      <c r="AI4">
        <v>0</v>
      </c>
      <c r="AJ4" s="3">
        <f t="shared" si="0"/>
        <v>1.93</v>
      </c>
      <c r="AK4">
        <v>0.81</v>
      </c>
      <c r="AL4">
        <v>0</v>
      </c>
      <c r="AS4" t="s">
        <v>372</v>
      </c>
      <c r="AY4" t="s">
        <v>373</v>
      </c>
      <c r="BO4" t="s">
        <v>108</v>
      </c>
    </row>
    <row r="5" spans="1:70" x14ac:dyDescent="0.25">
      <c r="A5" t="s">
        <v>104</v>
      </c>
      <c r="B5">
        <v>4</v>
      </c>
      <c r="C5" t="s">
        <v>366</v>
      </c>
      <c r="D5" t="s">
        <v>367</v>
      </c>
      <c r="E5" t="s">
        <v>368</v>
      </c>
      <c r="F5" t="s">
        <v>306</v>
      </c>
      <c r="G5" t="s">
        <v>369</v>
      </c>
      <c r="H5" t="s">
        <v>376</v>
      </c>
      <c r="I5" t="s">
        <v>307</v>
      </c>
      <c r="J5" t="s">
        <v>371</v>
      </c>
      <c r="K5">
        <v>394</v>
      </c>
      <c r="L5" t="s">
        <v>305</v>
      </c>
      <c r="M5">
        <v>6</v>
      </c>
      <c r="T5">
        <v>17.84</v>
      </c>
      <c r="AA5">
        <v>0</v>
      </c>
      <c r="AB5">
        <v>0</v>
      </c>
      <c r="AC5">
        <v>760.42</v>
      </c>
      <c r="AI5">
        <v>0</v>
      </c>
      <c r="AJ5" s="3">
        <f t="shared" si="0"/>
        <v>1.93</v>
      </c>
      <c r="AK5">
        <v>0.81</v>
      </c>
      <c r="AL5">
        <v>0</v>
      </c>
      <c r="AS5" t="s">
        <v>372</v>
      </c>
      <c r="AY5" t="s">
        <v>373</v>
      </c>
      <c r="BO5" t="s">
        <v>108</v>
      </c>
    </row>
    <row r="6" spans="1:70" x14ac:dyDescent="0.25">
      <c r="A6" t="s">
        <v>104</v>
      </c>
      <c r="B6">
        <v>5</v>
      </c>
      <c r="C6" t="s">
        <v>366</v>
      </c>
      <c r="D6" t="s">
        <v>367</v>
      </c>
      <c r="E6" t="s">
        <v>368</v>
      </c>
      <c r="F6" t="s">
        <v>306</v>
      </c>
      <c r="G6" t="s">
        <v>369</v>
      </c>
      <c r="H6" t="s">
        <v>377</v>
      </c>
      <c r="I6" t="s">
        <v>307</v>
      </c>
      <c r="J6" t="s">
        <v>371</v>
      </c>
      <c r="K6">
        <v>195</v>
      </c>
      <c r="L6" t="s">
        <v>305</v>
      </c>
      <c r="M6">
        <v>2</v>
      </c>
      <c r="T6">
        <v>15.91</v>
      </c>
      <c r="AA6">
        <v>0</v>
      </c>
      <c r="AB6">
        <v>0</v>
      </c>
      <c r="AC6">
        <v>376.35</v>
      </c>
      <c r="AI6">
        <v>0</v>
      </c>
      <c r="AJ6" s="3">
        <f t="shared" si="0"/>
        <v>1.9300000000000002</v>
      </c>
      <c r="AK6">
        <v>0.81</v>
      </c>
      <c r="AL6">
        <v>0</v>
      </c>
      <c r="AS6" t="s">
        <v>372</v>
      </c>
      <c r="AY6" t="s">
        <v>373</v>
      </c>
      <c r="BO6" t="s">
        <v>108</v>
      </c>
    </row>
    <row r="7" spans="1:70" x14ac:dyDescent="0.25">
      <c r="A7" t="s">
        <v>127</v>
      </c>
      <c r="B7">
        <v>5</v>
      </c>
      <c r="C7" t="s">
        <v>366</v>
      </c>
      <c r="D7" t="s">
        <v>367</v>
      </c>
      <c r="E7" t="s">
        <v>378</v>
      </c>
      <c r="F7" t="s">
        <v>306</v>
      </c>
      <c r="G7" t="s">
        <v>369</v>
      </c>
      <c r="H7" t="s">
        <v>370</v>
      </c>
      <c r="I7" t="s">
        <v>307</v>
      </c>
      <c r="J7" t="s">
        <v>371</v>
      </c>
      <c r="K7">
        <v>160</v>
      </c>
      <c r="L7" t="s">
        <v>305</v>
      </c>
      <c r="M7">
        <v>2</v>
      </c>
      <c r="T7">
        <v>14.565</v>
      </c>
      <c r="Z7">
        <v>0</v>
      </c>
      <c r="AA7">
        <v>0</v>
      </c>
      <c r="AB7">
        <v>18062</v>
      </c>
      <c r="AC7">
        <v>308.8</v>
      </c>
      <c r="AF7">
        <v>0</v>
      </c>
      <c r="AG7">
        <v>0</v>
      </c>
      <c r="AI7">
        <v>0</v>
      </c>
      <c r="AJ7" s="3">
        <f t="shared" si="0"/>
        <v>1.9300000000000002</v>
      </c>
      <c r="AK7">
        <v>0.81</v>
      </c>
      <c r="AL7">
        <v>0</v>
      </c>
      <c r="AM7">
        <v>0</v>
      </c>
      <c r="AN7">
        <v>0</v>
      </c>
      <c r="AS7" t="s">
        <v>372</v>
      </c>
      <c r="AY7" t="s">
        <v>373</v>
      </c>
      <c r="BJ7">
        <v>0</v>
      </c>
      <c r="BO7" t="s">
        <v>108</v>
      </c>
      <c r="BR7" t="s">
        <v>126</v>
      </c>
    </row>
    <row r="8" spans="1:70" x14ac:dyDescent="0.25">
      <c r="A8" t="s">
        <v>127</v>
      </c>
      <c r="B8">
        <v>1</v>
      </c>
      <c r="C8" t="s">
        <v>366</v>
      </c>
      <c r="D8" t="s">
        <v>367</v>
      </c>
      <c r="E8" t="s">
        <v>378</v>
      </c>
      <c r="F8" t="s">
        <v>306</v>
      </c>
      <c r="G8" t="s">
        <v>369</v>
      </c>
      <c r="H8" t="s">
        <v>374</v>
      </c>
      <c r="I8" t="s">
        <v>307</v>
      </c>
      <c r="J8" t="s">
        <v>371</v>
      </c>
      <c r="K8">
        <v>203</v>
      </c>
      <c r="L8" t="s">
        <v>305</v>
      </c>
      <c r="M8">
        <v>1</v>
      </c>
      <c r="T8">
        <v>2.4500000000000002</v>
      </c>
      <c r="Z8">
        <v>0</v>
      </c>
      <c r="AA8">
        <v>0</v>
      </c>
      <c r="AB8">
        <v>18062</v>
      </c>
      <c r="AC8">
        <v>391.79</v>
      </c>
      <c r="AF8">
        <v>0</v>
      </c>
      <c r="AG8">
        <v>0</v>
      </c>
      <c r="AI8">
        <v>0</v>
      </c>
      <c r="AJ8" s="3">
        <f t="shared" si="0"/>
        <v>1.9300000000000002</v>
      </c>
      <c r="AK8">
        <v>0.81</v>
      </c>
      <c r="AL8">
        <v>0</v>
      </c>
      <c r="AM8">
        <v>0</v>
      </c>
      <c r="AN8">
        <v>0</v>
      </c>
      <c r="AS8" t="s">
        <v>372</v>
      </c>
      <c r="AY8" t="s">
        <v>373</v>
      </c>
      <c r="BJ8">
        <v>0</v>
      </c>
      <c r="BO8" t="s">
        <v>108</v>
      </c>
      <c r="BR8" t="s">
        <v>126</v>
      </c>
    </row>
    <row r="9" spans="1:70" x14ac:dyDescent="0.25">
      <c r="A9" t="s">
        <v>127</v>
      </c>
      <c r="B9">
        <v>2</v>
      </c>
      <c r="C9" t="s">
        <v>366</v>
      </c>
      <c r="D9" t="s">
        <v>367</v>
      </c>
      <c r="E9" t="s">
        <v>378</v>
      </c>
      <c r="F9" t="s">
        <v>306</v>
      </c>
      <c r="G9" t="s">
        <v>369</v>
      </c>
      <c r="H9" t="s">
        <v>375</v>
      </c>
      <c r="I9" t="s">
        <v>307</v>
      </c>
      <c r="J9" t="s">
        <v>371</v>
      </c>
      <c r="K9">
        <v>193</v>
      </c>
      <c r="L9" t="s">
        <v>305</v>
      </c>
      <c r="M9">
        <v>6</v>
      </c>
      <c r="T9">
        <v>34.835000000000001</v>
      </c>
      <c r="Z9">
        <v>0</v>
      </c>
      <c r="AA9">
        <v>0</v>
      </c>
      <c r="AB9">
        <v>18062</v>
      </c>
      <c r="AC9">
        <v>372.49</v>
      </c>
      <c r="AF9">
        <v>0</v>
      </c>
      <c r="AG9">
        <v>0</v>
      </c>
      <c r="AI9">
        <v>0</v>
      </c>
      <c r="AJ9" s="3">
        <f t="shared" si="0"/>
        <v>1.93</v>
      </c>
      <c r="AK9">
        <v>0.81</v>
      </c>
      <c r="AL9">
        <v>0</v>
      </c>
      <c r="AM9">
        <v>0</v>
      </c>
      <c r="AN9">
        <v>0</v>
      </c>
      <c r="AS9" t="s">
        <v>372</v>
      </c>
      <c r="AY9" t="s">
        <v>373</v>
      </c>
      <c r="BJ9">
        <v>0</v>
      </c>
      <c r="BO9" t="s">
        <v>108</v>
      </c>
      <c r="BR9" t="s">
        <v>126</v>
      </c>
    </row>
    <row r="10" spans="1:70" x14ac:dyDescent="0.25">
      <c r="A10" t="s">
        <v>127</v>
      </c>
      <c r="B10">
        <v>3</v>
      </c>
      <c r="C10" t="s">
        <v>366</v>
      </c>
      <c r="D10" t="s">
        <v>367</v>
      </c>
      <c r="E10" t="s">
        <v>378</v>
      </c>
      <c r="F10" t="s">
        <v>306</v>
      </c>
      <c r="G10" t="s">
        <v>369</v>
      </c>
      <c r="H10" t="s">
        <v>376</v>
      </c>
      <c r="I10" t="s">
        <v>307</v>
      </c>
      <c r="J10" t="s">
        <v>371</v>
      </c>
      <c r="K10">
        <v>117</v>
      </c>
      <c r="L10" t="s">
        <v>305</v>
      </c>
      <c r="M10">
        <v>0</v>
      </c>
      <c r="T10">
        <v>0</v>
      </c>
      <c r="Z10">
        <v>0</v>
      </c>
      <c r="AA10">
        <v>0</v>
      </c>
      <c r="AB10">
        <v>18062</v>
      </c>
      <c r="AC10">
        <v>225.81</v>
      </c>
      <c r="AF10">
        <v>0</v>
      </c>
      <c r="AG10">
        <v>0</v>
      </c>
      <c r="AI10">
        <v>0</v>
      </c>
      <c r="AJ10" s="3">
        <f t="shared" si="0"/>
        <v>1.93</v>
      </c>
      <c r="AK10">
        <v>0.81</v>
      </c>
      <c r="AL10">
        <v>0</v>
      </c>
      <c r="AM10">
        <v>0</v>
      </c>
      <c r="AN10">
        <v>0</v>
      </c>
      <c r="AS10" t="s">
        <v>372</v>
      </c>
      <c r="AY10" t="s">
        <v>373</v>
      </c>
      <c r="BJ10">
        <v>0</v>
      </c>
      <c r="BO10" t="s">
        <v>108</v>
      </c>
      <c r="BR10" t="s">
        <v>126</v>
      </c>
    </row>
    <row r="11" spans="1:70" x14ac:dyDescent="0.25">
      <c r="A11" t="s">
        <v>127</v>
      </c>
      <c r="B11">
        <v>4</v>
      </c>
      <c r="C11" t="s">
        <v>366</v>
      </c>
      <c r="D11" t="s">
        <v>367</v>
      </c>
      <c r="E11" t="s">
        <v>378</v>
      </c>
      <c r="F11" t="s">
        <v>306</v>
      </c>
      <c r="G11" t="s">
        <v>369</v>
      </c>
      <c r="H11" t="s">
        <v>377</v>
      </c>
      <c r="I11" t="s">
        <v>307</v>
      </c>
      <c r="J11" t="s">
        <v>371</v>
      </c>
      <c r="K11">
        <v>91</v>
      </c>
      <c r="L11" t="s">
        <v>305</v>
      </c>
      <c r="M11">
        <v>0</v>
      </c>
      <c r="T11">
        <v>0</v>
      </c>
      <c r="Z11">
        <v>0</v>
      </c>
      <c r="AA11">
        <v>0</v>
      </c>
      <c r="AB11">
        <v>18062</v>
      </c>
      <c r="AC11">
        <v>175.63</v>
      </c>
      <c r="AF11">
        <v>0</v>
      </c>
      <c r="AG11">
        <v>0</v>
      </c>
      <c r="AI11">
        <v>0</v>
      </c>
      <c r="AJ11" s="3">
        <f t="shared" si="0"/>
        <v>1.93</v>
      </c>
      <c r="AK11">
        <v>0.81</v>
      </c>
      <c r="AL11">
        <v>0</v>
      </c>
      <c r="AM11">
        <v>0</v>
      </c>
      <c r="AN11">
        <v>0</v>
      </c>
      <c r="AS11" t="s">
        <v>372</v>
      </c>
      <c r="AY11" t="s">
        <v>373</v>
      </c>
      <c r="BJ11">
        <v>0</v>
      </c>
      <c r="BO11" t="s">
        <v>108</v>
      </c>
      <c r="BR11" t="s">
        <v>126</v>
      </c>
    </row>
    <row r="12" spans="1:70" x14ac:dyDescent="0.25">
      <c r="A12" t="s">
        <v>129</v>
      </c>
      <c r="B12">
        <v>1</v>
      </c>
      <c r="C12" t="s">
        <v>366</v>
      </c>
      <c r="D12" t="s">
        <v>379</v>
      </c>
      <c r="E12" t="s">
        <v>380</v>
      </c>
      <c r="F12" t="s">
        <v>306</v>
      </c>
      <c r="G12" t="s">
        <v>369</v>
      </c>
      <c r="H12" t="s">
        <v>374</v>
      </c>
      <c r="I12" t="s">
        <v>307</v>
      </c>
      <c r="J12" t="s">
        <v>371</v>
      </c>
      <c r="K12">
        <v>116</v>
      </c>
      <c r="L12" t="s">
        <v>305</v>
      </c>
      <c r="M12">
        <v>1</v>
      </c>
      <c r="T12">
        <v>5.2</v>
      </c>
      <c r="Z12">
        <v>0</v>
      </c>
      <c r="AA12">
        <v>0</v>
      </c>
      <c r="AB12">
        <v>18062</v>
      </c>
      <c r="AC12">
        <v>223.88</v>
      </c>
      <c r="AF12">
        <v>0</v>
      </c>
      <c r="AG12">
        <v>0</v>
      </c>
      <c r="AI12">
        <v>0</v>
      </c>
      <c r="AJ12" s="3">
        <f t="shared" si="0"/>
        <v>1.93</v>
      </c>
      <c r="AK12">
        <v>0.81</v>
      </c>
      <c r="AL12">
        <v>0</v>
      </c>
      <c r="AM12">
        <v>0</v>
      </c>
      <c r="AN12">
        <v>0</v>
      </c>
      <c r="AS12" t="s">
        <v>372</v>
      </c>
      <c r="AY12" t="s">
        <v>373</v>
      </c>
      <c r="BJ12">
        <v>0</v>
      </c>
      <c r="BO12" t="s">
        <v>108</v>
      </c>
      <c r="BR12" t="s">
        <v>126</v>
      </c>
    </row>
    <row r="13" spans="1:70" x14ac:dyDescent="0.25">
      <c r="A13" t="s">
        <v>129</v>
      </c>
      <c r="B13">
        <v>2</v>
      </c>
      <c r="C13" t="s">
        <v>366</v>
      </c>
      <c r="D13" t="s">
        <v>379</v>
      </c>
      <c r="E13" t="s">
        <v>380</v>
      </c>
      <c r="F13" t="s">
        <v>306</v>
      </c>
      <c r="G13" t="s">
        <v>369</v>
      </c>
      <c r="H13" t="s">
        <v>370</v>
      </c>
      <c r="I13" t="s">
        <v>307</v>
      </c>
      <c r="J13" t="s">
        <v>371</v>
      </c>
      <c r="K13">
        <v>106</v>
      </c>
      <c r="L13" t="s">
        <v>305</v>
      </c>
      <c r="M13">
        <v>1</v>
      </c>
      <c r="T13">
        <v>5.52</v>
      </c>
      <c r="Z13">
        <v>0</v>
      </c>
      <c r="AA13">
        <v>0</v>
      </c>
      <c r="AB13">
        <v>18062</v>
      </c>
      <c r="AC13">
        <v>204.58</v>
      </c>
      <c r="AF13">
        <v>0</v>
      </c>
      <c r="AG13">
        <v>0</v>
      </c>
      <c r="AI13">
        <v>0</v>
      </c>
      <c r="AJ13" s="3">
        <f t="shared" si="0"/>
        <v>1.9300000000000002</v>
      </c>
      <c r="AK13">
        <v>0.81</v>
      </c>
      <c r="AL13">
        <v>0</v>
      </c>
      <c r="AM13">
        <v>0</v>
      </c>
      <c r="AN13">
        <v>0</v>
      </c>
      <c r="AS13" t="s">
        <v>372</v>
      </c>
      <c r="AY13" t="s">
        <v>373</v>
      </c>
      <c r="BJ13">
        <v>0</v>
      </c>
      <c r="BO13" t="s">
        <v>108</v>
      </c>
      <c r="BR13" t="s">
        <v>126</v>
      </c>
    </row>
    <row r="14" spans="1:70" x14ac:dyDescent="0.25">
      <c r="A14" t="s">
        <v>129</v>
      </c>
      <c r="B14">
        <v>3</v>
      </c>
      <c r="C14" t="s">
        <v>366</v>
      </c>
      <c r="D14" t="s">
        <v>379</v>
      </c>
      <c r="E14" t="s">
        <v>380</v>
      </c>
      <c r="F14" t="s">
        <v>306</v>
      </c>
      <c r="G14" t="s">
        <v>369</v>
      </c>
      <c r="H14" t="s">
        <v>375</v>
      </c>
      <c r="I14" t="s">
        <v>307</v>
      </c>
      <c r="J14" t="s">
        <v>371</v>
      </c>
      <c r="K14">
        <v>118</v>
      </c>
      <c r="L14" t="s">
        <v>305</v>
      </c>
      <c r="M14">
        <v>2</v>
      </c>
      <c r="T14">
        <v>6.9</v>
      </c>
      <c r="Z14">
        <v>0</v>
      </c>
      <c r="AA14">
        <v>0</v>
      </c>
      <c r="AB14">
        <v>18062</v>
      </c>
      <c r="AC14">
        <v>227.74</v>
      </c>
      <c r="AF14">
        <v>0</v>
      </c>
      <c r="AG14">
        <v>0</v>
      </c>
      <c r="AI14">
        <v>0</v>
      </c>
      <c r="AJ14" s="3">
        <f t="shared" si="0"/>
        <v>1.9300000000000002</v>
      </c>
      <c r="AK14">
        <v>0.81</v>
      </c>
      <c r="AL14">
        <v>0</v>
      </c>
      <c r="AM14">
        <v>0</v>
      </c>
      <c r="AN14">
        <v>0</v>
      </c>
      <c r="AS14" t="s">
        <v>372</v>
      </c>
      <c r="AY14" t="s">
        <v>373</v>
      </c>
      <c r="BJ14">
        <v>0</v>
      </c>
      <c r="BO14" t="s">
        <v>108</v>
      </c>
      <c r="BR14" t="s">
        <v>126</v>
      </c>
    </row>
    <row r="15" spans="1:70" x14ac:dyDescent="0.25">
      <c r="A15" t="s">
        <v>129</v>
      </c>
      <c r="B15">
        <v>4</v>
      </c>
      <c r="C15" t="s">
        <v>366</v>
      </c>
      <c r="D15" t="s">
        <v>379</v>
      </c>
      <c r="E15" t="s">
        <v>380</v>
      </c>
      <c r="F15" t="s">
        <v>306</v>
      </c>
      <c r="G15" t="s">
        <v>369</v>
      </c>
      <c r="H15" t="s">
        <v>376</v>
      </c>
      <c r="I15" t="s">
        <v>307</v>
      </c>
      <c r="J15" t="s">
        <v>371</v>
      </c>
      <c r="K15">
        <v>67</v>
      </c>
      <c r="L15" t="s">
        <v>305</v>
      </c>
      <c r="M15">
        <v>1</v>
      </c>
      <c r="T15">
        <v>5.2</v>
      </c>
      <c r="Z15">
        <v>0</v>
      </c>
      <c r="AA15">
        <v>0</v>
      </c>
      <c r="AB15">
        <v>18062</v>
      </c>
      <c r="AC15">
        <v>129.31</v>
      </c>
      <c r="AF15">
        <v>0</v>
      </c>
      <c r="AG15">
        <v>0</v>
      </c>
      <c r="AI15">
        <v>0</v>
      </c>
      <c r="AJ15" s="3">
        <f t="shared" si="0"/>
        <v>1.93</v>
      </c>
      <c r="AK15">
        <v>0.81</v>
      </c>
      <c r="AL15">
        <v>0</v>
      </c>
      <c r="AM15">
        <v>0</v>
      </c>
      <c r="AN15">
        <v>0</v>
      </c>
      <c r="AS15" t="s">
        <v>372</v>
      </c>
      <c r="AY15" t="s">
        <v>373</v>
      </c>
      <c r="BJ15">
        <v>0</v>
      </c>
      <c r="BO15" t="s">
        <v>108</v>
      </c>
      <c r="BR15" t="s">
        <v>126</v>
      </c>
    </row>
    <row r="16" spans="1:70" x14ac:dyDescent="0.25">
      <c r="A16" t="s">
        <v>129</v>
      </c>
      <c r="B16">
        <v>5</v>
      </c>
      <c r="C16" t="s">
        <v>366</v>
      </c>
      <c r="D16" t="s">
        <v>379</v>
      </c>
      <c r="E16" t="s">
        <v>380</v>
      </c>
      <c r="F16" t="s">
        <v>306</v>
      </c>
      <c r="G16" t="s">
        <v>369</v>
      </c>
      <c r="H16" t="s">
        <v>377</v>
      </c>
      <c r="I16" t="s">
        <v>307</v>
      </c>
      <c r="J16" t="s">
        <v>371</v>
      </c>
      <c r="K16">
        <v>31</v>
      </c>
      <c r="L16" t="s">
        <v>305</v>
      </c>
      <c r="M16">
        <v>1</v>
      </c>
      <c r="T16">
        <v>13.074999999999999</v>
      </c>
      <c r="Z16">
        <v>0</v>
      </c>
      <c r="AA16">
        <v>0</v>
      </c>
      <c r="AB16">
        <v>18062</v>
      </c>
      <c r="AC16">
        <v>59.83</v>
      </c>
      <c r="AF16">
        <v>0</v>
      </c>
      <c r="AG16">
        <v>0</v>
      </c>
      <c r="AI16">
        <v>0</v>
      </c>
      <c r="AJ16" s="3">
        <f t="shared" si="0"/>
        <v>1.93</v>
      </c>
      <c r="AK16">
        <v>0.81</v>
      </c>
      <c r="AL16">
        <v>0</v>
      </c>
      <c r="AM16">
        <v>0</v>
      </c>
      <c r="AN16">
        <v>0</v>
      </c>
      <c r="AS16" t="s">
        <v>372</v>
      </c>
      <c r="AY16" t="s">
        <v>373</v>
      </c>
      <c r="BJ16">
        <v>0</v>
      </c>
      <c r="BO16" t="s">
        <v>108</v>
      </c>
      <c r="BR16" t="s">
        <v>126</v>
      </c>
    </row>
    <row r="17" spans="1:70" x14ac:dyDescent="0.25">
      <c r="A17" t="s">
        <v>129</v>
      </c>
      <c r="B17">
        <v>6</v>
      </c>
      <c r="C17" t="s">
        <v>366</v>
      </c>
      <c r="D17" t="s">
        <v>379</v>
      </c>
      <c r="E17" t="s">
        <v>380</v>
      </c>
      <c r="F17" t="s">
        <v>306</v>
      </c>
      <c r="G17" t="s">
        <v>369</v>
      </c>
      <c r="H17" t="s">
        <v>381</v>
      </c>
      <c r="I17" t="s">
        <v>307</v>
      </c>
      <c r="J17" t="s">
        <v>371</v>
      </c>
      <c r="K17">
        <v>25</v>
      </c>
      <c r="L17" t="s">
        <v>305</v>
      </c>
      <c r="M17">
        <v>0</v>
      </c>
      <c r="T17">
        <v>0</v>
      </c>
      <c r="Z17">
        <v>0</v>
      </c>
      <c r="AA17">
        <v>0</v>
      </c>
      <c r="AB17">
        <v>18062</v>
      </c>
      <c r="AC17">
        <v>48.25</v>
      </c>
      <c r="AF17">
        <v>0</v>
      </c>
      <c r="AG17">
        <v>0</v>
      </c>
      <c r="AI17">
        <v>0</v>
      </c>
      <c r="AJ17" s="3">
        <f t="shared" si="0"/>
        <v>1.93</v>
      </c>
      <c r="AK17">
        <v>0.81</v>
      </c>
      <c r="AL17">
        <v>0</v>
      </c>
      <c r="AM17">
        <v>0</v>
      </c>
      <c r="AN17">
        <v>0</v>
      </c>
      <c r="AS17" t="s">
        <v>372</v>
      </c>
      <c r="AY17" t="s">
        <v>373</v>
      </c>
      <c r="BJ17">
        <v>0</v>
      </c>
      <c r="BO17" t="s">
        <v>108</v>
      </c>
      <c r="BR17" t="s">
        <v>126</v>
      </c>
    </row>
    <row r="18" spans="1:70" x14ac:dyDescent="0.25">
      <c r="A18" t="s">
        <v>129</v>
      </c>
      <c r="B18">
        <v>7</v>
      </c>
      <c r="C18" t="s">
        <v>366</v>
      </c>
      <c r="D18" t="s">
        <v>379</v>
      </c>
      <c r="E18" t="s">
        <v>380</v>
      </c>
      <c r="F18" t="s">
        <v>306</v>
      </c>
      <c r="G18" t="s">
        <v>369</v>
      </c>
      <c r="H18" t="s">
        <v>382</v>
      </c>
      <c r="I18" t="s">
        <v>307</v>
      </c>
      <c r="J18" t="s">
        <v>371</v>
      </c>
      <c r="K18">
        <v>7</v>
      </c>
      <c r="L18" t="s">
        <v>305</v>
      </c>
      <c r="M18">
        <v>0</v>
      </c>
      <c r="T18">
        <v>0</v>
      </c>
      <c r="Z18">
        <v>0</v>
      </c>
      <c r="AA18">
        <v>0</v>
      </c>
      <c r="AB18">
        <v>18062</v>
      </c>
      <c r="AC18">
        <v>13.51</v>
      </c>
      <c r="AF18">
        <v>0</v>
      </c>
      <c r="AG18">
        <v>0</v>
      </c>
      <c r="AI18">
        <v>0</v>
      </c>
      <c r="AJ18" s="3">
        <f t="shared" si="0"/>
        <v>1.93</v>
      </c>
      <c r="AK18">
        <v>0.81</v>
      </c>
      <c r="AL18">
        <v>0</v>
      </c>
      <c r="AM18">
        <v>0</v>
      </c>
      <c r="AN18">
        <v>0</v>
      </c>
      <c r="AS18" t="s">
        <v>372</v>
      </c>
      <c r="AY18" t="s">
        <v>373</v>
      </c>
      <c r="BJ18">
        <v>0</v>
      </c>
      <c r="BO18" t="s">
        <v>108</v>
      </c>
      <c r="BR18" t="s">
        <v>126</v>
      </c>
    </row>
    <row r="19" spans="1:70" x14ac:dyDescent="0.25">
      <c r="A19" t="s">
        <v>129</v>
      </c>
      <c r="B19">
        <v>8</v>
      </c>
      <c r="C19" t="s">
        <v>366</v>
      </c>
      <c r="D19" t="s">
        <v>379</v>
      </c>
      <c r="E19" t="s">
        <v>380</v>
      </c>
      <c r="F19" t="s">
        <v>306</v>
      </c>
      <c r="G19" t="s">
        <v>369</v>
      </c>
      <c r="H19" t="s">
        <v>383</v>
      </c>
      <c r="I19" t="s">
        <v>307</v>
      </c>
      <c r="J19" t="s">
        <v>371</v>
      </c>
      <c r="K19">
        <v>12</v>
      </c>
      <c r="L19" t="s">
        <v>305</v>
      </c>
      <c r="M19">
        <v>0</v>
      </c>
      <c r="T19">
        <v>0</v>
      </c>
      <c r="Z19">
        <v>0</v>
      </c>
      <c r="AA19">
        <v>0</v>
      </c>
      <c r="AB19">
        <v>18062</v>
      </c>
      <c r="AC19">
        <v>23.16</v>
      </c>
      <c r="AF19">
        <v>0</v>
      </c>
      <c r="AG19">
        <v>0</v>
      </c>
      <c r="AI19">
        <v>0</v>
      </c>
      <c r="AJ19" s="3">
        <f t="shared" si="0"/>
        <v>1.93</v>
      </c>
      <c r="AK19">
        <v>0.81</v>
      </c>
      <c r="AL19">
        <v>0</v>
      </c>
      <c r="AM19">
        <v>0</v>
      </c>
      <c r="AN19">
        <v>0</v>
      </c>
      <c r="AS19" t="s">
        <v>372</v>
      </c>
      <c r="AY19" t="s">
        <v>373</v>
      </c>
      <c r="BJ19">
        <v>0</v>
      </c>
      <c r="BO19" t="s">
        <v>108</v>
      </c>
      <c r="BR19" t="s">
        <v>126</v>
      </c>
    </row>
    <row r="20" spans="1:70" x14ac:dyDescent="0.25">
      <c r="A20" t="s">
        <v>129</v>
      </c>
      <c r="B20">
        <v>9</v>
      </c>
      <c r="C20" t="s">
        <v>366</v>
      </c>
      <c r="D20" t="s">
        <v>379</v>
      </c>
      <c r="E20" t="s">
        <v>380</v>
      </c>
      <c r="F20" t="s">
        <v>306</v>
      </c>
      <c r="G20" t="s">
        <v>369</v>
      </c>
      <c r="H20" t="s">
        <v>384</v>
      </c>
      <c r="I20" t="s">
        <v>307</v>
      </c>
      <c r="J20" t="s">
        <v>371</v>
      </c>
      <c r="K20">
        <v>14</v>
      </c>
      <c r="L20" t="s">
        <v>305</v>
      </c>
      <c r="M20">
        <v>0</v>
      </c>
      <c r="T20">
        <v>0</v>
      </c>
      <c r="Z20">
        <v>0</v>
      </c>
      <c r="AA20">
        <v>0</v>
      </c>
      <c r="AB20">
        <v>18062</v>
      </c>
      <c r="AC20">
        <v>27.02</v>
      </c>
      <c r="AF20">
        <v>0</v>
      </c>
      <c r="AG20">
        <v>0</v>
      </c>
      <c r="AI20">
        <v>0</v>
      </c>
      <c r="AJ20" s="3">
        <f t="shared" si="0"/>
        <v>1.93</v>
      </c>
      <c r="AK20">
        <v>0.81</v>
      </c>
      <c r="AL20">
        <v>0</v>
      </c>
      <c r="AM20">
        <v>0</v>
      </c>
      <c r="AN20">
        <v>0</v>
      </c>
      <c r="AS20" t="s">
        <v>372</v>
      </c>
      <c r="AY20" t="s">
        <v>373</v>
      </c>
      <c r="BJ20">
        <v>0</v>
      </c>
      <c r="BO20" t="s">
        <v>108</v>
      </c>
      <c r="BR20" t="s">
        <v>126</v>
      </c>
    </row>
    <row r="21" spans="1:70" x14ac:dyDescent="0.25">
      <c r="A21" t="s">
        <v>131</v>
      </c>
      <c r="B21">
        <v>1</v>
      </c>
      <c r="C21" t="s">
        <v>366</v>
      </c>
      <c r="D21" t="s">
        <v>385</v>
      </c>
      <c r="E21" t="s">
        <v>386</v>
      </c>
      <c r="F21" t="s">
        <v>306</v>
      </c>
      <c r="G21" t="s">
        <v>307</v>
      </c>
      <c r="H21" t="s">
        <v>307</v>
      </c>
      <c r="I21" t="s">
        <v>307</v>
      </c>
      <c r="J21" t="s">
        <v>371</v>
      </c>
      <c r="K21">
        <v>4815</v>
      </c>
      <c r="L21" t="s">
        <v>305</v>
      </c>
      <c r="M21">
        <v>49</v>
      </c>
      <c r="T21">
        <v>401.14499999999998</v>
      </c>
      <c r="Z21">
        <v>0</v>
      </c>
      <c r="AA21">
        <v>0</v>
      </c>
      <c r="AB21">
        <v>18062</v>
      </c>
      <c r="AC21">
        <v>9678.15</v>
      </c>
      <c r="AF21">
        <v>0</v>
      </c>
      <c r="AG21">
        <v>0</v>
      </c>
      <c r="AH21">
        <v>0</v>
      </c>
      <c r="AI21">
        <v>0</v>
      </c>
      <c r="AJ21" s="3">
        <f t="shared" si="0"/>
        <v>2.0099999999999998</v>
      </c>
      <c r="AK21">
        <v>0</v>
      </c>
      <c r="AM21">
        <v>0</v>
      </c>
      <c r="AN21">
        <v>0</v>
      </c>
      <c r="AS21" t="s">
        <v>372</v>
      </c>
      <c r="AY21" t="s">
        <v>373</v>
      </c>
      <c r="BJ21">
        <v>0</v>
      </c>
      <c r="BO21" t="s">
        <v>108</v>
      </c>
      <c r="BR21" t="s">
        <v>126</v>
      </c>
    </row>
    <row r="22" spans="1:70" x14ac:dyDescent="0.25">
      <c r="A22" t="s">
        <v>133</v>
      </c>
      <c r="B22">
        <v>1</v>
      </c>
      <c r="C22" t="s">
        <v>366</v>
      </c>
      <c r="D22" t="s">
        <v>387</v>
      </c>
      <c r="E22" t="s">
        <v>388</v>
      </c>
      <c r="F22" t="s">
        <v>306</v>
      </c>
      <c r="G22" t="s">
        <v>369</v>
      </c>
      <c r="H22" t="s">
        <v>374</v>
      </c>
      <c r="I22" t="s">
        <v>307</v>
      </c>
      <c r="J22" t="s">
        <v>371</v>
      </c>
      <c r="K22">
        <v>121</v>
      </c>
      <c r="L22" t="s">
        <v>305</v>
      </c>
      <c r="M22">
        <v>2</v>
      </c>
      <c r="T22">
        <v>5.3949999999999996</v>
      </c>
      <c r="AA22">
        <v>0</v>
      </c>
      <c r="AB22">
        <v>0</v>
      </c>
      <c r="AC22">
        <v>228.69</v>
      </c>
      <c r="AI22">
        <v>0</v>
      </c>
      <c r="AJ22" s="3">
        <f t="shared" si="0"/>
        <v>1.89</v>
      </c>
      <c r="AK22">
        <v>0.81</v>
      </c>
      <c r="AL22">
        <v>0</v>
      </c>
      <c r="AS22" t="s">
        <v>372</v>
      </c>
      <c r="AY22" t="s">
        <v>373</v>
      </c>
      <c r="BO22" t="s">
        <v>108</v>
      </c>
    </row>
    <row r="23" spans="1:70" x14ac:dyDescent="0.25">
      <c r="A23" t="s">
        <v>133</v>
      </c>
      <c r="B23">
        <v>2</v>
      </c>
      <c r="C23" t="s">
        <v>366</v>
      </c>
      <c r="D23" t="s">
        <v>387</v>
      </c>
      <c r="E23" t="s">
        <v>388</v>
      </c>
      <c r="F23" t="s">
        <v>306</v>
      </c>
      <c r="G23" t="s">
        <v>369</v>
      </c>
      <c r="H23" t="s">
        <v>375</v>
      </c>
      <c r="I23" t="s">
        <v>307</v>
      </c>
      <c r="J23" t="s">
        <v>371</v>
      </c>
      <c r="K23">
        <v>111</v>
      </c>
      <c r="L23" t="s">
        <v>305</v>
      </c>
      <c r="M23">
        <v>3</v>
      </c>
      <c r="T23">
        <v>8.24</v>
      </c>
      <c r="AA23">
        <v>0</v>
      </c>
      <c r="AB23">
        <v>0</v>
      </c>
      <c r="AC23">
        <v>209.79</v>
      </c>
      <c r="AI23">
        <v>0</v>
      </c>
      <c r="AJ23" s="3">
        <f t="shared" si="0"/>
        <v>1.89</v>
      </c>
      <c r="AK23">
        <v>0.81</v>
      </c>
      <c r="AL23">
        <v>0</v>
      </c>
      <c r="AS23" t="s">
        <v>372</v>
      </c>
      <c r="AY23" t="s">
        <v>373</v>
      </c>
      <c r="BO23" t="s">
        <v>108</v>
      </c>
    </row>
    <row r="24" spans="1:70" x14ac:dyDescent="0.25">
      <c r="A24" t="s">
        <v>133</v>
      </c>
      <c r="B24">
        <v>3</v>
      </c>
      <c r="C24" t="s">
        <v>366</v>
      </c>
      <c r="D24" t="s">
        <v>387</v>
      </c>
      <c r="E24" t="s">
        <v>388</v>
      </c>
      <c r="F24" t="s">
        <v>306</v>
      </c>
      <c r="G24" t="s">
        <v>369</v>
      </c>
      <c r="H24" t="s">
        <v>376</v>
      </c>
      <c r="I24" t="s">
        <v>307</v>
      </c>
      <c r="J24" t="s">
        <v>371</v>
      </c>
      <c r="K24">
        <v>91</v>
      </c>
      <c r="L24" t="s">
        <v>305</v>
      </c>
      <c r="M24">
        <v>2</v>
      </c>
      <c r="T24">
        <v>5.13</v>
      </c>
      <c r="AA24">
        <v>0</v>
      </c>
      <c r="AB24">
        <v>0</v>
      </c>
      <c r="AC24">
        <v>171.99</v>
      </c>
      <c r="AI24">
        <v>0</v>
      </c>
      <c r="AJ24" s="3">
        <f t="shared" si="0"/>
        <v>1.8900000000000001</v>
      </c>
      <c r="AK24">
        <v>0.81</v>
      </c>
      <c r="AL24">
        <v>0</v>
      </c>
      <c r="AS24" t="s">
        <v>372</v>
      </c>
      <c r="AY24" t="s">
        <v>373</v>
      </c>
      <c r="BO24" t="s">
        <v>108</v>
      </c>
    </row>
    <row r="25" spans="1:70" x14ac:dyDescent="0.25">
      <c r="A25" t="s">
        <v>133</v>
      </c>
      <c r="B25">
        <v>4</v>
      </c>
      <c r="C25" t="s">
        <v>366</v>
      </c>
      <c r="D25" t="s">
        <v>387</v>
      </c>
      <c r="E25" t="s">
        <v>388</v>
      </c>
      <c r="F25" t="s">
        <v>306</v>
      </c>
      <c r="G25" t="s">
        <v>369</v>
      </c>
      <c r="H25" t="s">
        <v>377</v>
      </c>
      <c r="I25" t="s">
        <v>307</v>
      </c>
      <c r="J25" t="s">
        <v>371</v>
      </c>
      <c r="K25">
        <v>30</v>
      </c>
      <c r="L25" t="s">
        <v>305</v>
      </c>
      <c r="M25">
        <v>1</v>
      </c>
      <c r="T25">
        <v>11.1</v>
      </c>
      <c r="AA25">
        <v>0</v>
      </c>
      <c r="AB25">
        <v>0</v>
      </c>
      <c r="AC25">
        <v>56.7</v>
      </c>
      <c r="AI25">
        <v>0</v>
      </c>
      <c r="AJ25" s="3">
        <f t="shared" si="0"/>
        <v>1.8900000000000001</v>
      </c>
      <c r="AK25">
        <v>0.81</v>
      </c>
      <c r="AL25">
        <v>0</v>
      </c>
      <c r="AS25" t="s">
        <v>372</v>
      </c>
      <c r="AY25" t="s">
        <v>373</v>
      </c>
      <c r="BO25" t="s">
        <v>108</v>
      </c>
    </row>
    <row r="26" spans="1:70" x14ac:dyDescent="0.25">
      <c r="A26" t="s">
        <v>133</v>
      </c>
      <c r="B26">
        <v>5</v>
      </c>
      <c r="C26" t="s">
        <v>366</v>
      </c>
      <c r="D26" t="s">
        <v>387</v>
      </c>
      <c r="E26" t="s">
        <v>388</v>
      </c>
      <c r="F26" t="s">
        <v>306</v>
      </c>
      <c r="G26" t="s">
        <v>369</v>
      </c>
      <c r="H26" t="s">
        <v>370</v>
      </c>
      <c r="I26" t="s">
        <v>307</v>
      </c>
      <c r="J26" t="s">
        <v>371</v>
      </c>
      <c r="K26">
        <v>109</v>
      </c>
      <c r="L26" t="s">
        <v>305</v>
      </c>
      <c r="M26">
        <v>2</v>
      </c>
      <c r="T26">
        <v>15.06</v>
      </c>
      <c r="AA26">
        <v>0</v>
      </c>
      <c r="AB26">
        <v>0</v>
      </c>
      <c r="AC26">
        <v>206.01</v>
      </c>
      <c r="AI26">
        <v>0</v>
      </c>
      <c r="AJ26" s="3">
        <f t="shared" si="0"/>
        <v>1.89</v>
      </c>
      <c r="AK26">
        <v>0.81</v>
      </c>
      <c r="AL26">
        <v>0</v>
      </c>
      <c r="AS26" t="s">
        <v>372</v>
      </c>
      <c r="AY26" t="s">
        <v>373</v>
      </c>
      <c r="BO26" t="s">
        <v>108</v>
      </c>
    </row>
    <row r="27" spans="1:70" x14ac:dyDescent="0.25">
      <c r="A27" t="s">
        <v>133</v>
      </c>
      <c r="B27">
        <v>6</v>
      </c>
      <c r="C27" t="s">
        <v>366</v>
      </c>
      <c r="D27" t="s">
        <v>387</v>
      </c>
      <c r="E27" t="s">
        <v>389</v>
      </c>
      <c r="F27" t="s">
        <v>306</v>
      </c>
      <c r="G27" t="s">
        <v>369</v>
      </c>
      <c r="H27" t="s">
        <v>377</v>
      </c>
      <c r="I27" t="s">
        <v>307</v>
      </c>
      <c r="J27" t="s">
        <v>371</v>
      </c>
      <c r="K27">
        <v>13</v>
      </c>
      <c r="L27" t="s">
        <v>305</v>
      </c>
      <c r="M27">
        <v>0</v>
      </c>
      <c r="T27">
        <v>0</v>
      </c>
      <c r="AA27">
        <v>0</v>
      </c>
      <c r="AB27">
        <v>0</v>
      </c>
      <c r="AC27">
        <v>24.57</v>
      </c>
      <c r="AI27">
        <v>0</v>
      </c>
      <c r="AJ27" s="3">
        <f t="shared" si="0"/>
        <v>1.8900000000000001</v>
      </c>
      <c r="AK27">
        <v>0.81</v>
      </c>
      <c r="AL27">
        <v>0</v>
      </c>
      <c r="AS27" t="s">
        <v>372</v>
      </c>
      <c r="AY27" t="s">
        <v>373</v>
      </c>
      <c r="BO27" t="s">
        <v>108</v>
      </c>
    </row>
    <row r="28" spans="1:70" x14ac:dyDescent="0.25">
      <c r="A28" t="s">
        <v>133</v>
      </c>
      <c r="B28">
        <v>7</v>
      </c>
      <c r="C28" t="s">
        <v>366</v>
      </c>
      <c r="D28" t="s">
        <v>387</v>
      </c>
      <c r="E28" t="s">
        <v>389</v>
      </c>
      <c r="F28" t="s">
        <v>306</v>
      </c>
      <c r="G28" t="s">
        <v>369</v>
      </c>
      <c r="H28" t="s">
        <v>370</v>
      </c>
      <c r="I28" t="s">
        <v>307</v>
      </c>
      <c r="J28" t="s">
        <v>371</v>
      </c>
      <c r="K28">
        <v>67</v>
      </c>
      <c r="L28" t="s">
        <v>305</v>
      </c>
      <c r="M28">
        <v>1</v>
      </c>
      <c r="T28">
        <v>2.76</v>
      </c>
      <c r="AA28">
        <v>0</v>
      </c>
      <c r="AB28">
        <v>0</v>
      </c>
      <c r="AC28">
        <v>126.63</v>
      </c>
      <c r="AI28">
        <v>0</v>
      </c>
      <c r="AJ28" s="3">
        <f t="shared" si="0"/>
        <v>1.89</v>
      </c>
      <c r="AK28">
        <v>0.81</v>
      </c>
      <c r="AL28">
        <v>0</v>
      </c>
      <c r="AS28" t="s">
        <v>372</v>
      </c>
      <c r="AY28" t="s">
        <v>373</v>
      </c>
      <c r="BO28" t="s">
        <v>108</v>
      </c>
    </row>
    <row r="29" spans="1:70" x14ac:dyDescent="0.25">
      <c r="A29" t="s">
        <v>133</v>
      </c>
      <c r="B29">
        <v>8</v>
      </c>
      <c r="C29" t="s">
        <v>366</v>
      </c>
      <c r="D29" t="s">
        <v>387</v>
      </c>
      <c r="E29" t="s">
        <v>389</v>
      </c>
      <c r="F29" t="s">
        <v>306</v>
      </c>
      <c r="G29" t="s">
        <v>369</v>
      </c>
      <c r="H29" t="s">
        <v>374</v>
      </c>
      <c r="I29" t="s">
        <v>307</v>
      </c>
      <c r="J29" t="s">
        <v>371</v>
      </c>
      <c r="K29">
        <v>81</v>
      </c>
      <c r="L29" t="s">
        <v>305</v>
      </c>
      <c r="M29">
        <v>1</v>
      </c>
      <c r="T29">
        <v>2.99</v>
      </c>
      <c r="AA29">
        <v>0</v>
      </c>
      <c r="AB29">
        <v>0</v>
      </c>
      <c r="AC29">
        <v>153.09</v>
      </c>
      <c r="AI29">
        <v>0</v>
      </c>
      <c r="AJ29" s="3">
        <f t="shared" si="0"/>
        <v>1.8900000000000001</v>
      </c>
      <c r="AK29">
        <v>0.81</v>
      </c>
      <c r="AL29">
        <v>0</v>
      </c>
      <c r="AS29" t="s">
        <v>372</v>
      </c>
      <c r="AY29" t="s">
        <v>373</v>
      </c>
      <c r="BO29" t="s">
        <v>108</v>
      </c>
    </row>
    <row r="30" spans="1:70" x14ac:dyDescent="0.25">
      <c r="A30" t="s">
        <v>133</v>
      </c>
      <c r="B30">
        <v>9</v>
      </c>
      <c r="C30" t="s">
        <v>366</v>
      </c>
      <c r="D30" t="s">
        <v>387</v>
      </c>
      <c r="E30" t="s">
        <v>389</v>
      </c>
      <c r="F30" t="s">
        <v>306</v>
      </c>
      <c r="G30" t="s">
        <v>369</v>
      </c>
      <c r="H30" t="s">
        <v>375</v>
      </c>
      <c r="I30" t="s">
        <v>307</v>
      </c>
      <c r="J30" t="s">
        <v>371</v>
      </c>
      <c r="K30">
        <v>73</v>
      </c>
      <c r="L30" t="s">
        <v>305</v>
      </c>
      <c r="M30">
        <v>1</v>
      </c>
      <c r="T30">
        <v>2.88</v>
      </c>
      <c r="AA30">
        <v>0</v>
      </c>
      <c r="AB30">
        <v>0</v>
      </c>
      <c r="AC30">
        <v>137.97</v>
      </c>
      <c r="AI30">
        <v>0</v>
      </c>
      <c r="AJ30" s="3">
        <f t="shared" si="0"/>
        <v>1.89</v>
      </c>
      <c r="AK30">
        <v>0.81</v>
      </c>
      <c r="AL30">
        <v>0</v>
      </c>
      <c r="AS30" t="s">
        <v>372</v>
      </c>
      <c r="AY30" t="s">
        <v>373</v>
      </c>
      <c r="BO30" t="s">
        <v>108</v>
      </c>
    </row>
    <row r="31" spans="1:70" x14ac:dyDescent="0.25">
      <c r="A31" t="s">
        <v>133</v>
      </c>
      <c r="B31">
        <v>10</v>
      </c>
      <c r="C31" t="s">
        <v>366</v>
      </c>
      <c r="D31" t="s">
        <v>387</v>
      </c>
      <c r="E31" t="s">
        <v>389</v>
      </c>
      <c r="F31" t="s">
        <v>306</v>
      </c>
      <c r="G31" t="s">
        <v>369</v>
      </c>
      <c r="H31" t="s">
        <v>376</v>
      </c>
      <c r="I31" t="s">
        <v>307</v>
      </c>
      <c r="J31" t="s">
        <v>371</v>
      </c>
      <c r="K31">
        <v>51</v>
      </c>
      <c r="L31" t="s">
        <v>305</v>
      </c>
      <c r="M31">
        <v>0</v>
      </c>
      <c r="T31">
        <v>0</v>
      </c>
      <c r="AA31">
        <v>0</v>
      </c>
      <c r="AB31">
        <v>0</v>
      </c>
      <c r="AC31">
        <v>96.39</v>
      </c>
      <c r="AI31">
        <v>0</v>
      </c>
      <c r="AJ31" s="3">
        <f t="shared" si="0"/>
        <v>1.89</v>
      </c>
      <c r="AK31">
        <v>0.81</v>
      </c>
      <c r="AL31">
        <v>0</v>
      </c>
      <c r="AS31" t="s">
        <v>372</v>
      </c>
      <c r="AY31" t="s">
        <v>373</v>
      </c>
      <c r="BO31" t="s">
        <v>108</v>
      </c>
    </row>
    <row r="32" spans="1:70" x14ac:dyDescent="0.25">
      <c r="A32" t="s">
        <v>135</v>
      </c>
      <c r="B32">
        <v>1</v>
      </c>
      <c r="C32" t="s">
        <v>390</v>
      </c>
      <c r="D32" t="s">
        <v>391</v>
      </c>
      <c r="E32" t="s">
        <v>392</v>
      </c>
      <c r="F32" t="s">
        <v>306</v>
      </c>
      <c r="G32" t="s">
        <v>393</v>
      </c>
      <c r="H32" t="s">
        <v>377</v>
      </c>
      <c r="I32" t="s">
        <v>307</v>
      </c>
      <c r="J32" t="s">
        <v>371</v>
      </c>
      <c r="K32">
        <v>270</v>
      </c>
      <c r="L32" t="s">
        <v>305</v>
      </c>
      <c r="M32">
        <v>2</v>
      </c>
      <c r="T32">
        <v>22.95</v>
      </c>
      <c r="Z32">
        <v>0</v>
      </c>
      <c r="AA32">
        <v>0</v>
      </c>
      <c r="AB32">
        <v>18062</v>
      </c>
      <c r="AC32">
        <v>639</v>
      </c>
      <c r="AF32">
        <v>0</v>
      </c>
      <c r="AG32">
        <v>0</v>
      </c>
      <c r="AI32">
        <v>0</v>
      </c>
      <c r="AJ32" s="4">
        <f t="shared" si="0"/>
        <v>2.3666666666666667</v>
      </c>
      <c r="AK32">
        <v>0.9</v>
      </c>
      <c r="AL32">
        <v>0</v>
      </c>
      <c r="AM32">
        <v>0</v>
      </c>
      <c r="AN32">
        <v>0</v>
      </c>
      <c r="AS32" t="s">
        <v>372</v>
      </c>
      <c r="AY32" t="s">
        <v>373</v>
      </c>
      <c r="BJ32">
        <v>0</v>
      </c>
      <c r="BO32" t="s">
        <v>108</v>
      </c>
      <c r="BR32" t="s">
        <v>126</v>
      </c>
    </row>
    <row r="33" spans="1:70" x14ac:dyDescent="0.25">
      <c r="A33" t="s">
        <v>135</v>
      </c>
      <c r="B33">
        <v>2</v>
      </c>
      <c r="C33" t="s">
        <v>390</v>
      </c>
      <c r="D33" t="s">
        <v>391</v>
      </c>
      <c r="E33" t="s">
        <v>392</v>
      </c>
      <c r="F33" t="s">
        <v>306</v>
      </c>
      <c r="G33" t="s">
        <v>393</v>
      </c>
      <c r="H33" t="s">
        <v>370</v>
      </c>
      <c r="I33" t="s">
        <v>307</v>
      </c>
      <c r="J33" t="s">
        <v>371</v>
      </c>
      <c r="K33">
        <v>342</v>
      </c>
      <c r="L33" t="s">
        <v>305</v>
      </c>
      <c r="M33">
        <v>3</v>
      </c>
      <c r="T33">
        <v>32.49</v>
      </c>
      <c r="Z33">
        <v>0</v>
      </c>
      <c r="AA33">
        <v>0</v>
      </c>
      <c r="AB33">
        <v>18062</v>
      </c>
      <c r="AC33">
        <v>809.4</v>
      </c>
      <c r="AF33">
        <v>0</v>
      </c>
      <c r="AG33">
        <v>0</v>
      </c>
      <c r="AI33">
        <v>0</v>
      </c>
      <c r="AJ33" s="4">
        <f t="shared" si="0"/>
        <v>2.3666666666666667</v>
      </c>
      <c r="AK33">
        <v>0.9</v>
      </c>
      <c r="AL33">
        <v>0</v>
      </c>
      <c r="AM33">
        <v>0</v>
      </c>
      <c r="AN33">
        <v>0</v>
      </c>
      <c r="AS33" t="s">
        <v>372</v>
      </c>
      <c r="AY33" t="s">
        <v>373</v>
      </c>
      <c r="BJ33">
        <v>0</v>
      </c>
      <c r="BO33" t="s">
        <v>108</v>
      </c>
      <c r="BR33" t="s">
        <v>126</v>
      </c>
    </row>
    <row r="34" spans="1:70" x14ac:dyDescent="0.25">
      <c r="A34" t="s">
        <v>135</v>
      </c>
      <c r="B34">
        <v>3</v>
      </c>
      <c r="C34" t="s">
        <v>390</v>
      </c>
      <c r="D34" t="s">
        <v>391</v>
      </c>
      <c r="E34" t="s">
        <v>392</v>
      </c>
      <c r="F34" t="s">
        <v>306</v>
      </c>
      <c r="G34" t="s">
        <v>393</v>
      </c>
      <c r="H34" t="s">
        <v>374</v>
      </c>
      <c r="I34" t="s">
        <v>307</v>
      </c>
      <c r="J34" t="s">
        <v>371</v>
      </c>
      <c r="K34">
        <v>420</v>
      </c>
      <c r="L34" t="s">
        <v>305</v>
      </c>
      <c r="M34">
        <v>4</v>
      </c>
      <c r="T34">
        <v>46.2</v>
      </c>
      <c r="Z34">
        <v>0</v>
      </c>
      <c r="AA34">
        <v>0</v>
      </c>
      <c r="AB34">
        <v>18062</v>
      </c>
      <c r="AC34">
        <v>994</v>
      </c>
      <c r="AF34">
        <v>0</v>
      </c>
      <c r="AG34">
        <v>0</v>
      </c>
      <c r="AI34">
        <v>0</v>
      </c>
      <c r="AJ34" s="4">
        <f t="shared" si="0"/>
        <v>2.3666666666666667</v>
      </c>
      <c r="AK34">
        <v>0.9</v>
      </c>
      <c r="AL34">
        <v>0</v>
      </c>
      <c r="AM34">
        <v>0</v>
      </c>
      <c r="AN34">
        <v>0</v>
      </c>
      <c r="AS34" t="s">
        <v>372</v>
      </c>
      <c r="AY34" t="s">
        <v>373</v>
      </c>
      <c r="BJ34">
        <v>0</v>
      </c>
      <c r="BO34" t="s">
        <v>108</v>
      </c>
      <c r="BR34" t="s">
        <v>126</v>
      </c>
    </row>
    <row r="35" spans="1:70" x14ac:dyDescent="0.25">
      <c r="A35" t="s">
        <v>135</v>
      </c>
      <c r="B35">
        <v>4</v>
      </c>
      <c r="C35" t="s">
        <v>390</v>
      </c>
      <c r="D35" t="s">
        <v>391</v>
      </c>
      <c r="E35" t="s">
        <v>392</v>
      </c>
      <c r="F35" t="s">
        <v>306</v>
      </c>
      <c r="G35" t="s">
        <v>393</v>
      </c>
      <c r="H35" t="s">
        <v>375</v>
      </c>
      <c r="I35" t="s">
        <v>307</v>
      </c>
      <c r="J35" t="s">
        <v>371</v>
      </c>
      <c r="K35">
        <v>717</v>
      </c>
      <c r="L35" t="s">
        <v>305</v>
      </c>
      <c r="M35">
        <v>7</v>
      </c>
      <c r="T35">
        <v>89.625</v>
      </c>
      <c r="Z35">
        <v>0</v>
      </c>
      <c r="AA35">
        <v>0</v>
      </c>
      <c r="AB35">
        <v>18062</v>
      </c>
      <c r="AC35">
        <v>1696.9</v>
      </c>
      <c r="AF35">
        <v>0</v>
      </c>
      <c r="AG35">
        <v>0</v>
      </c>
      <c r="AI35">
        <v>0</v>
      </c>
      <c r="AJ35" s="4">
        <f t="shared" si="0"/>
        <v>2.3666666666666667</v>
      </c>
      <c r="AK35">
        <v>0.9</v>
      </c>
      <c r="AL35">
        <v>0</v>
      </c>
      <c r="AM35">
        <v>0</v>
      </c>
      <c r="AN35">
        <v>0</v>
      </c>
      <c r="AS35" t="s">
        <v>372</v>
      </c>
      <c r="AY35" t="s">
        <v>373</v>
      </c>
      <c r="BJ35">
        <v>0</v>
      </c>
      <c r="BO35" t="s">
        <v>108</v>
      </c>
      <c r="BR35" t="s">
        <v>126</v>
      </c>
    </row>
    <row r="36" spans="1:70" x14ac:dyDescent="0.25">
      <c r="A36" t="s">
        <v>135</v>
      </c>
      <c r="B36">
        <v>10</v>
      </c>
      <c r="C36" t="s">
        <v>390</v>
      </c>
      <c r="D36" t="s">
        <v>391</v>
      </c>
      <c r="E36" t="s">
        <v>394</v>
      </c>
      <c r="F36" t="s">
        <v>306</v>
      </c>
      <c r="G36" t="s">
        <v>393</v>
      </c>
      <c r="H36" t="s">
        <v>377</v>
      </c>
      <c r="I36" t="s">
        <v>307</v>
      </c>
      <c r="J36" t="s">
        <v>371</v>
      </c>
      <c r="K36">
        <v>231</v>
      </c>
      <c r="L36" t="s">
        <v>305</v>
      </c>
      <c r="M36">
        <v>2</v>
      </c>
      <c r="T36">
        <v>19.635000000000002</v>
      </c>
      <c r="Z36">
        <v>0</v>
      </c>
      <c r="AA36">
        <v>0</v>
      </c>
      <c r="AB36">
        <v>18062</v>
      </c>
      <c r="AC36">
        <v>528.22</v>
      </c>
      <c r="AF36">
        <v>0</v>
      </c>
      <c r="AG36">
        <v>0</v>
      </c>
      <c r="AI36">
        <v>0</v>
      </c>
      <c r="AJ36" s="4">
        <f t="shared" si="0"/>
        <v>2.2866666666666666</v>
      </c>
      <c r="AK36">
        <v>0.9</v>
      </c>
      <c r="AL36">
        <v>0</v>
      </c>
      <c r="AM36">
        <v>0</v>
      </c>
      <c r="AN36">
        <v>0</v>
      </c>
      <c r="AS36" t="s">
        <v>372</v>
      </c>
      <c r="AY36" t="s">
        <v>373</v>
      </c>
      <c r="BJ36">
        <v>0</v>
      </c>
      <c r="BO36" t="s">
        <v>108</v>
      </c>
      <c r="BR36" t="s">
        <v>126</v>
      </c>
    </row>
    <row r="37" spans="1:70" x14ac:dyDescent="0.25">
      <c r="A37" t="s">
        <v>135</v>
      </c>
      <c r="B37">
        <v>11</v>
      </c>
      <c r="C37" t="s">
        <v>390</v>
      </c>
      <c r="D37" t="s">
        <v>391</v>
      </c>
      <c r="E37" t="s">
        <v>394</v>
      </c>
      <c r="F37" t="s">
        <v>306</v>
      </c>
      <c r="G37" t="s">
        <v>393</v>
      </c>
      <c r="H37" t="s">
        <v>370</v>
      </c>
      <c r="I37" t="s">
        <v>307</v>
      </c>
      <c r="J37" t="s">
        <v>371</v>
      </c>
      <c r="K37">
        <v>369</v>
      </c>
      <c r="L37" t="s">
        <v>305</v>
      </c>
      <c r="M37">
        <v>4</v>
      </c>
      <c r="T37">
        <v>35.055</v>
      </c>
      <c r="Z37">
        <v>0</v>
      </c>
      <c r="AA37">
        <v>0</v>
      </c>
      <c r="AB37">
        <v>18062</v>
      </c>
      <c r="AC37">
        <v>843.78</v>
      </c>
      <c r="AF37">
        <v>0</v>
      </c>
      <c r="AG37">
        <v>0</v>
      </c>
      <c r="AI37">
        <v>0</v>
      </c>
      <c r="AJ37" s="4">
        <f t="shared" si="0"/>
        <v>2.2866666666666666</v>
      </c>
      <c r="AK37">
        <v>0.9</v>
      </c>
      <c r="AL37">
        <v>0</v>
      </c>
      <c r="AM37">
        <v>0</v>
      </c>
      <c r="AN37">
        <v>0</v>
      </c>
      <c r="AS37" t="s">
        <v>372</v>
      </c>
      <c r="AY37" t="s">
        <v>373</v>
      </c>
      <c r="BJ37">
        <v>0</v>
      </c>
      <c r="BO37" t="s">
        <v>108</v>
      </c>
      <c r="BR37" t="s">
        <v>126</v>
      </c>
    </row>
    <row r="38" spans="1:70" x14ac:dyDescent="0.25">
      <c r="A38" t="s">
        <v>135</v>
      </c>
      <c r="B38">
        <v>5</v>
      </c>
      <c r="C38" t="s">
        <v>390</v>
      </c>
      <c r="D38" t="s">
        <v>391</v>
      </c>
      <c r="E38" t="s">
        <v>392</v>
      </c>
      <c r="F38" t="s">
        <v>306</v>
      </c>
      <c r="G38" t="s">
        <v>393</v>
      </c>
      <c r="H38" t="s">
        <v>376</v>
      </c>
      <c r="I38" t="s">
        <v>307</v>
      </c>
      <c r="J38" t="s">
        <v>371</v>
      </c>
      <c r="K38">
        <v>462</v>
      </c>
      <c r="L38" t="s">
        <v>305</v>
      </c>
      <c r="M38">
        <v>5</v>
      </c>
      <c r="T38">
        <v>64.680000000000007</v>
      </c>
      <c r="Z38">
        <v>0</v>
      </c>
      <c r="AA38">
        <v>0</v>
      </c>
      <c r="AB38">
        <v>18062</v>
      </c>
      <c r="AC38">
        <v>1093.4000000000001</v>
      </c>
      <c r="AF38">
        <v>0</v>
      </c>
      <c r="AG38">
        <v>0</v>
      </c>
      <c r="AI38">
        <v>0</v>
      </c>
      <c r="AJ38" s="4">
        <f t="shared" si="0"/>
        <v>2.3666666666666667</v>
      </c>
      <c r="AK38">
        <v>0.9</v>
      </c>
      <c r="AL38">
        <v>0</v>
      </c>
      <c r="AM38">
        <v>0</v>
      </c>
      <c r="AN38">
        <v>0</v>
      </c>
      <c r="AS38" t="s">
        <v>372</v>
      </c>
      <c r="AY38" t="s">
        <v>373</v>
      </c>
      <c r="BJ38">
        <v>0</v>
      </c>
      <c r="BO38" t="s">
        <v>108</v>
      </c>
      <c r="BR38" t="s">
        <v>126</v>
      </c>
    </row>
    <row r="39" spans="1:70" x14ac:dyDescent="0.25">
      <c r="A39" t="s">
        <v>135</v>
      </c>
      <c r="B39">
        <v>6</v>
      </c>
      <c r="C39" t="s">
        <v>390</v>
      </c>
      <c r="D39" t="s">
        <v>391</v>
      </c>
      <c r="E39" t="s">
        <v>392</v>
      </c>
      <c r="F39" t="s">
        <v>306</v>
      </c>
      <c r="G39" t="s">
        <v>393</v>
      </c>
      <c r="H39" t="s">
        <v>381</v>
      </c>
      <c r="I39" t="s">
        <v>307</v>
      </c>
      <c r="J39" t="s">
        <v>371</v>
      </c>
      <c r="K39">
        <v>237</v>
      </c>
      <c r="L39" t="s">
        <v>305</v>
      </c>
      <c r="M39">
        <v>3</v>
      </c>
      <c r="T39">
        <v>37.92</v>
      </c>
      <c r="Z39">
        <v>0</v>
      </c>
      <c r="AA39">
        <v>0</v>
      </c>
      <c r="AB39">
        <v>18062</v>
      </c>
      <c r="AC39">
        <v>560.9</v>
      </c>
      <c r="AF39">
        <v>0</v>
      </c>
      <c r="AG39">
        <v>0</v>
      </c>
      <c r="AI39">
        <v>0</v>
      </c>
      <c r="AJ39" s="4">
        <f t="shared" si="0"/>
        <v>2.3666666666666667</v>
      </c>
      <c r="AK39">
        <v>0.9</v>
      </c>
      <c r="AL39">
        <v>0</v>
      </c>
      <c r="AM39">
        <v>0</v>
      </c>
      <c r="AN39">
        <v>0</v>
      </c>
      <c r="AS39" t="s">
        <v>372</v>
      </c>
      <c r="AY39" t="s">
        <v>373</v>
      </c>
      <c r="BJ39">
        <v>0</v>
      </c>
      <c r="BO39" t="s">
        <v>108</v>
      </c>
      <c r="BR39" t="s">
        <v>126</v>
      </c>
    </row>
    <row r="40" spans="1:70" x14ac:dyDescent="0.25">
      <c r="A40" t="s">
        <v>135</v>
      </c>
      <c r="B40">
        <v>7</v>
      </c>
      <c r="C40" t="s">
        <v>390</v>
      </c>
      <c r="D40" t="s">
        <v>391</v>
      </c>
      <c r="E40" t="s">
        <v>392</v>
      </c>
      <c r="F40" t="s">
        <v>306</v>
      </c>
      <c r="G40" t="s">
        <v>393</v>
      </c>
      <c r="H40" t="s">
        <v>383</v>
      </c>
      <c r="I40" t="s">
        <v>307</v>
      </c>
      <c r="J40" t="s">
        <v>371</v>
      </c>
      <c r="K40">
        <v>111</v>
      </c>
      <c r="L40" t="s">
        <v>305</v>
      </c>
      <c r="M40">
        <v>1</v>
      </c>
      <c r="T40">
        <v>17.204999999999998</v>
      </c>
      <c r="Z40">
        <v>0</v>
      </c>
      <c r="AA40">
        <v>0</v>
      </c>
      <c r="AB40">
        <v>18062</v>
      </c>
      <c r="AC40">
        <v>262.7</v>
      </c>
      <c r="AF40">
        <v>0</v>
      </c>
      <c r="AG40">
        <v>0</v>
      </c>
      <c r="AI40">
        <v>0</v>
      </c>
      <c r="AJ40" s="4">
        <f t="shared" si="0"/>
        <v>2.3666666666666667</v>
      </c>
      <c r="AK40">
        <v>0.9</v>
      </c>
      <c r="AL40">
        <v>0</v>
      </c>
      <c r="AM40">
        <v>0</v>
      </c>
      <c r="AN40">
        <v>0</v>
      </c>
      <c r="AS40" t="s">
        <v>372</v>
      </c>
      <c r="AY40" t="s">
        <v>373</v>
      </c>
      <c r="BJ40">
        <v>0</v>
      </c>
      <c r="BO40" t="s">
        <v>108</v>
      </c>
      <c r="BR40" t="s">
        <v>126</v>
      </c>
    </row>
    <row r="41" spans="1:70" x14ac:dyDescent="0.25">
      <c r="A41" t="s">
        <v>135</v>
      </c>
      <c r="B41">
        <v>8</v>
      </c>
      <c r="C41" t="s">
        <v>390</v>
      </c>
      <c r="D41" t="s">
        <v>391</v>
      </c>
      <c r="E41" t="s">
        <v>392</v>
      </c>
      <c r="F41" t="s">
        <v>306</v>
      </c>
      <c r="G41" t="s">
        <v>393</v>
      </c>
      <c r="H41" t="s">
        <v>384</v>
      </c>
      <c r="I41" t="s">
        <v>307</v>
      </c>
      <c r="J41" t="s">
        <v>371</v>
      </c>
      <c r="K41">
        <v>165</v>
      </c>
      <c r="L41" t="s">
        <v>305</v>
      </c>
      <c r="M41">
        <v>3</v>
      </c>
      <c r="T41">
        <v>28.875</v>
      </c>
      <c r="Z41">
        <v>0</v>
      </c>
      <c r="AA41">
        <v>0</v>
      </c>
      <c r="AB41">
        <v>18062</v>
      </c>
      <c r="AC41">
        <v>390.5</v>
      </c>
      <c r="AF41">
        <v>0</v>
      </c>
      <c r="AG41">
        <v>0</v>
      </c>
      <c r="AI41">
        <v>0</v>
      </c>
      <c r="AJ41" s="4">
        <f t="shared" si="0"/>
        <v>2.3666666666666667</v>
      </c>
      <c r="AK41">
        <v>0.9</v>
      </c>
      <c r="AL41">
        <v>0</v>
      </c>
      <c r="AM41">
        <v>0</v>
      </c>
      <c r="AN41">
        <v>0</v>
      </c>
      <c r="AS41" t="s">
        <v>372</v>
      </c>
      <c r="AY41" t="s">
        <v>373</v>
      </c>
      <c r="BJ41">
        <v>0</v>
      </c>
      <c r="BO41" t="s">
        <v>108</v>
      </c>
      <c r="BR41" t="s">
        <v>126</v>
      </c>
    </row>
    <row r="42" spans="1:70" x14ac:dyDescent="0.25">
      <c r="A42" t="s">
        <v>135</v>
      </c>
      <c r="B42">
        <v>9</v>
      </c>
      <c r="C42" t="s">
        <v>390</v>
      </c>
      <c r="D42" t="s">
        <v>391</v>
      </c>
      <c r="E42" t="s">
        <v>392</v>
      </c>
      <c r="F42" t="s">
        <v>306</v>
      </c>
      <c r="G42" t="s">
        <v>393</v>
      </c>
      <c r="H42" t="s">
        <v>382</v>
      </c>
      <c r="I42" t="s">
        <v>307</v>
      </c>
      <c r="J42" t="s">
        <v>371</v>
      </c>
      <c r="K42">
        <v>54</v>
      </c>
      <c r="L42" t="s">
        <v>305</v>
      </c>
      <c r="M42">
        <v>2</v>
      </c>
      <c r="T42">
        <v>7.56</v>
      </c>
      <c r="Z42">
        <v>0</v>
      </c>
      <c r="AA42">
        <v>0</v>
      </c>
      <c r="AB42">
        <v>18062</v>
      </c>
      <c r="AC42">
        <v>127.8</v>
      </c>
      <c r="AF42">
        <v>0</v>
      </c>
      <c r="AG42">
        <v>0</v>
      </c>
      <c r="AI42">
        <v>0</v>
      </c>
      <c r="AJ42" s="4">
        <f t="shared" si="0"/>
        <v>2.3666666666666667</v>
      </c>
      <c r="AK42">
        <v>0.9</v>
      </c>
      <c r="AL42">
        <v>0</v>
      </c>
      <c r="AM42">
        <v>0</v>
      </c>
      <c r="AN42">
        <v>0</v>
      </c>
      <c r="AS42" t="s">
        <v>372</v>
      </c>
      <c r="AY42" t="s">
        <v>373</v>
      </c>
      <c r="BJ42">
        <v>0</v>
      </c>
      <c r="BO42" t="s">
        <v>108</v>
      </c>
      <c r="BR42" t="s">
        <v>126</v>
      </c>
    </row>
    <row r="43" spans="1:70" x14ac:dyDescent="0.25">
      <c r="A43" t="s">
        <v>135</v>
      </c>
      <c r="B43">
        <v>12</v>
      </c>
      <c r="C43" t="s">
        <v>390</v>
      </c>
      <c r="D43" t="s">
        <v>391</v>
      </c>
      <c r="E43" t="s">
        <v>394</v>
      </c>
      <c r="F43" t="s">
        <v>306</v>
      </c>
      <c r="G43" t="s">
        <v>393</v>
      </c>
      <c r="H43" t="s">
        <v>374</v>
      </c>
      <c r="I43" t="s">
        <v>307</v>
      </c>
      <c r="J43" t="s">
        <v>371</v>
      </c>
      <c r="K43">
        <v>456</v>
      </c>
      <c r="L43" t="s">
        <v>305</v>
      </c>
      <c r="M43">
        <v>5</v>
      </c>
      <c r="T43">
        <v>50.16</v>
      </c>
      <c r="Z43">
        <v>0</v>
      </c>
      <c r="AA43">
        <v>0</v>
      </c>
      <c r="AB43">
        <v>18062</v>
      </c>
      <c r="AC43">
        <v>1042.72</v>
      </c>
      <c r="AF43">
        <v>0</v>
      </c>
      <c r="AG43">
        <v>0</v>
      </c>
      <c r="AI43">
        <v>0</v>
      </c>
      <c r="AJ43" s="4">
        <f t="shared" si="0"/>
        <v>2.2866666666666666</v>
      </c>
      <c r="AK43">
        <v>0.9</v>
      </c>
      <c r="AL43">
        <v>0</v>
      </c>
      <c r="AM43">
        <v>0</v>
      </c>
      <c r="AN43">
        <v>0</v>
      </c>
      <c r="AS43" t="s">
        <v>372</v>
      </c>
      <c r="AY43" t="s">
        <v>373</v>
      </c>
      <c r="BJ43">
        <v>0</v>
      </c>
      <c r="BO43" t="s">
        <v>108</v>
      </c>
      <c r="BR43" t="s">
        <v>126</v>
      </c>
    </row>
    <row r="44" spans="1:70" x14ac:dyDescent="0.25">
      <c r="A44" t="s">
        <v>135</v>
      </c>
      <c r="B44">
        <v>13</v>
      </c>
      <c r="C44" t="s">
        <v>390</v>
      </c>
      <c r="D44" t="s">
        <v>391</v>
      </c>
      <c r="E44" t="s">
        <v>394</v>
      </c>
      <c r="F44" t="s">
        <v>306</v>
      </c>
      <c r="G44" t="s">
        <v>393</v>
      </c>
      <c r="H44" t="s">
        <v>375</v>
      </c>
      <c r="I44" t="s">
        <v>307</v>
      </c>
      <c r="J44" t="s">
        <v>371</v>
      </c>
      <c r="K44">
        <v>582</v>
      </c>
      <c r="L44" t="s">
        <v>305</v>
      </c>
      <c r="M44">
        <v>5</v>
      </c>
      <c r="T44">
        <v>72.75</v>
      </c>
      <c r="Z44">
        <v>0</v>
      </c>
      <c r="AA44">
        <v>0</v>
      </c>
      <c r="AB44">
        <v>18062</v>
      </c>
      <c r="AC44">
        <v>1330.84</v>
      </c>
      <c r="AF44">
        <v>0</v>
      </c>
      <c r="AG44">
        <v>0</v>
      </c>
      <c r="AI44">
        <v>0</v>
      </c>
      <c r="AJ44" s="4">
        <f t="shared" si="0"/>
        <v>2.2866666666666666</v>
      </c>
      <c r="AK44">
        <v>0.9</v>
      </c>
      <c r="AL44">
        <v>0</v>
      </c>
      <c r="AM44">
        <v>0</v>
      </c>
      <c r="AN44">
        <v>0</v>
      </c>
      <c r="AS44" t="s">
        <v>372</v>
      </c>
      <c r="AY44" t="s">
        <v>373</v>
      </c>
      <c r="BJ44">
        <v>0</v>
      </c>
      <c r="BO44" t="s">
        <v>108</v>
      </c>
      <c r="BR44" t="s">
        <v>126</v>
      </c>
    </row>
    <row r="45" spans="1:70" x14ac:dyDescent="0.25">
      <c r="A45" t="s">
        <v>135</v>
      </c>
      <c r="B45">
        <v>14</v>
      </c>
      <c r="C45" t="s">
        <v>390</v>
      </c>
      <c r="D45" t="s">
        <v>391</v>
      </c>
      <c r="E45" t="s">
        <v>394</v>
      </c>
      <c r="F45" t="s">
        <v>306</v>
      </c>
      <c r="G45" t="s">
        <v>393</v>
      </c>
      <c r="H45" t="s">
        <v>376</v>
      </c>
      <c r="I45" t="s">
        <v>307</v>
      </c>
      <c r="J45" t="s">
        <v>371</v>
      </c>
      <c r="K45">
        <v>459</v>
      </c>
      <c r="L45" t="s">
        <v>305</v>
      </c>
      <c r="M45">
        <v>5</v>
      </c>
      <c r="T45">
        <v>64.260000000000005</v>
      </c>
      <c r="Z45">
        <v>0</v>
      </c>
      <c r="AA45">
        <v>0</v>
      </c>
      <c r="AB45">
        <v>18062</v>
      </c>
      <c r="AC45">
        <v>1049.58</v>
      </c>
      <c r="AF45">
        <v>0</v>
      </c>
      <c r="AG45">
        <v>0</v>
      </c>
      <c r="AI45">
        <v>0</v>
      </c>
      <c r="AJ45" s="4">
        <f t="shared" si="0"/>
        <v>2.2866666666666666</v>
      </c>
      <c r="AK45">
        <v>0.9</v>
      </c>
      <c r="AL45">
        <v>0</v>
      </c>
      <c r="AM45">
        <v>0</v>
      </c>
      <c r="AN45">
        <v>0</v>
      </c>
      <c r="AS45" t="s">
        <v>372</v>
      </c>
      <c r="AY45" t="s">
        <v>373</v>
      </c>
      <c r="BJ45">
        <v>0</v>
      </c>
      <c r="BO45" t="s">
        <v>108</v>
      </c>
      <c r="BR45" t="s">
        <v>126</v>
      </c>
    </row>
    <row r="46" spans="1:70" x14ac:dyDescent="0.25">
      <c r="A46" t="s">
        <v>135</v>
      </c>
      <c r="B46">
        <v>15</v>
      </c>
      <c r="C46" t="s">
        <v>390</v>
      </c>
      <c r="D46" t="s">
        <v>391</v>
      </c>
      <c r="E46" t="s">
        <v>394</v>
      </c>
      <c r="F46" t="s">
        <v>306</v>
      </c>
      <c r="G46" t="s">
        <v>393</v>
      </c>
      <c r="H46" t="s">
        <v>381</v>
      </c>
      <c r="I46" t="s">
        <v>307</v>
      </c>
      <c r="J46" t="s">
        <v>371</v>
      </c>
      <c r="K46">
        <v>186</v>
      </c>
      <c r="L46" t="s">
        <v>305</v>
      </c>
      <c r="M46">
        <v>3</v>
      </c>
      <c r="T46">
        <v>29.76</v>
      </c>
      <c r="Z46">
        <v>0</v>
      </c>
      <c r="AA46">
        <v>0</v>
      </c>
      <c r="AB46">
        <v>18062</v>
      </c>
      <c r="AC46">
        <v>425.32</v>
      </c>
      <c r="AF46">
        <v>0</v>
      </c>
      <c r="AG46">
        <v>0</v>
      </c>
      <c r="AI46">
        <v>0</v>
      </c>
      <c r="AJ46" s="4">
        <f t="shared" si="0"/>
        <v>2.2866666666666666</v>
      </c>
      <c r="AK46">
        <v>0.9</v>
      </c>
      <c r="AL46">
        <v>0</v>
      </c>
      <c r="AM46">
        <v>0</v>
      </c>
      <c r="AN46">
        <v>0</v>
      </c>
      <c r="AS46" t="s">
        <v>372</v>
      </c>
      <c r="AY46" t="s">
        <v>373</v>
      </c>
      <c r="BJ46">
        <v>0</v>
      </c>
      <c r="BO46" t="s">
        <v>108</v>
      </c>
      <c r="BR46" t="s">
        <v>126</v>
      </c>
    </row>
    <row r="47" spans="1:70" x14ac:dyDescent="0.25">
      <c r="A47" t="s">
        <v>135</v>
      </c>
      <c r="B47">
        <v>16</v>
      </c>
      <c r="C47" t="s">
        <v>390</v>
      </c>
      <c r="D47" t="s">
        <v>391</v>
      </c>
      <c r="E47" t="s">
        <v>394</v>
      </c>
      <c r="F47" t="s">
        <v>306</v>
      </c>
      <c r="G47" t="s">
        <v>393</v>
      </c>
      <c r="H47" t="s">
        <v>383</v>
      </c>
      <c r="I47" t="s">
        <v>307</v>
      </c>
      <c r="J47" t="s">
        <v>371</v>
      </c>
      <c r="K47">
        <v>111</v>
      </c>
      <c r="L47" t="s">
        <v>305</v>
      </c>
      <c r="M47">
        <v>2</v>
      </c>
      <c r="T47">
        <v>17.204999999999998</v>
      </c>
      <c r="Z47">
        <v>0</v>
      </c>
      <c r="AA47">
        <v>0</v>
      </c>
      <c r="AB47">
        <v>18062</v>
      </c>
      <c r="AC47">
        <v>253.82</v>
      </c>
      <c r="AF47">
        <v>0</v>
      </c>
      <c r="AG47">
        <v>0</v>
      </c>
      <c r="AI47">
        <v>0</v>
      </c>
      <c r="AJ47" s="4">
        <f t="shared" si="0"/>
        <v>2.2866666666666666</v>
      </c>
      <c r="AK47">
        <v>0.9</v>
      </c>
      <c r="AL47">
        <v>0</v>
      </c>
      <c r="AM47">
        <v>0</v>
      </c>
      <c r="AN47">
        <v>0</v>
      </c>
      <c r="AS47" t="s">
        <v>372</v>
      </c>
      <c r="AY47" t="s">
        <v>373</v>
      </c>
      <c r="BJ47">
        <v>0</v>
      </c>
      <c r="BO47" t="s">
        <v>108</v>
      </c>
      <c r="BR47" t="s">
        <v>126</v>
      </c>
    </row>
    <row r="48" spans="1:70" x14ac:dyDescent="0.25">
      <c r="A48" t="s">
        <v>135</v>
      </c>
      <c r="B48">
        <v>17</v>
      </c>
      <c r="C48" t="s">
        <v>390</v>
      </c>
      <c r="D48" t="s">
        <v>391</v>
      </c>
      <c r="E48" t="s">
        <v>394</v>
      </c>
      <c r="F48" t="s">
        <v>306</v>
      </c>
      <c r="G48" t="s">
        <v>393</v>
      </c>
      <c r="H48" t="s">
        <v>384</v>
      </c>
      <c r="I48" t="s">
        <v>307</v>
      </c>
      <c r="J48" t="s">
        <v>371</v>
      </c>
      <c r="K48">
        <v>162</v>
      </c>
      <c r="L48" t="s">
        <v>305</v>
      </c>
      <c r="M48">
        <v>3</v>
      </c>
      <c r="T48">
        <v>28.35</v>
      </c>
      <c r="Z48">
        <v>0</v>
      </c>
      <c r="AA48">
        <v>0</v>
      </c>
      <c r="AB48">
        <v>18062</v>
      </c>
      <c r="AC48">
        <v>370.44</v>
      </c>
      <c r="AF48">
        <v>0</v>
      </c>
      <c r="AG48">
        <v>0</v>
      </c>
      <c r="AI48">
        <v>0</v>
      </c>
      <c r="AJ48" s="4">
        <f t="shared" si="0"/>
        <v>2.2866666666666666</v>
      </c>
      <c r="AK48">
        <v>0.9</v>
      </c>
      <c r="AL48">
        <v>0</v>
      </c>
      <c r="AM48">
        <v>0</v>
      </c>
      <c r="AN48">
        <v>0</v>
      </c>
      <c r="AS48" t="s">
        <v>372</v>
      </c>
      <c r="AY48" t="s">
        <v>373</v>
      </c>
      <c r="BJ48">
        <v>0</v>
      </c>
      <c r="BO48" t="s">
        <v>108</v>
      </c>
      <c r="BR48" t="s">
        <v>126</v>
      </c>
    </row>
    <row r="49" spans="1:70" x14ac:dyDescent="0.25">
      <c r="A49" t="s">
        <v>135</v>
      </c>
      <c r="B49">
        <v>18</v>
      </c>
      <c r="C49" t="s">
        <v>390</v>
      </c>
      <c r="D49" t="s">
        <v>391</v>
      </c>
      <c r="E49" t="s">
        <v>395</v>
      </c>
      <c r="F49" t="s">
        <v>306</v>
      </c>
      <c r="G49" t="s">
        <v>393</v>
      </c>
      <c r="H49" t="s">
        <v>382</v>
      </c>
      <c r="I49" t="s">
        <v>307</v>
      </c>
      <c r="J49" t="s">
        <v>371</v>
      </c>
      <c r="K49">
        <v>57</v>
      </c>
      <c r="L49" t="s">
        <v>305</v>
      </c>
      <c r="M49">
        <v>3</v>
      </c>
      <c r="T49">
        <v>7.98</v>
      </c>
      <c r="Z49">
        <v>0</v>
      </c>
      <c r="AA49">
        <v>0</v>
      </c>
      <c r="AB49">
        <v>18062</v>
      </c>
      <c r="AC49">
        <v>130.34</v>
      </c>
      <c r="AF49">
        <v>0</v>
      </c>
      <c r="AG49">
        <v>0</v>
      </c>
      <c r="AI49">
        <v>0</v>
      </c>
      <c r="AJ49" s="4">
        <f t="shared" si="0"/>
        <v>2.2866666666666666</v>
      </c>
      <c r="AK49">
        <v>0.9</v>
      </c>
      <c r="AL49">
        <v>0</v>
      </c>
      <c r="AM49">
        <v>0</v>
      </c>
      <c r="AN49">
        <v>0</v>
      </c>
      <c r="AS49" t="s">
        <v>372</v>
      </c>
      <c r="AY49" t="s">
        <v>373</v>
      </c>
      <c r="BJ49">
        <v>0</v>
      </c>
      <c r="BO49" t="s">
        <v>108</v>
      </c>
      <c r="BR49" t="s">
        <v>126</v>
      </c>
    </row>
    <row r="50" spans="1:70" x14ac:dyDescent="0.25">
      <c r="A50" t="s">
        <v>137</v>
      </c>
      <c r="B50">
        <v>1</v>
      </c>
      <c r="C50" t="s">
        <v>366</v>
      </c>
      <c r="D50" t="s">
        <v>396</v>
      </c>
      <c r="E50" t="s">
        <v>397</v>
      </c>
      <c r="F50" t="s">
        <v>306</v>
      </c>
      <c r="G50" t="s">
        <v>369</v>
      </c>
      <c r="H50" t="s">
        <v>375</v>
      </c>
      <c r="I50" t="s">
        <v>307</v>
      </c>
      <c r="J50" t="s">
        <v>371</v>
      </c>
      <c r="K50">
        <v>50</v>
      </c>
      <c r="L50" t="s">
        <v>305</v>
      </c>
      <c r="M50">
        <v>1</v>
      </c>
      <c r="T50">
        <v>3.6</v>
      </c>
      <c r="AA50">
        <v>0</v>
      </c>
      <c r="AB50">
        <v>0</v>
      </c>
      <c r="AC50">
        <v>94.5</v>
      </c>
      <c r="AI50">
        <v>0</v>
      </c>
      <c r="AJ50" s="3">
        <f t="shared" si="0"/>
        <v>1.89</v>
      </c>
      <c r="AK50">
        <v>0.81</v>
      </c>
      <c r="AL50">
        <v>0</v>
      </c>
      <c r="AS50" t="s">
        <v>372</v>
      </c>
      <c r="AY50" t="s">
        <v>373</v>
      </c>
      <c r="BO50" t="s">
        <v>108</v>
      </c>
    </row>
    <row r="51" spans="1:70" x14ac:dyDescent="0.25">
      <c r="A51" t="s">
        <v>137</v>
      </c>
      <c r="B51">
        <v>2</v>
      </c>
      <c r="C51" t="s">
        <v>366</v>
      </c>
      <c r="D51" t="s">
        <v>396</v>
      </c>
      <c r="E51" t="s">
        <v>397</v>
      </c>
      <c r="F51" t="s">
        <v>306</v>
      </c>
      <c r="G51" t="s">
        <v>369</v>
      </c>
      <c r="H51" t="s">
        <v>377</v>
      </c>
      <c r="I51" t="s">
        <v>307</v>
      </c>
      <c r="J51" t="s">
        <v>371</v>
      </c>
      <c r="K51">
        <v>15</v>
      </c>
      <c r="L51" t="s">
        <v>305</v>
      </c>
      <c r="M51">
        <v>1</v>
      </c>
      <c r="T51">
        <v>12.654999999999999</v>
      </c>
      <c r="AA51">
        <v>0</v>
      </c>
      <c r="AB51">
        <v>0</v>
      </c>
      <c r="AC51">
        <v>28.35</v>
      </c>
      <c r="AI51">
        <v>0</v>
      </c>
      <c r="AJ51" s="3">
        <f t="shared" si="0"/>
        <v>1.8900000000000001</v>
      </c>
      <c r="AK51">
        <v>0.81</v>
      </c>
      <c r="AL51">
        <v>0</v>
      </c>
      <c r="AS51" t="s">
        <v>372</v>
      </c>
      <c r="AY51" t="s">
        <v>373</v>
      </c>
      <c r="BO51" t="s">
        <v>108</v>
      </c>
    </row>
    <row r="52" spans="1:70" x14ac:dyDescent="0.25">
      <c r="A52" t="s">
        <v>137</v>
      </c>
      <c r="B52">
        <v>3</v>
      </c>
      <c r="C52" t="s">
        <v>366</v>
      </c>
      <c r="D52" t="s">
        <v>396</v>
      </c>
      <c r="E52" t="s">
        <v>397</v>
      </c>
      <c r="F52" t="s">
        <v>306</v>
      </c>
      <c r="G52" t="s">
        <v>369</v>
      </c>
      <c r="H52" t="s">
        <v>370</v>
      </c>
      <c r="I52" t="s">
        <v>307</v>
      </c>
      <c r="J52" t="s">
        <v>371</v>
      </c>
      <c r="K52">
        <v>48</v>
      </c>
      <c r="L52" t="s">
        <v>305</v>
      </c>
      <c r="M52">
        <v>0</v>
      </c>
      <c r="T52">
        <v>0</v>
      </c>
      <c r="AA52">
        <v>0</v>
      </c>
      <c r="AB52">
        <v>0</v>
      </c>
      <c r="AC52">
        <v>90.72</v>
      </c>
      <c r="AI52">
        <v>0</v>
      </c>
      <c r="AJ52" s="3">
        <f t="shared" si="0"/>
        <v>1.89</v>
      </c>
      <c r="AK52">
        <v>0.81</v>
      </c>
      <c r="AL52">
        <v>0</v>
      </c>
      <c r="AS52" t="s">
        <v>372</v>
      </c>
      <c r="AY52" t="s">
        <v>373</v>
      </c>
      <c r="BO52" t="s">
        <v>108</v>
      </c>
    </row>
    <row r="53" spans="1:70" x14ac:dyDescent="0.25">
      <c r="A53" t="s">
        <v>137</v>
      </c>
      <c r="B53">
        <v>11</v>
      </c>
      <c r="C53" t="s">
        <v>366</v>
      </c>
      <c r="D53" t="s">
        <v>396</v>
      </c>
      <c r="E53" t="s">
        <v>398</v>
      </c>
      <c r="F53" t="s">
        <v>306</v>
      </c>
      <c r="G53" t="s">
        <v>369</v>
      </c>
      <c r="H53" t="s">
        <v>370</v>
      </c>
      <c r="I53" t="s">
        <v>307</v>
      </c>
      <c r="J53" t="s">
        <v>371</v>
      </c>
      <c r="K53">
        <v>39</v>
      </c>
      <c r="L53" t="s">
        <v>305</v>
      </c>
      <c r="M53">
        <v>0</v>
      </c>
      <c r="T53">
        <v>0</v>
      </c>
      <c r="AA53">
        <v>0</v>
      </c>
      <c r="AB53">
        <v>0</v>
      </c>
      <c r="AC53">
        <v>73.709999999999994</v>
      </c>
      <c r="AI53">
        <v>0</v>
      </c>
      <c r="AJ53" s="3">
        <f t="shared" si="0"/>
        <v>1.89</v>
      </c>
      <c r="AK53">
        <v>0.81</v>
      </c>
      <c r="AL53">
        <v>0</v>
      </c>
      <c r="AS53" t="s">
        <v>372</v>
      </c>
      <c r="AY53" t="s">
        <v>373</v>
      </c>
      <c r="BO53" t="s">
        <v>108</v>
      </c>
    </row>
    <row r="54" spans="1:70" x14ac:dyDescent="0.25">
      <c r="A54" t="s">
        <v>137</v>
      </c>
      <c r="B54">
        <v>12</v>
      </c>
      <c r="C54" t="s">
        <v>366</v>
      </c>
      <c r="D54" t="s">
        <v>396</v>
      </c>
      <c r="E54" t="s">
        <v>398</v>
      </c>
      <c r="F54" t="s">
        <v>306</v>
      </c>
      <c r="G54" t="s">
        <v>369</v>
      </c>
      <c r="H54" t="s">
        <v>374</v>
      </c>
      <c r="I54" t="s">
        <v>307</v>
      </c>
      <c r="J54" t="s">
        <v>371</v>
      </c>
      <c r="K54">
        <v>41</v>
      </c>
      <c r="L54" t="s">
        <v>305</v>
      </c>
      <c r="M54">
        <v>0</v>
      </c>
      <c r="T54">
        <v>0</v>
      </c>
      <c r="AA54">
        <v>0</v>
      </c>
      <c r="AB54">
        <v>0</v>
      </c>
      <c r="AC54">
        <v>77.489999999999995</v>
      </c>
      <c r="AI54">
        <v>0</v>
      </c>
      <c r="AJ54" s="3">
        <f t="shared" si="0"/>
        <v>1.89</v>
      </c>
      <c r="AK54">
        <v>0.81</v>
      </c>
      <c r="AL54">
        <v>0</v>
      </c>
      <c r="AS54" t="s">
        <v>372</v>
      </c>
      <c r="AY54" t="s">
        <v>373</v>
      </c>
      <c r="BO54" t="s">
        <v>108</v>
      </c>
    </row>
    <row r="55" spans="1:70" x14ac:dyDescent="0.25">
      <c r="A55" t="s">
        <v>137</v>
      </c>
      <c r="B55">
        <v>8</v>
      </c>
      <c r="C55" t="s">
        <v>366</v>
      </c>
      <c r="D55" t="s">
        <v>396</v>
      </c>
      <c r="E55" t="s">
        <v>397</v>
      </c>
      <c r="F55" t="s">
        <v>306</v>
      </c>
      <c r="G55" t="s">
        <v>369</v>
      </c>
      <c r="H55" t="s">
        <v>383</v>
      </c>
      <c r="I55" t="s">
        <v>307</v>
      </c>
      <c r="J55" t="s">
        <v>371</v>
      </c>
      <c r="K55">
        <v>5</v>
      </c>
      <c r="L55" t="s">
        <v>305</v>
      </c>
      <c r="M55">
        <v>0</v>
      </c>
      <c r="T55">
        <v>0</v>
      </c>
      <c r="AA55">
        <v>0</v>
      </c>
      <c r="AB55">
        <v>0</v>
      </c>
      <c r="AC55">
        <v>9.4499999999999993</v>
      </c>
      <c r="AI55">
        <v>0</v>
      </c>
      <c r="AJ55" s="3">
        <f t="shared" si="0"/>
        <v>1.89</v>
      </c>
      <c r="AK55">
        <v>0.81</v>
      </c>
      <c r="AL55">
        <v>0</v>
      </c>
      <c r="AS55" t="s">
        <v>372</v>
      </c>
      <c r="AY55" t="s">
        <v>373</v>
      </c>
      <c r="BO55" t="s">
        <v>108</v>
      </c>
    </row>
    <row r="56" spans="1:70" x14ac:dyDescent="0.25">
      <c r="A56" t="s">
        <v>137</v>
      </c>
      <c r="B56">
        <v>9</v>
      </c>
      <c r="C56" t="s">
        <v>366</v>
      </c>
      <c r="D56" t="s">
        <v>396</v>
      </c>
      <c r="E56" t="s">
        <v>397</v>
      </c>
      <c r="F56" t="s">
        <v>306</v>
      </c>
      <c r="G56" t="s">
        <v>369</v>
      </c>
      <c r="H56" t="s">
        <v>384</v>
      </c>
      <c r="I56" t="s">
        <v>307</v>
      </c>
      <c r="J56" t="s">
        <v>371</v>
      </c>
      <c r="K56">
        <v>6</v>
      </c>
      <c r="L56" t="s">
        <v>305</v>
      </c>
      <c r="M56">
        <v>0</v>
      </c>
      <c r="T56">
        <v>0</v>
      </c>
      <c r="AA56">
        <v>0</v>
      </c>
      <c r="AB56">
        <v>0</v>
      </c>
      <c r="AC56">
        <v>11.34</v>
      </c>
      <c r="AI56">
        <v>0</v>
      </c>
      <c r="AJ56" s="3">
        <f t="shared" si="0"/>
        <v>1.89</v>
      </c>
      <c r="AK56">
        <v>0.81</v>
      </c>
      <c r="AL56">
        <v>0</v>
      </c>
      <c r="AS56" t="s">
        <v>372</v>
      </c>
      <c r="AY56" t="s">
        <v>373</v>
      </c>
      <c r="BO56" t="s">
        <v>108</v>
      </c>
    </row>
    <row r="57" spans="1:70" x14ac:dyDescent="0.25">
      <c r="A57" t="s">
        <v>137</v>
      </c>
      <c r="B57">
        <v>10</v>
      </c>
      <c r="C57" t="s">
        <v>366</v>
      </c>
      <c r="D57" t="s">
        <v>396</v>
      </c>
      <c r="E57" t="s">
        <v>398</v>
      </c>
      <c r="F57" t="s">
        <v>306</v>
      </c>
      <c r="G57" t="s">
        <v>369</v>
      </c>
      <c r="H57" t="s">
        <v>377</v>
      </c>
      <c r="I57" t="s">
        <v>307</v>
      </c>
      <c r="J57" t="s">
        <v>371</v>
      </c>
      <c r="K57">
        <v>12</v>
      </c>
      <c r="L57" t="s">
        <v>305</v>
      </c>
      <c r="M57">
        <v>1</v>
      </c>
      <c r="T57">
        <v>13.095000000000001</v>
      </c>
      <c r="AA57">
        <v>0</v>
      </c>
      <c r="AB57">
        <v>0</v>
      </c>
      <c r="AC57">
        <v>22.68</v>
      </c>
      <c r="AI57">
        <v>0</v>
      </c>
      <c r="AJ57" s="3">
        <f t="shared" si="0"/>
        <v>1.89</v>
      </c>
      <c r="AK57">
        <v>0.81</v>
      </c>
      <c r="AL57">
        <v>0</v>
      </c>
      <c r="AS57" t="s">
        <v>372</v>
      </c>
      <c r="AY57" t="s">
        <v>373</v>
      </c>
      <c r="BO57" t="s">
        <v>108</v>
      </c>
    </row>
    <row r="58" spans="1:70" x14ac:dyDescent="0.25">
      <c r="A58" t="s">
        <v>137</v>
      </c>
      <c r="B58">
        <v>13</v>
      </c>
      <c r="C58" t="s">
        <v>366</v>
      </c>
      <c r="D58" t="s">
        <v>396</v>
      </c>
      <c r="E58" t="s">
        <v>398</v>
      </c>
      <c r="F58" t="s">
        <v>306</v>
      </c>
      <c r="G58" t="s">
        <v>369</v>
      </c>
      <c r="H58" t="s">
        <v>375</v>
      </c>
      <c r="I58" t="s">
        <v>307</v>
      </c>
      <c r="J58" t="s">
        <v>371</v>
      </c>
      <c r="K58">
        <v>40</v>
      </c>
      <c r="L58" t="s">
        <v>305</v>
      </c>
      <c r="M58">
        <v>0</v>
      </c>
      <c r="T58">
        <v>0</v>
      </c>
      <c r="AA58">
        <v>0</v>
      </c>
      <c r="AB58">
        <v>0</v>
      </c>
      <c r="AC58">
        <v>75.599999999999994</v>
      </c>
      <c r="AI58">
        <v>0</v>
      </c>
      <c r="AJ58" s="3">
        <f t="shared" si="0"/>
        <v>1.89</v>
      </c>
      <c r="AK58">
        <v>0.81</v>
      </c>
      <c r="AL58">
        <v>0</v>
      </c>
      <c r="AS58" t="s">
        <v>372</v>
      </c>
      <c r="AY58" t="s">
        <v>373</v>
      </c>
      <c r="BO58" t="s">
        <v>108</v>
      </c>
    </row>
    <row r="59" spans="1:70" x14ac:dyDescent="0.25">
      <c r="A59" t="s">
        <v>137</v>
      </c>
      <c r="B59">
        <v>14</v>
      </c>
      <c r="C59" t="s">
        <v>366</v>
      </c>
      <c r="D59" t="s">
        <v>396</v>
      </c>
      <c r="E59" t="s">
        <v>398</v>
      </c>
      <c r="F59" t="s">
        <v>306</v>
      </c>
      <c r="G59" t="s">
        <v>369</v>
      </c>
      <c r="H59" t="s">
        <v>376</v>
      </c>
      <c r="I59" t="s">
        <v>307</v>
      </c>
      <c r="J59" t="s">
        <v>371</v>
      </c>
      <c r="K59">
        <v>22</v>
      </c>
      <c r="L59" t="s">
        <v>305</v>
      </c>
      <c r="M59">
        <v>0</v>
      </c>
      <c r="T59">
        <v>0</v>
      </c>
      <c r="AA59">
        <v>0</v>
      </c>
      <c r="AB59">
        <v>0</v>
      </c>
      <c r="AC59">
        <v>41.58</v>
      </c>
      <c r="AI59">
        <v>0</v>
      </c>
      <c r="AJ59" s="3">
        <f t="shared" si="0"/>
        <v>1.89</v>
      </c>
      <c r="AK59">
        <v>0.81</v>
      </c>
      <c r="AL59">
        <v>0</v>
      </c>
      <c r="AS59" t="s">
        <v>372</v>
      </c>
      <c r="AY59" t="s">
        <v>373</v>
      </c>
      <c r="BO59" t="s">
        <v>108</v>
      </c>
    </row>
    <row r="60" spans="1:70" x14ac:dyDescent="0.25">
      <c r="A60" t="s">
        <v>137</v>
      </c>
      <c r="B60">
        <v>15</v>
      </c>
      <c r="C60" t="s">
        <v>366</v>
      </c>
      <c r="D60" t="s">
        <v>396</v>
      </c>
      <c r="E60" t="s">
        <v>398</v>
      </c>
      <c r="F60" t="s">
        <v>306</v>
      </c>
      <c r="G60" t="s">
        <v>369</v>
      </c>
      <c r="H60" t="s">
        <v>381</v>
      </c>
      <c r="I60" t="s">
        <v>307</v>
      </c>
      <c r="J60" t="s">
        <v>371</v>
      </c>
      <c r="K60">
        <v>9</v>
      </c>
      <c r="L60" t="s">
        <v>305</v>
      </c>
      <c r="M60">
        <v>0</v>
      </c>
      <c r="T60">
        <v>0</v>
      </c>
      <c r="AA60">
        <v>0</v>
      </c>
      <c r="AB60">
        <v>0</v>
      </c>
      <c r="AC60">
        <v>17.010000000000002</v>
      </c>
      <c r="AI60">
        <v>0</v>
      </c>
      <c r="AJ60" s="3">
        <f t="shared" si="0"/>
        <v>1.8900000000000001</v>
      </c>
      <c r="AK60">
        <v>0.81</v>
      </c>
      <c r="AL60">
        <v>0</v>
      </c>
      <c r="AS60" t="s">
        <v>372</v>
      </c>
      <c r="AY60" t="s">
        <v>373</v>
      </c>
      <c r="BO60" t="s">
        <v>108</v>
      </c>
    </row>
    <row r="61" spans="1:70" x14ac:dyDescent="0.25">
      <c r="A61" t="s">
        <v>137</v>
      </c>
      <c r="B61">
        <v>16</v>
      </c>
      <c r="C61" t="s">
        <v>366</v>
      </c>
      <c r="D61" t="s">
        <v>396</v>
      </c>
      <c r="E61" t="s">
        <v>398</v>
      </c>
      <c r="F61" t="s">
        <v>306</v>
      </c>
      <c r="G61" t="s">
        <v>369</v>
      </c>
      <c r="H61" t="s">
        <v>382</v>
      </c>
      <c r="I61" t="s">
        <v>307</v>
      </c>
      <c r="J61" t="s">
        <v>371</v>
      </c>
      <c r="K61">
        <v>2</v>
      </c>
      <c r="L61" t="s">
        <v>305</v>
      </c>
      <c r="M61">
        <v>0</v>
      </c>
      <c r="T61">
        <v>0</v>
      </c>
      <c r="AA61">
        <v>0</v>
      </c>
      <c r="AB61">
        <v>0</v>
      </c>
      <c r="AC61">
        <v>3.78</v>
      </c>
      <c r="AI61">
        <v>0</v>
      </c>
      <c r="AJ61" s="3">
        <f t="shared" si="0"/>
        <v>1.89</v>
      </c>
      <c r="AK61">
        <v>0.81</v>
      </c>
      <c r="AL61">
        <v>0</v>
      </c>
      <c r="AS61" t="s">
        <v>372</v>
      </c>
      <c r="AY61" t="s">
        <v>373</v>
      </c>
      <c r="BO61" t="s">
        <v>108</v>
      </c>
    </row>
    <row r="62" spans="1:70" x14ac:dyDescent="0.25">
      <c r="A62" t="s">
        <v>137</v>
      </c>
      <c r="B62">
        <v>17</v>
      </c>
      <c r="C62" t="s">
        <v>366</v>
      </c>
      <c r="D62" t="s">
        <v>396</v>
      </c>
      <c r="E62" t="s">
        <v>398</v>
      </c>
      <c r="F62" t="s">
        <v>306</v>
      </c>
      <c r="G62" t="s">
        <v>369</v>
      </c>
      <c r="H62" t="s">
        <v>383</v>
      </c>
      <c r="I62" t="s">
        <v>307</v>
      </c>
      <c r="J62" t="s">
        <v>371</v>
      </c>
      <c r="K62">
        <v>4</v>
      </c>
      <c r="L62" t="s">
        <v>305</v>
      </c>
      <c r="M62">
        <v>0</v>
      </c>
      <c r="T62">
        <v>0</v>
      </c>
      <c r="AA62">
        <v>0</v>
      </c>
      <c r="AB62">
        <v>0</v>
      </c>
      <c r="AC62">
        <v>7.56</v>
      </c>
      <c r="AI62">
        <v>0</v>
      </c>
      <c r="AJ62" s="3">
        <f t="shared" si="0"/>
        <v>1.89</v>
      </c>
      <c r="AK62">
        <v>0.81</v>
      </c>
      <c r="AL62">
        <v>0</v>
      </c>
      <c r="AS62" t="s">
        <v>372</v>
      </c>
      <c r="AY62" t="s">
        <v>373</v>
      </c>
      <c r="BO62" t="s">
        <v>108</v>
      </c>
    </row>
    <row r="63" spans="1:70" x14ac:dyDescent="0.25">
      <c r="A63" t="s">
        <v>137</v>
      </c>
      <c r="B63">
        <v>18</v>
      </c>
      <c r="C63" t="s">
        <v>366</v>
      </c>
      <c r="D63" t="s">
        <v>396</v>
      </c>
      <c r="E63" t="s">
        <v>398</v>
      </c>
      <c r="F63" t="s">
        <v>306</v>
      </c>
      <c r="G63" t="s">
        <v>369</v>
      </c>
      <c r="H63" t="s">
        <v>384</v>
      </c>
      <c r="I63" t="s">
        <v>307</v>
      </c>
      <c r="J63" t="s">
        <v>371</v>
      </c>
      <c r="K63">
        <v>5</v>
      </c>
      <c r="L63" t="s">
        <v>305</v>
      </c>
      <c r="M63">
        <v>0</v>
      </c>
      <c r="T63">
        <v>0</v>
      </c>
      <c r="AA63">
        <v>0</v>
      </c>
      <c r="AB63">
        <v>0</v>
      </c>
      <c r="AC63">
        <v>9.4499999999999993</v>
      </c>
      <c r="AI63">
        <v>0</v>
      </c>
      <c r="AJ63" s="3">
        <f t="shared" si="0"/>
        <v>1.89</v>
      </c>
      <c r="AK63">
        <v>0.81</v>
      </c>
      <c r="AL63">
        <v>0</v>
      </c>
      <c r="AS63" t="s">
        <v>372</v>
      </c>
      <c r="AY63" t="s">
        <v>373</v>
      </c>
      <c r="BO63" t="s">
        <v>108</v>
      </c>
    </row>
    <row r="64" spans="1:70" x14ac:dyDescent="0.25">
      <c r="A64" t="s">
        <v>137</v>
      </c>
      <c r="B64">
        <v>4</v>
      </c>
      <c r="C64" t="s">
        <v>366</v>
      </c>
      <c r="D64" t="s">
        <v>396</v>
      </c>
      <c r="E64" t="s">
        <v>397</v>
      </c>
      <c r="F64" t="s">
        <v>306</v>
      </c>
      <c r="G64" t="s">
        <v>369</v>
      </c>
      <c r="H64" t="s">
        <v>374</v>
      </c>
      <c r="I64" t="s">
        <v>307</v>
      </c>
      <c r="J64" t="s">
        <v>371</v>
      </c>
      <c r="K64">
        <v>51</v>
      </c>
      <c r="L64" t="s">
        <v>305</v>
      </c>
      <c r="M64">
        <v>0</v>
      </c>
      <c r="T64">
        <v>0</v>
      </c>
      <c r="AA64">
        <v>0</v>
      </c>
      <c r="AB64">
        <v>0</v>
      </c>
      <c r="AC64">
        <v>96.39</v>
      </c>
      <c r="AI64">
        <v>0</v>
      </c>
      <c r="AJ64" s="3">
        <f t="shared" si="0"/>
        <v>1.89</v>
      </c>
      <c r="AK64">
        <v>0.81</v>
      </c>
      <c r="AL64">
        <v>0</v>
      </c>
      <c r="AS64" t="s">
        <v>372</v>
      </c>
      <c r="AY64" t="s">
        <v>373</v>
      </c>
      <c r="BO64" t="s">
        <v>108</v>
      </c>
    </row>
    <row r="65" spans="1:70" x14ac:dyDescent="0.25">
      <c r="A65" t="s">
        <v>137</v>
      </c>
      <c r="B65">
        <v>5</v>
      </c>
      <c r="C65" t="s">
        <v>366</v>
      </c>
      <c r="D65" t="s">
        <v>396</v>
      </c>
      <c r="E65" t="s">
        <v>397</v>
      </c>
      <c r="F65" t="s">
        <v>306</v>
      </c>
      <c r="G65" t="s">
        <v>369</v>
      </c>
      <c r="H65" t="s">
        <v>376</v>
      </c>
      <c r="I65" t="s">
        <v>307</v>
      </c>
      <c r="J65" t="s">
        <v>371</v>
      </c>
      <c r="K65">
        <v>27</v>
      </c>
      <c r="L65" t="s">
        <v>305</v>
      </c>
      <c r="M65">
        <v>0</v>
      </c>
      <c r="T65">
        <v>0</v>
      </c>
      <c r="AA65">
        <v>0</v>
      </c>
      <c r="AB65">
        <v>0</v>
      </c>
      <c r="AC65">
        <v>51.03</v>
      </c>
      <c r="AI65">
        <v>0</v>
      </c>
      <c r="AJ65" s="3">
        <f t="shared" si="0"/>
        <v>1.8900000000000001</v>
      </c>
      <c r="AK65">
        <v>0.81</v>
      </c>
      <c r="AL65">
        <v>0</v>
      </c>
      <c r="AS65" t="s">
        <v>372</v>
      </c>
      <c r="AY65" t="s">
        <v>373</v>
      </c>
      <c r="BO65" t="s">
        <v>108</v>
      </c>
    </row>
    <row r="66" spans="1:70" x14ac:dyDescent="0.25">
      <c r="A66" t="s">
        <v>137</v>
      </c>
      <c r="B66">
        <v>6</v>
      </c>
      <c r="C66" t="s">
        <v>366</v>
      </c>
      <c r="D66" t="s">
        <v>396</v>
      </c>
      <c r="E66" t="s">
        <v>397</v>
      </c>
      <c r="F66" t="s">
        <v>306</v>
      </c>
      <c r="G66" t="s">
        <v>369</v>
      </c>
      <c r="H66" t="s">
        <v>381</v>
      </c>
      <c r="I66" t="s">
        <v>307</v>
      </c>
      <c r="J66" t="s">
        <v>371</v>
      </c>
      <c r="K66">
        <v>11</v>
      </c>
      <c r="L66" t="s">
        <v>305</v>
      </c>
      <c r="M66">
        <v>0</v>
      </c>
      <c r="T66">
        <v>0</v>
      </c>
      <c r="AA66">
        <v>0</v>
      </c>
      <c r="AB66">
        <v>0</v>
      </c>
      <c r="AC66">
        <v>20.79</v>
      </c>
      <c r="AI66">
        <v>0</v>
      </c>
      <c r="AJ66" s="3">
        <f t="shared" si="0"/>
        <v>1.89</v>
      </c>
      <c r="AK66">
        <v>0.81</v>
      </c>
      <c r="AL66">
        <v>0</v>
      </c>
      <c r="AS66" t="s">
        <v>372</v>
      </c>
      <c r="AY66" t="s">
        <v>373</v>
      </c>
      <c r="BO66" t="s">
        <v>108</v>
      </c>
    </row>
    <row r="67" spans="1:70" x14ac:dyDescent="0.25">
      <c r="A67" t="s">
        <v>137</v>
      </c>
      <c r="B67">
        <v>7</v>
      </c>
      <c r="C67" t="s">
        <v>366</v>
      </c>
      <c r="D67" t="s">
        <v>396</v>
      </c>
      <c r="E67" t="s">
        <v>397</v>
      </c>
      <c r="F67" t="s">
        <v>306</v>
      </c>
      <c r="G67" t="s">
        <v>369</v>
      </c>
      <c r="H67" t="s">
        <v>382</v>
      </c>
      <c r="I67" t="s">
        <v>307</v>
      </c>
      <c r="J67" t="s">
        <v>371</v>
      </c>
      <c r="K67">
        <v>3</v>
      </c>
      <c r="L67" t="s">
        <v>305</v>
      </c>
      <c r="M67">
        <v>0</v>
      </c>
      <c r="T67">
        <v>0</v>
      </c>
      <c r="AA67">
        <v>0</v>
      </c>
      <c r="AB67">
        <v>0</v>
      </c>
      <c r="AC67">
        <v>5.67</v>
      </c>
      <c r="AI67">
        <v>0</v>
      </c>
      <c r="AJ67" s="3">
        <f t="shared" ref="AJ67:AJ83" si="1">+AC67/K67</f>
        <v>1.89</v>
      </c>
      <c r="AK67">
        <v>0.81</v>
      </c>
      <c r="AL67">
        <v>0</v>
      </c>
      <c r="AS67" t="s">
        <v>372</v>
      </c>
      <c r="AY67" t="s">
        <v>373</v>
      </c>
      <c r="BO67" t="s">
        <v>108</v>
      </c>
    </row>
    <row r="68" spans="1:70" x14ac:dyDescent="0.25">
      <c r="A68" t="s">
        <v>139</v>
      </c>
      <c r="B68">
        <v>1</v>
      </c>
      <c r="C68" t="s">
        <v>366</v>
      </c>
      <c r="D68" t="s">
        <v>399</v>
      </c>
      <c r="E68" t="s">
        <v>400</v>
      </c>
      <c r="F68" t="s">
        <v>306</v>
      </c>
      <c r="G68" t="s">
        <v>307</v>
      </c>
      <c r="H68" t="s">
        <v>307</v>
      </c>
      <c r="I68" t="s">
        <v>307</v>
      </c>
      <c r="J68" t="s">
        <v>371</v>
      </c>
      <c r="K68">
        <v>2082</v>
      </c>
      <c r="L68" t="s">
        <v>305</v>
      </c>
      <c r="M68">
        <v>22</v>
      </c>
      <c r="T68">
        <v>178.87</v>
      </c>
      <c r="Z68">
        <v>0</v>
      </c>
      <c r="AA68">
        <v>0</v>
      </c>
      <c r="AB68">
        <v>18062</v>
      </c>
      <c r="AC68">
        <v>4143.18</v>
      </c>
      <c r="AF68">
        <v>0</v>
      </c>
      <c r="AG68">
        <v>0</v>
      </c>
      <c r="AH68">
        <v>0</v>
      </c>
      <c r="AI68">
        <v>0</v>
      </c>
      <c r="AJ68" s="3">
        <f t="shared" si="1"/>
        <v>1.9900000000000002</v>
      </c>
      <c r="AK68">
        <v>0</v>
      </c>
      <c r="AM68">
        <v>0</v>
      </c>
      <c r="AN68">
        <v>0</v>
      </c>
      <c r="AS68" t="s">
        <v>372</v>
      </c>
      <c r="AY68" t="s">
        <v>373</v>
      </c>
      <c r="BJ68">
        <v>0</v>
      </c>
      <c r="BO68" t="s">
        <v>108</v>
      </c>
      <c r="BR68" t="s">
        <v>126</v>
      </c>
    </row>
    <row r="69" spans="1:70" x14ac:dyDescent="0.25">
      <c r="A69" t="s">
        <v>139</v>
      </c>
      <c r="B69">
        <v>2</v>
      </c>
      <c r="C69" t="s">
        <v>366</v>
      </c>
      <c r="D69" t="s">
        <v>399</v>
      </c>
      <c r="E69" t="s">
        <v>401</v>
      </c>
      <c r="F69" t="s">
        <v>306</v>
      </c>
      <c r="G69" t="s">
        <v>307</v>
      </c>
      <c r="H69" t="s">
        <v>307</v>
      </c>
      <c r="I69" t="s">
        <v>307</v>
      </c>
      <c r="J69" t="s">
        <v>371</v>
      </c>
      <c r="K69">
        <v>2779</v>
      </c>
      <c r="L69" t="s">
        <v>305</v>
      </c>
      <c r="M69">
        <v>34</v>
      </c>
      <c r="T69">
        <v>238.76499999999999</v>
      </c>
      <c r="Z69">
        <v>0</v>
      </c>
      <c r="AA69">
        <v>0</v>
      </c>
      <c r="AB69">
        <v>18062</v>
      </c>
      <c r="AC69">
        <v>5558</v>
      </c>
      <c r="AF69">
        <v>0</v>
      </c>
      <c r="AG69">
        <v>0</v>
      </c>
      <c r="AH69">
        <v>0</v>
      </c>
      <c r="AI69">
        <v>0</v>
      </c>
      <c r="AJ69" s="3">
        <f t="shared" si="1"/>
        <v>2</v>
      </c>
      <c r="AK69">
        <v>0</v>
      </c>
      <c r="AM69">
        <v>0</v>
      </c>
      <c r="AN69">
        <v>0</v>
      </c>
      <c r="AS69" t="s">
        <v>372</v>
      </c>
      <c r="AY69" t="s">
        <v>373</v>
      </c>
      <c r="BJ69">
        <v>0</v>
      </c>
      <c r="BO69" t="s">
        <v>108</v>
      </c>
      <c r="BR69" t="s">
        <v>126</v>
      </c>
    </row>
    <row r="70" spans="1:70" x14ac:dyDescent="0.25">
      <c r="A70" t="s">
        <v>141</v>
      </c>
      <c r="B70">
        <v>2</v>
      </c>
      <c r="C70" t="s">
        <v>366</v>
      </c>
      <c r="D70" t="s">
        <v>402</v>
      </c>
      <c r="E70" t="s">
        <v>403</v>
      </c>
      <c r="F70" t="s">
        <v>306</v>
      </c>
      <c r="G70" t="s">
        <v>307</v>
      </c>
      <c r="H70" t="s">
        <v>307</v>
      </c>
      <c r="I70" t="s">
        <v>307</v>
      </c>
      <c r="J70" t="s">
        <v>371</v>
      </c>
      <c r="K70">
        <v>9240</v>
      </c>
      <c r="L70" t="s">
        <v>305</v>
      </c>
      <c r="M70">
        <v>90</v>
      </c>
      <c r="T70">
        <v>771.495</v>
      </c>
      <c r="Z70">
        <v>0</v>
      </c>
      <c r="AA70">
        <v>0</v>
      </c>
      <c r="AB70">
        <v>18062</v>
      </c>
      <c r="AC70">
        <v>18942</v>
      </c>
      <c r="AF70">
        <v>0</v>
      </c>
      <c r="AG70">
        <v>0</v>
      </c>
      <c r="AH70">
        <v>0</v>
      </c>
      <c r="AI70">
        <v>0</v>
      </c>
      <c r="AJ70" s="3">
        <f t="shared" si="1"/>
        <v>2.0499999999999998</v>
      </c>
      <c r="AK70">
        <v>0</v>
      </c>
      <c r="AM70">
        <v>0</v>
      </c>
      <c r="AN70">
        <v>0</v>
      </c>
      <c r="AS70" t="s">
        <v>372</v>
      </c>
      <c r="AY70" t="s">
        <v>373</v>
      </c>
      <c r="BJ70">
        <v>0</v>
      </c>
      <c r="BO70" t="s">
        <v>108</v>
      </c>
      <c r="BR70" t="s">
        <v>126</v>
      </c>
    </row>
    <row r="71" spans="1:70" x14ac:dyDescent="0.25">
      <c r="A71" t="s">
        <v>141</v>
      </c>
      <c r="B71">
        <v>1</v>
      </c>
      <c r="C71" t="s">
        <v>366</v>
      </c>
      <c r="D71" t="s">
        <v>402</v>
      </c>
      <c r="E71" t="s">
        <v>404</v>
      </c>
      <c r="F71" t="s">
        <v>306</v>
      </c>
      <c r="G71" t="s">
        <v>307</v>
      </c>
      <c r="H71" t="s">
        <v>307</v>
      </c>
      <c r="I71" t="s">
        <v>307</v>
      </c>
      <c r="J71" t="s">
        <v>371</v>
      </c>
      <c r="K71">
        <v>5237</v>
      </c>
      <c r="L71" t="s">
        <v>305</v>
      </c>
      <c r="M71">
        <v>52</v>
      </c>
      <c r="T71">
        <v>437.80500000000001</v>
      </c>
      <c r="Z71">
        <v>0</v>
      </c>
      <c r="AA71">
        <v>0</v>
      </c>
      <c r="AB71">
        <v>18062</v>
      </c>
      <c r="AC71">
        <v>10683.48</v>
      </c>
      <c r="AF71">
        <v>0</v>
      </c>
      <c r="AG71">
        <v>0</v>
      </c>
      <c r="AH71">
        <v>0</v>
      </c>
      <c r="AI71">
        <v>0</v>
      </c>
      <c r="AJ71" s="3">
        <f t="shared" si="1"/>
        <v>2.04</v>
      </c>
      <c r="AK71">
        <v>0</v>
      </c>
      <c r="AM71">
        <v>0</v>
      </c>
      <c r="AN71">
        <v>0</v>
      </c>
      <c r="AS71" t="s">
        <v>372</v>
      </c>
      <c r="AY71" t="s">
        <v>373</v>
      </c>
      <c r="BJ71">
        <v>0</v>
      </c>
      <c r="BO71" t="s">
        <v>108</v>
      </c>
      <c r="BR71" t="s">
        <v>126</v>
      </c>
    </row>
    <row r="72" spans="1:70" x14ac:dyDescent="0.25">
      <c r="A72" t="s">
        <v>143</v>
      </c>
      <c r="B72">
        <v>1</v>
      </c>
      <c r="C72" t="s">
        <v>405</v>
      </c>
      <c r="D72" t="s">
        <v>307</v>
      </c>
      <c r="E72" t="s">
        <v>406</v>
      </c>
      <c r="F72" t="s">
        <v>307</v>
      </c>
      <c r="G72" t="s">
        <v>307</v>
      </c>
      <c r="H72" t="s">
        <v>307</v>
      </c>
      <c r="I72" t="s">
        <v>307</v>
      </c>
      <c r="J72" t="s">
        <v>407</v>
      </c>
      <c r="K72">
        <v>74.8</v>
      </c>
      <c r="L72" t="s">
        <v>308</v>
      </c>
      <c r="M72">
        <v>1</v>
      </c>
      <c r="T72">
        <v>17.2</v>
      </c>
      <c r="Z72">
        <v>0</v>
      </c>
      <c r="AA72">
        <v>0</v>
      </c>
      <c r="AB72">
        <v>18062</v>
      </c>
      <c r="AC72">
        <v>103.6</v>
      </c>
      <c r="AF72">
        <v>0</v>
      </c>
      <c r="AG72">
        <v>0</v>
      </c>
      <c r="AH72">
        <v>0</v>
      </c>
      <c r="AI72">
        <v>0</v>
      </c>
      <c r="AJ72" s="4">
        <f t="shared" si="1"/>
        <v>1.3850267379679144</v>
      </c>
      <c r="AK72">
        <v>0</v>
      </c>
      <c r="AM72">
        <v>0</v>
      </c>
      <c r="AN72">
        <v>0</v>
      </c>
      <c r="AS72" t="s">
        <v>372</v>
      </c>
      <c r="AY72" t="s">
        <v>373</v>
      </c>
      <c r="BJ72">
        <v>0</v>
      </c>
      <c r="BO72" t="s">
        <v>145</v>
      </c>
      <c r="BR72" t="s">
        <v>126</v>
      </c>
    </row>
    <row r="73" spans="1:70" x14ac:dyDescent="0.25">
      <c r="A73" t="s">
        <v>151</v>
      </c>
      <c r="B73">
        <v>1</v>
      </c>
      <c r="C73" t="s">
        <v>366</v>
      </c>
      <c r="D73" t="s">
        <v>408</v>
      </c>
      <c r="E73" t="s">
        <v>409</v>
      </c>
      <c r="F73" t="s">
        <v>306</v>
      </c>
      <c r="G73" t="s">
        <v>307</v>
      </c>
      <c r="H73" t="s">
        <v>307</v>
      </c>
      <c r="I73" t="s">
        <v>307</v>
      </c>
      <c r="J73" t="s">
        <v>371</v>
      </c>
      <c r="K73">
        <v>1777</v>
      </c>
      <c r="L73" t="s">
        <v>305</v>
      </c>
      <c r="M73">
        <v>24</v>
      </c>
      <c r="T73">
        <v>152.36000000000001</v>
      </c>
      <c r="Z73">
        <v>0</v>
      </c>
      <c r="AA73">
        <v>0</v>
      </c>
      <c r="AB73">
        <v>18062</v>
      </c>
      <c r="AC73">
        <v>3482.92</v>
      </c>
      <c r="AF73">
        <v>0</v>
      </c>
      <c r="AG73">
        <v>0</v>
      </c>
      <c r="AH73">
        <v>0</v>
      </c>
      <c r="AI73">
        <v>0</v>
      </c>
      <c r="AJ73" s="3">
        <f t="shared" si="1"/>
        <v>1.96</v>
      </c>
      <c r="AK73">
        <v>0</v>
      </c>
      <c r="AM73">
        <v>0</v>
      </c>
      <c r="AN73">
        <v>0</v>
      </c>
      <c r="AS73" t="s">
        <v>372</v>
      </c>
      <c r="AY73" t="s">
        <v>373</v>
      </c>
      <c r="BJ73">
        <v>0</v>
      </c>
      <c r="BO73" t="s">
        <v>108</v>
      </c>
      <c r="BR73" t="s">
        <v>126</v>
      </c>
    </row>
    <row r="74" spans="1:70" x14ac:dyDescent="0.25">
      <c r="A74" t="s">
        <v>153</v>
      </c>
      <c r="B74">
        <v>4</v>
      </c>
      <c r="C74" t="s">
        <v>366</v>
      </c>
      <c r="D74" t="s">
        <v>379</v>
      </c>
      <c r="E74" t="s">
        <v>410</v>
      </c>
      <c r="F74" t="s">
        <v>306</v>
      </c>
      <c r="G74" t="s">
        <v>369</v>
      </c>
      <c r="H74" t="s">
        <v>376</v>
      </c>
      <c r="I74" t="s">
        <v>307</v>
      </c>
      <c r="J74" t="s">
        <v>371</v>
      </c>
      <c r="K74">
        <v>141</v>
      </c>
      <c r="L74" t="s">
        <v>305</v>
      </c>
      <c r="M74">
        <v>2</v>
      </c>
      <c r="T74">
        <v>10.08</v>
      </c>
      <c r="AA74">
        <v>0</v>
      </c>
      <c r="AB74">
        <v>0</v>
      </c>
      <c r="AC74">
        <v>265.08</v>
      </c>
      <c r="AI74">
        <v>0</v>
      </c>
      <c r="AJ74" s="3">
        <f t="shared" si="1"/>
        <v>1.88</v>
      </c>
      <c r="AK74">
        <v>0.81</v>
      </c>
      <c r="AL74">
        <v>0</v>
      </c>
      <c r="AS74" t="s">
        <v>372</v>
      </c>
      <c r="AY74" t="s">
        <v>373</v>
      </c>
      <c r="BO74" t="s">
        <v>108</v>
      </c>
    </row>
    <row r="75" spans="1:70" x14ac:dyDescent="0.25">
      <c r="A75" t="s">
        <v>153</v>
      </c>
      <c r="B75">
        <v>5</v>
      </c>
      <c r="C75" t="s">
        <v>366</v>
      </c>
      <c r="D75" t="s">
        <v>379</v>
      </c>
      <c r="E75" t="s">
        <v>411</v>
      </c>
      <c r="F75" t="s">
        <v>306</v>
      </c>
      <c r="G75" t="s">
        <v>369</v>
      </c>
      <c r="H75" t="s">
        <v>381</v>
      </c>
      <c r="I75" t="s">
        <v>307</v>
      </c>
      <c r="J75" t="s">
        <v>371</v>
      </c>
      <c r="K75">
        <v>53</v>
      </c>
      <c r="L75" t="s">
        <v>305</v>
      </c>
      <c r="M75">
        <v>1</v>
      </c>
      <c r="T75">
        <v>3.15</v>
      </c>
      <c r="AA75">
        <v>0</v>
      </c>
      <c r="AB75">
        <v>0</v>
      </c>
      <c r="AC75">
        <v>99.64</v>
      </c>
      <c r="AI75">
        <v>0</v>
      </c>
      <c r="AJ75" s="3">
        <f t="shared" si="1"/>
        <v>1.8800000000000001</v>
      </c>
      <c r="AK75">
        <v>0.81</v>
      </c>
      <c r="AL75">
        <v>0</v>
      </c>
      <c r="AS75" t="s">
        <v>372</v>
      </c>
      <c r="AY75" t="s">
        <v>373</v>
      </c>
      <c r="BO75" t="s">
        <v>108</v>
      </c>
    </row>
    <row r="76" spans="1:70" x14ac:dyDescent="0.25">
      <c r="A76" t="s">
        <v>153</v>
      </c>
      <c r="B76">
        <v>6</v>
      </c>
      <c r="C76" t="s">
        <v>366</v>
      </c>
      <c r="D76" t="s">
        <v>379</v>
      </c>
      <c r="E76" t="s">
        <v>410</v>
      </c>
      <c r="F76" t="s">
        <v>306</v>
      </c>
      <c r="G76" t="s">
        <v>369</v>
      </c>
      <c r="H76" t="s">
        <v>382</v>
      </c>
      <c r="I76" t="s">
        <v>307</v>
      </c>
      <c r="J76" t="s">
        <v>371</v>
      </c>
      <c r="K76">
        <v>15</v>
      </c>
      <c r="L76" t="s">
        <v>305</v>
      </c>
      <c r="M76">
        <v>0</v>
      </c>
      <c r="T76">
        <v>0</v>
      </c>
      <c r="AA76">
        <v>0</v>
      </c>
      <c r="AB76">
        <v>0</v>
      </c>
      <c r="AC76">
        <v>28.2</v>
      </c>
      <c r="AI76">
        <v>0</v>
      </c>
      <c r="AJ76" s="3">
        <f t="shared" si="1"/>
        <v>1.88</v>
      </c>
      <c r="AK76">
        <v>0.81</v>
      </c>
      <c r="AL76">
        <v>0</v>
      </c>
      <c r="AS76" t="s">
        <v>372</v>
      </c>
      <c r="AY76" t="s">
        <v>373</v>
      </c>
      <c r="BO76" t="s">
        <v>108</v>
      </c>
    </row>
    <row r="77" spans="1:70" x14ac:dyDescent="0.25">
      <c r="A77" t="s">
        <v>153</v>
      </c>
      <c r="B77">
        <v>1</v>
      </c>
      <c r="C77" t="s">
        <v>366</v>
      </c>
      <c r="D77" t="s">
        <v>379</v>
      </c>
      <c r="E77" t="s">
        <v>410</v>
      </c>
      <c r="F77" t="s">
        <v>306</v>
      </c>
      <c r="G77" t="s">
        <v>369</v>
      </c>
      <c r="H77" t="s">
        <v>374</v>
      </c>
      <c r="I77" t="s">
        <v>307</v>
      </c>
      <c r="J77" t="s">
        <v>371</v>
      </c>
      <c r="K77">
        <v>246</v>
      </c>
      <c r="L77" t="s">
        <v>305</v>
      </c>
      <c r="M77">
        <v>2</v>
      </c>
      <c r="T77">
        <v>15.47</v>
      </c>
      <c r="AA77">
        <v>0</v>
      </c>
      <c r="AB77">
        <v>0</v>
      </c>
      <c r="AC77">
        <v>462.48</v>
      </c>
      <c r="AI77">
        <v>0</v>
      </c>
      <c r="AJ77" s="3">
        <f t="shared" si="1"/>
        <v>1.8800000000000001</v>
      </c>
      <c r="AK77">
        <v>0.81</v>
      </c>
      <c r="AL77">
        <v>0</v>
      </c>
      <c r="AS77" t="s">
        <v>372</v>
      </c>
      <c r="AY77" t="s">
        <v>373</v>
      </c>
      <c r="BO77" t="s">
        <v>108</v>
      </c>
    </row>
    <row r="78" spans="1:70" x14ac:dyDescent="0.25">
      <c r="A78" t="s">
        <v>153</v>
      </c>
      <c r="B78">
        <v>2</v>
      </c>
      <c r="C78" t="s">
        <v>366</v>
      </c>
      <c r="D78" t="s">
        <v>379</v>
      </c>
      <c r="E78" t="s">
        <v>410</v>
      </c>
      <c r="F78" t="s">
        <v>306</v>
      </c>
      <c r="G78" t="s">
        <v>369</v>
      </c>
      <c r="H78" t="s">
        <v>375</v>
      </c>
      <c r="I78" t="s">
        <v>307</v>
      </c>
      <c r="J78" t="s">
        <v>371</v>
      </c>
      <c r="K78">
        <v>251</v>
      </c>
      <c r="L78" t="s">
        <v>305</v>
      </c>
      <c r="M78">
        <v>2</v>
      </c>
      <c r="T78">
        <v>17.100000000000001</v>
      </c>
      <c r="AA78">
        <v>0</v>
      </c>
      <c r="AB78">
        <v>0</v>
      </c>
      <c r="AC78">
        <v>471.88</v>
      </c>
      <c r="AI78">
        <v>0</v>
      </c>
      <c r="AJ78" s="3">
        <f t="shared" si="1"/>
        <v>1.88</v>
      </c>
      <c r="AK78">
        <v>0.81</v>
      </c>
      <c r="AL78">
        <v>0</v>
      </c>
      <c r="AS78" t="s">
        <v>372</v>
      </c>
      <c r="AY78" t="s">
        <v>373</v>
      </c>
      <c r="BO78" t="s">
        <v>108</v>
      </c>
    </row>
    <row r="79" spans="1:70" x14ac:dyDescent="0.25">
      <c r="A79" t="s">
        <v>153</v>
      </c>
      <c r="B79">
        <v>3</v>
      </c>
      <c r="C79" t="s">
        <v>366</v>
      </c>
      <c r="D79" t="s">
        <v>379</v>
      </c>
      <c r="E79" t="s">
        <v>410</v>
      </c>
      <c r="F79" t="s">
        <v>306</v>
      </c>
      <c r="G79" t="s">
        <v>369</v>
      </c>
      <c r="H79" t="s">
        <v>370</v>
      </c>
      <c r="I79" t="s">
        <v>307</v>
      </c>
      <c r="J79" t="s">
        <v>371</v>
      </c>
      <c r="K79">
        <v>224</v>
      </c>
      <c r="L79" t="s">
        <v>305</v>
      </c>
      <c r="M79">
        <v>2</v>
      </c>
      <c r="T79">
        <v>26.75</v>
      </c>
      <c r="AA79">
        <v>0</v>
      </c>
      <c r="AB79">
        <v>0</v>
      </c>
      <c r="AC79">
        <v>421.12</v>
      </c>
      <c r="AI79">
        <v>0</v>
      </c>
      <c r="AJ79" s="3">
        <f t="shared" si="1"/>
        <v>1.8800000000000001</v>
      </c>
      <c r="AK79">
        <v>0.81</v>
      </c>
      <c r="AL79">
        <v>0</v>
      </c>
      <c r="AS79" t="s">
        <v>372</v>
      </c>
      <c r="AY79" t="s">
        <v>373</v>
      </c>
      <c r="BO79" t="s">
        <v>108</v>
      </c>
    </row>
    <row r="80" spans="1:70" x14ac:dyDescent="0.25">
      <c r="A80" t="s">
        <v>153</v>
      </c>
      <c r="B80">
        <v>7</v>
      </c>
      <c r="C80" t="s">
        <v>366</v>
      </c>
      <c r="D80" t="s">
        <v>379</v>
      </c>
      <c r="E80" t="s">
        <v>410</v>
      </c>
      <c r="F80" t="s">
        <v>306</v>
      </c>
      <c r="G80" t="s">
        <v>369</v>
      </c>
      <c r="H80" t="s">
        <v>383</v>
      </c>
      <c r="I80" t="s">
        <v>307</v>
      </c>
      <c r="J80" t="s">
        <v>371</v>
      </c>
      <c r="K80">
        <v>25</v>
      </c>
      <c r="L80" t="s">
        <v>305</v>
      </c>
      <c r="M80">
        <v>0</v>
      </c>
      <c r="T80">
        <v>0</v>
      </c>
      <c r="AA80">
        <v>0</v>
      </c>
      <c r="AB80">
        <v>0</v>
      </c>
      <c r="AC80">
        <v>47</v>
      </c>
      <c r="AI80">
        <v>0</v>
      </c>
      <c r="AJ80" s="3">
        <f t="shared" si="1"/>
        <v>1.88</v>
      </c>
      <c r="AK80">
        <v>0.81</v>
      </c>
      <c r="AL80">
        <v>0</v>
      </c>
      <c r="AS80" t="s">
        <v>372</v>
      </c>
      <c r="AY80" t="s">
        <v>373</v>
      </c>
      <c r="BO80" t="s">
        <v>108</v>
      </c>
    </row>
    <row r="81" spans="1:70" x14ac:dyDescent="0.25">
      <c r="A81" t="s">
        <v>153</v>
      </c>
      <c r="B81">
        <v>8</v>
      </c>
      <c r="C81" t="s">
        <v>366</v>
      </c>
      <c r="D81" t="s">
        <v>379</v>
      </c>
      <c r="E81" t="s">
        <v>410</v>
      </c>
      <c r="F81" t="s">
        <v>306</v>
      </c>
      <c r="G81" t="s">
        <v>369</v>
      </c>
      <c r="H81" t="s">
        <v>377</v>
      </c>
      <c r="I81" t="s">
        <v>307</v>
      </c>
      <c r="J81" t="s">
        <v>371</v>
      </c>
      <c r="K81">
        <v>66</v>
      </c>
      <c r="L81" t="s">
        <v>305</v>
      </c>
      <c r="M81">
        <v>1</v>
      </c>
      <c r="T81">
        <v>3.63</v>
      </c>
      <c r="AA81">
        <v>0</v>
      </c>
      <c r="AB81">
        <v>0</v>
      </c>
      <c r="AC81">
        <v>124.08</v>
      </c>
      <c r="AI81">
        <v>0</v>
      </c>
      <c r="AJ81" s="3">
        <f t="shared" si="1"/>
        <v>1.88</v>
      </c>
      <c r="AK81">
        <v>0.81</v>
      </c>
      <c r="AL81">
        <v>0</v>
      </c>
      <c r="AS81" t="s">
        <v>372</v>
      </c>
      <c r="AY81" t="s">
        <v>373</v>
      </c>
      <c r="BO81" t="s">
        <v>108</v>
      </c>
    </row>
    <row r="82" spans="1:70" x14ac:dyDescent="0.25">
      <c r="A82" t="s">
        <v>153</v>
      </c>
      <c r="B82">
        <v>9</v>
      </c>
      <c r="C82" t="s">
        <v>366</v>
      </c>
      <c r="D82" t="s">
        <v>379</v>
      </c>
      <c r="E82" t="s">
        <v>410</v>
      </c>
      <c r="F82" t="s">
        <v>306</v>
      </c>
      <c r="G82" t="s">
        <v>369</v>
      </c>
      <c r="H82" t="s">
        <v>384</v>
      </c>
      <c r="I82" t="s">
        <v>307</v>
      </c>
      <c r="J82" t="s">
        <v>371</v>
      </c>
      <c r="K82">
        <v>31</v>
      </c>
      <c r="L82" t="s">
        <v>305</v>
      </c>
      <c r="M82">
        <v>0</v>
      </c>
      <c r="T82">
        <v>0</v>
      </c>
      <c r="AA82">
        <v>0</v>
      </c>
      <c r="AB82">
        <v>0</v>
      </c>
      <c r="AC82">
        <v>58.28</v>
      </c>
      <c r="AI82">
        <v>0</v>
      </c>
      <c r="AJ82" s="3">
        <f t="shared" si="1"/>
        <v>1.8800000000000001</v>
      </c>
      <c r="AK82">
        <v>0.81</v>
      </c>
      <c r="AL82">
        <v>0</v>
      </c>
      <c r="AS82" t="s">
        <v>372</v>
      </c>
      <c r="AY82" t="s">
        <v>373</v>
      </c>
      <c r="BO82" t="s">
        <v>108</v>
      </c>
    </row>
    <row r="83" spans="1:70" x14ac:dyDescent="0.25">
      <c r="A83" t="s">
        <v>155</v>
      </c>
      <c r="B83">
        <v>1</v>
      </c>
      <c r="C83" t="s">
        <v>412</v>
      </c>
      <c r="D83" t="s">
        <v>413</v>
      </c>
      <c r="E83" t="s">
        <v>414</v>
      </c>
      <c r="F83" t="s">
        <v>415</v>
      </c>
      <c r="G83" t="s">
        <v>416</v>
      </c>
      <c r="H83" t="s">
        <v>417</v>
      </c>
      <c r="I83" t="s">
        <v>307</v>
      </c>
      <c r="J83" t="s">
        <v>371</v>
      </c>
      <c r="K83">
        <v>17</v>
      </c>
      <c r="L83" t="s">
        <v>308</v>
      </c>
      <c r="M83">
        <v>1</v>
      </c>
      <c r="T83">
        <v>5.0999999999999996</v>
      </c>
      <c r="Z83">
        <v>0</v>
      </c>
      <c r="AA83">
        <v>0</v>
      </c>
      <c r="AB83">
        <v>18062</v>
      </c>
      <c r="AC83">
        <v>170</v>
      </c>
      <c r="AF83">
        <v>0</v>
      </c>
      <c r="AG83">
        <v>0</v>
      </c>
      <c r="AI83">
        <v>0</v>
      </c>
      <c r="AJ83" s="3">
        <f t="shared" si="1"/>
        <v>10</v>
      </c>
      <c r="AK83">
        <v>0</v>
      </c>
      <c r="AL83">
        <v>0</v>
      </c>
      <c r="AM83">
        <v>0</v>
      </c>
      <c r="AN83">
        <v>0</v>
      </c>
      <c r="AS83" t="s">
        <v>372</v>
      </c>
      <c r="AY83" t="s">
        <v>373</v>
      </c>
      <c r="BJ83">
        <v>0</v>
      </c>
      <c r="BO83" t="s">
        <v>108</v>
      </c>
      <c r="BR83" t="s">
        <v>126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313</v>
      </c>
      <c r="C1" s="1" t="s">
        <v>418</v>
      </c>
      <c r="D1" s="1" t="s">
        <v>419</v>
      </c>
      <c r="E1" s="1" t="s">
        <v>420</v>
      </c>
      <c r="F1" s="1" t="s">
        <v>218</v>
      </c>
      <c r="G1" s="1" t="s">
        <v>421</v>
      </c>
      <c r="H1" s="1" t="s">
        <v>422</v>
      </c>
      <c r="I1" s="1" t="s">
        <v>423</v>
      </c>
      <c r="J1" s="1" t="s">
        <v>424</v>
      </c>
      <c r="K1" s="1" t="s">
        <v>320</v>
      </c>
      <c r="L1" s="1" t="s">
        <v>321</v>
      </c>
      <c r="M1" s="1" t="s">
        <v>425</v>
      </c>
      <c r="N1" s="1" t="s">
        <v>426</v>
      </c>
      <c r="O1" s="1" t="s">
        <v>427</v>
      </c>
      <c r="P1" s="1" t="s">
        <v>357</v>
      </c>
      <c r="Q1" s="1" t="s">
        <v>428</v>
      </c>
      <c r="R1" s="1" t="s">
        <v>301</v>
      </c>
      <c r="S1" s="1" t="s">
        <v>302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313</v>
      </c>
      <c r="C1" s="1" t="s">
        <v>429</v>
      </c>
      <c r="D1" s="1" t="s">
        <v>351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313</v>
      </c>
      <c r="C1" s="1" t="s">
        <v>430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313</v>
      </c>
      <c r="C1" s="1" t="s">
        <v>431</v>
      </c>
      <c r="D1" s="1" t="s">
        <v>316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313</v>
      </c>
      <c r="C1" s="1" t="s">
        <v>432</v>
      </c>
      <c r="D1" s="1" t="s">
        <v>61</v>
      </c>
      <c r="E1" s="1" t="s">
        <v>66</v>
      </c>
      <c r="F1" s="1" t="s">
        <v>67</v>
      </c>
      <c r="G1" s="1" t="s">
        <v>433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O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6" max="6" width="12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15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313</v>
      </c>
      <c r="C1" s="1" t="s">
        <v>434</v>
      </c>
      <c r="D1" s="1" t="s">
        <v>435</v>
      </c>
      <c r="E1" s="1" t="s">
        <v>314</v>
      </c>
      <c r="F1" s="1" t="s">
        <v>315</v>
      </c>
      <c r="G1" s="1" t="s">
        <v>316</v>
      </c>
      <c r="H1" s="1" t="s">
        <v>303</v>
      </c>
      <c r="I1" s="1" t="s">
        <v>317</v>
      </c>
      <c r="J1" s="1" t="s">
        <v>318</v>
      </c>
      <c r="K1" s="1" t="s">
        <v>319</v>
      </c>
      <c r="L1" s="1" t="s">
        <v>320</v>
      </c>
      <c r="M1" s="1" t="s">
        <v>321</v>
      </c>
      <c r="N1" s="1" t="s">
        <v>301</v>
      </c>
      <c r="O1" s="1" t="s">
        <v>302</v>
      </c>
      <c r="P1" s="1" t="s">
        <v>322</v>
      </c>
      <c r="Q1" s="1" t="s">
        <v>323</v>
      </c>
      <c r="R1" s="1" t="s">
        <v>324</v>
      </c>
      <c r="S1" s="1" t="s">
        <v>325</v>
      </c>
      <c r="T1" s="1" t="s">
        <v>326</v>
      </c>
      <c r="U1" s="1" t="s">
        <v>327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331</v>
      </c>
      <c r="AA1" s="1" t="s">
        <v>71</v>
      </c>
      <c r="AB1" s="1" t="s">
        <v>334</v>
      </c>
      <c r="AC1" s="1" t="s">
        <v>335</v>
      </c>
      <c r="AD1" s="1" t="s">
        <v>74</v>
      </c>
      <c r="AE1" s="1" t="s">
        <v>351</v>
      </c>
      <c r="AF1" s="1" t="s">
        <v>436</v>
      </c>
      <c r="AG1" s="1" t="s">
        <v>354</v>
      </c>
      <c r="AH1" s="1" t="s">
        <v>355</v>
      </c>
      <c r="AI1" s="1" t="s">
        <v>356</v>
      </c>
      <c r="AJ1" s="1" t="s">
        <v>357</v>
      </c>
      <c r="AK1" s="1" t="s">
        <v>358</v>
      </c>
      <c r="AL1" s="1" t="s">
        <v>359</v>
      </c>
      <c r="AM1" s="1" t="s">
        <v>360</v>
      </c>
      <c r="AN1" s="1" t="s">
        <v>361</v>
      </c>
      <c r="AO1" s="1" t="s">
        <v>362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Y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313</v>
      </c>
      <c r="C1" s="1" t="s">
        <v>434</v>
      </c>
      <c r="D1" s="1" t="s">
        <v>435</v>
      </c>
      <c r="E1" s="1" t="s">
        <v>418</v>
      </c>
      <c r="F1" s="1" t="s">
        <v>419</v>
      </c>
      <c r="G1" s="1" t="s">
        <v>420</v>
      </c>
      <c r="H1" s="1" t="s">
        <v>218</v>
      </c>
      <c r="I1" s="1" t="s">
        <v>421</v>
      </c>
      <c r="J1" s="1" t="s">
        <v>422</v>
      </c>
      <c r="K1" s="1" t="s">
        <v>423</v>
      </c>
      <c r="L1" s="1" t="s">
        <v>424</v>
      </c>
      <c r="M1" s="1" t="s">
        <v>320</v>
      </c>
      <c r="N1" s="1" t="s">
        <v>321</v>
      </c>
      <c r="O1" s="1" t="s">
        <v>425</v>
      </c>
      <c r="P1" s="1" t="s">
        <v>426</v>
      </c>
      <c r="Q1" s="1" t="s">
        <v>427</v>
      </c>
      <c r="R1" s="1" t="s">
        <v>357</v>
      </c>
      <c r="S1" s="1" t="s">
        <v>428</v>
      </c>
      <c r="T1" s="1" t="s">
        <v>301</v>
      </c>
      <c r="U1" s="1" t="s">
        <v>427</v>
      </c>
      <c r="V1" s="1" t="s">
        <v>357</v>
      </c>
      <c r="W1" s="1" t="s">
        <v>428</v>
      </c>
      <c r="X1" s="1" t="s">
        <v>301</v>
      </c>
      <c r="Y1" s="1" t="s">
        <v>302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313</v>
      </c>
      <c r="C1" s="1" t="s">
        <v>434</v>
      </c>
      <c r="D1" s="1" t="s">
        <v>437</v>
      </c>
      <c r="E1" s="1" t="s">
        <v>429</v>
      </c>
      <c r="F1" s="1" t="s">
        <v>351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1"/>
  <sheetViews>
    <sheetView workbookViewId="0"/>
  </sheetViews>
  <sheetFormatPr defaultRowHeight="15" x14ac:dyDescent="0.25"/>
  <cols>
    <col min="1" max="1" width="10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159</v>
      </c>
      <c r="C1" s="1" t="s">
        <v>160</v>
      </c>
      <c r="D1" s="1" t="s">
        <v>161</v>
      </c>
      <c r="E1" s="1" t="s">
        <v>162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438</v>
      </c>
      <c r="D1" s="1" t="s">
        <v>439</v>
      </c>
      <c r="E1" s="1" t="s">
        <v>440</v>
      </c>
      <c r="F1" s="1" t="s">
        <v>441</v>
      </c>
      <c r="G1" s="1" t="s">
        <v>442</v>
      </c>
      <c r="H1" s="1" t="s">
        <v>443</v>
      </c>
      <c r="I1" s="1" t="s">
        <v>444</v>
      </c>
      <c r="J1" s="1" t="s">
        <v>445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14"/>
  <sheetViews>
    <sheetView workbookViewId="0"/>
  </sheetViews>
  <sheetFormatPr defaultRowHeight="15" x14ac:dyDescent="0.25"/>
  <cols>
    <col min="1" max="1" width="27.42578125" bestFit="1" customWidth="1"/>
    <col min="4" max="4" width="18.42578125" bestFit="1" customWidth="1"/>
  </cols>
  <sheetData>
    <row r="1" spans="1:4" ht="15.75" x14ac:dyDescent="0.25">
      <c r="A1" s="1" t="s">
        <v>0</v>
      </c>
      <c r="B1" s="1" t="s">
        <v>163</v>
      </c>
      <c r="C1" s="1" t="s">
        <v>431</v>
      </c>
      <c r="D1" s="1" t="s">
        <v>446</v>
      </c>
    </row>
    <row r="2" spans="1:4" x14ac:dyDescent="0.25">
      <c r="A2" t="s">
        <v>104</v>
      </c>
      <c r="B2">
        <v>1</v>
      </c>
      <c r="C2" t="s">
        <v>146</v>
      </c>
      <c r="D2" t="s">
        <v>447</v>
      </c>
    </row>
    <row r="3" spans="1:4" x14ac:dyDescent="0.25">
      <c r="A3" t="s">
        <v>127</v>
      </c>
      <c r="B3">
        <v>1</v>
      </c>
      <c r="C3" t="s">
        <v>146</v>
      </c>
      <c r="D3" t="s">
        <v>447</v>
      </c>
    </row>
    <row r="4" spans="1:4" x14ac:dyDescent="0.25">
      <c r="A4" t="s">
        <v>129</v>
      </c>
      <c r="B4">
        <v>1</v>
      </c>
      <c r="C4" t="s">
        <v>146</v>
      </c>
      <c r="D4" t="s">
        <v>447</v>
      </c>
    </row>
    <row r="5" spans="1:4" x14ac:dyDescent="0.25">
      <c r="A5" t="s">
        <v>131</v>
      </c>
      <c r="B5">
        <v>1</v>
      </c>
      <c r="C5" t="s">
        <v>146</v>
      </c>
      <c r="D5" t="s">
        <v>448</v>
      </c>
    </row>
    <row r="6" spans="1:4" x14ac:dyDescent="0.25">
      <c r="A6" t="s">
        <v>133</v>
      </c>
      <c r="B6">
        <v>1</v>
      </c>
      <c r="C6" t="s">
        <v>146</v>
      </c>
      <c r="D6" t="s">
        <v>447</v>
      </c>
    </row>
    <row r="7" spans="1:4" x14ac:dyDescent="0.25">
      <c r="A7" t="s">
        <v>135</v>
      </c>
      <c r="B7">
        <v>1</v>
      </c>
      <c r="C7" t="s">
        <v>146</v>
      </c>
      <c r="D7" t="s">
        <v>447</v>
      </c>
    </row>
    <row r="8" spans="1:4" x14ac:dyDescent="0.25">
      <c r="A8" t="s">
        <v>137</v>
      </c>
      <c r="B8">
        <v>1</v>
      </c>
      <c r="C8" t="s">
        <v>146</v>
      </c>
      <c r="D8" t="s">
        <v>447</v>
      </c>
    </row>
    <row r="9" spans="1:4" x14ac:dyDescent="0.25">
      <c r="A9" t="s">
        <v>139</v>
      </c>
      <c r="B9">
        <v>1</v>
      </c>
      <c r="C9" t="s">
        <v>146</v>
      </c>
      <c r="D9" t="s">
        <v>448</v>
      </c>
    </row>
    <row r="10" spans="1:4" x14ac:dyDescent="0.25">
      <c r="A10" t="s">
        <v>141</v>
      </c>
      <c r="B10">
        <v>1</v>
      </c>
      <c r="C10" t="s">
        <v>146</v>
      </c>
      <c r="D10" t="s">
        <v>448</v>
      </c>
    </row>
    <row r="11" spans="1:4" x14ac:dyDescent="0.25">
      <c r="A11" t="s">
        <v>143</v>
      </c>
      <c r="B11">
        <v>1</v>
      </c>
      <c r="C11" t="s">
        <v>146</v>
      </c>
      <c r="D11" t="s">
        <v>448</v>
      </c>
    </row>
    <row r="12" spans="1:4" x14ac:dyDescent="0.25">
      <c r="A12" t="s">
        <v>151</v>
      </c>
      <c r="B12">
        <v>1</v>
      </c>
      <c r="C12" t="s">
        <v>146</v>
      </c>
      <c r="D12" t="s">
        <v>448</v>
      </c>
    </row>
    <row r="13" spans="1:4" x14ac:dyDescent="0.25">
      <c r="A13" t="s">
        <v>153</v>
      </c>
      <c r="B13">
        <v>1</v>
      </c>
      <c r="C13" t="s">
        <v>146</v>
      </c>
      <c r="D13" t="s">
        <v>447</v>
      </c>
    </row>
    <row r="14" spans="1:4" x14ac:dyDescent="0.25">
      <c r="A14" t="s">
        <v>155</v>
      </c>
      <c r="B14">
        <v>1</v>
      </c>
      <c r="C14" t="s">
        <v>146</v>
      </c>
      <c r="D14" t="s">
        <v>447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466</v>
      </c>
    </row>
    <row r="2" spans="1:1" x14ac:dyDescent="0.25">
      <c r="A2" t="s">
        <v>467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16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468</v>
      </c>
      <c r="C1" t="s">
        <v>469</v>
      </c>
      <c r="D1" t="s">
        <v>470</v>
      </c>
    </row>
    <row r="2" spans="1:4" x14ac:dyDescent="0.25">
      <c r="A2" t="s">
        <v>133</v>
      </c>
      <c r="B2" t="s">
        <v>471</v>
      </c>
      <c r="C2" t="s">
        <v>472</v>
      </c>
      <c r="D2" t="s">
        <v>117</v>
      </c>
    </row>
    <row r="3" spans="1:4" x14ac:dyDescent="0.25">
      <c r="A3" t="s">
        <v>135</v>
      </c>
      <c r="B3" t="s">
        <v>471</v>
      </c>
      <c r="C3" t="s">
        <v>473</v>
      </c>
      <c r="D3" t="s">
        <v>117</v>
      </c>
    </row>
    <row r="4" spans="1:4" x14ac:dyDescent="0.25">
      <c r="A4" t="s">
        <v>143</v>
      </c>
      <c r="B4" t="s">
        <v>474</v>
      </c>
      <c r="C4" t="s">
        <v>475</v>
      </c>
      <c r="D4" t="s">
        <v>117</v>
      </c>
    </row>
    <row r="5" spans="1:4" x14ac:dyDescent="0.25">
      <c r="A5" t="s">
        <v>155</v>
      </c>
      <c r="B5" t="s">
        <v>471</v>
      </c>
      <c r="C5" t="s">
        <v>476</v>
      </c>
      <c r="D5" t="s">
        <v>117</v>
      </c>
    </row>
    <row r="6" spans="1:4" x14ac:dyDescent="0.25">
      <c r="A6" t="s">
        <v>155</v>
      </c>
      <c r="B6" t="s">
        <v>477</v>
      </c>
      <c r="D6" t="s">
        <v>117</v>
      </c>
    </row>
    <row r="7" spans="1:4" x14ac:dyDescent="0.25">
      <c r="A7" t="s">
        <v>141</v>
      </c>
      <c r="B7" t="s">
        <v>471</v>
      </c>
      <c r="C7" t="s">
        <v>478</v>
      </c>
      <c r="D7" t="s">
        <v>117</v>
      </c>
    </row>
    <row r="8" spans="1:4" x14ac:dyDescent="0.25">
      <c r="A8" t="s">
        <v>139</v>
      </c>
      <c r="B8" t="s">
        <v>471</v>
      </c>
      <c r="C8" t="s">
        <v>479</v>
      </c>
      <c r="D8" t="s">
        <v>117</v>
      </c>
    </row>
    <row r="9" spans="1:4" x14ac:dyDescent="0.25">
      <c r="A9" t="s">
        <v>137</v>
      </c>
      <c r="B9" t="s">
        <v>471</v>
      </c>
      <c r="C9" t="s">
        <v>480</v>
      </c>
      <c r="D9" t="s">
        <v>117</v>
      </c>
    </row>
    <row r="10" spans="1:4" x14ac:dyDescent="0.25">
      <c r="A10" t="s">
        <v>104</v>
      </c>
      <c r="B10" t="s">
        <v>471</v>
      </c>
      <c r="C10" t="s">
        <v>481</v>
      </c>
      <c r="D10" t="s">
        <v>117</v>
      </c>
    </row>
    <row r="11" spans="1:4" x14ac:dyDescent="0.25">
      <c r="A11" t="s">
        <v>104</v>
      </c>
      <c r="B11" t="s">
        <v>477</v>
      </c>
      <c r="D11" t="s">
        <v>117</v>
      </c>
    </row>
    <row r="12" spans="1:4" x14ac:dyDescent="0.25">
      <c r="A12" t="s">
        <v>153</v>
      </c>
      <c r="B12" t="s">
        <v>471</v>
      </c>
      <c r="C12" t="s">
        <v>482</v>
      </c>
      <c r="D12" t="s">
        <v>117</v>
      </c>
    </row>
    <row r="13" spans="1:4" x14ac:dyDescent="0.25">
      <c r="A13" t="s">
        <v>151</v>
      </c>
      <c r="B13" t="s">
        <v>471</v>
      </c>
      <c r="C13" t="s">
        <v>483</v>
      </c>
      <c r="D13" t="s">
        <v>117</v>
      </c>
    </row>
    <row r="14" spans="1:4" x14ac:dyDescent="0.25">
      <c r="A14" t="s">
        <v>127</v>
      </c>
      <c r="B14" t="s">
        <v>471</v>
      </c>
      <c r="C14" t="s">
        <v>484</v>
      </c>
      <c r="D14" t="s">
        <v>117</v>
      </c>
    </row>
    <row r="15" spans="1:4" x14ac:dyDescent="0.25">
      <c r="A15" t="s">
        <v>131</v>
      </c>
      <c r="B15" t="s">
        <v>471</v>
      </c>
      <c r="C15" t="s">
        <v>485</v>
      </c>
      <c r="D15" t="s">
        <v>117</v>
      </c>
    </row>
    <row r="16" spans="1:4" x14ac:dyDescent="0.25">
      <c r="A16" t="s">
        <v>129</v>
      </c>
      <c r="B16" t="s">
        <v>471</v>
      </c>
      <c r="C16" t="s">
        <v>486</v>
      </c>
      <c r="D16" t="s">
        <v>117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Dokumen Tanggal 06-08-2026.xlsx</dc:creator>
  <cp:lastModifiedBy>ADMEXIM3</cp:lastModifiedBy>
  <dcterms:created xsi:type="dcterms:W3CDTF">2026-08-07T00:46:27Z</dcterms:created>
  <dcterms:modified xsi:type="dcterms:W3CDTF">2026-08-10T06:44:51Z</dcterms:modified>
</cp:coreProperties>
</file>