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8893F8ED-A7FB-4B19-A9D6-03CBE7F76E4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8" l="1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2" i="8"/>
</calcChain>
</file>

<file path=xl/sharedStrings.xml><?xml version="1.0" encoding="utf-8"?>
<sst xmlns="http://schemas.openxmlformats.org/spreadsheetml/2006/main" count="2685" uniqueCount="446">
  <si>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</si>
  <si>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</si>
  <si>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</si>
  <si>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</si>
  <si>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</si>
  <si>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</si>
  <si>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</si>
  <si>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</si>
  <si>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</si>
  <si>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</si>
  <si>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</si>
  <si>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</si>
  <si>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</si>
  <si>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</si>
  <si>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</si>
  <si>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</si>
  <si>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</si>
  <si>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</si>
  <si>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</si>
  <si>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</si>
  <si>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</si>
  <si>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</si>
  <si>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</si>
  <si>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</si>
  <si>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</si>
  <si>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</si>
  <si>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</si>
  <si>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</si>
  <si>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</si>
  <si>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</si>
  <si>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</si>
  <si>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</si>
  <si>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</si>
  <si>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</si>
  <si>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</si>
  <si>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</si>
  <si>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</si>
  <si>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</si>
  <si>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</si>
  <si>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</si>
  <si>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</si>
  <si>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</si>
  <si>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</si>
  <si>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</si>
  <si>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</si>
  <si>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</si>
  <si>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</si>
  <si>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</si>
  <si>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</si>
  <si>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</si>
  <si>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</si>
  <si>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</si>
  <si>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</si>
  <si>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</si>
  <si>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</si>
  <si>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</si>
  <si>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</si>
  <si>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</si>
  <si>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</si>
  <si>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</si>
  <si>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</si>
  <si>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</si>
  <si>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</si>
  <si>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</si>
  <si>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</si>
  <si>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</si>
  <si>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</si>
  <si>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</si>
  <si>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</si>
  <si>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</si>
  <si>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</si>
  <si>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</si>
  <si>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</si>
  <si>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</si>
  <si>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</si>
  <si>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</si>
  <si>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</si>
  <si>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</si>
  <si>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</si>
  <si>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</si>
  <si>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</si>
  <si>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</si>
  <si>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</si>
  <si>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</si>
  <si>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</si>
  <si>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</si>
  <si>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</si>
  <si>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</si>
  <si>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</si>
  <si>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</si>
  <si>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</si>
  <si>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</si>
  <si>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</si>
  <si>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</si>
  <si>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</si>
  <si>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</si>
  <si>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</si>
  <si>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</si>
  <si>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</si>
  <si>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</si>
  <si>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</si>
  <si>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</si>
  <si>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</si>
  <si>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</si>
  <si>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000030NIW34520260819001300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</si>
  <si>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</si>
  <si>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</si>
  <si>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</si>
  <si>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</si>
  <si>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</si>
  <si>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</si>
  <si>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</si>
  <si>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</si>
  <si>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</si>
  <si>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</si>
  <si>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</si>
  <si>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2026-08-27</t>
  </si>
  <si>
    <t>2026-08-20</t>
  </si>
  <si>
    <t>2</t>
  </si>
  <si>
    <t>DN</t>
  </si>
  <si>
    <t>BANDUNG</t>
  </si>
  <si>
    <t>YUS YULIUS</t>
  </si>
  <si>
    <t>MANAGER EXIM</t>
  </si>
  <si>
    <t>USD</t>
  </si>
  <si>
    <t>EXW</t>
  </si>
  <si>
    <t>523696</t>
  </si>
  <si>
    <t>T</t>
  </si>
  <si>
    <t>000030NIW34520260819001302</t>
  </si>
  <si>
    <t>523898</t>
  </si>
  <si>
    <t>000030NIW34520260819001297</t>
  </si>
  <si>
    <t>523019</t>
  </si>
  <si>
    <t>000030NIW34520260819001298</t>
  </si>
  <si>
    <t>USSAV</t>
  </si>
  <si>
    <t>523262</t>
  </si>
  <si>
    <t>000030NIW34520260820001305</t>
  </si>
  <si>
    <t>524013</t>
  </si>
  <si>
    <t>000030NIW34520260819001295</t>
  </si>
  <si>
    <t>522788</t>
  </si>
  <si>
    <t>000030NIW34520260820001304</t>
  </si>
  <si>
    <t>523984</t>
  </si>
  <si>
    <t>000030NIW34520260819001299</t>
  </si>
  <si>
    <t>523565</t>
  </si>
  <si>
    <t>000030NIW34520260820001303</t>
  </si>
  <si>
    <t>523956</t>
  </si>
  <si>
    <t>000030NIW34520260820001306</t>
  </si>
  <si>
    <t>524091</t>
  </si>
  <si>
    <t>000030NIW34520260819001301</t>
  </si>
  <si>
    <t>523772</t>
  </si>
  <si>
    <t>000030NIW34520260820001307</t>
  </si>
  <si>
    <t>524196</t>
  </si>
  <si>
    <t>000030NIW34520260819001296</t>
  </si>
  <si>
    <t>522908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</si>
  <si>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</si>
  <si>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</si>
  <si>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</si>
  <si>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</si>
  <si>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</si>
  <si>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</si>
  <si>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</si>
  <si>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</si>
  <si>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</si>
  <si>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</si>
  <si>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</si>
  <si>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</si>
  <si>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</si>
  <si>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</si>
  <si>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</si>
  <si>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</si>
  <si>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</si>
  <si>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</si>
  <si>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</si>
  <si>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</si>
  <si>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</si>
  <si>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</si>
  <si>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</si>
  <si>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</si>
  <si>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</si>
  <si>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4</t>
  </si>
  <si>
    <t>OLD NAVY, LLC</t>
  </si>
  <si>
    <t>2 FOLSOM STREET_x000D_
SAN FRANCISCO, CALIFORNIA_x000D_
94105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</si>
  <si>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</si>
  <si>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</si>
  <si>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</si>
  <si>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</si>
  <si>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</si>
  <si>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0000000000000000</t>
  </si>
  <si>
    <t>KANMAX ENTERPRISES LTD</t>
  </si>
  <si>
    <t>103 PENANG ROAD, #08-07, VISIONCREST ORCHARD, SINGAPORE 238467</t>
  </si>
  <si>
    <t>8</t>
  </si>
  <si>
    <t>WESTERN OMNI WEO-0008</t>
  </si>
  <si>
    <t>3400 NORTH GAP DR_x000D_
FRESNO, CA_x000D_
93727</t>
  </si>
  <si>
    <t>FDC-0026</t>
  </si>
  <si>
    <t>3685 NORTH GAP DRIVE_x000D_
FRESNO, CA_x000D_
93727</t>
  </si>
  <si>
    <t>0745406926444000</t>
  </si>
  <si>
    <t>SDC-0017</t>
  </si>
  <si>
    <t>100 GAP BOULEVARD_x000D_
GALLATIN, TN_x000D_
37066</t>
  </si>
  <si>
    <t>100 GAP BOULEVARD
GALLATIN, TN
37066</t>
  </si>
  <si>
    <t>2 FOLSOM STREET
SAN FRANCISCO, CALIFORNIA
94105</t>
  </si>
  <si>
    <t>LVO LONGVIEW OMNI-0047</t>
  </si>
  <si>
    <t>5401 MICKEY MELTON BLD
LONGVIEW, TX
75605</t>
  </si>
  <si>
    <t>5401 MICKEY MELTON BLD_x000D_
LONGVIEW, TX_x000D_
75605</t>
  </si>
  <si>
    <t>EXPEDITORS INTL LRD-2284</t>
  </si>
  <si>
    <t>8510 BOB BULLOCK LOOP
LAREDO, TX
78045</t>
  </si>
  <si>
    <t>3400 NORTH GAP DR
FRESNO, CA
93727</t>
  </si>
  <si>
    <t>3685 NORTH GAP DRIVE
FRESNO, CA
93727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</si>
  <si>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</si>
  <si>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</si>
  <si>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</si>
  <si>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</si>
  <si>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</si>
  <si>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</si>
  <si>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</si>
  <si>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</si>
  <si>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0280ENAG0826</t>
  </si>
  <si>
    <t>217</t>
  </si>
  <si>
    <t>025758</t>
  </si>
  <si>
    <t>2026-06-30</t>
  </si>
  <si>
    <t>0282ENAG0826</t>
  </si>
  <si>
    <t>026656</t>
  </si>
  <si>
    <t>2026-07-06</t>
  </si>
  <si>
    <t>027552</t>
  </si>
  <si>
    <t>2026-07-11</t>
  </si>
  <si>
    <t>0277ENAG0826</t>
  </si>
  <si>
    <t>046068</t>
  </si>
  <si>
    <t>2025-11-13</t>
  </si>
  <si>
    <t>047566</t>
  </si>
  <si>
    <t>2025-11-21</t>
  </si>
  <si>
    <t>004203</t>
  </si>
  <si>
    <t>2026-01-28</t>
  </si>
  <si>
    <t>0278ENAG0826</t>
  </si>
  <si>
    <t>0285ENAG0826</t>
  </si>
  <si>
    <t>027093</t>
  </si>
  <si>
    <t>2026-07-08</t>
  </si>
  <si>
    <t>027939</t>
  </si>
  <si>
    <t>2026-07-14</t>
  </si>
  <si>
    <t>029032</t>
  </si>
  <si>
    <t>2026-07-22</t>
  </si>
  <si>
    <t>0275ENAG0826</t>
  </si>
  <si>
    <t>012234</t>
  </si>
  <si>
    <t>2025-04-08</t>
  </si>
  <si>
    <t>010371</t>
  </si>
  <si>
    <t>2025-03-18</t>
  </si>
  <si>
    <t>013900</t>
  </si>
  <si>
    <t>2025-04-17</t>
  </si>
  <si>
    <t>0284ENAG0826</t>
  </si>
  <si>
    <t>0279ENAG0826</t>
  </si>
  <si>
    <t>027545</t>
  </si>
  <si>
    <t>027549</t>
  </si>
  <si>
    <t>028938</t>
  </si>
  <si>
    <t>2026-07-21</t>
  </si>
  <si>
    <t>0283ENAG0826</t>
  </si>
  <si>
    <t>0286ENAG0826</t>
  </si>
  <si>
    <t>026627</t>
  </si>
  <si>
    <t>028196</t>
  </si>
  <si>
    <t>2026-07-16</t>
  </si>
  <si>
    <t>028821</t>
  </si>
  <si>
    <t>029561</t>
  </si>
  <si>
    <t>2026-07-25</t>
  </si>
  <si>
    <t>0281ENAG0826</t>
  </si>
  <si>
    <t>0287ENAG0826</t>
  </si>
  <si>
    <t>0276ENAG0826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</si>
  <si>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</si>
  <si>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</si>
  <si>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</si>
  <si>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</si>
  <si>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</si>
  <si>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</si>
  <si>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</si>
  <si>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</si>
  <si>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VV 635N</t>
  </si>
  <si>
    <t>PA</t>
  </si>
  <si>
    <t>KODE KEMASAN</t>
  </si>
  <si>
    <t>JUMLAH KEMASAN</t>
  </si>
  <si>
    <t>MEREK</t>
  </si>
  <si>
    <t>NOMOR SEGEL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</si>
  <si>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</si>
  <si>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</si>
  <si>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</si>
  <si>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</si>
  <si>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</si>
  <si>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</si>
  <si>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</si>
  <si>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</si>
  <si>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</si>
  <si>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</si>
  <si>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</si>
  <si>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</si>
  <si>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</si>
  <si>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</si>
  <si>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</si>
  <si>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</si>
  <si>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</si>
  <si>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</si>
  <si>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</si>
  <si>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</si>
  <si>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</si>
  <si>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</si>
  <si>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</si>
  <si>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</si>
  <si>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</si>
  <si>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</si>
  <si>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</si>
  <si>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</si>
  <si>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</si>
  <si>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</si>
  <si>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</si>
  <si>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</si>
  <si>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</si>
  <si>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</si>
  <si>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</si>
  <si>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</si>
  <si>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</si>
  <si>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</si>
  <si>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</si>
  <si>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</si>
  <si>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</si>
  <si>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</si>
  <si>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</si>
  <si>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</si>
  <si>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</si>
  <si>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</si>
  <si>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</si>
  <si>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</si>
  <si>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</si>
  <si>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</si>
  <si>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</si>
  <si>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</si>
  <si>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</si>
  <si>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</si>
  <si>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</si>
  <si>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</si>
  <si>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</si>
  <si>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</si>
  <si>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</si>
  <si>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</si>
  <si>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KNM/0626/324</t>
  </si>
  <si>
    <t>T-SHIRT SHORT SLEEVE BLUSH HUE _x000D_
PO : 61997021 STYLE : 867788 OF GIRLS COTTON FIBERS KNIT PULLOVER 60% COTTON 40% RECYCLED POLYESTER</t>
  </si>
  <si>
    <t>265K0088</t>
  </si>
  <si>
    <t>L HUSKY</t>
  </si>
  <si>
    <t>-</t>
  </si>
  <si>
    <t>PCE</t>
  </si>
  <si>
    <t>3204</t>
  </si>
  <si>
    <t>ID</t>
  </si>
  <si>
    <t>XXL HUSKY</t>
  </si>
  <si>
    <t>XL HUSKY</t>
  </si>
  <si>
    <t>XS</t>
  </si>
  <si>
    <t>S</t>
  </si>
  <si>
    <t>M</t>
  </si>
  <si>
    <t>XXL</t>
  </si>
  <si>
    <t>L</t>
  </si>
  <si>
    <t>XL</t>
  </si>
  <si>
    <t>T-SHIRT SHORT SLEEVE CALLA LILY 451 _x000D_
PO : 61997021 STYLE : 867788 OF GIRLS COTTON FIBERS KNIT PULLOVER 60% COTTON 40% RECYCLED POLYESTER</t>
  </si>
  <si>
    <t>KNM/0626/341</t>
  </si>
  <si>
    <t>T-SHIRT SHORT SLEEVE BLACK LEOPARD _x000D_
PO : 61996887 STYLE : 905994 OF GIRLS COTTON FIBERS KNIT PULLOVER 100% COTTON</t>
  </si>
  <si>
    <t>265K0089</t>
  </si>
  <si>
    <t>T-SHIRT</t>
  </si>
  <si>
    <t>T-SHIRT SHORT SLEEVE BLACK JACK _x000D_
PO : 62283682 STYLE : 878746 OF GIRLS COTTON FIBERS KNIT PULLOVER 60% COTTON 40% POLYESTER</t>
  </si>
  <si>
    <t>265K0006</t>
  </si>
  <si>
    <t>T-SHIRT SHORT SLEEVE BLACK JACK _x000D_
PO : 62283680 STYLE : 878746 OF GIRLS COTTON FIBERS KNIT PULLOVER 60% COTTON 40% POLYESTER</t>
  </si>
  <si>
    <t>KNM/0626/328</t>
  </si>
  <si>
    <t>TANKTOP
PO : 62046864 S : 692926 OF WOMENS COTTON FIBERS KNIT PULLOVER 96% COTTON 4% SPANDEX</t>
  </si>
  <si>
    <t>265K0103</t>
  </si>
  <si>
    <t>KNM/0425/026</t>
  </si>
  <si>
    <t>T-SHIRT SHORT SLEEVE CALLA LILY 451 _x000D_
PO : 62283766 STYLE : 881293 OF GIRLS COTTON FIBERS KNIT PULLOVER 60% COTTON 40% POLYESTER</t>
  </si>
  <si>
    <t>255K0079</t>
  </si>
  <si>
    <t>TANKTOP
PO : 62046849 S : 692926 OF WOMENS COTTON FIBERS KNIT PULLOVER 96% COTTON 4% SPANDEX</t>
  </si>
  <si>
    <t>61051000</t>
  </si>
  <si>
    <t>KNM/0626/338</t>
  </si>
  <si>
    <t>POLO SHIRT LONG SLEEVE RED TAPE _x000D_
PO : 62002314 STYLE : 767468 OF GIRLS COTTON FIBERS KNIT SHIRT 60% COTTON 40% POLYESTER</t>
  </si>
  <si>
    <t>265K0077</t>
  </si>
  <si>
    <t>POLO SHIRT LONG SLEEVE BLUE TANGO _x000D_
PO : 62002314 STYLE : 767468 OF GIRLS COTTON FIBERS KNIT SHIRT 60% COTTON 40% POLYESTER</t>
  </si>
  <si>
    <t>TANKTOP
PO : 62006167 S : 692926 OF WOMENS COTTON FIBERS KNIT PULLOVER 96% COTTON 4% SPANDEX</t>
  </si>
  <si>
    <t>KNM/0626/332</t>
  </si>
  <si>
    <t>TANKTOP
PO : 62031019 S : 692926 OF WOMENS COTTON FIBERS KNIT PULLOVER 96% COTTON 4% SPANDEX</t>
  </si>
  <si>
    <t>KNM/0626/342</t>
  </si>
  <si>
    <t>T-SHIRT SHORT SLEEVE BLACK LEOPARD _x000D_
PO : 61996968 STYLE : 905994 OF GIRLS COTTON FIBERS KNIT PULLOVER 100% COTTON</t>
  </si>
  <si>
    <t>TANKTOP
PO : 62046885 S : 692926 OF WOMENS COTTON FIBERS KNIT PULLOVER 96% COTTON 4% SPANDEX</t>
  </si>
  <si>
    <t>265K0104</t>
  </si>
  <si>
    <t>T-SHIRT SHORT SLEEVE CALLA LILY 451 _x000D_
PO : 62283770 STYLE : 881293 OF GIRLS COTTON FIBERS KNIT PULLOVER 60% COTTON 40%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</si>
  <si>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</si>
  <si>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</si>
  <si>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</si>
  <si>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</si>
  <si>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</si>
  <si>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</si>
  <si>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</si>
  <si>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</si>
  <si>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</si>
  <si>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</si>
  <si>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</si>
  <si>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</si>
  <si>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</si>
  <si>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</si>
  <si>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</si>
  <si>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</si>
  <si>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</si>
  <si>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</si>
  <si>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</si>
  <si>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</si>
  <si>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</si>
  <si>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</si>
  <si>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</si>
  <si>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</si>
  <si>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</si>
  <si>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</si>
  <si>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</si>
  <si>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</si>
  <si>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</si>
  <si>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</si>
  <si>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</si>
  <si>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</si>
  <si>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</si>
  <si>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</si>
  <si>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</si>
  <si>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</si>
  <si>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</si>
  <si>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</si>
  <si>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</si>
  <si>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</si>
  <si>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</si>
  <si>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</si>
  <si>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</si>
  <si>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</si>
  <si>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</si>
  <si>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</si>
  <si>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</si>
  <si>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</si>
  <si>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</si>
  <si>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</si>
  <si>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</si>
  <si>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</si>
  <si>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</si>
  <si>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</si>
  <si>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522965/PM/KPU.1/2026</t>
  </si>
  <si>
    <t>523509/PM/KPU.1/2026</t>
  </si>
  <si>
    <t>523843/PM/KPU.1/2026</t>
  </si>
  <si>
    <t>523929/PM/KPU.1/2026</t>
  </si>
  <si>
    <t>522853/PM/KPU.1/2026</t>
  </si>
  <si>
    <t>523958/PM/KPU.1/2026</t>
  </si>
  <si>
    <t>523716/PM/KPU.1/2026</t>
  </si>
  <si>
    <t>524141/PM/KPU.1/2026</t>
  </si>
  <si>
    <t>523901/PM/KPU.1/2026</t>
  </si>
  <si>
    <t>522734/PM/KPU.1/2026</t>
  </si>
  <si>
    <t>523640/PM/KPU.1/2026</t>
  </si>
  <si>
    <t>523207/PM/KPU.1/2026</t>
  </si>
  <si>
    <t>524035/PM/KPU.1/2026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</si>
</sst>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1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1695.48</v>
      </c>
      <c r="BO2">
        <v>0</v>
      </c>
      <c r="BP2">
        <v>0</v>
      </c>
      <c r="BQ2">
        <v>4206.7</v>
      </c>
      <c r="BR2">
        <v>0</v>
      </c>
      <c r="BS2">
        <v>0</v>
      </c>
      <c r="BT2">
        <v>0</v>
      </c>
      <c r="BU2">
        <v>0</v>
      </c>
      <c r="BV2">
        <v>0</v>
      </c>
      <c r="BW2">
        <v>17843</v>
      </c>
      <c r="BX2">
        <v>0</v>
      </c>
      <c r="BY2">
        <v>0</v>
      </c>
      <c r="CA2">
        <v>0</v>
      </c>
      <c r="CB2">
        <v>188.46</v>
      </c>
      <c r="CC2">
        <v>170.86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463.32</v>
      </c>
      <c r="BO3">
        <v>0</v>
      </c>
      <c r="BP3">
        <v>0</v>
      </c>
      <c r="BQ3">
        <v>1126.8399999999999</v>
      </c>
      <c r="BS3">
        <v>0</v>
      </c>
      <c r="BU3">
        <v>0</v>
      </c>
      <c r="BV3">
        <v>0</v>
      </c>
      <c r="BW3">
        <v>17843</v>
      </c>
      <c r="BX3">
        <v>0</v>
      </c>
      <c r="BY3">
        <v>0</v>
      </c>
      <c r="CA3">
        <v>0</v>
      </c>
      <c r="CB3">
        <v>46.12</v>
      </c>
      <c r="CC3">
        <v>40.72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1241.2</v>
      </c>
      <c r="BO4">
        <v>0</v>
      </c>
      <c r="BP4">
        <v>0</v>
      </c>
      <c r="BQ4">
        <v>3252.8</v>
      </c>
      <c r="BR4">
        <v>0</v>
      </c>
      <c r="BS4">
        <v>0</v>
      </c>
      <c r="BT4">
        <v>0</v>
      </c>
      <c r="BU4">
        <v>0</v>
      </c>
      <c r="BV4">
        <v>0</v>
      </c>
      <c r="BW4">
        <v>17843</v>
      </c>
      <c r="BX4">
        <v>0</v>
      </c>
      <c r="BY4">
        <v>0</v>
      </c>
      <c r="CA4">
        <v>0</v>
      </c>
      <c r="CB4">
        <v>180.59</v>
      </c>
      <c r="CC4">
        <v>167.59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132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1235.4000000000001</v>
      </c>
      <c r="BO5">
        <v>0</v>
      </c>
      <c r="BP5">
        <v>0</v>
      </c>
      <c r="BQ5">
        <v>3237.6</v>
      </c>
      <c r="BR5">
        <v>0</v>
      </c>
      <c r="BS5">
        <v>0</v>
      </c>
      <c r="BT5">
        <v>0</v>
      </c>
      <c r="BU5">
        <v>0</v>
      </c>
      <c r="BV5">
        <v>0</v>
      </c>
      <c r="BW5">
        <v>17843</v>
      </c>
      <c r="BX5">
        <v>0</v>
      </c>
      <c r="BY5">
        <v>0</v>
      </c>
      <c r="CA5">
        <v>0</v>
      </c>
      <c r="CB5">
        <v>182.71</v>
      </c>
      <c r="CC5">
        <v>169.71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133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132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10424.92</v>
      </c>
      <c r="BO6">
        <v>0</v>
      </c>
      <c r="BP6">
        <v>0</v>
      </c>
      <c r="BQ6">
        <v>34292.5</v>
      </c>
      <c r="BR6">
        <v>0</v>
      </c>
      <c r="BS6">
        <v>0</v>
      </c>
      <c r="BT6">
        <v>0</v>
      </c>
      <c r="BU6">
        <v>0</v>
      </c>
      <c r="BV6">
        <v>0</v>
      </c>
      <c r="BW6">
        <v>17843</v>
      </c>
      <c r="BX6">
        <v>0</v>
      </c>
      <c r="BY6">
        <v>0</v>
      </c>
      <c r="CA6">
        <v>0</v>
      </c>
      <c r="CB6">
        <v>2174.415</v>
      </c>
      <c r="CC6">
        <v>1879.615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135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136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132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1241.2</v>
      </c>
      <c r="BO7">
        <v>0</v>
      </c>
      <c r="BP7">
        <v>0</v>
      </c>
      <c r="BQ7">
        <v>3381.2</v>
      </c>
      <c r="BR7">
        <v>0</v>
      </c>
      <c r="BS7">
        <v>0</v>
      </c>
      <c r="BT7">
        <v>0</v>
      </c>
      <c r="BU7">
        <v>0</v>
      </c>
      <c r="BV7">
        <v>0</v>
      </c>
      <c r="BW7">
        <v>17843</v>
      </c>
      <c r="BX7">
        <v>0</v>
      </c>
      <c r="BY7">
        <v>0</v>
      </c>
      <c r="CA7">
        <v>0</v>
      </c>
      <c r="CB7">
        <v>182.03</v>
      </c>
      <c r="CC7">
        <v>169.03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137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138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4285.6400000000003</v>
      </c>
      <c r="BO8">
        <v>0</v>
      </c>
      <c r="BP8">
        <v>0</v>
      </c>
      <c r="BQ8">
        <v>13815.55</v>
      </c>
      <c r="BR8">
        <v>0</v>
      </c>
      <c r="BS8">
        <v>0</v>
      </c>
      <c r="BT8">
        <v>0</v>
      </c>
      <c r="BU8">
        <v>0</v>
      </c>
      <c r="BV8">
        <v>0</v>
      </c>
      <c r="BW8">
        <v>17843</v>
      </c>
      <c r="BX8">
        <v>0</v>
      </c>
      <c r="BY8">
        <v>0</v>
      </c>
      <c r="CA8">
        <v>0</v>
      </c>
      <c r="CB8">
        <v>730.51499999999999</v>
      </c>
      <c r="CC8">
        <v>654.21500000000003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139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140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794.85</v>
      </c>
      <c r="BO9">
        <v>0</v>
      </c>
      <c r="BP9">
        <v>0</v>
      </c>
      <c r="BQ9">
        <v>2059.04</v>
      </c>
      <c r="BS9">
        <v>0</v>
      </c>
      <c r="BU9">
        <v>0</v>
      </c>
      <c r="BV9">
        <v>0</v>
      </c>
      <c r="BW9">
        <v>17843</v>
      </c>
      <c r="BX9">
        <v>0</v>
      </c>
      <c r="BY9">
        <v>0</v>
      </c>
      <c r="CA9">
        <v>0</v>
      </c>
      <c r="CB9">
        <v>130.94999999999999</v>
      </c>
      <c r="CC9">
        <v>117.55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141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142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2097.6</v>
      </c>
      <c r="BO10">
        <v>0</v>
      </c>
      <c r="BP10">
        <v>0</v>
      </c>
      <c r="BQ10">
        <v>6762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17843</v>
      </c>
      <c r="BX10">
        <v>0</v>
      </c>
      <c r="BY10">
        <v>0</v>
      </c>
      <c r="CA10">
        <v>0</v>
      </c>
      <c r="CB10">
        <v>352.34</v>
      </c>
      <c r="CC10">
        <v>314.49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143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144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12536.2</v>
      </c>
      <c r="BO11">
        <v>0</v>
      </c>
      <c r="BP11">
        <v>0</v>
      </c>
      <c r="BQ11">
        <v>40412.75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17843</v>
      </c>
      <c r="BX11">
        <v>0</v>
      </c>
      <c r="BY11">
        <v>0</v>
      </c>
      <c r="CA11">
        <v>0</v>
      </c>
      <c r="CB11">
        <v>2099.62</v>
      </c>
      <c r="CC11">
        <v>1910.72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145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146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315.08999999999997</v>
      </c>
      <c r="BO12">
        <v>0</v>
      </c>
      <c r="BP12">
        <v>0</v>
      </c>
      <c r="BQ12">
        <v>766.33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17843</v>
      </c>
      <c r="BX12">
        <v>0</v>
      </c>
      <c r="BY12">
        <v>0</v>
      </c>
      <c r="CA12">
        <v>0</v>
      </c>
      <c r="CB12">
        <v>32.945</v>
      </c>
      <c r="CC12">
        <v>29.645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147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148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30230.52</v>
      </c>
      <c r="BO13">
        <v>0</v>
      </c>
      <c r="BP13">
        <v>0</v>
      </c>
      <c r="BQ13">
        <v>99442.5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17843</v>
      </c>
      <c r="BX13">
        <v>0</v>
      </c>
      <c r="BY13">
        <v>0</v>
      </c>
      <c r="CA13">
        <v>0</v>
      </c>
      <c r="CB13">
        <v>6201.18</v>
      </c>
      <c r="CC13">
        <v>5432.58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149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150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1241.2</v>
      </c>
      <c r="BO14">
        <v>0</v>
      </c>
      <c r="BP14">
        <v>0</v>
      </c>
      <c r="BQ14">
        <v>3381.2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17843</v>
      </c>
      <c r="BX14">
        <v>0</v>
      </c>
      <c r="BY14">
        <v>0</v>
      </c>
      <c r="CA14">
        <v>0</v>
      </c>
      <c r="CB14">
        <v>182.03</v>
      </c>
      <c r="CC14">
        <v>169.03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151</v>
      </c>
      <c r="CQ14" t="s">
        <v>117</v>
      </c>
      <c r="CT14">
        <v>0</v>
      </c>
      <c r="CZ14" t="s">
        <v>126</v>
      </c>
      <c r="DB14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6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5.42578125" bestFit="1" customWidth="1"/>
    <col min="7" max="7" width="156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 spans="1:16" x14ac:dyDescent="0.25">
      <c r="A2" t="s">
        <v>104</v>
      </c>
      <c r="B2" t="s">
        <v>171</v>
      </c>
      <c r="C2" t="s">
        <v>171</v>
      </c>
      <c r="D2" t="s">
        <v>112</v>
      </c>
      <c r="E2" t="s">
        <v>172</v>
      </c>
      <c r="F2" t="s">
        <v>173</v>
      </c>
      <c r="G2" t="s">
        <v>174</v>
      </c>
      <c r="I2" t="s">
        <v>175</v>
      </c>
      <c r="J2" t="s">
        <v>176</v>
      </c>
      <c r="O2" t="s">
        <v>108</v>
      </c>
    </row>
    <row r="3" spans="1:16" x14ac:dyDescent="0.25">
      <c r="A3" t="s">
        <v>104</v>
      </c>
      <c r="B3" t="s">
        <v>177</v>
      </c>
      <c r="C3" t="s">
        <v>112</v>
      </c>
      <c r="F3" t="s">
        <v>178</v>
      </c>
      <c r="G3" t="s">
        <v>179</v>
      </c>
      <c r="M3" t="s">
        <v>113</v>
      </c>
    </row>
    <row r="4" spans="1:16" x14ac:dyDescent="0.25">
      <c r="A4" t="s">
        <v>104</v>
      </c>
      <c r="B4" t="s">
        <v>108</v>
      </c>
      <c r="C4" t="s">
        <v>118</v>
      </c>
      <c r="D4" t="s">
        <v>112</v>
      </c>
      <c r="E4" t="s">
        <v>180</v>
      </c>
      <c r="F4" t="s">
        <v>181</v>
      </c>
      <c r="G4" t="s">
        <v>182</v>
      </c>
      <c r="J4" t="s">
        <v>183</v>
      </c>
    </row>
    <row r="5" spans="1:16" x14ac:dyDescent="0.25">
      <c r="A5" t="s">
        <v>104</v>
      </c>
      <c r="B5" t="s">
        <v>118</v>
      </c>
      <c r="C5" t="s">
        <v>184</v>
      </c>
      <c r="D5" t="s">
        <v>177</v>
      </c>
      <c r="E5" t="s">
        <v>185</v>
      </c>
      <c r="F5" t="s">
        <v>186</v>
      </c>
      <c r="G5" t="s">
        <v>187</v>
      </c>
    </row>
    <row r="6" spans="1:16" x14ac:dyDescent="0.25">
      <c r="A6" t="s">
        <v>104</v>
      </c>
      <c r="B6" t="s">
        <v>183</v>
      </c>
      <c r="C6" t="s">
        <v>188</v>
      </c>
      <c r="F6" t="s">
        <v>189</v>
      </c>
      <c r="G6" t="s">
        <v>190</v>
      </c>
      <c r="M6" t="s">
        <v>113</v>
      </c>
    </row>
    <row r="7" spans="1:16" x14ac:dyDescent="0.25">
      <c r="A7" t="s">
        <v>127</v>
      </c>
      <c r="B7" t="s">
        <v>108</v>
      </c>
      <c r="C7" t="s">
        <v>118</v>
      </c>
      <c r="D7" t="s">
        <v>112</v>
      </c>
      <c r="E7" t="s">
        <v>180</v>
      </c>
      <c r="F7" t="s">
        <v>181</v>
      </c>
      <c r="G7" t="s">
        <v>182</v>
      </c>
      <c r="J7" t="s">
        <v>183</v>
      </c>
    </row>
    <row r="8" spans="1:16" x14ac:dyDescent="0.25">
      <c r="A8" t="s">
        <v>127</v>
      </c>
      <c r="B8" t="s">
        <v>118</v>
      </c>
      <c r="C8" t="s">
        <v>184</v>
      </c>
      <c r="D8" t="s">
        <v>177</v>
      </c>
      <c r="E8" t="s">
        <v>185</v>
      </c>
      <c r="F8" t="s">
        <v>186</v>
      </c>
      <c r="G8" t="s">
        <v>187</v>
      </c>
    </row>
    <row r="9" spans="1:16" x14ac:dyDescent="0.25">
      <c r="A9" t="s">
        <v>127</v>
      </c>
      <c r="B9" t="s">
        <v>171</v>
      </c>
      <c r="C9" t="s">
        <v>171</v>
      </c>
      <c r="D9" t="s">
        <v>112</v>
      </c>
      <c r="E9" t="s">
        <v>172</v>
      </c>
      <c r="F9" t="s">
        <v>173</v>
      </c>
      <c r="G9" t="s">
        <v>174</v>
      </c>
      <c r="I9" t="s">
        <v>175</v>
      </c>
      <c r="J9" t="s">
        <v>176</v>
      </c>
      <c r="O9" t="s">
        <v>108</v>
      </c>
    </row>
    <row r="10" spans="1:16" x14ac:dyDescent="0.25">
      <c r="A10" t="s">
        <v>127</v>
      </c>
      <c r="B10" t="s">
        <v>183</v>
      </c>
      <c r="C10" t="s">
        <v>188</v>
      </c>
      <c r="F10" t="s">
        <v>191</v>
      </c>
      <c r="G10" t="s">
        <v>192</v>
      </c>
      <c r="M10" t="s">
        <v>113</v>
      </c>
    </row>
    <row r="11" spans="1:16" x14ac:dyDescent="0.25">
      <c r="A11" t="s">
        <v>127</v>
      </c>
      <c r="B11" t="s">
        <v>177</v>
      </c>
      <c r="C11" t="s">
        <v>112</v>
      </c>
      <c r="F11" t="s">
        <v>178</v>
      </c>
      <c r="G11" t="s">
        <v>179</v>
      </c>
      <c r="M11" t="s">
        <v>113</v>
      </c>
    </row>
    <row r="12" spans="1:16" x14ac:dyDescent="0.25">
      <c r="A12" t="s">
        <v>129</v>
      </c>
      <c r="B12" t="s">
        <v>171</v>
      </c>
      <c r="C12" t="s">
        <v>171</v>
      </c>
      <c r="D12" t="s">
        <v>112</v>
      </c>
      <c r="E12" t="s">
        <v>172</v>
      </c>
      <c r="F12" t="s">
        <v>173</v>
      </c>
      <c r="G12" t="s">
        <v>174</v>
      </c>
      <c r="I12" t="s">
        <v>175</v>
      </c>
      <c r="J12" t="s">
        <v>176</v>
      </c>
      <c r="O12" t="s">
        <v>108</v>
      </c>
    </row>
    <row r="13" spans="1:16" x14ac:dyDescent="0.25">
      <c r="A13" t="s">
        <v>129</v>
      </c>
      <c r="B13" t="s">
        <v>108</v>
      </c>
      <c r="C13" t="s">
        <v>118</v>
      </c>
      <c r="D13" t="s">
        <v>112</v>
      </c>
      <c r="E13" t="s">
        <v>180</v>
      </c>
      <c r="F13" t="s">
        <v>181</v>
      </c>
      <c r="G13" t="s">
        <v>182</v>
      </c>
      <c r="J13" t="s">
        <v>183</v>
      </c>
    </row>
    <row r="14" spans="1:16" x14ac:dyDescent="0.25">
      <c r="A14" t="s">
        <v>129</v>
      </c>
      <c r="B14" t="s">
        <v>118</v>
      </c>
      <c r="C14" t="s">
        <v>184</v>
      </c>
      <c r="D14" t="s">
        <v>177</v>
      </c>
      <c r="E14" t="s">
        <v>193</v>
      </c>
      <c r="F14" t="s">
        <v>186</v>
      </c>
      <c r="G14" t="s">
        <v>187</v>
      </c>
    </row>
    <row r="15" spans="1:16" x14ac:dyDescent="0.25">
      <c r="A15" t="s">
        <v>129</v>
      </c>
      <c r="B15" t="s">
        <v>183</v>
      </c>
      <c r="C15" t="s">
        <v>188</v>
      </c>
      <c r="F15" t="s">
        <v>191</v>
      </c>
      <c r="G15" t="s">
        <v>192</v>
      </c>
      <c r="M15" t="s">
        <v>113</v>
      </c>
    </row>
    <row r="16" spans="1:16" x14ac:dyDescent="0.25">
      <c r="A16" t="s">
        <v>129</v>
      </c>
      <c r="B16" t="s">
        <v>177</v>
      </c>
      <c r="C16" t="s">
        <v>112</v>
      </c>
      <c r="F16" t="s">
        <v>178</v>
      </c>
      <c r="G16" t="s">
        <v>179</v>
      </c>
      <c r="M16" t="s">
        <v>113</v>
      </c>
    </row>
    <row r="17" spans="1:15" x14ac:dyDescent="0.25">
      <c r="A17" t="s">
        <v>131</v>
      </c>
      <c r="B17" t="s">
        <v>171</v>
      </c>
      <c r="C17" t="s">
        <v>171</v>
      </c>
      <c r="D17" t="s">
        <v>112</v>
      </c>
      <c r="E17" t="s">
        <v>172</v>
      </c>
      <c r="F17" t="s">
        <v>173</v>
      </c>
      <c r="G17" t="s">
        <v>174</v>
      </c>
      <c r="I17" t="s">
        <v>175</v>
      </c>
      <c r="J17" t="s">
        <v>176</v>
      </c>
      <c r="O17" t="s">
        <v>108</v>
      </c>
    </row>
    <row r="18" spans="1:15" x14ac:dyDescent="0.25">
      <c r="A18" t="s">
        <v>131</v>
      </c>
      <c r="B18" t="s">
        <v>108</v>
      </c>
      <c r="C18" t="s">
        <v>118</v>
      </c>
      <c r="D18" t="s">
        <v>112</v>
      </c>
      <c r="E18" t="s">
        <v>180</v>
      </c>
      <c r="F18" t="s">
        <v>181</v>
      </c>
      <c r="G18" t="s">
        <v>182</v>
      </c>
      <c r="J18" t="s">
        <v>183</v>
      </c>
    </row>
    <row r="19" spans="1:15" x14ac:dyDescent="0.25">
      <c r="A19" t="s">
        <v>131</v>
      </c>
      <c r="B19" t="s">
        <v>118</v>
      </c>
      <c r="C19" t="s">
        <v>184</v>
      </c>
      <c r="D19" t="s">
        <v>177</v>
      </c>
      <c r="E19" t="s">
        <v>185</v>
      </c>
      <c r="F19" t="s">
        <v>186</v>
      </c>
      <c r="G19" t="s">
        <v>187</v>
      </c>
    </row>
    <row r="20" spans="1:15" x14ac:dyDescent="0.25">
      <c r="A20" t="s">
        <v>131</v>
      </c>
      <c r="B20" t="s">
        <v>183</v>
      </c>
      <c r="C20" t="s">
        <v>188</v>
      </c>
      <c r="F20" t="s">
        <v>194</v>
      </c>
      <c r="G20" t="s">
        <v>195</v>
      </c>
      <c r="M20" t="s">
        <v>113</v>
      </c>
    </row>
    <row r="21" spans="1:15" x14ac:dyDescent="0.25">
      <c r="A21" t="s">
        <v>131</v>
      </c>
      <c r="B21" t="s">
        <v>177</v>
      </c>
      <c r="C21" t="s">
        <v>112</v>
      </c>
      <c r="F21" t="s">
        <v>178</v>
      </c>
      <c r="G21" t="s">
        <v>179</v>
      </c>
      <c r="M21" t="s">
        <v>113</v>
      </c>
    </row>
    <row r="22" spans="1:15" x14ac:dyDescent="0.25">
      <c r="A22" t="s">
        <v>134</v>
      </c>
      <c r="B22" t="s">
        <v>108</v>
      </c>
      <c r="C22" t="s">
        <v>118</v>
      </c>
      <c r="D22" t="s">
        <v>112</v>
      </c>
      <c r="E22" t="s">
        <v>180</v>
      </c>
      <c r="F22" t="s">
        <v>181</v>
      </c>
      <c r="G22" t="s">
        <v>182</v>
      </c>
      <c r="J22" t="s">
        <v>183</v>
      </c>
    </row>
    <row r="23" spans="1:15" x14ac:dyDescent="0.25">
      <c r="A23" t="s">
        <v>134</v>
      </c>
      <c r="B23" t="s">
        <v>183</v>
      </c>
      <c r="C23" t="s">
        <v>188</v>
      </c>
      <c r="E23" t="s">
        <v>180</v>
      </c>
      <c r="F23" t="s">
        <v>194</v>
      </c>
      <c r="G23" t="s">
        <v>196</v>
      </c>
      <c r="M23" t="s">
        <v>113</v>
      </c>
    </row>
    <row r="24" spans="1:15" x14ac:dyDescent="0.25">
      <c r="A24" t="s">
        <v>134</v>
      </c>
      <c r="B24" t="s">
        <v>177</v>
      </c>
      <c r="C24" t="s">
        <v>112</v>
      </c>
      <c r="F24" t="s">
        <v>178</v>
      </c>
      <c r="G24" t="s">
        <v>197</v>
      </c>
      <c r="M24" t="s">
        <v>113</v>
      </c>
    </row>
    <row r="25" spans="1:15" x14ac:dyDescent="0.25">
      <c r="A25" t="s">
        <v>134</v>
      </c>
      <c r="B25" t="s">
        <v>118</v>
      </c>
      <c r="C25" t="s">
        <v>184</v>
      </c>
      <c r="D25" t="s">
        <v>177</v>
      </c>
      <c r="E25" t="s">
        <v>185</v>
      </c>
      <c r="F25" t="s">
        <v>186</v>
      </c>
      <c r="G25" t="s">
        <v>187</v>
      </c>
    </row>
    <row r="26" spans="1:15" x14ac:dyDescent="0.25">
      <c r="A26" t="s">
        <v>134</v>
      </c>
      <c r="B26" t="s">
        <v>171</v>
      </c>
      <c r="C26" t="s">
        <v>171</v>
      </c>
      <c r="D26" t="s">
        <v>112</v>
      </c>
      <c r="E26" t="s">
        <v>172</v>
      </c>
      <c r="F26" t="s">
        <v>173</v>
      </c>
      <c r="G26" t="s">
        <v>174</v>
      </c>
      <c r="O26" t="s">
        <v>108</v>
      </c>
    </row>
    <row r="27" spans="1:15" x14ac:dyDescent="0.25">
      <c r="A27" t="s">
        <v>136</v>
      </c>
      <c r="B27" t="s">
        <v>171</v>
      </c>
      <c r="C27" t="s">
        <v>171</v>
      </c>
      <c r="D27" t="s">
        <v>112</v>
      </c>
      <c r="E27" t="s">
        <v>172</v>
      </c>
      <c r="F27" t="s">
        <v>173</v>
      </c>
      <c r="G27" t="s">
        <v>174</v>
      </c>
      <c r="I27" t="s">
        <v>175</v>
      </c>
      <c r="J27" t="s">
        <v>176</v>
      </c>
      <c r="O27" t="s">
        <v>108</v>
      </c>
    </row>
    <row r="28" spans="1:15" x14ac:dyDescent="0.25">
      <c r="A28" t="s">
        <v>136</v>
      </c>
      <c r="B28" t="s">
        <v>108</v>
      </c>
      <c r="C28" t="s">
        <v>118</v>
      </c>
      <c r="D28" t="s">
        <v>112</v>
      </c>
      <c r="E28" t="s">
        <v>180</v>
      </c>
      <c r="F28" t="s">
        <v>181</v>
      </c>
      <c r="G28" t="s">
        <v>182</v>
      </c>
      <c r="J28" t="s">
        <v>183</v>
      </c>
    </row>
    <row r="29" spans="1:15" x14ac:dyDescent="0.25">
      <c r="A29" t="s">
        <v>136</v>
      </c>
      <c r="B29" t="s">
        <v>118</v>
      </c>
      <c r="C29" t="s">
        <v>184</v>
      </c>
      <c r="D29" t="s">
        <v>177</v>
      </c>
      <c r="E29" t="s">
        <v>185</v>
      </c>
      <c r="F29" t="s">
        <v>186</v>
      </c>
      <c r="G29" t="s">
        <v>187</v>
      </c>
    </row>
    <row r="30" spans="1:15" x14ac:dyDescent="0.25">
      <c r="A30" t="s">
        <v>136</v>
      </c>
      <c r="B30" t="s">
        <v>183</v>
      </c>
      <c r="C30" t="s">
        <v>188</v>
      </c>
      <c r="F30" t="s">
        <v>194</v>
      </c>
      <c r="G30" t="s">
        <v>195</v>
      </c>
      <c r="M30" t="s">
        <v>113</v>
      </c>
    </row>
    <row r="31" spans="1:15" x14ac:dyDescent="0.25">
      <c r="A31" t="s">
        <v>136</v>
      </c>
      <c r="B31" t="s">
        <v>177</v>
      </c>
      <c r="C31" t="s">
        <v>112</v>
      </c>
      <c r="F31" t="s">
        <v>178</v>
      </c>
      <c r="G31" t="s">
        <v>179</v>
      </c>
      <c r="M31" t="s">
        <v>113</v>
      </c>
    </row>
    <row r="32" spans="1:15" x14ac:dyDescent="0.25">
      <c r="A32" t="s">
        <v>138</v>
      </c>
      <c r="B32" t="s">
        <v>108</v>
      </c>
      <c r="C32" t="s">
        <v>118</v>
      </c>
      <c r="D32" t="s">
        <v>112</v>
      </c>
      <c r="E32" t="s">
        <v>180</v>
      </c>
      <c r="F32" t="s">
        <v>181</v>
      </c>
      <c r="G32" t="s">
        <v>182</v>
      </c>
      <c r="J32" t="s">
        <v>183</v>
      </c>
    </row>
    <row r="33" spans="1:15" x14ac:dyDescent="0.25">
      <c r="A33" t="s">
        <v>138</v>
      </c>
      <c r="B33" t="s">
        <v>183</v>
      </c>
      <c r="C33" t="s">
        <v>188</v>
      </c>
      <c r="E33" t="s">
        <v>180</v>
      </c>
      <c r="F33" t="s">
        <v>198</v>
      </c>
      <c r="G33" t="s">
        <v>199</v>
      </c>
      <c r="M33" t="s">
        <v>113</v>
      </c>
    </row>
    <row r="34" spans="1:15" x14ac:dyDescent="0.25">
      <c r="A34" t="s">
        <v>138</v>
      </c>
      <c r="B34" t="s">
        <v>177</v>
      </c>
      <c r="C34" t="s">
        <v>112</v>
      </c>
      <c r="F34" t="s">
        <v>178</v>
      </c>
      <c r="G34" t="s">
        <v>197</v>
      </c>
      <c r="M34" t="s">
        <v>113</v>
      </c>
    </row>
    <row r="35" spans="1:15" x14ac:dyDescent="0.25">
      <c r="A35" t="s">
        <v>138</v>
      </c>
      <c r="B35" t="s">
        <v>118</v>
      </c>
      <c r="C35" t="s">
        <v>184</v>
      </c>
      <c r="D35" t="s">
        <v>177</v>
      </c>
      <c r="E35" t="s">
        <v>185</v>
      </c>
      <c r="F35" t="s">
        <v>186</v>
      </c>
      <c r="G35" t="s">
        <v>187</v>
      </c>
    </row>
    <row r="36" spans="1:15" x14ac:dyDescent="0.25">
      <c r="A36" t="s">
        <v>138</v>
      </c>
      <c r="B36" t="s">
        <v>171</v>
      </c>
      <c r="C36" t="s">
        <v>171</v>
      </c>
      <c r="D36" t="s">
        <v>112</v>
      </c>
      <c r="E36" t="s">
        <v>172</v>
      </c>
      <c r="F36" t="s">
        <v>173</v>
      </c>
      <c r="G36" t="s">
        <v>174</v>
      </c>
      <c r="O36" t="s">
        <v>108</v>
      </c>
    </row>
    <row r="37" spans="1:15" x14ac:dyDescent="0.25">
      <c r="A37" t="s">
        <v>140</v>
      </c>
      <c r="B37" t="s">
        <v>108</v>
      </c>
      <c r="C37" t="s">
        <v>118</v>
      </c>
      <c r="D37" t="s">
        <v>112</v>
      </c>
      <c r="E37" t="s">
        <v>180</v>
      </c>
      <c r="F37" t="s">
        <v>181</v>
      </c>
      <c r="G37" t="s">
        <v>182</v>
      </c>
      <c r="J37" t="s">
        <v>183</v>
      </c>
    </row>
    <row r="38" spans="1:15" x14ac:dyDescent="0.25">
      <c r="A38" t="s">
        <v>140</v>
      </c>
      <c r="B38" t="s">
        <v>171</v>
      </c>
      <c r="C38" t="s">
        <v>171</v>
      </c>
      <c r="D38" t="s">
        <v>112</v>
      </c>
      <c r="E38" t="s">
        <v>172</v>
      </c>
      <c r="F38" t="s">
        <v>173</v>
      </c>
      <c r="G38" t="s">
        <v>174</v>
      </c>
      <c r="I38" t="s">
        <v>175</v>
      </c>
      <c r="J38" t="s">
        <v>176</v>
      </c>
      <c r="O38" t="s">
        <v>108</v>
      </c>
    </row>
    <row r="39" spans="1:15" x14ac:dyDescent="0.25">
      <c r="A39" t="s">
        <v>140</v>
      </c>
      <c r="B39" t="s">
        <v>118</v>
      </c>
      <c r="C39" t="s">
        <v>184</v>
      </c>
      <c r="D39" t="s">
        <v>177</v>
      </c>
      <c r="E39" t="s">
        <v>185</v>
      </c>
      <c r="F39" t="s">
        <v>186</v>
      </c>
      <c r="G39" t="s">
        <v>187</v>
      </c>
    </row>
    <row r="40" spans="1:15" x14ac:dyDescent="0.25">
      <c r="A40" t="s">
        <v>140</v>
      </c>
      <c r="B40" t="s">
        <v>183</v>
      </c>
      <c r="C40" t="s">
        <v>188</v>
      </c>
      <c r="F40" t="s">
        <v>198</v>
      </c>
      <c r="G40" t="s">
        <v>200</v>
      </c>
      <c r="M40" t="s">
        <v>113</v>
      </c>
    </row>
    <row r="41" spans="1:15" x14ac:dyDescent="0.25">
      <c r="A41" t="s">
        <v>140</v>
      </c>
      <c r="B41" t="s">
        <v>177</v>
      </c>
      <c r="C41" t="s">
        <v>112</v>
      </c>
      <c r="F41" t="s">
        <v>178</v>
      </c>
      <c r="G41" t="s">
        <v>179</v>
      </c>
      <c r="M41" t="s">
        <v>113</v>
      </c>
    </row>
    <row r="42" spans="1:15" x14ac:dyDescent="0.25">
      <c r="A42" t="s">
        <v>142</v>
      </c>
      <c r="B42" t="s">
        <v>177</v>
      </c>
      <c r="C42" t="s">
        <v>112</v>
      </c>
      <c r="F42" t="s">
        <v>178</v>
      </c>
      <c r="G42" t="s">
        <v>197</v>
      </c>
      <c r="M42" t="s">
        <v>113</v>
      </c>
    </row>
    <row r="43" spans="1:15" x14ac:dyDescent="0.25">
      <c r="A43" t="s">
        <v>142</v>
      </c>
      <c r="B43" t="s">
        <v>118</v>
      </c>
      <c r="C43" t="s">
        <v>184</v>
      </c>
      <c r="D43" t="s">
        <v>177</v>
      </c>
      <c r="E43" t="s">
        <v>180</v>
      </c>
      <c r="F43" t="s">
        <v>181</v>
      </c>
      <c r="G43" t="s">
        <v>182</v>
      </c>
    </row>
    <row r="44" spans="1:15" x14ac:dyDescent="0.25">
      <c r="A44" t="s">
        <v>142</v>
      </c>
      <c r="B44" t="s">
        <v>171</v>
      </c>
      <c r="C44" t="s">
        <v>171</v>
      </c>
      <c r="D44" t="s">
        <v>112</v>
      </c>
      <c r="E44" t="s">
        <v>172</v>
      </c>
      <c r="F44" t="s">
        <v>173</v>
      </c>
      <c r="G44" t="s">
        <v>174</v>
      </c>
      <c r="O44" t="s">
        <v>108</v>
      </c>
    </row>
    <row r="45" spans="1:15" x14ac:dyDescent="0.25">
      <c r="A45" t="s">
        <v>142</v>
      </c>
      <c r="B45" t="s">
        <v>108</v>
      </c>
      <c r="C45" t="s">
        <v>118</v>
      </c>
      <c r="D45" t="s">
        <v>112</v>
      </c>
      <c r="E45" t="s">
        <v>180</v>
      </c>
      <c r="F45" t="s">
        <v>181</v>
      </c>
      <c r="G45" t="s">
        <v>182</v>
      </c>
      <c r="J45" t="s">
        <v>183</v>
      </c>
    </row>
    <row r="46" spans="1:15" x14ac:dyDescent="0.25">
      <c r="A46" t="s">
        <v>142</v>
      </c>
      <c r="B46" t="s">
        <v>183</v>
      </c>
      <c r="C46" t="s">
        <v>188</v>
      </c>
      <c r="E46" t="s">
        <v>180</v>
      </c>
      <c r="F46" t="s">
        <v>201</v>
      </c>
      <c r="G46" t="s">
        <v>202</v>
      </c>
      <c r="M46" t="s">
        <v>113</v>
      </c>
    </row>
    <row r="47" spans="1:15" x14ac:dyDescent="0.25">
      <c r="A47" t="s">
        <v>144</v>
      </c>
      <c r="B47" t="s">
        <v>108</v>
      </c>
      <c r="C47" t="s">
        <v>118</v>
      </c>
      <c r="D47" t="s">
        <v>112</v>
      </c>
      <c r="E47" t="s">
        <v>180</v>
      </c>
      <c r="F47" t="s">
        <v>181</v>
      </c>
      <c r="G47" t="s">
        <v>182</v>
      </c>
      <c r="J47" t="s">
        <v>183</v>
      </c>
    </row>
    <row r="48" spans="1:15" x14ac:dyDescent="0.25">
      <c r="A48" t="s">
        <v>144</v>
      </c>
      <c r="B48" t="s">
        <v>183</v>
      </c>
      <c r="C48" t="s">
        <v>188</v>
      </c>
      <c r="E48" t="s">
        <v>180</v>
      </c>
      <c r="F48" t="s">
        <v>189</v>
      </c>
      <c r="G48" t="s">
        <v>203</v>
      </c>
      <c r="M48" t="s">
        <v>113</v>
      </c>
    </row>
    <row r="49" spans="1:15" x14ac:dyDescent="0.25">
      <c r="A49" t="s">
        <v>144</v>
      </c>
      <c r="B49" t="s">
        <v>177</v>
      </c>
      <c r="C49" t="s">
        <v>112</v>
      </c>
      <c r="F49" t="s">
        <v>178</v>
      </c>
      <c r="G49" t="s">
        <v>197</v>
      </c>
      <c r="M49" t="s">
        <v>113</v>
      </c>
    </row>
    <row r="50" spans="1:15" x14ac:dyDescent="0.25">
      <c r="A50" t="s">
        <v>144</v>
      </c>
      <c r="B50" t="s">
        <v>118</v>
      </c>
      <c r="C50" t="s">
        <v>184</v>
      </c>
      <c r="D50" t="s">
        <v>177</v>
      </c>
      <c r="E50" t="s">
        <v>185</v>
      </c>
      <c r="F50" t="s">
        <v>186</v>
      </c>
      <c r="G50" t="s">
        <v>187</v>
      </c>
    </row>
    <row r="51" spans="1:15" x14ac:dyDescent="0.25">
      <c r="A51" t="s">
        <v>144</v>
      </c>
      <c r="B51" t="s">
        <v>171</v>
      </c>
      <c r="C51" t="s">
        <v>171</v>
      </c>
      <c r="D51" t="s">
        <v>112</v>
      </c>
      <c r="E51" t="s">
        <v>172</v>
      </c>
      <c r="F51" t="s">
        <v>173</v>
      </c>
      <c r="G51" t="s">
        <v>174</v>
      </c>
      <c r="O51" t="s">
        <v>108</v>
      </c>
    </row>
    <row r="52" spans="1:15" x14ac:dyDescent="0.25">
      <c r="A52" t="s">
        <v>146</v>
      </c>
      <c r="B52" t="s">
        <v>171</v>
      </c>
      <c r="C52" t="s">
        <v>171</v>
      </c>
      <c r="D52" t="s">
        <v>112</v>
      </c>
      <c r="E52" t="s">
        <v>172</v>
      </c>
      <c r="F52" t="s">
        <v>173</v>
      </c>
      <c r="G52" t="s">
        <v>174</v>
      </c>
      <c r="I52" t="s">
        <v>175</v>
      </c>
      <c r="J52" t="s">
        <v>176</v>
      </c>
      <c r="O52" t="s">
        <v>108</v>
      </c>
    </row>
    <row r="53" spans="1:15" x14ac:dyDescent="0.25">
      <c r="A53" t="s">
        <v>146</v>
      </c>
      <c r="B53" t="s">
        <v>108</v>
      </c>
      <c r="C53" t="s">
        <v>118</v>
      </c>
      <c r="D53" t="s">
        <v>112</v>
      </c>
      <c r="E53" t="s">
        <v>180</v>
      </c>
      <c r="F53" t="s">
        <v>181</v>
      </c>
      <c r="G53" t="s">
        <v>182</v>
      </c>
      <c r="J53" t="s">
        <v>183</v>
      </c>
    </row>
    <row r="54" spans="1:15" x14ac:dyDescent="0.25">
      <c r="A54" t="s">
        <v>146</v>
      </c>
      <c r="B54" t="s">
        <v>118</v>
      </c>
      <c r="C54" t="s">
        <v>184</v>
      </c>
      <c r="D54" t="s">
        <v>177</v>
      </c>
      <c r="E54" t="s">
        <v>185</v>
      </c>
      <c r="F54" t="s">
        <v>186</v>
      </c>
      <c r="G54" t="s">
        <v>187</v>
      </c>
    </row>
    <row r="55" spans="1:15" x14ac:dyDescent="0.25">
      <c r="A55" t="s">
        <v>146</v>
      </c>
      <c r="B55" t="s">
        <v>183</v>
      </c>
      <c r="C55" t="s">
        <v>188</v>
      </c>
      <c r="F55" t="s">
        <v>189</v>
      </c>
      <c r="G55" t="s">
        <v>190</v>
      </c>
      <c r="M55" t="s">
        <v>113</v>
      </c>
    </row>
    <row r="56" spans="1:15" x14ac:dyDescent="0.25">
      <c r="A56" t="s">
        <v>146</v>
      </c>
      <c r="B56" t="s">
        <v>177</v>
      </c>
      <c r="C56" t="s">
        <v>112</v>
      </c>
      <c r="F56" t="s">
        <v>178</v>
      </c>
      <c r="G56" t="s">
        <v>179</v>
      </c>
      <c r="M56" t="s">
        <v>113</v>
      </c>
    </row>
    <row r="57" spans="1:15" x14ac:dyDescent="0.25">
      <c r="A57" t="s">
        <v>148</v>
      </c>
      <c r="B57" t="s">
        <v>108</v>
      </c>
      <c r="C57" t="s">
        <v>118</v>
      </c>
      <c r="D57" t="s">
        <v>112</v>
      </c>
      <c r="E57" t="s">
        <v>180</v>
      </c>
      <c r="F57" t="s">
        <v>181</v>
      </c>
      <c r="G57" t="s">
        <v>182</v>
      </c>
      <c r="J57" t="s">
        <v>183</v>
      </c>
    </row>
    <row r="58" spans="1:15" x14ac:dyDescent="0.25">
      <c r="A58" t="s">
        <v>148</v>
      </c>
      <c r="B58" t="s">
        <v>183</v>
      </c>
      <c r="C58" t="s">
        <v>188</v>
      </c>
      <c r="E58" t="s">
        <v>180</v>
      </c>
      <c r="F58" t="s">
        <v>191</v>
      </c>
      <c r="G58" t="s">
        <v>204</v>
      </c>
      <c r="M58" t="s">
        <v>113</v>
      </c>
    </row>
    <row r="59" spans="1:15" x14ac:dyDescent="0.25">
      <c r="A59" t="s">
        <v>148</v>
      </c>
      <c r="B59" t="s">
        <v>177</v>
      </c>
      <c r="C59" t="s">
        <v>112</v>
      </c>
      <c r="F59" t="s">
        <v>178</v>
      </c>
      <c r="G59" t="s">
        <v>197</v>
      </c>
      <c r="M59" t="s">
        <v>113</v>
      </c>
    </row>
    <row r="60" spans="1:15" x14ac:dyDescent="0.25">
      <c r="A60" t="s">
        <v>148</v>
      </c>
      <c r="B60" t="s">
        <v>118</v>
      </c>
      <c r="C60" t="s">
        <v>184</v>
      </c>
      <c r="D60" t="s">
        <v>177</v>
      </c>
      <c r="E60" t="s">
        <v>185</v>
      </c>
      <c r="F60" t="s">
        <v>186</v>
      </c>
      <c r="G60" t="s">
        <v>187</v>
      </c>
    </row>
    <row r="61" spans="1:15" x14ac:dyDescent="0.25">
      <c r="A61" t="s">
        <v>148</v>
      </c>
      <c r="B61" t="s">
        <v>171</v>
      </c>
      <c r="C61" t="s">
        <v>171</v>
      </c>
      <c r="D61" t="s">
        <v>112</v>
      </c>
      <c r="E61" t="s">
        <v>172</v>
      </c>
      <c r="F61" t="s">
        <v>173</v>
      </c>
      <c r="G61" t="s">
        <v>174</v>
      </c>
      <c r="O61" t="s">
        <v>108</v>
      </c>
    </row>
    <row r="62" spans="1:15" x14ac:dyDescent="0.25">
      <c r="A62" t="s">
        <v>150</v>
      </c>
      <c r="B62" t="s">
        <v>118</v>
      </c>
      <c r="C62" t="s">
        <v>184</v>
      </c>
      <c r="D62" t="s">
        <v>177</v>
      </c>
      <c r="E62" t="s">
        <v>185</v>
      </c>
      <c r="F62" t="s">
        <v>186</v>
      </c>
      <c r="G62" t="s">
        <v>187</v>
      </c>
    </row>
    <row r="63" spans="1:15" x14ac:dyDescent="0.25">
      <c r="A63" t="s">
        <v>150</v>
      </c>
      <c r="B63" t="s">
        <v>183</v>
      </c>
      <c r="C63" t="s">
        <v>188</v>
      </c>
      <c r="F63" t="s">
        <v>191</v>
      </c>
      <c r="G63" t="s">
        <v>192</v>
      </c>
      <c r="M63" t="s">
        <v>113</v>
      </c>
    </row>
    <row r="64" spans="1:15" x14ac:dyDescent="0.25">
      <c r="A64" t="s">
        <v>150</v>
      </c>
      <c r="B64" t="s">
        <v>177</v>
      </c>
      <c r="C64" t="s">
        <v>112</v>
      </c>
      <c r="F64" t="s">
        <v>178</v>
      </c>
      <c r="G64" t="s">
        <v>179</v>
      </c>
      <c r="M64" t="s">
        <v>113</v>
      </c>
    </row>
    <row r="65" spans="1:15" x14ac:dyDescent="0.25">
      <c r="A65" t="s">
        <v>150</v>
      </c>
      <c r="B65" t="s">
        <v>171</v>
      </c>
      <c r="C65" t="s">
        <v>171</v>
      </c>
      <c r="D65" t="s">
        <v>112</v>
      </c>
      <c r="E65" t="s">
        <v>172</v>
      </c>
      <c r="F65" t="s">
        <v>173</v>
      </c>
      <c r="G65" t="s">
        <v>174</v>
      </c>
      <c r="I65" t="s">
        <v>175</v>
      </c>
      <c r="J65" t="s">
        <v>176</v>
      </c>
      <c r="O65" t="s">
        <v>108</v>
      </c>
    </row>
    <row r="66" spans="1:15" x14ac:dyDescent="0.25">
      <c r="A66" t="s">
        <v>150</v>
      </c>
      <c r="B66" t="s">
        <v>108</v>
      </c>
      <c r="C66" t="s">
        <v>118</v>
      </c>
      <c r="D66" t="s">
        <v>112</v>
      </c>
      <c r="E66" t="s">
        <v>180</v>
      </c>
      <c r="F66" t="s">
        <v>181</v>
      </c>
      <c r="G66" t="s">
        <v>182</v>
      </c>
      <c r="J66" t="s">
        <v>183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8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156</v>
      </c>
      <c r="C1" s="1" t="s">
        <v>1</v>
      </c>
      <c r="D1" s="1" t="s">
        <v>205</v>
      </c>
      <c r="E1" s="1" t="s">
        <v>206</v>
      </c>
      <c r="F1" s="1" t="s">
        <v>207</v>
      </c>
      <c r="G1" s="1" t="s">
        <v>208</v>
      </c>
    </row>
    <row r="2" spans="1:7" x14ac:dyDescent="0.25">
      <c r="A2" t="s">
        <v>104</v>
      </c>
      <c r="B2">
        <v>1</v>
      </c>
      <c r="C2" t="s">
        <v>209</v>
      </c>
      <c r="D2" t="s">
        <v>210</v>
      </c>
      <c r="E2" t="s">
        <v>211</v>
      </c>
    </row>
    <row r="3" spans="1:7" x14ac:dyDescent="0.25">
      <c r="A3" t="s">
        <v>104</v>
      </c>
      <c r="B3">
        <v>2</v>
      </c>
      <c r="C3" t="s">
        <v>212</v>
      </c>
      <c r="D3" t="s">
        <v>213</v>
      </c>
      <c r="E3" t="s">
        <v>117</v>
      </c>
    </row>
    <row r="4" spans="1:7" x14ac:dyDescent="0.25">
      <c r="A4" t="s">
        <v>104</v>
      </c>
      <c r="B4">
        <v>3</v>
      </c>
      <c r="C4" t="s">
        <v>214</v>
      </c>
      <c r="D4" t="s">
        <v>213</v>
      </c>
      <c r="E4" t="s">
        <v>117</v>
      </c>
    </row>
    <row r="5" spans="1:7" x14ac:dyDescent="0.25">
      <c r="A5" t="s">
        <v>104</v>
      </c>
      <c r="B5">
        <v>4</v>
      </c>
      <c r="C5" t="s">
        <v>171</v>
      </c>
      <c r="D5" t="s">
        <v>215</v>
      </c>
      <c r="E5" t="s">
        <v>216</v>
      </c>
    </row>
    <row r="6" spans="1:7" x14ac:dyDescent="0.25">
      <c r="A6" t="s">
        <v>127</v>
      </c>
      <c r="B6">
        <v>1</v>
      </c>
      <c r="C6" t="s">
        <v>209</v>
      </c>
      <c r="D6" t="s">
        <v>210</v>
      </c>
      <c r="E6" t="s">
        <v>211</v>
      </c>
    </row>
    <row r="7" spans="1:7" x14ac:dyDescent="0.25">
      <c r="A7" t="s">
        <v>127</v>
      </c>
      <c r="B7">
        <v>2</v>
      </c>
      <c r="C7" t="s">
        <v>212</v>
      </c>
      <c r="D7" t="s">
        <v>217</v>
      </c>
      <c r="E7" t="s">
        <v>117</v>
      </c>
    </row>
    <row r="8" spans="1:7" x14ac:dyDescent="0.25">
      <c r="A8" t="s">
        <v>127</v>
      </c>
      <c r="B8">
        <v>3</v>
      </c>
      <c r="C8" t="s">
        <v>214</v>
      </c>
      <c r="D8" t="s">
        <v>217</v>
      </c>
      <c r="E8" t="s">
        <v>117</v>
      </c>
    </row>
    <row r="9" spans="1:7" x14ac:dyDescent="0.25">
      <c r="A9" t="s">
        <v>127</v>
      </c>
      <c r="B9">
        <v>4</v>
      </c>
      <c r="C9" t="s">
        <v>171</v>
      </c>
      <c r="D9" t="s">
        <v>215</v>
      </c>
      <c r="E9" t="s">
        <v>216</v>
      </c>
    </row>
    <row r="10" spans="1:7" x14ac:dyDescent="0.25">
      <c r="A10" t="s">
        <v>127</v>
      </c>
      <c r="B10">
        <v>5</v>
      </c>
      <c r="C10" t="s">
        <v>171</v>
      </c>
      <c r="D10" t="s">
        <v>218</v>
      </c>
      <c r="E10" t="s">
        <v>219</v>
      </c>
    </row>
    <row r="11" spans="1:7" x14ac:dyDescent="0.25">
      <c r="A11" t="s">
        <v>127</v>
      </c>
      <c r="B11">
        <v>6</v>
      </c>
      <c r="C11" t="s">
        <v>171</v>
      </c>
      <c r="D11" t="s">
        <v>220</v>
      </c>
      <c r="E11" t="s">
        <v>221</v>
      </c>
    </row>
    <row r="12" spans="1:7" x14ac:dyDescent="0.25">
      <c r="A12" t="s">
        <v>129</v>
      </c>
      <c r="B12">
        <v>1</v>
      </c>
      <c r="C12" t="s">
        <v>209</v>
      </c>
      <c r="D12" t="s">
        <v>210</v>
      </c>
      <c r="E12" t="s">
        <v>211</v>
      </c>
    </row>
    <row r="13" spans="1:7" x14ac:dyDescent="0.25">
      <c r="A13" t="s">
        <v>129</v>
      </c>
      <c r="B13">
        <v>2</v>
      </c>
      <c r="C13" t="s">
        <v>212</v>
      </c>
      <c r="D13" t="s">
        <v>222</v>
      </c>
      <c r="E13" t="s">
        <v>117</v>
      </c>
    </row>
    <row r="14" spans="1:7" x14ac:dyDescent="0.25">
      <c r="A14" t="s">
        <v>129</v>
      </c>
      <c r="B14">
        <v>3</v>
      </c>
      <c r="C14" t="s">
        <v>214</v>
      </c>
      <c r="D14" t="s">
        <v>222</v>
      </c>
      <c r="E14" t="s">
        <v>117</v>
      </c>
    </row>
    <row r="15" spans="1:7" x14ac:dyDescent="0.25">
      <c r="A15" t="s">
        <v>129</v>
      </c>
      <c r="B15">
        <v>4</v>
      </c>
      <c r="C15" t="s">
        <v>171</v>
      </c>
      <c r="D15" t="s">
        <v>223</v>
      </c>
      <c r="E15" t="s">
        <v>224</v>
      </c>
    </row>
    <row r="16" spans="1:7" x14ac:dyDescent="0.25">
      <c r="A16" t="s">
        <v>129</v>
      </c>
      <c r="B16">
        <v>5</v>
      </c>
      <c r="C16" t="s">
        <v>171</v>
      </c>
      <c r="D16" t="s">
        <v>225</v>
      </c>
      <c r="E16" t="s">
        <v>226</v>
      </c>
    </row>
    <row r="17" spans="1:5" x14ac:dyDescent="0.25">
      <c r="A17" t="s">
        <v>129</v>
      </c>
      <c r="B17">
        <v>6</v>
      </c>
      <c r="C17" t="s">
        <v>171</v>
      </c>
      <c r="D17" t="s">
        <v>227</v>
      </c>
      <c r="E17" t="s">
        <v>228</v>
      </c>
    </row>
    <row r="18" spans="1:5" x14ac:dyDescent="0.25">
      <c r="A18" t="s">
        <v>131</v>
      </c>
      <c r="B18">
        <v>1</v>
      </c>
      <c r="C18" t="s">
        <v>209</v>
      </c>
      <c r="D18" t="s">
        <v>210</v>
      </c>
      <c r="E18" t="s">
        <v>211</v>
      </c>
    </row>
    <row r="19" spans="1:5" x14ac:dyDescent="0.25">
      <c r="A19" t="s">
        <v>131</v>
      </c>
      <c r="B19">
        <v>2</v>
      </c>
      <c r="C19" t="s">
        <v>212</v>
      </c>
      <c r="D19" t="s">
        <v>229</v>
      </c>
      <c r="E19" t="s">
        <v>117</v>
      </c>
    </row>
    <row r="20" spans="1:5" x14ac:dyDescent="0.25">
      <c r="A20" t="s">
        <v>131</v>
      </c>
      <c r="B20">
        <v>3</v>
      </c>
      <c r="C20" t="s">
        <v>214</v>
      </c>
      <c r="D20" t="s">
        <v>229</v>
      </c>
      <c r="E20" t="s">
        <v>117</v>
      </c>
    </row>
    <row r="21" spans="1:5" x14ac:dyDescent="0.25">
      <c r="A21" t="s">
        <v>131</v>
      </c>
      <c r="B21">
        <v>4</v>
      </c>
      <c r="C21" t="s">
        <v>171</v>
      </c>
      <c r="D21" t="s">
        <v>223</v>
      </c>
      <c r="E21" t="s">
        <v>224</v>
      </c>
    </row>
    <row r="22" spans="1:5" x14ac:dyDescent="0.25">
      <c r="A22" t="s">
        <v>131</v>
      </c>
      <c r="B22">
        <v>5</v>
      </c>
      <c r="C22" t="s">
        <v>171</v>
      </c>
      <c r="D22" t="s">
        <v>225</v>
      </c>
      <c r="E22" t="s">
        <v>226</v>
      </c>
    </row>
    <row r="23" spans="1:5" x14ac:dyDescent="0.25">
      <c r="A23" t="s">
        <v>131</v>
      </c>
      <c r="B23">
        <v>6</v>
      </c>
      <c r="C23" t="s">
        <v>171</v>
      </c>
      <c r="D23" t="s">
        <v>227</v>
      </c>
      <c r="E23" t="s">
        <v>228</v>
      </c>
    </row>
    <row r="24" spans="1:5" x14ac:dyDescent="0.25">
      <c r="A24" t="s">
        <v>134</v>
      </c>
      <c r="B24">
        <v>1</v>
      </c>
      <c r="C24" t="s">
        <v>209</v>
      </c>
      <c r="D24" t="s">
        <v>210</v>
      </c>
      <c r="E24" t="s">
        <v>211</v>
      </c>
    </row>
    <row r="25" spans="1:5" x14ac:dyDescent="0.25">
      <c r="A25" t="s">
        <v>134</v>
      </c>
      <c r="B25">
        <v>2</v>
      </c>
      <c r="C25" t="s">
        <v>212</v>
      </c>
      <c r="D25" t="s">
        <v>230</v>
      </c>
      <c r="E25" t="s">
        <v>117</v>
      </c>
    </row>
    <row r="26" spans="1:5" x14ac:dyDescent="0.25">
      <c r="A26" t="s">
        <v>134</v>
      </c>
      <c r="B26">
        <v>3</v>
      </c>
      <c r="C26" t="s">
        <v>214</v>
      </c>
      <c r="D26" t="s">
        <v>230</v>
      </c>
      <c r="E26" t="s">
        <v>117</v>
      </c>
    </row>
    <row r="27" spans="1:5" x14ac:dyDescent="0.25">
      <c r="A27" t="s">
        <v>134</v>
      </c>
      <c r="B27">
        <v>4</v>
      </c>
      <c r="C27" t="s">
        <v>171</v>
      </c>
      <c r="D27" t="s">
        <v>231</v>
      </c>
      <c r="E27" t="s">
        <v>232</v>
      </c>
    </row>
    <row r="28" spans="1:5" x14ac:dyDescent="0.25">
      <c r="A28" t="s">
        <v>134</v>
      </c>
      <c r="B28">
        <v>5</v>
      </c>
      <c r="C28" t="s">
        <v>171</v>
      </c>
      <c r="D28" t="s">
        <v>233</v>
      </c>
      <c r="E28" t="s">
        <v>234</v>
      </c>
    </row>
    <row r="29" spans="1:5" x14ac:dyDescent="0.25">
      <c r="A29" t="s">
        <v>134</v>
      </c>
      <c r="B29">
        <v>6</v>
      </c>
      <c r="C29" t="s">
        <v>171</v>
      </c>
      <c r="D29" t="s">
        <v>235</v>
      </c>
      <c r="E29" t="s">
        <v>236</v>
      </c>
    </row>
    <row r="30" spans="1:5" x14ac:dyDescent="0.25">
      <c r="A30" t="s">
        <v>136</v>
      </c>
      <c r="B30">
        <v>1</v>
      </c>
      <c r="C30" t="s">
        <v>209</v>
      </c>
      <c r="D30" t="s">
        <v>210</v>
      </c>
      <c r="E30" t="s">
        <v>211</v>
      </c>
    </row>
    <row r="31" spans="1:5" x14ac:dyDescent="0.25">
      <c r="A31" t="s">
        <v>136</v>
      </c>
      <c r="B31">
        <v>2</v>
      </c>
      <c r="C31" t="s">
        <v>212</v>
      </c>
      <c r="D31" t="s">
        <v>237</v>
      </c>
      <c r="E31" t="s">
        <v>117</v>
      </c>
    </row>
    <row r="32" spans="1:5" x14ac:dyDescent="0.25">
      <c r="A32" t="s">
        <v>136</v>
      </c>
      <c r="B32">
        <v>3</v>
      </c>
      <c r="C32" t="s">
        <v>214</v>
      </c>
      <c r="D32" t="s">
        <v>237</v>
      </c>
      <c r="E32" t="s">
        <v>117</v>
      </c>
    </row>
    <row r="33" spans="1:5" x14ac:dyDescent="0.25">
      <c r="A33" t="s">
        <v>136</v>
      </c>
      <c r="B33">
        <v>4</v>
      </c>
      <c r="C33" t="s">
        <v>171</v>
      </c>
      <c r="D33" t="s">
        <v>238</v>
      </c>
      <c r="E33" t="s">
        <v>239</v>
      </c>
    </row>
    <row r="34" spans="1:5" x14ac:dyDescent="0.25">
      <c r="A34" t="s">
        <v>136</v>
      </c>
      <c r="B34">
        <v>5</v>
      </c>
      <c r="C34" t="s">
        <v>171</v>
      </c>
      <c r="D34" t="s">
        <v>240</v>
      </c>
      <c r="E34" t="s">
        <v>241</v>
      </c>
    </row>
    <row r="35" spans="1:5" x14ac:dyDescent="0.25">
      <c r="A35" t="s">
        <v>136</v>
      </c>
      <c r="B35">
        <v>6</v>
      </c>
      <c r="C35" t="s">
        <v>171</v>
      </c>
      <c r="D35" t="s">
        <v>242</v>
      </c>
      <c r="E35" t="s">
        <v>243</v>
      </c>
    </row>
    <row r="36" spans="1:5" x14ac:dyDescent="0.25">
      <c r="A36" t="s">
        <v>138</v>
      </c>
      <c r="B36">
        <v>1</v>
      </c>
      <c r="C36" t="s">
        <v>209</v>
      </c>
      <c r="D36" t="s">
        <v>210</v>
      </c>
      <c r="E36" t="s">
        <v>211</v>
      </c>
    </row>
    <row r="37" spans="1:5" x14ac:dyDescent="0.25">
      <c r="A37" t="s">
        <v>138</v>
      </c>
      <c r="B37">
        <v>2</v>
      </c>
      <c r="C37" t="s">
        <v>212</v>
      </c>
      <c r="D37" t="s">
        <v>244</v>
      </c>
      <c r="E37" t="s">
        <v>117</v>
      </c>
    </row>
    <row r="38" spans="1:5" x14ac:dyDescent="0.25">
      <c r="A38" t="s">
        <v>138</v>
      </c>
      <c r="B38">
        <v>3</v>
      </c>
      <c r="C38" t="s">
        <v>214</v>
      </c>
      <c r="D38" t="s">
        <v>244</v>
      </c>
      <c r="E38" t="s">
        <v>117</v>
      </c>
    </row>
    <row r="39" spans="1:5" x14ac:dyDescent="0.25">
      <c r="A39" t="s">
        <v>138</v>
      </c>
      <c r="B39">
        <v>4</v>
      </c>
      <c r="C39" t="s">
        <v>171</v>
      </c>
      <c r="D39" t="s">
        <v>231</v>
      </c>
      <c r="E39" t="s">
        <v>232</v>
      </c>
    </row>
    <row r="40" spans="1:5" x14ac:dyDescent="0.25">
      <c r="A40" t="s">
        <v>138</v>
      </c>
      <c r="B40">
        <v>5</v>
      </c>
      <c r="C40" t="s">
        <v>171</v>
      </c>
      <c r="D40" t="s">
        <v>233</v>
      </c>
      <c r="E40" t="s">
        <v>234</v>
      </c>
    </row>
    <row r="41" spans="1:5" x14ac:dyDescent="0.25">
      <c r="A41" t="s">
        <v>138</v>
      </c>
      <c r="B41">
        <v>6</v>
      </c>
      <c r="C41" t="s">
        <v>171</v>
      </c>
      <c r="D41" t="s">
        <v>235</v>
      </c>
      <c r="E41" t="s">
        <v>236</v>
      </c>
    </row>
    <row r="42" spans="1:5" x14ac:dyDescent="0.25">
      <c r="A42" t="s">
        <v>140</v>
      </c>
      <c r="B42">
        <v>1</v>
      </c>
      <c r="C42" t="s">
        <v>209</v>
      </c>
      <c r="D42" t="s">
        <v>210</v>
      </c>
      <c r="E42" t="s">
        <v>211</v>
      </c>
    </row>
    <row r="43" spans="1:5" x14ac:dyDescent="0.25">
      <c r="A43" t="s">
        <v>140</v>
      </c>
      <c r="B43">
        <v>2</v>
      </c>
      <c r="C43" t="s">
        <v>212</v>
      </c>
      <c r="D43" t="s">
        <v>245</v>
      </c>
      <c r="E43" t="s">
        <v>117</v>
      </c>
    </row>
    <row r="44" spans="1:5" x14ac:dyDescent="0.25">
      <c r="A44" t="s">
        <v>140</v>
      </c>
      <c r="B44">
        <v>3</v>
      </c>
      <c r="C44" t="s">
        <v>214</v>
      </c>
      <c r="D44" t="s">
        <v>245</v>
      </c>
      <c r="E44" t="s">
        <v>117</v>
      </c>
    </row>
    <row r="45" spans="1:5" x14ac:dyDescent="0.25">
      <c r="A45" t="s">
        <v>140</v>
      </c>
      <c r="B45">
        <v>4</v>
      </c>
      <c r="C45" t="s">
        <v>171</v>
      </c>
      <c r="D45" t="s">
        <v>246</v>
      </c>
      <c r="E45" t="s">
        <v>221</v>
      </c>
    </row>
    <row r="46" spans="1:5" x14ac:dyDescent="0.25">
      <c r="A46" t="s">
        <v>140</v>
      </c>
      <c r="B46">
        <v>5</v>
      </c>
      <c r="C46" t="s">
        <v>171</v>
      </c>
      <c r="D46" t="s">
        <v>220</v>
      </c>
      <c r="E46" t="s">
        <v>221</v>
      </c>
    </row>
    <row r="47" spans="1:5" x14ac:dyDescent="0.25">
      <c r="A47" t="s">
        <v>140</v>
      </c>
      <c r="B47">
        <v>6</v>
      </c>
      <c r="C47" t="s">
        <v>171</v>
      </c>
      <c r="D47" t="s">
        <v>247</v>
      </c>
      <c r="E47" t="s">
        <v>221</v>
      </c>
    </row>
    <row r="48" spans="1:5" x14ac:dyDescent="0.25">
      <c r="A48" t="s">
        <v>140</v>
      </c>
      <c r="B48">
        <v>7</v>
      </c>
      <c r="C48" t="s">
        <v>171</v>
      </c>
      <c r="D48" t="s">
        <v>248</v>
      </c>
      <c r="E48" t="s">
        <v>249</v>
      </c>
    </row>
    <row r="49" spans="1:5" x14ac:dyDescent="0.25">
      <c r="A49" t="s">
        <v>142</v>
      </c>
      <c r="B49">
        <v>1</v>
      </c>
      <c r="C49" t="s">
        <v>209</v>
      </c>
      <c r="D49" t="s">
        <v>210</v>
      </c>
      <c r="E49" t="s">
        <v>211</v>
      </c>
    </row>
    <row r="50" spans="1:5" x14ac:dyDescent="0.25">
      <c r="A50" t="s">
        <v>142</v>
      </c>
      <c r="B50">
        <v>2</v>
      </c>
      <c r="C50" t="s">
        <v>212</v>
      </c>
      <c r="D50" t="s">
        <v>250</v>
      </c>
      <c r="E50" t="s">
        <v>117</v>
      </c>
    </row>
    <row r="51" spans="1:5" x14ac:dyDescent="0.25">
      <c r="A51" t="s">
        <v>142</v>
      </c>
      <c r="B51">
        <v>3</v>
      </c>
      <c r="C51" t="s">
        <v>214</v>
      </c>
      <c r="D51" t="s">
        <v>250</v>
      </c>
      <c r="E51" t="s">
        <v>117</v>
      </c>
    </row>
    <row r="52" spans="1:5" x14ac:dyDescent="0.25">
      <c r="A52" t="s">
        <v>142</v>
      </c>
      <c r="B52">
        <v>4</v>
      </c>
      <c r="C52" t="s">
        <v>171</v>
      </c>
      <c r="D52" t="s">
        <v>231</v>
      </c>
      <c r="E52" t="s">
        <v>232</v>
      </c>
    </row>
    <row r="53" spans="1:5" x14ac:dyDescent="0.25">
      <c r="A53" t="s">
        <v>142</v>
      </c>
      <c r="B53">
        <v>5</v>
      </c>
      <c r="C53" t="s">
        <v>171</v>
      </c>
      <c r="D53" t="s">
        <v>233</v>
      </c>
      <c r="E53" t="s">
        <v>234</v>
      </c>
    </row>
    <row r="54" spans="1:5" x14ac:dyDescent="0.25">
      <c r="A54" t="s">
        <v>142</v>
      </c>
      <c r="B54">
        <v>6</v>
      </c>
      <c r="C54" t="s">
        <v>171</v>
      </c>
      <c r="D54" t="s">
        <v>235</v>
      </c>
      <c r="E54" t="s">
        <v>236</v>
      </c>
    </row>
    <row r="55" spans="1:5" x14ac:dyDescent="0.25">
      <c r="A55" t="s">
        <v>144</v>
      </c>
      <c r="B55">
        <v>1</v>
      </c>
      <c r="C55" t="s">
        <v>209</v>
      </c>
      <c r="D55" t="s">
        <v>210</v>
      </c>
      <c r="E55" t="s">
        <v>211</v>
      </c>
    </row>
    <row r="56" spans="1:5" x14ac:dyDescent="0.25">
      <c r="A56" t="s">
        <v>144</v>
      </c>
      <c r="B56">
        <v>2</v>
      </c>
      <c r="C56" t="s">
        <v>212</v>
      </c>
      <c r="D56" t="s">
        <v>251</v>
      </c>
      <c r="E56" t="s">
        <v>117</v>
      </c>
    </row>
    <row r="57" spans="1:5" x14ac:dyDescent="0.25">
      <c r="A57" t="s">
        <v>144</v>
      </c>
      <c r="B57">
        <v>3</v>
      </c>
      <c r="C57" t="s">
        <v>214</v>
      </c>
      <c r="D57" t="s">
        <v>251</v>
      </c>
      <c r="E57" t="s">
        <v>117</v>
      </c>
    </row>
    <row r="58" spans="1:5" x14ac:dyDescent="0.25">
      <c r="A58" t="s">
        <v>144</v>
      </c>
      <c r="B58">
        <v>4</v>
      </c>
      <c r="C58" t="s">
        <v>171</v>
      </c>
      <c r="D58" t="s">
        <v>252</v>
      </c>
      <c r="E58" t="s">
        <v>219</v>
      </c>
    </row>
    <row r="59" spans="1:5" x14ac:dyDescent="0.25">
      <c r="A59" t="s">
        <v>144</v>
      </c>
      <c r="B59">
        <v>5</v>
      </c>
      <c r="C59" t="s">
        <v>171</v>
      </c>
      <c r="D59" t="s">
        <v>253</v>
      </c>
      <c r="E59" t="s">
        <v>254</v>
      </c>
    </row>
    <row r="60" spans="1:5" x14ac:dyDescent="0.25">
      <c r="A60" t="s">
        <v>144</v>
      </c>
      <c r="B60">
        <v>6</v>
      </c>
      <c r="C60" t="s">
        <v>171</v>
      </c>
      <c r="D60" t="s">
        <v>255</v>
      </c>
      <c r="E60" t="s">
        <v>249</v>
      </c>
    </row>
    <row r="61" spans="1:5" x14ac:dyDescent="0.25">
      <c r="A61" t="s">
        <v>144</v>
      </c>
      <c r="B61">
        <v>7</v>
      </c>
      <c r="C61" t="s">
        <v>171</v>
      </c>
      <c r="D61" t="s">
        <v>256</v>
      </c>
      <c r="E61" t="s">
        <v>257</v>
      </c>
    </row>
    <row r="62" spans="1:5" x14ac:dyDescent="0.25">
      <c r="A62" t="s">
        <v>146</v>
      </c>
      <c r="B62">
        <v>1</v>
      </c>
      <c r="C62" t="s">
        <v>209</v>
      </c>
      <c r="D62" t="s">
        <v>210</v>
      </c>
      <c r="E62" t="s">
        <v>211</v>
      </c>
    </row>
    <row r="63" spans="1:5" x14ac:dyDescent="0.25">
      <c r="A63" t="s">
        <v>146</v>
      </c>
      <c r="B63">
        <v>2</v>
      </c>
      <c r="C63" t="s">
        <v>212</v>
      </c>
      <c r="D63" t="s">
        <v>258</v>
      </c>
      <c r="E63" t="s">
        <v>117</v>
      </c>
    </row>
    <row r="64" spans="1:5" x14ac:dyDescent="0.25">
      <c r="A64" t="s">
        <v>146</v>
      </c>
      <c r="B64">
        <v>3</v>
      </c>
      <c r="C64" t="s">
        <v>214</v>
      </c>
      <c r="D64" t="s">
        <v>258</v>
      </c>
      <c r="E64" t="s">
        <v>117</v>
      </c>
    </row>
    <row r="65" spans="1:5" x14ac:dyDescent="0.25">
      <c r="A65" t="s">
        <v>146</v>
      </c>
      <c r="B65">
        <v>4</v>
      </c>
      <c r="C65" t="s">
        <v>171</v>
      </c>
      <c r="D65" t="s">
        <v>215</v>
      </c>
      <c r="E65" t="s">
        <v>216</v>
      </c>
    </row>
    <row r="66" spans="1:5" x14ac:dyDescent="0.25">
      <c r="A66" t="s">
        <v>146</v>
      </c>
      <c r="B66">
        <v>5</v>
      </c>
      <c r="C66" t="s">
        <v>171</v>
      </c>
      <c r="D66" t="s">
        <v>218</v>
      </c>
      <c r="E66" t="s">
        <v>219</v>
      </c>
    </row>
    <row r="67" spans="1:5" x14ac:dyDescent="0.25">
      <c r="A67" t="s">
        <v>146</v>
      </c>
      <c r="B67">
        <v>6</v>
      </c>
      <c r="C67" t="s">
        <v>171</v>
      </c>
      <c r="D67" t="s">
        <v>220</v>
      </c>
      <c r="E67" t="s">
        <v>221</v>
      </c>
    </row>
    <row r="68" spans="1:5" x14ac:dyDescent="0.25">
      <c r="A68" t="s">
        <v>148</v>
      </c>
      <c r="B68">
        <v>1</v>
      </c>
      <c r="C68" t="s">
        <v>209</v>
      </c>
      <c r="D68" t="s">
        <v>210</v>
      </c>
      <c r="E68" t="s">
        <v>211</v>
      </c>
    </row>
    <row r="69" spans="1:5" x14ac:dyDescent="0.25">
      <c r="A69" t="s">
        <v>148</v>
      </c>
      <c r="B69">
        <v>2</v>
      </c>
      <c r="C69" t="s">
        <v>212</v>
      </c>
      <c r="D69" t="s">
        <v>259</v>
      </c>
      <c r="E69" t="s">
        <v>117</v>
      </c>
    </row>
    <row r="70" spans="1:5" x14ac:dyDescent="0.25">
      <c r="A70" t="s">
        <v>148</v>
      </c>
      <c r="B70">
        <v>3</v>
      </c>
      <c r="C70" t="s">
        <v>214</v>
      </c>
      <c r="D70" t="s">
        <v>259</v>
      </c>
      <c r="E70" t="s">
        <v>117</v>
      </c>
    </row>
    <row r="71" spans="1:5" x14ac:dyDescent="0.25">
      <c r="A71" t="s">
        <v>148</v>
      </c>
      <c r="B71">
        <v>4</v>
      </c>
      <c r="C71" t="s">
        <v>171</v>
      </c>
      <c r="D71" t="s">
        <v>252</v>
      </c>
      <c r="E71" t="s">
        <v>219</v>
      </c>
    </row>
    <row r="72" spans="1:5" x14ac:dyDescent="0.25">
      <c r="A72" t="s">
        <v>148</v>
      </c>
      <c r="B72">
        <v>5</v>
      </c>
      <c r="C72" t="s">
        <v>171</v>
      </c>
      <c r="D72" t="s">
        <v>253</v>
      </c>
      <c r="E72" t="s">
        <v>254</v>
      </c>
    </row>
    <row r="73" spans="1:5" x14ac:dyDescent="0.25">
      <c r="A73" t="s">
        <v>148</v>
      </c>
      <c r="B73">
        <v>6</v>
      </c>
      <c r="C73" t="s">
        <v>171</v>
      </c>
      <c r="D73" t="s">
        <v>255</v>
      </c>
      <c r="E73" t="s">
        <v>249</v>
      </c>
    </row>
    <row r="74" spans="1:5" x14ac:dyDescent="0.25">
      <c r="A74" t="s">
        <v>148</v>
      </c>
      <c r="B74">
        <v>7</v>
      </c>
      <c r="C74" t="s">
        <v>171</v>
      </c>
      <c r="D74" t="s">
        <v>256</v>
      </c>
      <c r="E74" t="s">
        <v>257</v>
      </c>
    </row>
    <row r="75" spans="1:5" x14ac:dyDescent="0.25">
      <c r="A75" t="s">
        <v>150</v>
      </c>
      <c r="B75">
        <v>1</v>
      </c>
      <c r="C75" t="s">
        <v>209</v>
      </c>
      <c r="D75" t="s">
        <v>210</v>
      </c>
      <c r="E75" t="s">
        <v>211</v>
      </c>
    </row>
    <row r="76" spans="1:5" x14ac:dyDescent="0.25">
      <c r="A76" t="s">
        <v>150</v>
      </c>
      <c r="B76">
        <v>2</v>
      </c>
      <c r="C76" t="s">
        <v>212</v>
      </c>
      <c r="D76" t="s">
        <v>260</v>
      </c>
      <c r="E76" t="s">
        <v>117</v>
      </c>
    </row>
    <row r="77" spans="1:5" x14ac:dyDescent="0.25">
      <c r="A77" t="s">
        <v>150</v>
      </c>
      <c r="B77">
        <v>3</v>
      </c>
      <c r="C77" t="s">
        <v>214</v>
      </c>
      <c r="D77" t="s">
        <v>260</v>
      </c>
      <c r="E77" t="s">
        <v>117</v>
      </c>
    </row>
    <row r="78" spans="1:5" x14ac:dyDescent="0.25">
      <c r="A78" t="s">
        <v>150</v>
      </c>
      <c r="B78">
        <v>4</v>
      </c>
      <c r="C78" t="s">
        <v>171</v>
      </c>
      <c r="D78" t="s">
        <v>238</v>
      </c>
      <c r="E78" t="s">
        <v>239</v>
      </c>
    </row>
    <row r="79" spans="1:5" x14ac:dyDescent="0.25">
      <c r="A79" t="s">
        <v>150</v>
      </c>
      <c r="B79">
        <v>5</v>
      </c>
      <c r="C79" t="s">
        <v>171</v>
      </c>
      <c r="D79" t="s">
        <v>240</v>
      </c>
      <c r="E79" t="s">
        <v>241</v>
      </c>
    </row>
    <row r="80" spans="1:5" x14ac:dyDescent="0.25">
      <c r="A80" t="s">
        <v>150</v>
      </c>
      <c r="B80">
        <v>6</v>
      </c>
      <c r="C80" t="s">
        <v>171</v>
      </c>
      <c r="D80" t="s">
        <v>242</v>
      </c>
      <c r="E80" t="s">
        <v>243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156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 spans="1:9" x14ac:dyDescent="0.25">
      <c r="A2" t="s">
        <v>104</v>
      </c>
      <c r="B2">
        <v>1</v>
      </c>
      <c r="C2" t="s">
        <v>108</v>
      </c>
      <c r="D2" t="s">
        <v>268</v>
      </c>
      <c r="E2" t="s">
        <v>269</v>
      </c>
      <c r="F2" t="s">
        <v>270</v>
      </c>
    </row>
    <row r="3" spans="1:9" x14ac:dyDescent="0.25">
      <c r="A3" t="s">
        <v>127</v>
      </c>
      <c r="B3">
        <v>1</v>
      </c>
      <c r="C3" t="s">
        <v>108</v>
      </c>
      <c r="D3" t="s">
        <v>268</v>
      </c>
      <c r="E3" t="s">
        <v>269</v>
      </c>
      <c r="F3" t="s">
        <v>270</v>
      </c>
    </row>
    <row r="4" spans="1:9" x14ac:dyDescent="0.25">
      <c r="A4" t="s">
        <v>129</v>
      </c>
      <c r="B4">
        <v>1</v>
      </c>
      <c r="C4" t="s">
        <v>108</v>
      </c>
      <c r="D4" t="s">
        <v>268</v>
      </c>
      <c r="E4" t="s">
        <v>269</v>
      </c>
      <c r="F4" t="s">
        <v>270</v>
      </c>
    </row>
    <row r="5" spans="1:9" x14ac:dyDescent="0.25">
      <c r="A5" t="s">
        <v>131</v>
      </c>
      <c r="B5">
        <v>1</v>
      </c>
      <c r="C5" t="s">
        <v>108</v>
      </c>
      <c r="D5" t="s">
        <v>268</v>
      </c>
      <c r="E5" t="s">
        <v>269</v>
      </c>
      <c r="F5" t="s">
        <v>270</v>
      </c>
    </row>
    <row r="6" spans="1:9" x14ac:dyDescent="0.25">
      <c r="A6" t="s">
        <v>134</v>
      </c>
      <c r="B6">
        <v>1</v>
      </c>
      <c r="C6" t="s">
        <v>108</v>
      </c>
      <c r="D6" t="s">
        <v>268</v>
      </c>
      <c r="E6" t="s">
        <v>269</v>
      </c>
      <c r="F6" t="s">
        <v>270</v>
      </c>
    </row>
    <row r="7" spans="1:9" x14ac:dyDescent="0.25">
      <c r="A7" t="s">
        <v>136</v>
      </c>
      <c r="B7">
        <v>1</v>
      </c>
      <c r="C7" t="s">
        <v>108</v>
      </c>
      <c r="D7" t="s">
        <v>268</v>
      </c>
      <c r="E7" t="s">
        <v>269</v>
      </c>
      <c r="F7" t="s">
        <v>270</v>
      </c>
    </row>
    <row r="8" spans="1:9" x14ac:dyDescent="0.25">
      <c r="A8" t="s">
        <v>138</v>
      </c>
      <c r="B8">
        <v>1</v>
      </c>
      <c r="C8" t="s">
        <v>108</v>
      </c>
      <c r="D8" t="s">
        <v>268</v>
      </c>
      <c r="E8" t="s">
        <v>269</v>
      </c>
      <c r="F8" t="s">
        <v>270</v>
      </c>
    </row>
    <row r="9" spans="1:9" x14ac:dyDescent="0.25">
      <c r="A9" t="s">
        <v>140</v>
      </c>
      <c r="B9">
        <v>1</v>
      </c>
      <c r="C9" t="s">
        <v>108</v>
      </c>
      <c r="D9" t="s">
        <v>268</v>
      </c>
      <c r="E9" t="s">
        <v>269</v>
      </c>
      <c r="F9" t="s">
        <v>270</v>
      </c>
    </row>
    <row r="10" spans="1:9" x14ac:dyDescent="0.25">
      <c r="A10" t="s">
        <v>142</v>
      </c>
      <c r="B10">
        <v>1</v>
      </c>
      <c r="C10" t="s">
        <v>108</v>
      </c>
      <c r="D10" t="s">
        <v>268</v>
      </c>
      <c r="E10" t="s">
        <v>269</v>
      </c>
      <c r="F10" t="s">
        <v>270</v>
      </c>
    </row>
    <row r="11" spans="1:9" x14ac:dyDescent="0.25">
      <c r="A11" t="s">
        <v>144</v>
      </c>
      <c r="B11">
        <v>1</v>
      </c>
      <c r="C11" t="s">
        <v>108</v>
      </c>
      <c r="D11" t="s">
        <v>268</v>
      </c>
      <c r="E11" t="s">
        <v>269</v>
      </c>
      <c r="F11" t="s">
        <v>270</v>
      </c>
    </row>
    <row r="12" spans="1:9" x14ac:dyDescent="0.25">
      <c r="A12" t="s">
        <v>146</v>
      </c>
      <c r="B12">
        <v>1</v>
      </c>
      <c r="C12" t="s">
        <v>108</v>
      </c>
      <c r="D12" t="s">
        <v>268</v>
      </c>
      <c r="E12" t="s">
        <v>269</v>
      </c>
      <c r="F12" t="s">
        <v>270</v>
      </c>
    </row>
    <row r="13" spans="1:9" x14ac:dyDescent="0.25">
      <c r="A13" t="s">
        <v>148</v>
      </c>
      <c r="B13">
        <v>1</v>
      </c>
      <c r="C13" t="s">
        <v>108</v>
      </c>
      <c r="D13" t="s">
        <v>268</v>
      </c>
      <c r="E13" t="s">
        <v>269</v>
      </c>
      <c r="F13" t="s">
        <v>270</v>
      </c>
    </row>
    <row r="14" spans="1:9" x14ac:dyDescent="0.25">
      <c r="A14" t="s">
        <v>150</v>
      </c>
      <c r="B14">
        <v>1</v>
      </c>
      <c r="C14" t="s">
        <v>108</v>
      </c>
      <c r="D14" t="s">
        <v>268</v>
      </c>
      <c r="E14" t="s">
        <v>269</v>
      </c>
      <c r="F14" t="s">
        <v>270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1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156</v>
      </c>
      <c r="C1" s="1" t="s">
        <v>271</v>
      </c>
      <c r="D1" s="1" t="s">
        <v>272</v>
      </c>
      <c r="E1" s="1" t="s">
        <v>273</v>
      </c>
      <c r="F1" s="1" t="s">
        <v>274</v>
      </c>
    </row>
    <row r="2" spans="1:6" x14ac:dyDescent="0.25">
      <c r="A2" t="s">
        <v>104</v>
      </c>
      <c r="B2">
        <v>1</v>
      </c>
      <c r="C2" t="s">
        <v>275</v>
      </c>
      <c r="D2">
        <v>20</v>
      </c>
      <c r="E2" t="s">
        <v>276</v>
      </c>
    </row>
    <row r="3" spans="1:6" x14ac:dyDescent="0.25">
      <c r="A3" t="s">
        <v>127</v>
      </c>
      <c r="B3">
        <v>1</v>
      </c>
      <c r="C3" t="s">
        <v>275</v>
      </c>
      <c r="D3">
        <v>8</v>
      </c>
      <c r="E3" t="s">
        <v>276</v>
      </c>
    </row>
    <row r="4" spans="1:6" x14ac:dyDescent="0.25">
      <c r="A4" t="s">
        <v>129</v>
      </c>
      <c r="B4">
        <v>1</v>
      </c>
      <c r="C4" t="s">
        <v>275</v>
      </c>
      <c r="D4">
        <v>13</v>
      </c>
      <c r="E4" t="s">
        <v>276</v>
      </c>
    </row>
    <row r="5" spans="1:6" x14ac:dyDescent="0.25">
      <c r="A5" t="s">
        <v>131</v>
      </c>
      <c r="B5">
        <v>1</v>
      </c>
      <c r="C5" t="s">
        <v>275</v>
      </c>
      <c r="D5">
        <v>13</v>
      </c>
      <c r="E5" t="s">
        <v>276</v>
      </c>
    </row>
    <row r="6" spans="1:6" x14ac:dyDescent="0.25">
      <c r="A6" t="s">
        <v>134</v>
      </c>
      <c r="B6">
        <v>1</v>
      </c>
      <c r="C6" t="s">
        <v>275</v>
      </c>
      <c r="D6">
        <v>318</v>
      </c>
      <c r="E6" t="s">
        <v>276</v>
      </c>
    </row>
    <row r="7" spans="1:6" x14ac:dyDescent="0.25">
      <c r="A7" t="s">
        <v>136</v>
      </c>
      <c r="B7">
        <v>1</v>
      </c>
      <c r="C7" t="s">
        <v>275</v>
      </c>
      <c r="D7">
        <v>13</v>
      </c>
      <c r="E7" t="s">
        <v>276</v>
      </c>
    </row>
    <row r="8" spans="1:6" x14ac:dyDescent="0.25">
      <c r="A8" t="s">
        <v>138</v>
      </c>
      <c r="B8">
        <v>1</v>
      </c>
      <c r="C8" t="s">
        <v>275</v>
      </c>
      <c r="D8">
        <v>93</v>
      </c>
      <c r="E8" t="s">
        <v>276</v>
      </c>
    </row>
    <row r="9" spans="1:6" x14ac:dyDescent="0.25">
      <c r="A9" t="s">
        <v>140</v>
      </c>
      <c r="B9">
        <v>1</v>
      </c>
      <c r="C9" t="s">
        <v>275</v>
      </c>
      <c r="D9">
        <v>16</v>
      </c>
      <c r="E9" t="s">
        <v>276</v>
      </c>
    </row>
    <row r="10" spans="1:6" x14ac:dyDescent="0.25">
      <c r="A10" t="s">
        <v>142</v>
      </c>
      <c r="B10">
        <v>1</v>
      </c>
      <c r="C10" t="s">
        <v>275</v>
      </c>
      <c r="D10">
        <v>54</v>
      </c>
      <c r="E10" t="s">
        <v>276</v>
      </c>
    </row>
    <row r="11" spans="1:6" x14ac:dyDescent="0.25">
      <c r="A11" t="s">
        <v>144</v>
      </c>
      <c r="B11">
        <v>1</v>
      </c>
      <c r="C11" t="s">
        <v>275</v>
      </c>
      <c r="D11">
        <v>216</v>
      </c>
      <c r="E11" t="s">
        <v>276</v>
      </c>
    </row>
    <row r="12" spans="1:6" x14ac:dyDescent="0.25">
      <c r="A12" t="s">
        <v>146</v>
      </c>
      <c r="B12">
        <v>1</v>
      </c>
      <c r="C12" t="s">
        <v>275</v>
      </c>
      <c r="D12">
        <v>4</v>
      </c>
      <c r="E12" t="s">
        <v>276</v>
      </c>
    </row>
    <row r="13" spans="1:6" x14ac:dyDescent="0.25">
      <c r="A13" t="s">
        <v>148</v>
      </c>
      <c r="B13">
        <v>1</v>
      </c>
      <c r="C13" t="s">
        <v>275</v>
      </c>
      <c r="D13">
        <v>790</v>
      </c>
      <c r="E13" t="s">
        <v>276</v>
      </c>
    </row>
    <row r="14" spans="1:6" x14ac:dyDescent="0.25">
      <c r="A14" t="s">
        <v>150</v>
      </c>
      <c r="B14">
        <v>1</v>
      </c>
      <c r="C14" t="s">
        <v>275</v>
      </c>
      <c r="D14">
        <v>13</v>
      </c>
      <c r="E14" t="s">
        <v>276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156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274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410</v>
      </c>
      <c r="C1" s="1" t="s">
        <v>411</v>
      </c>
      <c r="D1" s="1" t="s">
        <v>412</v>
      </c>
      <c r="E1" s="1" t="s">
        <v>301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1" t="s">
        <v>60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71"/>
  <sheetViews>
    <sheetView tabSelected="1" topLeftCell="Z54" workbookViewId="0">
      <selection activeCell="AJ2" sqref="AJ2:AJ71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138.42578125" bestFit="1" customWidth="1"/>
    <col min="6" max="7" width="9.42578125" bestFit="1" customWidth="1"/>
    <col min="8" max="8" width="1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273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271</v>
      </c>
      <c r="M1" s="1" t="s">
        <v>272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 spans="1:70" x14ac:dyDescent="0.25">
      <c r="A2" t="s">
        <v>104</v>
      </c>
      <c r="B2">
        <v>7</v>
      </c>
      <c r="C2" t="s">
        <v>334</v>
      </c>
      <c r="D2" t="s">
        <v>335</v>
      </c>
      <c r="E2" t="s">
        <v>336</v>
      </c>
      <c r="F2" t="s">
        <v>276</v>
      </c>
      <c r="G2" t="s">
        <v>337</v>
      </c>
      <c r="H2" t="s">
        <v>338</v>
      </c>
      <c r="I2" t="s">
        <v>339</v>
      </c>
      <c r="J2" t="s">
        <v>340</v>
      </c>
      <c r="K2">
        <v>14</v>
      </c>
      <c r="L2" t="s">
        <v>275</v>
      </c>
      <c r="M2">
        <v>0</v>
      </c>
      <c r="T2">
        <v>0</v>
      </c>
      <c r="AA2">
        <v>0</v>
      </c>
      <c r="AB2">
        <v>17843</v>
      </c>
      <c r="AC2">
        <v>24.22</v>
      </c>
      <c r="AI2">
        <v>0</v>
      </c>
      <c r="AJ2">
        <f>+AC2/K2</f>
        <v>1.73</v>
      </c>
      <c r="AK2">
        <v>0.71</v>
      </c>
      <c r="AL2">
        <v>0</v>
      </c>
      <c r="AS2" t="s">
        <v>341</v>
      </c>
      <c r="AY2" t="s">
        <v>342</v>
      </c>
      <c r="BO2" t="s">
        <v>108</v>
      </c>
    </row>
    <row r="3" spans="1:70" x14ac:dyDescent="0.25">
      <c r="A3" t="s">
        <v>104</v>
      </c>
      <c r="B3">
        <v>9</v>
      </c>
      <c r="C3" t="s">
        <v>334</v>
      </c>
      <c r="D3" t="s">
        <v>335</v>
      </c>
      <c r="E3" t="s">
        <v>336</v>
      </c>
      <c r="F3" t="s">
        <v>276</v>
      </c>
      <c r="G3" t="s">
        <v>337</v>
      </c>
      <c r="H3" t="s">
        <v>343</v>
      </c>
      <c r="I3" t="s">
        <v>339</v>
      </c>
      <c r="J3" t="s">
        <v>340</v>
      </c>
      <c r="K3">
        <v>46</v>
      </c>
      <c r="L3" t="s">
        <v>275</v>
      </c>
      <c r="M3">
        <v>0</v>
      </c>
      <c r="T3">
        <v>0</v>
      </c>
      <c r="AA3">
        <v>0</v>
      </c>
      <c r="AB3">
        <v>17843</v>
      </c>
      <c r="AC3">
        <v>79.58</v>
      </c>
      <c r="AI3">
        <v>0</v>
      </c>
      <c r="AJ3">
        <f t="shared" ref="AJ3:AJ66" si="0">+AC3/K3</f>
        <v>1.73</v>
      </c>
      <c r="AK3">
        <v>0.71</v>
      </c>
      <c r="AL3">
        <v>0</v>
      </c>
      <c r="AS3" t="s">
        <v>341</v>
      </c>
      <c r="AY3" t="s">
        <v>342</v>
      </c>
      <c r="BO3" t="s">
        <v>108</v>
      </c>
    </row>
    <row r="4" spans="1:70" x14ac:dyDescent="0.25">
      <c r="A4" t="s">
        <v>104</v>
      </c>
      <c r="B4">
        <v>8</v>
      </c>
      <c r="C4" t="s">
        <v>334</v>
      </c>
      <c r="D4" t="s">
        <v>335</v>
      </c>
      <c r="E4" t="s">
        <v>336</v>
      </c>
      <c r="F4" t="s">
        <v>276</v>
      </c>
      <c r="G4" t="s">
        <v>337</v>
      </c>
      <c r="H4" t="s">
        <v>344</v>
      </c>
      <c r="I4" t="s">
        <v>339</v>
      </c>
      <c r="J4" t="s">
        <v>340</v>
      </c>
      <c r="K4">
        <v>28</v>
      </c>
      <c r="L4" t="s">
        <v>275</v>
      </c>
      <c r="M4">
        <v>0</v>
      </c>
      <c r="T4">
        <v>0</v>
      </c>
      <c r="AA4">
        <v>0</v>
      </c>
      <c r="AB4">
        <v>17843</v>
      </c>
      <c r="AC4">
        <v>48.44</v>
      </c>
      <c r="AI4">
        <v>0</v>
      </c>
      <c r="AJ4">
        <f t="shared" si="0"/>
        <v>1.73</v>
      </c>
      <c r="AK4">
        <v>0.71</v>
      </c>
      <c r="AL4">
        <v>0</v>
      </c>
      <c r="AS4" t="s">
        <v>341</v>
      </c>
      <c r="AY4" t="s">
        <v>342</v>
      </c>
      <c r="BO4" t="s">
        <v>108</v>
      </c>
    </row>
    <row r="5" spans="1:70" x14ac:dyDescent="0.25">
      <c r="A5" t="s">
        <v>104</v>
      </c>
      <c r="B5">
        <v>6</v>
      </c>
      <c r="C5" t="s">
        <v>334</v>
      </c>
      <c r="D5" t="s">
        <v>335</v>
      </c>
      <c r="E5" t="s">
        <v>336</v>
      </c>
      <c r="F5" t="s">
        <v>276</v>
      </c>
      <c r="G5" t="s">
        <v>337</v>
      </c>
      <c r="H5" t="s">
        <v>345</v>
      </c>
      <c r="I5" t="s">
        <v>339</v>
      </c>
      <c r="J5" t="s">
        <v>340</v>
      </c>
      <c r="K5">
        <v>107</v>
      </c>
      <c r="L5" t="s">
        <v>275</v>
      </c>
      <c r="M5">
        <v>2</v>
      </c>
      <c r="T5">
        <v>18.655000000000001</v>
      </c>
      <c r="AA5">
        <v>0</v>
      </c>
      <c r="AB5">
        <v>17843</v>
      </c>
      <c r="AC5">
        <v>185.11</v>
      </c>
      <c r="AI5">
        <v>0</v>
      </c>
      <c r="AJ5">
        <f t="shared" si="0"/>
        <v>1.7300000000000002</v>
      </c>
      <c r="AK5">
        <v>0.71</v>
      </c>
      <c r="AL5">
        <v>0</v>
      </c>
      <c r="AS5" t="s">
        <v>341</v>
      </c>
      <c r="AY5" t="s">
        <v>342</v>
      </c>
      <c r="BO5" t="s">
        <v>108</v>
      </c>
    </row>
    <row r="6" spans="1:70" x14ac:dyDescent="0.25">
      <c r="A6" t="s">
        <v>104</v>
      </c>
      <c r="B6">
        <v>1</v>
      </c>
      <c r="C6" t="s">
        <v>334</v>
      </c>
      <c r="D6" t="s">
        <v>335</v>
      </c>
      <c r="E6" t="s">
        <v>336</v>
      </c>
      <c r="F6" t="s">
        <v>276</v>
      </c>
      <c r="G6" t="s">
        <v>337</v>
      </c>
      <c r="H6" t="s">
        <v>346</v>
      </c>
      <c r="I6" t="s">
        <v>339</v>
      </c>
      <c r="J6" t="s">
        <v>340</v>
      </c>
      <c r="K6">
        <v>390</v>
      </c>
      <c r="L6" t="s">
        <v>275</v>
      </c>
      <c r="M6">
        <v>2</v>
      </c>
      <c r="T6">
        <v>25.35</v>
      </c>
      <c r="AA6">
        <v>0</v>
      </c>
      <c r="AB6">
        <v>17843</v>
      </c>
      <c r="AC6">
        <v>674.7</v>
      </c>
      <c r="AI6">
        <v>0</v>
      </c>
      <c r="AJ6">
        <f t="shared" si="0"/>
        <v>1.7300000000000002</v>
      </c>
      <c r="AK6">
        <v>0.71</v>
      </c>
      <c r="AL6">
        <v>0</v>
      </c>
      <c r="AS6" t="s">
        <v>341</v>
      </c>
      <c r="AY6" t="s">
        <v>342</v>
      </c>
      <c r="BO6" t="s">
        <v>108</v>
      </c>
    </row>
    <row r="7" spans="1:70" x14ac:dyDescent="0.25">
      <c r="A7" t="s">
        <v>104</v>
      </c>
      <c r="B7">
        <v>2</v>
      </c>
      <c r="C7" t="s">
        <v>334</v>
      </c>
      <c r="D7" t="s">
        <v>335</v>
      </c>
      <c r="E7" t="s">
        <v>336</v>
      </c>
      <c r="F7" t="s">
        <v>276</v>
      </c>
      <c r="G7" t="s">
        <v>337</v>
      </c>
      <c r="H7" t="s">
        <v>347</v>
      </c>
      <c r="I7" t="s">
        <v>339</v>
      </c>
      <c r="J7" t="s">
        <v>340</v>
      </c>
      <c r="K7">
        <v>411</v>
      </c>
      <c r="L7" t="s">
        <v>275</v>
      </c>
      <c r="M7">
        <v>2</v>
      </c>
      <c r="T7">
        <v>25.2</v>
      </c>
      <c r="AA7">
        <v>0</v>
      </c>
      <c r="AB7">
        <v>17843</v>
      </c>
      <c r="AC7">
        <v>711.03</v>
      </c>
      <c r="AI7">
        <v>0</v>
      </c>
      <c r="AJ7">
        <f t="shared" si="0"/>
        <v>1.73</v>
      </c>
      <c r="AK7">
        <v>0.71</v>
      </c>
      <c r="AL7">
        <v>0</v>
      </c>
      <c r="AS7" t="s">
        <v>341</v>
      </c>
      <c r="AY7" t="s">
        <v>342</v>
      </c>
      <c r="BO7" t="s">
        <v>108</v>
      </c>
    </row>
    <row r="8" spans="1:70" x14ac:dyDescent="0.25">
      <c r="A8" t="s">
        <v>104</v>
      </c>
      <c r="B8">
        <v>5</v>
      </c>
      <c r="C8" t="s">
        <v>334</v>
      </c>
      <c r="D8" t="s">
        <v>335</v>
      </c>
      <c r="E8" t="s">
        <v>336</v>
      </c>
      <c r="F8" t="s">
        <v>276</v>
      </c>
      <c r="G8" t="s">
        <v>337</v>
      </c>
      <c r="H8" t="s">
        <v>348</v>
      </c>
      <c r="I8" t="s">
        <v>339</v>
      </c>
      <c r="J8" t="s">
        <v>340</v>
      </c>
      <c r="K8">
        <v>95</v>
      </c>
      <c r="L8" t="s">
        <v>275</v>
      </c>
      <c r="M8">
        <v>2</v>
      </c>
      <c r="T8">
        <v>8.5500000000000007</v>
      </c>
      <c r="AA8">
        <v>0</v>
      </c>
      <c r="AB8">
        <v>17843</v>
      </c>
      <c r="AC8">
        <v>164.35</v>
      </c>
      <c r="AI8">
        <v>0</v>
      </c>
      <c r="AJ8">
        <f t="shared" si="0"/>
        <v>1.73</v>
      </c>
      <c r="AK8">
        <v>0.71</v>
      </c>
      <c r="AL8">
        <v>0</v>
      </c>
      <c r="AS8" t="s">
        <v>341</v>
      </c>
      <c r="AY8" t="s">
        <v>342</v>
      </c>
      <c r="BO8" t="s">
        <v>108</v>
      </c>
    </row>
    <row r="9" spans="1:70" x14ac:dyDescent="0.25">
      <c r="A9" t="s">
        <v>104</v>
      </c>
      <c r="B9">
        <v>3</v>
      </c>
      <c r="C9" t="s">
        <v>334</v>
      </c>
      <c r="D9" t="s">
        <v>335</v>
      </c>
      <c r="E9" t="s">
        <v>336</v>
      </c>
      <c r="F9" t="s">
        <v>276</v>
      </c>
      <c r="G9" t="s">
        <v>337</v>
      </c>
      <c r="H9" t="s">
        <v>349</v>
      </c>
      <c r="I9" t="s">
        <v>339</v>
      </c>
      <c r="J9" t="s">
        <v>340</v>
      </c>
      <c r="K9">
        <v>389</v>
      </c>
      <c r="L9" t="s">
        <v>275</v>
      </c>
      <c r="M9">
        <v>3</v>
      </c>
      <c r="T9">
        <v>29.175000000000001</v>
      </c>
      <c r="AA9">
        <v>0</v>
      </c>
      <c r="AB9">
        <v>17843</v>
      </c>
      <c r="AC9">
        <v>672.97</v>
      </c>
      <c r="AI9">
        <v>0</v>
      </c>
      <c r="AJ9">
        <f t="shared" si="0"/>
        <v>1.73</v>
      </c>
      <c r="AK9">
        <v>0.71</v>
      </c>
      <c r="AL9">
        <v>0</v>
      </c>
      <c r="AS9" t="s">
        <v>341</v>
      </c>
      <c r="AY9" t="s">
        <v>342</v>
      </c>
      <c r="BO9" t="s">
        <v>108</v>
      </c>
    </row>
    <row r="10" spans="1:70" x14ac:dyDescent="0.25">
      <c r="A10" t="s">
        <v>104</v>
      </c>
      <c r="B10">
        <v>4</v>
      </c>
      <c r="C10" t="s">
        <v>334</v>
      </c>
      <c r="D10" t="s">
        <v>335</v>
      </c>
      <c r="E10" t="s">
        <v>336</v>
      </c>
      <c r="F10" t="s">
        <v>276</v>
      </c>
      <c r="G10" t="s">
        <v>337</v>
      </c>
      <c r="H10" t="s">
        <v>350</v>
      </c>
      <c r="I10" t="s">
        <v>339</v>
      </c>
      <c r="J10" t="s">
        <v>340</v>
      </c>
      <c r="K10">
        <v>222</v>
      </c>
      <c r="L10" t="s">
        <v>275</v>
      </c>
      <c r="M10">
        <v>2</v>
      </c>
      <c r="T10">
        <v>17.68</v>
      </c>
      <c r="AA10">
        <v>0</v>
      </c>
      <c r="AB10">
        <v>17843</v>
      </c>
      <c r="AC10">
        <v>384.06</v>
      </c>
      <c r="AI10">
        <v>0</v>
      </c>
      <c r="AJ10">
        <f t="shared" si="0"/>
        <v>1.73</v>
      </c>
      <c r="AK10">
        <v>0.71</v>
      </c>
      <c r="AL10">
        <v>0</v>
      </c>
      <c r="AS10" t="s">
        <v>341</v>
      </c>
      <c r="AY10" t="s">
        <v>342</v>
      </c>
      <c r="BO10" t="s">
        <v>108</v>
      </c>
    </row>
    <row r="11" spans="1:70" x14ac:dyDescent="0.25">
      <c r="A11" t="s">
        <v>104</v>
      </c>
      <c r="B11">
        <v>16</v>
      </c>
      <c r="C11" t="s">
        <v>334</v>
      </c>
      <c r="D11" t="s">
        <v>335</v>
      </c>
      <c r="E11" t="s">
        <v>351</v>
      </c>
      <c r="F11" t="s">
        <v>276</v>
      </c>
      <c r="G11" t="s">
        <v>337</v>
      </c>
      <c r="H11" t="s">
        <v>343</v>
      </c>
      <c r="I11" t="s">
        <v>339</v>
      </c>
      <c r="J11" t="s">
        <v>340</v>
      </c>
      <c r="K11">
        <v>8</v>
      </c>
      <c r="L11" t="s">
        <v>275</v>
      </c>
      <c r="M11">
        <v>0</v>
      </c>
      <c r="T11">
        <v>0</v>
      </c>
      <c r="AA11">
        <v>0</v>
      </c>
      <c r="AB11">
        <v>17843</v>
      </c>
      <c r="AC11">
        <v>14.72</v>
      </c>
      <c r="AI11">
        <v>0</v>
      </c>
      <c r="AJ11">
        <f t="shared" si="0"/>
        <v>1.84</v>
      </c>
      <c r="AK11">
        <v>0.71</v>
      </c>
      <c r="AL11">
        <v>0</v>
      </c>
      <c r="AS11" t="s">
        <v>341</v>
      </c>
      <c r="AY11" t="s">
        <v>342</v>
      </c>
      <c r="BO11" t="s">
        <v>108</v>
      </c>
    </row>
    <row r="12" spans="1:70" x14ac:dyDescent="0.25">
      <c r="A12" t="s">
        <v>104</v>
      </c>
      <c r="B12">
        <v>12</v>
      </c>
      <c r="C12" t="s">
        <v>334</v>
      </c>
      <c r="D12" t="s">
        <v>335</v>
      </c>
      <c r="E12" t="s">
        <v>351</v>
      </c>
      <c r="F12" t="s">
        <v>276</v>
      </c>
      <c r="G12" t="s">
        <v>337</v>
      </c>
      <c r="H12" t="s">
        <v>345</v>
      </c>
      <c r="I12" t="s">
        <v>339</v>
      </c>
      <c r="J12" t="s">
        <v>340</v>
      </c>
      <c r="K12">
        <v>102</v>
      </c>
      <c r="L12" t="s">
        <v>275</v>
      </c>
      <c r="M12">
        <v>2</v>
      </c>
      <c r="T12">
        <v>17.05</v>
      </c>
      <c r="AA12">
        <v>0</v>
      </c>
      <c r="AB12">
        <v>17843</v>
      </c>
      <c r="AC12">
        <v>187.68</v>
      </c>
      <c r="AI12">
        <v>0</v>
      </c>
      <c r="AJ12">
        <f t="shared" si="0"/>
        <v>1.84</v>
      </c>
      <c r="AK12">
        <v>0.71</v>
      </c>
      <c r="AL12">
        <v>0</v>
      </c>
      <c r="AS12" t="s">
        <v>341</v>
      </c>
      <c r="AY12" t="s">
        <v>342</v>
      </c>
      <c r="BO12" t="s">
        <v>108</v>
      </c>
    </row>
    <row r="13" spans="1:70" x14ac:dyDescent="0.25">
      <c r="A13" t="s">
        <v>104</v>
      </c>
      <c r="B13">
        <v>10</v>
      </c>
      <c r="C13" t="s">
        <v>334</v>
      </c>
      <c r="D13" t="s">
        <v>335</v>
      </c>
      <c r="E13" t="s">
        <v>351</v>
      </c>
      <c r="F13" t="s">
        <v>276</v>
      </c>
      <c r="G13" t="s">
        <v>337</v>
      </c>
      <c r="H13" t="s">
        <v>346</v>
      </c>
      <c r="I13" t="s">
        <v>339</v>
      </c>
      <c r="J13" t="s">
        <v>340</v>
      </c>
      <c r="K13">
        <v>290</v>
      </c>
      <c r="L13" t="s">
        <v>275</v>
      </c>
      <c r="M13">
        <v>2</v>
      </c>
      <c r="T13">
        <v>18.135000000000002</v>
      </c>
      <c r="AA13">
        <v>0</v>
      </c>
      <c r="AB13">
        <v>17843</v>
      </c>
      <c r="AC13">
        <v>533.6</v>
      </c>
      <c r="AI13">
        <v>0</v>
      </c>
      <c r="AJ13">
        <f t="shared" si="0"/>
        <v>1.84</v>
      </c>
      <c r="AK13">
        <v>0.71</v>
      </c>
      <c r="AL13">
        <v>0</v>
      </c>
      <c r="AS13" t="s">
        <v>341</v>
      </c>
      <c r="AY13" t="s">
        <v>342</v>
      </c>
      <c r="BO13" t="s">
        <v>108</v>
      </c>
    </row>
    <row r="14" spans="1:70" x14ac:dyDescent="0.25">
      <c r="A14" t="s">
        <v>104</v>
      </c>
      <c r="B14">
        <v>11</v>
      </c>
      <c r="C14" t="s">
        <v>334</v>
      </c>
      <c r="D14" t="s">
        <v>335</v>
      </c>
      <c r="E14" t="s">
        <v>351</v>
      </c>
      <c r="F14" t="s">
        <v>276</v>
      </c>
      <c r="G14" t="s">
        <v>337</v>
      </c>
      <c r="H14" t="s">
        <v>347</v>
      </c>
      <c r="I14" t="s">
        <v>339</v>
      </c>
      <c r="J14" t="s">
        <v>340</v>
      </c>
      <c r="K14">
        <v>163</v>
      </c>
      <c r="L14" t="s">
        <v>275</v>
      </c>
      <c r="M14">
        <v>2</v>
      </c>
      <c r="T14">
        <v>7.84</v>
      </c>
      <c r="AA14">
        <v>0</v>
      </c>
      <c r="AB14">
        <v>17843</v>
      </c>
      <c r="AC14">
        <v>299.92</v>
      </c>
      <c r="AI14">
        <v>0</v>
      </c>
      <c r="AJ14">
        <f t="shared" si="0"/>
        <v>1.84</v>
      </c>
      <c r="AK14">
        <v>0.71</v>
      </c>
      <c r="AL14">
        <v>0</v>
      </c>
      <c r="AS14" t="s">
        <v>341</v>
      </c>
      <c r="AY14" t="s">
        <v>342</v>
      </c>
      <c r="BO14" t="s">
        <v>108</v>
      </c>
    </row>
    <row r="15" spans="1:70" x14ac:dyDescent="0.25">
      <c r="A15" t="s">
        <v>104</v>
      </c>
      <c r="B15">
        <v>13</v>
      </c>
      <c r="C15" t="s">
        <v>334</v>
      </c>
      <c r="D15" t="s">
        <v>335</v>
      </c>
      <c r="E15" t="s">
        <v>351</v>
      </c>
      <c r="F15" t="s">
        <v>276</v>
      </c>
      <c r="G15" t="s">
        <v>337</v>
      </c>
      <c r="H15" t="s">
        <v>349</v>
      </c>
      <c r="I15" t="s">
        <v>339</v>
      </c>
      <c r="J15" t="s">
        <v>340</v>
      </c>
      <c r="K15">
        <v>94</v>
      </c>
      <c r="L15" t="s">
        <v>275</v>
      </c>
      <c r="M15">
        <v>1</v>
      </c>
      <c r="T15">
        <v>3.2250000000000001</v>
      </c>
      <c r="AA15">
        <v>0</v>
      </c>
      <c r="AB15">
        <v>17843</v>
      </c>
      <c r="AC15">
        <v>172.96</v>
      </c>
      <c r="AI15">
        <v>0</v>
      </c>
      <c r="AJ15">
        <f t="shared" si="0"/>
        <v>1.84</v>
      </c>
      <c r="AK15">
        <v>0.71</v>
      </c>
      <c r="AL15">
        <v>0</v>
      </c>
      <c r="AS15" t="s">
        <v>341</v>
      </c>
      <c r="AY15" t="s">
        <v>342</v>
      </c>
      <c r="BO15" t="s">
        <v>108</v>
      </c>
    </row>
    <row r="16" spans="1:70" x14ac:dyDescent="0.25">
      <c r="A16" t="s">
        <v>104</v>
      </c>
      <c r="B16">
        <v>15</v>
      </c>
      <c r="C16" t="s">
        <v>334</v>
      </c>
      <c r="D16" t="s">
        <v>335</v>
      </c>
      <c r="E16" t="s">
        <v>351</v>
      </c>
      <c r="F16" t="s">
        <v>276</v>
      </c>
      <c r="G16" t="s">
        <v>337</v>
      </c>
      <c r="H16" t="s">
        <v>344</v>
      </c>
      <c r="I16" t="s">
        <v>339</v>
      </c>
      <c r="J16" t="s">
        <v>340</v>
      </c>
      <c r="K16">
        <v>25</v>
      </c>
      <c r="L16" t="s">
        <v>275</v>
      </c>
      <c r="M16">
        <v>0</v>
      </c>
      <c r="T16">
        <v>0</v>
      </c>
      <c r="AA16">
        <v>0</v>
      </c>
      <c r="AB16">
        <v>17843</v>
      </c>
      <c r="AC16">
        <v>46</v>
      </c>
      <c r="AI16">
        <v>0</v>
      </c>
      <c r="AJ16">
        <f t="shared" si="0"/>
        <v>1.84</v>
      </c>
      <c r="AK16">
        <v>0.71</v>
      </c>
      <c r="AL16">
        <v>0</v>
      </c>
      <c r="AS16" t="s">
        <v>341</v>
      </c>
      <c r="AY16" t="s">
        <v>342</v>
      </c>
      <c r="BO16" t="s">
        <v>108</v>
      </c>
    </row>
    <row r="17" spans="1:70" x14ac:dyDescent="0.25">
      <c r="A17" t="s">
        <v>104</v>
      </c>
      <c r="B17">
        <v>14</v>
      </c>
      <c r="C17" t="s">
        <v>334</v>
      </c>
      <c r="D17" t="s">
        <v>335</v>
      </c>
      <c r="E17" t="s">
        <v>351</v>
      </c>
      <c r="F17" t="s">
        <v>276</v>
      </c>
      <c r="G17" t="s">
        <v>337</v>
      </c>
      <c r="H17" t="s">
        <v>338</v>
      </c>
      <c r="I17" t="s">
        <v>339</v>
      </c>
      <c r="J17" t="s">
        <v>340</v>
      </c>
      <c r="K17">
        <v>4</v>
      </c>
      <c r="L17" t="s">
        <v>275</v>
      </c>
      <c r="M17">
        <v>0</v>
      </c>
      <c r="T17">
        <v>0</v>
      </c>
      <c r="AA17">
        <v>0</v>
      </c>
      <c r="AB17">
        <v>17843</v>
      </c>
      <c r="AC17">
        <v>7.36</v>
      </c>
      <c r="AI17">
        <v>0</v>
      </c>
      <c r="AJ17">
        <f t="shared" si="0"/>
        <v>1.84</v>
      </c>
      <c r="AK17">
        <v>0.71</v>
      </c>
      <c r="AL17">
        <v>0</v>
      </c>
      <c r="AS17" t="s">
        <v>341</v>
      </c>
      <c r="AY17" t="s">
        <v>342</v>
      </c>
      <c r="BO17" t="s">
        <v>108</v>
      </c>
    </row>
    <row r="18" spans="1:70" x14ac:dyDescent="0.25">
      <c r="A18" t="s">
        <v>127</v>
      </c>
      <c r="B18">
        <v>1</v>
      </c>
      <c r="C18" t="s">
        <v>334</v>
      </c>
      <c r="D18" t="s">
        <v>352</v>
      </c>
      <c r="E18" t="s">
        <v>353</v>
      </c>
      <c r="F18" t="s">
        <v>276</v>
      </c>
      <c r="G18" t="s">
        <v>354</v>
      </c>
      <c r="H18" t="s">
        <v>350</v>
      </c>
      <c r="I18" t="s">
        <v>339</v>
      </c>
      <c r="J18" t="s">
        <v>340</v>
      </c>
      <c r="K18">
        <v>94</v>
      </c>
      <c r="L18" t="s">
        <v>275</v>
      </c>
      <c r="M18">
        <v>1</v>
      </c>
      <c r="T18">
        <v>2.21</v>
      </c>
      <c r="Z18">
        <v>0</v>
      </c>
      <c r="AA18">
        <v>0</v>
      </c>
      <c r="AB18">
        <v>17843</v>
      </c>
      <c r="AC18">
        <v>185.18</v>
      </c>
      <c r="AF18">
        <v>0</v>
      </c>
      <c r="AG18">
        <v>0</v>
      </c>
      <c r="AI18">
        <v>0</v>
      </c>
      <c r="AJ18">
        <f t="shared" si="0"/>
        <v>1.97</v>
      </c>
      <c r="AK18">
        <v>0.81</v>
      </c>
      <c r="AL18">
        <v>0</v>
      </c>
      <c r="AM18">
        <v>0</v>
      </c>
      <c r="AN18">
        <v>0</v>
      </c>
      <c r="AS18" t="s">
        <v>341</v>
      </c>
      <c r="AY18" t="s">
        <v>342</v>
      </c>
      <c r="BJ18">
        <v>0</v>
      </c>
      <c r="BO18" t="s">
        <v>108</v>
      </c>
      <c r="BR18" t="s">
        <v>126</v>
      </c>
    </row>
    <row r="19" spans="1:70" x14ac:dyDescent="0.25">
      <c r="A19" t="s">
        <v>127</v>
      </c>
      <c r="B19">
        <v>2</v>
      </c>
      <c r="C19" t="s">
        <v>334</v>
      </c>
      <c r="D19" t="s">
        <v>352</v>
      </c>
      <c r="E19" t="s">
        <v>353</v>
      </c>
      <c r="F19" t="s">
        <v>276</v>
      </c>
      <c r="G19" t="s">
        <v>354</v>
      </c>
      <c r="H19" t="s">
        <v>345</v>
      </c>
      <c r="I19" t="s">
        <v>339</v>
      </c>
      <c r="J19" t="s">
        <v>340</v>
      </c>
      <c r="K19">
        <v>5</v>
      </c>
      <c r="L19" t="s">
        <v>275</v>
      </c>
      <c r="M19">
        <v>1</v>
      </c>
      <c r="T19">
        <v>11.23</v>
      </c>
      <c r="AA19">
        <v>0</v>
      </c>
      <c r="AB19">
        <v>17843</v>
      </c>
      <c r="AC19">
        <v>9.85</v>
      </c>
      <c r="AI19">
        <v>0</v>
      </c>
      <c r="AJ19">
        <f t="shared" si="0"/>
        <v>1.97</v>
      </c>
      <c r="AK19">
        <v>0.81</v>
      </c>
      <c r="AL19">
        <v>0</v>
      </c>
      <c r="AS19" t="s">
        <v>341</v>
      </c>
      <c r="AY19" t="s">
        <v>342</v>
      </c>
      <c r="BO19" t="s">
        <v>108</v>
      </c>
    </row>
    <row r="20" spans="1:70" x14ac:dyDescent="0.25">
      <c r="A20" t="s">
        <v>127</v>
      </c>
      <c r="B20">
        <v>3</v>
      </c>
      <c r="C20" t="s">
        <v>334</v>
      </c>
      <c r="D20" t="s">
        <v>352</v>
      </c>
      <c r="E20" t="s">
        <v>353</v>
      </c>
      <c r="F20" t="s">
        <v>276</v>
      </c>
      <c r="G20" t="s">
        <v>354</v>
      </c>
      <c r="H20" t="s">
        <v>346</v>
      </c>
      <c r="I20" t="s">
        <v>339</v>
      </c>
      <c r="J20" t="s">
        <v>340</v>
      </c>
      <c r="K20">
        <v>140</v>
      </c>
      <c r="L20" t="s">
        <v>275</v>
      </c>
      <c r="M20">
        <v>2</v>
      </c>
      <c r="T20">
        <v>16.52</v>
      </c>
      <c r="AA20">
        <v>0</v>
      </c>
      <c r="AB20">
        <v>17843</v>
      </c>
      <c r="AC20">
        <v>275.8</v>
      </c>
      <c r="AI20">
        <v>0</v>
      </c>
      <c r="AJ20">
        <f t="shared" si="0"/>
        <v>1.97</v>
      </c>
      <c r="AK20">
        <v>0.81</v>
      </c>
      <c r="AL20">
        <v>0</v>
      </c>
      <c r="AS20" t="s">
        <v>341</v>
      </c>
      <c r="AY20" t="s">
        <v>342</v>
      </c>
      <c r="BO20" t="s">
        <v>108</v>
      </c>
    </row>
    <row r="21" spans="1:70" x14ac:dyDescent="0.25">
      <c r="A21" t="s">
        <v>127</v>
      </c>
      <c r="B21">
        <v>4</v>
      </c>
      <c r="C21" t="s">
        <v>334</v>
      </c>
      <c r="D21" t="s">
        <v>352</v>
      </c>
      <c r="E21" t="s">
        <v>353</v>
      </c>
      <c r="F21" t="s">
        <v>276</v>
      </c>
      <c r="G21" t="s">
        <v>354</v>
      </c>
      <c r="H21" t="s">
        <v>347</v>
      </c>
      <c r="I21" t="s">
        <v>339</v>
      </c>
      <c r="J21" t="s">
        <v>340</v>
      </c>
      <c r="K21">
        <v>162</v>
      </c>
      <c r="L21" t="s">
        <v>275</v>
      </c>
      <c r="M21">
        <v>2</v>
      </c>
      <c r="T21">
        <v>4.16</v>
      </c>
      <c r="AA21">
        <v>0</v>
      </c>
      <c r="AB21">
        <v>17843</v>
      </c>
      <c r="AC21">
        <v>319.14</v>
      </c>
      <c r="AI21">
        <v>0</v>
      </c>
      <c r="AJ21">
        <f t="shared" si="0"/>
        <v>1.97</v>
      </c>
      <c r="AK21">
        <v>0.81</v>
      </c>
      <c r="AL21">
        <v>0</v>
      </c>
      <c r="AS21" t="s">
        <v>341</v>
      </c>
      <c r="AY21" t="s">
        <v>342</v>
      </c>
      <c r="BO21" t="s">
        <v>108</v>
      </c>
    </row>
    <row r="22" spans="1:70" x14ac:dyDescent="0.25">
      <c r="A22" t="s">
        <v>127</v>
      </c>
      <c r="B22">
        <v>5</v>
      </c>
      <c r="C22" t="s">
        <v>334</v>
      </c>
      <c r="D22" t="s">
        <v>352</v>
      </c>
      <c r="E22" t="s">
        <v>353</v>
      </c>
      <c r="F22" t="s">
        <v>276</v>
      </c>
      <c r="G22" t="s">
        <v>354</v>
      </c>
      <c r="H22" t="s">
        <v>349</v>
      </c>
      <c r="I22" t="s">
        <v>339</v>
      </c>
      <c r="J22" t="s">
        <v>340</v>
      </c>
      <c r="K22">
        <v>171</v>
      </c>
      <c r="L22" t="s">
        <v>275</v>
      </c>
      <c r="M22">
        <v>2</v>
      </c>
      <c r="T22">
        <v>6.6</v>
      </c>
      <c r="AA22">
        <v>0</v>
      </c>
      <c r="AB22">
        <v>17843</v>
      </c>
      <c r="AC22">
        <v>336.87</v>
      </c>
      <c r="AI22">
        <v>0</v>
      </c>
      <c r="AJ22">
        <f t="shared" si="0"/>
        <v>1.97</v>
      </c>
      <c r="AK22">
        <v>0.81</v>
      </c>
      <c r="AL22">
        <v>0</v>
      </c>
      <c r="AS22" t="s">
        <v>341</v>
      </c>
      <c r="AY22" t="s">
        <v>342</v>
      </c>
      <c r="BO22" t="s">
        <v>108</v>
      </c>
    </row>
    <row r="23" spans="1:70" x14ac:dyDescent="0.25">
      <c r="A23" t="s">
        <v>129</v>
      </c>
      <c r="B23">
        <v>1</v>
      </c>
      <c r="C23" t="s">
        <v>334</v>
      </c>
      <c r="D23" t="s">
        <v>355</v>
      </c>
      <c r="E23" t="s">
        <v>356</v>
      </c>
      <c r="F23" t="s">
        <v>276</v>
      </c>
      <c r="G23" t="s">
        <v>357</v>
      </c>
      <c r="H23" t="s">
        <v>345</v>
      </c>
      <c r="I23" t="s">
        <v>339</v>
      </c>
      <c r="J23" t="s">
        <v>340</v>
      </c>
      <c r="K23">
        <v>180</v>
      </c>
      <c r="L23" t="s">
        <v>275</v>
      </c>
      <c r="M23">
        <v>1</v>
      </c>
      <c r="T23">
        <v>10.8</v>
      </c>
      <c r="AA23">
        <v>0</v>
      </c>
      <c r="AB23">
        <v>17843</v>
      </c>
      <c r="AC23">
        <v>273.60000000000002</v>
      </c>
      <c r="AI23">
        <v>0</v>
      </c>
      <c r="AJ23">
        <f t="shared" si="0"/>
        <v>1.52</v>
      </c>
      <c r="AK23">
        <v>0.57999999999999996</v>
      </c>
      <c r="AL23">
        <v>0</v>
      </c>
      <c r="AS23" t="s">
        <v>341</v>
      </c>
      <c r="AY23" t="s">
        <v>342</v>
      </c>
      <c r="BO23" t="s">
        <v>108</v>
      </c>
    </row>
    <row r="24" spans="1:70" x14ac:dyDescent="0.25">
      <c r="A24" t="s">
        <v>129</v>
      </c>
      <c r="B24">
        <v>2</v>
      </c>
      <c r="C24" t="s">
        <v>334</v>
      </c>
      <c r="D24" t="s">
        <v>355</v>
      </c>
      <c r="E24" t="s">
        <v>356</v>
      </c>
      <c r="F24" t="s">
        <v>276</v>
      </c>
      <c r="G24" t="s">
        <v>357</v>
      </c>
      <c r="H24" t="s">
        <v>346</v>
      </c>
      <c r="I24" t="s">
        <v>339</v>
      </c>
      <c r="J24" t="s">
        <v>340</v>
      </c>
      <c r="K24">
        <v>360</v>
      </c>
      <c r="L24" t="s">
        <v>275</v>
      </c>
      <c r="M24">
        <v>2</v>
      </c>
      <c r="T24">
        <v>24.48</v>
      </c>
      <c r="AA24">
        <v>0</v>
      </c>
      <c r="AB24">
        <v>17843</v>
      </c>
      <c r="AC24">
        <v>547.20000000000005</v>
      </c>
      <c r="AI24">
        <v>0</v>
      </c>
      <c r="AJ24">
        <f t="shared" si="0"/>
        <v>1.52</v>
      </c>
      <c r="AK24">
        <v>0.57999999999999996</v>
      </c>
      <c r="AL24">
        <v>0</v>
      </c>
      <c r="AS24" t="s">
        <v>341</v>
      </c>
      <c r="AY24" t="s">
        <v>342</v>
      </c>
      <c r="BO24" t="s">
        <v>108</v>
      </c>
    </row>
    <row r="25" spans="1:70" x14ac:dyDescent="0.25">
      <c r="A25" t="s">
        <v>129</v>
      </c>
      <c r="B25">
        <v>3</v>
      </c>
      <c r="C25" t="s">
        <v>334</v>
      </c>
      <c r="D25" t="s">
        <v>355</v>
      </c>
      <c r="E25" t="s">
        <v>356</v>
      </c>
      <c r="F25" t="s">
        <v>276</v>
      </c>
      <c r="G25" t="s">
        <v>357</v>
      </c>
      <c r="H25" t="s">
        <v>347</v>
      </c>
      <c r="I25" t="s">
        <v>339</v>
      </c>
      <c r="J25" t="s">
        <v>340</v>
      </c>
      <c r="K25">
        <v>510</v>
      </c>
      <c r="L25" t="s">
        <v>275</v>
      </c>
      <c r="M25">
        <v>3</v>
      </c>
      <c r="T25">
        <v>38.76</v>
      </c>
      <c r="AA25">
        <v>0</v>
      </c>
      <c r="AB25">
        <v>17843</v>
      </c>
      <c r="AC25">
        <v>775.2</v>
      </c>
      <c r="AI25">
        <v>0</v>
      </c>
      <c r="AJ25">
        <f t="shared" si="0"/>
        <v>1.52</v>
      </c>
      <c r="AK25">
        <v>0.57999999999999996</v>
      </c>
      <c r="AL25">
        <v>0</v>
      </c>
      <c r="AS25" t="s">
        <v>341</v>
      </c>
      <c r="AY25" t="s">
        <v>342</v>
      </c>
      <c r="BO25" t="s">
        <v>108</v>
      </c>
    </row>
    <row r="26" spans="1:70" x14ac:dyDescent="0.25">
      <c r="A26" t="s">
        <v>129</v>
      </c>
      <c r="B26">
        <v>4</v>
      </c>
      <c r="C26" t="s">
        <v>334</v>
      </c>
      <c r="D26" t="s">
        <v>355</v>
      </c>
      <c r="E26" t="s">
        <v>356</v>
      </c>
      <c r="F26" t="s">
        <v>276</v>
      </c>
      <c r="G26" t="s">
        <v>357</v>
      </c>
      <c r="H26" t="s">
        <v>349</v>
      </c>
      <c r="I26" t="s">
        <v>339</v>
      </c>
      <c r="J26" t="s">
        <v>340</v>
      </c>
      <c r="K26">
        <v>640</v>
      </c>
      <c r="L26" t="s">
        <v>275</v>
      </c>
      <c r="M26">
        <v>4</v>
      </c>
      <c r="T26">
        <v>54.4</v>
      </c>
      <c r="AA26">
        <v>0</v>
      </c>
      <c r="AB26">
        <v>17843</v>
      </c>
      <c r="AC26">
        <v>972.8</v>
      </c>
      <c r="AI26">
        <v>0</v>
      </c>
      <c r="AJ26">
        <f t="shared" si="0"/>
        <v>1.52</v>
      </c>
      <c r="AK26">
        <v>0.57999999999999996</v>
      </c>
      <c r="AL26">
        <v>0</v>
      </c>
      <c r="AS26" t="s">
        <v>341</v>
      </c>
      <c r="AY26" t="s">
        <v>342</v>
      </c>
      <c r="BO26" t="s">
        <v>108</v>
      </c>
    </row>
    <row r="27" spans="1:70" x14ac:dyDescent="0.25">
      <c r="A27" t="s">
        <v>129</v>
      </c>
      <c r="B27">
        <v>5</v>
      </c>
      <c r="C27" t="s">
        <v>334</v>
      </c>
      <c r="D27" t="s">
        <v>355</v>
      </c>
      <c r="E27" t="s">
        <v>356</v>
      </c>
      <c r="F27" t="s">
        <v>276</v>
      </c>
      <c r="G27" t="s">
        <v>357</v>
      </c>
      <c r="H27" t="s">
        <v>350</v>
      </c>
      <c r="I27" t="s">
        <v>339</v>
      </c>
      <c r="J27" t="s">
        <v>340</v>
      </c>
      <c r="K27">
        <v>450</v>
      </c>
      <c r="L27" t="s">
        <v>275</v>
      </c>
      <c r="M27">
        <v>3</v>
      </c>
      <c r="T27">
        <v>39.15</v>
      </c>
      <c r="AA27">
        <v>0</v>
      </c>
      <c r="AB27">
        <v>17843</v>
      </c>
      <c r="AC27">
        <v>684</v>
      </c>
      <c r="AI27">
        <v>0</v>
      </c>
      <c r="AJ27">
        <f t="shared" si="0"/>
        <v>1.52</v>
      </c>
      <c r="AK27">
        <v>0.57999999999999996</v>
      </c>
      <c r="AL27">
        <v>0</v>
      </c>
      <c r="AS27" t="s">
        <v>341</v>
      </c>
      <c r="AY27" t="s">
        <v>342</v>
      </c>
      <c r="BO27" t="s">
        <v>108</v>
      </c>
    </row>
    <row r="28" spans="1:70" x14ac:dyDescent="0.25">
      <c r="A28" t="s">
        <v>131</v>
      </c>
      <c r="B28">
        <v>1</v>
      </c>
      <c r="C28" t="s">
        <v>334</v>
      </c>
      <c r="D28" t="s">
        <v>355</v>
      </c>
      <c r="E28" t="s">
        <v>358</v>
      </c>
      <c r="F28" t="s">
        <v>276</v>
      </c>
      <c r="G28" t="s">
        <v>357</v>
      </c>
      <c r="H28" t="s">
        <v>346</v>
      </c>
      <c r="I28" t="s">
        <v>339</v>
      </c>
      <c r="J28" t="s">
        <v>340</v>
      </c>
      <c r="K28">
        <v>360</v>
      </c>
      <c r="L28" t="s">
        <v>275</v>
      </c>
      <c r="M28">
        <v>2</v>
      </c>
      <c r="T28">
        <v>24.48</v>
      </c>
      <c r="AA28">
        <v>0</v>
      </c>
      <c r="AB28">
        <v>17843</v>
      </c>
      <c r="AC28">
        <v>547.20000000000005</v>
      </c>
      <c r="AI28">
        <v>0</v>
      </c>
      <c r="AJ28">
        <f t="shared" si="0"/>
        <v>1.52</v>
      </c>
      <c r="AK28">
        <v>0.57999999999999996</v>
      </c>
      <c r="AL28">
        <v>0</v>
      </c>
      <c r="AS28" t="s">
        <v>341</v>
      </c>
      <c r="AY28" t="s">
        <v>342</v>
      </c>
      <c r="BO28" t="s">
        <v>108</v>
      </c>
    </row>
    <row r="29" spans="1:70" x14ac:dyDescent="0.25">
      <c r="A29" t="s">
        <v>131</v>
      </c>
      <c r="B29">
        <v>2</v>
      </c>
      <c r="C29" t="s">
        <v>334</v>
      </c>
      <c r="D29" t="s">
        <v>355</v>
      </c>
      <c r="E29" t="s">
        <v>358</v>
      </c>
      <c r="F29" t="s">
        <v>276</v>
      </c>
      <c r="G29" t="s">
        <v>357</v>
      </c>
      <c r="H29" t="s">
        <v>347</v>
      </c>
      <c r="I29" t="s">
        <v>339</v>
      </c>
      <c r="J29" t="s">
        <v>340</v>
      </c>
      <c r="K29">
        <v>680</v>
      </c>
      <c r="L29" t="s">
        <v>275</v>
      </c>
      <c r="M29">
        <v>4</v>
      </c>
      <c r="T29">
        <v>51.68</v>
      </c>
      <c r="AA29">
        <v>0</v>
      </c>
      <c r="AB29">
        <v>17843</v>
      </c>
      <c r="AC29">
        <v>1033.5999999999999</v>
      </c>
      <c r="AI29">
        <v>0</v>
      </c>
      <c r="AJ29">
        <f t="shared" si="0"/>
        <v>1.5199999999999998</v>
      </c>
      <c r="AK29">
        <v>0.57999999999999996</v>
      </c>
      <c r="AL29">
        <v>0</v>
      </c>
      <c r="AS29" t="s">
        <v>341</v>
      </c>
      <c r="AY29" t="s">
        <v>342</v>
      </c>
      <c r="BO29" t="s">
        <v>108</v>
      </c>
    </row>
    <row r="30" spans="1:70" x14ac:dyDescent="0.25">
      <c r="A30" t="s">
        <v>131</v>
      </c>
      <c r="B30">
        <v>3</v>
      </c>
      <c r="C30" t="s">
        <v>334</v>
      </c>
      <c r="D30" t="s">
        <v>355</v>
      </c>
      <c r="E30" t="s">
        <v>358</v>
      </c>
      <c r="F30" t="s">
        <v>276</v>
      </c>
      <c r="G30" t="s">
        <v>357</v>
      </c>
      <c r="H30" t="s">
        <v>349</v>
      </c>
      <c r="I30" t="s">
        <v>339</v>
      </c>
      <c r="J30" t="s">
        <v>340</v>
      </c>
      <c r="K30">
        <v>640</v>
      </c>
      <c r="L30" t="s">
        <v>275</v>
      </c>
      <c r="M30">
        <v>4</v>
      </c>
      <c r="T30">
        <v>54.4</v>
      </c>
      <c r="AA30">
        <v>0</v>
      </c>
      <c r="AB30">
        <v>17843</v>
      </c>
      <c r="AC30">
        <v>972.8</v>
      </c>
      <c r="AI30">
        <v>0</v>
      </c>
      <c r="AJ30">
        <f t="shared" si="0"/>
        <v>1.52</v>
      </c>
      <c r="AK30">
        <v>0.57999999999999996</v>
      </c>
      <c r="AL30">
        <v>0</v>
      </c>
      <c r="AS30" t="s">
        <v>341</v>
      </c>
      <c r="AY30" t="s">
        <v>342</v>
      </c>
      <c r="BO30" t="s">
        <v>108</v>
      </c>
    </row>
    <row r="31" spans="1:70" x14ac:dyDescent="0.25">
      <c r="A31" t="s">
        <v>131</v>
      </c>
      <c r="B31">
        <v>4</v>
      </c>
      <c r="C31" t="s">
        <v>334</v>
      </c>
      <c r="D31" t="s">
        <v>355</v>
      </c>
      <c r="E31" t="s">
        <v>358</v>
      </c>
      <c r="F31" t="s">
        <v>276</v>
      </c>
      <c r="G31" t="s">
        <v>357</v>
      </c>
      <c r="H31" t="s">
        <v>350</v>
      </c>
      <c r="I31" t="s">
        <v>339</v>
      </c>
      <c r="J31" t="s">
        <v>340</v>
      </c>
      <c r="K31">
        <v>450</v>
      </c>
      <c r="L31" t="s">
        <v>275</v>
      </c>
      <c r="M31">
        <v>3</v>
      </c>
      <c r="T31">
        <v>39.15</v>
      </c>
      <c r="AA31">
        <v>0</v>
      </c>
      <c r="AB31">
        <v>17843</v>
      </c>
      <c r="AC31">
        <v>684</v>
      </c>
      <c r="AI31">
        <v>0</v>
      </c>
      <c r="AJ31">
        <f t="shared" si="0"/>
        <v>1.52</v>
      </c>
      <c r="AK31">
        <v>0.57999999999999996</v>
      </c>
      <c r="AL31">
        <v>0</v>
      </c>
      <c r="AS31" t="s">
        <v>341</v>
      </c>
      <c r="AY31" t="s">
        <v>342</v>
      </c>
      <c r="BO31" t="s">
        <v>108</v>
      </c>
    </row>
    <row r="32" spans="1:70" x14ac:dyDescent="0.25">
      <c r="A32" t="s">
        <v>134</v>
      </c>
      <c r="B32">
        <v>1</v>
      </c>
      <c r="C32" t="s">
        <v>334</v>
      </c>
      <c r="D32" t="s">
        <v>359</v>
      </c>
      <c r="E32" t="s">
        <v>360</v>
      </c>
      <c r="F32" t="s">
        <v>276</v>
      </c>
      <c r="G32" t="s">
        <v>361</v>
      </c>
      <c r="H32" t="s">
        <v>339</v>
      </c>
      <c r="I32" t="s">
        <v>339</v>
      </c>
      <c r="J32" t="s">
        <v>340</v>
      </c>
      <c r="K32">
        <v>13717</v>
      </c>
      <c r="L32" t="s">
        <v>275</v>
      </c>
      <c r="M32">
        <v>318</v>
      </c>
      <c r="T32">
        <v>1879.615</v>
      </c>
      <c r="Z32">
        <v>0</v>
      </c>
      <c r="AA32">
        <v>0</v>
      </c>
      <c r="AB32">
        <v>17843</v>
      </c>
      <c r="AC32">
        <v>34292.5</v>
      </c>
      <c r="AF32">
        <v>0</v>
      </c>
      <c r="AG32">
        <v>0</v>
      </c>
      <c r="AI32">
        <v>0</v>
      </c>
      <c r="AJ32">
        <f t="shared" si="0"/>
        <v>2.5</v>
      </c>
      <c r="AK32">
        <v>0.76</v>
      </c>
      <c r="AL32">
        <v>0</v>
      </c>
      <c r="AM32">
        <v>0</v>
      </c>
      <c r="AN32">
        <v>0</v>
      </c>
      <c r="AS32" t="s">
        <v>341</v>
      </c>
      <c r="AY32" t="s">
        <v>342</v>
      </c>
      <c r="BJ32">
        <v>0</v>
      </c>
      <c r="BO32" t="s">
        <v>108</v>
      </c>
      <c r="BR32" t="s">
        <v>126</v>
      </c>
    </row>
    <row r="33" spans="1:70" x14ac:dyDescent="0.25">
      <c r="A33" t="s">
        <v>136</v>
      </c>
      <c r="B33">
        <v>1</v>
      </c>
      <c r="C33" t="s">
        <v>334</v>
      </c>
      <c r="D33" t="s">
        <v>362</v>
      </c>
      <c r="E33" t="s">
        <v>363</v>
      </c>
      <c r="F33" t="s">
        <v>276</v>
      </c>
      <c r="G33" t="s">
        <v>364</v>
      </c>
      <c r="H33" t="s">
        <v>346</v>
      </c>
      <c r="I33" t="s">
        <v>339</v>
      </c>
      <c r="J33" t="s">
        <v>340</v>
      </c>
      <c r="K33">
        <v>540</v>
      </c>
      <c r="L33" t="s">
        <v>275</v>
      </c>
      <c r="M33">
        <v>3</v>
      </c>
      <c r="T33">
        <v>36.72</v>
      </c>
      <c r="Z33">
        <v>0</v>
      </c>
      <c r="AA33">
        <v>0</v>
      </c>
      <c r="AB33">
        <v>17843</v>
      </c>
      <c r="AC33">
        <v>853.2</v>
      </c>
      <c r="AF33">
        <v>0</v>
      </c>
      <c r="AG33">
        <v>0</v>
      </c>
      <c r="AI33">
        <v>0</v>
      </c>
      <c r="AJ33">
        <f t="shared" si="0"/>
        <v>1.58</v>
      </c>
      <c r="AK33">
        <v>0.57999999999999996</v>
      </c>
      <c r="AL33">
        <v>0</v>
      </c>
      <c r="AM33">
        <v>0</v>
      </c>
      <c r="AN33">
        <v>0</v>
      </c>
      <c r="AS33" t="s">
        <v>341</v>
      </c>
      <c r="AY33" t="s">
        <v>342</v>
      </c>
      <c r="BJ33">
        <v>0</v>
      </c>
      <c r="BO33" t="s">
        <v>108</v>
      </c>
      <c r="BR33" t="s">
        <v>126</v>
      </c>
    </row>
    <row r="34" spans="1:70" x14ac:dyDescent="0.25">
      <c r="A34" t="s">
        <v>136</v>
      </c>
      <c r="B34">
        <v>2</v>
      </c>
      <c r="C34" t="s">
        <v>334</v>
      </c>
      <c r="D34" t="s">
        <v>362</v>
      </c>
      <c r="E34" t="s">
        <v>363</v>
      </c>
      <c r="F34" t="s">
        <v>276</v>
      </c>
      <c r="G34" t="s">
        <v>364</v>
      </c>
      <c r="H34" t="s">
        <v>347</v>
      </c>
      <c r="I34" t="s">
        <v>339</v>
      </c>
      <c r="J34" t="s">
        <v>340</v>
      </c>
      <c r="K34">
        <v>510</v>
      </c>
      <c r="L34" t="s">
        <v>275</v>
      </c>
      <c r="M34">
        <v>3</v>
      </c>
      <c r="T34">
        <v>38.76</v>
      </c>
      <c r="AA34">
        <v>0</v>
      </c>
      <c r="AB34">
        <v>17843</v>
      </c>
      <c r="AC34">
        <v>805.8</v>
      </c>
      <c r="AI34">
        <v>0</v>
      </c>
      <c r="AJ34">
        <f t="shared" si="0"/>
        <v>1.5799999999999998</v>
      </c>
      <c r="AK34">
        <v>0.57999999999999996</v>
      </c>
      <c r="AL34">
        <v>0</v>
      </c>
      <c r="AS34" t="s">
        <v>341</v>
      </c>
      <c r="AY34" t="s">
        <v>342</v>
      </c>
      <c r="BO34" t="s">
        <v>108</v>
      </c>
    </row>
    <row r="35" spans="1:70" x14ac:dyDescent="0.25">
      <c r="A35" t="s">
        <v>136</v>
      </c>
      <c r="B35">
        <v>3</v>
      </c>
      <c r="C35" t="s">
        <v>334</v>
      </c>
      <c r="D35" t="s">
        <v>362</v>
      </c>
      <c r="E35" t="s">
        <v>363</v>
      </c>
      <c r="F35" t="s">
        <v>276</v>
      </c>
      <c r="G35" t="s">
        <v>364</v>
      </c>
      <c r="H35" t="s">
        <v>349</v>
      </c>
      <c r="I35" t="s">
        <v>339</v>
      </c>
      <c r="J35" t="s">
        <v>340</v>
      </c>
      <c r="K35">
        <v>640</v>
      </c>
      <c r="L35" t="s">
        <v>275</v>
      </c>
      <c r="M35">
        <v>4</v>
      </c>
      <c r="T35">
        <v>54.4</v>
      </c>
      <c r="AA35">
        <v>0</v>
      </c>
      <c r="AB35">
        <v>17843</v>
      </c>
      <c r="AC35">
        <v>1011.2</v>
      </c>
      <c r="AI35">
        <v>0</v>
      </c>
      <c r="AJ35">
        <f t="shared" si="0"/>
        <v>1.58</v>
      </c>
      <c r="AK35">
        <v>0.57999999999999996</v>
      </c>
      <c r="AL35">
        <v>0</v>
      </c>
      <c r="AS35" t="s">
        <v>341</v>
      </c>
      <c r="AY35" t="s">
        <v>342</v>
      </c>
      <c r="BO35" t="s">
        <v>108</v>
      </c>
    </row>
    <row r="36" spans="1:70" x14ac:dyDescent="0.25">
      <c r="A36" t="s">
        <v>136</v>
      </c>
      <c r="B36">
        <v>4</v>
      </c>
      <c r="C36" t="s">
        <v>334</v>
      </c>
      <c r="D36" t="s">
        <v>362</v>
      </c>
      <c r="E36" t="s">
        <v>363</v>
      </c>
      <c r="F36" t="s">
        <v>276</v>
      </c>
      <c r="G36" t="s">
        <v>364</v>
      </c>
      <c r="H36" t="s">
        <v>350</v>
      </c>
      <c r="I36" t="s">
        <v>339</v>
      </c>
      <c r="J36" t="s">
        <v>340</v>
      </c>
      <c r="K36">
        <v>450</v>
      </c>
      <c r="L36" t="s">
        <v>275</v>
      </c>
      <c r="M36">
        <v>3</v>
      </c>
      <c r="T36">
        <v>39.15</v>
      </c>
      <c r="AA36">
        <v>0</v>
      </c>
      <c r="AB36">
        <v>17843</v>
      </c>
      <c r="AC36">
        <v>711</v>
      </c>
      <c r="AI36">
        <v>0</v>
      </c>
      <c r="AJ36">
        <f t="shared" si="0"/>
        <v>1.58</v>
      </c>
      <c r="AK36">
        <v>0.57999999999999996</v>
      </c>
      <c r="AL36">
        <v>0</v>
      </c>
      <c r="AS36" t="s">
        <v>341</v>
      </c>
      <c r="AY36" t="s">
        <v>342</v>
      </c>
      <c r="BO36" t="s">
        <v>108</v>
      </c>
    </row>
    <row r="37" spans="1:70" x14ac:dyDescent="0.25">
      <c r="A37" t="s">
        <v>138</v>
      </c>
      <c r="B37">
        <v>1</v>
      </c>
      <c r="C37" t="s">
        <v>334</v>
      </c>
      <c r="D37" t="s">
        <v>359</v>
      </c>
      <c r="E37" t="s">
        <v>365</v>
      </c>
      <c r="F37" t="s">
        <v>276</v>
      </c>
      <c r="G37" t="s">
        <v>361</v>
      </c>
      <c r="H37" t="s">
        <v>339</v>
      </c>
      <c r="I37" t="s">
        <v>339</v>
      </c>
      <c r="J37" t="s">
        <v>340</v>
      </c>
      <c r="K37">
        <v>5639</v>
      </c>
      <c r="L37" t="s">
        <v>275</v>
      </c>
      <c r="M37">
        <v>93</v>
      </c>
      <c r="T37">
        <v>654.21500000000003</v>
      </c>
      <c r="Z37">
        <v>0</v>
      </c>
      <c r="AA37">
        <v>0</v>
      </c>
      <c r="AB37">
        <v>17843</v>
      </c>
      <c r="AC37">
        <v>13815.55</v>
      </c>
      <c r="AF37">
        <v>0</v>
      </c>
      <c r="AG37">
        <v>0</v>
      </c>
      <c r="AI37">
        <v>0</v>
      </c>
      <c r="AJ37">
        <f t="shared" si="0"/>
        <v>2.4499999999999997</v>
      </c>
      <c r="AK37">
        <v>0.76</v>
      </c>
      <c r="AL37">
        <v>0</v>
      </c>
      <c r="AM37">
        <v>0</v>
      </c>
      <c r="AN37">
        <v>0</v>
      </c>
      <c r="AS37" t="s">
        <v>341</v>
      </c>
      <c r="AY37" t="s">
        <v>342</v>
      </c>
      <c r="BJ37">
        <v>0</v>
      </c>
      <c r="BO37" t="s">
        <v>108</v>
      </c>
      <c r="BR37" t="s">
        <v>126</v>
      </c>
    </row>
    <row r="38" spans="1:70" x14ac:dyDescent="0.25">
      <c r="A38" t="s">
        <v>140</v>
      </c>
      <c r="B38">
        <v>4</v>
      </c>
      <c r="C38" t="s">
        <v>366</v>
      </c>
      <c r="D38" t="s">
        <v>367</v>
      </c>
      <c r="E38" t="s">
        <v>368</v>
      </c>
      <c r="F38" t="s">
        <v>276</v>
      </c>
      <c r="G38" t="s">
        <v>369</v>
      </c>
      <c r="H38" t="s">
        <v>348</v>
      </c>
      <c r="I38" t="s">
        <v>339</v>
      </c>
      <c r="J38" t="s">
        <v>340</v>
      </c>
      <c r="K38">
        <v>26</v>
      </c>
      <c r="L38" t="s">
        <v>275</v>
      </c>
      <c r="M38">
        <v>1</v>
      </c>
      <c r="T38">
        <v>5.2</v>
      </c>
      <c r="AA38">
        <v>0</v>
      </c>
      <c r="AB38">
        <v>17843</v>
      </c>
      <c r="AC38">
        <v>70.72</v>
      </c>
      <c r="AI38">
        <v>0</v>
      </c>
      <c r="AJ38">
        <f t="shared" si="0"/>
        <v>2.7199999999999998</v>
      </c>
      <c r="AK38">
        <v>1.05</v>
      </c>
      <c r="AL38">
        <v>0</v>
      </c>
      <c r="AS38" t="s">
        <v>341</v>
      </c>
      <c r="AY38" t="s">
        <v>342</v>
      </c>
      <c r="BO38" t="s">
        <v>108</v>
      </c>
    </row>
    <row r="39" spans="1:70" x14ac:dyDescent="0.25">
      <c r="A39" t="s">
        <v>140</v>
      </c>
      <c r="B39">
        <v>1</v>
      </c>
      <c r="C39" t="s">
        <v>366</v>
      </c>
      <c r="D39" t="s">
        <v>367</v>
      </c>
      <c r="E39" t="s">
        <v>368</v>
      </c>
      <c r="F39" t="s">
        <v>276</v>
      </c>
      <c r="G39" t="s">
        <v>369</v>
      </c>
      <c r="H39" t="s">
        <v>346</v>
      </c>
      <c r="I39" t="s">
        <v>339</v>
      </c>
      <c r="J39" t="s">
        <v>340</v>
      </c>
      <c r="K39">
        <v>55</v>
      </c>
      <c r="L39" t="s">
        <v>275</v>
      </c>
      <c r="M39">
        <v>1</v>
      </c>
      <c r="T39">
        <v>6.63</v>
      </c>
      <c r="Z39">
        <v>0</v>
      </c>
      <c r="AA39">
        <v>0</v>
      </c>
      <c r="AB39">
        <v>17843</v>
      </c>
      <c r="AC39">
        <v>149.6</v>
      </c>
      <c r="AF39">
        <v>0</v>
      </c>
      <c r="AG39">
        <v>0</v>
      </c>
      <c r="AI39">
        <v>0</v>
      </c>
      <c r="AJ39">
        <f t="shared" si="0"/>
        <v>2.7199999999999998</v>
      </c>
      <c r="AK39">
        <v>1.05</v>
      </c>
      <c r="AL39">
        <v>0</v>
      </c>
      <c r="AM39">
        <v>0</v>
      </c>
      <c r="AN39">
        <v>0</v>
      </c>
      <c r="AS39" t="s">
        <v>341</v>
      </c>
      <c r="AY39" t="s">
        <v>342</v>
      </c>
      <c r="BJ39">
        <v>0</v>
      </c>
      <c r="BO39" t="s">
        <v>108</v>
      </c>
      <c r="BR39" t="s">
        <v>126</v>
      </c>
    </row>
    <row r="40" spans="1:70" x14ac:dyDescent="0.25">
      <c r="A40" t="s">
        <v>140</v>
      </c>
      <c r="B40">
        <v>2</v>
      </c>
      <c r="C40" t="s">
        <v>366</v>
      </c>
      <c r="D40" t="s">
        <v>367</v>
      </c>
      <c r="E40" t="s">
        <v>368</v>
      </c>
      <c r="F40" t="s">
        <v>276</v>
      </c>
      <c r="G40" t="s">
        <v>369</v>
      </c>
      <c r="H40" t="s">
        <v>349</v>
      </c>
      <c r="I40" t="s">
        <v>339</v>
      </c>
      <c r="J40" t="s">
        <v>340</v>
      </c>
      <c r="K40">
        <v>41</v>
      </c>
      <c r="L40" t="s">
        <v>275</v>
      </c>
      <c r="M40">
        <v>1</v>
      </c>
      <c r="T40">
        <v>6.56</v>
      </c>
      <c r="AA40">
        <v>0</v>
      </c>
      <c r="AB40">
        <v>17843</v>
      </c>
      <c r="AC40">
        <v>111.52</v>
      </c>
      <c r="AI40">
        <v>0</v>
      </c>
      <c r="AJ40">
        <f t="shared" si="0"/>
        <v>2.7199999999999998</v>
      </c>
      <c r="AK40">
        <v>1.05</v>
      </c>
      <c r="AL40">
        <v>0</v>
      </c>
      <c r="AS40" t="s">
        <v>341</v>
      </c>
      <c r="AY40" t="s">
        <v>342</v>
      </c>
      <c r="BO40" t="s">
        <v>108</v>
      </c>
    </row>
    <row r="41" spans="1:70" x14ac:dyDescent="0.25">
      <c r="A41" t="s">
        <v>140</v>
      </c>
      <c r="B41">
        <v>3</v>
      </c>
      <c r="C41" t="s">
        <v>366</v>
      </c>
      <c r="D41" t="s">
        <v>367</v>
      </c>
      <c r="E41" t="s">
        <v>368</v>
      </c>
      <c r="F41" t="s">
        <v>276</v>
      </c>
      <c r="G41" t="s">
        <v>369</v>
      </c>
      <c r="H41" t="s">
        <v>350</v>
      </c>
      <c r="I41" t="s">
        <v>339</v>
      </c>
      <c r="J41" t="s">
        <v>340</v>
      </c>
      <c r="K41">
        <v>15</v>
      </c>
      <c r="L41" t="s">
        <v>275</v>
      </c>
      <c r="M41">
        <v>0</v>
      </c>
      <c r="T41">
        <v>0</v>
      </c>
      <c r="AA41">
        <v>0</v>
      </c>
      <c r="AB41">
        <v>17843</v>
      </c>
      <c r="AC41">
        <v>40.799999999999997</v>
      </c>
      <c r="AI41">
        <v>0</v>
      </c>
      <c r="AJ41">
        <f t="shared" si="0"/>
        <v>2.7199999999999998</v>
      </c>
      <c r="AK41">
        <v>1.05</v>
      </c>
      <c r="AL41">
        <v>0</v>
      </c>
      <c r="AS41" t="s">
        <v>341</v>
      </c>
      <c r="AY41" t="s">
        <v>342</v>
      </c>
      <c r="BO41" t="s">
        <v>108</v>
      </c>
    </row>
    <row r="42" spans="1:70" x14ac:dyDescent="0.25">
      <c r="A42" t="s">
        <v>140</v>
      </c>
      <c r="B42">
        <v>5</v>
      </c>
      <c r="C42" t="s">
        <v>366</v>
      </c>
      <c r="D42" t="s">
        <v>367</v>
      </c>
      <c r="E42" t="s">
        <v>368</v>
      </c>
      <c r="F42" t="s">
        <v>276</v>
      </c>
      <c r="G42" t="s">
        <v>369</v>
      </c>
      <c r="H42" t="s">
        <v>347</v>
      </c>
      <c r="I42" t="s">
        <v>339</v>
      </c>
      <c r="J42" t="s">
        <v>340</v>
      </c>
      <c r="K42">
        <v>63</v>
      </c>
      <c r="L42" t="s">
        <v>275</v>
      </c>
      <c r="M42">
        <v>1</v>
      </c>
      <c r="T42">
        <v>6.9</v>
      </c>
      <c r="AA42">
        <v>0</v>
      </c>
      <c r="AB42">
        <v>17843</v>
      </c>
      <c r="AC42">
        <v>171.36</v>
      </c>
      <c r="AI42">
        <v>0</v>
      </c>
      <c r="AJ42">
        <f t="shared" si="0"/>
        <v>2.72</v>
      </c>
      <c r="AK42">
        <v>1.05</v>
      </c>
      <c r="AL42">
        <v>0</v>
      </c>
      <c r="AS42" t="s">
        <v>341</v>
      </c>
      <c r="AY42" t="s">
        <v>342</v>
      </c>
      <c r="BO42" t="s">
        <v>108</v>
      </c>
    </row>
    <row r="43" spans="1:70" x14ac:dyDescent="0.25">
      <c r="A43" t="s">
        <v>140</v>
      </c>
      <c r="B43">
        <v>6</v>
      </c>
      <c r="C43" t="s">
        <v>366</v>
      </c>
      <c r="D43" t="s">
        <v>367</v>
      </c>
      <c r="E43" t="s">
        <v>368</v>
      </c>
      <c r="F43" t="s">
        <v>276</v>
      </c>
      <c r="G43" t="s">
        <v>369</v>
      </c>
      <c r="H43" t="s">
        <v>343</v>
      </c>
      <c r="I43" t="s">
        <v>339</v>
      </c>
      <c r="J43" t="s">
        <v>340</v>
      </c>
      <c r="K43">
        <v>5</v>
      </c>
      <c r="L43" t="s">
        <v>275</v>
      </c>
      <c r="M43">
        <v>0</v>
      </c>
      <c r="T43">
        <v>0</v>
      </c>
      <c r="AA43">
        <v>0</v>
      </c>
      <c r="AB43">
        <v>17843</v>
      </c>
      <c r="AC43">
        <v>13.6</v>
      </c>
      <c r="AI43">
        <v>0</v>
      </c>
      <c r="AJ43">
        <f t="shared" si="0"/>
        <v>2.7199999999999998</v>
      </c>
      <c r="AK43">
        <v>1.05</v>
      </c>
      <c r="AL43">
        <v>0</v>
      </c>
      <c r="AS43" t="s">
        <v>341</v>
      </c>
      <c r="AY43" t="s">
        <v>342</v>
      </c>
      <c r="BO43" t="s">
        <v>108</v>
      </c>
    </row>
    <row r="44" spans="1:70" x14ac:dyDescent="0.25">
      <c r="A44" t="s">
        <v>140</v>
      </c>
      <c r="B44">
        <v>7</v>
      </c>
      <c r="C44" t="s">
        <v>366</v>
      </c>
      <c r="D44" t="s">
        <v>367</v>
      </c>
      <c r="E44" t="s">
        <v>370</v>
      </c>
      <c r="F44" t="s">
        <v>276</v>
      </c>
      <c r="G44" t="s">
        <v>369</v>
      </c>
      <c r="H44" t="s">
        <v>345</v>
      </c>
      <c r="I44" t="s">
        <v>339</v>
      </c>
      <c r="J44" t="s">
        <v>340</v>
      </c>
      <c r="K44">
        <v>56</v>
      </c>
      <c r="L44" t="s">
        <v>275</v>
      </c>
      <c r="M44">
        <v>1</v>
      </c>
      <c r="T44">
        <v>6.12</v>
      </c>
      <c r="AA44">
        <v>0</v>
      </c>
      <c r="AB44">
        <v>17843</v>
      </c>
      <c r="AC44">
        <v>152.32</v>
      </c>
      <c r="AI44">
        <v>0</v>
      </c>
      <c r="AJ44">
        <f t="shared" si="0"/>
        <v>2.7199999999999998</v>
      </c>
      <c r="AK44">
        <v>1.05</v>
      </c>
      <c r="AL44">
        <v>0</v>
      </c>
      <c r="AS44" t="s">
        <v>341</v>
      </c>
      <c r="AY44" t="s">
        <v>342</v>
      </c>
      <c r="BO44" t="s">
        <v>108</v>
      </c>
    </row>
    <row r="45" spans="1:70" x14ac:dyDescent="0.25">
      <c r="A45" t="s">
        <v>140</v>
      </c>
      <c r="B45">
        <v>8</v>
      </c>
      <c r="C45" t="s">
        <v>366</v>
      </c>
      <c r="D45" t="s">
        <v>367</v>
      </c>
      <c r="E45" t="s">
        <v>370</v>
      </c>
      <c r="F45" t="s">
        <v>276</v>
      </c>
      <c r="G45" t="s">
        <v>369</v>
      </c>
      <c r="H45" t="s">
        <v>347</v>
      </c>
      <c r="I45" t="s">
        <v>339</v>
      </c>
      <c r="J45" t="s">
        <v>340</v>
      </c>
      <c r="K45">
        <v>120</v>
      </c>
      <c r="L45" t="s">
        <v>275</v>
      </c>
      <c r="M45">
        <v>2</v>
      </c>
      <c r="T45">
        <v>17.25</v>
      </c>
      <c r="AA45">
        <v>0</v>
      </c>
      <c r="AB45">
        <v>17843</v>
      </c>
      <c r="AC45">
        <v>326.39999999999998</v>
      </c>
      <c r="AI45">
        <v>0</v>
      </c>
      <c r="AJ45">
        <f t="shared" si="0"/>
        <v>2.7199999999999998</v>
      </c>
      <c r="AK45">
        <v>1.05</v>
      </c>
      <c r="AL45">
        <v>0</v>
      </c>
      <c r="AS45" t="s">
        <v>341</v>
      </c>
      <c r="AY45" t="s">
        <v>342</v>
      </c>
      <c r="BO45" t="s">
        <v>108</v>
      </c>
    </row>
    <row r="46" spans="1:70" x14ac:dyDescent="0.25">
      <c r="A46" t="s">
        <v>140</v>
      </c>
      <c r="B46">
        <v>9</v>
      </c>
      <c r="C46" t="s">
        <v>366</v>
      </c>
      <c r="D46" t="s">
        <v>367</v>
      </c>
      <c r="E46" t="s">
        <v>370</v>
      </c>
      <c r="F46" t="s">
        <v>276</v>
      </c>
      <c r="G46" t="s">
        <v>369</v>
      </c>
      <c r="H46" t="s">
        <v>350</v>
      </c>
      <c r="I46" t="s">
        <v>339</v>
      </c>
      <c r="J46" t="s">
        <v>340</v>
      </c>
      <c r="K46">
        <v>59</v>
      </c>
      <c r="L46" t="s">
        <v>275</v>
      </c>
      <c r="M46">
        <v>2</v>
      </c>
      <c r="T46">
        <v>9.5399999999999991</v>
      </c>
      <c r="AA46">
        <v>0</v>
      </c>
      <c r="AB46">
        <v>17843</v>
      </c>
      <c r="AC46">
        <v>160.47999999999999</v>
      </c>
      <c r="AI46">
        <v>0</v>
      </c>
      <c r="AJ46">
        <f t="shared" si="0"/>
        <v>2.7199999999999998</v>
      </c>
      <c r="AK46">
        <v>1.05</v>
      </c>
      <c r="AL46">
        <v>0</v>
      </c>
      <c r="AS46" t="s">
        <v>341</v>
      </c>
      <c r="AY46" t="s">
        <v>342</v>
      </c>
      <c r="BO46" t="s">
        <v>108</v>
      </c>
    </row>
    <row r="47" spans="1:70" x14ac:dyDescent="0.25">
      <c r="A47" t="s">
        <v>140</v>
      </c>
      <c r="B47">
        <v>10</v>
      </c>
      <c r="C47" t="s">
        <v>366</v>
      </c>
      <c r="D47" t="s">
        <v>367</v>
      </c>
      <c r="E47" t="s">
        <v>370</v>
      </c>
      <c r="F47" t="s">
        <v>276</v>
      </c>
      <c r="G47" t="s">
        <v>369</v>
      </c>
      <c r="H47" t="s">
        <v>348</v>
      </c>
      <c r="I47" t="s">
        <v>339</v>
      </c>
      <c r="J47" t="s">
        <v>340</v>
      </c>
      <c r="K47">
        <v>36</v>
      </c>
      <c r="L47" t="s">
        <v>275</v>
      </c>
      <c r="M47">
        <v>1</v>
      </c>
      <c r="T47">
        <v>5.8</v>
      </c>
      <c r="AA47">
        <v>0</v>
      </c>
      <c r="AB47">
        <v>17843</v>
      </c>
      <c r="AC47">
        <v>97.92</v>
      </c>
      <c r="AI47">
        <v>0</v>
      </c>
      <c r="AJ47">
        <f t="shared" si="0"/>
        <v>2.72</v>
      </c>
      <c r="AK47">
        <v>1.05</v>
      </c>
      <c r="AL47">
        <v>0</v>
      </c>
      <c r="AS47" t="s">
        <v>341</v>
      </c>
      <c r="AY47" t="s">
        <v>342</v>
      </c>
      <c r="BO47" t="s">
        <v>108</v>
      </c>
    </row>
    <row r="48" spans="1:70" x14ac:dyDescent="0.25">
      <c r="A48" t="s">
        <v>140</v>
      </c>
      <c r="B48">
        <v>11</v>
      </c>
      <c r="C48" t="s">
        <v>366</v>
      </c>
      <c r="D48" t="s">
        <v>367</v>
      </c>
      <c r="E48" t="s">
        <v>370</v>
      </c>
      <c r="F48" t="s">
        <v>276</v>
      </c>
      <c r="G48" t="s">
        <v>369</v>
      </c>
      <c r="H48" t="s">
        <v>338</v>
      </c>
      <c r="I48" t="s">
        <v>339</v>
      </c>
      <c r="J48" t="s">
        <v>340</v>
      </c>
      <c r="K48">
        <v>10</v>
      </c>
      <c r="L48" t="s">
        <v>275</v>
      </c>
      <c r="M48">
        <v>1</v>
      </c>
      <c r="T48">
        <v>11.64</v>
      </c>
      <c r="AA48">
        <v>0</v>
      </c>
      <c r="AB48">
        <v>17843</v>
      </c>
      <c r="AC48">
        <v>27.2</v>
      </c>
      <c r="AI48">
        <v>0</v>
      </c>
      <c r="AJ48">
        <f t="shared" si="0"/>
        <v>2.7199999999999998</v>
      </c>
      <c r="AK48">
        <v>1.05</v>
      </c>
      <c r="AL48">
        <v>0</v>
      </c>
      <c r="AS48" t="s">
        <v>341</v>
      </c>
      <c r="AY48" t="s">
        <v>342</v>
      </c>
      <c r="BO48" t="s">
        <v>108</v>
      </c>
    </row>
    <row r="49" spans="1:70" x14ac:dyDescent="0.25">
      <c r="A49" t="s">
        <v>140</v>
      </c>
      <c r="B49">
        <v>12</v>
      </c>
      <c r="C49" t="s">
        <v>334</v>
      </c>
      <c r="D49" t="s">
        <v>367</v>
      </c>
      <c r="E49" t="s">
        <v>370</v>
      </c>
      <c r="F49" t="s">
        <v>276</v>
      </c>
      <c r="G49" t="s">
        <v>369</v>
      </c>
      <c r="H49" t="s">
        <v>343</v>
      </c>
      <c r="I49" t="s">
        <v>339</v>
      </c>
      <c r="J49" t="s">
        <v>340</v>
      </c>
      <c r="K49">
        <v>17</v>
      </c>
      <c r="L49" t="s">
        <v>275</v>
      </c>
      <c r="M49">
        <v>1</v>
      </c>
      <c r="T49">
        <v>3.3</v>
      </c>
      <c r="Z49">
        <v>0</v>
      </c>
      <c r="AA49">
        <v>0</v>
      </c>
      <c r="AB49">
        <v>17843</v>
      </c>
      <c r="AC49">
        <v>46.24</v>
      </c>
      <c r="AF49">
        <v>0</v>
      </c>
      <c r="AG49">
        <v>0</v>
      </c>
      <c r="AI49">
        <v>0</v>
      </c>
      <c r="AJ49">
        <f t="shared" si="0"/>
        <v>2.72</v>
      </c>
      <c r="AK49">
        <v>1.05</v>
      </c>
      <c r="AL49">
        <v>0</v>
      </c>
      <c r="AM49">
        <v>0</v>
      </c>
      <c r="AN49">
        <v>0</v>
      </c>
      <c r="AS49" t="s">
        <v>341</v>
      </c>
      <c r="AY49" t="s">
        <v>342</v>
      </c>
      <c r="BJ49">
        <v>0</v>
      </c>
      <c r="BO49" t="s">
        <v>108</v>
      </c>
      <c r="BR49" t="s">
        <v>126</v>
      </c>
    </row>
    <row r="50" spans="1:70" x14ac:dyDescent="0.25">
      <c r="A50" t="s">
        <v>140</v>
      </c>
      <c r="B50">
        <v>13</v>
      </c>
      <c r="C50" t="s">
        <v>366</v>
      </c>
      <c r="D50" t="s">
        <v>367</v>
      </c>
      <c r="E50" t="s">
        <v>368</v>
      </c>
      <c r="F50" t="s">
        <v>276</v>
      </c>
      <c r="G50" t="s">
        <v>369</v>
      </c>
      <c r="H50" t="s">
        <v>345</v>
      </c>
      <c r="I50" t="s">
        <v>339</v>
      </c>
      <c r="J50" t="s">
        <v>340</v>
      </c>
      <c r="K50">
        <v>21</v>
      </c>
      <c r="L50" t="s">
        <v>275</v>
      </c>
      <c r="M50">
        <v>0</v>
      </c>
      <c r="T50">
        <v>0</v>
      </c>
      <c r="AA50">
        <v>0</v>
      </c>
      <c r="AB50">
        <v>17843</v>
      </c>
      <c r="AC50">
        <v>57.12</v>
      </c>
      <c r="AI50">
        <v>0</v>
      </c>
      <c r="AJ50">
        <f t="shared" si="0"/>
        <v>2.7199999999999998</v>
      </c>
      <c r="AK50">
        <v>1.05</v>
      </c>
      <c r="AL50">
        <v>0</v>
      </c>
      <c r="AS50" t="s">
        <v>341</v>
      </c>
      <c r="AY50" t="s">
        <v>342</v>
      </c>
      <c r="BO50" t="s">
        <v>108</v>
      </c>
    </row>
    <row r="51" spans="1:70" x14ac:dyDescent="0.25">
      <c r="A51" t="s">
        <v>140</v>
      </c>
      <c r="B51">
        <v>14</v>
      </c>
      <c r="C51" t="s">
        <v>366</v>
      </c>
      <c r="D51" t="s">
        <v>367</v>
      </c>
      <c r="E51" t="s">
        <v>368</v>
      </c>
      <c r="F51" t="s">
        <v>276</v>
      </c>
      <c r="G51" t="s">
        <v>369</v>
      </c>
      <c r="H51" t="s">
        <v>338</v>
      </c>
      <c r="I51" t="s">
        <v>339</v>
      </c>
      <c r="J51" t="s">
        <v>340</v>
      </c>
      <c r="K51">
        <v>7</v>
      </c>
      <c r="L51" t="s">
        <v>275</v>
      </c>
      <c r="M51">
        <v>1</v>
      </c>
      <c r="T51">
        <v>11.65</v>
      </c>
      <c r="AA51">
        <v>0</v>
      </c>
      <c r="AB51">
        <v>17843</v>
      </c>
      <c r="AC51">
        <v>19.04</v>
      </c>
      <c r="AI51">
        <v>0</v>
      </c>
      <c r="AJ51">
        <f t="shared" si="0"/>
        <v>2.7199999999999998</v>
      </c>
      <c r="AK51">
        <v>1.05</v>
      </c>
      <c r="AL51">
        <v>0</v>
      </c>
      <c r="AS51" t="s">
        <v>341</v>
      </c>
      <c r="AY51" t="s">
        <v>342</v>
      </c>
      <c r="BO51" t="s">
        <v>108</v>
      </c>
    </row>
    <row r="52" spans="1:70" x14ac:dyDescent="0.25">
      <c r="A52" t="s">
        <v>140</v>
      </c>
      <c r="B52">
        <v>15</v>
      </c>
      <c r="C52" t="s">
        <v>366</v>
      </c>
      <c r="D52" t="s">
        <v>367</v>
      </c>
      <c r="E52" t="s">
        <v>368</v>
      </c>
      <c r="F52" t="s">
        <v>276</v>
      </c>
      <c r="G52" t="s">
        <v>369</v>
      </c>
      <c r="H52" t="s">
        <v>344</v>
      </c>
      <c r="I52" t="s">
        <v>339</v>
      </c>
      <c r="J52" t="s">
        <v>340</v>
      </c>
      <c r="K52">
        <v>5</v>
      </c>
      <c r="L52" t="s">
        <v>275</v>
      </c>
      <c r="M52">
        <v>0</v>
      </c>
      <c r="T52">
        <v>0</v>
      </c>
      <c r="AA52">
        <v>0</v>
      </c>
      <c r="AB52">
        <v>17843</v>
      </c>
      <c r="AC52">
        <v>13.6</v>
      </c>
      <c r="AI52">
        <v>0</v>
      </c>
      <c r="AJ52">
        <f t="shared" si="0"/>
        <v>2.7199999999999998</v>
      </c>
      <c r="AK52">
        <v>1.05</v>
      </c>
      <c r="AL52">
        <v>0</v>
      </c>
      <c r="AS52" t="s">
        <v>341</v>
      </c>
      <c r="AY52" t="s">
        <v>342</v>
      </c>
      <c r="BO52" t="s">
        <v>108</v>
      </c>
    </row>
    <row r="53" spans="1:70" x14ac:dyDescent="0.25">
      <c r="A53" t="s">
        <v>140</v>
      </c>
      <c r="B53">
        <v>16</v>
      </c>
      <c r="C53" t="s">
        <v>366</v>
      </c>
      <c r="D53" t="s">
        <v>367</v>
      </c>
      <c r="E53" t="s">
        <v>370</v>
      </c>
      <c r="F53" t="s">
        <v>276</v>
      </c>
      <c r="G53" t="s">
        <v>369</v>
      </c>
      <c r="H53" t="s">
        <v>346</v>
      </c>
      <c r="I53" t="s">
        <v>339</v>
      </c>
      <c r="J53" t="s">
        <v>340</v>
      </c>
      <c r="K53">
        <v>109</v>
      </c>
      <c r="L53" t="s">
        <v>275</v>
      </c>
      <c r="M53">
        <v>1</v>
      </c>
      <c r="T53">
        <v>11.44</v>
      </c>
      <c r="AA53">
        <v>0</v>
      </c>
      <c r="AB53">
        <v>17843</v>
      </c>
      <c r="AC53">
        <v>296.48</v>
      </c>
      <c r="AI53">
        <v>0</v>
      </c>
      <c r="AJ53">
        <f t="shared" si="0"/>
        <v>2.72</v>
      </c>
      <c r="AK53">
        <v>1.05</v>
      </c>
      <c r="AL53">
        <v>0</v>
      </c>
      <c r="AS53" t="s">
        <v>341</v>
      </c>
      <c r="AY53" t="s">
        <v>342</v>
      </c>
      <c r="BO53" t="s">
        <v>108</v>
      </c>
    </row>
    <row r="54" spans="1:70" x14ac:dyDescent="0.25">
      <c r="A54" t="s">
        <v>140</v>
      </c>
      <c r="B54">
        <v>17</v>
      </c>
      <c r="C54" t="s">
        <v>366</v>
      </c>
      <c r="D54" t="s">
        <v>367</v>
      </c>
      <c r="E54" t="s">
        <v>370</v>
      </c>
      <c r="F54" t="s">
        <v>276</v>
      </c>
      <c r="G54" t="s">
        <v>369</v>
      </c>
      <c r="H54" t="s">
        <v>349</v>
      </c>
      <c r="I54" t="s">
        <v>339</v>
      </c>
      <c r="J54" t="s">
        <v>340</v>
      </c>
      <c r="K54">
        <v>101</v>
      </c>
      <c r="L54" t="s">
        <v>275</v>
      </c>
      <c r="M54">
        <v>2</v>
      </c>
      <c r="T54">
        <v>15.52</v>
      </c>
      <c r="AA54">
        <v>0</v>
      </c>
      <c r="AB54">
        <v>17843</v>
      </c>
      <c r="AC54">
        <v>274.72000000000003</v>
      </c>
      <c r="AI54">
        <v>0</v>
      </c>
      <c r="AJ54">
        <f t="shared" si="0"/>
        <v>2.72</v>
      </c>
      <c r="AK54">
        <v>1.05</v>
      </c>
      <c r="AL54">
        <v>0</v>
      </c>
      <c r="AS54" t="s">
        <v>341</v>
      </c>
      <c r="AY54" t="s">
        <v>342</v>
      </c>
      <c r="BO54" t="s">
        <v>108</v>
      </c>
    </row>
    <row r="55" spans="1:70" x14ac:dyDescent="0.25">
      <c r="A55" t="s">
        <v>140</v>
      </c>
      <c r="B55">
        <v>18</v>
      </c>
      <c r="C55" t="s">
        <v>366</v>
      </c>
      <c r="D55" t="s">
        <v>367</v>
      </c>
      <c r="E55" t="s">
        <v>370</v>
      </c>
      <c r="F55" t="s">
        <v>276</v>
      </c>
      <c r="G55" t="s">
        <v>369</v>
      </c>
      <c r="H55" t="s">
        <v>344</v>
      </c>
      <c r="I55" t="s">
        <v>339</v>
      </c>
      <c r="J55" t="s">
        <v>340</v>
      </c>
      <c r="K55">
        <v>11</v>
      </c>
      <c r="L55" t="s">
        <v>275</v>
      </c>
      <c r="M55">
        <v>0</v>
      </c>
      <c r="T55">
        <v>0</v>
      </c>
      <c r="AA55">
        <v>0</v>
      </c>
      <c r="AB55">
        <v>17843</v>
      </c>
      <c r="AC55">
        <v>29.92</v>
      </c>
      <c r="AI55">
        <v>0</v>
      </c>
      <c r="AJ55">
        <f t="shared" si="0"/>
        <v>2.72</v>
      </c>
      <c r="AK55">
        <v>1.05</v>
      </c>
      <c r="AL55">
        <v>0</v>
      </c>
      <c r="AS55" t="s">
        <v>341</v>
      </c>
      <c r="AY55" t="s">
        <v>342</v>
      </c>
      <c r="BO55" t="s">
        <v>108</v>
      </c>
    </row>
    <row r="56" spans="1:70" x14ac:dyDescent="0.25">
      <c r="A56" t="s">
        <v>142</v>
      </c>
      <c r="B56">
        <v>1</v>
      </c>
      <c r="C56" t="s">
        <v>334</v>
      </c>
      <c r="D56" t="s">
        <v>359</v>
      </c>
      <c r="E56" t="s">
        <v>371</v>
      </c>
      <c r="F56" t="s">
        <v>276</v>
      </c>
      <c r="G56" t="s">
        <v>361</v>
      </c>
      <c r="H56" t="s">
        <v>339</v>
      </c>
      <c r="I56" t="s">
        <v>339</v>
      </c>
      <c r="J56" t="s">
        <v>340</v>
      </c>
      <c r="K56">
        <v>2760</v>
      </c>
      <c r="L56" t="s">
        <v>275</v>
      </c>
      <c r="M56">
        <v>54</v>
      </c>
      <c r="T56">
        <v>314.49</v>
      </c>
      <c r="Z56">
        <v>0</v>
      </c>
      <c r="AA56">
        <v>0</v>
      </c>
      <c r="AB56">
        <v>17843</v>
      </c>
      <c r="AC56">
        <v>6762</v>
      </c>
      <c r="AF56">
        <v>0</v>
      </c>
      <c r="AG56">
        <v>0</v>
      </c>
      <c r="AI56">
        <v>0</v>
      </c>
      <c r="AJ56">
        <f t="shared" si="0"/>
        <v>2.4500000000000002</v>
      </c>
      <c r="AK56">
        <v>0.76</v>
      </c>
      <c r="AL56">
        <v>0</v>
      </c>
      <c r="AM56">
        <v>0</v>
      </c>
      <c r="AN56">
        <v>0</v>
      </c>
      <c r="AS56" t="s">
        <v>341</v>
      </c>
      <c r="AY56" t="s">
        <v>342</v>
      </c>
      <c r="BJ56">
        <v>0</v>
      </c>
      <c r="BO56" t="s">
        <v>108</v>
      </c>
      <c r="BR56" t="s">
        <v>126</v>
      </c>
    </row>
    <row r="57" spans="1:70" x14ac:dyDescent="0.25">
      <c r="A57" t="s">
        <v>144</v>
      </c>
      <c r="B57">
        <v>1</v>
      </c>
      <c r="C57" t="s">
        <v>334</v>
      </c>
      <c r="D57" t="s">
        <v>372</v>
      </c>
      <c r="E57" t="s">
        <v>373</v>
      </c>
      <c r="F57" t="s">
        <v>276</v>
      </c>
      <c r="G57" t="s">
        <v>361</v>
      </c>
      <c r="H57" t="s">
        <v>339</v>
      </c>
      <c r="I57" t="s">
        <v>339</v>
      </c>
      <c r="J57" t="s">
        <v>340</v>
      </c>
      <c r="K57">
        <v>16495</v>
      </c>
      <c r="L57" t="s">
        <v>275</v>
      </c>
      <c r="M57">
        <v>216</v>
      </c>
      <c r="T57">
        <v>1910.72</v>
      </c>
      <c r="Z57">
        <v>0</v>
      </c>
      <c r="AA57">
        <v>0</v>
      </c>
      <c r="AB57">
        <v>17843</v>
      </c>
      <c r="AC57">
        <v>40412.75</v>
      </c>
      <c r="AF57">
        <v>0</v>
      </c>
      <c r="AG57">
        <v>0</v>
      </c>
      <c r="AI57">
        <v>0</v>
      </c>
      <c r="AJ57">
        <f t="shared" si="0"/>
        <v>2.4500000000000002</v>
      </c>
      <c r="AK57">
        <v>0.76</v>
      </c>
      <c r="AL57">
        <v>0</v>
      </c>
      <c r="AM57">
        <v>0</v>
      </c>
      <c r="AN57">
        <v>0</v>
      </c>
      <c r="AS57" t="s">
        <v>341</v>
      </c>
      <c r="AY57" t="s">
        <v>342</v>
      </c>
      <c r="BJ57">
        <v>0</v>
      </c>
      <c r="BO57" t="s">
        <v>108</v>
      </c>
      <c r="BR57" t="s">
        <v>126</v>
      </c>
    </row>
    <row r="58" spans="1:70" x14ac:dyDescent="0.25">
      <c r="A58" t="s">
        <v>146</v>
      </c>
      <c r="B58">
        <v>1</v>
      </c>
      <c r="C58" t="s">
        <v>334</v>
      </c>
      <c r="D58" t="s">
        <v>374</v>
      </c>
      <c r="E58" t="s">
        <v>375</v>
      </c>
      <c r="F58" t="s">
        <v>276</v>
      </c>
      <c r="G58" t="s">
        <v>354</v>
      </c>
      <c r="H58" t="s">
        <v>347</v>
      </c>
      <c r="I58" t="s">
        <v>339</v>
      </c>
      <c r="J58" t="s">
        <v>340</v>
      </c>
      <c r="K58">
        <v>90</v>
      </c>
      <c r="L58" t="s">
        <v>275</v>
      </c>
      <c r="M58">
        <v>1</v>
      </c>
      <c r="T58">
        <v>5.2649999999999997</v>
      </c>
      <c r="AA58">
        <v>0</v>
      </c>
      <c r="AB58">
        <v>17843</v>
      </c>
      <c r="AC58">
        <v>177.3</v>
      </c>
      <c r="AI58">
        <v>0</v>
      </c>
      <c r="AJ58">
        <f t="shared" si="0"/>
        <v>1.9700000000000002</v>
      </c>
      <c r="AK58">
        <v>0.81</v>
      </c>
      <c r="AL58">
        <v>0</v>
      </c>
      <c r="AS58" t="s">
        <v>341</v>
      </c>
      <c r="AY58" t="s">
        <v>342</v>
      </c>
      <c r="BO58" t="s">
        <v>108</v>
      </c>
    </row>
    <row r="59" spans="1:70" x14ac:dyDescent="0.25">
      <c r="A59" t="s">
        <v>146</v>
      </c>
      <c r="B59">
        <v>2</v>
      </c>
      <c r="C59" t="s">
        <v>334</v>
      </c>
      <c r="D59" t="s">
        <v>374</v>
      </c>
      <c r="E59" t="s">
        <v>375</v>
      </c>
      <c r="F59" t="s">
        <v>276</v>
      </c>
      <c r="G59" t="s">
        <v>354</v>
      </c>
      <c r="H59" t="s">
        <v>349</v>
      </c>
      <c r="I59" t="s">
        <v>339</v>
      </c>
      <c r="J59" t="s">
        <v>340</v>
      </c>
      <c r="K59">
        <v>97</v>
      </c>
      <c r="L59" t="s">
        <v>275</v>
      </c>
      <c r="M59">
        <v>1</v>
      </c>
      <c r="T59">
        <v>5.68</v>
      </c>
      <c r="AA59">
        <v>0</v>
      </c>
      <c r="AB59">
        <v>17843</v>
      </c>
      <c r="AC59">
        <v>191.09</v>
      </c>
      <c r="AI59">
        <v>0</v>
      </c>
      <c r="AJ59">
        <f t="shared" si="0"/>
        <v>1.97</v>
      </c>
      <c r="AK59">
        <v>0.81</v>
      </c>
      <c r="AL59">
        <v>0</v>
      </c>
      <c r="AS59" t="s">
        <v>341</v>
      </c>
      <c r="AY59" t="s">
        <v>342</v>
      </c>
      <c r="BO59" t="s">
        <v>108</v>
      </c>
    </row>
    <row r="60" spans="1:70" x14ac:dyDescent="0.25">
      <c r="A60" t="s">
        <v>146</v>
      </c>
      <c r="B60">
        <v>3</v>
      </c>
      <c r="C60" t="s">
        <v>334</v>
      </c>
      <c r="D60" t="s">
        <v>374</v>
      </c>
      <c r="E60" t="s">
        <v>375</v>
      </c>
      <c r="F60" t="s">
        <v>276</v>
      </c>
      <c r="G60" t="s">
        <v>354</v>
      </c>
      <c r="H60" t="s">
        <v>350</v>
      </c>
      <c r="I60" t="s">
        <v>339</v>
      </c>
      <c r="J60" t="s">
        <v>340</v>
      </c>
      <c r="K60">
        <v>56</v>
      </c>
      <c r="L60" t="s">
        <v>275</v>
      </c>
      <c r="M60">
        <v>0</v>
      </c>
      <c r="T60">
        <v>0</v>
      </c>
      <c r="AA60">
        <v>0</v>
      </c>
      <c r="AB60">
        <v>17843</v>
      </c>
      <c r="AC60">
        <v>110.32</v>
      </c>
      <c r="AI60">
        <v>0</v>
      </c>
      <c r="AJ60">
        <f t="shared" si="0"/>
        <v>1.97</v>
      </c>
      <c r="AK60">
        <v>0.81</v>
      </c>
      <c r="AL60">
        <v>0</v>
      </c>
      <c r="AS60" t="s">
        <v>341</v>
      </c>
      <c r="AY60" t="s">
        <v>342</v>
      </c>
      <c r="BO60" t="s">
        <v>108</v>
      </c>
    </row>
    <row r="61" spans="1:70" x14ac:dyDescent="0.25">
      <c r="A61" t="s">
        <v>146</v>
      </c>
      <c r="B61">
        <v>4</v>
      </c>
      <c r="C61" t="s">
        <v>334</v>
      </c>
      <c r="D61" t="s">
        <v>374</v>
      </c>
      <c r="E61" t="s">
        <v>375</v>
      </c>
      <c r="F61" t="s">
        <v>276</v>
      </c>
      <c r="G61" t="s">
        <v>354</v>
      </c>
      <c r="H61" t="s">
        <v>345</v>
      </c>
      <c r="I61" t="s">
        <v>339</v>
      </c>
      <c r="J61" t="s">
        <v>340</v>
      </c>
      <c r="K61">
        <v>22</v>
      </c>
      <c r="L61" t="s">
        <v>275</v>
      </c>
      <c r="M61">
        <v>1</v>
      </c>
      <c r="T61">
        <v>14.68</v>
      </c>
      <c r="AA61">
        <v>0</v>
      </c>
      <c r="AB61">
        <v>17843</v>
      </c>
      <c r="AC61">
        <v>43.34</v>
      </c>
      <c r="AI61">
        <v>0</v>
      </c>
      <c r="AJ61">
        <f t="shared" si="0"/>
        <v>1.9700000000000002</v>
      </c>
      <c r="AK61">
        <v>0.81</v>
      </c>
      <c r="AL61">
        <v>0</v>
      </c>
      <c r="AS61" t="s">
        <v>341</v>
      </c>
      <c r="AY61" t="s">
        <v>342</v>
      </c>
      <c r="BO61" t="s">
        <v>108</v>
      </c>
    </row>
    <row r="62" spans="1:70" x14ac:dyDescent="0.25">
      <c r="A62" t="s">
        <v>146</v>
      </c>
      <c r="B62">
        <v>5</v>
      </c>
      <c r="C62" t="s">
        <v>334</v>
      </c>
      <c r="D62" t="s">
        <v>374</v>
      </c>
      <c r="E62" t="s">
        <v>375</v>
      </c>
      <c r="F62" t="s">
        <v>276</v>
      </c>
      <c r="G62" t="s">
        <v>354</v>
      </c>
      <c r="H62" t="s">
        <v>346</v>
      </c>
      <c r="I62" t="s">
        <v>339</v>
      </c>
      <c r="J62" t="s">
        <v>340</v>
      </c>
      <c r="K62">
        <v>79</v>
      </c>
      <c r="L62" t="s">
        <v>275</v>
      </c>
      <c r="M62">
        <v>1</v>
      </c>
      <c r="T62">
        <v>4.0199999999999996</v>
      </c>
      <c r="AA62">
        <v>0</v>
      </c>
      <c r="AB62">
        <v>17843</v>
      </c>
      <c r="AC62">
        <v>155.63</v>
      </c>
      <c r="AI62">
        <v>0</v>
      </c>
      <c r="AJ62">
        <f t="shared" si="0"/>
        <v>1.97</v>
      </c>
      <c r="AK62">
        <v>0.81</v>
      </c>
      <c r="AL62">
        <v>0</v>
      </c>
      <c r="AS62" t="s">
        <v>341</v>
      </c>
      <c r="AY62" t="s">
        <v>342</v>
      </c>
      <c r="BO62" t="s">
        <v>108</v>
      </c>
    </row>
    <row r="63" spans="1:70" x14ac:dyDescent="0.25">
      <c r="A63" t="s">
        <v>146</v>
      </c>
      <c r="B63">
        <v>6</v>
      </c>
      <c r="C63" t="s">
        <v>334</v>
      </c>
      <c r="D63" t="s">
        <v>374</v>
      </c>
      <c r="E63" t="s">
        <v>375</v>
      </c>
      <c r="F63" t="s">
        <v>276</v>
      </c>
      <c r="G63" t="s">
        <v>354</v>
      </c>
      <c r="H63" t="s">
        <v>348</v>
      </c>
      <c r="I63" t="s">
        <v>339</v>
      </c>
      <c r="J63" t="s">
        <v>340</v>
      </c>
      <c r="K63">
        <v>19</v>
      </c>
      <c r="L63" t="s">
        <v>275</v>
      </c>
      <c r="M63">
        <v>0</v>
      </c>
      <c r="T63">
        <v>0</v>
      </c>
      <c r="AA63">
        <v>0</v>
      </c>
      <c r="AB63">
        <v>17843</v>
      </c>
      <c r="AC63">
        <v>37.43</v>
      </c>
      <c r="AI63">
        <v>0</v>
      </c>
      <c r="AJ63">
        <f t="shared" si="0"/>
        <v>1.97</v>
      </c>
      <c r="AK63">
        <v>0.81</v>
      </c>
      <c r="AL63">
        <v>0</v>
      </c>
      <c r="AS63" t="s">
        <v>341</v>
      </c>
      <c r="AY63" t="s">
        <v>342</v>
      </c>
      <c r="BO63" t="s">
        <v>108</v>
      </c>
    </row>
    <row r="64" spans="1:70" x14ac:dyDescent="0.25">
      <c r="A64" t="s">
        <v>146</v>
      </c>
      <c r="B64">
        <v>7</v>
      </c>
      <c r="C64" t="s">
        <v>334</v>
      </c>
      <c r="D64" t="s">
        <v>374</v>
      </c>
      <c r="E64" t="s">
        <v>375</v>
      </c>
      <c r="F64" t="s">
        <v>276</v>
      </c>
      <c r="G64" t="s">
        <v>354</v>
      </c>
      <c r="H64" t="s">
        <v>338</v>
      </c>
      <c r="I64" t="s">
        <v>339</v>
      </c>
      <c r="J64" t="s">
        <v>340</v>
      </c>
      <c r="K64">
        <v>6</v>
      </c>
      <c r="L64" t="s">
        <v>275</v>
      </c>
      <c r="M64">
        <v>0</v>
      </c>
      <c r="T64">
        <v>0</v>
      </c>
      <c r="AA64">
        <v>0</v>
      </c>
      <c r="AB64">
        <v>17843</v>
      </c>
      <c r="AC64">
        <v>11.82</v>
      </c>
      <c r="AI64">
        <v>0</v>
      </c>
      <c r="AJ64">
        <f t="shared" si="0"/>
        <v>1.97</v>
      </c>
      <c r="AK64">
        <v>0.81</v>
      </c>
      <c r="AL64">
        <v>0</v>
      </c>
      <c r="AS64" t="s">
        <v>341</v>
      </c>
      <c r="AY64" t="s">
        <v>342</v>
      </c>
      <c r="BO64" t="s">
        <v>108</v>
      </c>
    </row>
    <row r="65" spans="1:70" x14ac:dyDescent="0.25">
      <c r="A65" t="s">
        <v>146</v>
      </c>
      <c r="B65">
        <v>8</v>
      </c>
      <c r="C65" t="s">
        <v>334</v>
      </c>
      <c r="D65" t="s">
        <v>374</v>
      </c>
      <c r="E65" t="s">
        <v>375</v>
      </c>
      <c r="F65" t="s">
        <v>276</v>
      </c>
      <c r="G65" t="s">
        <v>354</v>
      </c>
      <c r="H65" t="s">
        <v>344</v>
      </c>
      <c r="I65" t="s">
        <v>339</v>
      </c>
      <c r="J65" t="s">
        <v>340</v>
      </c>
      <c r="K65">
        <v>9</v>
      </c>
      <c r="L65" t="s">
        <v>275</v>
      </c>
      <c r="M65">
        <v>0</v>
      </c>
      <c r="T65">
        <v>0</v>
      </c>
      <c r="AA65">
        <v>0</v>
      </c>
      <c r="AB65">
        <v>17843</v>
      </c>
      <c r="AC65">
        <v>17.73</v>
      </c>
      <c r="AI65">
        <v>0</v>
      </c>
      <c r="AJ65">
        <f t="shared" si="0"/>
        <v>1.97</v>
      </c>
      <c r="AK65">
        <v>0.81</v>
      </c>
      <c r="AL65">
        <v>0</v>
      </c>
      <c r="AS65" t="s">
        <v>341</v>
      </c>
      <c r="AY65" t="s">
        <v>342</v>
      </c>
      <c r="BO65" t="s">
        <v>108</v>
      </c>
    </row>
    <row r="66" spans="1:70" x14ac:dyDescent="0.25">
      <c r="A66" t="s">
        <v>146</v>
      </c>
      <c r="B66">
        <v>9</v>
      </c>
      <c r="C66" t="s">
        <v>334</v>
      </c>
      <c r="D66" t="s">
        <v>374</v>
      </c>
      <c r="E66" t="s">
        <v>375</v>
      </c>
      <c r="F66" t="s">
        <v>276</v>
      </c>
      <c r="G66" t="s">
        <v>354</v>
      </c>
      <c r="H66" t="s">
        <v>343</v>
      </c>
      <c r="I66" t="s">
        <v>339</v>
      </c>
      <c r="J66" t="s">
        <v>340</v>
      </c>
      <c r="K66">
        <v>11</v>
      </c>
      <c r="L66" t="s">
        <v>275</v>
      </c>
      <c r="M66">
        <v>0</v>
      </c>
      <c r="T66">
        <v>0</v>
      </c>
      <c r="AA66">
        <v>0</v>
      </c>
      <c r="AB66">
        <v>17843</v>
      </c>
      <c r="AC66">
        <v>21.67</v>
      </c>
      <c r="AI66">
        <v>0</v>
      </c>
      <c r="AJ66">
        <f t="shared" si="0"/>
        <v>1.9700000000000002</v>
      </c>
      <c r="AK66">
        <v>0.81</v>
      </c>
      <c r="AL66">
        <v>0</v>
      </c>
      <c r="AS66" t="s">
        <v>341</v>
      </c>
      <c r="AY66" t="s">
        <v>342</v>
      </c>
      <c r="BO66" t="s">
        <v>108</v>
      </c>
    </row>
    <row r="67" spans="1:70" x14ac:dyDescent="0.25">
      <c r="A67" t="s">
        <v>148</v>
      </c>
      <c r="B67">
        <v>1</v>
      </c>
      <c r="C67" t="s">
        <v>334</v>
      </c>
      <c r="D67" t="s">
        <v>372</v>
      </c>
      <c r="E67" t="s">
        <v>376</v>
      </c>
      <c r="F67" t="s">
        <v>276</v>
      </c>
      <c r="G67" t="s">
        <v>377</v>
      </c>
      <c r="H67" t="s">
        <v>339</v>
      </c>
      <c r="I67" t="s">
        <v>339</v>
      </c>
      <c r="J67" t="s">
        <v>340</v>
      </c>
      <c r="K67">
        <v>39777</v>
      </c>
      <c r="L67" t="s">
        <v>275</v>
      </c>
      <c r="M67">
        <v>790</v>
      </c>
      <c r="T67">
        <v>5432.58</v>
      </c>
      <c r="Z67">
        <v>0</v>
      </c>
      <c r="AA67">
        <v>0</v>
      </c>
      <c r="AB67">
        <v>17843</v>
      </c>
      <c r="AC67">
        <v>99442.5</v>
      </c>
      <c r="AF67">
        <v>0</v>
      </c>
      <c r="AG67">
        <v>0</v>
      </c>
      <c r="AI67">
        <v>0</v>
      </c>
      <c r="AJ67">
        <f t="shared" ref="AJ67:AJ71" si="1">+AC67/K67</f>
        <v>2.5</v>
      </c>
      <c r="AK67">
        <v>0.76</v>
      </c>
      <c r="AL67">
        <v>0</v>
      </c>
      <c r="AM67">
        <v>0</v>
      </c>
      <c r="AN67">
        <v>0</v>
      </c>
      <c r="AS67" t="s">
        <v>341</v>
      </c>
      <c r="AY67" t="s">
        <v>342</v>
      </c>
      <c r="BJ67">
        <v>0</v>
      </c>
      <c r="BO67" t="s">
        <v>108</v>
      </c>
      <c r="BR67" t="s">
        <v>126</v>
      </c>
    </row>
    <row r="68" spans="1:70" x14ac:dyDescent="0.25">
      <c r="A68" t="s">
        <v>150</v>
      </c>
      <c r="B68">
        <v>2</v>
      </c>
      <c r="C68" t="s">
        <v>334</v>
      </c>
      <c r="D68" t="s">
        <v>362</v>
      </c>
      <c r="E68" t="s">
        <v>378</v>
      </c>
      <c r="F68" t="s">
        <v>276</v>
      </c>
      <c r="G68" t="s">
        <v>364</v>
      </c>
      <c r="H68" t="s">
        <v>347</v>
      </c>
      <c r="I68" t="s">
        <v>339</v>
      </c>
      <c r="J68" t="s">
        <v>340</v>
      </c>
      <c r="K68">
        <v>510</v>
      </c>
      <c r="L68" t="s">
        <v>275</v>
      </c>
      <c r="M68">
        <v>3</v>
      </c>
      <c r="T68">
        <v>38.76</v>
      </c>
      <c r="AA68">
        <v>0</v>
      </c>
      <c r="AB68">
        <v>17843</v>
      </c>
      <c r="AC68">
        <v>805.8</v>
      </c>
      <c r="AI68">
        <v>0</v>
      </c>
      <c r="AJ68">
        <f t="shared" si="1"/>
        <v>1.5799999999999998</v>
      </c>
      <c r="AK68">
        <v>0.57999999999999996</v>
      </c>
      <c r="AL68">
        <v>0</v>
      </c>
      <c r="AS68" t="s">
        <v>341</v>
      </c>
      <c r="AY68" t="s">
        <v>342</v>
      </c>
      <c r="BO68" t="s">
        <v>108</v>
      </c>
    </row>
    <row r="69" spans="1:70" x14ac:dyDescent="0.25">
      <c r="A69" t="s">
        <v>150</v>
      </c>
      <c r="B69">
        <v>3</v>
      </c>
      <c r="C69" t="s">
        <v>334</v>
      </c>
      <c r="D69" t="s">
        <v>362</v>
      </c>
      <c r="E69" t="s">
        <v>378</v>
      </c>
      <c r="F69" t="s">
        <v>276</v>
      </c>
      <c r="G69" t="s">
        <v>364</v>
      </c>
      <c r="H69" t="s">
        <v>349</v>
      </c>
      <c r="I69" t="s">
        <v>339</v>
      </c>
      <c r="J69" t="s">
        <v>340</v>
      </c>
      <c r="K69">
        <v>640</v>
      </c>
      <c r="L69" t="s">
        <v>275</v>
      </c>
      <c r="M69">
        <v>4</v>
      </c>
      <c r="T69">
        <v>54.4</v>
      </c>
      <c r="AA69">
        <v>0</v>
      </c>
      <c r="AB69">
        <v>17843</v>
      </c>
      <c r="AC69">
        <v>1011.2</v>
      </c>
      <c r="AI69">
        <v>0</v>
      </c>
      <c r="AJ69">
        <f t="shared" si="1"/>
        <v>1.58</v>
      </c>
      <c r="AK69">
        <v>0.57999999999999996</v>
      </c>
      <c r="AL69">
        <v>0</v>
      </c>
      <c r="AS69" t="s">
        <v>341</v>
      </c>
      <c r="AY69" t="s">
        <v>342</v>
      </c>
      <c r="BO69" t="s">
        <v>108</v>
      </c>
    </row>
    <row r="70" spans="1:70" x14ac:dyDescent="0.25">
      <c r="A70" t="s">
        <v>150</v>
      </c>
      <c r="B70">
        <v>1</v>
      </c>
      <c r="C70" t="s">
        <v>334</v>
      </c>
      <c r="D70" t="s">
        <v>362</v>
      </c>
      <c r="E70" t="s">
        <v>378</v>
      </c>
      <c r="F70" t="s">
        <v>276</v>
      </c>
      <c r="G70" t="s">
        <v>364</v>
      </c>
      <c r="H70" t="s">
        <v>346</v>
      </c>
      <c r="I70" t="s">
        <v>339</v>
      </c>
      <c r="J70" t="s">
        <v>340</v>
      </c>
      <c r="K70">
        <v>540</v>
      </c>
      <c r="L70" t="s">
        <v>275</v>
      </c>
      <c r="M70">
        <v>3</v>
      </c>
      <c r="T70">
        <v>36.72</v>
      </c>
      <c r="AA70">
        <v>0</v>
      </c>
      <c r="AB70">
        <v>17843</v>
      </c>
      <c r="AC70">
        <v>853.2</v>
      </c>
      <c r="AI70">
        <v>0</v>
      </c>
      <c r="AJ70">
        <f t="shared" si="1"/>
        <v>1.58</v>
      </c>
      <c r="AK70">
        <v>0.57999999999999996</v>
      </c>
      <c r="AL70">
        <v>0</v>
      </c>
      <c r="AS70" t="s">
        <v>341</v>
      </c>
      <c r="AY70" t="s">
        <v>342</v>
      </c>
      <c r="BO70" t="s">
        <v>108</v>
      </c>
    </row>
    <row r="71" spans="1:70" x14ac:dyDescent="0.25">
      <c r="A71" t="s">
        <v>150</v>
      </c>
      <c r="B71">
        <v>4</v>
      </c>
      <c r="C71" t="s">
        <v>334</v>
      </c>
      <c r="D71" t="s">
        <v>362</v>
      </c>
      <c r="E71" t="s">
        <v>378</v>
      </c>
      <c r="F71" t="s">
        <v>276</v>
      </c>
      <c r="G71" t="s">
        <v>364</v>
      </c>
      <c r="H71" t="s">
        <v>350</v>
      </c>
      <c r="I71" t="s">
        <v>339</v>
      </c>
      <c r="J71" t="s">
        <v>340</v>
      </c>
      <c r="K71">
        <v>450</v>
      </c>
      <c r="L71" t="s">
        <v>275</v>
      </c>
      <c r="M71">
        <v>3</v>
      </c>
      <c r="T71">
        <v>39.15</v>
      </c>
      <c r="AA71">
        <v>0</v>
      </c>
      <c r="AB71">
        <v>17843</v>
      </c>
      <c r="AC71">
        <v>711</v>
      </c>
      <c r="AI71">
        <v>0</v>
      </c>
      <c r="AJ71">
        <f t="shared" si="1"/>
        <v>1.58</v>
      </c>
      <c r="AK71">
        <v>0.57999999999999996</v>
      </c>
      <c r="AL71">
        <v>0</v>
      </c>
      <c r="AS71" t="s">
        <v>341</v>
      </c>
      <c r="AY71" t="s">
        <v>342</v>
      </c>
      <c r="BO71" t="s">
        <v>108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281</v>
      </c>
      <c r="C1" s="1" t="s">
        <v>379</v>
      </c>
      <c r="D1" s="1" t="s">
        <v>380</v>
      </c>
      <c r="E1" s="1" t="s">
        <v>381</v>
      </c>
      <c r="F1" s="1" t="s">
        <v>207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288</v>
      </c>
      <c r="L1" s="1" t="s">
        <v>289</v>
      </c>
      <c r="M1" s="1" t="s">
        <v>386</v>
      </c>
      <c r="N1" s="1" t="s">
        <v>387</v>
      </c>
      <c r="O1" s="1" t="s">
        <v>388</v>
      </c>
      <c r="P1" s="1" t="s">
        <v>325</v>
      </c>
      <c r="Q1" s="1" t="s">
        <v>389</v>
      </c>
      <c r="R1" s="1" t="s">
        <v>271</v>
      </c>
      <c r="S1" s="1" t="s">
        <v>272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281</v>
      </c>
      <c r="C1" s="1" t="s">
        <v>390</v>
      </c>
      <c r="D1" s="1" t="s">
        <v>319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281</v>
      </c>
      <c r="C1" s="1" t="s">
        <v>391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281</v>
      </c>
      <c r="C1" s="1" t="s">
        <v>392</v>
      </c>
      <c r="D1" s="1" t="s">
        <v>284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281</v>
      </c>
      <c r="C1" s="1" t="s">
        <v>393</v>
      </c>
      <c r="D1" s="1" t="s">
        <v>61</v>
      </c>
      <c r="E1" s="1" t="s">
        <v>66</v>
      </c>
      <c r="F1" s="1" t="s">
        <v>67</v>
      </c>
      <c r="G1" s="1" t="s">
        <v>394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281</v>
      </c>
      <c r="C1" s="1" t="s">
        <v>395</v>
      </c>
      <c r="D1" s="1" t="s">
        <v>396</v>
      </c>
      <c r="E1" s="1" t="s">
        <v>282</v>
      </c>
      <c r="F1" s="1" t="s">
        <v>283</v>
      </c>
      <c r="G1" s="1" t="s">
        <v>284</v>
      </c>
      <c r="H1" s="1" t="s">
        <v>273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271</v>
      </c>
      <c r="O1" s="1" t="s">
        <v>272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397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281</v>
      </c>
      <c r="C1" s="1" t="s">
        <v>395</v>
      </c>
      <c r="D1" s="1" t="s">
        <v>396</v>
      </c>
      <c r="E1" s="1" t="s">
        <v>379</v>
      </c>
      <c r="F1" s="1" t="s">
        <v>380</v>
      </c>
      <c r="G1" s="1" t="s">
        <v>381</v>
      </c>
      <c r="H1" s="1" t="s">
        <v>207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288</v>
      </c>
      <c r="N1" s="1" t="s">
        <v>289</v>
      </c>
      <c r="O1" s="1" t="s">
        <v>386</v>
      </c>
      <c r="P1" s="1" t="s">
        <v>387</v>
      </c>
      <c r="Q1" s="1" t="s">
        <v>388</v>
      </c>
      <c r="R1" s="1" t="s">
        <v>325</v>
      </c>
      <c r="S1" s="1" t="s">
        <v>389</v>
      </c>
      <c r="T1" s="1" t="s">
        <v>271</v>
      </c>
      <c r="U1" s="1" t="s">
        <v>388</v>
      </c>
      <c r="V1" s="1" t="s">
        <v>325</v>
      </c>
      <c r="W1" s="1" t="s">
        <v>389</v>
      </c>
      <c r="X1" s="1" t="s">
        <v>271</v>
      </c>
      <c r="Y1" s="1" t="s">
        <v>272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281</v>
      </c>
      <c r="C1" s="1" t="s">
        <v>395</v>
      </c>
      <c r="D1" s="1" t="s">
        <v>398</v>
      </c>
      <c r="E1" s="1" t="s">
        <v>390</v>
      </c>
      <c r="F1" s="1" t="s">
        <v>319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4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156</v>
      </c>
      <c r="C1" s="1" t="s">
        <v>392</v>
      </c>
      <c r="D1" s="1" t="s">
        <v>407</v>
      </c>
    </row>
    <row r="2" spans="1:4" x14ac:dyDescent="0.25">
      <c r="A2" t="s">
        <v>104</v>
      </c>
      <c r="B2">
        <v>1</v>
      </c>
      <c r="C2" t="s">
        <v>408</v>
      </c>
      <c r="D2" t="s">
        <v>409</v>
      </c>
    </row>
    <row r="3" spans="1:4" x14ac:dyDescent="0.25">
      <c r="A3" t="s">
        <v>127</v>
      </c>
      <c r="B3">
        <v>1</v>
      </c>
      <c r="C3" t="s">
        <v>408</v>
      </c>
      <c r="D3" t="s">
        <v>409</v>
      </c>
    </row>
    <row r="4" spans="1:4" x14ac:dyDescent="0.25">
      <c r="A4" t="s">
        <v>129</v>
      </c>
      <c r="B4">
        <v>1</v>
      </c>
      <c r="C4" t="s">
        <v>408</v>
      </c>
      <c r="D4" t="s">
        <v>409</v>
      </c>
    </row>
    <row r="5" spans="1:4" x14ac:dyDescent="0.25">
      <c r="A5" t="s">
        <v>131</v>
      </c>
      <c r="B5">
        <v>1</v>
      </c>
      <c r="C5" t="s">
        <v>408</v>
      </c>
      <c r="D5" t="s">
        <v>409</v>
      </c>
    </row>
    <row r="6" spans="1:4" x14ac:dyDescent="0.25">
      <c r="A6" t="s">
        <v>134</v>
      </c>
      <c r="B6">
        <v>1</v>
      </c>
      <c r="C6" t="s">
        <v>408</v>
      </c>
      <c r="D6" t="s">
        <v>409</v>
      </c>
    </row>
    <row r="7" spans="1:4" x14ac:dyDescent="0.25">
      <c r="A7" t="s">
        <v>136</v>
      </c>
      <c r="B7">
        <v>1</v>
      </c>
      <c r="C7" t="s">
        <v>408</v>
      </c>
      <c r="D7" t="s">
        <v>409</v>
      </c>
    </row>
    <row r="8" spans="1:4" x14ac:dyDescent="0.25">
      <c r="A8" t="s">
        <v>138</v>
      </c>
      <c r="B8">
        <v>1</v>
      </c>
      <c r="C8" t="s">
        <v>408</v>
      </c>
      <c r="D8" t="s">
        <v>409</v>
      </c>
    </row>
    <row r="9" spans="1:4" x14ac:dyDescent="0.25">
      <c r="A9" t="s">
        <v>140</v>
      </c>
      <c r="B9">
        <v>1</v>
      </c>
      <c r="C9" t="s">
        <v>408</v>
      </c>
      <c r="D9" t="s">
        <v>409</v>
      </c>
    </row>
    <row r="10" spans="1:4" x14ac:dyDescent="0.25">
      <c r="A10" t="s">
        <v>142</v>
      </c>
      <c r="B10">
        <v>1</v>
      </c>
      <c r="C10" t="s">
        <v>408</v>
      </c>
      <c r="D10" t="s">
        <v>409</v>
      </c>
    </row>
    <row r="11" spans="1:4" x14ac:dyDescent="0.25">
      <c r="A11" t="s">
        <v>144</v>
      </c>
      <c r="B11">
        <v>1</v>
      </c>
      <c r="C11" t="s">
        <v>408</v>
      </c>
      <c r="D11" t="s">
        <v>409</v>
      </c>
    </row>
    <row r="12" spans="1:4" x14ac:dyDescent="0.25">
      <c r="A12" t="s">
        <v>146</v>
      </c>
      <c r="B12">
        <v>1</v>
      </c>
      <c r="C12" t="s">
        <v>408</v>
      </c>
      <c r="D12" t="s">
        <v>409</v>
      </c>
    </row>
    <row r="13" spans="1:4" x14ac:dyDescent="0.25">
      <c r="A13" t="s">
        <v>148</v>
      </c>
      <c r="B13">
        <v>1</v>
      </c>
      <c r="C13" t="s">
        <v>408</v>
      </c>
      <c r="D13" t="s">
        <v>409</v>
      </c>
    </row>
    <row r="14" spans="1:4" x14ac:dyDescent="0.25">
      <c r="A14" t="s">
        <v>150</v>
      </c>
      <c r="B14">
        <v>1</v>
      </c>
      <c r="C14" t="s">
        <v>408</v>
      </c>
      <c r="D14" t="s">
        <v>409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427</v>
      </c>
    </row>
    <row r="2" spans="1:1" x14ac:dyDescent="0.25">
      <c r="A2" t="s">
        <v>428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429</v>
      </c>
      <c r="C1" t="s">
        <v>430</v>
      </c>
      <c r="D1" t="s">
        <v>431</v>
      </c>
    </row>
    <row r="2" spans="1:4" x14ac:dyDescent="0.25">
      <c r="A2" t="s">
        <v>129</v>
      </c>
      <c r="B2" t="s">
        <v>432</v>
      </c>
      <c r="C2" t="s">
        <v>433</v>
      </c>
      <c r="D2" t="s">
        <v>117</v>
      </c>
    </row>
    <row r="3" spans="1:4" x14ac:dyDescent="0.25">
      <c r="A3" t="s">
        <v>140</v>
      </c>
      <c r="B3" t="s">
        <v>432</v>
      </c>
      <c r="C3" t="s">
        <v>434</v>
      </c>
      <c r="D3" t="s">
        <v>117</v>
      </c>
    </row>
    <row r="4" spans="1:4" x14ac:dyDescent="0.25">
      <c r="A4" t="s">
        <v>127</v>
      </c>
      <c r="B4" t="s">
        <v>432</v>
      </c>
      <c r="C4" t="s">
        <v>435</v>
      </c>
      <c r="D4" t="s">
        <v>117</v>
      </c>
    </row>
    <row r="5" spans="1:4" x14ac:dyDescent="0.25">
      <c r="A5" t="s">
        <v>138</v>
      </c>
      <c r="B5" t="s">
        <v>432</v>
      </c>
      <c r="C5" t="s">
        <v>436</v>
      </c>
      <c r="D5" t="s">
        <v>117</v>
      </c>
    </row>
    <row r="6" spans="1:4" x14ac:dyDescent="0.25">
      <c r="A6" t="s">
        <v>150</v>
      </c>
      <c r="B6" t="s">
        <v>432</v>
      </c>
      <c r="C6" t="s">
        <v>437</v>
      </c>
      <c r="D6" t="s">
        <v>117</v>
      </c>
    </row>
    <row r="7" spans="1:4" x14ac:dyDescent="0.25">
      <c r="A7" t="s">
        <v>134</v>
      </c>
      <c r="B7" t="s">
        <v>432</v>
      </c>
      <c r="C7" t="s">
        <v>438</v>
      </c>
      <c r="D7" t="s">
        <v>117</v>
      </c>
    </row>
    <row r="8" spans="1:4" x14ac:dyDescent="0.25">
      <c r="A8" t="s">
        <v>146</v>
      </c>
      <c r="B8" t="s">
        <v>432</v>
      </c>
      <c r="C8" t="s">
        <v>439</v>
      </c>
      <c r="D8" t="s">
        <v>117</v>
      </c>
    </row>
    <row r="9" spans="1:4" x14ac:dyDescent="0.25">
      <c r="A9" t="s">
        <v>148</v>
      </c>
      <c r="B9" t="s">
        <v>432</v>
      </c>
      <c r="C9" t="s">
        <v>440</v>
      </c>
      <c r="D9" t="s">
        <v>117</v>
      </c>
    </row>
    <row r="10" spans="1:4" x14ac:dyDescent="0.25">
      <c r="A10" t="s">
        <v>142</v>
      </c>
      <c r="B10" t="s">
        <v>432</v>
      </c>
      <c r="C10" t="s">
        <v>441</v>
      </c>
      <c r="D10" t="s">
        <v>117</v>
      </c>
    </row>
    <row r="11" spans="1:4" x14ac:dyDescent="0.25">
      <c r="A11" t="s">
        <v>136</v>
      </c>
      <c r="B11" t="s">
        <v>432</v>
      </c>
      <c r="C11" t="s">
        <v>442</v>
      </c>
      <c r="D11" t="s">
        <v>117</v>
      </c>
    </row>
    <row r="12" spans="1:4" x14ac:dyDescent="0.25">
      <c r="A12" t="s">
        <v>104</v>
      </c>
      <c r="B12" t="s">
        <v>432</v>
      </c>
      <c r="C12" t="s">
        <v>443</v>
      </c>
      <c r="D12" t="s">
        <v>117</v>
      </c>
    </row>
    <row r="13" spans="1:4" x14ac:dyDescent="0.25">
      <c r="A13" t="s">
        <v>131</v>
      </c>
      <c r="B13" t="s">
        <v>432</v>
      </c>
      <c r="C13" t="s">
        <v>444</v>
      </c>
      <c r="D13" t="s">
        <v>117</v>
      </c>
    </row>
    <row r="14" spans="1:4" x14ac:dyDescent="0.25">
      <c r="A14" t="s">
        <v>144</v>
      </c>
      <c r="B14" t="s">
        <v>432</v>
      </c>
      <c r="C14" t="s">
        <v>445</v>
      </c>
      <c r="D14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20-08-2026.xlsx</dc:creator>
  <cp:lastModifiedBy>EXIM</cp:lastModifiedBy>
  <dcterms:created xsi:type="dcterms:W3CDTF">2026-08-21T08:26:38Z</dcterms:created>
  <dcterms:modified xsi:type="dcterms:W3CDTF">2026-08-21T08:33:45Z</dcterms:modified>
</cp:coreProperties>
</file>