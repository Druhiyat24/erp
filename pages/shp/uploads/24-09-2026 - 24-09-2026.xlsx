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 EXIM\Downloads\"/>
    </mc:Choice>
  </mc:AlternateContent>
  <xr:revisionPtr revIDLastSave="0" documentId="13_ncr:1_{599C3768-6915-405C-BAAB-20A6ABB0F7D6}" xr6:coauthVersionLast="47" xr6:coauthVersionMax="47" xr10:uidLastSave="{00000000-0000-0000-0000-000000000000}"/>
  <bookViews>
    <workbookView xWindow="-120" yWindow="-120" windowWidth="20730" windowHeight="11160" firstSheet="2" activeTab="7" xr2:uid="{00000000-000D-0000-FFFF-FFFF00000000}"/>
  </bookViews>
  <sheets>
    <sheet name="HEADER" sheetId="1" r:id="rId1"/>
    <sheet name="ENTITAS" sheetId="2" r:id="rId2"/>
    <sheet name="DOKUMEN" sheetId="3" r:id="rId3"/>
    <sheet name="PENGANGKUT" sheetId="4" r:id="rId4"/>
    <sheet name="KEMASAN" sheetId="5" r:id="rId5"/>
    <sheet name="KONTAINER" sheetId="6" r:id="rId6"/>
    <sheet name="KOMPONENBIAYA" sheetId="7" r:id="rId7"/>
    <sheet name="BARANG" sheetId="8" r:id="rId8"/>
    <sheet name="BARANGTARIF" sheetId="9" r:id="rId9"/>
    <sheet name="BARANGDOKUMEN" sheetId="10" r:id="rId10"/>
    <sheet name="BARANGENTITAS" sheetId="11" r:id="rId11"/>
    <sheet name="BARANGSPEKKHUSUS" sheetId="12" r:id="rId12"/>
    <sheet name="BARANGVD" sheetId="13" r:id="rId13"/>
    <sheet name="BAHANBAKU" sheetId="14" r:id="rId14"/>
    <sheet name="BAHANBAKUTARIF" sheetId="15" r:id="rId15"/>
    <sheet name="BAHANBAKUDOKUMEN" sheetId="16" r:id="rId16"/>
    <sheet name="PUNGUTAN" sheetId="17" r:id="rId17"/>
    <sheet name="JAMINAN" sheetId="18" r:id="rId18"/>
    <sheet name="BANKDEVISA" sheetId="19" r:id="rId19"/>
    <sheet name="VERSI" sheetId="20" r:id="rId20"/>
    <sheet name="RESPON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3" i="8" l="1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42" i="8"/>
  <c r="AJ43" i="8"/>
  <c r="AJ44" i="8"/>
  <c r="AJ45" i="8"/>
  <c r="AJ46" i="8"/>
  <c r="AJ47" i="8"/>
  <c r="AJ48" i="8"/>
  <c r="AJ49" i="8"/>
  <c r="AJ50" i="8"/>
  <c r="AJ51" i="8"/>
  <c r="AJ52" i="8"/>
  <c r="AJ53" i="8"/>
  <c r="AJ54" i="8"/>
  <c r="AJ55" i="8"/>
  <c r="AJ56" i="8"/>
  <c r="AJ57" i="8"/>
  <c r="AJ58" i="8"/>
  <c r="AJ59" i="8"/>
  <c r="AJ60" i="8"/>
  <c r="AJ61" i="8"/>
  <c r="AJ62" i="8"/>
  <c r="AJ63" i="8"/>
  <c r="AJ64" i="8"/>
  <c r="AJ65" i="8"/>
  <c r="AJ66" i="8"/>
  <c r="AJ67" i="8"/>
  <c r="AJ68" i="8"/>
  <c r="AJ69" i="8"/>
  <c r="AJ70" i="8"/>
  <c r="AJ71" i="8"/>
  <c r="AJ72" i="8"/>
  <c r="AJ73" i="8"/>
  <c r="AJ74" i="8"/>
  <c r="AJ75" i="8"/>
  <c r="AJ76" i="8"/>
  <c r="AJ77" i="8"/>
  <c r="AJ78" i="8"/>
  <c r="AJ79" i="8"/>
  <c r="AJ80" i="8"/>
  <c r="AJ81" i="8"/>
  <c r="AJ82" i="8"/>
  <c r="AJ83" i="8"/>
  <c r="AJ84" i="8"/>
  <c r="AJ85" i="8"/>
  <c r="AJ86" i="8"/>
  <c r="AJ87" i="8"/>
  <c r="AJ88" i="8"/>
  <c r="AJ89" i="8"/>
  <c r="AJ90" i="8"/>
  <c r="AJ91" i="8"/>
  <c r="AJ92" i="8"/>
  <c r="AJ93" i="8"/>
  <c r="AJ94" i="8"/>
  <c r="AJ95" i="8"/>
  <c r="AJ96" i="8"/>
  <c r="AJ97" i="8"/>
  <c r="AJ98" i="8"/>
  <c r="AJ99" i="8"/>
  <c r="AJ100" i="8"/>
  <c r="AJ101" i="8"/>
  <c r="AJ102" i="8"/>
  <c r="AJ103" i="8"/>
  <c r="AJ104" i="8"/>
  <c r="AJ105" i="8"/>
  <c r="AJ106" i="8"/>
  <c r="AJ107" i="8"/>
  <c r="AJ108" i="8"/>
  <c r="AJ109" i="8"/>
  <c r="AJ110" i="8"/>
  <c r="AJ111" i="8"/>
  <c r="AJ112" i="8"/>
  <c r="AJ113" i="8"/>
  <c r="AJ114" i="8"/>
  <c r="AJ115" i="8"/>
  <c r="AJ116" i="8"/>
  <c r="AJ117" i="8"/>
  <c r="AJ118" i="8"/>
  <c r="AJ119" i="8"/>
  <c r="AJ120" i="8"/>
  <c r="AJ121" i="8"/>
  <c r="AJ122" i="8"/>
  <c r="AJ123" i="8"/>
  <c r="AJ124" i="8"/>
  <c r="AJ125" i="8"/>
  <c r="AJ126" i="8"/>
  <c r="AJ127" i="8"/>
  <c r="AJ128" i="8"/>
  <c r="AJ129" i="8"/>
  <c r="AJ130" i="8"/>
  <c r="AJ131" i="8"/>
  <c r="AJ132" i="8"/>
  <c r="AJ133" i="8"/>
  <c r="AJ134" i="8"/>
  <c r="AJ135" i="8"/>
  <c r="AJ136" i="8"/>
  <c r="AJ137" i="8"/>
  <c r="AJ138" i="8"/>
  <c r="AJ139" i="8"/>
  <c r="AJ140" i="8"/>
  <c r="AJ141" i="8"/>
  <c r="AJ142" i="8"/>
  <c r="AJ143" i="8"/>
  <c r="AJ144" i="8"/>
  <c r="AJ145" i="8"/>
  <c r="AJ146" i="8"/>
  <c r="AJ147" i="8"/>
  <c r="AJ148" i="8"/>
  <c r="AJ149" i="8"/>
  <c r="AJ150" i="8"/>
  <c r="AJ151" i="8"/>
  <c r="AJ152" i="8"/>
  <c r="AJ153" i="8"/>
  <c r="AJ154" i="8"/>
  <c r="AJ155" i="8"/>
  <c r="AJ156" i="8"/>
  <c r="AJ157" i="8"/>
  <c r="AJ158" i="8"/>
  <c r="AJ159" i="8"/>
  <c r="AJ160" i="8"/>
  <c r="AJ161" i="8"/>
  <c r="AJ162" i="8"/>
  <c r="AJ163" i="8"/>
  <c r="AJ164" i="8"/>
  <c r="AJ165" i="8"/>
  <c r="AJ166" i="8"/>
  <c r="AJ167" i="8"/>
  <c r="AJ168" i="8"/>
  <c r="AJ169" i="8"/>
  <c r="AJ170" i="8"/>
  <c r="AJ171" i="8"/>
  <c r="AJ172" i="8"/>
  <c r="AJ173" i="8"/>
  <c r="AJ174" i="8"/>
  <c r="AJ175" i="8"/>
  <c r="AJ176" i="8"/>
  <c r="AJ177" i="8"/>
  <c r="AJ178" i="8"/>
  <c r="AJ179" i="8"/>
  <c r="AJ180" i="8"/>
  <c r="AJ181" i="8"/>
  <c r="AJ182" i="8"/>
  <c r="AJ183" i="8"/>
  <c r="AJ2" i="8"/>
</calcChain>
</file>

<file path=xl/sharedStrings.xml><?xml version="1.0" encoding="utf-8"?>
<sst xmlns="http://schemas.openxmlformats.org/spreadsheetml/2006/main" count="4373" uniqueCount="505">
  <si>
    <t>NOMOR AJU</t>
  </si>
  <si>
    <t>KODE DOKUMEN</t>
  </si>
  <si>
    <t>KODE KANTOR</t>
  </si>
  <si>
    <t>KODE KANTOR BONGKAR</t>
  </si>
  <si>
    <t>KODE KANTOR PERIKSA</t>
  </si>
  <si>
    <t>KODE KANTOR TUJUAN</t>
  </si>
  <si>
    <t>KODE KANTOR EKSPOR</t>
  </si>
  <si>
    <t>KODE JENIS IMPOR</t>
  </si>
  <si>
    <t>KODE JENIS EKSPOR</t>
  </si>
  <si>
    <t>KODE JENIS TPB</t>
  </si>
  <si>
    <t>KODE JENIS PLB</t>
  </si>
  <si>
    <t>KODE JENIS PROSEDUR</t>
  </si>
  <si>
    <t>KODE TUJUAN PEMASUKAN</t>
  </si>
  <si>
    <t>KODE TUJUAN PENGIRIMAN</t>
  </si>
  <si>
    <t>KODE TUJUAN TPB</t>
  </si>
  <si>
    <t>KODE CARA DAGANG</t>
  </si>
  <si>
    <t>KODE CARA BAYAR</t>
  </si>
  <si>
    <t>KODE CARA BAYAR LAINNYA</t>
  </si>
  <si>
    <t>KODE GUDANG ASAL</t>
  </si>
  <si>
    <t>KODE GUDANG TUJUAN</t>
  </si>
  <si>
    <t>KODE JENIS KIRIM</t>
  </si>
  <si>
    <t>KODE JENIS PENGIRIMAN</t>
  </si>
  <si>
    <t>KODE KATEGORI EKSPOR</t>
  </si>
  <si>
    <t>KODE KATEGORI MASUK FTZ</t>
  </si>
  <si>
    <t>KODE KATEGORI KELUAR FTZ</t>
  </si>
  <si>
    <t>KODE KATEGORI BARANG FTZ</t>
  </si>
  <si>
    <t>KODE LOKASI</t>
  </si>
  <si>
    <t>KODE LOKASI BAYAR</t>
  </si>
  <si>
    <t>LOKASI ASAL</t>
  </si>
  <si>
    <t>LOKASI TUJUAN</t>
  </si>
  <si>
    <t>KODE DAERAH ASAL</t>
  </si>
  <si>
    <t>KODE NEGARA TUJUAN</t>
  </si>
  <si>
    <t>KODE TUTUP PU</t>
  </si>
  <si>
    <t>NOMOR BC11</t>
  </si>
  <si>
    <t>TANGGAL BC11</t>
  </si>
  <si>
    <t>NOMOR POS</t>
  </si>
  <si>
    <t>NOMOR SUB POS</t>
  </si>
  <si>
    <t>KODE PELABUHAN BONGKAR</t>
  </si>
  <si>
    <t>KODE PELABUHAN MUAT</t>
  </si>
  <si>
    <t>KODE PELABUHAN MUAT AKHIR</t>
  </si>
  <si>
    <t>KODE PELABUHAN TRANSIT</t>
  </si>
  <si>
    <t>KODE PELABUHAN TUJUAN</t>
  </si>
  <si>
    <t>KODE PELABUHAN EKSPOR</t>
  </si>
  <si>
    <t>KODE TPS</t>
  </si>
  <si>
    <t>TANGGAL BERANGKAT</t>
  </si>
  <si>
    <t>TANGGAL EKSPOR</t>
  </si>
  <si>
    <t>TANGGAL MASUK</t>
  </si>
  <si>
    <t>TANGGAL MUAT</t>
  </si>
  <si>
    <t>TANGGAL TIBA</t>
  </si>
  <si>
    <t>TANGGAL PERIKSA</t>
  </si>
  <si>
    <t>TEMPAT STUFFING</t>
  </si>
  <si>
    <t>TANGGAL STUFFING</t>
  </si>
  <si>
    <t>KODE TANDA PENGAMAN</t>
  </si>
  <si>
    <t>JUMLAH TANDA PENGAMAN</t>
  </si>
  <si>
    <t>FLAG CURAH</t>
  </si>
  <si>
    <t>FLAG SDA</t>
  </si>
  <si>
    <t>FLAG VD</t>
  </si>
  <si>
    <t>FLAG AP BK</t>
  </si>
  <si>
    <t>FLAG MIGAS</t>
  </si>
  <si>
    <t>KODE ASURANSI</t>
  </si>
  <si>
    <t>ASURANSI</t>
  </si>
  <si>
    <t>NILAI BARANG</t>
  </si>
  <si>
    <t>NILAI INCOTERM</t>
  </si>
  <si>
    <t>NILAI MAKLON</t>
  </si>
  <si>
    <t>FREIGHT</t>
  </si>
  <si>
    <t>FOB</t>
  </si>
  <si>
    <t>BIAYA TAMBAHAN</t>
  </si>
  <si>
    <t>BIAYA PENGURANG</t>
  </si>
  <si>
    <t>VD</t>
  </si>
  <si>
    <t>CIF</t>
  </si>
  <si>
    <t>HARGA_PENYERAHAN</t>
  </si>
  <si>
    <t>NDPBM</t>
  </si>
  <si>
    <t>TOTAL DANA SAWIT</t>
  </si>
  <si>
    <t>DASAR PENGENAAN PAJAK</t>
  </si>
  <si>
    <t>NILAI JASA</t>
  </si>
  <si>
    <t>UANG MUKA</t>
  </si>
  <si>
    <t>BRUTO</t>
  </si>
  <si>
    <t>NETTO</t>
  </si>
  <si>
    <t>VOLUME</t>
  </si>
  <si>
    <t>KOTA PERNYATAAN</t>
  </si>
  <si>
    <t>TANGGAL PERNYATAAN</t>
  </si>
  <si>
    <t>NAMA PERNYATAAN</t>
  </si>
  <si>
    <t>JABATAN PERNYATAAN</t>
  </si>
  <si>
    <t>KODE VALUTA</t>
  </si>
  <si>
    <t>KODE INCOTERM</t>
  </si>
  <si>
    <t>KODE JASA KENA PAJAK</t>
  </si>
  <si>
    <t>NOMOR BUKTI BAYAR</t>
  </si>
  <si>
    <t>TANGGAL BUKTI BAYAR</t>
  </si>
  <si>
    <t>KODE JENIS NILAI</t>
  </si>
  <si>
    <t>KODE KANTOR MUAT</t>
  </si>
  <si>
    <t>NOMOR DAFTAR</t>
  </si>
  <si>
    <t>TANGGAL DAFTAR</t>
  </si>
  <si>
    <t>KODE ASAL BARANG FTZ</t>
  </si>
  <si>
    <t>KODE TUJUAN PENGELUARAN</t>
  </si>
  <si>
    <t>PPN PAJAK</t>
  </si>
  <si>
    <t>PPNBM PAJAK</t>
  </si>
  <si>
    <t>TARIF PPN PAJAK</t>
  </si>
  <si>
    <t>TARIF PPNBM PAJAK</t>
  </si>
  <si>
    <t>BARANG TIDAK BERWUJUD</t>
  </si>
  <si>
    <t>KODE JENIS PENGELUARAN</t>
  </si>
  <si>
    <t>BARANG KIRIMAN</t>
  </si>
  <si>
    <t>FLAG KONSOL</t>
  </si>
  <si>
    <t>KODE JENIS PENGANGKUTAN</t>
  </si>
  <si>
    <t>FLAG PROPORSIONAL NETTO</t>
  </si>
  <si>
    <t>000030NIW34520260924001492</t>
  </si>
  <si>
    <t>30</t>
  </si>
  <si>
    <t>050100</t>
  </si>
  <si>
    <t>050500</t>
  </si>
  <si>
    <t>1</t>
  </si>
  <si>
    <t>15</t>
  </si>
  <si>
    <t>14</t>
  </si>
  <si>
    <t>41</t>
  </si>
  <si>
    <t>6</t>
  </si>
  <si>
    <t>VN</t>
  </si>
  <si>
    <t>086695</t>
  </si>
  <si>
    <t>2026-09-25</t>
  </si>
  <si>
    <t>0003</t>
  </si>
  <si>
    <t>00570000</t>
  </si>
  <si>
    <t>IDCGK</t>
  </si>
  <si>
    <t>VNSGN</t>
  </si>
  <si>
    <t>2026-10-01</t>
  </si>
  <si>
    <t>2026-09-24</t>
  </si>
  <si>
    <t>2</t>
  </si>
  <si>
    <t>DN</t>
  </si>
  <si>
    <t>BANDUNG</t>
  </si>
  <si>
    <t>YUS YULIUS</t>
  </si>
  <si>
    <t>MANAGER EXIM</t>
  </si>
  <si>
    <t>USD</t>
  </si>
  <si>
    <t>489214</t>
  </si>
  <si>
    <t>T</t>
  </si>
  <si>
    <t>000030NIW34520260923001493</t>
  </si>
  <si>
    <t>040300</t>
  </si>
  <si>
    <t>9</t>
  </si>
  <si>
    <t>US</t>
  </si>
  <si>
    <t>IDTPP</t>
  </si>
  <si>
    <t>USLAX</t>
  </si>
  <si>
    <t>EXW</t>
  </si>
  <si>
    <t>607627</t>
  </si>
  <si>
    <t>000030NIW34520260923001488</t>
  </si>
  <si>
    <t>607401</t>
  </si>
  <si>
    <t>000030NIW34520260924001490</t>
  </si>
  <si>
    <t>TW</t>
  </si>
  <si>
    <t>00540000</t>
  </si>
  <si>
    <t>TWTPE</t>
  </si>
  <si>
    <t>489165</t>
  </si>
  <si>
    <t>000030NIW34520260923001489</t>
  </si>
  <si>
    <t>607479</t>
  </si>
  <si>
    <t>000030NIW34520260923001486</t>
  </si>
  <si>
    <t>USSAV</t>
  </si>
  <si>
    <t>607330</t>
  </si>
  <si>
    <t>000030NIW34520260923001485</t>
  </si>
  <si>
    <t>607250</t>
  </si>
  <si>
    <t>000030NIW34520260924001484</t>
  </si>
  <si>
    <t>LK</t>
  </si>
  <si>
    <t>00350000</t>
  </si>
  <si>
    <t>LKCMB</t>
  </si>
  <si>
    <t>488602</t>
  </si>
  <si>
    <t>000030NIW34520260923001483</t>
  </si>
  <si>
    <t>607053</t>
  </si>
  <si>
    <t>000030NIW34520260923001487</t>
  </si>
  <si>
    <t>607337</t>
  </si>
  <si>
    <t>000030NIW34520260923001495</t>
  </si>
  <si>
    <t>607736</t>
  </si>
  <si>
    <t>000030NIW34520260924001494</t>
  </si>
  <si>
    <t>00760000</t>
  </si>
  <si>
    <t>489271</t>
  </si>
  <si>
    <t>000030NIW34520260923001491</t>
  </si>
  <si>
    <t>LN</t>
  </si>
  <si>
    <t>607532</t>
  </si>
  <si>
    <t>000030NIW34520260923001481</t>
  </si>
  <si>
    <t>606707</t>
  </si>
  <si>
    <t>000030NIW34520260923001482</t>
  </si>
  <si>
    <t>606960</t>
  </si>
  <si>
    <t>KODE FASILITAS TARIF</t>
  </si>
  <si>
    <t>KODE JENIS PUNGUTAN</t>
  </si>
  <si>
    <t>NILAI PUNGUTAN</t>
  </si>
  <si>
    <t>NPWP BILLING</t>
  </si>
  <si>
    <t>SERI</t>
  </si>
  <si>
    <t>KODE ENTITAS</t>
  </si>
  <si>
    <t>KODE JENIS IDENTITAS</t>
  </si>
  <si>
    <t>NOMOR IDENTITAS</t>
  </si>
  <si>
    <t>NAMA ENTITAS</t>
  </si>
  <si>
    <t>ALAMAT ENTITAS</t>
  </si>
  <si>
    <t>NIB ENTITAS</t>
  </si>
  <si>
    <t>KODE JENIS API</t>
  </si>
  <si>
    <t>KODE STATUS</t>
  </si>
  <si>
    <t>NOMOR IJIN ENTITAS</t>
  </si>
  <si>
    <t>TANGGAL IJIN ENTITAS</t>
  </si>
  <si>
    <t>KODE NEGARA</t>
  </si>
  <si>
    <t>NIPER ENTITAS</t>
  </si>
  <si>
    <t>KODE KATEGORI KONSOLIDATOR</t>
  </si>
  <si>
    <t>KODE AFILIASI</t>
  </si>
  <si>
    <t>8</t>
  </si>
  <si>
    <t>COLUMBIA SPORTSWEAR LLC CO.,</t>
  </si>
  <si>
    <t>8TH AND 9TH FLOOR, A&amp;B TOWER
76A LE LAI STREET,HO CHI MINH BEN THANH WARD
ATTN : GIANG TRAN /MERCHANDISER</t>
  </si>
  <si>
    <t>0745406926444000000000</t>
  </si>
  <si>
    <t>NIRWANA ALABARE GARMENT</t>
  </si>
  <si>
    <t>JL RAYA RANCAEKEK MAJALAYA NO.289 RT.002 RW.007, SOLOKANJERUK, SOLOKANJERUK, KABUPATEN BANDUNG, JAWA BARAT</t>
  </si>
  <si>
    <t>0220103231143</t>
  </si>
  <si>
    <t>3</t>
  </si>
  <si>
    <t>13</t>
  </si>
  <si>
    <t>7</t>
  </si>
  <si>
    <t>23</t>
  </si>
  <si>
    <t>0013107743062000000000</t>
  </si>
  <si>
    <t>BIROTIKA SEMESTA</t>
  </si>
  <si>
    <t>MULIA BUSINESS PARK BLD F, JL MT. HARYONO KAV 58-60 RT.000 RW.000, PANCORAN, PANCORAN, KOTA ADMINISTRASI JAKARTA SELATAN, DAERAH KHUSUS IBUKOTA JAKARTA</t>
  </si>
  <si>
    <t>02</t>
  </si>
  <si>
    <t>LAINNYA</t>
  </si>
  <si>
    <t>4</t>
  </si>
  <si>
    <t>OLD NAVY, LLC</t>
  </si>
  <si>
    <t>2 FOLSOM STREET_x000D_
SAN FRANCISCO, CALIFORNIA_x000D_
94105</t>
  </si>
  <si>
    <t>0021066204093000000000</t>
  </si>
  <si>
    <t>MULTI TERMINAL INDONESIA</t>
  </si>
  <si>
    <t>JL PULAU PAYUNG NO.1 RT.000 RW.000, TANJUNG PRIOK, TANJUNG PRIOK, KOTA ADMINISTRASI JAKARTA UTARA, DAERAH KHUSUS IBUKOTA JAKARTA</t>
  </si>
  <si>
    <t>0000000000000000</t>
  </si>
  <si>
    <t>KANMAX ENTERPRISES LTD</t>
  </si>
  <si>
    <t>103 PENANG ROAD, #08-07, VISIONCREST ORCHARD, SINGAPORE 238467</t>
  </si>
  <si>
    <t>LVO LONGVIEW OMNI-0047</t>
  </si>
  <si>
    <t>5401 MICKEY MELTON BLD_x000D_
LONGVIEW, TX_x000D_
75605</t>
  </si>
  <si>
    <t>FAR EASTERN NEW CENTURY</t>
  </si>
  <si>
    <t>41F, NO.16, XINZHAN RD., BANQIAO DIST
22041 BANQIAO  TAIPEI CITY
ATTN : PHOEBE CHOU</t>
  </si>
  <si>
    <t>SDC-0017</t>
  </si>
  <si>
    <t>100 GAP BOULEVARD_x000D_
GALLATIN, TN_x000D_
37066</t>
  </si>
  <si>
    <t>TEEJAY LANKA</t>
  </si>
  <si>
    <t>BLOCK D8-D14, SEETHAWAKA, E.P.Z
107000 AVISSAWELLA WESTERN PROVINCE
ATTN : HIMASHA HARRISON/ROSHAN</t>
  </si>
  <si>
    <t>EXPEDITORS INTL LRD-2284</t>
  </si>
  <si>
    <t>8510 BOB BULLOCK LOOP_x000D_
LAREDO, TX_x000D_
78045</t>
  </si>
  <si>
    <t>WESTERN OMNI WEO-0008</t>
  </si>
  <si>
    <t>3400 NORTH GAP DR_x000D_
FRESNO, CA_x000D_
93727</t>
  </si>
  <si>
    <t>FAR EASTERN NEW CENTURY CORPORATION</t>
  </si>
  <si>
    <t>40F., NO. 16, XINZNAN RD., BANQIAO DIST
22041 BANQIAO  TAIPEI CITY
ATTN : JUDY HUANG</t>
  </si>
  <si>
    <t>NOMOR DOKUMEN</t>
  </si>
  <si>
    <t>TANGGAL DOKUMEN</t>
  </si>
  <si>
    <t>KODE FASILITAS</t>
  </si>
  <si>
    <t>KODE IJIN</t>
  </si>
  <si>
    <t>920</t>
  </si>
  <si>
    <t>16/MK/WBC.09/2026</t>
  </si>
  <si>
    <t>2026-01-20</t>
  </si>
  <si>
    <t>380</t>
  </si>
  <si>
    <t>0470/E/NAG/0926</t>
  </si>
  <si>
    <t>217</t>
  </si>
  <si>
    <t>740</t>
  </si>
  <si>
    <t>3661451791</t>
  </si>
  <si>
    <t>0448ENAG0926</t>
  </si>
  <si>
    <t>025758</t>
  </si>
  <si>
    <t>2026-06-30</t>
  </si>
  <si>
    <t>027552</t>
  </si>
  <si>
    <t>2026-07-11</t>
  </si>
  <si>
    <t>027549</t>
  </si>
  <si>
    <t>026656</t>
  </si>
  <si>
    <t>2026-07-06</t>
  </si>
  <si>
    <t>027545</t>
  </si>
  <si>
    <t>0445ENAG0926</t>
  </si>
  <si>
    <t>031758</t>
  </si>
  <si>
    <t>2026-08-10</t>
  </si>
  <si>
    <t>034393</t>
  </si>
  <si>
    <t>2026-08-28</t>
  </si>
  <si>
    <t>0469/E/NAG/0926</t>
  </si>
  <si>
    <t>3661410852</t>
  </si>
  <si>
    <t>0446ENAG0926</t>
  </si>
  <si>
    <t>0443ENAG0926</t>
  </si>
  <si>
    <t>0442ENAG0926</t>
  </si>
  <si>
    <t>0461/E/NAK/0926</t>
  </si>
  <si>
    <t>2326661245</t>
  </si>
  <si>
    <t>630</t>
  </si>
  <si>
    <t>OFC/OUT/0926/01566</t>
  </si>
  <si>
    <t>2026-09-23</t>
  </si>
  <si>
    <t>OFC/OUT/0926/01565</t>
  </si>
  <si>
    <t>0441ENAG0926</t>
  </si>
  <si>
    <t>0444ENAG0926</t>
  </si>
  <si>
    <t>0449ENAG0926</t>
  </si>
  <si>
    <t>027093</t>
  </si>
  <si>
    <t>2026-07-08</t>
  </si>
  <si>
    <t>027939</t>
  </si>
  <si>
    <t>2026-07-14</t>
  </si>
  <si>
    <t>029032</t>
  </si>
  <si>
    <t>2026-07-22</t>
  </si>
  <si>
    <t>0473/E/NAG/0926</t>
  </si>
  <si>
    <t>7877799532</t>
  </si>
  <si>
    <t>0447ENAG0926</t>
  </si>
  <si>
    <t>0439ENAG0926</t>
  </si>
  <si>
    <t>028938</t>
  </si>
  <si>
    <t>2026-07-21</t>
  </si>
  <si>
    <t>0440ENAG0926</t>
  </si>
  <si>
    <t>KODE CARA ANGKUT</t>
  </si>
  <si>
    <t>NAMA PENGANGKUT</t>
  </si>
  <si>
    <t>NOMOR PENGANGKUT</t>
  </si>
  <si>
    <t>KODE BENDERA</t>
  </si>
  <si>
    <t>CALL SIGN</t>
  </si>
  <si>
    <t>FLAG ANGKUT PLB</t>
  </si>
  <si>
    <t>CARA PENGANGKUTAN LAINNYA</t>
  </si>
  <si>
    <t>K - MILE AIR</t>
  </si>
  <si>
    <t>8K0801</t>
  </si>
  <si>
    <t>TH</t>
  </si>
  <si>
    <t>JOSEPHINE MAERSK</t>
  </si>
  <si>
    <t>VV 638N</t>
  </si>
  <si>
    <t>DK</t>
  </si>
  <si>
    <t>KODE KEMASAN</t>
  </si>
  <si>
    <t>JUMLAH KEMASAN</t>
  </si>
  <si>
    <t>MEREK</t>
  </si>
  <si>
    <t>NOMOR SEGEL</t>
  </si>
  <si>
    <t>PK</t>
  </si>
  <si>
    <t>-</t>
  </si>
  <si>
    <t>CT</t>
  </si>
  <si>
    <t>OLD NAVY</t>
  </si>
  <si>
    <t>NOMOR KONTINER</t>
  </si>
  <si>
    <t>KODE UKURAN KONTAINER</t>
  </si>
  <si>
    <t>KODE JENIS KONTAINER</t>
  </si>
  <si>
    <t>KODE TIPE KONTAINER</t>
  </si>
  <si>
    <t>SERI BARANG</t>
  </si>
  <si>
    <t>HS</t>
  </si>
  <si>
    <t>KODE BARANG</t>
  </si>
  <si>
    <t>URAIAN</t>
  </si>
  <si>
    <t>TIPE</t>
  </si>
  <si>
    <t>UKURAN</t>
  </si>
  <si>
    <t>SPESIFIKASI LAIN</t>
  </si>
  <si>
    <t>KODE SATUAN</t>
  </si>
  <si>
    <t>JUMLAH SATUAN</t>
  </si>
  <si>
    <t>KODE DOKUMEN ASAL</t>
  </si>
  <si>
    <t>KODE KANTOR ASAL</t>
  </si>
  <si>
    <t>NOMOR DAFTAR ASAL</t>
  </si>
  <si>
    <t>TANGGAL DAFTAR ASAL</t>
  </si>
  <si>
    <t>NOMOR AJU ASAL</t>
  </si>
  <si>
    <t>SERI BARANG ASAL</t>
  </si>
  <si>
    <t>SALDO AWAL</t>
  </si>
  <si>
    <t>SALDO AKHIR</t>
  </si>
  <si>
    <t>JUMLAH REALISASI</t>
  </si>
  <si>
    <t>CIF RUPIAH</t>
  </si>
  <si>
    <t>NILAI TAMBAH</t>
  </si>
  <si>
    <t>DISKON</t>
  </si>
  <si>
    <t>HARGA PENYERAHAN</t>
  </si>
  <si>
    <t>HARGA PEROLEHAN</t>
  </si>
  <si>
    <t>HARGA SATUAN</t>
  </si>
  <si>
    <t>HARGA EKSPOR</t>
  </si>
  <si>
    <t>HARGA PATOKAN</t>
  </si>
  <si>
    <t>NILAI DANA SAWIT</t>
  </si>
  <si>
    <t>NILAI DEVISA</t>
  </si>
  <si>
    <t>PERSENTASE IMPOR</t>
  </si>
  <si>
    <t>KODE ASAL BARANG</t>
  </si>
  <si>
    <t>KODE GUNA BARANG</t>
  </si>
  <si>
    <t>JATUH TEMPO ROYALTI</t>
  </si>
  <si>
    <t>KODE KATEGORI BARANG</t>
  </si>
  <si>
    <t>KODE KONDISI BARANG</t>
  </si>
  <si>
    <t>KODE NEGARA ASAL</t>
  </si>
  <si>
    <t>KODE PERHITUNGAN</t>
  </si>
  <si>
    <t>PERNYATAAN LARTAS</t>
  </si>
  <si>
    <t>FLAG 4 TAHUN</t>
  </si>
  <si>
    <t>SERI IZIN</t>
  </si>
  <si>
    <t>TAHUN PEMBUATAN</t>
  </si>
  <si>
    <t>KAPASITAS SILINDER</t>
  </si>
  <si>
    <t>KODE BKC</t>
  </si>
  <si>
    <t>KODE KOMODITI BKC</t>
  </si>
  <si>
    <t>KODE SUB KOMODITI BKC</t>
  </si>
  <si>
    <t>FLAG TIS</t>
  </si>
  <si>
    <t>ISI PER KEMASAN</t>
  </si>
  <si>
    <t>JUMLAH DILEKATKAN</t>
  </si>
  <si>
    <t>JUMLAH PITA CUKAI</t>
  </si>
  <si>
    <t>HJE CUKAI</t>
  </si>
  <si>
    <t>TARIF CUKAI</t>
  </si>
  <si>
    <t>METODE PENENTUAN NILAI</t>
  </si>
  <si>
    <t>ALASAN METODE PENENTUAN NILAI</t>
  </si>
  <si>
    <t>STATEMENT PERBEDAAN HARGA</t>
  </si>
  <si>
    <t>61091020</t>
  </si>
  <si>
    <t>SAMPLE  GARMENTS
GARMENT SMS F27 AK7645/AR7645/AK2156/AL5485/AM0126</t>
  </si>
  <si>
    <t>PCE</t>
  </si>
  <si>
    <t>3204</t>
  </si>
  <si>
    <t>ID</t>
  </si>
  <si>
    <t>61102000</t>
  </si>
  <si>
    <t>KNM/0726/348</t>
  </si>
  <si>
    <t>T-SHIRT LONG SLEEVE PURPLE CHECK _x000D_
PO : 61994451 STYLE : 906033 OF GIRLS COTTON FIBERS KNIT PULLOVER 100% COTTON</t>
  </si>
  <si>
    <t>265K0090</t>
  </si>
  <si>
    <t>XL</t>
  </si>
  <si>
    <t>XS</t>
  </si>
  <si>
    <t>XXL</t>
  </si>
  <si>
    <t>T-SHIRT LONG SLEEVE RED HEART _x000D_
PO : 61994451 STYLE : 906033 OF GIRLS COTTON FIBERS KNIT PULLOVER 100% COTTON</t>
  </si>
  <si>
    <t>S</t>
  </si>
  <si>
    <t>M</t>
  </si>
  <si>
    <t>L</t>
  </si>
  <si>
    <t>XL HUSKY</t>
  </si>
  <si>
    <t>L HUSKY</t>
  </si>
  <si>
    <t>XXL HUSKY</t>
  </si>
  <si>
    <t>KNM/0826/351</t>
  </si>
  <si>
    <t>T-SHIRT SHORT SLEEVE RED GINGHAM _x000D_
PO : 62188059 STYLE : 1181671 OF GIRLS COTTON FIBERS KNIT PULLOVER 100% COTTON</t>
  </si>
  <si>
    <t>265K0091</t>
  </si>
  <si>
    <t>-265K0091</t>
  </si>
  <si>
    <t>KNM/0726/346</t>
  </si>
  <si>
    <t>T-SHIRT LONG SLEEVE BLACK LEOPARD _x000D_
PO : 62046374 STYLE : 906033 OF GIRLS COTTON FIBERS KNIT PULLOVER 100% COTTON</t>
  </si>
  <si>
    <t>T-SHIRT LONG SLEEVE PINK LEOPARD HEART _x000D_
PO : 62046374 STYLE : 906033 OF GIRLS COTTON FIBERS KNIT PULLOVER 100% COTTON</t>
  </si>
  <si>
    <t>KNM/0826/350</t>
  </si>
  <si>
    <t>T-SHIRT SHORT SLEEVE RED GINGHAM _x000D_
PO : 62188028 STYLE : 1181671 OF GIRLS COTTON FIBERS KNIT PULLOVER 100% COTTON</t>
  </si>
  <si>
    <t>KNM/0726/349</t>
  </si>
  <si>
    <t>T-SHIRT LONG SLEEVE PINK FLORAL _x000D_
PO : 61996854 STYLE : 906033 OF GIRLS COTTON FIBERS KNIT PULLOVER 100% COTTON</t>
  </si>
  <si>
    <t>T-SHIRT LONG SLEEVE PURPLE CHECK _x000D_
PO : 61996854 STYLE : 906033 OF GIRLS COTTON FIBERS KNIT PULLOVER 100% COTTON</t>
  </si>
  <si>
    <t>T-SHIRT LONG SLEEVE RED HEART _x000D_
PO : 61996854 STYLE : 906033 OF GIRLS COTTON FIBERS KNIT PULLOVER 100% COTTON</t>
  </si>
  <si>
    <t>60063210</t>
  </si>
  <si>
    <t>FABRIC SAMPLE 
FABRIC 90% MODAL 10% SPANDEX SINGLE JERSEY</t>
  </si>
  <si>
    <t>YRD</t>
  </si>
  <si>
    <t>KNM/0626/341</t>
  </si>
  <si>
    <t>T-SHIRT SHORT SLEEVE PINK FLORAL _x000D_
PO : 61996879 STYLE : 905994 OF GIRLS COTTON FIBERS KNIT PULLOVER 100% COTTON</t>
  </si>
  <si>
    <t>265K0089</t>
  </si>
  <si>
    <t>KNM/0826/354</t>
  </si>
  <si>
    <t>T-SHIRT SHORT SLEEVE RED GINGHAM _x000D_
PO : 62236871 STYLE : 1181671 OF GIRLS COTTON FIBERS KNIT PULLOVER 100% COTTON</t>
  </si>
  <si>
    <t>KNM/0626/329</t>
  </si>
  <si>
    <t>TANKTOP MOCHA TAFFY _x000D_
PO : 62212689 STYLE : 692926 OF WOMENS COTTON FIBERS KNIT PULLOVER 96% COTTON 4% SPANDEX</t>
  </si>
  <si>
    <t>265K0103</t>
  </si>
  <si>
    <t>2X</t>
  </si>
  <si>
    <t>XS/T</t>
  </si>
  <si>
    <t>XXL/T</t>
  </si>
  <si>
    <t>M/P</t>
  </si>
  <si>
    <t>3X</t>
  </si>
  <si>
    <t>4X</t>
  </si>
  <si>
    <t>XXL/P</t>
  </si>
  <si>
    <t>XS/P</t>
  </si>
  <si>
    <t>S/P</t>
  </si>
  <si>
    <t>L/P</t>
  </si>
  <si>
    <t>XL/P</t>
  </si>
  <si>
    <t>XXS</t>
  </si>
  <si>
    <t>S/T</t>
  </si>
  <si>
    <t>L/T</t>
  </si>
  <si>
    <t>M/T</t>
  </si>
  <si>
    <t>XL/T</t>
  </si>
  <si>
    <t>60063290</t>
  </si>
  <si>
    <t>SAMPLE  FABRIC 074418</t>
  </si>
  <si>
    <t>KNM/0626/342</t>
  </si>
  <si>
    <t>T-SHIRT SHORT SLEEVE PINK FLORAL _x000D_
PO : 61996959 STYLE : 905994 OF GIRLS COTTON FIBERS KNIT PULLOVER 100% COTTON</t>
  </si>
  <si>
    <t>61051000</t>
  </si>
  <si>
    <t>KNM/0626/338</t>
  </si>
  <si>
    <t>POLO SHIRT LONG SLEEVE MONET BLUE _x000D_
PO : 62002316 STYLE : 767468 OF BOYS COTTON FIBERS KNIT SHIRT 60% COTTON 40% POLYESTER</t>
  </si>
  <si>
    <t>265K0077</t>
  </si>
  <si>
    <t>POLO SHIRT LONG SLEEVE RED TAPE _x000D_
PO : 62002316 STYLE : 767468 OF BOYS COTTON FIBERS KNIT SHIRT 60% COTTON 40% POLYESTER</t>
  </si>
  <si>
    <t>POLO SHIRT LONG SLEEVE BLUE TANGO _x000D_
PO : 62002316 STYLE : 767468 OF BOYS COTTON FIBERS KNIT SHIRT 60% COTTON 40% POLYESTER</t>
  </si>
  <si>
    <t>POLO SHIRT LONG SLEEVE BLACK JACK _x000D_
PO : 62041856 STYLE : 767468 OF BOYS COTTON FIBERS KNIT SHIRT 60% COTTON 40% POLYESTER</t>
  </si>
  <si>
    <t>POLO SHIRT LONG SLEEVE CALLA LILY 451 _x000D_
PO : 62041856 STYLE : 767468 OF BOYS COTTON FIBERS KNIT SHIRT 60% COTTON 40% POLYESTER</t>
  </si>
  <si>
    <t>POLO SHIRT LONG SLEEVE INK BLUE _x000D_
PO : 62041856 STYLE : 767468 OF BOYS COTTON FIBERS KNIT SHIRT 60% COTTON 40% POLYESTER</t>
  </si>
  <si>
    <t>POLO SHIRT LONG SLEEVE DARK GREEN _x000D_
PO : 62041856 STYLE : 767468 OF BOYS COTTON FIBERS KNIT SHIRT 60% COTTON 40% POLYESTER</t>
  </si>
  <si>
    <t>POLO SHIRT LONG SLEEVE RON BURGUNDY _x000D_
PO : 62041856 STYLE : 767468 OF BOYS COTTON FIBERS KNIT SHIRT 60% COTTON 40% POLYESTER</t>
  </si>
  <si>
    <t>KODE PUNGUTAN</t>
  </si>
  <si>
    <t>KODE TARIF</t>
  </si>
  <si>
    <t>TARIF</t>
  </si>
  <si>
    <t>TARIF FASILITAS</t>
  </si>
  <si>
    <t>NILAI BAYAR</t>
  </si>
  <si>
    <t>NILAI FASILITAS</t>
  </si>
  <si>
    <t>NILAI SUDAH DILUNASI</t>
  </si>
  <si>
    <t>FLAG BMT SEMENTARA</t>
  </si>
  <si>
    <t>KODE KOMODITI CUKAI</t>
  </si>
  <si>
    <t>KODE SUB KOMODITI CUKAI</t>
  </si>
  <si>
    <t>FLAG PELEKATAN</t>
  </si>
  <si>
    <t>SERI DOKUMEN</t>
  </si>
  <si>
    <t>SERI ENTITAS</t>
  </si>
  <si>
    <t>KODE</t>
  </si>
  <si>
    <t>KODE VD</t>
  </si>
  <si>
    <t>JATUH TEMPO</t>
  </si>
  <si>
    <t>SERI BAHAN BAKU</t>
  </si>
  <si>
    <t>KODE ASAL BAHAN BAKU</t>
  </si>
  <si>
    <t>VALUTA</t>
  </si>
  <si>
    <t>KODE_ASAL_BAHAN_BAKU</t>
  </si>
  <si>
    <t>KODE JAMINAN</t>
  </si>
  <si>
    <t>NOMOR JAMINAN</t>
  </si>
  <si>
    <t>TANGGAL JAMINAN</t>
  </si>
  <si>
    <t>NILAI JAMINAN</t>
  </si>
  <si>
    <t>PENJAMIN</t>
  </si>
  <si>
    <t>TANGGAL JATUH TEMPO</t>
  </si>
  <si>
    <t>NOMOR BPJ</t>
  </si>
  <si>
    <t>TANGGAL BPJ</t>
  </si>
  <si>
    <t>NAMA</t>
  </si>
  <si>
    <t>BANK BCA</t>
  </si>
  <si>
    <t>BANK CENTRAL ASIA</t>
  </si>
  <si>
    <t>JENIS NILAI</t>
  </si>
  <si>
    <t>HARGA INVOICE</t>
  </si>
  <si>
    <t>PEMBAYARAN TIDAK LANGSUNG</t>
  </si>
  <si>
    <t>KOMISI PENJUALAN</t>
  </si>
  <si>
    <t>BIAYA PENGEMASAN</t>
  </si>
  <si>
    <t>BIAYA PENGEPAKAN</t>
  </si>
  <si>
    <t>ASSIST</t>
  </si>
  <si>
    <t>ROYALTI</t>
  </si>
  <si>
    <t>PROCEEDS</t>
  </si>
  <si>
    <t>BIAYA TRANSPORTASI</t>
  </si>
  <si>
    <t>BIAYA PEMUATAN</t>
  </si>
  <si>
    <t>GARANSI</t>
  </si>
  <si>
    <t>BIAYA KEPENTINGAN SENDIRI</t>
  </si>
  <si>
    <t>BIAYA PASCA IMPOR</t>
  </si>
  <si>
    <t>BIAYA PAJAK INTERNAL</t>
  </si>
  <si>
    <t>BUNGA</t>
  </si>
  <si>
    <t>DEVIDEN</t>
  </si>
  <si>
    <t>VERSI</t>
  </si>
  <si>
    <t>1.3</t>
  </si>
  <si>
    <t>KODE RESPON</t>
  </si>
  <si>
    <t>NOMOR RESPON</t>
  </si>
  <si>
    <t>TANGGAL RESPON</t>
  </si>
  <si>
    <t>3015</t>
  </si>
  <si>
    <t>607334/PM/KPU.1/2026</t>
  </si>
  <si>
    <t>488332/KPU.3/2026</t>
  </si>
  <si>
    <t>607465/PM/KPU.1/2026</t>
  </si>
  <si>
    <t>488944/KPU.3/2026</t>
  </si>
  <si>
    <t>606987/PM/KPU.1/2026</t>
  </si>
  <si>
    <t>489002/KPU.3/2026</t>
  </si>
  <si>
    <t>607270/PM/KPU.1/2026</t>
  </si>
  <si>
    <t>607560/PM/KPU.1/2026</t>
  </si>
  <si>
    <t>606640/PM/KPU.1/2026</t>
  </si>
  <si>
    <t>488895/KPU.3/2026</t>
  </si>
  <si>
    <t>607263/PM/KPU.1/2026</t>
  </si>
  <si>
    <t>606895/PM/KPU.1/2026</t>
  </si>
  <si>
    <t>607182/PM/KPU.1/2026</t>
  </si>
  <si>
    <t>607412/PM/KPU.1/2026</t>
  </si>
  <si>
    <t>607669/PM/KPU.1/2026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</si>
</sst>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\ hh:mm:ss"/>
  </numFmts>
  <fonts count="2" x14ac:knownFonts="1">
    <font>
      <sz val="11"/>
      <color rgb="FF000000"/>
      <name val="Calibri"/>
    </font>
    <font>
      <b/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DC16"/>
  <sheetViews>
    <sheetView workbookViewId="0"/>
  </sheetViews>
  <sheetFormatPr defaultRowHeight="15" x14ac:dyDescent="0.25"/>
  <cols>
    <col min="1" max="1" width="27.42578125" bestFit="1" customWidth="1"/>
    <col min="2" max="2" width="13.42578125" bestFit="1" customWidth="1"/>
    <col min="3" max="3" width="12.42578125" bestFit="1" customWidth="1"/>
    <col min="4" max="5" width="20.42578125" bestFit="1" customWidth="1"/>
    <col min="6" max="7" width="19.42578125" bestFit="1" customWidth="1"/>
    <col min="8" max="8" width="17.42578125" bestFit="1" customWidth="1"/>
    <col min="9" max="9" width="18.42578125" bestFit="1" customWidth="1"/>
    <col min="10" max="11" width="15.42578125" bestFit="1" customWidth="1"/>
    <col min="12" max="12" width="20.42578125" bestFit="1" customWidth="1"/>
    <col min="13" max="13" width="22.42578125" bestFit="1" customWidth="1"/>
    <col min="14" max="14" width="23.42578125" bestFit="1" customWidth="1"/>
    <col min="15" max="15" width="16.42578125" bestFit="1" customWidth="1"/>
    <col min="16" max="16" width="17.42578125" bestFit="1" customWidth="1"/>
    <col min="17" max="17" width="16.42578125" bestFit="1" customWidth="1"/>
    <col min="18" max="18" width="24.42578125" bestFit="1" customWidth="1"/>
    <col min="19" max="19" width="17.42578125" bestFit="1" customWidth="1"/>
    <col min="20" max="20" width="19.42578125" bestFit="1" customWidth="1"/>
    <col min="21" max="21" width="17.42578125" bestFit="1" customWidth="1"/>
    <col min="22" max="22" width="22.42578125" bestFit="1" customWidth="1"/>
    <col min="23" max="23" width="21.42578125" bestFit="1" customWidth="1"/>
    <col min="24" max="24" width="24.42578125" bestFit="1" customWidth="1"/>
    <col min="25" max="26" width="25.42578125" bestFit="1" customWidth="1"/>
    <col min="27" max="27" width="12.42578125" bestFit="1" customWidth="1"/>
    <col min="28" max="28" width="18.42578125" bestFit="1" customWidth="1"/>
    <col min="29" max="29" width="12.42578125" bestFit="1" customWidth="1"/>
    <col min="30" max="30" width="14.42578125" bestFit="1" customWidth="1"/>
    <col min="31" max="32" width="17.42578125" bestFit="1" customWidth="1"/>
    <col min="33" max="34" width="19.42578125" bestFit="1" customWidth="1"/>
    <col min="35" max="35" width="14.42578125" bestFit="1" customWidth="1"/>
    <col min="36" max="36" width="11.42578125" bestFit="1" customWidth="1"/>
    <col min="37" max="37" width="13.42578125" bestFit="1" customWidth="1"/>
    <col min="38" max="38" width="10.42578125" bestFit="1" customWidth="1"/>
    <col min="39" max="39" width="14.42578125" bestFit="1" customWidth="1"/>
    <col min="40" max="40" width="23.42578125" bestFit="1" customWidth="1"/>
    <col min="41" max="41" width="20.42578125" bestFit="1" customWidth="1"/>
    <col min="42" max="42" width="26.42578125" bestFit="1" customWidth="1"/>
    <col min="43" max="43" width="23.42578125" bestFit="1" customWidth="1"/>
    <col min="44" max="45" width="22.42578125" bestFit="1" customWidth="1"/>
    <col min="46" max="46" width="9.42578125" bestFit="1" customWidth="1"/>
    <col min="47" max="47" width="18.42578125" bestFit="1" customWidth="1"/>
    <col min="48" max="48" width="15.42578125" bestFit="1" customWidth="1"/>
    <col min="49" max="49" width="14.42578125" bestFit="1" customWidth="1"/>
    <col min="50" max="51" width="13.42578125" bestFit="1" customWidth="1"/>
    <col min="52" max="53" width="16.42578125" bestFit="1" customWidth="1"/>
    <col min="54" max="54" width="17.42578125" bestFit="1" customWidth="1"/>
    <col min="55" max="55" width="20.42578125" bestFit="1" customWidth="1"/>
    <col min="56" max="56" width="22.42578125" bestFit="1" customWidth="1"/>
    <col min="57" max="57" width="11.42578125" bestFit="1" customWidth="1"/>
    <col min="58" max="58" width="9.42578125" bestFit="1" customWidth="1"/>
    <col min="60" max="61" width="11.42578125" bestFit="1" customWidth="1"/>
    <col min="62" max="62" width="14.42578125" bestFit="1" customWidth="1"/>
    <col min="63" max="63" width="9.42578125" bestFit="1" customWidth="1"/>
    <col min="64" max="64" width="13.42578125" bestFit="1" customWidth="1"/>
    <col min="65" max="65" width="15.42578125" bestFit="1" customWidth="1"/>
    <col min="66" max="66" width="13.42578125" bestFit="1" customWidth="1"/>
    <col min="67" max="67" width="9.42578125" bestFit="1" customWidth="1"/>
    <col min="69" max="69" width="9.42578125" bestFit="1" customWidth="1"/>
    <col min="70" max="70" width="15.42578125" bestFit="1" customWidth="1"/>
    <col min="71" max="71" width="16.42578125" bestFit="1" customWidth="1"/>
    <col min="74" max="74" width="17.42578125" bestFit="1" customWidth="1"/>
    <col min="76" max="76" width="17.42578125" bestFit="1" customWidth="1"/>
    <col min="77" max="77" width="22.42578125" bestFit="1" customWidth="1"/>
    <col min="78" max="78" width="11.42578125" bestFit="1" customWidth="1"/>
    <col min="79" max="79" width="10.42578125" bestFit="1" customWidth="1"/>
    <col min="83" max="83" width="16.42578125" bestFit="1" customWidth="1"/>
    <col min="84" max="84" width="19.42578125" bestFit="1" customWidth="1"/>
    <col min="85" max="85" width="16.42578125" bestFit="1" customWidth="1"/>
    <col min="86" max="86" width="19.42578125" bestFit="1" customWidth="1"/>
    <col min="87" max="87" width="12.42578125" bestFit="1" customWidth="1"/>
    <col min="88" max="88" width="14.42578125" bestFit="1" customWidth="1"/>
    <col min="89" max="89" width="21.42578125" bestFit="1" customWidth="1"/>
    <col min="90" max="90" width="18.42578125" bestFit="1" customWidth="1"/>
    <col min="91" max="91" width="20.42578125" bestFit="1" customWidth="1"/>
    <col min="92" max="93" width="17.42578125" bestFit="1" customWidth="1"/>
    <col min="94" max="94" width="13.42578125" bestFit="1" customWidth="1"/>
    <col min="95" max="95" width="15.42578125" bestFit="1" customWidth="1"/>
    <col min="96" max="96" width="21.42578125" bestFit="1" customWidth="1"/>
    <col min="97" max="97" width="24.42578125" bestFit="1" customWidth="1"/>
    <col min="98" max="98" width="10.42578125" bestFit="1" customWidth="1"/>
    <col min="99" max="99" width="12.42578125" bestFit="1" customWidth="1"/>
    <col min="100" max="100" width="16.42578125" bestFit="1" customWidth="1"/>
    <col min="101" max="101" width="18.42578125" bestFit="1" customWidth="1"/>
    <col min="102" max="102" width="22.42578125" bestFit="1" customWidth="1"/>
    <col min="103" max="103" width="23.42578125" bestFit="1" customWidth="1"/>
    <col min="104" max="104" width="15.42578125" bestFit="1" customWidth="1"/>
    <col min="105" max="105" width="12.42578125" bestFit="1" customWidth="1"/>
    <col min="106" max="107" width="24.42578125" bestFit="1" customWidth="1"/>
  </cols>
  <sheetData>
    <row r="1" spans="1:107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18</v>
      </c>
      <c r="AG1" s="1" t="s">
        <v>19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46</v>
      </c>
      <c r="AX1" s="1" t="s">
        <v>47</v>
      </c>
      <c r="AY1" s="1" t="s">
        <v>48</v>
      </c>
      <c r="AZ1" s="1" t="s">
        <v>49</v>
      </c>
      <c r="BA1" s="1" t="s">
        <v>50</v>
      </c>
      <c r="BB1" s="1" t="s">
        <v>51</v>
      </c>
      <c r="BC1" s="1" t="s">
        <v>52</v>
      </c>
      <c r="BD1" s="1" t="s">
        <v>53</v>
      </c>
      <c r="BE1" s="1" t="s">
        <v>54</v>
      </c>
      <c r="BF1" s="1" t="s">
        <v>55</v>
      </c>
      <c r="BG1" s="1" t="s">
        <v>56</v>
      </c>
      <c r="BH1" s="1" t="s">
        <v>57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62</v>
      </c>
      <c r="BN1" s="1" t="s">
        <v>63</v>
      </c>
      <c r="BO1" s="1" t="s">
        <v>60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100</v>
      </c>
      <c r="DA1" s="1" t="s">
        <v>101</v>
      </c>
      <c r="DB1" s="1" t="s">
        <v>102</v>
      </c>
      <c r="DC1" s="1" t="s">
        <v>103</v>
      </c>
    </row>
    <row r="2" spans="1:107" x14ac:dyDescent="0.25">
      <c r="A2" t="s">
        <v>104</v>
      </c>
      <c r="B2" t="s">
        <v>105</v>
      </c>
      <c r="C2" t="s">
        <v>106</v>
      </c>
      <c r="E2" t="s">
        <v>107</v>
      </c>
      <c r="G2" t="s">
        <v>106</v>
      </c>
      <c r="I2" t="s">
        <v>108</v>
      </c>
      <c r="P2" t="s">
        <v>109</v>
      </c>
      <c r="Q2" t="s">
        <v>110</v>
      </c>
      <c r="W2" t="s">
        <v>111</v>
      </c>
      <c r="AA2" t="s">
        <v>112</v>
      </c>
      <c r="AH2" t="s">
        <v>113</v>
      </c>
      <c r="AJ2" t="s">
        <v>114</v>
      </c>
      <c r="AK2" t="s">
        <v>115</v>
      </c>
      <c r="AL2" t="s">
        <v>116</v>
      </c>
      <c r="AM2" t="s">
        <v>117</v>
      </c>
      <c r="AO2" t="s">
        <v>118</v>
      </c>
      <c r="AR2" t="s">
        <v>119</v>
      </c>
      <c r="AS2" t="s">
        <v>118</v>
      </c>
      <c r="AV2" t="s">
        <v>120</v>
      </c>
      <c r="AZ2" t="s">
        <v>121</v>
      </c>
      <c r="BE2" t="s">
        <v>122</v>
      </c>
      <c r="BF2" t="s">
        <v>122</v>
      </c>
      <c r="BI2" t="s">
        <v>122</v>
      </c>
      <c r="BJ2" t="s">
        <v>123</v>
      </c>
      <c r="BK2">
        <v>0.02</v>
      </c>
      <c r="BL2">
        <v>0</v>
      </c>
      <c r="BN2">
        <v>0</v>
      </c>
      <c r="BO2">
        <v>0.02</v>
      </c>
      <c r="BP2">
        <v>0.79</v>
      </c>
      <c r="BQ2">
        <v>9.4</v>
      </c>
      <c r="BR2">
        <v>0</v>
      </c>
      <c r="BS2">
        <v>0</v>
      </c>
      <c r="BT2">
        <v>0</v>
      </c>
      <c r="BU2">
        <v>0</v>
      </c>
      <c r="BV2">
        <v>0</v>
      </c>
      <c r="BW2">
        <v>17707</v>
      </c>
      <c r="BY2">
        <v>0</v>
      </c>
      <c r="CA2">
        <v>0</v>
      </c>
      <c r="CB2">
        <v>1.5</v>
      </c>
      <c r="CC2">
        <v>1</v>
      </c>
      <c r="CD2">
        <v>0</v>
      </c>
      <c r="CE2" t="s">
        <v>124</v>
      </c>
      <c r="CF2" t="s">
        <v>121</v>
      </c>
      <c r="CG2" t="s">
        <v>125</v>
      </c>
      <c r="CH2" t="s">
        <v>126</v>
      </c>
      <c r="CI2" t="s">
        <v>127</v>
      </c>
      <c r="CJ2" t="s">
        <v>65</v>
      </c>
      <c r="CO2" t="s">
        <v>106</v>
      </c>
      <c r="CP2" t="s">
        <v>128</v>
      </c>
      <c r="CQ2" t="s">
        <v>121</v>
      </c>
      <c r="CT2">
        <v>0</v>
      </c>
      <c r="CZ2" t="s">
        <v>129</v>
      </c>
      <c r="DB2" t="s">
        <v>108</v>
      </c>
    </row>
    <row r="3" spans="1:107" x14ac:dyDescent="0.25">
      <c r="A3" t="s">
        <v>130</v>
      </c>
      <c r="B3" t="s">
        <v>105</v>
      </c>
      <c r="C3" t="s">
        <v>131</v>
      </c>
      <c r="E3" t="s">
        <v>107</v>
      </c>
      <c r="G3" t="s">
        <v>131</v>
      </c>
      <c r="I3" t="s">
        <v>108</v>
      </c>
      <c r="P3" t="s">
        <v>109</v>
      </c>
      <c r="Q3" t="s">
        <v>132</v>
      </c>
      <c r="W3" t="s">
        <v>111</v>
      </c>
      <c r="AA3" t="s">
        <v>112</v>
      </c>
      <c r="AH3" t="s">
        <v>133</v>
      </c>
      <c r="AO3" t="s">
        <v>134</v>
      </c>
      <c r="AR3" t="s">
        <v>135</v>
      </c>
      <c r="AS3" t="s">
        <v>134</v>
      </c>
      <c r="AV3" t="s">
        <v>120</v>
      </c>
      <c r="AZ3" t="s">
        <v>121</v>
      </c>
      <c r="BE3" t="s">
        <v>122</v>
      </c>
      <c r="BF3" t="s">
        <v>122</v>
      </c>
      <c r="BI3" t="s">
        <v>122</v>
      </c>
      <c r="BJ3" t="s">
        <v>123</v>
      </c>
      <c r="BK3">
        <v>0</v>
      </c>
      <c r="BL3">
        <v>0</v>
      </c>
      <c r="BN3">
        <v>1545.6</v>
      </c>
      <c r="BO3">
        <v>0</v>
      </c>
      <c r="BP3">
        <v>0</v>
      </c>
      <c r="BQ3">
        <v>3680</v>
      </c>
      <c r="BR3">
        <v>0</v>
      </c>
      <c r="BT3">
        <v>0</v>
      </c>
      <c r="BU3">
        <v>0</v>
      </c>
      <c r="BV3">
        <v>0</v>
      </c>
      <c r="BW3">
        <v>17707</v>
      </c>
      <c r="BX3">
        <v>0</v>
      </c>
      <c r="CB3">
        <v>178.24</v>
      </c>
      <c r="CC3">
        <v>158.04</v>
      </c>
      <c r="CD3">
        <v>0</v>
      </c>
      <c r="CE3" t="s">
        <v>124</v>
      </c>
      <c r="CF3" t="s">
        <v>121</v>
      </c>
      <c r="CG3" t="s">
        <v>125</v>
      </c>
      <c r="CH3" t="s">
        <v>126</v>
      </c>
      <c r="CI3" t="s">
        <v>127</v>
      </c>
      <c r="CJ3" t="s">
        <v>136</v>
      </c>
      <c r="CO3" t="s">
        <v>131</v>
      </c>
      <c r="CP3" t="s">
        <v>137</v>
      </c>
      <c r="CQ3" t="s">
        <v>121</v>
      </c>
      <c r="CZ3" t="s">
        <v>129</v>
      </c>
      <c r="DB3" t="s">
        <v>108</v>
      </c>
    </row>
    <row r="4" spans="1:107" x14ac:dyDescent="0.25">
      <c r="A4" t="s">
        <v>138</v>
      </c>
      <c r="B4" t="s">
        <v>105</v>
      </c>
      <c r="C4" t="s">
        <v>131</v>
      </c>
      <c r="E4" t="s">
        <v>107</v>
      </c>
      <c r="G4" t="s">
        <v>131</v>
      </c>
      <c r="I4" t="s">
        <v>108</v>
      </c>
      <c r="P4" t="s">
        <v>109</v>
      </c>
      <c r="Q4" t="s">
        <v>132</v>
      </c>
      <c r="W4" t="s">
        <v>111</v>
      </c>
      <c r="AA4" t="s">
        <v>112</v>
      </c>
      <c r="AH4" t="s">
        <v>133</v>
      </c>
      <c r="AO4" t="s">
        <v>134</v>
      </c>
      <c r="AR4" t="s">
        <v>135</v>
      </c>
      <c r="AS4" t="s">
        <v>134</v>
      </c>
      <c r="AV4" t="s">
        <v>120</v>
      </c>
      <c r="AZ4" t="s">
        <v>121</v>
      </c>
      <c r="BE4" t="s">
        <v>122</v>
      </c>
      <c r="BF4" t="s">
        <v>122</v>
      </c>
      <c r="BI4" t="s">
        <v>122</v>
      </c>
      <c r="BJ4" t="s">
        <v>123</v>
      </c>
      <c r="BK4">
        <v>0</v>
      </c>
      <c r="BL4">
        <v>0</v>
      </c>
      <c r="BN4">
        <v>1441.8</v>
      </c>
      <c r="BO4">
        <v>0</v>
      </c>
      <c r="BP4">
        <v>0</v>
      </c>
      <c r="BQ4">
        <v>3542.2</v>
      </c>
      <c r="BR4">
        <v>0</v>
      </c>
      <c r="BT4">
        <v>0</v>
      </c>
      <c r="BU4">
        <v>0</v>
      </c>
      <c r="BV4">
        <v>0</v>
      </c>
      <c r="BW4">
        <v>17707</v>
      </c>
      <c r="BX4">
        <v>0</v>
      </c>
      <c r="CB4">
        <v>160.04</v>
      </c>
      <c r="CC4">
        <v>146.13999999999999</v>
      </c>
      <c r="CD4">
        <v>0</v>
      </c>
      <c r="CE4" t="s">
        <v>124</v>
      </c>
      <c r="CF4" t="s">
        <v>121</v>
      </c>
      <c r="CG4" t="s">
        <v>125</v>
      </c>
      <c r="CH4" t="s">
        <v>126</v>
      </c>
      <c r="CI4" t="s">
        <v>127</v>
      </c>
      <c r="CJ4" t="s">
        <v>136</v>
      </c>
      <c r="CO4" t="s">
        <v>131</v>
      </c>
      <c r="CP4" t="s">
        <v>139</v>
      </c>
      <c r="CQ4" t="s">
        <v>121</v>
      </c>
      <c r="CZ4" t="s">
        <v>129</v>
      </c>
      <c r="DB4" t="s">
        <v>108</v>
      </c>
    </row>
    <row r="5" spans="1:107" x14ac:dyDescent="0.25">
      <c r="A5" t="s">
        <v>140</v>
      </c>
      <c r="B5" t="s">
        <v>105</v>
      </c>
      <c r="C5" t="s">
        <v>106</v>
      </c>
      <c r="E5" t="s">
        <v>107</v>
      </c>
      <c r="G5" t="s">
        <v>106</v>
      </c>
      <c r="I5" t="s">
        <v>108</v>
      </c>
      <c r="P5" t="s">
        <v>109</v>
      </c>
      <c r="Q5" t="s">
        <v>110</v>
      </c>
      <c r="W5" t="s">
        <v>111</v>
      </c>
      <c r="AA5" t="s">
        <v>112</v>
      </c>
      <c r="AH5" t="s">
        <v>141</v>
      </c>
      <c r="AJ5" t="s">
        <v>114</v>
      </c>
      <c r="AK5" t="s">
        <v>115</v>
      </c>
      <c r="AL5" t="s">
        <v>116</v>
      </c>
      <c r="AM5" t="s">
        <v>142</v>
      </c>
      <c r="AO5" t="s">
        <v>118</v>
      </c>
      <c r="AR5" t="s">
        <v>143</v>
      </c>
      <c r="AS5" t="s">
        <v>118</v>
      </c>
      <c r="AV5" t="s">
        <v>120</v>
      </c>
      <c r="AZ5" t="s">
        <v>121</v>
      </c>
      <c r="BE5" t="s">
        <v>122</v>
      </c>
      <c r="BF5" t="s">
        <v>122</v>
      </c>
      <c r="BI5" t="s">
        <v>122</v>
      </c>
      <c r="BJ5" t="s">
        <v>123</v>
      </c>
      <c r="BK5">
        <v>0.03</v>
      </c>
      <c r="BL5">
        <v>0</v>
      </c>
      <c r="BN5">
        <v>0</v>
      </c>
      <c r="BO5">
        <v>0.03</v>
      </c>
      <c r="BP5">
        <v>1.33</v>
      </c>
      <c r="BQ5">
        <v>15.8</v>
      </c>
      <c r="BR5">
        <v>0</v>
      </c>
      <c r="BS5">
        <v>0</v>
      </c>
      <c r="BT5">
        <v>0</v>
      </c>
      <c r="BU5">
        <v>0</v>
      </c>
      <c r="BV5">
        <v>0</v>
      </c>
      <c r="BW5">
        <v>17707</v>
      </c>
      <c r="BY5">
        <v>0</v>
      </c>
      <c r="CA5">
        <v>0</v>
      </c>
      <c r="CB5">
        <v>1.5</v>
      </c>
      <c r="CC5">
        <v>1</v>
      </c>
      <c r="CD5">
        <v>0</v>
      </c>
      <c r="CE5" t="s">
        <v>124</v>
      </c>
      <c r="CF5" t="s">
        <v>121</v>
      </c>
      <c r="CG5" t="s">
        <v>125</v>
      </c>
      <c r="CH5" t="s">
        <v>126</v>
      </c>
      <c r="CI5" t="s">
        <v>127</v>
      </c>
      <c r="CJ5" t="s">
        <v>65</v>
      </c>
      <c r="CO5" t="s">
        <v>106</v>
      </c>
      <c r="CP5" t="s">
        <v>144</v>
      </c>
      <c r="CQ5" t="s">
        <v>121</v>
      </c>
      <c r="CT5">
        <v>0</v>
      </c>
      <c r="CZ5" t="s">
        <v>129</v>
      </c>
      <c r="DB5" t="s">
        <v>108</v>
      </c>
    </row>
    <row r="6" spans="1:107" x14ac:dyDescent="0.25">
      <c r="A6" t="s">
        <v>145</v>
      </c>
      <c r="B6" t="s">
        <v>105</v>
      </c>
      <c r="C6" t="s">
        <v>131</v>
      </c>
      <c r="E6" t="s">
        <v>107</v>
      </c>
      <c r="G6" t="s">
        <v>131</v>
      </c>
      <c r="I6" t="s">
        <v>108</v>
      </c>
      <c r="P6" t="s">
        <v>109</v>
      </c>
      <c r="Q6" t="s">
        <v>132</v>
      </c>
      <c r="W6" t="s">
        <v>111</v>
      </c>
      <c r="AA6" t="s">
        <v>112</v>
      </c>
      <c r="AH6" t="s">
        <v>133</v>
      </c>
      <c r="AO6" t="s">
        <v>134</v>
      </c>
      <c r="AR6" t="s">
        <v>135</v>
      </c>
      <c r="AS6" t="s">
        <v>134</v>
      </c>
      <c r="AV6" t="s">
        <v>120</v>
      </c>
      <c r="AZ6" t="s">
        <v>121</v>
      </c>
      <c r="BE6" t="s">
        <v>122</v>
      </c>
      <c r="BF6" t="s">
        <v>122</v>
      </c>
      <c r="BI6" t="s">
        <v>122</v>
      </c>
      <c r="BJ6" t="s">
        <v>123</v>
      </c>
      <c r="BK6">
        <v>0</v>
      </c>
      <c r="BL6">
        <v>0</v>
      </c>
      <c r="BN6">
        <v>971.88</v>
      </c>
      <c r="BO6">
        <v>0</v>
      </c>
      <c r="BP6">
        <v>0</v>
      </c>
      <c r="BQ6">
        <v>2360.2800000000002</v>
      </c>
      <c r="BR6">
        <v>0</v>
      </c>
      <c r="BT6">
        <v>0</v>
      </c>
      <c r="BU6">
        <v>0</v>
      </c>
      <c r="BV6">
        <v>0</v>
      </c>
      <c r="BW6">
        <v>17707</v>
      </c>
      <c r="BX6">
        <v>0</v>
      </c>
      <c r="CB6">
        <v>113.09</v>
      </c>
      <c r="CC6">
        <v>99.19</v>
      </c>
      <c r="CD6">
        <v>0</v>
      </c>
      <c r="CE6" t="s">
        <v>124</v>
      </c>
      <c r="CF6" t="s">
        <v>121</v>
      </c>
      <c r="CG6" t="s">
        <v>125</v>
      </c>
      <c r="CH6" t="s">
        <v>126</v>
      </c>
      <c r="CI6" t="s">
        <v>127</v>
      </c>
      <c r="CJ6" t="s">
        <v>136</v>
      </c>
      <c r="CO6" t="s">
        <v>131</v>
      </c>
      <c r="CP6" t="s">
        <v>146</v>
      </c>
      <c r="CQ6" t="s">
        <v>121</v>
      </c>
      <c r="CZ6" t="s">
        <v>129</v>
      </c>
      <c r="DB6" t="s">
        <v>108</v>
      </c>
    </row>
    <row r="7" spans="1:107" x14ac:dyDescent="0.25">
      <c r="A7" t="s">
        <v>147</v>
      </c>
      <c r="B7" t="s">
        <v>105</v>
      </c>
      <c r="C7" t="s">
        <v>131</v>
      </c>
      <c r="E7" t="s">
        <v>107</v>
      </c>
      <c r="G7" t="s">
        <v>131</v>
      </c>
      <c r="I7" t="s">
        <v>108</v>
      </c>
      <c r="P7" t="s">
        <v>109</v>
      </c>
      <c r="Q7" t="s">
        <v>132</v>
      </c>
      <c r="W7" t="s">
        <v>111</v>
      </c>
      <c r="AA7" t="s">
        <v>112</v>
      </c>
      <c r="AH7" t="s">
        <v>133</v>
      </c>
      <c r="AO7" t="s">
        <v>134</v>
      </c>
      <c r="AR7" t="s">
        <v>148</v>
      </c>
      <c r="AS7" t="s">
        <v>134</v>
      </c>
      <c r="AV7" t="s">
        <v>120</v>
      </c>
      <c r="AZ7" t="s">
        <v>121</v>
      </c>
      <c r="BE7" t="s">
        <v>122</v>
      </c>
      <c r="BF7" t="s">
        <v>122</v>
      </c>
      <c r="BI7" t="s">
        <v>122</v>
      </c>
      <c r="BJ7" t="s">
        <v>123</v>
      </c>
      <c r="BK7">
        <v>0</v>
      </c>
      <c r="BL7">
        <v>0</v>
      </c>
      <c r="BN7">
        <v>4095.36</v>
      </c>
      <c r="BO7">
        <v>0</v>
      </c>
      <c r="BP7">
        <v>0</v>
      </c>
      <c r="BQ7">
        <v>10314.24</v>
      </c>
      <c r="BR7">
        <v>0</v>
      </c>
      <c r="BT7">
        <v>0</v>
      </c>
      <c r="BU7">
        <v>0</v>
      </c>
      <c r="BV7">
        <v>0</v>
      </c>
      <c r="BW7">
        <v>17707</v>
      </c>
      <c r="BX7">
        <v>0</v>
      </c>
      <c r="CB7">
        <v>439.46499999999997</v>
      </c>
      <c r="CC7">
        <v>403.315</v>
      </c>
      <c r="CD7">
        <v>0</v>
      </c>
      <c r="CE7" t="s">
        <v>124</v>
      </c>
      <c r="CF7" t="s">
        <v>121</v>
      </c>
      <c r="CG7" t="s">
        <v>125</v>
      </c>
      <c r="CH7" t="s">
        <v>126</v>
      </c>
      <c r="CI7" t="s">
        <v>127</v>
      </c>
      <c r="CJ7" t="s">
        <v>136</v>
      </c>
      <c r="CO7" t="s">
        <v>131</v>
      </c>
      <c r="CP7" t="s">
        <v>149</v>
      </c>
      <c r="CQ7" t="s">
        <v>121</v>
      </c>
      <c r="CZ7" t="s">
        <v>129</v>
      </c>
      <c r="DB7" t="s">
        <v>108</v>
      </c>
    </row>
    <row r="8" spans="1:107" x14ac:dyDescent="0.25">
      <c r="A8" t="s">
        <v>150</v>
      </c>
      <c r="B8" t="s">
        <v>105</v>
      </c>
      <c r="C8" t="s">
        <v>131</v>
      </c>
      <c r="E8" t="s">
        <v>107</v>
      </c>
      <c r="G8" t="s">
        <v>131</v>
      </c>
      <c r="I8" t="s">
        <v>108</v>
      </c>
      <c r="P8" t="s">
        <v>109</v>
      </c>
      <c r="Q8" t="s">
        <v>132</v>
      </c>
      <c r="W8" t="s">
        <v>111</v>
      </c>
      <c r="AA8" t="s">
        <v>112</v>
      </c>
      <c r="AH8" t="s">
        <v>133</v>
      </c>
      <c r="AO8" t="s">
        <v>134</v>
      </c>
      <c r="AR8" t="s">
        <v>148</v>
      </c>
      <c r="AS8" t="s">
        <v>134</v>
      </c>
      <c r="AV8" t="s">
        <v>120</v>
      </c>
      <c r="AZ8" t="s">
        <v>121</v>
      </c>
      <c r="BE8" t="s">
        <v>122</v>
      </c>
      <c r="BF8" t="s">
        <v>122</v>
      </c>
      <c r="BI8" t="s">
        <v>122</v>
      </c>
      <c r="BJ8" t="s">
        <v>123</v>
      </c>
      <c r="BK8">
        <v>0</v>
      </c>
      <c r="BL8">
        <v>0</v>
      </c>
      <c r="BN8">
        <v>5276.04</v>
      </c>
      <c r="BO8">
        <v>0</v>
      </c>
      <c r="BP8">
        <v>0</v>
      </c>
      <c r="BQ8">
        <v>12840.55</v>
      </c>
      <c r="BR8">
        <v>0</v>
      </c>
      <c r="BT8">
        <v>0</v>
      </c>
      <c r="BU8">
        <v>0</v>
      </c>
      <c r="BV8">
        <v>0</v>
      </c>
      <c r="BW8">
        <v>17707</v>
      </c>
      <c r="BX8">
        <v>0</v>
      </c>
      <c r="CB8">
        <v>584.17499999999995</v>
      </c>
      <c r="CC8">
        <v>524.875</v>
      </c>
      <c r="CD8">
        <v>0</v>
      </c>
      <c r="CE8" t="s">
        <v>124</v>
      </c>
      <c r="CF8" t="s">
        <v>121</v>
      </c>
      <c r="CG8" t="s">
        <v>125</v>
      </c>
      <c r="CH8" t="s">
        <v>126</v>
      </c>
      <c r="CI8" t="s">
        <v>127</v>
      </c>
      <c r="CJ8" t="s">
        <v>136</v>
      </c>
      <c r="CO8" t="s">
        <v>131</v>
      </c>
      <c r="CP8" t="s">
        <v>151</v>
      </c>
      <c r="CQ8" t="s">
        <v>121</v>
      </c>
      <c r="CZ8" t="s">
        <v>129</v>
      </c>
      <c r="DB8" t="s">
        <v>108</v>
      </c>
    </row>
    <row r="9" spans="1:107" x14ac:dyDescent="0.25">
      <c r="A9" t="s">
        <v>152</v>
      </c>
      <c r="B9" t="s">
        <v>105</v>
      </c>
      <c r="C9" t="s">
        <v>106</v>
      </c>
      <c r="E9" t="s">
        <v>107</v>
      </c>
      <c r="G9" t="s">
        <v>106</v>
      </c>
      <c r="I9" t="s">
        <v>108</v>
      </c>
      <c r="P9" t="s">
        <v>109</v>
      </c>
      <c r="Q9" t="s">
        <v>110</v>
      </c>
      <c r="W9" t="s">
        <v>111</v>
      </c>
      <c r="AA9" t="s">
        <v>112</v>
      </c>
      <c r="AH9" t="s">
        <v>153</v>
      </c>
      <c r="AJ9" t="s">
        <v>114</v>
      </c>
      <c r="AK9" t="s">
        <v>115</v>
      </c>
      <c r="AL9" t="s">
        <v>116</v>
      </c>
      <c r="AM9" t="s">
        <v>154</v>
      </c>
      <c r="AO9" t="s">
        <v>118</v>
      </c>
      <c r="AR9" t="s">
        <v>155</v>
      </c>
      <c r="AS9" t="s">
        <v>118</v>
      </c>
      <c r="AV9" t="s">
        <v>120</v>
      </c>
      <c r="AZ9" t="s">
        <v>121</v>
      </c>
      <c r="BE9" t="s">
        <v>122</v>
      </c>
      <c r="BF9" t="s">
        <v>122</v>
      </c>
      <c r="BI9" t="s">
        <v>122</v>
      </c>
      <c r="BJ9" t="s">
        <v>123</v>
      </c>
      <c r="BK9">
        <v>0.01</v>
      </c>
      <c r="BL9">
        <v>0</v>
      </c>
      <c r="BN9">
        <v>0</v>
      </c>
      <c r="BO9">
        <v>0.01</v>
      </c>
      <c r="BP9">
        <v>0.34</v>
      </c>
      <c r="BQ9">
        <v>4</v>
      </c>
      <c r="BR9">
        <v>0</v>
      </c>
      <c r="BS9">
        <v>0</v>
      </c>
      <c r="BT9">
        <v>0</v>
      </c>
      <c r="BU9">
        <v>0</v>
      </c>
      <c r="BV9">
        <v>0</v>
      </c>
      <c r="BW9">
        <v>17707</v>
      </c>
      <c r="BY9">
        <v>0</v>
      </c>
      <c r="CA9">
        <v>0</v>
      </c>
      <c r="CB9">
        <v>1.17</v>
      </c>
      <c r="CC9">
        <v>1.05</v>
      </c>
      <c r="CD9">
        <v>0</v>
      </c>
      <c r="CE9" t="s">
        <v>124</v>
      </c>
      <c r="CF9" t="s">
        <v>121</v>
      </c>
      <c r="CG9" t="s">
        <v>125</v>
      </c>
      <c r="CH9" t="s">
        <v>126</v>
      </c>
      <c r="CI9" t="s">
        <v>127</v>
      </c>
      <c r="CJ9" t="s">
        <v>65</v>
      </c>
      <c r="CO9" t="s">
        <v>106</v>
      </c>
      <c r="CP9" t="s">
        <v>156</v>
      </c>
      <c r="CQ9" t="s">
        <v>121</v>
      </c>
      <c r="CT9">
        <v>0</v>
      </c>
      <c r="CZ9" t="s">
        <v>129</v>
      </c>
      <c r="DB9" t="s">
        <v>108</v>
      </c>
    </row>
    <row r="10" spans="1:107" x14ac:dyDescent="0.25">
      <c r="A10" t="s">
        <v>157</v>
      </c>
      <c r="B10" t="s">
        <v>105</v>
      </c>
      <c r="C10" t="s">
        <v>131</v>
      </c>
      <c r="E10" t="s">
        <v>107</v>
      </c>
      <c r="G10" t="s">
        <v>131</v>
      </c>
      <c r="I10" t="s">
        <v>108</v>
      </c>
      <c r="P10" t="s">
        <v>109</v>
      </c>
      <c r="Q10" t="s">
        <v>132</v>
      </c>
      <c r="W10" t="s">
        <v>111</v>
      </c>
      <c r="AA10" t="s">
        <v>112</v>
      </c>
      <c r="AH10" t="s">
        <v>133</v>
      </c>
      <c r="AO10" t="s">
        <v>134</v>
      </c>
      <c r="AR10" t="s">
        <v>148</v>
      </c>
      <c r="AS10" t="s">
        <v>134</v>
      </c>
      <c r="AV10" t="s">
        <v>120</v>
      </c>
      <c r="AZ10" t="s">
        <v>121</v>
      </c>
      <c r="BE10" t="s">
        <v>122</v>
      </c>
      <c r="BF10" t="s">
        <v>122</v>
      </c>
      <c r="BI10" t="s">
        <v>122</v>
      </c>
      <c r="BJ10" t="s">
        <v>123</v>
      </c>
      <c r="BK10">
        <v>0</v>
      </c>
      <c r="BL10">
        <v>0</v>
      </c>
      <c r="BN10">
        <v>3278.07</v>
      </c>
      <c r="BO10">
        <v>0</v>
      </c>
      <c r="BP10">
        <v>0</v>
      </c>
      <c r="BQ10">
        <v>7810.71</v>
      </c>
      <c r="BR10">
        <v>0</v>
      </c>
      <c r="BT10">
        <v>0</v>
      </c>
      <c r="BU10">
        <v>0</v>
      </c>
      <c r="BV10">
        <v>0</v>
      </c>
      <c r="BW10">
        <v>17707</v>
      </c>
      <c r="BX10">
        <v>0</v>
      </c>
      <c r="CB10">
        <v>307.10000000000002</v>
      </c>
      <c r="CC10">
        <v>275.3</v>
      </c>
      <c r="CD10">
        <v>0</v>
      </c>
      <c r="CE10" t="s">
        <v>124</v>
      </c>
      <c r="CF10" t="s">
        <v>121</v>
      </c>
      <c r="CG10" t="s">
        <v>125</v>
      </c>
      <c r="CH10" t="s">
        <v>126</v>
      </c>
      <c r="CI10" t="s">
        <v>127</v>
      </c>
      <c r="CJ10" t="s">
        <v>136</v>
      </c>
      <c r="CO10" t="s">
        <v>131</v>
      </c>
      <c r="CP10" t="s">
        <v>158</v>
      </c>
      <c r="CQ10" t="s">
        <v>121</v>
      </c>
      <c r="CZ10" t="s">
        <v>129</v>
      </c>
      <c r="DB10" t="s">
        <v>108</v>
      </c>
    </row>
    <row r="11" spans="1:107" x14ac:dyDescent="0.25">
      <c r="A11" t="s">
        <v>159</v>
      </c>
      <c r="B11" t="s">
        <v>105</v>
      </c>
      <c r="C11" t="s">
        <v>131</v>
      </c>
      <c r="E11" t="s">
        <v>107</v>
      </c>
      <c r="G11" t="s">
        <v>131</v>
      </c>
      <c r="I11" t="s">
        <v>108</v>
      </c>
      <c r="P11" t="s">
        <v>109</v>
      </c>
      <c r="Q11" t="s">
        <v>132</v>
      </c>
      <c r="W11" t="s">
        <v>111</v>
      </c>
      <c r="AA11" t="s">
        <v>112</v>
      </c>
      <c r="AH11" t="s">
        <v>133</v>
      </c>
      <c r="AO11" t="s">
        <v>134</v>
      </c>
      <c r="AR11" t="s">
        <v>135</v>
      </c>
      <c r="AS11" t="s">
        <v>134</v>
      </c>
      <c r="AV11" t="s">
        <v>120</v>
      </c>
      <c r="AZ11" t="s">
        <v>121</v>
      </c>
      <c r="BE11" t="s">
        <v>122</v>
      </c>
      <c r="BF11" t="s">
        <v>122</v>
      </c>
      <c r="BI11" t="s">
        <v>122</v>
      </c>
      <c r="BJ11" t="s">
        <v>123</v>
      </c>
      <c r="BK11">
        <v>0</v>
      </c>
      <c r="BL11">
        <v>0</v>
      </c>
      <c r="BN11">
        <v>243</v>
      </c>
      <c r="BO11">
        <v>0</v>
      </c>
      <c r="BP11">
        <v>0</v>
      </c>
      <c r="BQ11">
        <v>597</v>
      </c>
      <c r="BU11">
        <v>0</v>
      </c>
      <c r="BV11">
        <v>0</v>
      </c>
      <c r="BW11">
        <v>17707</v>
      </c>
      <c r="BX11">
        <v>0</v>
      </c>
      <c r="CB11">
        <v>28.68</v>
      </c>
      <c r="CC11">
        <v>24.28</v>
      </c>
      <c r="CD11">
        <v>0</v>
      </c>
      <c r="CE11" t="s">
        <v>124</v>
      </c>
      <c r="CF11" t="s">
        <v>121</v>
      </c>
      <c r="CG11" t="s">
        <v>125</v>
      </c>
      <c r="CH11" t="s">
        <v>126</v>
      </c>
      <c r="CI11" t="s">
        <v>127</v>
      </c>
      <c r="CJ11" t="s">
        <v>136</v>
      </c>
      <c r="CO11" t="s">
        <v>131</v>
      </c>
      <c r="CP11" t="s">
        <v>160</v>
      </c>
      <c r="CQ11" t="s">
        <v>121</v>
      </c>
      <c r="CZ11" t="s">
        <v>129</v>
      </c>
      <c r="DB11" t="s">
        <v>108</v>
      </c>
    </row>
    <row r="12" spans="1:107" x14ac:dyDescent="0.25">
      <c r="A12" t="s">
        <v>161</v>
      </c>
      <c r="B12" t="s">
        <v>105</v>
      </c>
      <c r="C12" t="s">
        <v>131</v>
      </c>
      <c r="E12" t="s">
        <v>107</v>
      </c>
      <c r="G12" t="s">
        <v>131</v>
      </c>
      <c r="I12" t="s">
        <v>108</v>
      </c>
      <c r="P12" t="s">
        <v>109</v>
      </c>
      <c r="Q12" t="s">
        <v>132</v>
      </c>
      <c r="W12" t="s">
        <v>111</v>
      </c>
      <c r="AA12" t="s">
        <v>112</v>
      </c>
      <c r="AH12" t="s">
        <v>133</v>
      </c>
      <c r="AO12" t="s">
        <v>134</v>
      </c>
      <c r="AR12" t="s">
        <v>135</v>
      </c>
      <c r="AS12" t="s">
        <v>134</v>
      </c>
      <c r="AV12" t="s">
        <v>120</v>
      </c>
      <c r="AZ12" t="s">
        <v>121</v>
      </c>
      <c r="BE12" t="s">
        <v>122</v>
      </c>
      <c r="BF12" t="s">
        <v>122</v>
      </c>
      <c r="BI12" t="s">
        <v>122</v>
      </c>
      <c r="BJ12" t="s">
        <v>123</v>
      </c>
      <c r="BK12">
        <v>0</v>
      </c>
      <c r="BL12">
        <v>0</v>
      </c>
      <c r="BN12">
        <v>832.96</v>
      </c>
      <c r="BO12">
        <v>0</v>
      </c>
      <c r="BP12">
        <v>0</v>
      </c>
      <c r="BQ12">
        <v>2685.2</v>
      </c>
      <c r="BR12">
        <v>0</v>
      </c>
      <c r="BT12">
        <v>0</v>
      </c>
      <c r="BU12">
        <v>0</v>
      </c>
      <c r="BV12">
        <v>0</v>
      </c>
      <c r="BW12">
        <v>17707</v>
      </c>
      <c r="BX12">
        <v>0</v>
      </c>
      <c r="CB12">
        <v>140.02000000000001</v>
      </c>
      <c r="CC12">
        <v>127.22</v>
      </c>
      <c r="CD12">
        <v>0</v>
      </c>
      <c r="CE12" t="s">
        <v>124</v>
      </c>
      <c r="CF12" t="s">
        <v>121</v>
      </c>
      <c r="CG12" t="s">
        <v>125</v>
      </c>
      <c r="CH12" t="s">
        <v>126</v>
      </c>
      <c r="CI12" t="s">
        <v>127</v>
      </c>
      <c r="CJ12" t="s">
        <v>136</v>
      </c>
      <c r="CO12" t="s">
        <v>131</v>
      </c>
      <c r="CP12" t="s">
        <v>162</v>
      </c>
      <c r="CQ12" t="s">
        <v>121</v>
      </c>
      <c r="CZ12" t="s">
        <v>129</v>
      </c>
      <c r="DB12" t="s">
        <v>108</v>
      </c>
    </row>
    <row r="13" spans="1:107" x14ac:dyDescent="0.25">
      <c r="A13" t="s">
        <v>163</v>
      </c>
      <c r="B13" t="s">
        <v>105</v>
      </c>
      <c r="C13" t="s">
        <v>106</v>
      </c>
      <c r="E13" t="s">
        <v>107</v>
      </c>
      <c r="G13" t="s">
        <v>106</v>
      </c>
      <c r="I13" t="s">
        <v>108</v>
      </c>
      <c r="P13" t="s">
        <v>109</v>
      </c>
      <c r="Q13" t="s">
        <v>110</v>
      </c>
      <c r="W13" t="s">
        <v>111</v>
      </c>
      <c r="AA13" t="s">
        <v>112</v>
      </c>
      <c r="AH13" t="s">
        <v>141</v>
      </c>
      <c r="AJ13" t="s">
        <v>114</v>
      </c>
      <c r="AK13" t="s">
        <v>115</v>
      </c>
      <c r="AL13" t="s">
        <v>116</v>
      </c>
      <c r="AM13" t="s">
        <v>164</v>
      </c>
      <c r="AO13" t="s">
        <v>118</v>
      </c>
      <c r="AR13" t="s">
        <v>143</v>
      </c>
      <c r="AS13" t="s">
        <v>118</v>
      </c>
      <c r="AV13" t="s">
        <v>120</v>
      </c>
      <c r="AZ13" t="s">
        <v>121</v>
      </c>
      <c r="BE13" t="s">
        <v>122</v>
      </c>
      <c r="BF13" t="s">
        <v>122</v>
      </c>
      <c r="BI13" t="s">
        <v>122</v>
      </c>
      <c r="BJ13" t="s">
        <v>123</v>
      </c>
      <c r="BK13">
        <v>0</v>
      </c>
      <c r="BL13">
        <v>0</v>
      </c>
      <c r="BN13">
        <v>0</v>
      </c>
      <c r="BO13">
        <v>0</v>
      </c>
      <c r="BP13">
        <v>0.04</v>
      </c>
      <c r="BQ13">
        <v>0.5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17707</v>
      </c>
      <c r="BY13">
        <v>0</v>
      </c>
      <c r="CA13">
        <v>0</v>
      </c>
      <c r="CB13">
        <v>0.5</v>
      </c>
      <c r="CC13">
        <v>0.45</v>
      </c>
      <c r="CD13">
        <v>0</v>
      </c>
      <c r="CE13" t="s">
        <v>124</v>
      </c>
      <c r="CF13" t="s">
        <v>121</v>
      </c>
      <c r="CG13" t="s">
        <v>125</v>
      </c>
      <c r="CH13" t="s">
        <v>126</v>
      </c>
      <c r="CI13" t="s">
        <v>127</v>
      </c>
      <c r="CJ13" t="s">
        <v>65</v>
      </c>
      <c r="CO13" t="s">
        <v>106</v>
      </c>
      <c r="CP13" t="s">
        <v>165</v>
      </c>
      <c r="CQ13" t="s">
        <v>121</v>
      </c>
      <c r="CT13">
        <v>0</v>
      </c>
      <c r="CZ13" t="s">
        <v>129</v>
      </c>
      <c r="DB13" t="s">
        <v>108</v>
      </c>
    </row>
    <row r="14" spans="1:107" x14ac:dyDescent="0.25">
      <c r="A14" t="s">
        <v>166</v>
      </c>
      <c r="B14" t="s">
        <v>105</v>
      </c>
      <c r="C14" t="s">
        <v>131</v>
      </c>
      <c r="E14" t="s">
        <v>107</v>
      </c>
      <c r="G14" t="s">
        <v>131</v>
      </c>
      <c r="I14" t="s">
        <v>108</v>
      </c>
      <c r="P14" t="s">
        <v>109</v>
      </c>
      <c r="Q14" t="s">
        <v>132</v>
      </c>
      <c r="W14" t="s">
        <v>111</v>
      </c>
      <c r="AA14" t="s">
        <v>112</v>
      </c>
      <c r="AH14" t="s">
        <v>133</v>
      </c>
      <c r="AO14" t="s">
        <v>134</v>
      </c>
      <c r="AR14" t="s">
        <v>135</v>
      </c>
      <c r="AS14" t="s">
        <v>134</v>
      </c>
      <c r="AV14" t="s">
        <v>120</v>
      </c>
      <c r="AZ14" t="s">
        <v>121</v>
      </c>
      <c r="BE14" t="s">
        <v>122</v>
      </c>
      <c r="BF14" t="s">
        <v>122</v>
      </c>
      <c r="BI14" t="s">
        <v>122</v>
      </c>
      <c r="BJ14" t="s">
        <v>167</v>
      </c>
      <c r="BK14">
        <v>0</v>
      </c>
      <c r="BL14">
        <v>0</v>
      </c>
      <c r="BN14">
        <v>677.97</v>
      </c>
      <c r="BO14">
        <v>0</v>
      </c>
      <c r="BP14">
        <v>0</v>
      </c>
      <c r="BQ14">
        <v>1573.56</v>
      </c>
      <c r="BR14">
        <v>0</v>
      </c>
      <c r="BT14">
        <v>0</v>
      </c>
      <c r="BU14">
        <v>0</v>
      </c>
      <c r="BV14">
        <v>0</v>
      </c>
      <c r="BW14">
        <v>17707</v>
      </c>
      <c r="BX14">
        <v>0</v>
      </c>
      <c r="CB14">
        <v>67.400000000000006</v>
      </c>
      <c r="CC14">
        <v>60.6</v>
      </c>
      <c r="CD14">
        <v>0</v>
      </c>
      <c r="CE14" t="s">
        <v>124</v>
      </c>
      <c r="CF14" t="s">
        <v>121</v>
      </c>
      <c r="CG14" t="s">
        <v>125</v>
      </c>
      <c r="CH14" t="s">
        <v>126</v>
      </c>
      <c r="CI14" t="s">
        <v>127</v>
      </c>
      <c r="CJ14" t="s">
        <v>136</v>
      </c>
      <c r="CO14" t="s">
        <v>131</v>
      </c>
      <c r="CP14" t="s">
        <v>168</v>
      </c>
      <c r="CQ14" t="s">
        <v>121</v>
      </c>
      <c r="CZ14" t="s">
        <v>129</v>
      </c>
      <c r="DB14" t="s">
        <v>108</v>
      </c>
    </row>
    <row r="15" spans="1:107" x14ac:dyDescent="0.25">
      <c r="A15" t="s">
        <v>169</v>
      </c>
      <c r="B15" t="s">
        <v>105</v>
      </c>
      <c r="C15" t="s">
        <v>131</v>
      </c>
      <c r="E15" t="s">
        <v>107</v>
      </c>
      <c r="G15" t="s">
        <v>131</v>
      </c>
      <c r="I15" t="s">
        <v>108</v>
      </c>
      <c r="P15" t="s">
        <v>109</v>
      </c>
      <c r="Q15" t="s">
        <v>132</v>
      </c>
      <c r="W15" t="s">
        <v>111</v>
      </c>
      <c r="AA15" t="s">
        <v>112</v>
      </c>
      <c r="AH15" t="s">
        <v>133</v>
      </c>
      <c r="AO15" t="s">
        <v>134</v>
      </c>
      <c r="AR15" t="s">
        <v>135</v>
      </c>
      <c r="AS15" t="s">
        <v>134</v>
      </c>
      <c r="AV15" t="s">
        <v>120</v>
      </c>
      <c r="AZ15" t="s">
        <v>121</v>
      </c>
      <c r="BE15" t="s">
        <v>122</v>
      </c>
      <c r="BF15" t="s">
        <v>122</v>
      </c>
      <c r="BI15" t="s">
        <v>122</v>
      </c>
      <c r="BJ15" t="s">
        <v>123</v>
      </c>
      <c r="BK15">
        <v>0</v>
      </c>
      <c r="BL15">
        <v>0</v>
      </c>
      <c r="BN15">
        <v>1416.45</v>
      </c>
      <c r="BO15">
        <v>0</v>
      </c>
      <c r="BP15">
        <v>0</v>
      </c>
      <c r="BQ15">
        <v>3669.28</v>
      </c>
      <c r="BU15">
        <v>0</v>
      </c>
      <c r="BV15">
        <v>0</v>
      </c>
      <c r="BW15">
        <v>17707</v>
      </c>
      <c r="BX15">
        <v>0</v>
      </c>
      <c r="CB15">
        <v>230.18</v>
      </c>
      <c r="CC15">
        <v>207.88</v>
      </c>
      <c r="CD15">
        <v>0</v>
      </c>
      <c r="CE15" t="s">
        <v>124</v>
      </c>
      <c r="CF15" t="s">
        <v>121</v>
      </c>
      <c r="CG15" t="s">
        <v>125</v>
      </c>
      <c r="CH15" t="s">
        <v>126</v>
      </c>
      <c r="CI15" t="s">
        <v>127</v>
      </c>
      <c r="CJ15" t="s">
        <v>136</v>
      </c>
      <c r="CO15" t="s">
        <v>131</v>
      </c>
      <c r="CP15" t="s">
        <v>170</v>
      </c>
      <c r="CQ15" t="s">
        <v>121</v>
      </c>
      <c r="CZ15" t="s">
        <v>129</v>
      </c>
      <c r="DB15" t="s">
        <v>108</v>
      </c>
    </row>
    <row r="16" spans="1:107" x14ac:dyDescent="0.25">
      <c r="A16" t="s">
        <v>171</v>
      </c>
      <c r="B16" t="s">
        <v>105</v>
      </c>
      <c r="C16" t="s">
        <v>131</v>
      </c>
      <c r="E16" t="s">
        <v>107</v>
      </c>
      <c r="G16" t="s">
        <v>131</v>
      </c>
      <c r="I16" t="s">
        <v>108</v>
      </c>
      <c r="P16" t="s">
        <v>109</v>
      </c>
      <c r="Q16" t="s">
        <v>132</v>
      </c>
      <c r="W16" t="s">
        <v>111</v>
      </c>
      <c r="AA16" t="s">
        <v>112</v>
      </c>
      <c r="AH16" t="s">
        <v>133</v>
      </c>
      <c r="AO16" t="s">
        <v>134</v>
      </c>
      <c r="AR16" t="s">
        <v>135</v>
      </c>
      <c r="AS16" t="s">
        <v>134</v>
      </c>
      <c r="AV16" t="s">
        <v>120</v>
      </c>
      <c r="AZ16" t="s">
        <v>121</v>
      </c>
      <c r="BE16" t="s">
        <v>122</v>
      </c>
      <c r="BF16" t="s">
        <v>122</v>
      </c>
      <c r="BI16" t="s">
        <v>122</v>
      </c>
      <c r="BJ16" t="s">
        <v>123</v>
      </c>
      <c r="BK16">
        <v>0</v>
      </c>
      <c r="BL16">
        <v>0</v>
      </c>
      <c r="BN16">
        <v>2451.75</v>
      </c>
      <c r="BO16">
        <v>0</v>
      </c>
      <c r="BP16">
        <v>0</v>
      </c>
      <c r="BQ16">
        <v>6351.2</v>
      </c>
      <c r="BR16">
        <v>0</v>
      </c>
      <c r="BT16">
        <v>0</v>
      </c>
      <c r="BU16">
        <v>0</v>
      </c>
      <c r="BV16">
        <v>0</v>
      </c>
      <c r="BW16">
        <v>17707</v>
      </c>
      <c r="BX16">
        <v>0</v>
      </c>
      <c r="CB16">
        <v>404.97</v>
      </c>
      <c r="CC16">
        <v>360.07</v>
      </c>
      <c r="CD16">
        <v>0</v>
      </c>
      <c r="CE16" t="s">
        <v>124</v>
      </c>
      <c r="CF16" t="s">
        <v>121</v>
      </c>
      <c r="CG16" t="s">
        <v>125</v>
      </c>
      <c r="CH16" t="s">
        <v>126</v>
      </c>
      <c r="CI16" t="s">
        <v>127</v>
      </c>
      <c r="CJ16" t="s">
        <v>136</v>
      </c>
      <c r="CO16" t="s">
        <v>131</v>
      </c>
      <c r="CP16" t="s">
        <v>172</v>
      </c>
      <c r="CQ16" t="s">
        <v>121</v>
      </c>
      <c r="CZ16" t="s">
        <v>129</v>
      </c>
      <c r="DB16" t="s">
        <v>108</v>
      </c>
    </row>
  </sheetData>
  <pageMargins left="0.7" right="0.7" top="0.75" bottom="0.75" header="0.3" footer="0.3"/>
  <pageSetup firstPageNumber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P76"/>
  <sheetViews>
    <sheetView workbookViewId="0"/>
  </sheetViews>
  <sheetFormatPr defaultRowHeight="15" x14ac:dyDescent="0.25"/>
  <cols>
    <col min="1" max="1" width="27.42578125" bestFit="1" customWidth="1"/>
    <col min="3" max="3" width="13.42578125" bestFit="1" customWidth="1"/>
    <col min="4" max="4" width="21.42578125" bestFit="1" customWidth="1"/>
    <col min="5" max="5" width="23.42578125" bestFit="1" customWidth="1"/>
    <col min="6" max="6" width="36.42578125" bestFit="1" customWidth="1"/>
    <col min="7" max="7" width="152.42578125" bestFit="1" customWidth="1"/>
    <col min="8" max="8" width="14.42578125" bestFit="1" customWidth="1"/>
    <col min="9" max="9" width="15.42578125" bestFit="1" customWidth="1"/>
    <col min="10" max="10" width="12.42578125" bestFit="1" customWidth="1"/>
    <col min="11" max="11" width="19.42578125" bestFit="1" customWidth="1"/>
    <col min="12" max="12" width="21.42578125" bestFit="1" customWidth="1"/>
    <col min="13" max="13" width="12.42578125" bestFit="1" customWidth="1"/>
    <col min="14" max="14" width="14.42578125" bestFit="1" customWidth="1"/>
    <col min="15" max="15" width="27.42578125" bestFit="1" customWidth="1"/>
    <col min="16" max="16" width="14.42578125" bestFit="1" customWidth="1"/>
  </cols>
  <sheetData>
    <row r="1" spans="1:16" ht="15.75" x14ac:dyDescent="0.25">
      <c r="A1" s="1" t="s">
        <v>0</v>
      </c>
      <c r="B1" s="1" t="s">
        <v>177</v>
      </c>
      <c r="C1" s="1" t="s">
        <v>178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184</v>
      </c>
      <c r="J1" s="1" t="s">
        <v>185</v>
      </c>
      <c r="K1" s="1" t="s">
        <v>186</v>
      </c>
      <c r="L1" s="1" t="s">
        <v>187</v>
      </c>
      <c r="M1" s="1" t="s">
        <v>188</v>
      </c>
      <c r="N1" s="1" t="s">
        <v>189</v>
      </c>
      <c r="O1" s="1" t="s">
        <v>190</v>
      </c>
      <c r="P1" s="1" t="s">
        <v>191</v>
      </c>
    </row>
    <row r="2" spans="1:16" x14ac:dyDescent="0.25">
      <c r="A2" t="s">
        <v>104</v>
      </c>
      <c r="B2" t="s">
        <v>192</v>
      </c>
      <c r="C2" t="s">
        <v>192</v>
      </c>
      <c r="F2" t="s">
        <v>193</v>
      </c>
      <c r="G2" t="s">
        <v>194</v>
      </c>
      <c r="M2" t="s">
        <v>113</v>
      </c>
    </row>
    <row r="3" spans="1:16" x14ac:dyDescent="0.25">
      <c r="A3" t="s">
        <v>104</v>
      </c>
      <c r="B3" t="s">
        <v>122</v>
      </c>
      <c r="C3" t="s">
        <v>122</v>
      </c>
      <c r="D3" t="s">
        <v>112</v>
      </c>
      <c r="E3" t="s">
        <v>195</v>
      </c>
      <c r="F3" t="s">
        <v>196</v>
      </c>
      <c r="G3" t="s">
        <v>197</v>
      </c>
      <c r="H3" t="s">
        <v>198</v>
      </c>
      <c r="J3" t="s">
        <v>199</v>
      </c>
    </row>
    <row r="4" spans="1:16" x14ac:dyDescent="0.25">
      <c r="A4" t="s">
        <v>104</v>
      </c>
      <c r="B4" t="s">
        <v>200</v>
      </c>
      <c r="C4" t="s">
        <v>201</v>
      </c>
      <c r="D4" t="s">
        <v>112</v>
      </c>
      <c r="E4" t="s">
        <v>195</v>
      </c>
      <c r="F4" t="s">
        <v>196</v>
      </c>
      <c r="G4" t="s">
        <v>197</v>
      </c>
    </row>
    <row r="5" spans="1:16" x14ac:dyDescent="0.25">
      <c r="A5" t="s">
        <v>104</v>
      </c>
      <c r="B5" t="s">
        <v>202</v>
      </c>
      <c r="C5" t="s">
        <v>202</v>
      </c>
      <c r="D5" t="s">
        <v>112</v>
      </c>
      <c r="E5" t="s">
        <v>203</v>
      </c>
      <c r="F5" t="s">
        <v>204</v>
      </c>
      <c r="G5" t="s">
        <v>205</v>
      </c>
      <c r="I5" t="s">
        <v>206</v>
      </c>
      <c r="J5" t="s">
        <v>207</v>
      </c>
      <c r="O5" t="s">
        <v>108</v>
      </c>
    </row>
    <row r="6" spans="1:16" x14ac:dyDescent="0.25">
      <c r="A6" t="s">
        <v>104</v>
      </c>
      <c r="B6" t="s">
        <v>112</v>
      </c>
      <c r="C6" t="s">
        <v>112</v>
      </c>
      <c r="F6" t="s">
        <v>193</v>
      </c>
      <c r="G6" t="s">
        <v>194</v>
      </c>
      <c r="M6" t="s">
        <v>113</v>
      </c>
    </row>
    <row r="7" spans="1:16" x14ac:dyDescent="0.25">
      <c r="A7" t="s">
        <v>130</v>
      </c>
      <c r="B7" t="s">
        <v>208</v>
      </c>
      <c r="C7" t="s">
        <v>112</v>
      </c>
      <c r="F7" t="s">
        <v>209</v>
      </c>
      <c r="G7" t="s">
        <v>210</v>
      </c>
      <c r="M7" t="s">
        <v>133</v>
      </c>
    </row>
    <row r="8" spans="1:16" x14ac:dyDescent="0.25">
      <c r="A8" t="s">
        <v>130</v>
      </c>
      <c r="B8" t="s">
        <v>202</v>
      </c>
      <c r="C8" t="s">
        <v>202</v>
      </c>
      <c r="D8" t="s">
        <v>112</v>
      </c>
      <c r="E8" t="s">
        <v>211</v>
      </c>
      <c r="F8" t="s">
        <v>212</v>
      </c>
      <c r="G8" t="s">
        <v>213</v>
      </c>
      <c r="I8" t="s">
        <v>206</v>
      </c>
      <c r="J8" t="s">
        <v>207</v>
      </c>
      <c r="O8" t="s">
        <v>108</v>
      </c>
    </row>
    <row r="9" spans="1:16" x14ac:dyDescent="0.25">
      <c r="A9" t="s">
        <v>130</v>
      </c>
      <c r="B9" t="s">
        <v>108</v>
      </c>
      <c r="C9" t="s">
        <v>122</v>
      </c>
      <c r="D9" t="s">
        <v>112</v>
      </c>
      <c r="E9" t="s">
        <v>195</v>
      </c>
      <c r="F9" t="s">
        <v>196</v>
      </c>
      <c r="G9" t="s">
        <v>197</v>
      </c>
      <c r="J9" t="s">
        <v>199</v>
      </c>
    </row>
    <row r="10" spans="1:16" x14ac:dyDescent="0.25">
      <c r="A10" t="s">
        <v>130</v>
      </c>
      <c r="B10" t="s">
        <v>122</v>
      </c>
      <c r="C10" t="s">
        <v>201</v>
      </c>
      <c r="D10" t="s">
        <v>208</v>
      </c>
      <c r="E10" t="s">
        <v>214</v>
      </c>
      <c r="F10" t="s">
        <v>215</v>
      </c>
      <c r="G10" t="s">
        <v>216</v>
      </c>
    </row>
    <row r="11" spans="1:16" x14ac:dyDescent="0.25">
      <c r="A11" t="s">
        <v>130</v>
      </c>
      <c r="B11" t="s">
        <v>199</v>
      </c>
      <c r="C11" t="s">
        <v>192</v>
      </c>
      <c r="F11" t="s">
        <v>217</v>
      </c>
      <c r="G11" t="s">
        <v>218</v>
      </c>
      <c r="M11" t="s">
        <v>133</v>
      </c>
    </row>
    <row r="12" spans="1:16" x14ac:dyDescent="0.25">
      <c r="A12" t="s">
        <v>138</v>
      </c>
      <c r="B12" t="s">
        <v>208</v>
      </c>
      <c r="C12" t="s">
        <v>112</v>
      </c>
      <c r="F12" t="s">
        <v>209</v>
      </c>
      <c r="G12" t="s">
        <v>210</v>
      </c>
      <c r="M12" t="s">
        <v>133</v>
      </c>
    </row>
    <row r="13" spans="1:16" x14ac:dyDescent="0.25">
      <c r="A13" t="s">
        <v>138</v>
      </c>
      <c r="B13" t="s">
        <v>202</v>
      </c>
      <c r="C13" t="s">
        <v>202</v>
      </c>
      <c r="D13" t="s">
        <v>112</v>
      </c>
      <c r="E13" t="s">
        <v>211</v>
      </c>
      <c r="F13" t="s">
        <v>212</v>
      </c>
      <c r="G13" t="s">
        <v>213</v>
      </c>
      <c r="I13" t="s">
        <v>206</v>
      </c>
      <c r="J13" t="s">
        <v>207</v>
      </c>
      <c r="O13" t="s">
        <v>108</v>
      </c>
    </row>
    <row r="14" spans="1:16" x14ac:dyDescent="0.25">
      <c r="A14" t="s">
        <v>138</v>
      </c>
      <c r="B14" t="s">
        <v>108</v>
      </c>
      <c r="C14" t="s">
        <v>122</v>
      </c>
      <c r="D14" t="s">
        <v>112</v>
      </c>
      <c r="E14" t="s">
        <v>195</v>
      </c>
      <c r="F14" t="s">
        <v>196</v>
      </c>
      <c r="G14" t="s">
        <v>197</v>
      </c>
      <c r="J14" t="s">
        <v>199</v>
      </c>
    </row>
    <row r="15" spans="1:16" x14ac:dyDescent="0.25">
      <c r="A15" t="s">
        <v>138</v>
      </c>
      <c r="B15" t="s">
        <v>122</v>
      </c>
      <c r="C15" t="s">
        <v>201</v>
      </c>
      <c r="D15" t="s">
        <v>208</v>
      </c>
      <c r="E15" t="s">
        <v>214</v>
      </c>
      <c r="F15" t="s">
        <v>215</v>
      </c>
      <c r="G15" t="s">
        <v>216</v>
      </c>
    </row>
    <row r="16" spans="1:16" x14ac:dyDescent="0.25">
      <c r="A16" t="s">
        <v>138</v>
      </c>
      <c r="B16" t="s">
        <v>199</v>
      </c>
      <c r="C16" t="s">
        <v>192</v>
      </c>
      <c r="F16" t="s">
        <v>217</v>
      </c>
      <c r="G16" t="s">
        <v>218</v>
      </c>
      <c r="M16" t="s">
        <v>133</v>
      </c>
    </row>
    <row r="17" spans="1:15" x14ac:dyDescent="0.25">
      <c r="A17" t="s">
        <v>140</v>
      </c>
      <c r="B17" t="s">
        <v>200</v>
      </c>
      <c r="C17" t="s">
        <v>201</v>
      </c>
      <c r="D17" t="s">
        <v>112</v>
      </c>
      <c r="E17" t="s">
        <v>195</v>
      </c>
      <c r="F17" t="s">
        <v>196</v>
      </c>
      <c r="G17" t="s">
        <v>197</v>
      </c>
    </row>
    <row r="18" spans="1:15" x14ac:dyDescent="0.25">
      <c r="A18" t="s">
        <v>140</v>
      </c>
      <c r="B18" t="s">
        <v>202</v>
      </c>
      <c r="C18" t="s">
        <v>202</v>
      </c>
      <c r="D18" t="s">
        <v>112</v>
      </c>
      <c r="E18" t="s">
        <v>203</v>
      </c>
      <c r="F18" t="s">
        <v>204</v>
      </c>
      <c r="G18" t="s">
        <v>205</v>
      </c>
      <c r="I18" t="s">
        <v>206</v>
      </c>
      <c r="J18" t="s">
        <v>207</v>
      </c>
      <c r="O18" t="s">
        <v>108</v>
      </c>
    </row>
    <row r="19" spans="1:15" x14ac:dyDescent="0.25">
      <c r="A19" t="s">
        <v>140</v>
      </c>
      <c r="B19" t="s">
        <v>112</v>
      </c>
      <c r="C19" t="s">
        <v>112</v>
      </c>
      <c r="F19" t="s">
        <v>219</v>
      </c>
      <c r="G19" t="s">
        <v>220</v>
      </c>
      <c r="M19" t="s">
        <v>141</v>
      </c>
    </row>
    <row r="20" spans="1:15" x14ac:dyDescent="0.25">
      <c r="A20" t="s">
        <v>140</v>
      </c>
      <c r="B20" t="s">
        <v>192</v>
      </c>
      <c r="C20" t="s">
        <v>192</v>
      </c>
      <c r="F20" t="s">
        <v>219</v>
      </c>
      <c r="G20" t="s">
        <v>220</v>
      </c>
      <c r="M20" t="s">
        <v>141</v>
      </c>
    </row>
    <row r="21" spans="1:15" x14ac:dyDescent="0.25">
      <c r="A21" t="s">
        <v>140</v>
      </c>
      <c r="B21" t="s">
        <v>122</v>
      </c>
      <c r="C21" t="s">
        <v>122</v>
      </c>
      <c r="D21" t="s">
        <v>112</v>
      </c>
      <c r="E21" t="s">
        <v>195</v>
      </c>
      <c r="F21" t="s">
        <v>196</v>
      </c>
      <c r="G21" t="s">
        <v>197</v>
      </c>
      <c r="H21" t="s">
        <v>198</v>
      </c>
      <c r="J21" t="s">
        <v>199</v>
      </c>
    </row>
    <row r="22" spans="1:15" x14ac:dyDescent="0.25">
      <c r="A22" t="s">
        <v>145</v>
      </c>
      <c r="B22" t="s">
        <v>202</v>
      </c>
      <c r="C22" t="s">
        <v>202</v>
      </c>
      <c r="D22" t="s">
        <v>112</v>
      </c>
      <c r="E22" t="s">
        <v>211</v>
      </c>
      <c r="F22" t="s">
        <v>212</v>
      </c>
      <c r="G22" t="s">
        <v>213</v>
      </c>
      <c r="I22" t="s">
        <v>206</v>
      </c>
      <c r="J22" t="s">
        <v>207</v>
      </c>
      <c r="O22" t="s">
        <v>108</v>
      </c>
    </row>
    <row r="23" spans="1:15" x14ac:dyDescent="0.25">
      <c r="A23" t="s">
        <v>145</v>
      </c>
      <c r="B23" t="s">
        <v>208</v>
      </c>
      <c r="C23" t="s">
        <v>112</v>
      </c>
      <c r="F23" t="s">
        <v>209</v>
      </c>
      <c r="G23" t="s">
        <v>210</v>
      </c>
      <c r="M23" t="s">
        <v>133</v>
      </c>
    </row>
    <row r="24" spans="1:15" x14ac:dyDescent="0.25">
      <c r="A24" t="s">
        <v>145</v>
      </c>
      <c r="B24" t="s">
        <v>108</v>
      </c>
      <c r="C24" t="s">
        <v>122</v>
      </c>
      <c r="D24" t="s">
        <v>112</v>
      </c>
      <c r="E24" t="s">
        <v>195</v>
      </c>
      <c r="F24" t="s">
        <v>196</v>
      </c>
      <c r="G24" t="s">
        <v>197</v>
      </c>
      <c r="J24" t="s">
        <v>199</v>
      </c>
    </row>
    <row r="25" spans="1:15" x14ac:dyDescent="0.25">
      <c r="A25" t="s">
        <v>145</v>
      </c>
      <c r="B25" t="s">
        <v>122</v>
      </c>
      <c r="C25" t="s">
        <v>201</v>
      </c>
      <c r="D25" t="s">
        <v>208</v>
      </c>
      <c r="E25" t="s">
        <v>214</v>
      </c>
      <c r="F25" t="s">
        <v>215</v>
      </c>
      <c r="G25" t="s">
        <v>216</v>
      </c>
    </row>
    <row r="26" spans="1:15" x14ac:dyDescent="0.25">
      <c r="A26" t="s">
        <v>145</v>
      </c>
      <c r="B26" t="s">
        <v>199</v>
      </c>
      <c r="C26" t="s">
        <v>192</v>
      </c>
      <c r="F26" t="s">
        <v>217</v>
      </c>
      <c r="G26" t="s">
        <v>218</v>
      </c>
      <c r="M26" t="s">
        <v>133</v>
      </c>
    </row>
    <row r="27" spans="1:15" x14ac:dyDescent="0.25">
      <c r="A27" t="s">
        <v>147</v>
      </c>
      <c r="B27" t="s">
        <v>208</v>
      </c>
      <c r="C27" t="s">
        <v>112</v>
      </c>
      <c r="F27" t="s">
        <v>209</v>
      </c>
      <c r="G27" t="s">
        <v>210</v>
      </c>
      <c r="M27" t="s">
        <v>133</v>
      </c>
    </row>
    <row r="28" spans="1:15" x14ac:dyDescent="0.25">
      <c r="A28" t="s">
        <v>147</v>
      </c>
      <c r="B28" t="s">
        <v>202</v>
      </c>
      <c r="C28" t="s">
        <v>202</v>
      </c>
      <c r="D28" t="s">
        <v>112</v>
      </c>
      <c r="E28" t="s">
        <v>211</v>
      </c>
      <c r="F28" t="s">
        <v>212</v>
      </c>
      <c r="G28" t="s">
        <v>213</v>
      </c>
      <c r="I28" t="s">
        <v>206</v>
      </c>
      <c r="J28" t="s">
        <v>207</v>
      </c>
      <c r="O28" t="s">
        <v>108</v>
      </c>
    </row>
    <row r="29" spans="1:15" x14ac:dyDescent="0.25">
      <c r="A29" t="s">
        <v>147</v>
      </c>
      <c r="B29" t="s">
        <v>108</v>
      </c>
      <c r="C29" t="s">
        <v>122</v>
      </c>
      <c r="D29" t="s">
        <v>112</v>
      </c>
      <c r="E29" t="s">
        <v>195</v>
      </c>
      <c r="F29" t="s">
        <v>196</v>
      </c>
      <c r="G29" t="s">
        <v>197</v>
      </c>
      <c r="J29" t="s">
        <v>199</v>
      </c>
    </row>
    <row r="30" spans="1:15" x14ac:dyDescent="0.25">
      <c r="A30" t="s">
        <v>147</v>
      </c>
      <c r="B30" t="s">
        <v>122</v>
      </c>
      <c r="C30" t="s">
        <v>201</v>
      </c>
      <c r="D30" t="s">
        <v>208</v>
      </c>
      <c r="E30" t="s">
        <v>214</v>
      </c>
      <c r="F30" t="s">
        <v>215</v>
      </c>
      <c r="G30" t="s">
        <v>216</v>
      </c>
    </row>
    <row r="31" spans="1:15" x14ac:dyDescent="0.25">
      <c r="A31" t="s">
        <v>147</v>
      </c>
      <c r="B31" t="s">
        <v>199</v>
      </c>
      <c r="C31" t="s">
        <v>192</v>
      </c>
      <c r="F31" t="s">
        <v>221</v>
      </c>
      <c r="G31" t="s">
        <v>222</v>
      </c>
      <c r="M31" t="s">
        <v>133</v>
      </c>
    </row>
    <row r="32" spans="1:15" x14ac:dyDescent="0.25">
      <c r="A32" t="s">
        <v>150</v>
      </c>
      <c r="B32" t="s">
        <v>208</v>
      </c>
      <c r="C32" t="s">
        <v>112</v>
      </c>
      <c r="F32" t="s">
        <v>209</v>
      </c>
      <c r="G32" t="s">
        <v>210</v>
      </c>
      <c r="M32" t="s">
        <v>133</v>
      </c>
    </row>
    <row r="33" spans="1:15" x14ac:dyDescent="0.25">
      <c r="A33" t="s">
        <v>150</v>
      </c>
      <c r="B33" t="s">
        <v>202</v>
      </c>
      <c r="C33" t="s">
        <v>202</v>
      </c>
      <c r="D33" t="s">
        <v>112</v>
      </c>
      <c r="E33" t="s">
        <v>211</v>
      </c>
      <c r="F33" t="s">
        <v>212</v>
      </c>
      <c r="G33" t="s">
        <v>213</v>
      </c>
      <c r="I33" t="s">
        <v>206</v>
      </c>
      <c r="J33" t="s">
        <v>207</v>
      </c>
      <c r="O33" t="s">
        <v>108</v>
      </c>
    </row>
    <row r="34" spans="1:15" x14ac:dyDescent="0.25">
      <c r="A34" t="s">
        <v>150</v>
      </c>
      <c r="B34" t="s">
        <v>108</v>
      </c>
      <c r="C34" t="s">
        <v>122</v>
      </c>
      <c r="D34" t="s">
        <v>112</v>
      </c>
      <c r="E34" t="s">
        <v>195</v>
      </c>
      <c r="F34" t="s">
        <v>196</v>
      </c>
      <c r="G34" t="s">
        <v>197</v>
      </c>
      <c r="J34" t="s">
        <v>199</v>
      </c>
    </row>
    <row r="35" spans="1:15" x14ac:dyDescent="0.25">
      <c r="A35" t="s">
        <v>150</v>
      </c>
      <c r="B35" t="s">
        <v>122</v>
      </c>
      <c r="C35" t="s">
        <v>201</v>
      </c>
      <c r="D35" t="s">
        <v>208</v>
      </c>
      <c r="E35" t="s">
        <v>214</v>
      </c>
      <c r="F35" t="s">
        <v>215</v>
      </c>
      <c r="G35" t="s">
        <v>216</v>
      </c>
    </row>
    <row r="36" spans="1:15" x14ac:dyDescent="0.25">
      <c r="A36" t="s">
        <v>150</v>
      </c>
      <c r="B36" t="s">
        <v>199</v>
      </c>
      <c r="C36" t="s">
        <v>192</v>
      </c>
      <c r="F36" t="s">
        <v>221</v>
      </c>
      <c r="G36" t="s">
        <v>222</v>
      </c>
      <c r="M36" t="s">
        <v>133</v>
      </c>
    </row>
    <row r="37" spans="1:15" x14ac:dyDescent="0.25">
      <c r="A37" t="s">
        <v>152</v>
      </c>
      <c r="B37" t="s">
        <v>202</v>
      </c>
      <c r="C37" t="s">
        <v>202</v>
      </c>
      <c r="D37" t="s">
        <v>112</v>
      </c>
      <c r="E37" t="s">
        <v>203</v>
      </c>
      <c r="F37" t="s">
        <v>204</v>
      </c>
      <c r="G37" t="s">
        <v>205</v>
      </c>
      <c r="I37" t="s">
        <v>206</v>
      </c>
      <c r="J37" t="s">
        <v>207</v>
      </c>
      <c r="O37" t="s">
        <v>108</v>
      </c>
    </row>
    <row r="38" spans="1:15" x14ac:dyDescent="0.25">
      <c r="A38" t="s">
        <v>152</v>
      </c>
      <c r="B38" t="s">
        <v>112</v>
      </c>
      <c r="C38" t="s">
        <v>112</v>
      </c>
      <c r="F38" t="s">
        <v>223</v>
      </c>
      <c r="G38" t="s">
        <v>224</v>
      </c>
      <c r="M38" t="s">
        <v>153</v>
      </c>
    </row>
    <row r="39" spans="1:15" x14ac:dyDescent="0.25">
      <c r="A39" t="s">
        <v>152</v>
      </c>
      <c r="B39" t="s">
        <v>192</v>
      </c>
      <c r="C39" t="s">
        <v>192</v>
      </c>
      <c r="F39" t="s">
        <v>223</v>
      </c>
      <c r="G39" t="s">
        <v>224</v>
      </c>
      <c r="M39" t="s">
        <v>153</v>
      </c>
    </row>
    <row r="40" spans="1:15" x14ac:dyDescent="0.25">
      <c r="A40" t="s">
        <v>152</v>
      </c>
      <c r="B40" t="s">
        <v>122</v>
      </c>
      <c r="C40" t="s">
        <v>122</v>
      </c>
      <c r="D40" t="s">
        <v>112</v>
      </c>
      <c r="E40" t="s">
        <v>195</v>
      </c>
      <c r="F40" t="s">
        <v>196</v>
      </c>
      <c r="G40" t="s">
        <v>197</v>
      </c>
      <c r="H40" t="s">
        <v>198</v>
      </c>
      <c r="J40" t="s">
        <v>199</v>
      </c>
    </row>
    <row r="41" spans="1:15" x14ac:dyDescent="0.25">
      <c r="A41" t="s">
        <v>152</v>
      </c>
      <c r="B41" t="s">
        <v>200</v>
      </c>
      <c r="C41" t="s">
        <v>201</v>
      </c>
      <c r="D41" t="s">
        <v>112</v>
      </c>
      <c r="E41" t="s">
        <v>195</v>
      </c>
      <c r="F41" t="s">
        <v>196</v>
      </c>
      <c r="G41" t="s">
        <v>197</v>
      </c>
    </row>
    <row r="42" spans="1:15" x14ac:dyDescent="0.25">
      <c r="A42" t="s">
        <v>157</v>
      </c>
      <c r="B42" t="s">
        <v>108</v>
      </c>
      <c r="C42" t="s">
        <v>122</v>
      </c>
      <c r="D42" t="s">
        <v>112</v>
      </c>
      <c r="E42" t="s">
        <v>195</v>
      </c>
      <c r="F42" t="s">
        <v>196</v>
      </c>
      <c r="G42" t="s">
        <v>197</v>
      </c>
      <c r="J42" t="s">
        <v>199</v>
      </c>
    </row>
    <row r="43" spans="1:15" x14ac:dyDescent="0.25">
      <c r="A43" t="s">
        <v>157</v>
      </c>
      <c r="B43" t="s">
        <v>122</v>
      </c>
      <c r="C43" t="s">
        <v>201</v>
      </c>
      <c r="D43" t="s">
        <v>208</v>
      </c>
      <c r="E43" t="s">
        <v>214</v>
      </c>
      <c r="F43" t="s">
        <v>215</v>
      </c>
      <c r="G43" t="s">
        <v>216</v>
      </c>
    </row>
    <row r="44" spans="1:15" x14ac:dyDescent="0.25">
      <c r="A44" t="s">
        <v>157</v>
      </c>
      <c r="B44" t="s">
        <v>199</v>
      </c>
      <c r="C44" t="s">
        <v>192</v>
      </c>
      <c r="F44" t="s">
        <v>221</v>
      </c>
      <c r="G44" t="s">
        <v>222</v>
      </c>
      <c r="M44" t="s">
        <v>133</v>
      </c>
    </row>
    <row r="45" spans="1:15" x14ac:dyDescent="0.25">
      <c r="A45" t="s">
        <v>157</v>
      </c>
      <c r="B45" t="s">
        <v>208</v>
      </c>
      <c r="C45" t="s">
        <v>112</v>
      </c>
      <c r="F45" t="s">
        <v>209</v>
      </c>
      <c r="G45" t="s">
        <v>210</v>
      </c>
      <c r="M45" t="s">
        <v>133</v>
      </c>
    </row>
    <row r="46" spans="1:15" x14ac:dyDescent="0.25">
      <c r="A46" t="s">
        <v>157</v>
      </c>
      <c r="B46" t="s">
        <v>202</v>
      </c>
      <c r="C46" t="s">
        <v>202</v>
      </c>
      <c r="D46" t="s">
        <v>112</v>
      </c>
      <c r="E46" t="s">
        <v>211</v>
      </c>
      <c r="F46" t="s">
        <v>212</v>
      </c>
      <c r="G46" t="s">
        <v>213</v>
      </c>
      <c r="I46" t="s">
        <v>206</v>
      </c>
      <c r="J46" t="s">
        <v>207</v>
      </c>
      <c r="O46" t="s">
        <v>108</v>
      </c>
    </row>
    <row r="47" spans="1:15" x14ac:dyDescent="0.25">
      <c r="A47" t="s">
        <v>159</v>
      </c>
      <c r="B47" t="s">
        <v>208</v>
      </c>
      <c r="C47" t="s">
        <v>112</v>
      </c>
      <c r="F47" t="s">
        <v>209</v>
      </c>
      <c r="G47" t="s">
        <v>210</v>
      </c>
      <c r="M47" t="s">
        <v>133</v>
      </c>
    </row>
    <row r="48" spans="1:15" x14ac:dyDescent="0.25">
      <c r="A48" t="s">
        <v>159</v>
      </c>
      <c r="B48" t="s">
        <v>202</v>
      </c>
      <c r="C48" t="s">
        <v>202</v>
      </c>
      <c r="D48" t="s">
        <v>112</v>
      </c>
      <c r="E48" t="s">
        <v>211</v>
      </c>
      <c r="F48" t="s">
        <v>212</v>
      </c>
      <c r="G48" t="s">
        <v>213</v>
      </c>
      <c r="I48" t="s">
        <v>206</v>
      </c>
      <c r="J48" t="s">
        <v>207</v>
      </c>
      <c r="O48" t="s">
        <v>108</v>
      </c>
    </row>
    <row r="49" spans="1:15" x14ac:dyDescent="0.25">
      <c r="A49" t="s">
        <v>159</v>
      </c>
      <c r="B49" t="s">
        <v>108</v>
      </c>
      <c r="C49" t="s">
        <v>122</v>
      </c>
      <c r="D49" t="s">
        <v>112</v>
      </c>
      <c r="E49" t="s">
        <v>195</v>
      </c>
      <c r="F49" t="s">
        <v>196</v>
      </c>
      <c r="G49" t="s">
        <v>197</v>
      </c>
      <c r="J49" t="s">
        <v>199</v>
      </c>
    </row>
    <row r="50" spans="1:15" x14ac:dyDescent="0.25">
      <c r="A50" t="s">
        <v>159</v>
      </c>
      <c r="B50" t="s">
        <v>122</v>
      </c>
      <c r="C50" t="s">
        <v>201</v>
      </c>
      <c r="D50" t="s">
        <v>208</v>
      </c>
      <c r="E50" t="s">
        <v>214</v>
      </c>
      <c r="F50" t="s">
        <v>215</v>
      </c>
      <c r="G50" t="s">
        <v>216</v>
      </c>
    </row>
    <row r="51" spans="1:15" x14ac:dyDescent="0.25">
      <c r="A51" t="s">
        <v>159</v>
      </c>
      <c r="B51" t="s">
        <v>199</v>
      </c>
      <c r="C51" t="s">
        <v>192</v>
      </c>
      <c r="F51" t="s">
        <v>225</v>
      </c>
      <c r="G51" t="s">
        <v>226</v>
      </c>
      <c r="M51" t="s">
        <v>133</v>
      </c>
    </row>
    <row r="52" spans="1:15" x14ac:dyDescent="0.25">
      <c r="A52" t="s">
        <v>161</v>
      </c>
      <c r="B52" t="s">
        <v>108</v>
      </c>
      <c r="C52" t="s">
        <v>122</v>
      </c>
      <c r="D52" t="s">
        <v>112</v>
      </c>
      <c r="E52" t="s">
        <v>195</v>
      </c>
      <c r="F52" t="s">
        <v>196</v>
      </c>
      <c r="G52" t="s">
        <v>197</v>
      </c>
      <c r="J52" t="s">
        <v>199</v>
      </c>
    </row>
    <row r="53" spans="1:15" x14ac:dyDescent="0.25">
      <c r="A53" t="s">
        <v>161</v>
      </c>
      <c r="B53" t="s">
        <v>122</v>
      </c>
      <c r="C53" t="s">
        <v>201</v>
      </c>
      <c r="D53" t="s">
        <v>208</v>
      </c>
      <c r="E53" t="s">
        <v>214</v>
      </c>
      <c r="F53" t="s">
        <v>215</v>
      </c>
      <c r="G53" t="s">
        <v>216</v>
      </c>
    </row>
    <row r="54" spans="1:15" x14ac:dyDescent="0.25">
      <c r="A54" t="s">
        <v>161</v>
      </c>
      <c r="B54" t="s">
        <v>199</v>
      </c>
      <c r="C54" t="s">
        <v>192</v>
      </c>
      <c r="F54" t="s">
        <v>227</v>
      </c>
      <c r="G54" t="s">
        <v>228</v>
      </c>
      <c r="M54" t="s">
        <v>133</v>
      </c>
    </row>
    <row r="55" spans="1:15" x14ac:dyDescent="0.25">
      <c r="A55" t="s">
        <v>161</v>
      </c>
      <c r="B55" t="s">
        <v>208</v>
      </c>
      <c r="C55" t="s">
        <v>112</v>
      </c>
      <c r="F55" t="s">
        <v>209</v>
      </c>
      <c r="G55" t="s">
        <v>210</v>
      </c>
      <c r="M55" t="s">
        <v>133</v>
      </c>
    </row>
    <row r="56" spans="1:15" x14ac:dyDescent="0.25">
      <c r="A56" t="s">
        <v>161</v>
      </c>
      <c r="B56" t="s">
        <v>202</v>
      </c>
      <c r="C56" t="s">
        <v>202</v>
      </c>
      <c r="D56" t="s">
        <v>112</v>
      </c>
      <c r="E56" t="s">
        <v>211</v>
      </c>
      <c r="F56" t="s">
        <v>212</v>
      </c>
      <c r="G56" t="s">
        <v>213</v>
      </c>
      <c r="I56" t="s">
        <v>206</v>
      </c>
      <c r="J56" t="s">
        <v>207</v>
      </c>
      <c r="O56" t="s">
        <v>108</v>
      </c>
    </row>
    <row r="57" spans="1:15" x14ac:dyDescent="0.25">
      <c r="A57" t="s">
        <v>163</v>
      </c>
      <c r="B57" t="s">
        <v>200</v>
      </c>
      <c r="C57" t="s">
        <v>201</v>
      </c>
      <c r="D57" t="s">
        <v>112</v>
      </c>
      <c r="E57" t="s">
        <v>195</v>
      </c>
      <c r="F57" t="s">
        <v>196</v>
      </c>
      <c r="G57" t="s">
        <v>197</v>
      </c>
    </row>
    <row r="58" spans="1:15" x14ac:dyDescent="0.25">
      <c r="A58" t="s">
        <v>163</v>
      </c>
      <c r="B58" t="s">
        <v>202</v>
      </c>
      <c r="C58" t="s">
        <v>202</v>
      </c>
      <c r="D58" t="s">
        <v>112</v>
      </c>
      <c r="E58" t="s">
        <v>203</v>
      </c>
      <c r="F58" t="s">
        <v>204</v>
      </c>
      <c r="G58" t="s">
        <v>205</v>
      </c>
      <c r="I58" t="s">
        <v>206</v>
      </c>
      <c r="J58" t="s">
        <v>207</v>
      </c>
      <c r="O58" t="s">
        <v>108</v>
      </c>
    </row>
    <row r="59" spans="1:15" x14ac:dyDescent="0.25">
      <c r="A59" t="s">
        <v>163</v>
      </c>
      <c r="B59" t="s">
        <v>112</v>
      </c>
      <c r="C59" t="s">
        <v>112</v>
      </c>
      <c r="F59" t="s">
        <v>229</v>
      </c>
      <c r="G59" t="s">
        <v>230</v>
      </c>
      <c r="M59" t="s">
        <v>141</v>
      </c>
    </row>
    <row r="60" spans="1:15" x14ac:dyDescent="0.25">
      <c r="A60" t="s">
        <v>163</v>
      </c>
      <c r="B60" t="s">
        <v>192</v>
      </c>
      <c r="C60" t="s">
        <v>192</v>
      </c>
      <c r="F60" t="s">
        <v>229</v>
      </c>
      <c r="G60" t="s">
        <v>230</v>
      </c>
      <c r="M60" t="s">
        <v>141</v>
      </c>
    </row>
    <row r="61" spans="1:15" x14ac:dyDescent="0.25">
      <c r="A61" t="s">
        <v>163</v>
      </c>
      <c r="B61" t="s">
        <v>122</v>
      </c>
      <c r="C61" t="s">
        <v>122</v>
      </c>
      <c r="D61" t="s">
        <v>112</v>
      </c>
      <c r="E61" t="s">
        <v>195</v>
      </c>
      <c r="F61" t="s">
        <v>196</v>
      </c>
      <c r="G61" t="s">
        <v>197</v>
      </c>
      <c r="H61" t="s">
        <v>198</v>
      </c>
      <c r="J61" t="s">
        <v>199</v>
      </c>
    </row>
    <row r="62" spans="1:15" x14ac:dyDescent="0.25">
      <c r="A62" t="s">
        <v>166</v>
      </c>
      <c r="B62" t="s">
        <v>208</v>
      </c>
      <c r="C62" t="s">
        <v>112</v>
      </c>
      <c r="F62" t="s">
        <v>209</v>
      </c>
      <c r="G62" t="s">
        <v>210</v>
      </c>
      <c r="M62" t="s">
        <v>133</v>
      </c>
    </row>
    <row r="63" spans="1:15" x14ac:dyDescent="0.25">
      <c r="A63" t="s">
        <v>166</v>
      </c>
      <c r="B63" t="s">
        <v>202</v>
      </c>
      <c r="C63" t="s">
        <v>202</v>
      </c>
      <c r="D63" t="s">
        <v>112</v>
      </c>
      <c r="E63" t="s">
        <v>211</v>
      </c>
      <c r="F63" t="s">
        <v>212</v>
      </c>
      <c r="G63" t="s">
        <v>213</v>
      </c>
      <c r="I63" t="s">
        <v>206</v>
      </c>
      <c r="J63" t="s">
        <v>207</v>
      </c>
      <c r="O63" t="s">
        <v>108</v>
      </c>
    </row>
    <row r="64" spans="1:15" x14ac:dyDescent="0.25">
      <c r="A64" t="s">
        <v>166</v>
      </c>
      <c r="B64" t="s">
        <v>108</v>
      </c>
      <c r="C64" t="s">
        <v>122</v>
      </c>
      <c r="D64" t="s">
        <v>112</v>
      </c>
      <c r="E64" t="s">
        <v>195</v>
      </c>
      <c r="F64" t="s">
        <v>196</v>
      </c>
      <c r="G64" t="s">
        <v>197</v>
      </c>
      <c r="J64" t="s">
        <v>199</v>
      </c>
    </row>
    <row r="65" spans="1:15" x14ac:dyDescent="0.25">
      <c r="A65" t="s">
        <v>166</v>
      </c>
      <c r="B65" t="s">
        <v>122</v>
      </c>
      <c r="C65" t="s">
        <v>201</v>
      </c>
      <c r="D65" t="s">
        <v>208</v>
      </c>
      <c r="E65" t="s">
        <v>214</v>
      </c>
      <c r="F65" t="s">
        <v>215</v>
      </c>
      <c r="G65" t="s">
        <v>216</v>
      </c>
    </row>
    <row r="66" spans="1:15" x14ac:dyDescent="0.25">
      <c r="A66" t="s">
        <v>166</v>
      </c>
      <c r="B66" t="s">
        <v>199</v>
      </c>
      <c r="C66" t="s">
        <v>192</v>
      </c>
      <c r="F66" t="s">
        <v>217</v>
      </c>
      <c r="G66" t="s">
        <v>218</v>
      </c>
      <c r="M66" t="s">
        <v>133</v>
      </c>
    </row>
    <row r="67" spans="1:15" x14ac:dyDescent="0.25">
      <c r="A67" t="s">
        <v>169</v>
      </c>
      <c r="B67" t="s">
        <v>108</v>
      </c>
      <c r="C67" t="s">
        <v>122</v>
      </c>
      <c r="D67" t="s">
        <v>112</v>
      </c>
      <c r="E67" t="s">
        <v>195</v>
      </c>
      <c r="F67" t="s">
        <v>196</v>
      </c>
      <c r="G67" t="s">
        <v>197</v>
      </c>
      <c r="J67" t="s">
        <v>199</v>
      </c>
    </row>
    <row r="68" spans="1:15" x14ac:dyDescent="0.25">
      <c r="A68" t="s">
        <v>169</v>
      </c>
      <c r="B68" t="s">
        <v>122</v>
      </c>
      <c r="C68" t="s">
        <v>201</v>
      </c>
      <c r="D68" t="s">
        <v>208</v>
      </c>
      <c r="E68" t="s">
        <v>214</v>
      </c>
      <c r="F68" t="s">
        <v>215</v>
      </c>
      <c r="G68" t="s">
        <v>216</v>
      </c>
    </row>
    <row r="69" spans="1:15" x14ac:dyDescent="0.25">
      <c r="A69" t="s">
        <v>169</v>
      </c>
      <c r="B69" t="s">
        <v>199</v>
      </c>
      <c r="C69" t="s">
        <v>192</v>
      </c>
      <c r="F69" t="s">
        <v>227</v>
      </c>
      <c r="G69" t="s">
        <v>228</v>
      </c>
      <c r="M69" t="s">
        <v>133</v>
      </c>
    </row>
    <row r="70" spans="1:15" x14ac:dyDescent="0.25">
      <c r="A70" t="s">
        <v>169</v>
      </c>
      <c r="B70" t="s">
        <v>208</v>
      </c>
      <c r="C70" t="s">
        <v>112</v>
      </c>
      <c r="F70" t="s">
        <v>209</v>
      </c>
      <c r="G70" t="s">
        <v>210</v>
      </c>
      <c r="M70" t="s">
        <v>133</v>
      </c>
    </row>
    <row r="71" spans="1:15" x14ac:dyDescent="0.25">
      <c r="A71" t="s">
        <v>169</v>
      </c>
      <c r="B71" t="s">
        <v>202</v>
      </c>
      <c r="C71" t="s">
        <v>202</v>
      </c>
      <c r="D71" t="s">
        <v>112</v>
      </c>
      <c r="E71" t="s">
        <v>211</v>
      </c>
      <c r="F71" t="s">
        <v>212</v>
      </c>
      <c r="G71" t="s">
        <v>213</v>
      </c>
      <c r="I71" t="s">
        <v>206</v>
      </c>
      <c r="J71" t="s">
        <v>207</v>
      </c>
      <c r="O71" t="s">
        <v>108</v>
      </c>
    </row>
    <row r="72" spans="1:15" x14ac:dyDescent="0.25">
      <c r="A72" t="s">
        <v>171</v>
      </c>
      <c r="B72" t="s">
        <v>208</v>
      </c>
      <c r="C72" t="s">
        <v>112</v>
      </c>
      <c r="F72" t="s">
        <v>209</v>
      </c>
      <c r="G72" t="s">
        <v>210</v>
      </c>
      <c r="M72" t="s">
        <v>133</v>
      </c>
    </row>
    <row r="73" spans="1:15" x14ac:dyDescent="0.25">
      <c r="A73" t="s">
        <v>171</v>
      </c>
      <c r="B73" t="s">
        <v>202</v>
      </c>
      <c r="C73" t="s">
        <v>202</v>
      </c>
      <c r="D73" t="s">
        <v>112</v>
      </c>
      <c r="E73" t="s">
        <v>211</v>
      </c>
      <c r="F73" t="s">
        <v>212</v>
      </c>
      <c r="G73" t="s">
        <v>213</v>
      </c>
      <c r="I73" t="s">
        <v>206</v>
      </c>
      <c r="J73" t="s">
        <v>207</v>
      </c>
      <c r="O73" t="s">
        <v>108</v>
      </c>
    </row>
    <row r="74" spans="1:15" x14ac:dyDescent="0.25">
      <c r="A74" t="s">
        <v>171</v>
      </c>
      <c r="B74" t="s">
        <v>108</v>
      </c>
      <c r="C74" t="s">
        <v>122</v>
      </c>
      <c r="D74" t="s">
        <v>112</v>
      </c>
      <c r="E74" t="s">
        <v>195</v>
      </c>
      <c r="F74" t="s">
        <v>196</v>
      </c>
      <c r="G74" t="s">
        <v>197</v>
      </c>
      <c r="J74" t="s">
        <v>199</v>
      </c>
    </row>
    <row r="75" spans="1:15" x14ac:dyDescent="0.25">
      <c r="A75" t="s">
        <v>171</v>
      </c>
      <c r="B75" t="s">
        <v>122</v>
      </c>
      <c r="C75" t="s">
        <v>201</v>
      </c>
      <c r="D75" t="s">
        <v>208</v>
      </c>
      <c r="E75" t="s">
        <v>214</v>
      </c>
      <c r="F75" t="s">
        <v>215</v>
      </c>
      <c r="G75" t="s">
        <v>216</v>
      </c>
    </row>
    <row r="76" spans="1:15" x14ac:dyDescent="0.25">
      <c r="A76" t="s">
        <v>171</v>
      </c>
      <c r="B76" t="s">
        <v>199</v>
      </c>
      <c r="C76" t="s">
        <v>192</v>
      </c>
      <c r="F76" t="s">
        <v>227</v>
      </c>
      <c r="G76" t="s">
        <v>228</v>
      </c>
      <c r="M76" t="s">
        <v>133</v>
      </c>
    </row>
  </sheetData>
  <pageMargins left="0.7" right="0.7" top="0.75" bottom="0.75" header="0.3" footer="0.3"/>
  <pageSetup firstPageNumber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A1:G90"/>
  <sheetViews>
    <sheetView workbookViewId="0"/>
  </sheetViews>
  <sheetFormatPr defaultRowHeight="15" x14ac:dyDescent="0.25"/>
  <cols>
    <col min="1" max="1" width="27.42578125" bestFit="1" customWidth="1"/>
    <col min="3" max="3" width="13.42578125" bestFit="1" customWidth="1"/>
    <col min="4" max="4" width="19.42578125" bestFit="1" customWidth="1"/>
    <col min="5" max="5" width="16.42578125" bestFit="1" customWidth="1"/>
    <col min="6" max="6" width="15.42578125" bestFit="1" customWidth="1"/>
    <col min="7" max="7" width="10.42578125" bestFit="1" customWidth="1"/>
  </cols>
  <sheetData>
    <row r="1" spans="1:7" ht="15.75" x14ac:dyDescent="0.25">
      <c r="A1" s="1" t="s">
        <v>0</v>
      </c>
      <c r="B1" s="1" t="s">
        <v>177</v>
      </c>
      <c r="C1" s="1" t="s">
        <v>1</v>
      </c>
      <c r="D1" s="1" t="s">
        <v>231</v>
      </c>
      <c r="E1" s="1" t="s">
        <v>232</v>
      </c>
      <c r="F1" s="1" t="s">
        <v>233</v>
      </c>
      <c r="G1" s="1" t="s">
        <v>234</v>
      </c>
    </row>
    <row r="2" spans="1:7" x14ac:dyDescent="0.25">
      <c r="A2" t="s">
        <v>104</v>
      </c>
      <c r="B2">
        <v>1</v>
      </c>
      <c r="C2" t="s">
        <v>235</v>
      </c>
      <c r="D2" t="s">
        <v>236</v>
      </c>
      <c r="E2" t="s">
        <v>237</v>
      </c>
    </row>
    <row r="3" spans="1:7" x14ac:dyDescent="0.25">
      <c r="A3" t="s">
        <v>104</v>
      </c>
      <c r="B3">
        <v>2</v>
      </c>
      <c r="C3" t="s">
        <v>238</v>
      </c>
      <c r="D3" t="s">
        <v>239</v>
      </c>
      <c r="E3" t="s">
        <v>121</v>
      </c>
    </row>
    <row r="4" spans="1:7" x14ac:dyDescent="0.25">
      <c r="A4" t="s">
        <v>104</v>
      </c>
      <c r="B4">
        <v>3</v>
      </c>
      <c r="C4" t="s">
        <v>240</v>
      </c>
      <c r="D4" t="s">
        <v>239</v>
      </c>
      <c r="E4" t="s">
        <v>121</v>
      </c>
    </row>
    <row r="5" spans="1:7" x14ac:dyDescent="0.25">
      <c r="A5" t="s">
        <v>104</v>
      </c>
      <c r="B5">
        <v>4</v>
      </c>
      <c r="C5" t="s">
        <v>241</v>
      </c>
      <c r="D5" t="s">
        <v>242</v>
      </c>
      <c r="E5" t="s">
        <v>121</v>
      </c>
    </row>
    <row r="6" spans="1:7" x14ac:dyDescent="0.25">
      <c r="A6" t="s">
        <v>130</v>
      </c>
      <c r="B6">
        <v>1</v>
      </c>
      <c r="C6" t="s">
        <v>235</v>
      </c>
      <c r="D6" t="s">
        <v>236</v>
      </c>
      <c r="E6" t="s">
        <v>237</v>
      </c>
    </row>
    <row r="7" spans="1:7" x14ac:dyDescent="0.25">
      <c r="A7" t="s">
        <v>130</v>
      </c>
      <c r="B7">
        <v>2</v>
      </c>
      <c r="C7" t="s">
        <v>238</v>
      </c>
      <c r="D7" t="s">
        <v>243</v>
      </c>
      <c r="E7" t="s">
        <v>121</v>
      </c>
    </row>
    <row r="8" spans="1:7" x14ac:dyDescent="0.25">
      <c r="A8" t="s">
        <v>130</v>
      </c>
      <c r="B8">
        <v>3</v>
      </c>
      <c r="C8" t="s">
        <v>240</v>
      </c>
      <c r="D8" t="s">
        <v>243</v>
      </c>
      <c r="E8" t="s">
        <v>121</v>
      </c>
    </row>
    <row r="9" spans="1:7" x14ac:dyDescent="0.25">
      <c r="A9" t="s">
        <v>130</v>
      </c>
      <c r="B9">
        <v>4</v>
      </c>
      <c r="C9" t="s">
        <v>202</v>
      </c>
      <c r="D9" t="s">
        <v>244</v>
      </c>
      <c r="E9" t="s">
        <v>245</v>
      </c>
    </row>
    <row r="10" spans="1:7" x14ac:dyDescent="0.25">
      <c r="A10" t="s">
        <v>130</v>
      </c>
      <c r="B10">
        <v>7</v>
      </c>
      <c r="C10" t="s">
        <v>202</v>
      </c>
      <c r="D10" t="s">
        <v>246</v>
      </c>
      <c r="E10" t="s">
        <v>247</v>
      </c>
    </row>
    <row r="11" spans="1:7" x14ac:dyDescent="0.25">
      <c r="A11" t="s">
        <v>130</v>
      </c>
      <c r="B11">
        <v>8</v>
      </c>
      <c r="C11" t="s">
        <v>202</v>
      </c>
      <c r="D11" t="s">
        <v>248</v>
      </c>
      <c r="E11" t="s">
        <v>247</v>
      </c>
    </row>
    <row r="12" spans="1:7" x14ac:dyDescent="0.25">
      <c r="A12" t="s">
        <v>130</v>
      </c>
      <c r="B12">
        <v>5</v>
      </c>
      <c r="C12" t="s">
        <v>202</v>
      </c>
      <c r="D12" t="s">
        <v>249</v>
      </c>
      <c r="E12" t="s">
        <v>250</v>
      </c>
    </row>
    <row r="13" spans="1:7" x14ac:dyDescent="0.25">
      <c r="A13" t="s">
        <v>130</v>
      </c>
      <c r="B13">
        <v>6</v>
      </c>
      <c r="C13" t="s">
        <v>202</v>
      </c>
      <c r="D13" t="s">
        <v>251</v>
      </c>
      <c r="E13" t="s">
        <v>247</v>
      </c>
    </row>
    <row r="14" spans="1:7" x14ac:dyDescent="0.25">
      <c r="A14" t="s">
        <v>138</v>
      </c>
      <c r="B14">
        <v>1</v>
      </c>
      <c r="C14" t="s">
        <v>235</v>
      </c>
      <c r="D14" t="s">
        <v>236</v>
      </c>
      <c r="E14" t="s">
        <v>237</v>
      </c>
    </row>
    <row r="15" spans="1:7" x14ac:dyDescent="0.25">
      <c r="A15" t="s">
        <v>138</v>
      </c>
      <c r="B15">
        <v>2</v>
      </c>
      <c r="C15" t="s">
        <v>238</v>
      </c>
      <c r="D15" t="s">
        <v>252</v>
      </c>
      <c r="E15" t="s">
        <v>121</v>
      </c>
    </row>
    <row r="16" spans="1:7" x14ac:dyDescent="0.25">
      <c r="A16" t="s">
        <v>138</v>
      </c>
      <c r="B16">
        <v>3</v>
      </c>
      <c r="C16" t="s">
        <v>240</v>
      </c>
      <c r="D16" t="s">
        <v>252</v>
      </c>
      <c r="E16" t="s">
        <v>121</v>
      </c>
    </row>
    <row r="17" spans="1:5" x14ac:dyDescent="0.25">
      <c r="A17" t="s">
        <v>138</v>
      </c>
      <c r="B17">
        <v>4</v>
      </c>
      <c r="C17" t="s">
        <v>202</v>
      </c>
      <c r="D17" t="s">
        <v>253</v>
      </c>
      <c r="E17" t="s">
        <v>254</v>
      </c>
    </row>
    <row r="18" spans="1:5" x14ac:dyDescent="0.25">
      <c r="A18" t="s">
        <v>138</v>
      </c>
      <c r="B18">
        <v>5</v>
      </c>
      <c r="C18" t="s">
        <v>202</v>
      </c>
      <c r="D18" t="s">
        <v>255</v>
      </c>
      <c r="E18" t="s">
        <v>256</v>
      </c>
    </row>
    <row r="19" spans="1:5" x14ac:dyDescent="0.25">
      <c r="A19" t="s">
        <v>140</v>
      </c>
      <c r="B19">
        <v>1</v>
      </c>
      <c r="C19" t="s">
        <v>235</v>
      </c>
      <c r="D19" t="s">
        <v>236</v>
      </c>
      <c r="E19" t="s">
        <v>237</v>
      </c>
    </row>
    <row r="20" spans="1:5" x14ac:dyDescent="0.25">
      <c r="A20" t="s">
        <v>140</v>
      </c>
      <c r="B20">
        <v>2</v>
      </c>
      <c r="C20" t="s">
        <v>238</v>
      </c>
      <c r="D20" t="s">
        <v>257</v>
      </c>
      <c r="E20" t="s">
        <v>121</v>
      </c>
    </row>
    <row r="21" spans="1:5" x14ac:dyDescent="0.25">
      <c r="A21" t="s">
        <v>140</v>
      </c>
      <c r="B21">
        <v>3</v>
      </c>
      <c r="C21" t="s">
        <v>240</v>
      </c>
      <c r="D21" t="s">
        <v>257</v>
      </c>
      <c r="E21" t="s">
        <v>121</v>
      </c>
    </row>
    <row r="22" spans="1:5" x14ac:dyDescent="0.25">
      <c r="A22" t="s">
        <v>140</v>
      </c>
      <c r="B22">
        <v>4</v>
      </c>
      <c r="C22" t="s">
        <v>241</v>
      </c>
      <c r="D22" t="s">
        <v>258</v>
      </c>
      <c r="E22" t="s">
        <v>121</v>
      </c>
    </row>
    <row r="23" spans="1:5" x14ac:dyDescent="0.25">
      <c r="A23" t="s">
        <v>145</v>
      </c>
      <c r="B23">
        <v>1</v>
      </c>
      <c r="C23" t="s">
        <v>235</v>
      </c>
      <c r="D23" t="s">
        <v>236</v>
      </c>
      <c r="E23" t="s">
        <v>237</v>
      </c>
    </row>
    <row r="24" spans="1:5" x14ac:dyDescent="0.25">
      <c r="A24" t="s">
        <v>145</v>
      </c>
      <c r="B24">
        <v>2</v>
      </c>
      <c r="C24" t="s">
        <v>238</v>
      </c>
      <c r="D24" t="s">
        <v>259</v>
      </c>
      <c r="E24" t="s">
        <v>121</v>
      </c>
    </row>
    <row r="25" spans="1:5" x14ac:dyDescent="0.25">
      <c r="A25" t="s">
        <v>145</v>
      </c>
      <c r="B25">
        <v>3</v>
      </c>
      <c r="C25" t="s">
        <v>240</v>
      </c>
      <c r="D25" t="s">
        <v>259</v>
      </c>
      <c r="E25" t="s">
        <v>121</v>
      </c>
    </row>
    <row r="26" spans="1:5" x14ac:dyDescent="0.25">
      <c r="A26" t="s">
        <v>145</v>
      </c>
      <c r="B26">
        <v>4</v>
      </c>
      <c r="C26" t="s">
        <v>202</v>
      </c>
      <c r="D26" t="s">
        <v>244</v>
      </c>
      <c r="E26" t="s">
        <v>245</v>
      </c>
    </row>
    <row r="27" spans="1:5" x14ac:dyDescent="0.25">
      <c r="A27" t="s">
        <v>145</v>
      </c>
      <c r="B27">
        <v>5</v>
      </c>
      <c r="C27" t="s">
        <v>202</v>
      </c>
      <c r="D27" t="s">
        <v>249</v>
      </c>
      <c r="E27" t="s">
        <v>250</v>
      </c>
    </row>
    <row r="28" spans="1:5" x14ac:dyDescent="0.25">
      <c r="A28" t="s">
        <v>145</v>
      </c>
      <c r="B28">
        <v>6</v>
      </c>
      <c r="C28" t="s">
        <v>202</v>
      </c>
      <c r="D28" t="s">
        <v>251</v>
      </c>
      <c r="E28" t="s">
        <v>247</v>
      </c>
    </row>
    <row r="29" spans="1:5" x14ac:dyDescent="0.25">
      <c r="A29" t="s">
        <v>145</v>
      </c>
      <c r="B29">
        <v>8</v>
      </c>
      <c r="C29" t="s">
        <v>202</v>
      </c>
      <c r="D29" t="s">
        <v>248</v>
      </c>
      <c r="E29" t="s">
        <v>247</v>
      </c>
    </row>
    <row r="30" spans="1:5" x14ac:dyDescent="0.25">
      <c r="A30" t="s">
        <v>145</v>
      </c>
      <c r="B30">
        <v>7</v>
      </c>
      <c r="C30" t="s">
        <v>202</v>
      </c>
      <c r="D30" t="s">
        <v>246</v>
      </c>
      <c r="E30" t="s">
        <v>247</v>
      </c>
    </row>
    <row r="31" spans="1:5" x14ac:dyDescent="0.25">
      <c r="A31" t="s">
        <v>147</v>
      </c>
      <c r="B31">
        <v>1</v>
      </c>
      <c r="C31" t="s">
        <v>235</v>
      </c>
      <c r="D31" t="s">
        <v>236</v>
      </c>
      <c r="E31" t="s">
        <v>237</v>
      </c>
    </row>
    <row r="32" spans="1:5" x14ac:dyDescent="0.25">
      <c r="A32" t="s">
        <v>147</v>
      </c>
      <c r="B32">
        <v>2</v>
      </c>
      <c r="C32" t="s">
        <v>238</v>
      </c>
      <c r="D32" t="s">
        <v>260</v>
      </c>
      <c r="E32" t="s">
        <v>121</v>
      </c>
    </row>
    <row r="33" spans="1:5" x14ac:dyDescent="0.25">
      <c r="A33" t="s">
        <v>147</v>
      </c>
      <c r="B33">
        <v>3</v>
      </c>
      <c r="C33" t="s">
        <v>240</v>
      </c>
      <c r="D33" t="s">
        <v>260</v>
      </c>
      <c r="E33" t="s">
        <v>121</v>
      </c>
    </row>
    <row r="34" spans="1:5" x14ac:dyDescent="0.25">
      <c r="A34" t="s">
        <v>147</v>
      </c>
      <c r="B34">
        <v>4</v>
      </c>
      <c r="C34" t="s">
        <v>202</v>
      </c>
      <c r="D34" t="s">
        <v>253</v>
      </c>
      <c r="E34" t="s">
        <v>254</v>
      </c>
    </row>
    <row r="35" spans="1:5" x14ac:dyDescent="0.25">
      <c r="A35" t="s">
        <v>147</v>
      </c>
      <c r="B35">
        <v>5</v>
      </c>
      <c r="C35" t="s">
        <v>202</v>
      </c>
      <c r="D35" t="s">
        <v>255</v>
      </c>
      <c r="E35" t="s">
        <v>256</v>
      </c>
    </row>
    <row r="36" spans="1:5" x14ac:dyDescent="0.25">
      <c r="A36" t="s">
        <v>150</v>
      </c>
      <c r="B36">
        <v>1</v>
      </c>
      <c r="C36" t="s">
        <v>235</v>
      </c>
      <c r="D36" t="s">
        <v>236</v>
      </c>
      <c r="E36" t="s">
        <v>237</v>
      </c>
    </row>
    <row r="37" spans="1:5" x14ac:dyDescent="0.25">
      <c r="A37" t="s">
        <v>150</v>
      </c>
      <c r="B37">
        <v>2</v>
      </c>
      <c r="C37" t="s">
        <v>238</v>
      </c>
      <c r="D37" t="s">
        <v>261</v>
      </c>
      <c r="E37" t="s">
        <v>121</v>
      </c>
    </row>
    <row r="38" spans="1:5" x14ac:dyDescent="0.25">
      <c r="A38" t="s">
        <v>150</v>
      </c>
      <c r="B38">
        <v>3</v>
      </c>
      <c r="C38" t="s">
        <v>240</v>
      </c>
      <c r="D38" t="s">
        <v>261</v>
      </c>
      <c r="E38" t="s">
        <v>121</v>
      </c>
    </row>
    <row r="39" spans="1:5" x14ac:dyDescent="0.25">
      <c r="A39" t="s">
        <v>150</v>
      </c>
      <c r="B39">
        <v>4</v>
      </c>
      <c r="C39" t="s">
        <v>202</v>
      </c>
      <c r="D39" t="s">
        <v>244</v>
      </c>
      <c r="E39" t="s">
        <v>245</v>
      </c>
    </row>
    <row r="40" spans="1:5" x14ac:dyDescent="0.25">
      <c r="A40" t="s">
        <v>150</v>
      </c>
      <c r="B40">
        <v>5</v>
      </c>
      <c r="C40" t="s">
        <v>202</v>
      </c>
      <c r="D40" t="s">
        <v>249</v>
      </c>
      <c r="E40" t="s">
        <v>250</v>
      </c>
    </row>
    <row r="41" spans="1:5" x14ac:dyDescent="0.25">
      <c r="A41" t="s">
        <v>150</v>
      </c>
      <c r="B41">
        <v>6</v>
      </c>
      <c r="C41" t="s">
        <v>202</v>
      </c>
      <c r="D41" t="s">
        <v>251</v>
      </c>
      <c r="E41" t="s">
        <v>247</v>
      </c>
    </row>
    <row r="42" spans="1:5" x14ac:dyDescent="0.25">
      <c r="A42" t="s">
        <v>150</v>
      </c>
      <c r="B42">
        <v>7</v>
      </c>
      <c r="C42" t="s">
        <v>202</v>
      </c>
      <c r="D42" t="s">
        <v>246</v>
      </c>
      <c r="E42" t="s">
        <v>247</v>
      </c>
    </row>
    <row r="43" spans="1:5" x14ac:dyDescent="0.25">
      <c r="A43" t="s">
        <v>150</v>
      </c>
      <c r="B43">
        <v>8</v>
      </c>
      <c r="C43" t="s">
        <v>202</v>
      </c>
      <c r="D43" t="s">
        <v>248</v>
      </c>
      <c r="E43" t="s">
        <v>247</v>
      </c>
    </row>
    <row r="44" spans="1:5" x14ac:dyDescent="0.25">
      <c r="A44" t="s">
        <v>152</v>
      </c>
      <c r="B44">
        <v>1</v>
      </c>
      <c r="C44" t="s">
        <v>235</v>
      </c>
      <c r="D44" t="s">
        <v>236</v>
      </c>
      <c r="E44" t="s">
        <v>237</v>
      </c>
    </row>
    <row r="45" spans="1:5" x14ac:dyDescent="0.25">
      <c r="A45" t="s">
        <v>152</v>
      </c>
      <c r="B45">
        <v>2</v>
      </c>
      <c r="C45" t="s">
        <v>238</v>
      </c>
      <c r="D45" t="s">
        <v>262</v>
      </c>
      <c r="E45" t="s">
        <v>121</v>
      </c>
    </row>
    <row r="46" spans="1:5" x14ac:dyDescent="0.25">
      <c r="A46" t="s">
        <v>152</v>
      </c>
      <c r="B46">
        <v>3</v>
      </c>
      <c r="C46" t="s">
        <v>240</v>
      </c>
      <c r="D46" t="s">
        <v>262</v>
      </c>
      <c r="E46" t="s">
        <v>121</v>
      </c>
    </row>
    <row r="47" spans="1:5" x14ac:dyDescent="0.25">
      <c r="A47" t="s">
        <v>152</v>
      </c>
      <c r="B47">
        <v>4</v>
      </c>
      <c r="C47" t="s">
        <v>241</v>
      </c>
      <c r="D47" t="s">
        <v>263</v>
      </c>
      <c r="E47" t="s">
        <v>121</v>
      </c>
    </row>
    <row r="48" spans="1:5" x14ac:dyDescent="0.25">
      <c r="A48" t="s">
        <v>152</v>
      </c>
      <c r="B48">
        <v>5</v>
      </c>
      <c r="C48" t="s">
        <v>264</v>
      </c>
      <c r="D48" t="s">
        <v>265</v>
      </c>
      <c r="E48" t="s">
        <v>266</v>
      </c>
    </row>
    <row r="49" spans="1:5" x14ac:dyDescent="0.25">
      <c r="A49" t="s">
        <v>152</v>
      </c>
      <c r="B49">
        <v>6</v>
      </c>
      <c r="C49" t="s">
        <v>264</v>
      </c>
      <c r="D49" t="s">
        <v>267</v>
      </c>
      <c r="E49" t="s">
        <v>266</v>
      </c>
    </row>
    <row r="50" spans="1:5" x14ac:dyDescent="0.25">
      <c r="A50" t="s">
        <v>157</v>
      </c>
      <c r="B50">
        <v>1</v>
      </c>
      <c r="C50" t="s">
        <v>235</v>
      </c>
      <c r="D50" t="s">
        <v>236</v>
      </c>
      <c r="E50" t="s">
        <v>237</v>
      </c>
    </row>
    <row r="51" spans="1:5" x14ac:dyDescent="0.25">
      <c r="A51" t="s">
        <v>157</v>
      </c>
      <c r="B51">
        <v>2</v>
      </c>
      <c r="C51" t="s">
        <v>238</v>
      </c>
      <c r="D51" t="s">
        <v>268</v>
      </c>
      <c r="E51" t="s">
        <v>121</v>
      </c>
    </row>
    <row r="52" spans="1:5" x14ac:dyDescent="0.25">
      <c r="A52" t="s">
        <v>157</v>
      </c>
      <c r="B52">
        <v>3</v>
      </c>
      <c r="C52" t="s">
        <v>240</v>
      </c>
      <c r="D52" t="s">
        <v>268</v>
      </c>
      <c r="E52" t="s">
        <v>121</v>
      </c>
    </row>
    <row r="53" spans="1:5" x14ac:dyDescent="0.25">
      <c r="A53" t="s">
        <v>157</v>
      </c>
      <c r="B53">
        <v>4</v>
      </c>
      <c r="C53" t="s">
        <v>202</v>
      </c>
      <c r="D53" t="s">
        <v>244</v>
      </c>
      <c r="E53" t="s">
        <v>245</v>
      </c>
    </row>
    <row r="54" spans="1:5" x14ac:dyDescent="0.25">
      <c r="A54" t="s">
        <v>157</v>
      </c>
      <c r="B54">
        <v>5</v>
      </c>
      <c r="C54" t="s">
        <v>202</v>
      </c>
      <c r="D54" t="s">
        <v>249</v>
      </c>
      <c r="E54" t="s">
        <v>250</v>
      </c>
    </row>
    <row r="55" spans="1:5" x14ac:dyDescent="0.25">
      <c r="A55" t="s">
        <v>157</v>
      </c>
      <c r="B55">
        <v>6</v>
      </c>
      <c r="C55" t="s">
        <v>202</v>
      </c>
      <c r="D55" t="s">
        <v>246</v>
      </c>
      <c r="E55" t="s">
        <v>247</v>
      </c>
    </row>
    <row r="56" spans="1:5" x14ac:dyDescent="0.25">
      <c r="A56" t="s">
        <v>159</v>
      </c>
      <c r="B56">
        <v>1</v>
      </c>
      <c r="C56" t="s">
        <v>235</v>
      </c>
      <c r="D56" t="s">
        <v>236</v>
      </c>
      <c r="E56" t="s">
        <v>237</v>
      </c>
    </row>
    <row r="57" spans="1:5" x14ac:dyDescent="0.25">
      <c r="A57" t="s">
        <v>159</v>
      </c>
      <c r="B57">
        <v>2</v>
      </c>
      <c r="C57" t="s">
        <v>238</v>
      </c>
      <c r="D57" t="s">
        <v>269</v>
      </c>
      <c r="E57" t="s">
        <v>121</v>
      </c>
    </row>
    <row r="58" spans="1:5" x14ac:dyDescent="0.25">
      <c r="A58" t="s">
        <v>159</v>
      </c>
      <c r="B58">
        <v>3</v>
      </c>
      <c r="C58" t="s">
        <v>240</v>
      </c>
      <c r="D58" t="s">
        <v>269</v>
      </c>
      <c r="E58" t="s">
        <v>121</v>
      </c>
    </row>
    <row r="59" spans="1:5" x14ac:dyDescent="0.25">
      <c r="A59" t="s">
        <v>159</v>
      </c>
      <c r="B59">
        <v>5</v>
      </c>
      <c r="C59" t="s">
        <v>202</v>
      </c>
      <c r="D59" t="s">
        <v>255</v>
      </c>
      <c r="E59" t="s">
        <v>256</v>
      </c>
    </row>
    <row r="60" spans="1:5" x14ac:dyDescent="0.25">
      <c r="A60" t="s">
        <v>159</v>
      </c>
      <c r="B60">
        <v>4</v>
      </c>
      <c r="C60" t="s">
        <v>202</v>
      </c>
      <c r="D60" t="s">
        <v>253</v>
      </c>
      <c r="E60" t="s">
        <v>254</v>
      </c>
    </row>
    <row r="61" spans="1:5" x14ac:dyDescent="0.25">
      <c r="A61" t="s">
        <v>161</v>
      </c>
      <c r="B61">
        <v>1</v>
      </c>
      <c r="C61" t="s">
        <v>235</v>
      </c>
      <c r="D61" t="s">
        <v>236</v>
      </c>
      <c r="E61" t="s">
        <v>237</v>
      </c>
    </row>
    <row r="62" spans="1:5" x14ac:dyDescent="0.25">
      <c r="A62" t="s">
        <v>161</v>
      </c>
      <c r="B62">
        <v>2</v>
      </c>
      <c r="C62" t="s">
        <v>238</v>
      </c>
      <c r="D62" t="s">
        <v>270</v>
      </c>
      <c r="E62" t="s">
        <v>121</v>
      </c>
    </row>
    <row r="63" spans="1:5" x14ac:dyDescent="0.25">
      <c r="A63" t="s">
        <v>161</v>
      </c>
      <c r="B63">
        <v>3</v>
      </c>
      <c r="C63" t="s">
        <v>240</v>
      </c>
      <c r="D63" t="s">
        <v>270</v>
      </c>
      <c r="E63" t="s">
        <v>121</v>
      </c>
    </row>
    <row r="64" spans="1:5" x14ac:dyDescent="0.25">
      <c r="A64" t="s">
        <v>161</v>
      </c>
      <c r="B64">
        <v>4</v>
      </c>
      <c r="C64" t="s">
        <v>202</v>
      </c>
      <c r="D64" t="s">
        <v>271</v>
      </c>
      <c r="E64" t="s">
        <v>272</v>
      </c>
    </row>
    <row r="65" spans="1:5" x14ac:dyDescent="0.25">
      <c r="A65" t="s">
        <v>161</v>
      </c>
      <c r="B65">
        <v>5</v>
      </c>
      <c r="C65" t="s">
        <v>202</v>
      </c>
      <c r="D65" t="s">
        <v>273</v>
      </c>
      <c r="E65" t="s">
        <v>274</v>
      </c>
    </row>
    <row r="66" spans="1:5" x14ac:dyDescent="0.25">
      <c r="A66" t="s">
        <v>161</v>
      </c>
      <c r="B66">
        <v>6</v>
      </c>
      <c r="C66" t="s">
        <v>202</v>
      </c>
      <c r="D66" t="s">
        <v>275</v>
      </c>
      <c r="E66" t="s">
        <v>276</v>
      </c>
    </row>
    <row r="67" spans="1:5" x14ac:dyDescent="0.25">
      <c r="A67" t="s">
        <v>163</v>
      </c>
      <c r="B67">
        <v>1</v>
      </c>
      <c r="C67" t="s">
        <v>235</v>
      </c>
      <c r="D67" t="s">
        <v>236</v>
      </c>
      <c r="E67" t="s">
        <v>237</v>
      </c>
    </row>
    <row r="68" spans="1:5" x14ac:dyDescent="0.25">
      <c r="A68" t="s">
        <v>163</v>
      </c>
      <c r="B68">
        <v>2</v>
      </c>
      <c r="C68" t="s">
        <v>238</v>
      </c>
      <c r="D68" t="s">
        <v>277</v>
      </c>
      <c r="E68" t="s">
        <v>121</v>
      </c>
    </row>
    <row r="69" spans="1:5" x14ac:dyDescent="0.25">
      <c r="A69" t="s">
        <v>163</v>
      </c>
      <c r="B69">
        <v>3</v>
      </c>
      <c r="C69" t="s">
        <v>240</v>
      </c>
      <c r="D69" t="s">
        <v>277</v>
      </c>
      <c r="E69" t="s">
        <v>121</v>
      </c>
    </row>
    <row r="70" spans="1:5" x14ac:dyDescent="0.25">
      <c r="A70" t="s">
        <v>163</v>
      </c>
      <c r="B70">
        <v>4</v>
      </c>
      <c r="C70" t="s">
        <v>241</v>
      </c>
      <c r="D70" t="s">
        <v>278</v>
      </c>
      <c r="E70" t="s">
        <v>121</v>
      </c>
    </row>
    <row r="71" spans="1:5" x14ac:dyDescent="0.25">
      <c r="A71" t="s">
        <v>166</v>
      </c>
      <c r="B71">
        <v>1</v>
      </c>
      <c r="C71" t="s">
        <v>235</v>
      </c>
      <c r="D71" t="s">
        <v>236</v>
      </c>
      <c r="E71" t="s">
        <v>237</v>
      </c>
    </row>
    <row r="72" spans="1:5" x14ac:dyDescent="0.25">
      <c r="A72" t="s">
        <v>166</v>
      </c>
      <c r="B72">
        <v>2</v>
      </c>
      <c r="C72" t="s">
        <v>238</v>
      </c>
      <c r="D72" t="s">
        <v>279</v>
      </c>
      <c r="E72" t="s">
        <v>121</v>
      </c>
    </row>
    <row r="73" spans="1:5" x14ac:dyDescent="0.25">
      <c r="A73" t="s">
        <v>166</v>
      </c>
      <c r="B73">
        <v>3</v>
      </c>
      <c r="C73" t="s">
        <v>240</v>
      </c>
      <c r="D73" t="s">
        <v>279</v>
      </c>
      <c r="E73" t="s">
        <v>121</v>
      </c>
    </row>
    <row r="74" spans="1:5" x14ac:dyDescent="0.25">
      <c r="A74" t="s">
        <v>166</v>
      </c>
      <c r="B74">
        <v>4</v>
      </c>
      <c r="C74" t="s">
        <v>202</v>
      </c>
      <c r="D74" t="s">
        <v>244</v>
      </c>
      <c r="E74" t="s">
        <v>245</v>
      </c>
    </row>
    <row r="75" spans="1:5" x14ac:dyDescent="0.25">
      <c r="A75" t="s">
        <v>166</v>
      </c>
      <c r="B75">
        <v>5</v>
      </c>
      <c r="C75" t="s">
        <v>202</v>
      </c>
      <c r="D75" t="s">
        <v>249</v>
      </c>
      <c r="E75" t="s">
        <v>250</v>
      </c>
    </row>
    <row r="76" spans="1:5" x14ac:dyDescent="0.25">
      <c r="A76" t="s">
        <v>166</v>
      </c>
      <c r="B76">
        <v>6</v>
      </c>
      <c r="C76" t="s">
        <v>202</v>
      </c>
      <c r="D76" t="s">
        <v>246</v>
      </c>
      <c r="E76" t="s">
        <v>247</v>
      </c>
    </row>
    <row r="77" spans="1:5" x14ac:dyDescent="0.25">
      <c r="A77" t="s">
        <v>169</v>
      </c>
      <c r="B77">
        <v>1</v>
      </c>
      <c r="C77" t="s">
        <v>235</v>
      </c>
      <c r="D77" t="s">
        <v>236</v>
      </c>
      <c r="E77" t="s">
        <v>237</v>
      </c>
    </row>
    <row r="78" spans="1:5" x14ac:dyDescent="0.25">
      <c r="A78" t="s">
        <v>169</v>
      </c>
      <c r="B78">
        <v>2</v>
      </c>
      <c r="C78" t="s">
        <v>238</v>
      </c>
      <c r="D78" t="s">
        <v>280</v>
      </c>
      <c r="E78" t="s">
        <v>121</v>
      </c>
    </row>
    <row r="79" spans="1:5" x14ac:dyDescent="0.25">
      <c r="A79" t="s">
        <v>169</v>
      </c>
      <c r="B79">
        <v>3</v>
      </c>
      <c r="C79" t="s">
        <v>240</v>
      </c>
      <c r="D79" t="s">
        <v>280</v>
      </c>
      <c r="E79" t="s">
        <v>121</v>
      </c>
    </row>
    <row r="80" spans="1:5" x14ac:dyDescent="0.25">
      <c r="A80" t="s">
        <v>169</v>
      </c>
      <c r="B80">
        <v>4</v>
      </c>
      <c r="C80" t="s">
        <v>202</v>
      </c>
      <c r="D80" t="s">
        <v>251</v>
      </c>
      <c r="E80" t="s">
        <v>247</v>
      </c>
    </row>
    <row r="81" spans="1:5" x14ac:dyDescent="0.25">
      <c r="A81" t="s">
        <v>169</v>
      </c>
      <c r="B81">
        <v>5</v>
      </c>
      <c r="C81" t="s">
        <v>202</v>
      </c>
      <c r="D81" t="s">
        <v>246</v>
      </c>
      <c r="E81" t="s">
        <v>247</v>
      </c>
    </row>
    <row r="82" spans="1:5" x14ac:dyDescent="0.25">
      <c r="A82" t="s">
        <v>169</v>
      </c>
      <c r="B82">
        <v>6</v>
      </c>
      <c r="C82" t="s">
        <v>202</v>
      </c>
      <c r="D82" t="s">
        <v>248</v>
      </c>
      <c r="E82" t="s">
        <v>247</v>
      </c>
    </row>
    <row r="83" spans="1:5" x14ac:dyDescent="0.25">
      <c r="A83" t="s">
        <v>169</v>
      </c>
      <c r="B83">
        <v>7</v>
      </c>
      <c r="C83" t="s">
        <v>202</v>
      </c>
      <c r="D83" t="s">
        <v>281</v>
      </c>
      <c r="E83" t="s">
        <v>282</v>
      </c>
    </row>
    <row r="84" spans="1:5" x14ac:dyDescent="0.25">
      <c r="A84" t="s">
        <v>171</v>
      </c>
      <c r="B84">
        <v>1</v>
      </c>
      <c r="C84" t="s">
        <v>235</v>
      </c>
      <c r="D84" t="s">
        <v>236</v>
      </c>
      <c r="E84" t="s">
        <v>237</v>
      </c>
    </row>
    <row r="85" spans="1:5" x14ac:dyDescent="0.25">
      <c r="A85" t="s">
        <v>171</v>
      </c>
      <c r="B85">
        <v>2</v>
      </c>
      <c r="C85" t="s">
        <v>238</v>
      </c>
      <c r="D85" t="s">
        <v>283</v>
      </c>
      <c r="E85" t="s">
        <v>121</v>
      </c>
    </row>
    <row r="86" spans="1:5" x14ac:dyDescent="0.25">
      <c r="A86" t="s">
        <v>171</v>
      </c>
      <c r="B86">
        <v>3</v>
      </c>
      <c r="C86" t="s">
        <v>240</v>
      </c>
      <c r="D86" t="s">
        <v>283</v>
      </c>
      <c r="E86" t="s">
        <v>121</v>
      </c>
    </row>
    <row r="87" spans="1:5" x14ac:dyDescent="0.25">
      <c r="A87" t="s">
        <v>171</v>
      </c>
      <c r="B87">
        <v>4</v>
      </c>
      <c r="C87" t="s">
        <v>202</v>
      </c>
      <c r="D87" t="s">
        <v>251</v>
      </c>
      <c r="E87" t="s">
        <v>247</v>
      </c>
    </row>
    <row r="88" spans="1:5" x14ac:dyDescent="0.25">
      <c r="A88" t="s">
        <v>171</v>
      </c>
      <c r="B88">
        <v>5</v>
      </c>
      <c r="C88" t="s">
        <v>202</v>
      </c>
      <c r="D88" t="s">
        <v>246</v>
      </c>
      <c r="E88" t="s">
        <v>247</v>
      </c>
    </row>
    <row r="89" spans="1:5" x14ac:dyDescent="0.25">
      <c r="A89" t="s">
        <v>171</v>
      </c>
      <c r="B89">
        <v>6</v>
      </c>
      <c r="C89" t="s">
        <v>202</v>
      </c>
      <c r="D89" t="s">
        <v>248</v>
      </c>
      <c r="E89" t="s">
        <v>247</v>
      </c>
    </row>
    <row r="90" spans="1:5" x14ac:dyDescent="0.25">
      <c r="A90" t="s">
        <v>171</v>
      </c>
      <c r="B90">
        <v>7</v>
      </c>
      <c r="C90" t="s">
        <v>202</v>
      </c>
      <c r="D90" t="s">
        <v>281</v>
      </c>
      <c r="E90" t="s">
        <v>282</v>
      </c>
    </row>
  </sheetData>
  <pageMargins left="0.7" right="0.7" top="0.75" bottom="0.75" header="0.3" footer="0.3"/>
  <pageSetup firstPageNumber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autoPageBreaks="0"/>
  </sheetPr>
  <dimension ref="A1:I16"/>
  <sheetViews>
    <sheetView workbookViewId="0"/>
  </sheetViews>
  <sheetFormatPr defaultRowHeight="15" x14ac:dyDescent="0.25"/>
  <cols>
    <col min="1" max="1" width="27.42578125" bestFit="1" customWidth="1"/>
    <col min="3" max="5" width="17.42578125" bestFit="1" customWidth="1"/>
    <col min="6" max="6" width="13.42578125" bestFit="1" customWidth="1"/>
    <col min="7" max="7" width="10.42578125" bestFit="1" customWidth="1"/>
    <col min="8" max="8" width="16.42578125" bestFit="1" customWidth="1"/>
    <col min="9" max="9" width="26.42578125" bestFit="1" customWidth="1"/>
  </cols>
  <sheetData>
    <row r="1" spans="1:9" ht="15.75" x14ac:dyDescent="0.25">
      <c r="A1" s="1" t="s">
        <v>0</v>
      </c>
      <c r="B1" s="1" t="s">
        <v>177</v>
      </c>
      <c r="C1" s="1" t="s">
        <v>284</v>
      </c>
      <c r="D1" s="1" t="s">
        <v>285</v>
      </c>
      <c r="E1" s="1" t="s">
        <v>286</v>
      </c>
      <c r="F1" s="1" t="s">
        <v>287</v>
      </c>
      <c r="G1" s="1" t="s">
        <v>288</v>
      </c>
      <c r="H1" s="1" t="s">
        <v>289</v>
      </c>
      <c r="I1" s="1" t="s">
        <v>290</v>
      </c>
    </row>
    <row r="2" spans="1:9" x14ac:dyDescent="0.25">
      <c r="A2" t="s">
        <v>104</v>
      </c>
      <c r="B2">
        <v>1</v>
      </c>
      <c r="C2" t="s">
        <v>208</v>
      </c>
      <c r="D2" t="s">
        <v>291</v>
      </c>
      <c r="E2" t="s">
        <v>292</v>
      </c>
      <c r="F2" t="s">
        <v>293</v>
      </c>
    </row>
    <row r="3" spans="1:9" x14ac:dyDescent="0.25">
      <c r="A3" t="s">
        <v>130</v>
      </c>
      <c r="B3">
        <v>1</v>
      </c>
      <c r="C3" t="s">
        <v>108</v>
      </c>
      <c r="D3" t="s">
        <v>294</v>
      </c>
      <c r="E3" t="s">
        <v>295</v>
      </c>
      <c r="F3" t="s">
        <v>296</v>
      </c>
    </row>
    <row r="4" spans="1:9" x14ac:dyDescent="0.25">
      <c r="A4" t="s">
        <v>138</v>
      </c>
      <c r="B4">
        <v>1</v>
      </c>
      <c r="C4" t="s">
        <v>108</v>
      </c>
      <c r="D4" t="s">
        <v>294</v>
      </c>
      <c r="E4" t="s">
        <v>295</v>
      </c>
      <c r="F4" t="s">
        <v>296</v>
      </c>
    </row>
    <row r="5" spans="1:9" x14ac:dyDescent="0.25">
      <c r="A5" t="s">
        <v>140</v>
      </c>
      <c r="B5">
        <v>1</v>
      </c>
      <c r="C5" t="s">
        <v>208</v>
      </c>
      <c r="D5" t="s">
        <v>291</v>
      </c>
      <c r="E5" t="s">
        <v>292</v>
      </c>
      <c r="F5" t="s">
        <v>293</v>
      </c>
    </row>
    <row r="6" spans="1:9" x14ac:dyDescent="0.25">
      <c r="A6" t="s">
        <v>145</v>
      </c>
      <c r="B6">
        <v>1</v>
      </c>
      <c r="C6" t="s">
        <v>108</v>
      </c>
      <c r="D6" t="s">
        <v>294</v>
      </c>
      <c r="E6" t="s">
        <v>295</v>
      </c>
      <c r="F6" t="s">
        <v>296</v>
      </c>
    </row>
    <row r="7" spans="1:9" x14ac:dyDescent="0.25">
      <c r="A7" t="s">
        <v>147</v>
      </c>
      <c r="B7">
        <v>1</v>
      </c>
      <c r="C7" t="s">
        <v>108</v>
      </c>
      <c r="D7" t="s">
        <v>294</v>
      </c>
      <c r="E7" t="s">
        <v>295</v>
      </c>
      <c r="F7" t="s">
        <v>296</v>
      </c>
    </row>
    <row r="8" spans="1:9" x14ac:dyDescent="0.25">
      <c r="A8" t="s">
        <v>150</v>
      </c>
      <c r="B8">
        <v>1</v>
      </c>
      <c r="C8" t="s">
        <v>108</v>
      </c>
      <c r="D8" t="s">
        <v>294</v>
      </c>
      <c r="E8" t="s">
        <v>295</v>
      </c>
      <c r="F8" t="s">
        <v>296</v>
      </c>
    </row>
    <row r="9" spans="1:9" x14ac:dyDescent="0.25">
      <c r="A9" t="s">
        <v>152</v>
      </c>
      <c r="B9">
        <v>1</v>
      </c>
      <c r="C9" t="s">
        <v>208</v>
      </c>
      <c r="D9" t="s">
        <v>291</v>
      </c>
      <c r="E9" t="s">
        <v>292</v>
      </c>
      <c r="F9" t="s">
        <v>293</v>
      </c>
    </row>
    <row r="10" spans="1:9" x14ac:dyDescent="0.25">
      <c r="A10" t="s">
        <v>157</v>
      </c>
      <c r="B10">
        <v>1</v>
      </c>
      <c r="C10" t="s">
        <v>108</v>
      </c>
      <c r="D10" t="s">
        <v>294</v>
      </c>
      <c r="E10" t="s">
        <v>295</v>
      </c>
      <c r="F10" t="s">
        <v>296</v>
      </c>
    </row>
    <row r="11" spans="1:9" x14ac:dyDescent="0.25">
      <c r="A11" t="s">
        <v>159</v>
      </c>
      <c r="B11">
        <v>1</v>
      </c>
      <c r="C11" t="s">
        <v>108</v>
      </c>
      <c r="D11" t="s">
        <v>294</v>
      </c>
      <c r="E11" t="s">
        <v>295</v>
      </c>
      <c r="F11" t="s">
        <v>296</v>
      </c>
    </row>
    <row r="12" spans="1:9" x14ac:dyDescent="0.25">
      <c r="A12" t="s">
        <v>161</v>
      </c>
      <c r="B12">
        <v>1</v>
      </c>
      <c r="C12" t="s">
        <v>108</v>
      </c>
      <c r="D12" t="s">
        <v>294</v>
      </c>
      <c r="E12" t="s">
        <v>295</v>
      </c>
      <c r="F12" t="s">
        <v>296</v>
      </c>
    </row>
    <row r="13" spans="1:9" x14ac:dyDescent="0.25">
      <c r="A13" t="s">
        <v>163</v>
      </c>
      <c r="B13">
        <v>1</v>
      </c>
      <c r="C13" t="s">
        <v>208</v>
      </c>
      <c r="D13" t="s">
        <v>291</v>
      </c>
      <c r="E13" t="s">
        <v>292</v>
      </c>
      <c r="F13" t="s">
        <v>293</v>
      </c>
    </row>
    <row r="14" spans="1:9" x14ac:dyDescent="0.25">
      <c r="A14" t="s">
        <v>166</v>
      </c>
      <c r="B14">
        <v>1</v>
      </c>
      <c r="C14" t="s">
        <v>108</v>
      </c>
      <c r="D14" t="s">
        <v>294</v>
      </c>
      <c r="E14" t="s">
        <v>295</v>
      </c>
      <c r="F14" t="s">
        <v>296</v>
      </c>
    </row>
    <row r="15" spans="1:9" x14ac:dyDescent="0.25">
      <c r="A15" t="s">
        <v>169</v>
      </c>
      <c r="B15">
        <v>1</v>
      </c>
      <c r="C15" t="s">
        <v>108</v>
      </c>
      <c r="D15" t="s">
        <v>294</v>
      </c>
      <c r="E15" t="s">
        <v>295</v>
      </c>
      <c r="F15" t="s">
        <v>296</v>
      </c>
    </row>
    <row r="16" spans="1:9" x14ac:dyDescent="0.25">
      <c r="A16" t="s">
        <v>171</v>
      </c>
      <c r="B16">
        <v>1</v>
      </c>
      <c r="C16" t="s">
        <v>108</v>
      </c>
      <c r="D16" t="s">
        <v>294</v>
      </c>
      <c r="E16" t="s">
        <v>295</v>
      </c>
      <c r="F16" t="s">
        <v>296</v>
      </c>
    </row>
  </sheetData>
  <pageMargins left="0.7" right="0.7" top="0.75" bottom="0.75" header="0.3" footer="0.3"/>
  <pageSetup firstPageNumber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autoPageBreaks="0"/>
  </sheetPr>
  <dimension ref="A1:F16"/>
  <sheetViews>
    <sheetView workbookViewId="0"/>
  </sheetViews>
  <sheetFormatPr defaultRowHeight="15" x14ac:dyDescent="0.25"/>
  <cols>
    <col min="1" max="1" width="27.42578125" bestFit="1" customWidth="1"/>
    <col min="3" max="3" width="13.42578125" bestFit="1" customWidth="1"/>
    <col min="4" max="4" width="15.42578125" bestFit="1" customWidth="1"/>
    <col min="5" max="5" width="9.42578125" bestFit="1" customWidth="1"/>
    <col min="6" max="6" width="12.42578125" bestFit="1" customWidth="1"/>
  </cols>
  <sheetData>
    <row r="1" spans="1:6" ht="15.75" x14ac:dyDescent="0.25">
      <c r="A1" s="1" t="s">
        <v>0</v>
      </c>
      <c r="B1" s="1" t="s">
        <v>177</v>
      </c>
      <c r="C1" s="1" t="s">
        <v>297</v>
      </c>
      <c r="D1" s="1" t="s">
        <v>298</v>
      </c>
      <c r="E1" s="1" t="s">
        <v>299</v>
      </c>
      <c r="F1" s="1" t="s">
        <v>300</v>
      </c>
    </row>
    <row r="2" spans="1:6" x14ac:dyDescent="0.25">
      <c r="A2" t="s">
        <v>104</v>
      </c>
      <c r="B2">
        <v>1</v>
      </c>
      <c r="C2" t="s">
        <v>301</v>
      </c>
      <c r="D2">
        <v>1</v>
      </c>
      <c r="E2" t="s">
        <v>302</v>
      </c>
    </row>
    <row r="3" spans="1:6" x14ac:dyDescent="0.25">
      <c r="A3" t="s">
        <v>130</v>
      </c>
      <c r="B3">
        <v>1</v>
      </c>
      <c r="C3" t="s">
        <v>303</v>
      </c>
      <c r="D3">
        <v>24</v>
      </c>
      <c r="E3" t="s">
        <v>304</v>
      </c>
    </row>
    <row r="4" spans="1:6" x14ac:dyDescent="0.25">
      <c r="A4" t="s">
        <v>138</v>
      </c>
      <c r="B4">
        <v>1</v>
      </c>
      <c r="C4" t="s">
        <v>303</v>
      </c>
      <c r="D4">
        <v>16</v>
      </c>
      <c r="E4" t="s">
        <v>304</v>
      </c>
    </row>
    <row r="5" spans="1:6" x14ac:dyDescent="0.25">
      <c r="A5" t="s">
        <v>140</v>
      </c>
      <c r="B5">
        <v>1</v>
      </c>
      <c r="C5" t="s">
        <v>301</v>
      </c>
      <c r="D5">
        <v>1</v>
      </c>
      <c r="E5" t="s">
        <v>302</v>
      </c>
    </row>
    <row r="6" spans="1:6" x14ac:dyDescent="0.25">
      <c r="A6" t="s">
        <v>145</v>
      </c>
      <c r="B6">
        <v>1</v>
      </c>
      <c r="C6" t="s">
        <v>303</v>
      </c>
      <c r="D6">
        <v>17</v>
      </c>
      <c r="E6" t="s">
        <v>304</v>
      </c>
    </row>
    <row r="7" spans="1:6" x14ac:dyDescent="0.25">
      <c r="A7" t="s">
        <v>147</v>
      </c>
      <c r="B7">
        <v>1</v>
      </c>
      <c r="C7" t="s">
        <v>303</v>
      </c>
      <c r="D7">
        <v>40</v>
      </c>
      <c r="E7" t="s">
        <v>304</v>
      </c>
    </row>
    <row r="8" spans="1:6" x14ac:dyDescent="0.25">
      <c r="A8" t="s">
        <v>150</v>
      </c>
      <c r="B8">
        <v>1</v>
      </c>
      <c r="C8" t="s">
        <v>303</v>
      </c>
      <c r="D8">
        <v>67</v>
      </c>
      <c r="E8" t="s">
        <v>304</v>
      </c>
    </row>
    <row r="9" spans="1:6" x14ac:dyDescent="0.25">
      <c r="A9" t="s">
        <v>152</v>
      </c>
      <c r="B9">
        <v>1</v>
      </c>
      <c r="C9" t="s">
        <v>301</v>
      </c>
      <c r="D9">
        <v>1</v>
      </c>
      <c r="E9" t="s">
        <v>302</v>
      </c>
    </row>
    <row r="10" spans="1:6" x14ac:dyDescent="0.25">
      <c r="A10" t="s">
        <v>157</v>
      </c>
      <c r="B10">
        <v>1</v>
      </c>
      <c r="C10" t="s">
        <v>303</v>
      </c>
      <c r="D10">
        <v>39</v>
      </c>
      <c r="E10" t="s">
        <v>304</v>
      </c>
    </row>
    <row r="11" spans="1:6" x14ac:dyDescent="0.25">
      <c r="A11" t="s">
        <v>159</v>
      </c>
      <c r="B11">
        <v>1</v>
      </c>
      <c r="C11" t="s">
        <v>303</v>
      </c>
      <c r="D11">
        <v>9</v>
      </c>
      <c r="E11" t="s">
        <v>304</v>
      </c>
    </row>
    <row r="12" spans="1:6" x14ac:dyDescent="0.25">
      <c r="A12" t="s">
        <v>161</v>
      </c>
      <c r="B12">
        <v>1</v>
      </c>
      <c r="C12" t="s">
        <v>303</v>
      </c>
      <c r="D12">
        <v>15</v>
      </c>
      <c r="E12" t="s">
        <v>304</v>
      </c>
    </row>
    <row r="13" spans="1:6" x14ac:dyDescent="0.25">
      <c r="A13" t="s">
        <v>163</v>
      </c>
      <c r="B13">
        <v>1</v>
      </c>
      <c r="C13" t="s">
        <v>301</v>
      </c>
      <c r="D13">
        <v>1</v>
      </c>
      <c r="E13" t="s">
        <v>302</v>
      </c>
    </row>
    <row r="14" spans="1:6" x14ac:dyDescent="0.25">
      <c r="A14" t="s">
        <v>166</v>
      </c>
      <c r="B14">
        <v>1</v>
      </c>
      <c r="C14" t="s">
        <v>303</v>
      </c>
      <c r="D14">
        <v>8</v>
      </c>
      <c r="E14" t="s">
        <v>304</v>
      </c>
    </row>
    <row r="15" spans="1:6" x14ac:dyDescent="0.25">
      <c r="A15" t="s">
        <v>169</v>
      </c>
      <c r="B15">
        <v>1</v>
      </c>
      <c r="C15" t="s">
        <v>303</v>
      </c>
      <c r="D15">
        <v>26</v>
      </c>
      <c r="E15" t="s">
        <v>304</v>
      </c>
    </row>
    <row r="16" spans="1:6" x14ac:dyDescent="0.25">
      <c r="A16" t="s">
        <v>171</v>
      </c>
      <c r="B16">
        <v>1</v>
      </c>
      <c r="C16" t="s">
        <v>303</v>
      </c>
      <c r="D16">
        <v>56</v>
      </c>
      <c r="E16" t="s">
        <v>304</v>
      </c>
    </row>
  </sheetData>
  <pageMargins left="0.7" right="0.7" top="0.75" bottom="0.75" header="0.3" footer="0.3"/>
  <pageSetup firstPageNumber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autoPageBreaks="0"/>
  </sheetPr>
  <dimension ref="A1:G1"/>
  <sheetViews>
    <sheetView workbookViewId="0"/>
  </sheetViews>
  <sheetFormatPr defaultRowHeight="15" x14ac:dyDescent="0.25"/>
  <cols>
    <col min="1" max="1" width="10.42578125" bestFit="1" customWidth="1"/>
    <col min="3" max="3" width="15.42578125" bestFit="1" customWidth="1"/>
    <col min="4" max="4" width="22.42578125" bestFit="1" customWidth="1"/>
    <col min="5" max="5" width="21.42578125" bestFit="1" customWidth="1"/>
    <col min="6" max="6" width="20.42578125" bestFit="1" customWidth="1"/>
    <col min="7" max="7" width="12.42578125" bestFit="1" customWidth="1"/>
  </cols>
  <sheetData>
    <row r="1" spans="1:7" ht="15.75" x14ac:dyDescent="0.25">
      <c r="A1" s="1" t="s">
        <v>0</v>
      </c>
      <c r="B1" s="1" t="s">
        <v>177</v>
      </c>
      <c r="C1" s="1" t="s">
        <v>305</v>
      </c>
      <c r="D1" s="1" t="s">
        <v>306</v>
      </c>
      <c r="E1" s="1" t="s">
        <v>307</v>
      </c>
      <c r="F1" s="1" t="s">
        <v>308</v>
      </c>
      <c r="G1" s="1" t="s">
        <v>300</v>
      </c>
    </row>
  </sheetData>
  <pageMargins left="0.7" right="0.7" top="0.75" bottom="0.75" header="0.3" footer="0.3"/>
  <pageSetup firstPageNumber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T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4.42578125" bestFit="1" customWidth="1"/>
    <col min="4" max="4" width="26.42578125" bestFit="1" customWidth="1"/>
    <col min="6" max="8" width="17.42578125" bestFit="1" customWidth="1"/>
    <col min="11" max="11" width="9.42578125" bestFit="1" customWidth="1"/>
    <col min="12" max="12" width="19.42578125" bestFit="1" customWidth="1"/>
    <col min="13" max="13" width="15.42578125" bestFit="1" customWidth="1"/>
    <col min="14" max="14" width="9.42578125" bestFit="1" customWidth="1"/>
    <col min="16" max="16" width="26.42578125" bestFit="1" customWidth="1"/>
    <col min="17" max="17" width="18.42578125" bestFit="1" customWidth="1"/>
    <col min="18" max="18" width="21.42578125" bestFit="1" customWidth="1"/>
  </cols>
  <sheetData>
    <row r="1" spans="1:20" ht="15.75" x14ac:dyDescent="0.25">
      <c r="A1" s="1" t="s">
        <v>0</v>
      </c>
      <c r="B1" s="1" t="s">
        <v>467</v>
      </c>
      <c r="C1" s="1" t="s">
        <v>468</v>
      </c>
      <c r="D1" s="1" t="s">
        <v>469</v>
      </c>
      <c r="E1" s="1" t="s">
        <v>329</v>
      </c>
      <c r="F1" s="1" t="s">
        <v>470</v>
      </c>
      <c r="G1" s="1" t="s">
        <v>471</v>
      </c>
      <c r="H1" s="1" t="s">
        <v>472</v>
      </c>
      <c r="I1" s="1" t="s">
        <v>473</v>
      </c>
      <c r="J1" s="1" t="s">
        <v>474</v>
      </c>
      <c r="K1" s="1" t="s">
        <v>475</v>
      </c>
      <c r="L1" s="1" t="s">
        <v>476</v>
      </c>
      <c r="M1" s="1" t="s">
        <v>477</v>
      </c>
      <c r="N1" s="1" t="s">
        <v>60</v>
      </c>
      <c r="O1" s="1" t="s">
        <v>478</v>
      </c>
      <c r="P1" s="1" t="s">
        <v>479</v>
      </c>
      <c r="Q1" s="1" t="s">
        <v>480</v>
      </c>
      <c r="R1" s="1" t="s">
        <v>481</v>
      </c>
      <c r="S1" s="1" t="s">
        <v>482</v>
      </c>
      <c r="T1" s="1" t="s">
        <v>483</v>
      </c>
    </row>
  </sheetData>
  <pageMargins left="0.7" right="0.7" top="0.75" bottom="0.75" header="0.3" footer="0.3"/>
  <pageSetup firstPageNumber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autoPageBreaks="0"/>
  </sheetPr>
  <dimension ref="A1:BR183"/>
  <sheetViews>
    <sheetView tabSelected="1" workbookViewId="0">
      <selection activeCell="C184" sqref="C184"/>
    </sheetView>
  </sheetViews>
  <sheetFormatPr defaultRowHeight="15" x14ac:dyDescent="0.25"/>
  <cols>
    <col min="1" max="1" width="27.42578125" bestFit="1" customWidth="1"/>
    <col min="2" max="2" width="12.42578125" bestFit="1" customWidth="1"/>
    <col min="3" max="3" width="9.42578125" bestFit="1" customWidth="1"/>
    <col min="4" max="4" width="13.42578125" bestFit="1" customWidth="1"/>
    <col min="5" max="5" width="127.42578125" bestFit="1" customWidth="1"/>
    <col min="6" max="6" width="9.42578125" bestFit="1" customWidth="1"/>
    <col min="7" max="8" width="10.42578125" bestFit="1" customWidth="1"/>
    <col min="9" max="9" width="17.42578125" bestFit="1" customWidth="1"/>
    <col min="10" max="10" width="12.42578125" bestFit="1" customWidth="1"/>
    <col min="11" max="11" width="14.42578125" bestFit="1" customWidth="1"/>
    <col min="12" max="12" width="13.42578125" bestFit="1" customWidth="1"/>
    <col min="13" max="13" width="15.42578125" bestFit="1" customWidth="1"/>
    <col min="14" max="14" width="18.42578125" bestFit="1" customWidth="1"/>
    <col min="15" max="15" width="17.42578125" bestFit="1" customWidth="1"/>
    <col min="16" max="16" width="18.42578125" bestFit="1" customWidth="1"/>
    <col min="17" max="17" width="20.42578125" bestFit="1" customWidth="1"/>
    <col min="18" max="18" width="15.42578125" bestFit="1" customWidth="1"/>
    <col min="19" max="19" width="17.42578125" bestFit="1" customWidth="1"/>
    <col min="23" max="23" width="11.42578125" bestFit="1" customWidth="1"/>
    <col min="24" max="24" width="12.42578125" bestFit="1" customWidth="1"/>
    <col min="25" max="25" width="17.42578125" bestFit="1" customWidth="1"/>
    <col min="27" max="27" width="11.42578125" bestFit="1" customWidth="1"/>
    <col min="30" max="30" width="9.42578125" bestFit="1" customWidth="1"/>
    <col min="32" max="32" width="13.42578125" bestFit="1" customWidth="1"/>
    <col min="34" max="34" width="17.42578125" bestFit="1" customWidth="1"/>
    <col min="35" max="35" width="16.42578125" bestFit="1" customWidth="1"/>
    <col min="36" max="37" width="13.42578125" bestFit="1" customWidth="1"/>
    <col min="38" max="38" width="14.42578125" bestFit="1" customWidth="1"/>
    <col min="39" max="39" width="13.42578125" bestFit="1" customWidth="1"/>
    <col min="40" max="40" width="11.42578125" bestFit="1" customWidth="1"/>
    <col min="41" max="41" width="17.42578125" bestFit="1" customWidth="1"/>
    <col min="42" max="42" width="13.42578125" bestFit="1" customWidth="1"/>
    <col min="43" max="47" width="17.42578125" bestFit="1" customWidth="1"/>
    <col min="48" max="48" width="20.42578125" bestFit="1" customWidth="1"/>
    <col min="49" max="49" width="21.42578125" bestFit="1" customWidth="1"/>
    <col min="50" max="50" width="20.42578125" bestFit="1" customWidth="1"/>
    <col min="51" max="52" width="17.42578125" bestFit="1" customWidth="1"/>
    <col min="53" max="53" width="18.42578125" bestFit="1" customWidth="1"/>
    <col min="54" max="54" width="13.42578125" bestFit="1" customWidth="1"/>
    <col min="55" max="55" width="10.42578125" bestFit="1" customWidth="1"/>
    <col min="56" max="56" width="16.42578125" bestFit="1" customWidth="1"/>
    <col min="57" max="57" width="19.42578125" bestFit="1" customWidth="1"/>
    <col min="58" max="58" width="9.42578125" bestFit="1" customWidth="1"/>
    <col min="59" max="59" width="18.42578125" bestFit="1" customWidth="1"/>
    <col min="60" max="60" width="22.42578125" bestFit="1" customWidth="1"/>
    <col min="61" max="61" width="9.42578125" bestFit="1" customWidth="1"/>
    <col min="62" max="62" width="16.42578125" bestFit="1" customWidth="1"/>
    <col min="63" max="64" width="18.42578125" bestFit="1" customWidth="1"/>
    <col min="65" max="65" width="10.42578125" bestFit="1" customWidth="1"/>
    <col min="66" max="66" width="12.42578125" bestFit="1" customWidth="1"/>
    <col min="67" max="67" width="18.42578125" bestFit="1" customWidth="1"/>
    <col min="68" max="68" width="23.42578125" bestFit="1" customWidth="1"/>
    <col min="69" max="69" width="30.42578125" bestFit="1" customWidth="1"/>
    <col min="70" max="70" width="26.42578125" bestFit="1" customWidth="1"/>
  </cols>
  <sheetData>
    <row r="1" spans="1:70" ht="15.75" x14ac:dyDescent="0.25">
      <c r="A1" s="1" t="s">
        <v>0</v>
      </c>
      <c r="B1" s="1" t="s">
        <v>309</v>
      </c>
      <c r="C1" s="1" t="s">
        <v>310</v>
      </c>
      <c r="D1" s="1" t="s">
        <v>311</v>
      </c>
      <c r="E1" s="1" t="s">
        <v>312</v>
      </c>
      <c r="F1" s="1" t="s">
        <v>299</v>
      </c>
      <c r="G1" s="1" t="s">
        <v>313</v>
      </c>
      <c r="H1" s="1" t="s">
        <v>314</v>
      </c>
      <c r="I1" s="1" t="s">
        <v>315</v>
      </c>
      <c r="J1" s="1" t="s">
        <v>316</v>
      </c>
      <c r="K1" s="1" t="s">
        <v>317</v>
      </c>
      <c r="L1" s="1" t="s">
        <v>297</v>
      </c>
      <c r="M1" s="1" t="s">
        <v>298</v>
      </c>
      <c r="N1" s="1" t="s">
        <v>318</v>
      </c>
      <c r="O1" s="1" t="s">
        <v>319</v>
      </c>
      <c r="P1" s="1" t="s">
        <v>320</v>
      </c>
      <c r="Q1" s="1" t="s">
        <v>321</v>
      </c>
      <c r="R1" s="1" t="s">
        <v>322</v>
      </c>
      <c r="S1" s="1" t="s">
        <v>323</v>
      </c>
      <c r="T1" s="1" t="s">
        <v>77</v>
      </c>
      <c r="U1" s="1" t="s">
        <v>76</v>
      </c>
      <c r="V1" s="1" t="s">
        <v>78</v>
      </c>
      <c r="W1" s="1" t="s">
        <v>324</v>
      </c>
      <c r="X1" s="1" t="s">
        <v>325</v>
      </c>
      <c r="Y1" s="1" t="s">
        <v>326</v>
      </c>
      <c r="Z1" s="1" t="s">
        <v>69</v>
      </c>
      <c r="AA1" s="1" t="s">
        <v>327</v>
      </c>
      <c r="AB1" s="1" t="s">
        <v>71</v>
      </c>
      <c r="AC1" s="1" t="s">
        <v>65</v>
      </c>
      <c r="AD1" s="1" t="s">
        <v>60</v>
      </c>
      <c r="AE1" s="1" t="s">
        <v>64</v>
      </c>
      <c r="AF1" s="1" t="s">
        <v>328</v>
      </c>
      <c r="AG1" s="1" t="s">
        <v>329</v>
      </c>
      <c r="AH1" s="1" t="s">
        <v>330</v>
      </c>
      <c r="AI1" s="1" t="s">
        <v>331</v>
      </c>
      <c r="AJ1" s="1" t="s">
        <v>332</v>
      </c>
      <c r="AK1" s="1" t="s">
        <v>333</v>
      </c>
      <c r="AL1" s="1" t="s">
        <v>334</v>
      </c>
      <c r="AM1" s="1" t="s">
        <v>61</v>
      </c>
      <c r="AN1" s="1" t="s">
        <v>74</v>
      </c>
      <c r="AO1" s="1" t="s">
        <v>335</v>
      </c>
      <c r="AP1" s="1" t="s">
        <v>336</v>
      </c>
      <c r="AQ1" s="1" t="s">
        <v>337</v>
      </c>
      <c r="AR1" s="1" t="s">
        <v>338</v>
      </c>
      <c r="AS1" s="1" t="s">
        <v>30</v>
      </c>
      <c r="AT1" s="1" t="s">
        <v>339</v>
      </c>
      <c r="AU1" s="1" t="s">
        <v>88</v>
      </c>
      <c r="AV1" s="1" t="s">
        <v>340</v>
      </c>
      <c r="AW1" s="1" t="s">
        <v>341</v>
      </c>
      <c r="AX1" s="1" t="s">
        <v>342</v>
      </c>
      <c r="AY1" s="1" t="s">
        <v>343</v>
      </c>
      <c r="AZ1" s="1" t="s">
        <v>344</v>
      </c>
      <c r="BA1" s="1" t="s">
        <v>345</v>
      </c>
      <c r="BB1" s="1" t="s">
        <v>346</v>
      </c>
      <c r="BC1" s="1" t="s">
        <v>347</v>
      </c>
      <c r="BD1" s="1" t="s">
        <v>348</v>
      </c>
      <c r="BE1" s="1" t="s">
        <v>349</v>
      </c>
      <c r="BF1" s="1" t="s">
        <v>350</v>
      </c>
      <c r="BG1" s="1" t="s">
        <v>351</v>
      </c>
      <c r="BH1" s="1" t="s">
        <v>352</v>
      </c>
      <c r="BI1" s="1" t="s">
        <v>353</v>
      </c>
      <c r="BJ1" s="1" t="s">
        <v>354</v>
      </c>
      <c r="BK1" s="1" t="s">
        <v>355</v>
      </c>
      <c r="BL1" s="1" t="s">
        <v>356</v>
      </c>
      <c r="BM1" s="1" t="s">
        <v>357</v>
      </c>
      <c r="BN1" s="1" t="s">
        <v>358</v>
      </c>
      <c r="BO1" s="1" t="s">
        <v>8</v>
      </c>
      <c r="BP1" s="1" t="s">
        <v>359</v>
      </c>
      <c r="BQ1" s="1" t="s">
        <v>360</v>
      </c>
      <c r="BR1" s="1" t="s">
        <v>361</v>
      </c>
    </row>
    <row r="2" spans="1:70" x14ac:dyDescent="0.25">
      <c r="A2" t="s">
        <v>104</v>
      </c>
      <c r="B2">
        <v>1</v>
      </c>
      <c r="C2" t="s">
        <v>362</v>
      </c>
      <c r="D2" t="s">
        <v>302</v>
      </c>
      <c r="E2" t="s">
        <v>363</v>
      </c>
      <c r="F2" t="s">
        <v>302</v>
      </c>
      <c r="G2" t="s">
        <v>302</v>
      </c>
      <c r="H2" t="s">
        <v>302</v>
      </c>
      <c r="I2" t="s">
        <v>302</v>
      </c>
      <c r="J2" t="s">
        <v>364</v>
      </c>
      <c r="K2">
        <v>5</v>
      </c>
      <c r="L2" t="s">
        <v>301</v>
      </c>
      <c r="M2">
        <v>1</v>
      </c>
      <c r="T2">
        <v>1</v>
      </c>
      <c r="Z2">
        <v>0</v>
      </c>
      <c r="AA2">
        <v>0</v>
      </c>
      <c r="AB2">
        <v>17707</v>
      </c>
      <c r="AC2">
        <v>9.4</v>
      </c>
      <c r="AF2">
        <v>0</v>
      </c>
      <c r="AG2">
        <v>0</v>
      </c>
      <c r="AH2">
        <v>0</v>
      </c>
      <c r="AI2">
        <v>0</v>
      </c>
      <c r="AJ2">
        <f>+AC2/K2</f>
        <v>1.8800000000000001</v>
      </c>
      <c r="AK2">
        <v>0</v>
      </c>
      <c r="AM2">
        <v>0</v>
      </c>
      <c r="AN2">
        <v>0</v>
      </c>
      <c r="AS2" t="s">
        <v>365</v>
      </c>
      <c r="AY2" t="s">
        <v>366</v>
      </c>
      <c r="BJ2">
        <v>0</v>
      </c>
      <c r="BO2" t="s">
        <v>108</v>
      </c>
      <c r="BR2" t="s">
        <v>129</v>
      </c>
    </row>
    <row r="3" spans="1:70" x14ac:dyDescent="0.25">
      <c r="A3" t="s">
        <v>130</v>
      </c>
      <c r="B3">
        <v>4</v>
      </c>
      <c r="C3" t="s">
        <v>367</v>
      </c>
      <c r="D3" t="s">
        <v>368</v>
      </c>
      <c r="E3" t="s">
        <v>369</v>
      </c>
      <c r="F3" t="s">
        <v>304</v>
      </c>
      <c r="G3" t="s">
        <v>370</v>
      </c>
      <c r="H3" t="s">
        <v>371</v>
      </c>
      <c r="I3" t="s">
        <v>302</v>
      </c>
      <c r="J3" t="s">
        <v>364</v>
      </c>
      <c r="K3">
        <v>100</v>
      </c>
      <c r="L3" t="s">
        <v>303</v>
      </c>
      <c r="M3">
        <v>2</v>
      </c>
      <c r="T3">
        <v>10.08</v>
      </c>
      <c r="AA3">
        <v>0</v>
      </c>
      <c r="AB3">
        <v>17707</v>
      </c>
      <c r="AC3">
        <v>200</v>
      </c>
      <c r="AI3">
        <v>0</v>
      </c>
      <c r="AJ3">
        <f t="shared" ref="AJ3:AJ66" si="0">+AC3/K3</f>
        <v>2</v>
      </c>
      <c r="AK3">
        <v>0.84</v>
      </c>
      <c r="AL3">
        <v>0</v>
      </c>
      <c r="AS3" t="s">
        <v>365</v>
      </c>
      <c r="AY3" t="s">
        <v>366</v>
      </c>
      <c r="BO3" t="s">
        <v>108</v>
      </c>
    </row>
    <row r="4" spans="1:70" x14ac:dyDescent="0.25">
      <c r="A4" t="s">
        <v>130</v>
      </c>
      <c r="B4">
        <v>5</v>
      </c>
      <c r="C4" t="s">
        <v>367</v>
      </c>
      <c r="D4" t="s">
        <v>368</v>
      </c>
      <c r="E4" t="s">
        <v>369</v>
      </c>
      <c r="F4" t="s">
        <v>304</v>
      </c>
      <c r="G4" t="s">
        <v>370</v>
      </c>
      <c r="H4" t="s">
        <v>372</v>
      </c>
      <c r="I4" t="s">
        <v>302</v>
      </c>
      <c r="J4" t="s">
        <v>364</v>
      </c>
      <c r="K4">
        <v>67</v>
      </c>
      <c r="L4" t="s">
        <v>303</v>
      </c>
      <c r="M4">
        <v>2</v>
      </c>
      <c r="T4">
        <v>14.87</v>
      </c>
      <c r="AA4">
        <v>0</v>
      </c>
      <c r="AB4">
        <v>17707</v>
      </c>
      <c r="AC4">
        <v>134</v>
      </c>
      <c r="AI4">
        <v>0</v>
      </c>
      <c r="AJ4">
        <f t="shared" si="0"/>
        <v>2</v>
      </c>
      <c r="AK4">
        <v>0.84</v>
      </c>
      <c r="AL4">
        <v>0</v>
      </c>
      <c r="AS4" t="s">
        <v>365</v>
      </c>
      <c r="AY4" t="s">
        <v>366</v>
      </c>
      <c r="BO4" t="s">
        <v>108</v>
      </c>
    </row>
    <row r="5" spans="1:70" x14ac:dyDescent="0.25">
      <c r="A5" t="s">
        <v>130</v>
      </c>
      <c r="B5">
        <v>6</v>
      </c>
      <c r="C5" t="s">
        <v>367</v>
      </c>
      <c r="D5" t="s">
        <v>368</v>
      </c>
      <c r="E5" t="s">
        <v>369</v>
      </c>
      <c r="F5" t="s">
        <v>304</v>
      </c>
      <c r="G5" t="s">
        <v>370</v>
      </c>
      <c r="H5" t="s">
        <v>373</v>
      </c>
      <c r="I5" t="s">
        <v>302</v>
      </c>
      <c r="J5" t="s">
        <v>364</v>
      </c>
      <c r="K5">
        <v>32</v>
      </c>
      <c r="L5" t="s">
        <v>303</v>
      </c>
      <c r="M5">
        <v>1</v>
      </c>
      <c r="T5">
        <v>3.22</v>
      </c>
      <c r="AA5">
        <v>0</v>
      </c>
      <c r="AB5">
        <v>17707</v>
      </c>
      <c r="AC5">
        <v>64</v>
      </c>
      <c r="AI5">
        <v>0</v>
      </c>
      <c r="AJ5">
        <f t="shared" si="0"/>
        <v>2</v>
      </c>
      <c r="AK5">
        <v>0.84</v>
      </c>
      <c r="AL5">
        <v>0</v>
      </c>
      <c r="AS5" t="s">
        <v>365</v>
      </c>
      <c r="AY5" t="s">
        <v>366</v>
      </c>
      <c r="BO5" t="s">
        <v>108</v>
      </c>
    </row>
    <row r="6" spans="1:70" x14ac:dyDescent="0.25">
      <c r="A6" t="s">
        <v>130</v>
      </c>
      <c r="B6">
        <v>8</v>
      </c>
      <c r="C6" t="s">
        <v>367</v>
      </c>
      <c r="D6" t="s">
        <v>368</v>
      </c>
      <c r="E6" t="s">
        <v>374</v>
      </c>
      <c r="F6" t="s">
        <v>304</v>
      </c>
      <c r="G6" t="s">
        <v>370</v>
      </c>
      <c r="H6" t="s">
        <v>375</v>
      </c>
      <c r="I6" t="s">
        <v>302</v>
      </c>
      <c r="J6" t="s">
        <v>364</v>
      </c>
      <c r="K6">
        <v>239</v>
      </c>
      <c r="L6" t="s">
        <v>303</v>
      </c>
      <c r="M6">
        <v>2</v>
      </c>
      <c r="T6">
        <v>16.649999999999999</v>
      </c>
      <c r="AA6">
        <v>0</v>
      </c>
      <c r="AB6">
        <v>17707</v>
      </c>
      <c r="AC6">
        <v>478</v>
      </c>
      <c r="AI6">
        <v>0</v>
      </c>
      <c r="AJ6">
        <f t="shared" si="0"/>
        <v>2</v>
      </c>
      <c r="AK6">
        <v>0.84</v>
      </c>
      <c r="AL6">
        <v>0</v>
      </c>
      <c r="AS6" t="s">
        <v>365</v>
      </c>
      <c r="AY6" t="s">
        <v>366</v>
      </c>
      <c r="BO6" t="s">
        <v>108</v>
      </c>
    </row>
    <row r="7" spans="1:70" x14ac:dyDescent="0.25">
      <c r="A7" t="s">
        <v>130</v>
      </c>
      <c r="B7">
        <v>9</v>
      </c>
      <c r="C7" t="s">
        <v>367</v>
      </c>
      <c r="D7" t="s">
        <v>368</v>
      </c>
      <c r="E7" t="s">
        <v>374</v>
      </c>
      <c r="F7" t="s">
        <v>304</v>
      </c>
      <c r="G7" t="s">
        <v>370</v>
      </c>
      <c r="H7" t="s">
        <v>376</v>
      </c>
      <c r="I7" t="s">
        <v>302</v>
      </c>
      <c r="J7" t="s">
        <v>364</v>
      </c>
      <c r="K7">
        <v>235</v>
      </c>
      <c r="L7" t="s">
        <v>303</v>
      </c>
      <c r="M7">
        <v>3</v>
      </c>
      <c r="T7">
        <v>18.8</v>
      </c>
      <c r="AA7">
        <v>0</v>
      </c>
      <c r="AB7">
        <v>17707</v>
      </c>
      <c r="AC7">
        <v>470</v>
      </c>
      <c r="AI7">
        <v>0</v>
      </c>
      <c r="AJ7">
        <f t="shared" si="0"/>
        <v>2</v>
      </c>
      <c r="AK7">
        <v>0.84</v>
      </c>
      <c r="AL7">
        <v>0</v>
      </c>
      <c r="AS7" t="s">
        <v>365</v>
      </c>
      <c r="AY7" t="s">
        <v>366</v>
      </c>
      <c r="BO7" t="s">
        <v>108</v>
      </c>
    </row>
    <row r="8" spans="1:70" x14ac:dyDescent="0.25">
      <c r="A8" t="s">
        <v>130</v>
      </c>
      <c r="B8">
        <v>10</v>
      </c>
      <c r="C8" t="s">
        <v>367</v>
      </c>
      <c r="D8" t="s">
        <v>368</v>
      </c>
      <c r="E8" t="s">
        <v>374</v>
      </c>
      <c r="F8" t="s">
        <v>304</v>
      </c>
      <c r="G8" t="s">
        <v>370</v>
      </c>
      <c r="H8" t="s">
        <v>377</v>
      </c>
      <c r="I8" t="s">
        <v>302</v>
      </c>
      <c r="J8" t="s">
        <v>364</v>
      </c>
      <c r="K8">
        <v>200</v>
      </c>
      <c r="L8" t="s">
        <v>303</v>
      </c>
      <c r="M8">
        <v>2</v>
      </c>
      <c r="T8">
        <v>15.3</v>
      </c>
      <c r="AA8">
        <v>0</v>
      </c>
      <c r="AB8">
        <v>17707</v>
      </c>
      <c r="AC8">
        <v>400</v>
      </c>
      <c r="AI8">
        <v>0</v>
      </c>
      <c r="AJ8">
        <f t="shared" si="0"/>
        <v>2</v>
      </c>
      <c r="AK8">
        <v>0.84</v>
      </c>
      <c r="AL8">
        <v>0</v>
      </c>
      <c r="AS8" t="s">
        <v>365</v>
      </c>
      <c r="AY8" t="s">
        <v>366</v>
      </c>
      <c r="BO8" t="s">
        <v>108</v>
      </c>
    </row>
    <row r="9" spans="1:70" x14ac:dyDescent="0.25">
      <c r="A9" t="s">
        <v>130</v>
      </c>
      <c r="B9">
        <v>1</v>
      </c>
      <c r="C9" t="s">
        <v>367</v>
      </c>
      <c r="D9" t="s">
        <v>368</v>
      </c>
      <c r="E9" t="s">
        <v>369</v>
      </c>
      <c r="F9" t="s">
        <v>304</v>
      </c>
      <c r="G9" t="s">
        <v>370</v>
      </c>
      <c r="H9" t="s">
        <v>375</v>
      </c>
      <c r="I9" t="s">
        <v>302</v>
      </c>
      <c r="J9" t="s">
        <v>364</v>
      </c>
      <c r="K9">
        <v>239</v>
      </c>
      <c r="L9" t="s">
        <v>303</v>
      </c>
      <c r="M9">
        <v>2</v>
      </c>
      <c r="T9">
        <v>16.649999999999999</v>
      </c>
      <c r="AA9">
        <v>0</v>
      </c>
      <c r="AB9">
        <v>17707</v>
      </c>
      <c r="AC9">
        <v>478</v>
      </c>
      <c r="AI9">
        <v>0</v>
      </c>
      <c r="AJ9">
        <f t="shared" si="0"/>
        <v>2</v>
      </c>
      <c r="AK9">
        <v>0.84</v>
      </c>
      <c r="AL9">
        <v>0</v>
      </c>
      <c r="AS9" t="s">
        <v>365</v>
      </c>
      <c r="AY9" t="s">
        <v>366</v>
      </c>
      <c r="BO9" t="s">
        <v>108</v>
      </c>
    </row>
    <row r="10" spans="1:70" x14ac:dyDescent="0.25">
      <c r="A10" t="s">
        <v>130</v>
      </c>
      <c r="B10">
        <v>2</v>
      </c>
      <c r="C10" t="s">
        <v>367</v>
      </c>
      <c r="D10" t="s">
        <v>368</v>
      </c>
      <c r="E10" t="s">
        <v>369</v>
      </c>
      <c r="F10" t="s">
        <v>304</v>
      </c>
      <c r="G10" t="s">
        <v>370</v>
      </c>
      <c r="H10" t="s">
        <v>376</v>
      </c>
      <c r="I10" t="s">
        <v>302</v>
      </c>
      <c r="J10" t="s">
        <v>364</v>
      </c>
      <c r="K10">
        <v>236</v>
      </c>
      <c r="L10" t="s">
        <v>303</v>
      </c>
      <c r="M10">
        <v>3</v>
      </c>
      <c r="T10">
        <v>18.88</v>
      </c>
      <c r="AA10">
        <v>0</v>
      </c>
      <c r="AB10">
        <v>17707</v>
      </c>
      <c r="AC10">
        <v>472</v>
      </c>
      <c r="AI10">
        <v>0</v>
      </c>
      <c r="AJ10">
        <f t="shared" si="0"/>
        <v>2</v>
      </c>
      <c r="AK10">
        <v>0.84</v>
      </c>
      <c r="AL10">
        <v>0</v>
      </c>
      <c r="AS10" t="s">
        <v>365</v>
      </c>
      <c r="AY10" t="s">
        <v>366</v>
      </c>
      <c r="BO10" t="s">
        <v>108</v>
      </c>
    </row>
    <row r="11" spans="1:70" x14ac:dyDescent="0.25">
      <c r="A11" t="s">
        <v>130</v>
      </c>
      <c r="B11">
        <v>3</v>
      </c>
      <c r="C11" t="s">
        <v>367</v>
      </c>
      <c r="D11" t="s">
        <v>368</v>
      </c>
      <c r="E11" t="s">
        <v>369</v>
      </c>
      <c r="F11" t="s">
        <v>304</v>
      </c>
      <c r="G11" t="s">
        <v>370</v>
      </c>
      <c r="H11" t="s">
        <v>377</v>
      </c>
      <c r="I11" t="s">
        <v>302</v>
      </c>
      <c r="J11" t="s">
        <v>364</v>
      </c>
      <c r="K11">
        <v>200</v>
      </c>
      <c r="L11" t="s">
        <v>303</v>
      </c>
      <c r="M11">
        <v>2</v>
      </c>
      <c r="T11">
        <v>15.3</v>
      </c>
      <c r="AA11">
        <v>0</v>
      </c>
      <c r="AB11">
        <v>17707</v>
      </c>
      <c r="AC11">
        <v>400</v>
      </c>
      <c r="AI11">
        <v>0</v>
      </c>
      <c r="AJ11">
        <f t="shared" si="0"/>
        <v>2</v>
      </c>
      <c r="AK11">
        <v>0.84</v>
      </c>
      <c r="AL11">
        <v>0</v>
      </c>
      <c r="AS11" t="s">
        <v>365</v>
      </c>
      <c r="AY11" t="s">
        <v>366</v>
      </c>
      <c r="BO11" t="s">
        <v>108</v>
      </c>
    </row>
    <row r="12" spans="1:70" x14ac:dyDescent="0.25">
      <c r="A12" t="s">
        <v>130</v>
      </c>
      <c r="B12">
        <v>7</v>
      </c>
      <c r="C12" t="s">
        <v>367</v>
      </c>
      <c r="D12" t="s">
        <v>368</v>
      </c>
      <c r="E12" t="s">
        <v>369</v>
      </c>
      <c r="F12" t="s">
        <v>304</v>
      </c>
      <c r="G12" t="s">
        <v>370</v>
      </c>
      <c r="H12" t="s">
        <v>378</v>
      </c>
      <c r="I12" t="s">
        <v>302</v>
      </c>
      <c r="J12" t="s">
        <v>364</v>
      </c>
      <c r="K12">
        <v>20</v>
      </c>
      <c r="L12" t="s">
        <v>303</v>
      </c>
      <c r="M12">
        <v>0</v>
      </c>
      <c r="T12">
        <v>0</v>
      </c>
      <c r="AA12">
        <v>0</v>
      </c>
      <c r="AB12">
        <v>17707</v>
      </c>
      <c r="AC12">
        <v>40</v>
      </c>
      <c r="AI12">
        <v>0</v>
      </c>
      <c r="AJ12">
        <f t="shared" si="0"/>
        <v>2</v>
      </c>
      <c r="AK12">
        <v>0.84</v>
      </c>
      <c r="AL12">
        <v>0</v>
      </c>
      <c r="AS12" t="s">
        <v>365</v>
      </c>
      <c r="AY12" t="s">
        <v>366</v>
      </c>
      <c r="BO12" t="s">
        <v>108</v>
      </c>
    </row>
    <row r="13" spans="1:70" x14ac:dyDescent="0.25">
      <c r="A13" t="s">
        <v>130</v>
      </c>
      <c r="B13">
        <v>11</v>
      </c>
      <c r="C13" t="s">
        <v>367</v>
      </c>
      <c r="D13" t="s">
        <v>368</v>
      </c>
      <c r="E13" t="s">
        <v>374</v>
      </c>
      <c r="F13" t="s">
        <v>304</v>
      </c>
      <c r="G13" t="s">
        <v>370</v>
      </c>
      <c r="H13" t="s">
        <v>371</v>
      </c>
      <c r="I13" t="s">
        <v>302</v>
      </c>
      <c r="J13" t="s">
        <v>364</v>
      </c>
      <c r="K13">
        <v>100</v>
      </c>
      <c r="L13" t="s">
        <v>303</v>
      </c>
      <c r="M13">
        <v>2</v>
      </c>
      <c r="T13">
        <v>10.08</v>
      </c>
      <c r="AA13">
        <v>0</v>
      </c>
      <c r="AB13">
        <v>17707</v>
      </c>
      <c r="AC13">
        <v>200</v>
      </c>
      <c r="AI13">
        <v>0</v>
      </c>
      <c r="AJ13">
        <f t="shared" si="0"/>
        <v>2</v>
      </c>
      <c r="AK13">
        <v>0.84</v>
      </c>
      <c r="AL13">
        <v>0</v>
      </c>
      <c r="AS13" t="s">
        <v>365</v>
      </c>
      <c r="AY13" t="s">
        <v>366</v>
      </c>
      <c r="BO13" t="s">
        <v>108</v>
      </c>
    </row>
    <row r="14" spans="1:70" x14ac:dyDescent="0.25">
      <c r="A14" t="s">
        <v>130</v>
      </c>
      <c r="B14">
        <v>12</v>
      </c>
      <c r="C14" t="s">
        <v>367</v>
      </c>
      <c r="D14" t="s">
        <v>368</v>
      </c>
      <c r="E14" t="s">
        <v>374</v>
      </c>
      <c r="F14" t="s">
        <v>304</v>
      </c>
      <c r="G14" t="s">
        <v>370</v>
      </c>
      <c r="H14" t="s">
        <v>372</v>
      </c>
      <c r="I14" t="s">
        <v>302</v>
      </c>
      <c r="J14" t="s">
        <v>364</v>
      </c>
      <c r="K14">
        <v>67</v>
      </c>
      <c r="L14" t="s">
        <v>303</v>
      </c>
      <c r="M14">
        <v>2</v>
      </c>
      <c r="T14">
        <v>14.99</v>
      </c>
      <c r="AA14">
        <v>0</v>
      </c>
      <c r="AB14">
        <v>17707</v>
      </c>
      <c r="AC14">
        <v>134</v>
      </c>
      <c r="AI14">
        <v>0</v>
      </c>
      <c r="AJ14">
        <f t="shared" si="0"/>
        <v>2</v>
      </c>
      <c r="AK14">
        <v>0.84</v>
      </c>
      <c r="AL14">
        <v>0</v>
      </c>
      <c r="AS14" t="s">
        <v>365</v>
      </c>
      <c r="AY14" t="s">
        <v>366</v>
      </c>
      <c r="BO14" t="s">
        <v>108</v>
      </c>
    </row>
    <row r="15" spans="1:70" x14ac:dyDescent="0.25">
      <c r="A15" t="s">
        <v>130</v>
      </c>
      <c r="B15">
        <v>13</v>
      </c>
      <c r="C15" t="s">
        <v>367</v>
      </c>
      <c r="D15" t="s">
        <v>368</v>
      </c>
      <c r="E15" t="s">
        <v>374</v>
      </c>
      <c r="F15" t="s">
        <v>304</v>
      </c>
      <c r="G15" t="s">
        <v>370</v>
      </c>
      <c r="H15" t="s">
        <v>373</v>
      </c>
      <c r="I15" t="s">
        <v>302</v>
      </c>
      <c r="J15" t="s">
        <v>364</v>
      </c>
      <c r="K15">
        <v>32</v>
      </c>
      <c r="L15" t="s">
        <v>303</v>
      </c>
      <c r="M15">
        <v>1</v>
      </c>
      <c r="T15">
        <v>3.22</v>
      </c>
      <c r="AA15">
        <v>0</v>
      </c>
      <c r="AB15">
        <v>17707</v>
      </c>
      <c r="AC15">
        <v>64</v>
      </c>
      <c r="AI15">
        <v>0</v>
      </c>
      <c r="AJ15">
        <f t="shared" si="0"/>
        <v>2</v>
      </c>
      <c r="AK15">
        <v>0.84</v>
      </c>
      <c r="AL15">
        <v>0</v>
      </c>
      <c r="AS15" t="s">
        <v>365</v>
      </c>
      <c r="AY15" t="s">
        <v>366</v>
      </c>
      <c r="BO15" t="s">
        <v>108</v>
      </c>
    </row>
    <row r="16" spans="1:70" x14ac:dyDescent="0.25">
      <c r="A16" t="s">
        <v>130</v>
      </c>
      <c r="B16">
        <v>14</v>
      </c>
      <c r="C16" t="s">
        <v>367</v>
      </c>
      <c r="D16" t="s">
        <v>368</v>
      </c>
      <c r="E16" t="s">
        <v>374</v>
      </c>
      <c r="F16" t="s">
        <v>304</v>
      </c>
      <c r="G16" t="s">
        <v>370</v>
      </c>
      <c r="H16" t="s">
        <v>378</v>
      </c>
      <c r="I16" t="s">
        <v>302</v>
      </c>
      <c r="J16" t="s">
        <v>364</v>
      </c>
      <c r="K16">
        <v>21</v>
      </c>
      <c r="L16" t="s">
        <v>303</v>
      </c>
      <c r="M16">
        <v>0</v>
      </c>
      <c r="T16">
        <v>0</v>
      </c>
      <c r="AA16">
        <v>0</v>
      </c>
      <c r="AB16">
        <v>17707</v>
      </c>
      <c r="AC16">
        <v>42</v>
      </c>
      <c r="AI16">
        <v>0</v>
      </c>
      <c r="AJ16">
        <f t="shared" si="0"/>
        <v>2</v>
      </c>
      <c r="AK16">
        <v>0.84</v>
      </c>
      <c r="AL16">
        <v>0</v>
      </c>
      <c r="AS16" t="s">
        <v>365</v>
      </c>
      <c r="AY16" t="s">
        <v>366</v>
      </c>
      <c r="BO16" t="s">
        <v>108</v>
      </c>
    </row>
    <row r="17" spans="1:70" x14ac:dyDescent="0.25">
      <c r="A17" t="s">
        <v>130</v>
      </c>
      <c r="B17">
        <v>15</v>
      </c>
      <c r="C17" t="s">
        <v>367</v>
      </c>
      <c r="D17" t="s">
        <v>368</v>
      </c>
      <c r="E17" t="s">
        <v>369</v>
      </c>
      <c r="F17" t="s">
        <v>304</v>
      </c>
      <c r="G17" t="s">
        <v>370</v>
      </c>
      <c r="H17" t="s">
        <v>379</v>
      </c>
      <c r="I17" t="s">
        <v>302</v>
      </c>
      <c r="J17" t="s">
        <v>364</v>
      </c>
      <c r="K17">
        <v>13</v>
      </c>
      <c r="L17" t="s">
        <v>303</v>
      </c>
      <c r="M17">
        <v>0</v>
      </c>
      <c r="T17">
        <v>0</v>
      </c>
      <c r="AA17">
        <v>0</v>
      </c>
      <c r="AB17">
        <v>17707</v>
      </c>
      <c r="AC17">
        <v>26</v>
      </c>
      <c r="AI17">
        <v>0</v>
      </c>
      <c r="AJ17">
        <f t="shared" si="0"/>
        <v>2</v>
      </c>
      <c r="AK17">
        <v>0.84</v>
      </c>
      <c r="AL17">
        <v>0</v>
      </c>
      <c r="AS17" t="s">
        <v>365</v>
      </c>
      <c r="AY17" t="s">
        <v>366</v>
      </c>
      <c r="BO17" t="s">
        <v>108</v>
      </c>
    </row>
    <row r="18" spans="1:70" x14ac:dyDescent="0.25">
      <c r="A18" t="s">
        <v>130</v>
      </c>
      <c r="B18">
        <v>16</v>
      </c>
      <c r="C18" t="s">
        <v>367</v>
      </c>
      <c r="D18" t="s">
        <v>368</v>
      </c>
      <c r="E18" t="s">
        <v>369</v>
      </c>
      <c r="F18" t="s">
        <v>304</v>
      </c>
      <c r="G18" t="s">
        <v>370</v>
      </c>
      <c r="H18" t="s">
        <v>380</v>
      </c>
      <c r="I18" t="s">
        <v>302</v>
      </c>
      <c r="J18" t="s">
        <v>364</v>
      </c>
      <c r="K18">
        <v>13</v>
      </c>
      <c r="L18" t="s">
        <v>303</v>
      </c>
      <c r="M18">
        <v>0</v>
      </c>
      <c r="T18">
        <v>0</v>
      </c>
      <c r="AA18">
        <v>0</v>
      </c>
      <c r="AB18">
        <v>17707</v>
      </c>
      <c r="AC18">
        <v>26</v>
      </c>
      <c r="AI18">
        <v>0</v>
      </c>
      <c r="AJ18">
        <f t="shared" si="0"/>
        <v>2</v>
      </c>
      <c r="AK18">
        <v>0.84</v>
      </c>
      <c r="AL18">
        <v>0</v>
      </c>
      <c r="AS18" t="s">
        <v>365</v>
      </c>
      <c r="AY18" t="s">
        <v>366</v>
      </c>
      <c r="BO18" t="s">
        <v>108</v>
      </c>
    </row>
    <row r="19" spans="1:70" x14ac:dyDescent="0.25">
      <c r="A19" t="s">
        <v>130</v>
      </c>
      <c r="B19">
        <v>17</v>
      </c>
      <c r="C19" t="s">
        <v>367</v>
      </c>
      <c r="D19" t="s">
        <v>368</v>
      </c>
      <c r="E19" t="s">
        <v>374</v>
      </c>
      <c r="F19" t="s">
        <v>304</v>
      </c>
      <c r="G19" t="s">
        <v>370</v>
      </c>
      <c r="H19" t="s">
        <v>380</v>
      </c>
      <c r="I19" t="s">
        <v>302</v>
      </c>
      <c r="J19" t="s">
        <v>364</v>
      </c>
      <c r="K19">
        <v>13</v>
      </c>
      <c r="L19" t="s">
        <v>303</v>
      </c>
      <c r="M19">
        <v>0</v>
      </c>
      <c r="T19">
        <v>0</v>
      </c>
      <c r="AA19">
        <v>0</v>
      </c>
      <c r="AB19">
        <v>17707</v>
      </c>
      <c r="AC19">
        <v>26</v>
      </c>
      <c r="AI19">
        <v>0</v>
      </c>
      <c r="AJ19">
        <f t="shared" si="0"/>
        <v>2</v>
      </c>
      <c r="AK19">
        <v>0.84</v>
      </c>
      <c r="AL19">
        <v>0</v>
      </c>
      <c r="AS19" t="s">
        <v>365</v>
      </c>
      <c r="AY19" t="s">
        <v>366</v>
      </c>
      <c r="BO19" t="s">
        <v>108</v>
      </c>
    </row>
    <row r="20" spans="1:70" x14ac:dyDescent="0.25">
      <c r="A20" t="s">
        <v>130</v>
      </c>
      <c r="B20">
        <v>18</v>
      </c>
      <c r="C20" t="s">
        <v>367</v>
      </c>
      <c r="D20" t="s">
        <v>368</v>
      </c>
      <c r="E20" t="s">
        <v>374</v>
      </c>
      <c r="F20" t="s">
        <v>304</v>
      </c>
      <c r="G20" t="s">
        <v>370</v>
      </c>
      <c r="H20" t="s">
        <v>379</v>
      </c>
      <c r="I20" t="s">
        <v>302</v>
      </c>
      <c r="J20" t="s">
        <v>364</v>
      </c>
      <c r="K20">
        <v>13</v>
      </c>
      <c r="L20" t="s">
        <v>303</v>
      </c>
      <c r="M20">
        <v>0</v>
      </c>
      <c r="T20">
        <v>0</v>
      </c>
      <c r="AA20">
        <v>0</v>
      </c>
      <c r="AB20">
        <v>17707</v>
      </c>
      <c r="AC20">
        <v>26</v>
      </c>
      <c r="AI20">
        <v>0</v>
      </c>
      <c r="AJ20">
        <f t="shared" si="0"/>
        <v>2</v>
      </c>
      <c r="AK20">
        <v>0.84</v>
      </c>
      <c r="AL20">
        <v>0</v>
      </c>
      <c r="AS20" t="s">
        <v>365</v>
      </c>
      <c r="AY20" t="s">
        <v>366</v>
      </c>
      <c r="BO20" t="s">
        <v>108</v>
      </c>
    </row>
    <row r="21" spans="1:70" x14ac:dyDescent="0.25">
      <c r="A21" t="s">
        <v>138</v>
      </c>
      <c r="B21">
        <v>8</v>
      </c>
      <c r="C21" t="s">
        <v>367</v>
      </c>
      <c r="D21" t="s">
        <v>381</v>
      </c>
      <c r="E21" t="s">
        <v>382</v>
      </c>
      <c r="F21" t="s">
        <v>304</v>
      </c>
      <c r="G21" t="s">
        <v>383</v>
      </c>
      <c r="H21" t="s">
        <v>380</v>
      </c>
      <c r="I21" t="s">
        <v>302</v>
      </c>
      <c r="J21" t="s">
        <v>364</v>
      </c>
      <c r="K21">
        <v>48</v>
      </c>
      <c r="L21" t="s">
        <v>303</v>
      </c>
      <c r="M21">
        <v>1</v>
      </c>
      <c r="T21">
        <v>3.7949999999999999</v>
      </c>
      <c r="AA21">
        <v>0</v>
      </c>
      <c r="AB21">
        <v>17707</v>
      </c>
      <c r="AC21">
        <v>95.52</v>
      </c>
      <c r="AI21">
        <v>0</v>
      </c>
      <c r="AJ21">
        <f t="shared" si="0"/>
        <v>1.99</v>
      </c>
      <c r="AK21">
        <v>0.81</v>
      </c>
      <c r="AL21">
        <v>0</v>
      </c>
      <c r="AS21" t="s">
        <v>365</v>
      </c>
      <c r="AY21" t="s">
        <v>366</v>
      </c>
      <c r="BO21" t="s">
        <v>108</v>
      </c>
    </row>
    <row r="22" spans="1:70" x14ac:dyDescent="0.25">
      <c r="A22" t="s">
        <v>138</v>
      </c>
      <c r="B22">
        <v>9</v>
      </c>
      <c r="C22" t="s">
        <v>367</v>
      </c>
      <c r="D22" t="s">
        <v>381</v>
      </c>
      <c r="E22" t="s">
        <v>382</v>
      </c>
      <c r="F22" t="s">
        <v>304</v>
      </c>
      <c r="G22" t="s">
        <v>383</v>
      </c>
      <c r="H22" t="s">
        <v>379</v>
      </c>
      <c r="I22" t="s">
        <v>302</v>
      </c>
      <c r="J22" t="s">
        <v>364</v>
      </c>
      <c r="K22">
        <v>19</v>
      </c>
      <c r="L22" t="s">
        <v>303</v>
      </c>
      <c r="M22">
        <v>0</v>
      </c>
      <c r="T22">
        <v>0</v>
      </c>
      <c r="AA22">
        <v>0</v>
      </c>
      <c r="AB22">
        <v>17707</v>
      </c>
      <c r="AC22">
        <v>37.81</v>
      </c>
      <c r="AI22">
        <v>0</v>
      </c>
      <c r="AJ22">
        <f t="shared" si="0"/>
        <v>1.9900000000000002</v>
      </c>
      <c r="AK22">
        <v>0.81</v>
      </c>
      <c r="AL22">
        <v>0</v>
      </c>
      <c r="AS22" t="s">
        <v>365</v>
      </c>
      <c r="AY22" t="s">
        <v>366</v>
      </c>
      <c r="BO22" t="s">
        <v>108</v>
      </c>
    </row>
    <row r="23" spans="1:70" x14ac:dyDescent="0.25">
      <c r="A23" t="s">
        <v>138</v>
      </c>
      <c r="B23">
        <v>4</v>
      </c>
      <c r="C23" t="s">
        <v>367</v>
      </c>
      <c r="D23" t="s">
        <v>381</v>
      </c>
      <c r="E23" t="s">
        <v>382</v>
      </c>
      <c r="F23" t="s">
        <v>304</v>
      </c>
      <c r="G23" t="s">
        <v>383</v>
      </c>
      <c r="H23" t="s">
        <v>377</v>
      </c>
      <c r="I23" t="s">
        <v>302</v>
      </c>
      <c r="J23" t="s">
        <v>364</v>
      </c>
      <c r="K23">
        <v>422</v>
      </c>
      <c r="L23" t="s">
        <v>303</v>
      </c>
      <c r="M23">
        <v>3</v>
      </c>
      <c r="T23">
        <v>33.15</v>
      </c>
      <c r="AA23">
        <v>0</v>
      </c>
      <c r="AB23">
        <v>17707</v>
      </c>
      <c r="AC23">
        <v>839.78</v>
      </c>
      <c r="AI23">
        <v>0</v>
      </c>
      <c r="AJ23">
        <f t="shared" si="0"/>
        <v>1.99</v>
      </c>
      <c r="AK23">
        <v>0.81</v>
      </c>
      <c r="AL23">
        <v>0</v>
      </c>
      <c r="AS23" t="s">
        <v>365</v>
      </c>
      <c r="AY23" t="s">
        <v>366</v>
      </c>
      <c r="BO23" t="s">
        <v>108</v>
      </c>
    </row>
    <row r="24" spans="1:70" x14ac:dyDescent="0.25">
      <c r="A24" t="s">
        <v>138</v>
      </c>
      <c r="B24">
        <v>5</v>
      </c>
      <c r="C24" t="s">
        <v>367</v>
      </c>
      <c r="D24" t="s">
        <v>381</v>
      </c>
      <c r="E24" t="s">
        <v>382</v>
      </c>
      <c r="F24" t="s">
        <v>304</v>
      </c>
      <c r="G24" t="s">
        <v>383</v>
      </c>
      <c r="H24" t="s">
        <v>375</v>
      </c>
      <c r="I24" t="s">
        <v>302</v>
      </c>
      <c r="J24" t="s">
        <v>364</v>
      </c>
      <c r="K24">
        <v>374</v>
      </c>
      <c r="L24" t="s">
        <v>303</v>
      </c>
      <c r="M24">
        <v>3</v>
      </c>
      <c r="T24">
        <v>26.18</v>
      </c>
      <c r="AA24">
        <v>0</v>
      </c>
      <c r="AB24">
        <v>17707</v>
      </c>
      <c r="AC24">
        <v>744.26</v>
      </c>
      <c r="AI24">
        <v>0</v>
      </c>
      <c r="AJ24">
        <f t="shared" si="0"/>
        <v>1.99</v>
      </c>
      <c r="AK24">
        <v>0.81</v>
      </c>
      <c r="AL24">
        <v>0</v>
      </c>
      <c r="AS24" t="s">
        <v>365</v>
      </c>
      <c r="AY24" t="s">
        <v>366</v>
      </c>
      <c r="BO24" t="s">
        <v>108</v>
      </c>
    </row>
    <row r="25" spans="1:70" x14ac:dyDescent="0.25">
      <c r="A25" t="s">
        <v>138</v>
      </c>
      <c r="B25">
        <v>6</v>
      </c>
      <c r="C25" t="s">
        <v>367</v>
      </c>
      <c r="D25" t="s">
        <v>381</v>
      </c>
      <c r="E25" t="s">
        <v>382</v>
      </c>
      <c r="F25" t="s">
        <v>304</v>
      </c>
      <c r="G25" t="s">
        <v>383</v>
      </c>
      <c r="H25" t="s">
        <v>376</v>
      </c>
      <c r="I25" t="s">
        <v>302</v>
      </c>
      <c r="J25" t="s">
        <v>364</v>
      </c>
      <c r="K25">
        <v>421</v>
      </c>
      <c r="L25" t="s">
        <v>303</v>
      </c>
      <c r="M25">
        <v>3</v>
      </c>
      <c r="T25">
        <v>31.574999999999999</v>
      </c>
      <c r="AA25">
        <v>0</v>
      </c>
      <c r="AB25">
        <v>17707</v>
      </c>
      <c r="AC25">
        <v>837.79</v>
      </c>
      <c r="AI25">
        <v>0</v>
      </c>
      <c r="AJ25">
        <f t="shared" si="0"/>
        <v>1.99</v>
      </c>
      <c r="AK25">
        <v>0.81</v>
      </c>
      <c r="AL25">
        <v>0</v>
      </c>
      <c r="AS25" t="s">
        <v>365</v>
      </c>
      <c r="AY25" t="s">
        <v>366</v>
      </c>
      <c r="BO25" t="s">
        <v>108</v>
      </c>
    </row>
    <row r="26" spans="1:70" x14ac:dyDescent="0.25">
      <c r="A26" t="s">
        <v>138</v>
      </c>
      <c r="B26">
        <v>7</v>
      </c>
      <c r="C26" t="s">
        <v>367</v>
      </c>
      <c r="D26" t="s">
        <v>381</v>
      </c>
      <c r="E26" t="s">
        <v>382</v>
      </c>
      <c r="F26" t="s">
        <v>304</v>
      </c>
      <c r="G26" t="s">
        <v>383</v>
      </c>
      <c r="H26" t="s">
        <v>378</v>
      </c>
      <c r="I26" t="s">
        <v>302</v>
      </c>
      <c r="J26" t="s">
        <v>364</v>
      </c>
      <c r="K26">
        <v>35</v>
      </c>
      <c r="L26" t="s">
        <v>303</v>
      </c>
      <c r="M26">
        <v>1</v>
      </c>
      <c r="T26">
        <v>3.15</v>
      </c>
      <c r="AA26">
        <v>0</v>
      </c>
      <c r="AB26">
        <v>17707</v>
      </c>
      <c r="AC26">
        <v>69.650000000000006</v>
      </c>
      <c r="AI26">
        <v>0</v>
      </c>
      <c r="AJ26">
        <f t="shared" si="0"/>
        <v>1.9900000000000002</v>
      </c>
      <c r="AK26">
        <v>0.81</v>
      </c>
      <c r="AL26">
        <v>0</v>
      </c>
      <c r="AS26" t="s">
        <v>365</v>
      </c>
      <c r="AY26" t="s">
        <v>366</v>
      </c>
      <c r="BO26" t="s">
        <v>108</v>
      </c>
    </row>
    <row r="27" spans="1:70" x14ac:dyDescent="0.25">
      <c r="A27" t="s">
        <v>138</v>
      </c>
      <c r="B27">
        <v>3</v>
      </c>
      <c r="C27" t="s">
        <v>367</v>
      </c>
      <c r="D27" t="s">
        <v>381</v>
      </c>
      <c r="E27" t="s">
        <v>382</v>
      </c>
      <c r="F27" t="s">
        <v>304</v>
      </c>
      <c r="G27" t="s">
        <v>384</v>
      </c>
      <c r="H27" t="s">
        <v>373</v>
      </c>
      <c r="I27" t="s">
        <v>302</v>
      </c>
      <c r="J27" t="s">
        <v>364</v>
      </c>
      <c r="K27">
        <v>99</v>
      </c>
      <c r="L27" t="s">
        <v>303</v>
      </c>
      <c r="M27">
        <v>1</v>
      </c>
      <c r="T27">
        <v>6.3</v>
      </c>
      <c r="AA27">
        <v>0</v>
      </c>
      <c r="AB27">
        <v>17707</v>
      </c>
      <c r="AC27">
        <v>197.01</v>
      </c>
      <c r="AI27">
        <v>0</v>
      </c>
      <c r="AJ27">
        <f t="shared" si="0"/>
        <v>1.99</v>
      </c>
      <c r="AK27">
        <v>0.81</v>
      </c>
      <c r="AL27">
        <v>0</v>
      </c>
      <c r="AS27" t="s">
        <v>365</v>
      </c>
      <c r="AY27" t="s">
        <v>366</v>
      </c>
      <c r="BO27" t="s">
        <v>108</v>
      </c>
    </row>
    <row r="28" spans="1:70" x14ac:dyDescent="0.25">
      <c r="A28" t="s">
        <v>138</v>
      </c>
      <c r="B28">
        <v>1</v>
      </c>
      <c r="C28" t="s">
        <v>367</v>
      </c>
      <c r="D28" t="s">
        <v>381</v>
      </c>
      <c r="E28" t="s">
        <v>382</v>
      </c>
      <c r="F28" t="s">
        <v>304</v>
      </c>
      <c r="G28" t="s">
        <v>383</v>
      </c>
      <c r="H28" t="s">
        <v>371</v>
      </c>
      <c r="I28" t="s">
        <v>302</v>
      </c>
      <c r="J28" t="s">
        <v>364</v>
      </c>
      <c r="K28">
        <v>253</v>
      </c>
      <c r="L28" t="s">
        <v>303</v>
      </c>
      <c r="M28">
        <v>2</v>
      </c>
      <c r="T28">
        <v>19.95</v>
      </c>
      <c r="AA28">
        <v>0</v>
      </c>
      <c r="AB28">
        <v>17707</v>
      </c>
      <c r="AC28">
        <v>503.47</v>
      </c>
      <c r="AI28">
        <v>0</v>
      </c>
      <c r="AJ28">
        <f t="shared" si="0"/>
        <v>1.9900000000000002</v>
      </c>
      <c r="AK28">
        <v>0.81</v>
      </c>
      <c r="AL28">
        <v>0</v>
      </c>
      <c r="AS28" t="s">
        <v>365</v>
      </c>
      <c r="AY28" t="s">
        <v>366</v>
      </c>
      <c r="BO28" t="s">
        <v>108</v>
      </c>
    </row>
    <row r="29" spans="1:70" x14ac:dyDescent="0.25">
      <c r="A29" t="s">
        <v>138</v>
      </c>
      <c r="B29">
        <v>2</v>
      </c>
      <c r="C29" t="s">
        <v>367</v>
      </c>
      <c r="D29" t="s">
        <v>381</v>
      </c>
      <c r="E29" t="s">
        <v>382</v>
      </c>
      <c r="F29" t="s">
        <v>304</v>
      </c>
      <c r="G29" t="s">
        <v>383</v>
      </c>
      <c r="H29" t="s">
        <v>372</v>
      </c>
      <c r="I29" t="s">
        <v>302</v>
      </c>
      <c r="J29" t="s">
        <v>364</v>
      </c>
      <c r="K29">
        <v>109</v>
      </c>
      <c r="L29" t="s">
        <v>303</v>
      </c>
      <c r="M29">
        <v>2</v>
      </c>
      <c r="T29">
        <v>22.04</v>
      </c>
      <c r="AA29">
        <v>0</v>
      </c>
      <c r="AB29">
        <v>17707</v>
      </c>
      <c r="AC29">
        <v>216.91</v>
      </c>
      <c r="AI29">
        <v>0</v>
      </c>
      <c r="AJ29">
        <f t="shared" si="0"/>
        <v>1.99</v>
      </c>
      <c r="AK29">
        <v>0.81</v>
      </c>
      <c r="AL29">
        <v>0</v>
      </c>
      <c r="AS29" t="s">
        <v>365</v>
      </c>
      <c r="AY29" t="s">
        <v>366</v>
      </c>
      <c r="BO29" t="s">
        <v>108</v>
      </c>
    </row>
    <row r="30" spans="1:70" x14ac:dyDescent="0.25">
      <c r="A30" t="s">
        <v>140</v>
      </c>
      <c r="B30">
        <v>1</v>
      </c>
      <c r="C30" t="s">
        <v>362</v>
      </c>
      <c r="D30" t="s">
        <v>302</v>
      </c>
      <c r="E30" t="s">
        <v>363</v>
      </c>
      <c r="F30" t="s">
        <v>302</v>
      </c>
      <c r="G30" t="s">
        <v>302</v>
      </c>
      <c r="H30" t="s">
        <v>302</v>
      </c>
      <c r="I30" t="s">
        <v>302</v>
      </c>
      <c r="J30" t="s">
        <v>364</v>
      </c>
      <c r="K30">
        <v>9</v>
      </c>
      <c r="L30" t="s">
        <v>301</v>
      </c>
      <c r="M30">
        <v>1</v>
      </c>
      <c r="T30">
        <v>1</v>
      </c>
      <c r="Z30">
        <v>0</v>
      </c>
      <c r="AA30">
        <v>0</v>
      </c>
      <c r="AB30">
        <v>17707</v>
      </c>
      <c r="AC30">
        <v>15.8</v>
      </c>
      <c r="AF30">
        <v>0</v>
      </c>
      <c r="AG30">
        <v>0</v>
      </c>
      <c r="AH30">
        <v>0</v>
      </c>
      <c r="AI30">
        <v>0</v>
      </c>
      <c r="AJ30">
        <f t="shared" si="0"/>
        <v>1.7555555555555555</v>
      </c>
      <c r="AK30">
        <v>0</v>
      </c>
      <c r="AM30">
        <v>0</v>
      </c>
      <c r="AN30">
        <v>0</v>
      </c>
      <c r="AS30" t="s">
        <v>365</v>
      </c>
      <c r="AY30" t="s">
        <v>366</v>
      </c>
      <c r="BJ30">
        <v>0</v>
      </c>
      <c r="BO30" t="s">
        <v>108</v>
      </c>
      <c r="BR30" t="s">
        <v>129</v>
      </c>
    </row>
    <row r="31" spans="1:70" x14ac:dyDescent="0.25">
      <c r="A31" t="s">
        <v>145</v>
      </c>
      <c r="B31">
        <v>6</v>
      </c>
      <c r="C31" t="s">
        <v>367</v>
      </c>
      <c r="D31" t="s">
        <v>385</v>
      </c>
      <c r="E31" t="s">
        <v>386</v>
      </c>
      <c r="F31" t="s">
        <v>304</v>
      </c>
      <c r="G31" t="s">
        <v>370</v>
      </c>
      <c r="H31" t="s">
        <v>373</v>
      </c>
      <c r="I31" t="s">
        <v>302</v>
      </c>
      <c r="J31" t="s">
        <v>364</v>
      </c>
      <c r="K31">
        <v>34</v>
      </c>
      <c r="L31" t="s">
        <v>303</v>
      </c>
      <c r="M31">
        <v>1</v>
      </c>
      <c r="T31">
        <v>3.22</v>
      </c>
      <c r="AA31">
        <v>0</v>
      </c>
      <c r="AB31">
        <v>17707</v>
      </c>
      <c r="AC31">
        <v>69.36</v>
      </c>
      <c r="AI31">
        <v>0</v>
      </c>
      <c r="AJ31">
        <f t="shared" si="0"/>
        <v>2.04</v>
      </c>
      <c r="AK31">
        <v>0.84</v>
      </c>
      <c r="AL31">
        <v>0</v>
      </c>
      <c r="AS31" t="s">
        <v>365</v>
      </c>
      <c r="AY31" t="s">
        <v>366</v>
      </c>
      <c r="BO31" t="s">
        <v>108</v>
      </c>
    </row>
    <row r="32" spans="1:70" x14ac:dyDescent="0.25">
      <c r="A32" t="s">
        <v>145</v>
      </c>
      <c r="B32">
        <v>7</v>
      </c>
      <c r="C32" t="s">
        <v>367</v>
      </c>
      <c r="D32" t="s">
        <v>385</v>
      </c>
      <c r="E32" t="s">
        <v>386</v>
      </c>
      <c r="F32" t="s">
        <v>304</v>
      </c>
      <c r="G32" t="s">
        <v>370</v>
      </c>
      <c r="H32" t="s">
        <v>379</v>
      </c>
      <c r="I32" t="s">
        <v>302</v>
      </c>
      <c r="J32" t="s">
        <v>364</v>
      </c>
      <c r="K32">
        <v>12</v>
      </c>
      <c r="L32" t="s">
        <v>303</v>
      </c>
      <c r="M32">
        <v>0</v>
      </c>
      <c r="T32">
        <v>0</v>
      </c>
      <c r="AA32">
        <v>0</v>
      </c>
      <c r="AB32">
        <v>17707</v>
      </c>
      <c r="AC32">
        <v>24.48</v>
      </c>
      <c r="AI32">
        <v>0</v>
      </c>
      <c r="AJ32">
        <f t="shared" si="0"/>
        <v>2.04</v>
      </c>
      <c r="AK32">
        <v>0.84</v>
      </c>
      <c r="AL32">
        <v>0</v>
      </c>
      <c r="AS32" t="s">
        <v>365</v>
      </c>
      <c r="AY32" t="s">
        <v>366</v>
      </c>
      <c r="BO32" t="s">
        <v>108</v>
      </c>
    </row>
    <row r="33" spans="1:67" x14ac:dyDescent="0.25">
      <c r="A33" t="s">
        <v>145</v>
      </c>
      <c r="B33">
        <v>12</v>
      </c>
      <c r="C33" t="s">
        <v>367</v>
      </c>
      <c r="D33" t="s">
        <v>385</v>
      </c>
      <c r="E33" t="s">
        <v>387</v>
      </c>
      <c r="F33" t="s">
        <v>304</v>
      </c>
      <c r="G33" t="s">
        <v>370</v>
      </c>
      <c r="H33" t="s">
        <v>377</v>
      </c>
      <c r="I33" t="s">
        <v>302</v>
      </c>
      <c r="J33" t="s">
        <v>364</v>
      </c>
      <c r="K33">
        <v>48</v>
      </c>
      <c r="L33" t="s">
        <v>303</v>
      </c>
      <c r="M33">
        <v>1</v>
      </c>
      <c r="T33">
        <v>2.7</v>
      </c>
      <c r="AA33">
        <v>0</v>
      </c>
      <c r="AB33">
        <v>17707</v>
      </c>
      <c r="AC33">
        <v>97.92</v>
      </c>
      <c r="AI33">
        <v>0</v>
      </c>
      <c r="AJ33">
        <f t="shared" si="0"/>
        <v>2.04</v>
      </c>
      <c r="AK33">
        <v>0.84</v>
      </c>
      <c r="AL33">
        <v>0</v>
      </c>
      <c r="AS33" t="s">
        <v>365</v>
      </c>
      <c r="AY33" t="s">
        <v>366</v>
      </c>
      <c r="BO33" t="s">
        <v>108</v>
      </c>
    </row>
    <row r="34" spans="1:67" x14ac:dyDescent="0.25">
      <c r="A34" t="s">
        <v>145</v>
      </c>
      <c r="B34">
        <v>8</v>
      </c>
      <c r="C34" t="s">
        <v>367</v>
      </c>
      <c r="D34" t="s">
        <v>385</v>
      </c>
      <c r="E34" t="s">
        <v>386</v>
      </c>
      <c r="F34" t="s">
        <v>304</v>
      </c>
      <c r="G34" t="s">
        <v>370</v>
      </c>
      <c r="H34" t="s">
        <v>378</v>
      </c>
      <c r="I34" t="s">
        <v>302</v>
      </c>
      <c r="J34" t="s">
        <v>364</v>
      </c>
      <c r="K34">
        <v>22</v>
      </c>
      <c r="L34" t="s">
        <v>303</v>
      </c>
      <c r="M34">
        <v>1</v>
      </c>
      <c r="T34">
        <v>2.4</v>
      </c>
      <c r="AA34">
        <v>0</v>
      </c>
      <c r="AB34">
        <v>17707</v>
      </c>
      <c r="AC34">
        <v>44.88</v>
      </c>
      <c r="AI34">
        <v>0</v>
      </c>
      <c r="AJ34">
        <f t="shared" si="0"/>
        <v>2.04</v>
      </c>
      <c r="AK34">
        <v>0.84</v>
      </c>
      <c r="AL34">
        <v>0</v>
      </c>
      <c r="AS34" t="s">
        <v>365</v>
      </c>
      <c r="AY34" t="s">
        <v>366</v>
      </c>
      <c r="BO34" t="s">
        <v>108</v>
      </c>
    </row>
    <row r="35" spans="1:67" x14ac:dyDescent="0.25">
      <c r="A35" t="s">
        <v>145</v>
      </c>
      <c r="B35">
        <v>9</v>
      </c>
      <c r="C35" t="s">
        <v>367</v>
      </c>
      <c r="D35" t="s">
        <v>385</v>
      </c>
      <c r="E35" t="s">
        <v>386</v>
      </c>
      <c r="F35" t="s">
        <v>304</v>
      </c>
      <c r="G35" t="s">
        <v>370</v>
      </c>
      <c r="H35" t="s">
        <v>380</v>
      </c>
      <c r="I35" t="s">
        <v>302</v>
      </c>
      <c r="J35" t="s">
        <v>364</v>
      </c>
      <c r="K35">
        <v>15</v>
      </c>
      <c r="L35" t="s">
        <v>303</v>
      </c>
      <c r="M35">
        <v>0</v>
      </c>
      <c r="T35">
        <v>0</v>
      </c>
      <c r="AA35">
        <v>0</v>
      </c>
      <c r="AB35">
        <v>17707</v>
      </c>
      <c r="AC35">
        <v>30.6</v>
      </c>
      <c r="AI35">
        <v>0</v>
      </c>
      <c r="AJ35">
        <f t="shared" si="0"/>
        <v>2.04</v>
      </c>
      <c r="AK35">
        <v>0.84</v>
      </c>
      <c r="AL35">
        <v>0</v>
      </c>
      <c r="AS35" t="s">
        <v>365</v>
      </c>
      <c r="AY35" t="s">
        <v>366</v>
      </c>
      <c r="BO35" t="s">
        <v>108</v>
      </c>
    </row>
    <row r="36" spans="1:67" x14ac:dyDescent="0.25">
      <c r="A36" t="s">
        <v>145</v>
      </c>
      <c r="B36">
        <v>10</v>
      </c>
      <c r="C36" t="s">
        <v>367</v>
      </c>
      <c r="D36" t="s">
        <v>385</v>
      </c>
      <c r="E36" t="s">
        <v>387</v>
      </c>
      <c r="F36" t="s">
        <v>304</v>
      </c>
      <c r="G36" t="s">
        <v>370</v>
      </c>
      <c r="H36" t="s">
        <v>375</v>
      </c>
      <c r="I36" t="s">
        <v>302</v>
      </c>
      <c r="J36" t="s">
        <v>364</v>
      </c>
      <c r="K36">
        <v>63</v>
      </c>
      <c r="L36" t="s">
        <v>303</v>
      </c>
      <c r="M36">
        <v>1</v>
      </c>
      <c r="T36">
        <v>3</v>
      </c>
      <c r="AA36">
        <v>0</v>
      </c>
      <c r="AB36">
        <v>17707</v>
      </c>
      <c r="AC36">
        <v>128.52000000000001</v>
      </c>
      <c r="AI36">
        <v>0</v>
      </c>
      <c r="AJ36">
        <f t="shared" si="0"/>
        <v>2.04</v>
      </c>
      <c r="AK36">
        <v>0.84</v>
      </c>
      <c r="AL36">
        <v>0</v>
      </c>
      <c r="AS36" t="s">
        <v>365</v>
      </c>
      <c r="AY36" t="s">
        <v>366</v>
      </c>
      <c r="BO36" t="s">
        <v>108</v>
      </c>
    </row>
    <row r="37" spans="1:67" x14ac:dyDescent="0.25">
      <c r="A37" t="s">
        <v>145</v>
      </c>
      <c r="B37">
        <v>11</v>
      </c>
      <c r="C37" t="s">
        <v>367</v>
      </c>
      <c r="D37" t="s">
        <v>385</v>
      </c>
      <c r="E37" t="s">
        <v>387</v>
      </c>
      <c r="F37" t="s">
        <v>304</v>
      </c>
      <c r="G37" t="s">
        <v>370</v>
      </c>
      <c r="H37" t="s">
        <v>376</v>
      </c>
      <c r="I37" t="s">
        <v>302</v>
      </c>
      <c r="J37" t="s">
        <v>364</v>
      </c>
      <c r="K37">
        <v>58</v>
      </c>
      <c r="L37" t="s">
        <v>303</v>
      </c>
      <c r="M37">
        <v>1</v>
      </c>
      <c r="T37">
        <v>2.8</v>
      </c>
      <c r="AA37">
        <v>0</v>
      </c>
      <c r="AB37">
        <v>17707</v>
      </c>
      <c r="AC37">
        <v>118.32</v>
      </c>
      <c r="AI37">
        <v>0</v>
      </c>
      <c r="AJ37">
        <f t="shared" si="0"/>
        <v>2.04</v>
      </c>
      <c r="AK37">
        <v>0.84</v>
      </c>
      <c r="AL37">
        <v>0</v>
      </c>
      <c r="AS37" t="s">
        <v>365</v>
      </c>
      <c r="AY37" t="s">
        <v>366</v>
      </c>
      <c r="BO37" t="s">
        <v>108</v>
      </c>
    </row>
    <row r="38" spans="1:67" x14ac:dyDescent="0.25">
      <c r="A38" t="s">
        <v>145</v>
      </c>
      <c r="B38">
        <v>13</v>
      </c>
      <c r="C38" t="s">
        <v>367</v>
      </c>
      <c r="D38" t="s">
        <v>385</v>
      </c>
      <c r="E38" t="s">
        <v>387</v>
      </c>
      <c r="F38" t="s">
        <v>304</v>
      </c>
      <c r="G38" t="s">
        <v>370</v>
      </c>
      <c r="H38" t="s">
        <v>372</v>
      </c>
      <c r="I38" t="s">
        <v>302</v>
      </c>
      <c r="J38" t="s">
        <v>364</v>
      </c>
      <c r="K38">
        <v>17</v>
      </c>
      <c r="L38" t="s">
        <v>303</v>
      </c>
      <c r="M38">
        <v>1</v>
      </c>
      <c r="T38">
        <v>11.11</v>
      </c>
      <c r="AA38">
        <v>0</v>
      </c>
      <c r="AB38">
        <v>17707</v>
      </c>
      <c r="AC38">
        <v>34.68</v>
      </c>
      <c r="AI38">
        <v>0</v>
      </c>
      <c r="AJ38">
        <f t="shared" si="0"/>
        <v>2.04</v>
      </c>
      <c r="AK38">
        <v>0.84</v>
      </c>
      <c r="AL38">
        <v>0</v>
      </c>
      <c r="AS38" t="s">
        <v>365</v>
      </c>
      <c r="AY38" t="s">
        <v>366</v>
      </c>
      <c r="BO38" t="s">
        <v>108</v>
      </c>
    </row>
    <row r="39" spans="1:67" x14ac:dyDescent="0.25">
      <c r="A39" t="s">
        <v>145</v>
      </c>
      <c r="B39">
        <v>14</v>
      </c>
      <c r="C39" t="s">
        <v>367</v>
      </c>
      <c r="D39" t="s">
        <v>385</v>
      </c>
      <c r="E39" t="s">
        <v>387</v>
      </c>
      <c r="F39" t="s">
        <v>304</v>
      </c>
      <c r="G39" t="s">
        <v>370</v>
      </c>
      <c r="H39" t="s">
        <v>371</v>
      </c>
      <c r="I39" t="s">
        <v>302</v>
      </c>
      <c r="J39" t="s">
        <v>364</v>
      </c>
      <c r="K39">
        <v>23</v>
      </c>
      <c r="L39" t="s">
        <v>303</v>
      </c>
      <c r="M39">
        <v>0</v>
      </c>
      <c r="T39">
        <v>0</v>
      </c>
      <c r="AA39">
        <v>0</v>
      </c>
      <c r="AB39">
        <v>17707</v>
      </c>
      <c r="AC39">
        <v>46.92</v>
      </c>
      <c r="AI39">
        <v>0</v>
      </c>
      <c r="AJ39">
        <f t="shared" si="0"/>
        <v>2.04</v>
      </c>
      <c r="AK39">
        <v>0.84</v>
      </c>
      <c r="AL39">
        <v>0</v>
      </c>
      <c r="AS39" t="s">
        <v>365</v>
      </c>
      <c r="AY39" t="s">
        <v>366</v>
      </c>
      <c r="BO39" t="s">
        <v>108</v>
      </c>
    </row>
    <row r="40" spans="1:67" x14ac:dyDescent="0.25">
      <c r="A40" t="s">
        <v>145</v>
      </c>
      <c r="B40">
        <v>15</v>
      </c>
      <c r="C40" t="s">
        <v>367</v>
      </c>
      <c r="D40" t="s">
        <v>385</v>
      </c>
      <c r="E40" t="s">
        <v>387</v>
      </c>
      <c r="F40" t="s">
        <v>304</v>
      </c>
      <c r="G40" t="s">
        <v>370</v>
      </c>
      <c r="H40" t="s">
        <v>373</v>
      </c>
      <c r="I40" t="s">
        <v>302</v>
      </c>
      <c r="J40" t="s">
        <v>364</v>
      </c>
      <c r="K40">
        <v>8</v>
      </c>
      <c r="L40" t="s">
        <v>303</v>
      </c>
      <c r="M40">
        <v>0</v>
      </c>
      <c r="T40">
        <v>0</v>
      </c>
      <c r="AA40">
        <v>0</v>
      </c>
      <c r="AB40">
        <v>17707</v>
      </c>
      <c r="AC40">
        <v>16.32</v>
      </c>
      <c r="AI40">
        <v>0</v>
      </c>
      <c r="AJ40">
        <f t="shared" si="0"/>
        <v>2.04</v>
      </c>
      <c r="AK40">
        <v>0.84</v>
      </c>
      <c r="AL40">
        <v>0</v>
      </c>
      <c r="AS40" t="s">
        <v>365</v>
      </c>
      <c r="AY40" t="s">
        <v>366</v>
      </c>
      <c r="BO40" t="s">
        <v>108</v>
      </c>
    </row>
    <row r="41" spans="1:67" x14ac:dyDescent="0.25">
      <c r="A41" t="s">
        <v>145</v>
      </c>
      <c r="B41">
        <v>5</v>
      </c>
      <c r="C41" t="s">
        <v>367</v>
      </c>
      <c r="D41" t="s">
        <v>385</v>
      </c>
      <c r="E41" t="s">
        <v>386</v>
      </c>
      <c r="F41" t="s">
        <v>304</v>
      </c>
      <c r="G41" t="s">
        <v>370</v>
      </c>
      <c r="H41" t="s">
        <v>372</v>
      </c>
      <c r="I41" t="s">
        <v>302</v>
      </c>
      <c r="J41" t="s">
        <v>364</v>
      </c>
      <c r="K41">
        <v>67</v>
      </c>
      <c r="L41" t="s">
        <v>303</v>
      </c>
      <c r="M41">
        <v>2</v>
      </c>
      <c r="T41">
        <v>13.574999999999999</v>
      </c>
      <c r="AA41">
        <v>0</v>
      </c>
      <c r="AB41">
        <v>17707</v>
      </c>
      <c r="AC41">
        <v>136.68</v>
      </c>
      <c r="AI41">
        <v>0</v>
      </c>
      <c r="AJ41">
        <f t="shared" si="0"/>
        <v>2.04</v>
      </c>
      <c r="AK41">
        <v>0.84</v>
      </c>
      <c r="AL41">
        <v>0</v>
      </c>
      <c r="AS41" t="s">
        <v>365</v>
      </c>
      <c r="AY41" t="s">
        <v>366</v>
      </c>
      <c r="BO41" t="s">
        <v>108</v>
      </c>
    </row>
    <row r="42" spans="1:67" x14ac:dyDescent="0.25">
      <c r="A42" t="s">
        <v>145</v>
      </c>
      <c r="B42">
        <v>1</v>
      </c>
      <c r="C42" t="s">
        <v>367</v>
      </c>
      <c r="D42" t="s">
        <v>385</v>
      </c>
      <c r="E42" t="s">
        <v>386</v>
      </c>
      <c r="F42" t="s">
        <v>304</v>
      </c>
      <c r="G42" t="s">
        <v>370</v>
      </c>
      <c r="H42" t="s">
        <v>375</v>
      </c>
      <c r="I42" t="s">
        <v>302</v>
      </c>
      <c r="J42" t="s">
        <v>364</v>
      </c>
      <c r="K42">
        <v>256</v>
      </c>
      <c r="L42" t="s">
        <v>303</v>
      </c>
      <c r="M42">
        <v>2</v>
      </c>
      <c r="T42">
        <v>16.649999999999999</v>
      </c>
      <c r="AA42">
        <v>0</v>
      </c>
      <c r="AB42">
        <v>17707</v>
      </c>
      <c r="AC42">
        <v>522.24</v>
      </c>
      <c r="AI42">
        <v>0</v>
      </c>
      <c r="AJ42">
        <f t="shared" si="0"/>
        <v>2.04</v>
      </c>
      <c r="AK42">
        <v>0.84</v>
      </c>
      <c r="AL42">
        <v>0</v>
      </c>
      <c r="AS42" t="s">
        <v>365</v>
      </c>
      <c r="AY42" t="s">
        <v>366</v>
      </c>
      <c r="BO42" t="s">
        <v>108</v>
      </c>
    </row>
    <row r="43" spans="1:67" x14ac:dyDescent="0.25">
      <c r="A43" t="s">
        <v>145</v>
      </c>
      <c r="B43">
        <v>2</v>
      </c>
      <c r="C43" t="s">
        <v>367</v>
      </c>
      <c r="D43" t="s">
        <v>385</v>
      </c>
      <c r="E43" t="s">
        <v>386</v>
      </c>
      <c r="F43" t="s">
        <v>304</v>
      </c>
      <c r="G43" t="s">
        <v>370</v>
      </c>
      <c r="H43" t="s">
        <v>376</v>
      </c>
      <c r="I43" t="s">
        <v>302</v>
      </c>
      <c r="J43" t="s">
        <v>364</v>
      </c>
      <c r="K43">
        <v>234</v>
      </c>
      <c r="L43" t="s">
        <v>303</v>
      </c>
      <c r="M43">
        <v>3</v>
      </c>
      <c r="T43">
        <v>18.64</v>
      </c>
      <c r="AA43">
        <v>0</v>
      </c>
      <c r="AB43">
        <v>17707</v>
      </c>
      <c r="AC43">
        <v>477.36</v>
      </c>
      <c r="AI43">
        <v>0</v>
      </c>
      <c r="AJ43">
        <f t="shared" si="0"/>
        <v>2.04</v>
      </c>
      <c r="AK43">
        <v>0.84</v>
      </c>
      <c r="AL43">
        <v>0</v>
      </c>
      <c r="AS43" t="s">
        <v>365</v>
      </c>
      <c r="AY43" t="s">
        <v>366</v>
      </c>
      <c r="BO43" t="s">
        <v>108</v>
      </c>
    </row>
    <row r="44" spans="1:67" x14ac:dyDescent="0.25">
      <c r="A44" t="s">
        <v>145</v>
      </c>
      <c r="B44">
        <v>3</v>
      </c>
      <c r="C44" t="s">
        <v>367</v>
      </c>
      <c r="D44" t="s">
        <v>385</v>
      </c>
      <c r="E44" t="s">
        <v>386</v>
      </c>
      <c r="F44" t="s">
        <v>304</v>
      </c>
      <c r="G44" t="s">
        <v>370</v>
      </c>
      <c r="H44" t="s">
        <v>377</v>
      </c>
      <c r="I44" t="s">
        <v>302</v>
      </c>
      <c r="J44" t="s">
        <v>364</v>
      </c>
      <c r="K44">
        <v>193</v>
      </c>
      <c r="L44" t="s">
        <v>303</v>
      </c>
      <c r="M44">
        <v>2</v>
      </c>
      <c r="T44">
        <v>15.12</v>
      </c>
      <c r="AA44">
        <v>0</v>
      </c>
      <c r="AB44">
        <v>17707</v>
      </c>
      <c r="AC44">
        <v>393.72</v>
      </c>
      <c r="AI44">
        <v>0</v>
      </c>
      <c r="AJ44">
        <f t="shared" si="0"/>
        <v>2.04</v>
      </c>
      <c r="AK44">
        <v>0.84</v>
      </c>
      <c r="AL44">
        <v>0</v>
      </c>
      <c r="AS44" t="s">
        <v>365</v>
      </c>
      <c r="AY44" t="s">
        <v>366</v>
      </c>
      <c r="BO44" t="s">
        <v>108</v>
      </c>
    </row>
    <row r="45" spans="1:67" x14ac:dyDescent="0.25">
      <c r="A45" t="s">
        <v>145</v>
      </c>
      <c r="B45">
        <v>4</v>
      </c>
      <c r="C45" t="s">
        <v>367</v>
      </c>
      <c r="D45" t="s">
        <v>385</v>
      </c>
      <c r="E45" t="s">
        <v>386</v>
      </c>
      <c r="F45" t="s">
        <v>304</v>
      </c>
      <c r="G45" t="s">
        <v>370</v>
      </c>
      <c r="H45" t="s">
        <v>371</v>
      </c>
      <c r="I45" t="s">
        <v>302</v>
      </c>
      <c r="J45" t="s">
        <v>364</v>
      </c>
      <c r="K45">
        <v>95</v>
      </c>
      <c r="L45" t="s">
        <v>303</v>
      </c>
      <c r="M45">
        <v>2</v>
      </c>
      <c r="T45">
        <v>9.9749999999999996</v>
      </c>
      <c r="AA45">
        <v>0</v>
      </c>
      <c r="AB45">
        <v>17707</v>
      </c>
      <c r="AC45">
        <v>193.8</v>
      </c>
      <c r="AI45">
        <v>0</v>
      </c>
      <c r="AJ45">
        <f t="shared" si="0"/>
        <v>2.04</v>
      </c>
      <c r="AK45">
        <v>0.84</v>
      </c>
      <c r="AL45">
        <v>0</v>
      </c>
      <c r="AS45" t="s">
        <v>365</v>
      </c>
      <c r="AY45" t="s">
        <v>366</v>
      </c>
      <c r="BO45" t="s">
        <v>108</v>
      </c>
    </row>
    <row r="46" spans="1:67" x14ac:dyDescent="0.25">
      <c r="A46" t="s">
        <v>145</v>
      </c>
      <c r="B46">
        <v>16</v>
      </c>
      <c r="C46" t="s">
        <v>367</v>
      </c>
      <c r="D46" t="s">
        <v>385</v>
      </c>
      <c r="E46" t="s">
        <v>387</v>
      </c>
      <c r="F46" t="s">
        <v>304</v>
      </c>
      <c r="G46" t="s">
        <v>370</v>
      </c>
      <c r="H46" t="s">
        <v>379</v>
      </c>
      <c r="I46" t="s">
        <v>302</v>
      </c>
      <c r="J46" t="s">
        <v>364</v>
      </c>
      <c r="K46">
        <v>3</v>
      </c>
      <c r="L46" t="s">
        <v>303</v>
      </c>
      <c r="M46">
        <v>0</v>
      </c>
      <c r="T46">
        <v>0</v>
      </c>
      <c r="AA46">
        <v>0</v>
      </c>
      <c r="AB46">
        <v>17707</v>
      </c>
      <c r="AC46">
        <v>6.12</v>
      </c>
      <c r="AI46">
        <v>0</v>
      </c>
      <c r="AJ46">
        <f t="shared" si="0"/>
        <v>2.04</v>
      </c>
      <c r="AK46">
        <v>0.84</v>
      </c>
      <c r="AL46">
        <v>0</v>
      </c>
      <c r="AS46" t="s">
        <v>365</v>
      </c>
      <c r="AY46" t="s">
        <v>366</v>
      </c>
      <c r="BO46" t="s">
        <v>108</v>
      </c>
    </row>
    <row r="47" spans="1:67" x14ac:dyDescent="0.25">
      <c r="A47" t="s">
        <v>145</v>
      </c>
      <c r="B47">
        <v>17</v>
      </c>
      <c r="C47" t="s">
        <v>367</v>
      </c>
      <c r="D47" t="s">
        <v>385</v>
      </c>
      <c r="E47" t="s">
        <v>387</v>
      </c>
      <c r="F47" t="s">
        <v>304</v>
      </c>
      <c r="G47" t="s">
        <v>370</v>
      </c>
      <c r="H47" t="s">
        <v>378</v>
      </c>
      <c r="I47" t="s">
        <v>302</v>
      </c>
      <c r="J47" t="s">
        <v>364</v>
      </c>
      <c r="K47">
        <v>5</v>
      </c>
      <c r="L47" t="s">
        <v>303</v>
      </c>
      <c r="M47">
        <v>0</v>
      </c>
      <c r="T47">
        <v>0</v>
      </c>
      <c r="AA47">
        <v>0</v>
      </c>
      <c r="AB47">
        <v>17707</v>
      </c>
      <c r="AC47">
        <v>10.199999999999999</v>
      </c>
      <c r="AI47">
        <v>0</v>
      </c>
      <c r="AJ47">
        <f t="shared" si="0"/>
        <v>2.04</v>
      </c>
      <c r="AK47">
        <v>0.84</v>
      </c>
      <c r="AL47">
        <v>0</v>
      </c>
      <c r="AS47" t="s">
        <v>365</v>
      </c>
      <c r="AY47" t="s">
        <v>366</v>
      </c>
      <c r="BO47" t="s">
        <v>108</v>
      </c>
    </row>
    <row r="48" spans="1:67" x14ac:dyDescent="0.25">
      <c r="A48" t="s">
        <v>145</v>
      </c>
      <c r="B48">
        <v>18</v>
      </c>
      <c r="C48" t="s">
        <v>367</v>
      </c>
      <c r="D48" t="s">
        <v>385</v>
      </c>
      <c r="E48" t="s">
        <v>387</v>
      </c>
      <c r="F48" t="s">
        <v>304</v>
      </c>
      <c r="G48" t="s">
        <v>370</v>
      </c>
      <c r="H48" t="s">
        <v>380</v>
      </c>
      <c r="I48" t="s">
        <v>302</v>
      </c>
      <c r="J48" t="s">
        <v>364</v>
      </c>
      <c r="K48">
        <v>4</v>
      </c>
      <c r="L48" t="s">
        <v>303</v>
      </c>
      <c r="M48">
        <v>0</v>
      </c>
      <c r="T48">
        <v>0</v>
      </c>
      <c r="AA48">
        <v>0</v>
      </c>
      <c r="AB48">
        <v>17707</v>
      </c>
      <c r="AC48">
        <v>8.16</v>
      </c>
      <c r="AI48">
        <v>0</v>
      </c>
      <c r="AJ48">
        <f t="shared" si="0"/>
        <v>2.04</v>
      </c>
      <c r="AK48">
        <v>0.84</v>
      </c>
      <c r="AL48">
        <v>0</v>
      </c>
      <c r="AS48" t="s">
        <v>365</v>
      </c>
      <c r="AY48" t="s">
        <v>366</v>
      </c>
      <c r="BO48" t="s">
        <v>108</v>
      </c>
    </row>
    <row r="49" spans="1:70" x14ac:dyDescent="0.25">
      <c r="A49" t="s">
        <v>147</v>
      </c>
      <c r="B49">
        <v>2</v>
      </c>
      <c r="C49" t="s">
        <v>367</v>
      </c>
      <c r="D49" t="s">
        <v>388</v>
      </c>
      <c r="E49" t="s">
        <v>389</v>
      </c>
      <c r="F49" t="s">
        <v>304</v>
      </c>
      <c r="G49" t="s">
        <v>383</v>
      </c>
      <c r="H49" t="s">
        <v>376</v>
      </c>
      <c r="I49" t="s">
        <v>302</v>
      </c>
      <c r="J49" t="s">
        <v>364</v>
      </c>
      <c r="K49">
        <v>1244</v>
      </c>
      <c r="L49" t="s">
        <v>303</v>
      </c>
      <c r="M49">
        <v>3</v>
      </c>
      <c r="T49">
        <v>31.5</v>
      </c>
      <c r="Z49">
        <v>0</v>
      </c>
      <c r="AA49">
        <v>0</v>
      </c>
      <c r="AB49">
        <v>17707</v>
      </c>
      <c r="AC49">
        <v>2537.7600000000002</v>
      </c>
      <c r="AF49">
        <v>0</v>
      </c>
      <c r="AG49">
        <v>0</v>
      </c>
      <c r="AI49">
        <v>0</v>
      </c>
      <c r="AJ49">
        <f t="shared" si="0"/>
        <v>2.04</v>
      </c>
      <c r="AK49">
        <v>0.81</v>
      </c>
      <c r="AL49">
        <v>0</v>
      </c>
      <c r="AM49">
        <v>0</v>
      </c>
      <c r="AN49">
        <v>0</v>
      </c>
      <c r="AS49" t="s">
        <v>365</v>
      </c>
      <c r="AY49" t="s">
        <v>366</v>
      </c>
      <c r="BJ49">
        <v>0</v>
      </c>
      <c r="BO49" t="s">
        <v>108</v>
      </c>
      <c r="BR49" t="s">
        <v>129</v>
      </c>
    </row>
    <row r="50" spans="1:70" x14ac:dyDescent="0.25">
      <c r="A50" t="s">
        <v>147</v>
      </c>
      <c r="B50">
        <v>1</v>
      </c>
      <c r="C50" t="s">
        <v>367</v>
      </c>
      <c r="D50" t="s">
        <v>388</v>
      </c>
      <c r="E50" t="s">
        <v>389</v>
      </c>
      <c r="F50" t="s">
        <v>304</v>
      </c>
      <c r="G50" t="s">
        <v>383</v>
      </c>
      <c r="H50" t="s">
        <v>371</v>
      </c>
      <c r="I50" t="s">
        <v>302</v>
      </c>
      <c r="J50" t="s">
        <v>364</v>
      </c>
      <c r="K50">
        <v>1041</v>
      </c>
      <c r="L50" t="s">
        <v>303</v>
      </c>
      <c r="M50">
        <v>8</v>
      </c>
      <c r="T50">
        <v>70.83</v>
      </c>
      <c r="Z50">
        <v>0</v>
      </c>
      <c r="AA50">
        <v>0</v>
      </c>
      <c r="AB50">
        <v>17707</v>
      </c>
      <c r="AC50">
        <v>2123.64</v>
      </c>
      <c r="AF50">
        <v>0</v>
      </c>
      <c r="AG50">
        <v>0</v>
      </c>
      <c r="AI50">
        <v>0</v>
      </c>
      <c r="AJ50">
        <f t="shared" si="0"/>
        <v>2.04</v>
      </c>
      <c r="AK50">
        <v>0.81</v>
      </c>
      <c r="AL50">
        <v>0</v>
      </c>
      <c r="AM50">
        <v>0</v>
      </c>
      <c r="AN50">
        <v>0</v>
      </c>
      <c r="AS50" t="s">
        <v>365</v>
      </c>
      <c r="AY50" t="s">
        <v>366</v>
      </c>
      <c r="BJ50">
        <v>0</v>
      </c>
      <c r="BO50" t="s">
        <v>108</v>
      </c>
      <c r="BR50" t="s">
        <v>129</v>
      </c>
    </row>
    <row r="51" spans="1:70" x14ac:dyDescent="0.25">
      <c r="A51" t="s">
        <v>147</v>
      </c>
      <c r="B51">
        <v>3</v>
      </c>
      <c r="C51" t="s">
        <v>367</v>
      </c>
      <c r="D51" t="s">
        <v>388</v>
      </c>
      <c r="E51" t="s">
        <v>389</v>
      </c>
      <c r="F51" t="s">
        <v>304</v>
      </c>
      <c r="G51" t="s">
        <v>383</v>
      </c>
      <c r="H51" t="s">
        <v>377</v>
      </c>
      <c r="I51" t="s">
        <v>302</v>
      </c>
      <c r="J51" t="s">
        <v>364</v>
      </c>
      <c r="K51">
        <v>1285</v>
      </c>
      <c r="L51" t="s">
        <v>303</v>
      </c>
      <c r="M51">
        <v>23</v>
      </c>
      <c r="T51">
        <v>247.97</v>
      </c>
      <c r="Z51">
        <v>0</v>
      </c>
      <c r="AA51">
        <v>0</v>
      </c>
      <c r="AB51">
        <v>17707</v>
      </c>
      <c r="AC51">
        <v>2621.4</v>
      </c>
      <c r="AF51">
        <v>0</v>
      </c>
      <c r="AG51">
        <v>0</v>
      </c>
      <c r="AI51">
        <v>0</v>
      </c>
      <c r="AJ51">
        <f t="shared" si="0"/>
        <v>2.04</v>
      </c>
      <c r="AK51">
        <v>0.81</v>
      </c>
      <c r="AL51">
        <v>0</v>
      </c>
      <c r="AM51">
        <v>0</v>
      </c>
      <c r="AN51">
        <v>0</v>
      </c>
      <c r="AS51" t="s">
        <v>365</v>
      </c>
      <c r="AY51" t="s">
        <v>366</v>
      </c>
      <c r="BJ51">
        <v>0</v>
      </c>
      <c r="BO51" t="s">
        <v>108</v>
      </c>
      <c r="BR51" t="s">
        <v>129</v>
      </c>
    </row>
    <row r="52" spans="1:70" x14ac:dyDescent="0.25">
      <c r="A52" t="s">
        <v>147</v>
      </c>
      <c r="B52">
        <v>4</v>
      </c>
      <c r="C52" t="s">
        <v>367</v>
      </c>
      <c r="D52" t="s">
        <v>388</v>
      </c>
      <c r="E52" t="s">
        <v>389</v>
      </c>
      <c r="F52" t="s">
        <v>304</v>
      </c>
      <c r="G52" t="s">
        <v>383</v>
      </c>
      <c r="H52" t="s">
        <v>375</v>
      </c>
      <c r="I52" t="s">
        <v>302</v>
      </c>
      <c r="J52" t="s">
        <v>364</v>
      </c>
      <c r="K52">
        <v>1061</v>
      </c>
      <c r="L52" t="s">
        <v>303</v>
      </c>
      <c r="M52">
        <v>5</v>
      </c>
      <c r="T52">
        <v>40.53</v>
      </c>
      <c r="Z52">
        <v>0</v>
      </c>
      <c r="AA52">
        <v>0</v>
      </c>
      <c r="AB52">
        <v>17707</v>
      </c>
      <c r="AC52">
        <v>2164.44</v>
      </c>
      <c r="AF52">
        <v>0</v>
      </c>
      <c r="AG52">
        <v>0</v>
      </c>
      <c r="AI52">
        <v>0</v>
      </c>
      <c r="AJ52">
        <f t="shared" si="0"/>
        <v>2.04</v>
      </c>
      <c r="AK52">
        <v>0.81</v>
      </c>
      <c r="AL52">
        <v>0</v>
      </c>
      <c r="AM52">
        <v>0</v>
      </c>
      <c r="AN52">
        <v>0</v>
      </c>
      <c r="AS52" t="s">
        <v>365</v>
      </c>
      <c r="AY52" t="s">
        <v>366</v>
      </c>
      <c r="BJ52">
        <v>0</v>
      </c>
      <c r="BO52" t="s">
        <v>108</v>
      </c>
      <c r="BR52" t="s">
        <v>129</v>
      </c>
    </row>
    <row r="53" spans="1:70" x14ac:dyDescent="0.25">
      <c r="A53" t="s">
        <v>147</v>
      </c>
      <c r="B53">
        <v>5</v>
      </c>
      <c r="C53" t="s">
        <v>367</v>
      </c>
      <c r="D53" t="s">
        <v>388</v>
      </c>
      <c r="E53" t="s">
        <v>389</v>
      </c>
      <c r="F53" t="s">
        <v>304</v>
      </c>
      <c r="G53" t="s">
        <v>383</v>
      </c>
      <c r="H53" t="s">
        <v>372</v>
      </c>
      <c r="I53" t="s">
        <v>302</v>
      </c>
      <c r="J53" t="s">
        <v>364</v>
      </c>
      <c r="K53">
        <v>425</v>
      </c>
      <c r="L53" t="s">
        <v>303</v>
      </c>
      <c r="M53">
        <v>1</v>
      </c>
      <c r="T53">
        <v>12.484999999999999</v>
      </c>
      <c r="Z53">
        <v>0</v>
      </c>
      <c r="AA53">
        <v>0</v>
      </c>
      <c r="AB53">
        <v>17707</v>
      </c>
      <c r="AC53">
        <v>867</v>
      </c>
      <c r="AF53">
        <v>0</v>
      </c>
      <c r="AG53">
        <v>0</v>
      </c>
      <c r="AI53">
        <v>0</v>
      </c>
      <c r="AJ53">
        <f t="shared" si="0"/>
        <v>2.04</v>
      </c>
      <c r="AK53">
        <v>0.81</v>
      </c>
      <c r="AL53">
        <v>0</v>
      </c>
      <c r="AM53">
        <v>0</v>
      </c>
      <c r="AN53">
        <v>0</v>
      </c>
      <c r="AS53" t="s">
        <v>365</v>
      </c>
      <c r="AY53" t="s">
        <v>366</v>
      </c>
      <c r="BJ53">
        <v>0</v>
      </c>
      <c r="BO53" t="s">
        <v>108</v>
      </c>
      <c r="BR53" t="s">
        <v>129</v>
      </c>
    </row>
    <row r="54" spans="1:70" x14ac:dyDescent="0.25">
      <c r="A54" t="s">
        <v>150</v>
      </c>
      <c r="B54">
        <v>3</v>
      </c>
      <c r="C54" t="s">
        <v>367</v>
      </c>
      <c r="D54" t="s">
        <v>390</v>
      </c>
      <c r="E54" t="s">
        <v>391</v>
      </c>
      <c r="F54" t="s">
        <v>304</v>
      </c>
      <c r="G54" t="s">
        <v>370</v>
      </c>
      <c r="H54" t="s">
        <v>377</v>
      </c>
      <c r="I54" t="s">
        <v>302</v>
      </c>
      <c r="J54" t="s">
        <v>364</v>
      </c>
      <c r="K54">
        <v>897</v>
      </c>
      <c r="L54" t="s">
        <v>303</v>
      </c>
      <c r="M54">
        <v>9</v>
      </c>
      <c r="T54">
        <v>77.849999999999994</v>
      </c>
      <c r="AA54">
        <v>0</v>
      </c>
      <c r="AB54">
        <v>17707</v>
      </c>
      <c r="AC54">
        <v>1829.88</v>
      </c>
      <c r="AI54">
        <v>0</v>
      </c>
      <c r="AJ54">
        <f t="shared" si="0"/>
        <v>2.04</v>
      </c>
      <c r="AK54">
        <v>0.84</v>
      </c>
      <c r="AL54">
        <v>0</v>
      </c>
      <c r="AS54" t="s">
        <v>365</v>
      </c>
      <c r="AY54" t="s">
        <v>366</v>
      </c>
      <c r="BO54" t="s">
        <v>108</v>
      </c>
    </row>
    <row r="55" spans="1:70" x14ac:dyDescent="0.25">
      <c r="A55" t="s">
        <v>150</v>
      </c>
      <c r="B55">
        <v>1</v>
      </c>
      <c r="C55" t="s">
        <v>367</v>
      </c>
      <c r="D55" t="s">
        <v>390</v>
      </c>
      <c r="E55" t="s">
        <v>391</v>
      </c>
      <c r="F55" t="s">
        <v>304</v>
      </c>
      <c r="G55" t="s">
        <v>370</v>
      </c>
      <c r="H55" t="s">
        <v>375</v>
      </c>
      <c r="I55" t="s">
        <v>302</v>
      </c>
      <c r="J55" t="s">
        <v>364</v>
      </c>
      <c r="K55">
        <v>939</v>
      </c>
      <c r="L55" t="s">
        <v>303</v>
      </c>
      <c r="M55">
        <v>7</v>
      </c>
      <c r="T55">
        <v>69.3</v>
      </c>
      <c r="AA55">
        <v>0</v>
      </c>
      <c r="AB55">
        <v>17707</v>
      </c>
      <c r="AC55">
        <v>1915.56</v>
      </c>
      <c r="AI55">
        <v>0</v>
      </c>
      <c r="AJ55">
        <f t="shared" si="0"/>
        <v>2.04</v>
      </c>
      <c r="AK55">
        <v>0.84</v>
      </c>
      <c r="AL55">
        <v>0</v>
      </c>
      <c r="AS55" t="s">
        <v>365</v>
      </c>
      <c r="AY55" t="s">
        <v>366</v>
      </c>
      <c r="BO55" t="s">
        <v>108</v>
      </c>
    </row>
    <row r="56" spans="1:70" x14ac:dyDescent="0.25">
      <c r="A56" t="s">
        <v>150</v>
      </c>
      <c r="B56">
        <v>2</v>
      </c>
      <c r="C56" t="s">
        <v>367</v>
      </c>
      <c r="D56" t="s">
        <v>390</v>
      </c>
      <c r="E56" t="s">
        <v>391</v>
      </c>
      <c r="F56" t="s">
        <v>304</v>
      </c>
      <c r="G56" t="s">
        <v>370</v>
      </c>
      <c r="H56" t="s">
        <v>376</v>
      </c>
      <c r="I56" t="s">
        <v>302</v>
      </c>
      <c r="J56" t="s">
        <v>364</v>
      </c>
      <c r="K56">
        <v>1019</v>
      </c>
      <c r="L56" t="s">
        <v>303</v>
      </c>
      <c r="M56">
        <v>9</v>
      </c>
      <c r="T56">
        <v>91.24</v>
      </c>
      <c r="AA56">
        <v>0</v>
      </c>
      <c r="AB56">
        <v>17707</v>
      </c>
      <c r="AC56">
        <v>2078.7600000000002</v>
      </c>
      <c r="AI56">
        <v>0</v>
      </c>
      <c r="AJ56">
        <f t="shared" si="0"/>
        <v>2.04</v>
      </c>
      <c r="AK56">
        <v>0.84</v>
      </c>
      <c r="AL56">
        <v>0</v>
      </c>
      <c r="AS56" t="s">
        <v>365</v>
      </c>
      <c r="AY56" t="s">
        <v>366</v>
      </c>
      <c r="BO56" t="s">
        <v>108</v>
      </c>
    </row>
    <row r="57" spans="1:70" x14ac:dyDescent="0.25">
      <c r="A57" t="s">
        <v>150</v>
      </c>
      <c r="B57">
        <v>4</v>
      </c>
      <c r="C57" t="s">
        <v>367</v>
      </c>
      <c r="D57" t="s">
        <v>390</v>
      </c>
      <c r="E57" t="s">
        <v>391</v>
      </c>
      <c r="F57" t="s">
        <v>304</v>
      </c>
      <c r="G57" t="s">
        <v>370</v>
      </c>
      <c r="H57" t="s">
        <v>371</v>
      </c>
      <c r="I57" t="s">
        <v>302</v>
      </c>
      <c r="J57" t="s">
        <v>364</v>
      </c>
      <c r="K57">
        <v>433</v>
      </c>
      <c r="L57" t="s">
        <v>303</v>
      </c>
      <c r="M57">
        <v>6</v>
      </c>
      <c r="T57">
        <v>45.255000000000003</v>
      </c>
      <c r="AA57">
        <v>0</v>
      </c>
      <c r="AB57">
        <v>17707</v>
      </c>
      <c r="AC57">
        <v>883.32</v>
      </c>
      <c r="AI57">
        <v>0</v>
      </c>
      <c r="AJ57">
        <f t="shared" si="0"/>
        <v>2.04</v>
      </c>
      <c r="AK57">
        <v>0.84</v>
      </c>
      <c r="AL57">
        <v>0</v>
      </c>
      <c r="AS57" t="s">
        <v>365</v>
      </c>
      <c r="AY57" t="s">
        <v>366</v>
      </c>
      <c r="BO57" t="s">
        <v>108</v>
      </c>
    </row>
    <row r="58" spans="1:70" x14ac:dyDescent="0.25">
      <c r="A58" t="s">
        <v>150</v>
      </c>
      <c r="B58">
        <v>5</v>
      </c>
      <c r="C58" t="s">
        <v>367</v>
      </c>
      <c r="D58" t="s">
        <v>390</v>
      </c>
      <c r="E58" t="s">
        <v>391</v>
      </c>
      <c r="F58" t="s">
        <v>304</v>
      </c>
      <c r="G58" t="s">
        <v>370</v>
      </c>
      <c r="H58" t="s">
        <v>372</v>
      </c>
      <c r="I58" t="s">
        <v>302</v>
      </c>
      <c r="J58" t="s">
        <v>364</v>
      </c>
      <c r="K58">
        <v>262</v>
      </c>
      <c r="L58" t="s">
        <v>303</v>
      </c>
      <c r="M58">
        <v>3</v>
      </c>
      <c r="T58">
        <v>17.22</v>
      </c>
      <c r="AA58">
        <v>0</v>
      </c>
      <c r="AB58">
        <v>17707</v>
      </c>
      <c r="AC58">
        <v>534.48</v>
      </c>
      <c r="AI58">
        <v>0</v>
      </c>
      <c r="AJ58">
        <f t="shared" si="0"/>
        <v>2.04</v>
      </c>
      <c r="AK58">
        <v>0.84</v>
      </c>
      <c r="AL58">
        <v>0</v>
      </c>
      <c r="AS58" t="s">
        <v>365</v>
      </c>
      <c r="AY58" t="s">
        <v>366</v>
      </c>
      <c r="BO58" t="s">
        <v>108</v>
      </c>
    </row>
    <row r="59" spans="1:70" x14ac:dyDescent="0.25">
      <c r="A59" t="s">
        <v>150</v>
      </c>
      <c r="B59">
        <v>6</v>
      </c>
      <c r="C59" t="s">
        <v>367</v>
      </c>
      <c r="D59" t="s">
        <v>390</v>
      </c>
      <c r="E59" t="s">
        <v>392</v>
      </c>
      <c r="F59" t="s">
        <v>304</v>
      </c>
      <c r="G59" t="s">
        <v>370</v>
      </c>
      <c r="H59" t="s">
        <v>375</v>
      </c>
      <c r="I59" t="s">
        <v>302</v>
      </c>
      <c r="J59" t="s">
        <v>364</v>
      </c>
      <c r="K59">
        <v>361</v>
      </c>
      <c r="L59" t="s">
        <v>303</v>
      </c>
      <c r="M59">
        <v>5</v>
      </c>
      <c r="T59">
        <v>25.35</v>
      </c>
      <c r="AA59">
        <v>0</v>
      </c>
      <c r="AB59">
        <v>17707</v>
      </c>
      <c r="AC59">
        <v>740.05</v>
      </c>
      <c r="AI59">
        <v>0</v>
      </c>
      <c r="AJ59">
        <f t="shared" si="0"/>
        <v>2.0499999999999998</v>
      </c>
      <c r="AK59">
        <v>0.84</v>
      </c>
      <c r="AL59">
        <v>0</v>
      </c>
      <c r="AS59" t="s">
        <v>365</v>
      </c>
      <c r="AY59" t="s">
        <v>366</v>
      </c>
      <c r="BO59" t="s">
        <v>108</v>
      </c>
    </row>
    <row r="60" spans="1:70" x14ac:dyDescent="0.25">
      <c r="A60" t="s">
        <v>150</v>
      </c>
      <c r="B60">
        <v>9</v>
      </c>
      <c r="C60" t="s">
        <v>367</v>
      </c>
      <c r="D60" t="s">
        <v>390</v>
      </c>
      <c r="E60" t="s">
        <v>392</v>
      </c>
      <c r="F60" t="s">
        <v>304</v>
      </c>
      <c r="G60" t="s">
        <v>370</v>
      </c>
      <c r="H60" t="s">
        <v>372</v>
      </c>
      <c r="I60" t="s">
        <v>302</v>
      </c>
      <c r="J60" t="s">
        <v>364</v>
      </c>
      <c r="K60">
        <v>70</v>
      </c>
      <c r="L60" t="s">
        <v>303</v>
      </c>
      <c r="M60">
        <v>1</v>
      </c>
      <c r="T60">
        <v>4.4800000000000004</v>
      </c>
      <c r="AA60">
        <v>0</v>
      </c>
      <c r="AB60">
        <v>17707</v>
      </c>
      <c r="AC60">
        <v>143.5</v>
      </c>
      <c r="AI60">
        <v>0</v>
      </c>
      <c r="AJ60">
        <f t="shared" si="0"/>
        <v>2.0499999999999998</v>
      </c>
      <c r="AK60">
        <v>0.84</v>
      </c>
      <c r="AL60">
        <v>0</v>
      </c>
      <c r="AS60" t="s">
        <v>365</v>
      </c>
      <c r="AY60" t="s">
        <v>366</v>
      </c>
      <c r="BO60" t="s">
        <v>108</v>
      </c>
    </row>
    <row r="61" spans="1:70" x14ac:dyDescent="0.25">
      <c r="A61" t="s">
        <v>150</v>
      </c>
      <c r="B61">
        <v>10</v>
      </c>
      <c r="C61" t="s">
        <v>367</v>
      </c>
      <c r="D61" t="s">
        <v>390</v>
      </c>
      <c r="E61" t="s">
        <v>392</v>
      </c>
      <c r="F61" t="s">
        <v>304</v>
      </c>
      <c r="G61" t="s">
        <v>370</v>
      </c>
      <c r="H61" t="s">
        <v>371</v>
      </c>
      <c r="I61" t="s">
        <v>302</v>
      </c>
      <c r="J61" t="s">
        <v>364</v>
      </c>
      <c r="K61">
        <v>160</v>
      </c>
      <c r="L61" t="s">
        <v>303</v>
      </c>
      <c r="M61">
        <v>2</v>
      </c>
      <c r="T61">
        <v>15.12</v>
      </c>
      <c r="AA61">
        <v>0</v>
      </c>
      <c r="AB61">
        <v>17707</v>
      </c>
      <c r="AC61">
        <v>328</v>
      </c>
      <c r="AI61">
        <v>0</v>
      </c>
      <c r="AJ61">
        <f t="shared" si="0"/>
        <v>2.0499999999999998</v>
      </c>
      <c r="AK61">
        <v>0.84</v>
      </c>
      <c r="AL61">
        <v>0</v>
      </c>
      <c r="AS61" t="s">
        <v>365</v>
      </c>
      <c r="AY61" t="s">
        <v>366</v>
      </c>
      <c r="BO61" t="s">
        <v>108</v>
      </c>
    </row>
    <row r="62" spans="1:70" x14ac:dyDescent="0.25">
      <c r="A62" t="s">
        <v>150</v>
      </c>
      <c r="B62">
        <v>11</v>
      </c>
      <c r="C62" t="s">
        <v>367</v>
      </c>
      <c r="D62" t="s">
        <v>390</v>
      </c>
      <c r="E62" t="s">
        <v>393</v>
      </c>
      <c r="F62" t="s">
        <v>304</v>
      </c>
      <c r="G62" t="s">
        <v>370</v>
      </c>
      <c r="H62" t="s">
        <v>375</v>
      </c>
      <c r="I62" t="s">
        <v>302</v>
      </c>
      <c r="J62" t="s">
        <v>364</v>
      </c>
      <c r="K62">
        <v>387</v>
      </c>
      <c r="L62" t="s">
        <v>303</v>
      </c>
      <c r="M62">
        <v>5</v>
      </c>
      <c r="T62">
        <v>27.9</v>
      </c>
      <c r="AA62">
        <v>0</v>
      </c>
      <c r="AB62">
        <v>17707</v>
      </c>
      <c r="AC62">
        <v>793.35</v>
      </c>
      <c r="AI62">
        <v>0</v>
      </c>
      <c r="AJ62">
        <f t="shared" si="0"/>
        <v>2.0500000000000003</v>
      </c>
      <c r="AK62">
        <v>0.84</v>
      </c>
      <c r="AL62">
        <v>0</v>
      </c>
      <c r="AS62" t="s">
        <v>365</v>
      </c>
      <c r="AY62" t="s">
        <v>366</v>
      </c>
      <c r="BO62" t="s">
        <v>108</v>
      </c>
    </row>
    <row r="63" spans="1:70" x14ac:dyDescent="0.25">
      <c r="A63" t="s">
        <v>150</v>
      </c>
      <c r="B63">
        <v>12</v>
      </c>
      <c r="C63" t="s">
        <v>367</v>
      </c>
      <c r="D63" t="s">
        <v>390</v>
      </c>
      <c r="E63" t="s">
        <v>393</v>
      </c>
      <c r="F63" t="s">
        <v>304</v>
      </c>
      <c r="G63" t="s">
        <v>370</v>
      </c>
      <c r="H63" t="s">
        <v>376</v>
      </c>
      <c r="I63" t="s">
        <v>302</v>
      </c>
      <c r="J63" t="s">
        <v>364</v>
      </c>
      <c r="K63">
        <v>421</v>
      </c>
      <c r="L63" t="s">
        <v>303</v>
      </c>
      <c r="M63">
        <v>3</v>
      </c>
      <c r="T63">
        <v>32.159999999999997</v>
      </c>
      <c r="AA63">
        <v>0</v>
      </c>
      <c r="AB63">
        <v>17707</v>
      </c>
      <c r="AC63">
        <v>863.05</v>
      </c>
      <c r="AI63">
        <v>0</v>
      </c>
      <c r="AJ63">
        <f t="shared" si="0"/>
        <v>2.0499999999999998</v>
      </c>
      <c r="AK63">
        <v>0.84</v>
      </c>
      <c r="AL63">
        <v>0</v>
      </c>
      <c r="AS63" t="s">
        <v>365</v>
      </c>
      <c r="AY63" t="s">
        <v>366</v>
      </c>
      <c r="BO63" t="s">
        <v>108</v>
      </c>
    </row>
    <row r="64" spans="1:70" x14ac:dyDescent="0.25">
      <c r="A64" t="s">
        <v>150</v>
      </c>
      <c r="B64">
        <v>7</v>
      </c>
      <c r="C64" t="s">
        <v>367</v>
      </c>
      <c r="D64" t="s">
        <v>390</v>
      </c>
      <c r="E64" t="s">
        <v>392</v>
      </c>
      <c r="F64" t="s">
        <v>304</v>
      </c>
      <c r="G64" t="s">
        <v>370</v>
      </c>
      <c r="H64" t="s">
        <v>376</v>
      </c>
      <c r="I64" t="s">
        <v>302</v>
      </c>
      <c r="J64" t="s">
        <v>364</v>
      </c>
      <c r="K64">
        <v>375</v>
      </c>
      <c r="L64" t="s">
        <v>303</v>
      </c>
      <c r="M64">
        <v>5</v>
      </c>
      <c r="T64">
        <v>29.04</v>
      </c>
      <c r="AA64">
        <v>0</v>
      </c>
      <c r="AB64">
        <v>17707</v>
      </c>
      <c r="AC64">
        <v>768.75</v>
      </c>
      <c r="AI64">
        <v>0</v>
      </c>
      <c r="AJ64">
        <f t="shared" si="0"/>
        <v>2.0499999999999998</v>
      </c>
      <c r="AK64">
        <v>0.84</v>
      </c>
      <c r="AL64">
        <v>0</v>
      </c>
      <c r="AS64" t="s">
        <v>365</v>
      </c>
      <c r="AY64" t="s">
        <v>366</v>
      </c>
      <c r="BO64" t="s">
        <v>108</v>
      </c>
    </row>
    <row r="65" spans="1:70" x14ac:dyDescent="0.25">
      <c r="A65" t="s">
        <v>150</v>
      </c>
      <c r="B65">
        <v>8</v>
      </c>
      <c r="C65" t="s">
        <v>367</v>
      </c>
      <c r="D65" t="s">
        <v>390</v>
      </c>
      <c r="E65" t="s">
        <v>392</v>
      </c>
      <c r="F65" t="s">
        <v>304</v>
      </c>
      <c r="G65" t="s">
        <v>370</v>
      </c>
      <c r="H65" t="s">
        <v>377</v>
      </c>
      <c r="I65" t="s">
        <v>302</v>
      </c>
      <c r="J65" t="s">
        <v>364</v>
      </c>
      <c r="K65">
        <v>336</v>
      </c>
      <c r="L65" t="s">
        <v>303</v>
      </c>
      <c r="M65">
        <v>4</v>
      </c>
      <c r="T65">
        <v>28.44</v>
      </c>
      <c r="AA65">
        <v>0</v>
      </c>
      <c r="AB65">
        <v>17707</v>
      </c>
      <c r="AC65">
        <v>688.8</v>
      </c>
      <c r="AI65">
        <v>0</v>
      </c>
      <c r="AJ65">
        <f t="shared" si="0"/>
        <v>2.0499999999999998</v>
      </c>
      <c r="AK65">
        <v>0.84</v>
      </c>
      <c r="AL65">
        <v>0</v>
      </c>
      <c r="AS65" t="s">
        <v>365</v>
      </c>
      <c r="AY65" t="s">
        <v>366</v>
      </c>
      <c r="BO65" t="s">
        <v>108</v>
      </c>
    </row>
    <row r="66" spans="1:70" x14ac:dyDescent="0.25">
      <c r="A66" t="s">
        <v>150</v>
      </c>
      <c r="B66">
        <v>13</v>
      </c>
      <c r="C66" t="s">
        <v>367</v>
      </c>
      <c r="D66" t="s">
        <v>390</v>
      </c>
      <c r="E66" t="s">
        <v>393</v>
      </c>
      <c r="F66" t="s">
        <v>304</v>
      </c>
      <c r="G66" t="s">
        <v>370</v>
      </c>
      <c r="H66" t="s">
        <v>377</v>
      </c>
      <c r="I66" t="s">
        <v>302</v>
      </c>
      <c r="J66" t="s">
        <v>364</v>
      </c>
      <c r="K66">
        <v>354</v>
      </c>
      <c r="L66" t="s">
        <v>303</v>
      </c>
      <c r="M66">
        <v>3</v>
      </c>
      <c r="T66">
        <v>29.7</v>
      </c>
      <c r="AA66">
        <v>0</v>
      </c>
      <c r="AB66">
        <v>17707</v>
      </c>
      <c r="AC66">
        <v>725.7</v>
      </c>
      <c r="AI66">
        <v>0</v>
      </c>
      <c r="AJ66">
        <f t="shared" si="0"/>
        <v>2.0500000000000003</v>
      </c>
      <c r="AK66">
        <v>0.84</v>
      </c>
      <c r="AL66">
        <v>0</v>
      </c>
      <c r="AS66" t="s">
        <v>365</v>
      </c>
      <c r="AY66" t="s">
        <v>366</v>
      </c>
      <c r="BO66" t="s">
        <v>108</v>
      </c>
    </row>
    <row r="67" spans="1:70" x14ac:dyDescent="0.25">
      <c r="A67" t="s">
        <v>150</v>
      </c>
      <c r="B67">
        <v>14</v>
      </c>
      <c r="C67" t="s">
        <v>367</v>
      </c>
      <c r="D67" t="s">
        <v>390</v>
      </c>
      <c r="E67" t="s">
        <v>393</v>
      </c>
      <c r="F67" t="s">
        <v>304</v>
      </c>
      <c r="G67" t="s">
        <v>370</v>
      </c>
      <c r="H67" t="s">
        <v>371</v>
      </c>
      <c r="I67" t="s">
        <v>302</v>
      </c>
      <c r="J67" t="s">
        <v>364</v>
      </c>
      <c r="K67">
        <v>175</v>
      </c>
      <c r="L67" t="s">
        <v>303</v>
      </c>
      <c r="M67">
        <v>2</v>
      </c>
      <c r="T67">
        <v>14.91</v>
      </c>
      <c r="AA67">
        <v>0</v>
      </c>
      <c r="AB67">
        <v>17707</v>
      </c>
      <c r="AC67">
        <v>358.75</v>
      </c>
      <c r="AI67">
        <v>0</v>
      </c>
      <c r="AJ67">
        <f t="shared" ref="AJ67:AJ130" si="1">+AC67/K67</f>
        <v>2.0499999999999998</v>
      </c>
      <c r="AK67">
        <v>0.84</v>
      </c>
      <c r="AL67">
        <v>0</v>
      </c>
      <c r="AS67" t="s">
        <v>365</v>
      </c>
      <c r="AY67" t="s">
        <v>366</v>
      </c>
      <c r="BO67" t="s">
        <v>108</v>
      </c>
    </row>
    <row r="68" spans="1:70" x14ac:dyDescent="0.25">
      <c r="A68" t="s">
        <v>150</v>
      </c>
      <c r="B68">
        <v>15</v>
      </c>
      <c r="C68" t="s">
        <v>367</v>
      </c>
      <c r="D68" t="s">
        <v>390</v>
      </c>
      <c r="E68" t="s">
        <v>393</v>
      </c>
      <c r="F68" t="s">
        <v>304</v>
      </c>
      <c r="G68" t="s">
        <v>370</v>
      </c>
      <c r="H68" t="s">
        <v>372</v>
      </c>
      <c r="I68" t="s">
        <v>302</v>
      </c>
      <c r="J68" t="s">
        <v>364</v>
      </c>
      <c r="K68">
        <v>92</v>
      </c>
      <c r="L68" t="s">
        <v>303</v>
      </c>
      <c r="M68">
        <v>3</v>
      </c>
      <c r="T68">
        <v>16.91</v>
      </c>
      <c r="AA68">
        <v>0</v>
      </c>
      <c r="AB68">
        <v>17707</v>
      </c>
      <c r="AC68">
        <v>188.6</v>
      </c>
      <c r="AI68">
        <v>0</v>
      </c>
      <c r="AJ68">
        <f t="shared" si="1"/>
        <v>2.0499999999999998</v>
      </c>
      <c r="AK68">
        <v>0.84</v>
      </c>
      <c r="AL68">
        <v>0</v>
      </c>
      <c r="AS68" t="s">
        <v>365</v>
      </c>
      <c r="AY68" t="s">
        <v>366</v>
      </c>
      <c r="BO68" t="s">
        <v>108</v>
      </c>
    </row>
    <row r="69" spans="1:70" x14ac:dyDescent="0.25">
      <c r="A69" t="s">
        <v>152</v>
      </c>
      <c r="B69">
        <v>1</v>
      </c>
      <c r="C69" t="s">
        <v>394</v>
      </c>
      <c r="D69" t="s">
        <v>302</v>
      </c>
      <c r="E69" t="s">
        <v>395</v>
      </c>
      <c r="F69" t="s">
        <v>302</v>
      </c>
      <c r="G69" t="s">
        <v>302</v>
      </c>
      <c r="H69" t="s">
        <v>302</v>
      </c>
      <c r="I69" t="s">
        <v>302</v>
      </c>
      <c r="J69" t="s">
        <v>396</v>
      </c>
      <c r="K69">
        <v>4</v>
      </c>
      <c r="L69" t="s">
        <v>301</v>
      </c>
      <c r="M69">
        <v>1</v>
      </c>
      <c r="T69">
        <v>1.05</v>
      </c>
      <c r="Z69">
        <v>0</v>
      </c>
      <c r="AA69">
        <v>0</v>
      </c>
      <c r="AB69">
        <v>17707</v>
      </c>
      <c r="AC69">
        <v>4</v>
      </c>
      <c r="AF69">
        <v>0</v>
      </c>
      <c r="AG69">
        <v>0</v>
      </c>
      <c r="AH69">
        <v>0</v>
      </c>
      <c r="AI69">
        <v>0</v>
      </c>
      <c r="AJ69">
        <f t="shared" si="1"/>
        <v>1</v>
      </c>
      <c r="AK69">
        <v>0</v>
      </c>
      <c r="AM69">
        <v>0</v>
      </c>
      <c r="AN69">
        <v>0</v>
      </c>
      <c r="AS69" t="s">
        <v>365</v>
      </c>
      <c r="AY69" t="s">
        <v>366</v>
      </c>
      <c r="BJ69">
        <v>0</v>
      </c>
      <c r="BO69" t="s">
        <v>108</v>
      </c>
      <c r="BR69" t="s">
        <v>129</v>
      </c>
    </row>
    <row r="70" spans="1:70" x14ac:dyDescent="0.25">
      <c r="A70" t="s">
        <v>157</v>
      </c>
      <c r="B70">
        <v>1</v>
      </c>
      <c r="C70" t="s">
        <v>367</v>
      </c>
      <c r="D70" t="s">
        <v>397</v>
      </c>
      <c r="E70" t="s">
        <v>398</v>
      </c>
      <c r="F70" t="s">
        <v>304</v>
      </c>
      <c r="G70" t="s">
        <v>399</v>
      </c>
      <c r="H70" t="s">
        <v>375</v>
      </c>
      <c r="I70" t="s">
        <v>302</v>
      </c>
      <c r="J70" t="s">
        <v>364</v>
      </c>
      <c r="K70">
        <v>891</v>
      </c>
      <c r="L70" t="s">
        <v>303</v>
      </c>
      <c r="M70">
        <v>5</v>
      </c>
      <c r="T70">
        <v>43.48</v>
      </c>
      <c r="AA70">
        <v>0</v>
      </c>
      <c r="AB70">
        <v>17707</v>
      </c>
      <c r="AC70">
        <v>1719.63</v>
      </c>
      <c r="AI70">
        <v>0</v>
      </c>
      <c r="AJ70">
        <f t="shared" si="1"/>
        <v>1.9300000000000002</v>
      </c>
      <c r="AK70">
        <v>0.81</v>
      </c>
      <c r="AL70">
        <v>0</v>
      </c>
      <c r="AS70" t="s">
        <v>365</v>
      </c>
      <c r="AY70" t="s">
        <v>366</v>
      </c>
      <c r="BO70" t="s">
        <v>108</v>
      </c>
    </row>
    <row r="71" spans="1:70" x14ac:dyDescent="0.25">
      <c r="A71" t="s">
        <v>157</v>
      </c>
      <c r="B71">
        <v>2</v>
      </c>
      <c r="C71" t="s">
        <v>367</v>
      </c>
      <c r="D71" t="s">
        <v>397</v>
      </c>
      <c r="E71" t="s">
        <v>398</v>
      </c>
      <c r="F71" t="s">
        <v>304</v>
      </c>
      <c r="G71" t="s">
        <v>399</v>
      </c>
      <c r="H71" t="s">
        <v>376</v>
      </c>
      <c r="I71" t="s">
        <v>302</v>
      </c>
      <c r="J71" t="s">
        <v>364</v>
      </c>
      <c r="K71">
        <v>1071</v>
      </c>
      <c r="L71" t="s">
        <v>303</v>
      </c>
      <c r="M71">
        <v>6</v>
      </c>
      <c r="T71">
        <v>28.535</v>
      </c>
      <c r="AA71">
        <v>0</v>
      </c>
      <c r="AB71">
        <v>17707</v>
      </c>
      <c r="AC71">
        <v>2067.0300000000002</v>
      </c>
      <c r="AI71">
        <v>0</v>
      </c>
      <c r="AJ71">
        <f t="shared" si="1"/>
        <v>1.9300000000000002</v>
      </c>
      <c r="AK71">
        <v>0.81</v>
      </c>
      <c r="AL71">
        <v>0</v>
      </c>
      <c r="AS71" t="s">
        <v>365</v>
      </c>
      <c r="AY71" t="s">
        <v>366</v>
      </c>
      <c r="BO71" t="s">
        <v>108</v>
      </c>
    </row>
    <row r="72" spans="1:70" x14ac:dyDescent="0.25">
      <c r="A72" t="s">
        <v>157</v>
      </c>
      <c r="B72">
        <v>3</v>
      </c>
      <c r="C72" t="s">
        <v>367</v>
      </c>
      <c r="D72" t="s">
        <v>397</v>
      </c>
      <c r="E72" t="s">
        <v>398</v>
      </c>
      <c r="F72" t="s">
        <v>304</v>
      </c>
      <c r="G72" t="s">
        <v>399</v>
      </c>
      <c r="H72" t="s">
        <v>377</v>
      </c>
      <c r="I72" t="s">
        <v>302</v>
      </c>
      <c r="J72" t="s">
        <v>364</v>
      </c>
      <c r="K72">
        <v>1045</v>
      </c>
      <c r="L72" t="s">
        <v>303</v>
      </c>
      <c r="M72">
        <v>21</v>
      </c>
      <c r="T72">
        <v>164.5</v>
      </c>
      <c r="AA72">
        <v>0</v>
      </c>
      <c r="AB72">
        <v>17707</v>
      </c>
      <c r="AC72">
        <v>2016.85</v>
      </c>
      <c r="AI72">
        <v>0</v>
      </c>
      <c r="AJ72">
        <f t="shared" si="1"/>
        <v>1.93</v>
      </c>
      <c r="AK72">
        <v>0.81</v>
      </c>
      <c r="AL72">
        <v>0</v>
      </c>
      <c r="AS72" t="s">
        <v>365</v>
      </c>
      <c r="AY72" t="s">
        <v>366</v>
      </c>
      <c r="BO72" t="s">
        <v>108</v>
      </c>
    </row>
    <row r="73" spans="1:70" x14ac:dyDescent="0.25">
      <c r="A73" t="s">
        <v>157</v>
      </c>
      <c r="B73">
        <v>4</v>
      </c>
      <c r="C73" t="s">
        <v>367</v>
      </c>
      <c r="D73" t="s">
        <v>397</v>
      </c>
      <c r="E73" t="s">
        <v>398</v>
      </c>
      <c r="F73" t="s">
        <v>304</v>
      </c>
      <c r="G73" t="s">
        <v>399</v>
      </c>
      <c r="H73" t="s">
        <v>371</v>
      </c>
      <c r="I73" t="s">
        <v>302</v>
      </c>
      <c r="J73" t="s">
        <v>364</v>
      </c>
      <c r="K73">
        <v>666</v>
      </c>
      <c r="L73" t="s">
        <v>303</v>
      </c>
      <c r="M73">
        <v>5</v>
      </c>
      <c r="T73">
        <v>25.92</v>
      </c>
      <c r="AA73">
        <v>0</v>
      </c>
      <c r="AB73">
        <v>17707</v>
      </c>
      <c r="AC73">
        <v>1285.3800000000001</v>
      </c>
      <c r="AI73">
        <v>0</v>
      </c>
      <c r="AJ73">
        <f t="shared" si="1"/>
        <v>1.9300000000000002</v>
      </c>
      <c r="AK73">
        <v>0.81</v>
      </c>
      <c r="AL73">
        <v>0</v>
      </c>
      <c r="AS73" t="s">
        <v>365</v>
      </c>
      <c r="AY73" t="s">
        <v>366</v>
      </c>
      <c r="BO73" t="s">
        <v>108</v>
      </c>
    </row>
    <row r="74" spans="1:70" x14ac:dyDescent="0.25">
      <c r="A74" t="s">
        <v>157</v>
      </c>
      <c r="B74">
        <v>5</v>
      </c>
      <c r="C74" t="s">
        <v>367</v>
      </c>
      <c r="D74" t="s">
        <v>397</v>
      </c>
      <c r="E74" t="s">
        <v>398</v>
      </c>
      <c r="F74" t="s">
        <v>304</v>
      </c>
      <c r="G74" t="s">
        <v>399</v>
      </c>
      <c r="H74" t="s">
        <v>372</v>
      </c>
      <c r="I74" t="s">
        <v>302</v>
      </c>
      <c r="J74" t="s">
        <v>364</v>
      </c>
      <c r="K74">
        <v>374</v>
      </c>
      <c r="L74" t="s">
        <v>303</v>
      </c>
      <c r="M74">
        <v>2</v>
      </c>
      <c r="T74">
        <v>12.865</v>
      </c>
      <c r="AA74">
        <v>0</v>
      </c>
      <c r="AB74">
        <v>17707</v>
      </c>
      <c r="AC74">
        <v>721.82</v>
      </c>
      <c r="AI74">
        <v>0</v>
      </c>
      <c r="AJ74">
        <f t="shared" si="1"/>
        <v>1.9300000000000002</v>
      </c>
      <c r="AK74">
        <v>0.81</v>
      </c>
      <c r="AL74">
        <v>0</v>
      </c>
      <c r="AS74" t="s">
        <v>365</v>
      </c>
      <c r="AY74" t="s">
        <v>366</v>
      </c>
      <c r="BO74" t="s">
        <v>108</v>
      </c>
    </row>
    <row r="75" spans="1:70" x14ac:dyDescent="0.25">
      <c r="A75" t="s">
        <v>159</v>
      </c>
      <c r="B75">
        <v>3</v>
      </c>
      <c r="C75" t="s">
        <v>367</v>
      </c>
      <c r="D75" t="s">
        <v>400</v>
      </c>
      <c r="E75" t="s">
        <v>401</v>
      </c>
      <c r="F75" t="s">
        <v>304</v>
      </c>
      <c r="G75" t="s">
        <v>383</v>
      </c>
      <c r="H75" t="s">
        <v>371</v>
      </c>
      <c r="I75" t="s">
        <v>302</v>
      </c>
      <c r="J75" t="s">
        <v>364</v>
      </c>
      <c r="K75">
        <v>81</v>
      </c>
      <c r="L75" t="s">
        <v>303</v>
      </c>
      <c r="M75">
        <v>2</v>
      </c>
      <c r="T75">
        <v>7.6950000000000003</v>
      </c>
      <c r="AA75">
        <v>0</v>
      </c>
      <c r="AB75">
        <v>17707</v>
      </c>
      <c r="AC75">
        <v>161.19</v>
      </c>
      <c r="AI75">
        <v>0</v>
      </c>
      <c r="AJ75">
        <f t="shared" si="1"/>
        <v>1.99</v>
      </c>
      <c r="AK75">
        <v>0.81</v>
      </c>
      <c r="AL75">
        <v>0</v>
      </c>
      <c r="AS75" t="s">
        <v>365</v>
      </c>
      <c r="AY75" t="s">
        <v>366</v>
      </c>
      <c r="BO75" t="s">
        <v>108</v>
      </c>
    </row>
    <row r="76" spans="1:70" x14ac:dyDescent="0.25">
      <c r="A76" t="s">
        <v>159</v>
      </c>
      <c r="B76">
        <v>4</v>
      </c>
      <c r="C76" t="s">
        <v>367</v>
      </c>
      <c r="D76" t="s">
        <v>400</v>
      </c>
      <c r="E76" t="s">
        <v>401</v>
      </c>
      <c r="F76" t="s">
        <v>304</v>
      </c>
      <c r="G76" t="s">
        <v>383</v>
      </c>
      <c r="H76" t="s">
        <v>372</v>
      </c>
      <c r="I76" t="s">
        <v>302</v>
      </c>
      <c r="J76" t="s">
        <v>364</v>
      </c>
      <c r="K76">
        <v>42</v>
      </c>
      <c r="L76" t="s">
        <v>303</v>
      </c>
      <c r="M76">
        <v>1</v>
      </c>
      <c r="T76">
        <v>2.73</v>
      </c>
      <c r="AA76">
        <v>0</v>
      </c>
      <c r="AB76">
        <v>17707</v>
      </c>
      <c r="AC76">
        <v>83.58</v>
      </c>
      <c r="AI76">
        <v>0</v>
      </c>
      <c r="AJ76">
        <f t="shared" si="1"/>
        <v>1.99</v>
      </c>
      <c r="AK76">
        <v>0.81</v>
      </c>
      <c r="AL76">
        <v>0</v>
      </c>
      <c r="AS76" t="s">
        <v>365</v>
      </c>
      <c r="AY76" t="s">
        <v>366</v>
      </c>
      <c r="BO76" t="s">
        <v>108</v>
      </c>
    </row>
    <row r="77" spans="1:70" x14ac:dyDescent="0.25">
      <c r="A77" t="s">
        <v>159</v>
      </c>
      <c r="B77">
        <v>5</v>
      </c>
      <c r="C77" t="s">
        <v>367</v>
      </c>
      <c r="D77" t="s">
        <v>400</v>
      </c>
      <c r="E77" t="s">
        <v>401</v>
      </c>
      <c r="F77" t="s">
        <v>304</v>
      </c>
      <c r="G77" t="s">
        <v>383</v>
      </c>
      <c r="H77" t="s">
        <v>375</v>
      </c>
      <c r="I77" t="s">
        <v>302</v>
      </c>
      <c r="J77" t="s">
        <v>364</v>
      </c>
      <c r="K77">
        <v>44</v>
      </c>
      <c r="L77" t="s">
        <v>303</v>
      </c>
      <c r="M77">
        <v>1</v>
      </c>
      <c r="T77">
        <v>3.08</v>
      </c>
      <c r="AA77">
        <v>0</v>
      </c>
      <c r="AB77">
        <v>17707</v>
      </c>
      <c r="AC77">
        <v>87.56</v>
      </c>
      <c r="AI77">
        <v>0</v>
      </c>
      <c r="AJ77">
        <f t="shared" si="1"/>
        <v>1.99</v>
      </c>
      <c r="AK77">
        <v>0.81</v>
      </c>
      <c r="AL77">
        <v>0</v>
      </c>
      <c r="AS77" t="s">
        <v>365</v>
      </c>
      <c r="AY77" t="s">
        <v>366</v>
      </c>
      <c r="BO77" t="s">
        <v>108</v>
      </c>
    </row>
    <row r="78" spans="1:70" x14ac:dyDescent="0.25">
      <c r="A78" t="s">
        <v>159</v>
      </c>
      <c r="B78">
        <v>1</v>
      </c>
      <c r="C78" t="s">
        <v>367</v>
      </c>
      <c r="D78" t="s">
        <v>400</v>
      </c>
      <c r="E78" t="s">
        <v>401</v>
      </c>
      <c r="F78" t="s">
        <v>304</v>
      </c>
      <c r="G78" t="s">
        <v>383</v>
      </c>
      <c r="H78" t="s">
        <v>376</v>
      </c>
      <c r="I78" t="s">
        <v>302</v>
      </c>
      <c r="J78" t="s">
        <v>364</v>
      </c>
      <c r="K78">
        <v>53</v>
      </c>
      <c r="L78" t="s">
        <v>303</v>
      </c>
      <c r="M78">
        <v>2</v>
      </c>
      <c r="T78">
        <v>3.9750000000000001</v>
      </c>
      <c r="AA78">
        <v>0</v>
      </c>
      <c r="AB78">
        <v>17707</v>
      </c>
      <c r="AC78">
        <v>105.47</v>
      </c>
      <c r="AI78">
        <v>0</v>
      </c>
      <c r="AJ78">
        <f t="shared" si="1"/>
        <v>1.99</v>
      </c>
      <c r="AK78">
        <v>0.81</v>
      </c>
      <c r="AL78">
        <v>0</v>
      </c>
      <c r="AS78" t="s">
        <v>365</v>
      </c>
      <c r="AY78" t="s">
        <v>366</v>
      </c>
      <c r="BO78" t="s">
        <v>108</v>
      </c>
    </row>
    <row r="79" spans="1:70" x14ac:dyDescent="0.25">
      <c r="A79" t="s">
        <v>159</v>
      </c>
      <c r="B79">
        <v>2</v>
      </c>
      <c r="C79" t="s">
        <v>367</v>
      </c>
      <c r="D79" t="s">
        <v>400</v>
      </c>
      <c r="E79" t="s">
        <v>401</v>
      </c>
      <c r="F79" t="s">
        <v>304</v>
      </c>
      <c r="G79" t="s">
        <v>383</v>
      </c>
      <c r="H79" t="s">
        <v>377</v>
      </c>
      <c r="I79" t="s">
        <v>302</v>
      </c>
      <c r="J79" t="s">
        <v>364</v>
      </c>
      <c r="K79">
        <v>80</v>
      </c>
      <c r="L79" t="s">
        <v>303</v>
      </c>
      <c r="M79">
        <v>3</v>
      </c>
      <c r="T79">
        <v>6.8</v>
      </c>
      <c r="AA79">
        <v>0</v>
      </c>
      <c r="AB79">
        <v>17707</v>
      </c>
      <c r="AC79">
        <v>159.19999999999999</v>
      </c>
      <c r="AI79">
        <v>0</v>
      </c>
      <c r="AJ79">
        <f t="shared" si="1"/>
        <v>1.9899999999999998</v>
      </c>
      <c r="AK79">
        <v>0.81</v>
      </c>
      <c r="AL79">
        <v>0</v>
      </c>
      <c r="AS79" t="s">
        <v>365</v>
      </c>
      <c r="AY79" t="s">
        <v>366</v>
      </c>
      <c r="BO79" t="s">
        <v>108</v>
      </c>
    </row>
    <row r="80" spans="1:70" x14ac:dyDescent="0.25">
      <c r="A80" t="s">
        <v>161</v>
      </c>
      <c r="B80">
        <v>16</v>
      </c>
      <c r="C80" t="s">
        <v>367</v>
      </c>
      <c r="D80" t="s">
        <v>402</v>
      </c>
      <c r="E80" t="s">
        <v>403</v>
      </c>
      <c r="F80" t="s">
        <v>304</v>
      </c>
      <c r="G80" t="s">
        <v>404</v>
      </c>
      <c r="H80" t="s">
        <v>405</v>
      </c>
      <c r="I80" t="s">
        <v>302</v>
      </c>
      <c r="J80" t="s">
        <v>364</v>
      </c>
      <c r="K80">
        <v>17</v>
      </c>
      <c r="L80" t="s">
        <v>303</v>
      </c>
      <c r="M80">
        <v>0</v>
      </c>
      <c r="T80">
        <v>0</v>
      </c>
      <c r="AA80">
        <v>0</v>
      </c>
      <c r="AB80">
        <v>17707</v>
      </c>
      <c r="AC80">
        <v>41.65</v>
      </c>
      <c r="AI80">
        <v>0</v>
      </c>
      <c r="AJ80">
        <f t="shared" si="1"/>
        <v>2.4499999999999997</v>
      </c>
      <c r="AK80">
        <v>0.76</v>
      </c>
      <c r="AL80">
        <v>0</v>
      </c>
      <c r="AS80" t="s">
        <v>365</v>
      </c>
      <c r="AY80" t="s">
        <v>366</v>
      </c>
      <c r="BO80" t="s">
        <v>108</v>
      </c>
    </row>
    <row r="81" spans="1:67" x14ac:dyDescent="0.25">
      <c r="A81" t="s">
        <v>161</v>
      </c>
      <c r="B81">
        <v>17</v>
      </c>
      <c r="C81" t="s">
        <v>367</v>
      </c>
      <c r="D81" t="s">
        <v>402</v>
      </c>
      <c r="E81" t="s">
        <v>403</v>
      </c>
      <c r="F81" t="s">
        <v>304</v>
      </c>
      <c r="G81" t="s">
        <v>404</v>
      </c>
      <c r="H81" t="s">
        <v>406</v>
      </c>
      <c r="I81" t="s">
        <v>302</v>
      </c>
      <c r="J81" t="s">
        <v>364</v>
      </c>
      <c r="K81">
        <v>3</v>
      </c>
      <c r="L81" t="s">
        <v>303</v>
      </c>
      <c r="M81">
        <v>0</v>
      </c>
      <c r="T81">
        <v>0</v>
      </c>
      <c r="AA81">
        <v>0</v>
      </c>
      <c r="AB81">
        <v>17707</v>
      </c>
      <c r="AC81">
        <v>7.35</v>
      </c>
      <c r="AI81">
        <v>0</v>
      </c>
      <c r="AJ81">
        <f t="shared" si="1"/>
        <v>2.4499999999999997</v>
      </c>
      <c r="AK81">
        <v>0.76</v>
      </c>
      <c r="AL81">
        <v>0</v>
      </c>
      <c r="AS81" t="s">
        <v>365</v>
      </c>
      <c r="AY81" t="s">
        <v>366</v>
      </c>
      <c r="BO81" t="s">
        <v>108</v>
      </c>
    </row>
    <row r="82" spans="1:67" x14ac:dyDescent="0.25">
      <c r="A82" t="s">
        <v>161</v>
      </c>
      <c r="B82">
        <v>18</v>
      </c>
      <c r="C82" t="s">
        <v>367</v>
      </c>
      <c r="D82" t="s">
        <v>402</v>
      </c>
      <c r="E82" t="s">
        <v>403</v>
      </c>
      <c r="F82" t="s">
        <v>304</v>
      </c>
      <c r="G82" t="s">
        <v>404</v>
      </c>
      <c r="H82" t="s">
        <v>407</v>
      </c>
      <c r="I82" t="s">
        <v>302</v>
      </c>
      <c r="J82" t="s">
        <v>364</v>
      </c>
      <c r="K82">
        <v>14</v>
      </c>
      <c r="L82" t="s">
        <v>303</v>
      </c>
      <c r="M82">
        <v>0</v>
      </c>
      <c r="T82">
        <v>0</v>
      </c>
      <c r="AA82">
        <v>0</v>
      </c>
      <c r="AB82">
        <v>17707</v>
      </c>
      <c r="AC82">
        <v>34.299999999999997</v>
      </c>
      <c r="AI82">
        <v>0</v>
      </c>
      <c r="AJ82">
        <f t="shared" si="1"/>
        <v>2.4499999999999997</v>
      </c>
      <c r="AK82">
        <v>0.76</v>
      </c>
      <c r="AL82">
        <v>0</v>
      </c>
      <c r="AS82" t="s">
        <v>365</v>
      </c>
      <c r="AY82" t="s">
        <v>366</v>
      </c>
      <c r="BO82" t="s">
        <v>108</v>
      </c>
    </row>
    <row r="83" spans="1:67" x14ac:dyDescent="0.25">
      <c r="A83" t="s">
        <v>161</v>
      </c>
      <c r="B83">
        <v>19</v>
      </c>
      <c r="C83" t="s">
        <v>367</v>
      </c>
      <c r="D83" t="s">
        <v>402</v>
      </c>
      <c r="E83" t="s">
        <v>403</v>
      </c>
      <c r="F83" t="s">
        <v>304</v>
      </c>
      <c r="G83" t="s">
        <v>404</v>
      </c>
      <c r="H83" t="s">
        <v>408</v>
      </c>
      <c r="I83" t="s">
        <v>302</v>
      </c>
      <c r="J83" t="s">
        <v>364</v>
      </c>
      <c r="K83">
        <v>16</v>
      </c>
      <c r="L83" t="s">
        <v>303</v>
      </c>
      <c r="M83">
        <v>0</v>
      </c>
      <c r="T83">
        <v>0</v>
      </c>
      <c r="AA83">
        <v>0</v>
      </c>
      <c r="AB83">
        <v>17707</v>
      </c>
      <c r="AC83">
        <v>39.200000000000003</v>
      </c>
      <c r="AI83">
        <v>0</v>
      </c>
      <c r="AJ83">
        <f t="shared" si="1"/>
        <v>2.4500000000000002</v>
      </c>
      <c r="AK83">
        <v>0.76</v>
      </c>
      <c r="AL83">
        <v>0</v>
      </c>
      <c r="AS83" t="s">
        <v>365</v>
      </c>
      <c r="AY83" t="s">
        <v>366</v>
      </c>
      <c r="BO83" t="s">
        <v>108</v>
      </c>
    </row>
    <row r="84" spans="1:67" x14ac:dyDescent="0.25">
      <c r="A84" t="s">
        <v>161</v>
      </c>
      <c r="B84">
        <v>20</v>
      </c>
      <c r="C84" t="s">
        <v>367</v>
      </c>
      <c r="D84" t="s">
        <v>402</v>
      </c>
      <c r="E84" t="s">
        <v>403</v>
      </c>
      <c r="F84" t="s">
        <v>304</v>
      </c>
      <c r="G84" t="s">
        <v>404</v>
      </c>
      <c r="H84" t="s">
        <v>409</v>
      </c>
      <c r="I84" t="s">
        <v>302</v>
      </c>
      <c r="J84" t="s">
        <v>364</v>
      </c>
      <c r="K84">
        <v>15</v>
      </c>
      <c r="L84" t="s">
        <v>303</v>
      </c>
      <c r="M84">
        <v>0</v>
      </c>
      <c r="T84">
        <v>0</v>
      </c>
      <c r="AA84">
        <v>0</v>
      </c>
      <c r="AB84">
        <v>17707</v>
      </c>
      <c r="AC84">
        <v>36.75</v>
      </c>
      <c r="AI84">
        <v>0</v>
      </c>
      <c r="AJ84">
        <f t="shared" si="1"/>
        <v>2.4500000000000002</v>
      </c>
      <c r="AK84">
        <v>0.76</v>
      </c>
      <c r="AL84">
        <v>0</v>
      </c>
      <c r="AS84" t="s">
        <v>365</v>
      </c>
      <c r="AY84" t="s">
        <v>366</v>
      </c>
      <c r="BO84" t="s">
        <v>108</v>
      </c>
    </row>
    <row r="85" spans="1:67" x14ac:dyDescent="0.25">
      <c r="A85" t="s">
        <v>161</v>
      </c>
      <c r="B85">
        <v>21</v>
      </c>
      <c r="C85" t="s">
        <v>367</v>
      </c>
      <c r="D85" t="s">
        <v>402</v>
      </c>
      <c r="E85" t="s">
        <v>403</v>
      </c>
      <c r="F85" t="s">
        <v>304</v>
      </c>
      <c r="G85" t="s">
        <v>404</v>
      </c>
      <c r="H85" t="s">
        <v>410</v>
      </c>
      <c r="I85" t="s">
        <v>302</v>
      </c>
      <c r="J85" t="s">
        <v>364</v>
      </c>
      <c r="K85">
        <v>7</v>
      </c>
      <c r="L85" t="s">
        <v>303</v>
      </c>
      <c r="M85">
        <v>0</v>
      </c>
      <c r="T85">
        <v>0</v>
      </c>
      <c r="AA85">
        <v>0</v>
      </c>
      <c r="AB85">
        <v>17707</v>
      </c>
      <c r="AC85">
        <v>17.149999999999999</v>
      </c>
      <c r="AI85">
        <v>0</v>
      </c>
      <c r="AJ85">
        <f t="shared" si="1"/>
        <v>2.4499999999999997</v>
      </c>
      <c r="AK85">
        <v>0.76</v>
      </c>
      <c r="AL85">
        <v>0</v>
      </c>
      <c r="AS85" t="s">
        <v>365</v>
      </c>
      <c r="AY85" t="s">
        <v>366</v>
      </c>
      <c r="BO85" t="s">
        <v>108</v>
      </c>
    </row>
    <row r="86" spans="1:67" x14ac:dyDescent="0.25">
      <c r="A86" t="s">
        <v>161</v>
      </c>
      <c r="B86">
        <v>22</v>
      </c>
      <c r="C86" t="s">
        <v>367</v>
      </c>
      <c r="D86" t="s">
        <v>402</v>
      </c>
      <c r="E86" t="s">
        <v>403</v>
      </c>
      <c r="F86" t="s">
        <v>304</v>
      </c>
      <c r="G86" t="s">
        <v>404</v>
      </c>
      <c r="H86" t="s">
        <v>411</v>
      </c>
      <c r="I86" t="s">
        <v>302</v>
      </c>
      <c r="J86" t="s">
        <v>364</v>
      </c>
      <c r="K86">
        <v>1</v>
      </c>
      <c r="L86" t="s">
        <v>303</v>
      </c>
      <c r="M86">
        <v>0</v>
      </c>
      <c r="T86">
        <v>0</v>
      </c>
      <c r="AA86">
        <v>0</v>
      </c>
      <c r="AB86">
        <v>17707</v>
      </c>
      <c r="AC86">
        <v>2.4500000000000002</v>
      </c>
      <c r="AI86">
        <v>0</v>
      </c>
      <c r="AJ86">
        <f t="shared" si="1"/>
        <v>2.4500000000000002</v>
      </c>
      <c r="AK86">
        <v>0.76</v>
      </c>
      <c r="AL86">
        <v>0</v>
      </c>
      <c r="AS86" t="s">
        <v>365</v>
      </c>
      <c r="AY86" t="s">
        <v>366</v>
      </c>
      <c r="BO86" t="s">
        <v>108</v>
      </c>
    </row>
    <row r="87" spans="1:67" x14ac:dyDescent="0.25">
      <c r="A87" t="s">
        <v>161</v>
      </c>
      <c r="B87">
        <v>12</v>
      </c>
      <c r="C87" t="s">
        <v>367</v>
      </c>
      <c r="D87" t="s">
        <v>402</v>
      </c>
      <c r="E87" t="s">
        <v>403</v>
      </c>
      <c r="F87" t="s">
        <v>304</v>
      </c>
      <c r="G87" t="s">
        <v>404</v>
      </c>
      <c r="H87" t="s">
        <v>412</v>
      </c>
      <c r="I87" t="s">
        <v>302</v>
      </c>
      <c r="J87" t="s">
        <v>364</v>
      </c>
      <c r="K87">
        <v>9</v>
      </c>
      <c r="L87" t="s">
        <v>303</v>
      </c>
      <c r="M87">
        <v>0</v>
      </c>
      <c r="T87">
        <v>0</v>
      </c>
      <c r="AA87">
        <v>0</v>
      </c>
      <c r="AB87">
        <v>17707</v>
      </c>
      <c r="AC87">
        <v>22.05</v>
      </c>
      <c r="AI87">
        <v>0</v>
      </c>
      <c r="AJ87">
        <f t="shared" si="1"/>
        <v>2.4500000000000002</v>
      </c>
      <c r="AK87">
        <v>0.76</v>
      </c>
      <c r="AL87">
        <v>0</v>
      </c>
      <c r="AS87" t="s">
        <v>365</v>
      </c>
      <c r="AY87" t="s">
        <v>366</v>
      </c>
      <c r="BO87" t="s">
        <v>108</v>
      </c>
    </row>
    <row r="88" spans="1:67" x14ac:dyDescent="0.25">
      <c r="A88" t="s">
        <v>161</v>
      </c>
      <c r="B88">
        <v>13</v>
      </c>
      <c r="C88" t="s">
        <v>367</v>
      </c>
      <c r="D88" t="s">
        <v>402</v>
      </c>
      <c r="E88" t="s">
        <v>403</v>
      </c>
      <c r="F88" t="s">
        <v>304</v>
      </c>
      <c r="G88" t="s">
        <v>404</v>
      </c>
      <c r="H88" t="s">
        <v>413</v>
      </c>
      <c r="I88" t="s">
        <v>302</v>
      </c>
      <c r="J88" t="s">
        <v>364</v>
      </c>
      <c r="K88">
        <v>17</v>
      </c>
      <c r="L88" t="s">
        <v>303</v>
      </c>
      <c r="M88">
        <v>0</v>
      </c>
      <c r="T88">
        <v>0</v>
      </c>
      <c r="AA88">
        <v>0</v>
      </c>
      <c r="AB88">
        <v>17707</v>
      </c>
      <c r="AC88">
        <v>41.65</v>
      </c>
      <c r="AI88">
        <v>0</v>
      </c>
      <c r="AJ88">
        <f t="shared" si="1"/>
        <v>2.4499999999999997</v>
      </c>
      <c r="AK88">
        <v>0.76</v>
      </c>
      <c r="AL88">
        <v>0</v>
      </c>
      <c r="AS88" t="s">
        <v>365</v>
      </c>
      <c r="AY88" t="s">
        <v>366</v>
      </c>
      <c r="BO88" t="s">
        <v>108</v>
      </c>
    </row>
    <row r="89" spans="1:67" x14ac:dyDescent="0.25">
      <c r="A89" t="s">
        <v>161</v>
      </c>
      <c r="B89">
        <v>14</v>
      </c>
      <c r="C89" t="s">
        <v>367</v>
      </c>
      <c r="D89" t="s">
        <v>402</v>
      </c>
      <c r="E89" t="s">
        <v>403</v>
      </c>
      <c r="F89" t="s">
        <v>304</v>
      </c>
      <c r="G89" t="s">
        <v>404</v>
      </c>
      <c r="H89" t="s">
        <v>414</v>
      </c>
      <c r="I89" t="s">
        <v>302</v>
      </c>
      <c r="J89" t="s">
        <v>364</v>
      </c>
      <c r="K89">
        <v>10</v>
      </c>
      <c r="L89" t="s">
        <v>303</v>
      </c>
      <c r="M89">
        <v>0</v>
      </c>
      <c r="T89">
        <v>0</v>
      </c>
      <c r="AA89">
        <v>0</v>
      </c>
      <c r="AB89">
        <v>17707</v>
      </c>
      <c r="AC89">
        <v>24.5</v>
      </c>
      <c r="AI89">
        <v>0</v>
      </c>
      <c r="AJ89">
        <f t="shared" si="1"/>
        <v>2.4500000000000002</v>
      </c>
      <c r="AK89">
        <v>0.76</v>
      </c>
      <c r="AL89">
        <v>0</v>
      </c>
      <c r="AS89" t="s">
        <v>365</v>
      </c>
      <c r="AY89" t="s">
        <v>366</v>
      </c>
      <c r="BO89" t="s">
        <v>108</v>
      </c>
    </row>
    <row r="90" spans="1:67" x14ac:dyDescent="0.25">
      <c r="A90" t="s">
        <v>161</v>
      </c>
      <c r="B90">
        <v>15</v>
      </c>
      <c r="C90" t="s">
        <v>367</v>
      </c>
      <c r="D90" t="s">
        <v>402</v>
      </c>
      <c r="E90" t="s">
        <v>403</v>
      </c>
      <c r="F90" t="s">
        <v>304</v>
      </c>
      <c r="G90" t="s">
        <v>404</v>
      </c>
      <c r="H90" t="s">
        <v>415</v>
      </c>
      <c r="I90" t="s">
        <v>302</v>
      </c>
      <c r="J90" t="s">
        <v>364</v>
      </c>
      <c r="K90">
        <v>4</v>
      </c>
      <c r="L90" t="s">
        <v>303</v>
      </c>
      <c r="M90">
        <v>0</v>
      </c>
      <c r="T90">
        <v>0</v>
      </c>
      <c r="AA90">
        <v>0</v>
      </c>
      <c r="AB90">
        <v>17707</v>
      </c>
      <c r="AC90">
        <v>9.8000000000000007</v>
      </c>
      <c r="AI90">
        <v>0</v>
      </c>
      <c r="AJ90">
        <f t="shared" si="1"/>
        <v>2.4500000000000002</v>
      </c>
      <c r="AK90">
        <v>0.76</v>
      </c>
      <c r="AL90">
        <v>0</v>
      </c>
      <c r="AS90" t="s">
        <v>365</v>
      </c>
      <c r="AY90" t="s">
        <v>366</v>
      </c>
      <c r="BO90" t="s">
        <v>108</v>
      </c>
    </row>
    <row r="91" spans="1:67" x14ac:dyDescent="0.25">
      <c r="A91" t="s">
        <v>161</v>
      </c>
      <c r="B91">
        <v>9</v>
      </c>
      <c r="C91" t="s">
        <v>367</v>
      </c>
      <c r="D91" t="s">
        <v>402</v>
      </c>
      <c r="E91" t="s">
        <v>403</v>
      </c>
      <c r="F91" t="s">
        <v>304</v>
      </c>
      <c r="G91" t="s">
        <v>404</v>
      </c>
      <c r="H91" t="s">
        <v>373</v>
      </c>
      <c r="I91" t="s">
        <v>302</v>
      </c>
      <c r="J91" t="s">
        <v>364</v>
      </c>
      <c r="K91">
        <v>29</v>
      </c>
      <c r="L91" t="s">
        <v>303</v>
      </c>
      <c r="M91">
        <v>1</v>
      </c>
      <c r="T91">
        <v>4.16</v>
      </c>
      <c r="AA91">
        <v>0</v>
      </c>
      <c r="AB91">
        <v>17707</v>
      </c>
      <c r="AC91">
        <v>71.05</v>
      </c>
      <c r="AI91">
        <v>0</v>
      </c>
      <c r="AJ91">
        <f t="shared" si="1"/>
        <v>2.4499999999999997</v>
      </c>
      <c r="AK91">
        <v>0.76</v>
      </c>
      <c r="AL91">
        <v>0</v>
      </c>
      <c r="AS91" t="s">
        <v>365</v>
      </c>
      <c r="AY91" t="s">
        <v>366</v>
      </c>
      <c r="BO91" t="s">
        <v>108</v>
      </c>
    </row>
    <row r="92" spans="1:67" x14ac:dyDescent="0.25">
      <c r="A92" t="s">
        <v>161</v>
      </c>
      <c r="B92">
        <v>10</v>
      </c>
      <c r="C92" t="s">
        <v>367</v>
      </c>
      <c r="D92" t="s">
        <v>402</v>
      </c>
      <c r="E92" t="s">
        <v>403</v>
      </c>
      <c r="F92" t="s">
        <v>304</v>
      </c>
      <c r="G92" t="s">
        <v>404</v>
      </c>
      <c r="H92" t="s">
        <v>416</v>
      </c>
      <c r="I92" t="s">
        <v>302</v>
      </c>
      <c r="J92" t="s">
        <v>364</v>
      </c>
      <c r="K92">
        <v>7</v>
      </c>
      <c r="L92" t="s">
        <v>303</v>
      </c>
      <c r="M92">
        <v>0</v>
      </c>
      <c r="T92">
        <v>0</v>
      </c>
      <c r="AA92">
        <v>0</v>
      </c>
      <c r="AB92">
        <v>17707</v>
      </c>
      <c r="AC92">
        <v>17.149999999999999</v>
      </c>
      <c r="AI92">
        <v>0</v>
      </c>
      <c r="AJ92">
        <f t="shared" si="1"/>
        <v>2.4499999999999997</v>
      </c>
      <c r="AK92">
        <v>0.76</v>
      </c>
      <c r="AL92">
        <v>0</v>
      </c>
      <c r="AS92" t="s">
        <v>365</v>
      </c>
      <c r="AY92" t="s">
        <v>366</v>
      </c>
      <c r="BO92" t="s">
        <v>108</v>
      </c>
    </row>
    <row r="93" spans="1:67" x14ac:dyDescent="0.25">
      <c r="A93" t="s">
        <v>161</v>
      </c>
      <c r="B93">
        <v>11</v>
      </c>
      <c r="C93" t="s">
        <v>367</v>
      </c>
      <c r="D93" t="s">
        <v>402</v>
      </c>
      <c r="E93" t="s">
        <v>403</v>
      </c>
      <c r="F93" t="s">
        <v>304</v>
      </c>
      <c r="G93" t="s">
        <v>404</v>
      </c>
      <c r="H93" t="s">
        <v>417</v>
      </c>
      <c r="I93" t="s">
        <v>302</v>
      </c>
      <c r="J93" t="s">
        <v>364</v>
      </c>
      <c r="K93">
        <v>19</v>
      </c>
      <c r="L93" t="s">
        <v>303</v>
      </c>
      <c r="M93">
        <v>0</v>
      </c>
      <c r="T93">
        <v>0</v>
      </c>
      <c r="AA93">
        <v>0</v>
      </c>
      <c r="AB93">
        <v>17707</v>
      </c>
      <c r="AC93">
        <v>46.55</v>
      </c>
      <c r="AI93">
        <v>0</v>
      </c>
      <c r="AJ93">
        <f t="shared" si="1"/>
        <v>2.4499999999999997</v>
      </c>
      <c r="AK93">
        <v>0.76</v>
      </c>
      <c r="AL93">
        <v>0</v>
      </c>
      <c r="AS93" t="s">
        <v>365</v>
      </c>
      <c r="AY93" t="s">
        <v>366</v>
      </c>
      <c r="BO93" t="s">
        <v>108</v>
      </c>
    </row>
    <row r="94" spans="1:67" x14ac:dyDescent="0.25">
      <c r="A94" t="s">
        <v>161</v>
      </c>
      <c r="B94">
        <v>4</v>
      </c>
      <c r="C94" t="s">
        <v>367</v>
      </c>
      <c r="D94" t="s">
        <v>402</v>
      </c>
      <c r="E94" t="s">
        <v>403</v>
      </c>
      <c r="F94" t="s">
        <v>304</v>
      </c>
      <c r="G94" t="s">
        <v>404</v>
      </c>
      <c r="H94" t="s">
        <v>371</v>
      </c>
      <c r="I94" t="s">
        <v>302</v>
      </c>
      <c r="J94" t="s">
        <v>364</v>
      </c>
      <c r="K94">
        <v>98</v>
      </c>
      <c r="L94" t="s">
        <v>303</v>
      </c>
      <c r="M94">
        <v>1</v>
      </c>
      <c r="T94">
        <v>12.285</v>
      </c>
      <c r="AA94">
        <v>0</v>
      </c>
      <c r="AB94">
        <v>17707</v>
      </c>
      <c r="AC94">
        <v>240.1</v>
      </c>
      <c r="AI94">
        <v>0</v>
      </c>
      <c r="AJ94">
        <f t="shared" si="1"/>
        <v>2.4499999999999997</v>
      </c>
      <c r="AK94">
        <v>0.76</v>
      </c>
      <c r="AL94">
        <v>0</v>
      </c>
      <c r="AS94" t="s">
        <v>365</v>
      </c>
      <c r="AY94" t="s">
        <v>366</v>
      </c>
      <c r="BO94" t="s">
        <v>108</v>
      </c>
    </row>
    <row r="95" spans="1:67" x14ac:dyDescent="0.25">
      <c r="A95" t="s">
        <v>161</v>
      </c>
      <c r="B95">
        <v>5</v>
      </c>
      <c r="C95" t="s">
        <v>367</v>
      </c>
      <c r="D95" t="s">
        <v>402</v>
      </c>
      <c r="E95" t="s">
        <v>403</v>
      </c>
      <c r="F95" t="s">
        <v>304</v>
      </c>
      <c r="G95" t="s">
        <v>404</v>
      </c>
      <c r="H95" t="s">
        <v>418</v>
      </c>
      <c r="I95" t="s">
        <v>302</v>
      </c>
      <c r="J95" t="s">
        <v>364</v>
      </c>
      <c r="K95">
        <v>52</v>
      </c>
      <c r="L95" t="s">
        <v>303</v>
      </c>
      <c r="M95">
        <v>2</v>
      </c>
      <c r="T95">
        <v>6.76</v>
      </c>
      <c r="AA95">
        <v>0</v>
      </c>
      <c r="AB95">
        <v>17707</v>
      </c>
      <c r="AC95">
        <v>127.4</v>
      </c>
      <c r="AI95">
        <v>0</v>
      </c>
      <c r="AJ95">
        <f t="shared" si="1"/>
        <v>2.4500000000000002</v>
      </c>
      <c r="AK95">
        <v>0.76</v>
      </c>
      <c r="AL95">
        <v>0</v>
      </c>
      <c r="AS95" t="s">
        <v>365</v>
      </c>
      <c r="AY95" t="s">
        <v>366</v>
      </c>
      <c r="BO95" t="s">
        <v>108</v>
      </c>
    </row>
    <row r="96" spans="1:67" x14ac:dyDescent="0.25">
      <c r="A96" t="s">
        <v>161</v>
      </c>
      <c r="B96">
        <v>6</v>
      </c>
      <c r="C96" t="s">
        <v>367</v>
      </c>
      <c r="D96" t="s">
        <v>402</v>
      </c>
      <c r="E96" t="s">
        <v>403</v>
      </c>
      <c r="F96" t="s">
        <v>304</v>
      </c>
      <c r="G96" t="s">
        <v>404</v>
      </c>
      <c r="H96" t="s">
        <v>419</v>
      </c>
      <c r="I96" t="s">
        <v>302</v>
      </c>
      <c r="J96" t="s">
        <v>364</v>
      </c>
      <c r="K96">
        <v>47</v>
      </c>
      <c r="L96" t="s">
        <v>303</v>
      </c>
      <c r="M96">
        <v>1</v>
      </c>
      <c r="T96">
        <v>3.72</v>
      </c>
      <c r="AA96">
        <v>0</v>
      </c>
      <c r="AB96">
        <v>17707</v>
      </c>
      <c r="AC96">
        <v>115.15</v>
      </c>
      <c r="AI96">
        <v>0</v>
      </c>
      <c r="AJ96">
        <f t="shared" si="1"/>
        <v>2.4500000000000002</v>
      </c>
      <c r="AK96">
        <v>0.76</v>
      </c>
      <c r="AL96">
        <v>0</v>
      </c>
      <c r="AS96" t="s">
        <v>365</v>
      </c>
      <c r="AY96" t="s">
        <v>366</v>
      </c>
      <c r="BO96" t="s">
        <v>108</v>
      </c>
    </row>
    <row r="97" spans="1:70" x14ac:dyDescent="0.25">
      <c r="A97" t="s">
        <v>161</v>
      </c>
      <c r="B97">
        <v>7</v>
      </c>
      <c r="C97" t="s">
        <v>367</v>
      </c>
      <c r="D97" t="s">
        <v>402</v>
      </c>
      <c r="E97" t="s">
        <v>403</v>
      </c>
      <c r="F97" t="s">
        <v>304</v>
      </c>
      <c r="G97" t="s">
        <v>404</v>
      </c>
      <c r="H97" t="s">
        <v>420</v>
      </c>
      <c r="I97" t="s">
        <v>302</v>
      </c>
      <c r="J97" t="s">
        <v>364</v>
      </c>
      <c r="K97">
        <v>28</v>
      </c>
      <c r="L97" t="s">
        <v>303</v>
      </c>
      <c r="M97">
        <v>0</v>
      </c>
      <c r="T97">
        <v>0</v>
      </c>
      <c r="AA97">
        <v>0</v>
      </c>
      <c r="AB97">
        <v>17707</v>
      </c>
      <c r="AC97">
        <v>68.599999999999994</v>
      </c>
      <c r="AI97">
        <v>0</v>
      </c>
      <c r="AJ97">
        <f t="shared" si="1"/>
        <v>2.4499999999999997</v>
      </c>
      <c r="AK97">
        <v>0.76</v>
      </c>
      <c r="AL97">
        <v>0</v>
      </c>
      <c r="AS97" t="s">
        <v>365</v>
      </c>
      <c r="AY97" t="s">
        <v>366</v>
      </c>
      <c r="BO97" t="s">
        <v>108</v>
      </c>
    </row>
    <row r="98" spans="1:70" x14ac:dyDescent="0.25">
      <c r="A98" t="s">
        <v>161</v>
      </c>
      <c r="B98">
        <v>8</v>
      </c>
      <c r="C98" t="s">
        <v>367</v>
      </c>
      <c r="D98" t="s">
        <v>402</v>
      </c>
      <c r="E98" t="s">
        <v>403</v>
      </c>
      <c r="F98" t="s">
        <v>304</v>
      </c>
      <c r="G98" t="s">
        <v>404</v>
      </c>
      <c r="H98" t="s">
        <v>372</v>
      </c>
      <c r="I98" t="s">
        <v>302</v>
      </c>
      <c r="J98" t="s">
        <v>364</v>
      </c>
      <c r="K98">
        <v>52</v>
      </c>
      <c r="L98" t="s">
        <v>303</v>
      </c>
      <c r="M98">
        <v>2</v>
      </c>
      <c r="T98">
        <v>17.274999999999999</v>
      </c>
      <c r="AA98">
        <v>0</v>
      </c>
      <c r="AB98">
        <v>17707</v>
      </c>
      <c r="AC98">
        <v>127.4</v>
      </c>
      <c r="AI98">
        <v>0</v>
      </c>
      <c r="AJ98">
        <f t="shared" si="1"/>
        <v>2.4500000000000002</v>
      </c>
      <c r="AK98">
        <v>0.76</v>
      </c>
      <c r="AL98">
        <v>0</v>
      </c>
      <c r="AS98" t="s">
        <v>365</v>
      </c>
      <c r="AY98" t="s">
        <v>366</v>
      </c>
      <c r="BO98" t="s">
        <v>108</v>
      </c>
    </row>
    <row r="99" spans="1:70" x14ac:dyDescent="0.25">
      <c r="A99" t="s">
        <v>161</v>
      </c>
      <c r="B99">
        <v>1</v>
      </c>
      <c r="C99" t="s">
        <v>367</v>
      </c>
      <c r="D99" t="s">
        <v>402</v>
      </c>
      <c r="E99" t="s">
        <v>403</v>
      </c>
      <c r="F99" t="s">
        <v>304</v>
      </c>
      <c r="G99" t="s">
        <v>404</v>
      </c>
      <c r="H99" t="s">
        <v>375</v>
      </c>
      <c r="I99" t="s">
        <v>302</v>
      </c>
      <c r="J99" t="s">
        <v>364</v>
      </c>
      <c r="K99">
        <v>184</v>
      </c>
      <c r="L99" t="s">
        <v>303</v>
      </c>
      <c r="M99">
        <v>3</v>
      </c>
      <c r="T99">
        <v>31.15</v>
      </c>
      <c r="AA99">
        <v>0</v>
      </c>
      <c r="AB99">
        <v>17707</v>
      </c>
      <c r="AC99">
        <v>450.8</v>
      </c>
      <c r="AI99">
        <v>0</v>
      </c>
      <c r="AJ99">
        <f t="shared" si="1"/>
        <v>2.4500000000000002</v>
      </c>
      <c r="AK99">
        <v>0.76</v>
      </c>
      <c r="AL99">
        <v>0</v>
      </c>
      <c r="AS99" t="s">
        <v>365</v>
      </c>
      <c r="AY99" t="s">
        <v>366</v>
      </c>
      <c r="BO99" t="s">
        <v>108</v>
      </c>
    </row>
    <row r="100" spans="1:70" x14ac:dyDescent="0.25">
      <c r="A100" t="s">
        <v>161</v>
      </c>
      <c r="B100">
        <v>2</v>
      </c>
      <c r="C100" t="s">
        <v>367</v>
      </c>
      <c r="D100" t="s">
        <v>402</v>
      </c>
      <c r="E100" t="s">
        <v>403</v>
      </c>
      <c r="F100" t="s">
        <v>304</v>
      </c>
      <c r="G100" t="s">
        <v>404</v>
      </c>
      <c r="H100" t="s">
        <v>377</v>
      </c>
      <c r="I100" t="s">
        <v>302</v>
      </c>
      <c r="J100" t="s">
        <v>364</v>
      </c>
      <c r="K100">
        <v>203</v>
      </c>
      <c r="L100" t="s">
        <v>303</v>
      </c>
      <c r="M100">
        <v>3</v>
      </c>
      <c r="T100">
        <v>24.36</v>
      </c>
      <c r="AA100">
        <v>0</v>
      </c>
      <c r="AB100">
        <v>17707</v>
      </c>
      <c r="AC100">
        <v>497.35</v>
      </c>
      <c r="AI100">
        <v>0</v>
      </c>
      <c r="AJ100">
        <f t="shared" si="1"/>
        <v>2.4500000000000002</v>
      </c>
      <c r="AK100">
        <v>0.76</v>
      </c>
      <c r="AL100">
        <v>0</v>
      </c>
      <c r="AS100" t="s">
        <v>365</v>
      </c>
      <c r="AY100" t="s">
        <v>366</v>
      </c>
      <c r="BO100" t="s">
        <v>108</v>
      </c>
    </row>
    <row r="101" spans="1:70" x14ac:dyDescent="0.25">
      <c r="A101" t="s">
        <v>161</v>
      </c>
      <c r="B101">
        <v>3</v>
      </c>
      <c r="C101" t="s">
        <v>367</v>
      </c>
      <c r="D101" t="s">
        <v>402</v>
      </c>
      <c r="E101" t="s">
        <v>403</v>
      </c>
      <c r="F101" t="s">
        <v>304</v>
      </c>
      <c r="G101" t="s">
        <v>404</v>
      </c>
      <c r="H101" t="s">
        <v>376</v>
      </c>
      <c r="I101" t="s">
        <v>302</v>
      </c>
      <c r="J101" t="s">
        <v>364</v>
      </c>
      <c r="K101">
        <v>264</v>
      </c>
      <c r="L101" t="s">
        <v>303</v>
      </c>
      <c r="M101">
        <v>2</v>
      </c>
      <c r="T101">
        <v>27.51</v>
      </c>
      <c r="AA101">
        <v>0</v>
      </c>
      <c r="AB101">
        <v>17707</v>
      </c>
      <c r="AC101">
        <v>646.79999999999995</v>
      </c>
      <c r="AI101">
        <v>0</v>
      </c>
      <c r="AJ101">
        <f t="shared" si="1"/>
        <v>2.4499999999999997</v>
      </c>
      <c r="AK101">
        <v>0.76</v>
      </c>
      <c r="AL101">
        <v>0</v>
      </c>
      <c r="AS101" t="s">
        <v>365</v>
      </c>
      <c r="AY101" t="s">
        <v>366</v>
      </c>
      <c r="BO101" t="s">
        <v>108</v>
      </c>
    </row>
    <row r="102" spans="1:70" x14ac:dyDescent="0.25">
      <c r="A102" t="s">
        <v>163</v>
      </c>
      <c r="B102">
        <v>1</v>
      </c>
      <c r="C102" t="s">
        <v>421</v>
      </c>
      <c r="D102" t="s">
        <v>302</v>
      </c>
      <c r="E102" t="s">
        <v>422</v>
      </c>
      <c r="F102" t="s">
        <v>302</v>
      </c>
      <c r="G102" t="s">
        <v>302</v>
      </c>
      <c r="H102" t="s">
        <v>302</v>
      </c>
      <c r="I102" t="s">
        <v>302</v>
      </c>
      <c r="J102" t="s">
        <v>396</v>
      </c>
      <c r="K102">
        <v>1</v>
      </c>
      <c r="L102" t="s">
        <v>301</v>
      </c>
      <c r="M102">
        <v>1</v>
      </c>
      <c r="T102">
        <v>0.45</v>
      </c>
      <c r="Z102">
        <v>0</v>
      </c>
      <c r="AA102">
        <v>0</v>
      </c>
      <c r="AB102">
        <v>17707</v>
      </c>
      <c r="AC102">
        <v>0.5</v>
      </c>
      <c r="AF102">
        <v>0</v>
      </c>
      <c r="AG102">
        <v>0</v>
      </c>
      <c r="AH102">
        <v>0</v>
      </c>
      <c r="AI102">
        <v>0</v>
      </c>
      <c r="AJ102">
        <f t="shared" si="1"/>
        <v>0.5</v>
      </c>
      <c r="AK102">
        <v>0</v>
      </c>
      <c r="AM102">
        <v>0</v>
      </c>
      <c r="AN102">
        <v>0</v>
      </c>
      <c r="AS102" t="s">
        <v>365</v>
      </c>
      <c r="AY102" t="s">
        <v>366</v>
      </c>
      <c r="BJ102">
        <v>0</v>
      </c>
      <c r="BO102" t="s">
        <v>108</v>
      </c>
      <c r="BR102" t="s">
        <v>129</v>
      </c>
    </row>
    <row r="103" spans="1:70" x14ac:dyDescent="0.25">
      <c r="A103" t="s">
        <v>166</v>
      </c>
      <c r="B103">
        <v>1</v>
      </c>
      <c r="C103" t="s">
        <v>367</v>
      </c>
      <c r="D103" t="s">
        <v>423</v>
      </c>
      <c r="E103" t="s">
        <v>424</v>
      </c>
      <c r="F103" t="s">
        <v>304</v>
      </c>
      <c r="G103" t="s">
        <v>399</v>
      </c>
      <c r="H103" t="s">
        <v>376</v>
      </c>
      <c r="I103" t="s">
        <v>302</v>
      </c>
      <c r="J103" t="s">
        <v>364</v>
      </c>
      <c r="K103">
        <v>196</v>
      </c>
      <c r="L103" t="s">
        <v>303</v>
      </c>
      <c r="M103">
        <v>1</v>
      </c>
      <c r="T103">
        <v>11.83</v>
      </c>
      <c r="AA103">
        <v>0</v>
      </c>
      <c r="AB103">
        <v>17707</v>
      </c>
      <c r="AC103">
        <v>368.48</v>
      </c>
      <c r="AI103">
        <v>0</v>
      </c>
      <c r="AJ103">
        <f t="shared" si="1"/>
        <v>1.8800000000000001</v>
      </c>
      <c r="AK103">
        <v>0.81</v>
      </c>
      <c r="AL103">
        <v>0</v>
      </c>
      <c r="AS103" t="s">
        <v>365</v>
      </c>
      <c r="AY103" t="s">
        <v>366</v>
      </c>
      <c r="BO103" t="s">
        <v>108</v>
      </c>
    </row>
    <row r="104" spans="1:70" x14ac:dyDescent="0.25">
      <c r="A104" t="s">
        <v>166</v>
      </c>
      <c r="B104">
        <v>2</v>
      </c>
      <c r="C104" t="s">
        <v>367</v>
      </c>
      <c r="D104" t="s">
        <v>423</v>
      </c>
      <c r="E104" t="s">
        <v>424</v>
      </c>
      <c r="F104" t="s">
        <v>304</v>
      </c>
      <c r="G104" t="s">
        <v>399</v>
      </c>
      <c r="H104" t="s">
        <v>377</v>
      </c>
      <c r="I104" t="s">
        <v>302</v>
      </c>
      <c r="J104" t="s">
        <v>364</v>
      </c>
      <c r="K104">
        <v>200</v>
      </c>
      <c r="L104" t="s">
        <v>303</v>
      </c>
      <c r="M104">
        <v>1</v>
      </c>
      <c r="T104">
        <v>12</v>
      </c>
      <c r="AA104">
        <v>0</v>
      </c>
      <c r="AB104">
        <v>17707</v>
      </c>
      <c r="AC104">
        <v>376</v>
      </c>
      <c r="AI104">
        <v>0</v>
      </c>
      <c r="AJ104">
        <f t="shared" si="1"/>
        <v>1.88</v>
      </c>
      <c r="AK104">
        <v>0.81</v>
      </c>
      <c r="AL104">
        <v>0</v>
      </c>
      <c r="AS104" t="s">
        <v>365</v>
      </c>
      <c r="AY104" t="s">
        <v>366</v>
      </c>
      <c r="BO104" t="s">
        <v>108</v>
      </c>
    </row>
    <row r="105" spans="1:70" x14ac:dyDescent="0.25">
      <c r="A105" t="s">
        <v>166</v>
      </c>
      <c r="B105">
        <v>3</v>
      </c>
      <c r="C105" t="s">
        <v>367</v>
      </c>
      <c r="D105" t="s">
        <v>423</v>
      </c>
      <c r="E105" t="s">
        <v>424</v>
      </c>
      <c r="F105" t="s">
        <v>304</v>
      </c>
      <c r="G105" t="s">
        <v>399</v>
      </c>
      <c r="H105" t="s">
        <v>375</v>
      </c>
      <c r="I105" t="s">
        <v>302</v>
      </c>
      <c r="J105" t="s">
        <v>364</v>
      </c>
      <c r="K105">
        <v>178</v>
      </c>
      <c r="L105" t="s">
        <v>303</v>
      </c>
      <c r="M105">
        <v>2</v>
      </c>
      <c r="T105">
        <v>10.68</v>
      </c>
      <c r="AA105">
        <v>0</v>
      </c>
      <c r="AB105">
        <v>17707</v>
      </c>
      <c r="AC105">
        <v>334.64</v>
      </c>
      <c r="AI105">
        <v>0</v>
      </c>
      <c r="AJ105">
        <f t="shared" si="1"/>
        <v>1.88</v>
      </c>
      <c r="AK105">
        <v>0.81</v>
      </c>
      <c r="AL105">
        <v>0</v>
      </c>
      <c r="AS105" t="s">
        <v>365</v>
      </c>
      <c r="AY105" t="s">
        <v>366</v>
      </c>
      <c r="BO105" t="s">
        <v>108</v>
      </c>
    </row>
    <row r="106" spans="1:70" x14ac:dyDescent="0.25">
      <c r="A106" t="s">
        <v>166</v>
      </c>
      <c r="B106">
        <v>4</v>
      </c>
      <c r="C106" t="s">
        <v>367</v>
      </c>
      <c r="D106" t="s">
        <v>423</v>
      </c>
      <c r="E106" t="s">
        <v>424</v>
      </c>
      <c r="F106" t="s">
        <v>304</v>
      </c>
      <c r="G106" t="s">
        <v>399</v>
      </c>
      <c r="H106" t="s">
        <v>371</v>
      </c>
      <c r="I106" t="s">
        <v>302</v>
      </c>
      <c r="J106" t="s">
        <v>364</v>
      </c>
      <c r="K106">
        <v>113</v>
      </c>
      <c r="L106" t="s">
        <v>303</v>
      </c>
      <c r="M106">
        <v>2</v>
      </c>
      <c r="T106">
        <v>8.7200000000000006</v>
      </c>
      <c r="AA106">
        <v>0</v>
      </c>
      <c r="AB106">
        <v>17707</v>
      </c>
      <c r="AC106">
        <v>212.44</v>
      </c>
      <c r="AI106">
        <v>0</v>
      </c>
      <c r="AJ106">
        <f t="shared" si="1"/>
        <v>1.88</v>
      </c>
      <c r="AK106">
        <v>0.81</v>
      </c>
      <c r="AL106">
        <v>0</v>
      </c>
      <c r="AS106" t="s">
        <v>365</v>
      </c>
      <c r="AY106" t="s">
        <v>366</v>
      </c>
      <c r="BO106" t="s">
        <v>108</v>
      </c>
    </row>
    <row r="107" spans="1:70" x14ac:dyDescent="0.25">
      <c r="A107" t="s">
        <v>166</v>
      </c>
      <c r="B107">
        <v>5</v>
      </c>
      <c r="C107" t="s">
        <v>367</v>
      </c>
      <c r="D107" t="s">
        <v>423</v>
      </c>
      <c r="E107" t="s">
        <v>424</v>
      </c>
      <c r="F107" t="s">
        <v>304</v>
      </c>
      <c r="G107" t="s">
        <v>399</v>
      </c>
      <c r="H107" t="s">
        <v>373</v>
      </c>
      <c r="I107" t="s">
        <v>302</v>
      </c>
      <c r="J107" t="s">
        <v>364</v>
      </c>
      <c r="K107">
        <v>42</v>
      </c>
      <c r="L107" t="s">
        <v>303</v>
      </c>
      <c r="M107">
        <v>1</v>
      </c>
      <c r="T107">
        <v>3.42</v>
      </c>
      <c r="AA107">
        <v>0</v>
      </c>
      <c r="AB107">
        <v>17707</v>
      </c>
      <c r="AC107">
        <v>78.959999999999994</v>
      </c>
      <c r="AI107">
        <v>0</v>
      </c>
      <c r="AJ107">
        <f t="shared" si="1"/>
        <v>1.88</v>
      </c>
      <c r="AK107">
        <v>0.81</v>
      </c>
      <c r="AL107">
        <v>0</v>
      </c>
      <c r="AS107" t="s">
        <v>365</v>
      </c>
      <c r="AY107" t="s">
        <v>366</v>
      </c>
      <c r="BO107" t="s">
        <v>108</v>
      </c>
    </row>
    <row r="108" spans="1:70" x14ac:dyDescent="0.25">
      <c r="A108" t="s">
        <v>166</v>
      </c>
      <c r="B108">
        <v>6</v>
      </c>
      <c r="C108" t="s">
        <v>367</v>
      </c>
      <c r="D108" t="s">
        <v>423</v>
      </c>
      <c r="E108" t="s">
        <v>424</v>
      </c>
      <c r="F108" t="s">
        <v>304</v>
      </c>
      <c r="G108" t="s">
        <v>399</v>
      </c>
      <c r="H108" t="s">
        <v>379</v>
      </c>
      <c r="I108" t="s">
        <v>302</v>
      </c>
      <c r="J108" t="s">
        <v>364</v>
      </c>
      <c r="K108">
        <v>12</v>
      </c>
      <c r="L108" t="s">
        <v>303</v>
      </c>
      <c r="M108">
        <v>0</v>
      </c>
      <c r="T108">
        <v>0</v>
      </c>
      <c r="AA108">
        <v>0</v>
      </c>
      <c r="AB108">
        <v>17707</v>
      </c>
      <c r="AC108">
        <v>22.56</v>
      </c>
      <c r="AI108">
        <v>0</v>
      </c>
      <c r="AJ108">
        <f t="shared" si="1"/>
        <v>1.88</v>
      </c>
      <c r="AK108">
        <v>0.81</v>
      </c>
      <c r="AL108">
        <v>0</v>
      </c>
      <c r="AS108" t="s">
        <v>365</v>
      </c>
      <c r="AY108" t="s">
        <v>366</v>
      </c>
      <c r="BO108" t="s">
        <v>108</v>
      </c>
    </row>
    <row r="109" spans="1:70" x14ac:dyDescent="0.25">
      <c r="A109" t="s">
        <v>166</v>
      </c>
      <c r="B109">
        <v>7</v>
      </c>
      <c r="C109" t="s">
        <v>367</v>
      </c>
      <c r="D109" t="s">
        <v>423</v>
      </c>
      <c r="E109" t="s">
        <v>424</v>
      </c>
      <c r="F109" t="s">
        <v>304</v>
      </c>
      <c r="G109" t="s">
        <v>399</v>
      </c>
      <c r="H109" t="s">
        <v>378</v>
      </c>
      <c r="I109" t="s">
        <v>302</v>
      </c>
      <c r="J109" t="s">
        <v>364</v>
      </c>
      <c r="K109">
        <v>20</v>
      </c>
      <c r="L109" t="s">
        <v>303</v>
      </c>
      <c r="M109">
        <v>0</v>
      </c>
      <c r="T109">
        <v>0</v>
      </c>
      <c r="AA109">
        <v>0</v>
      </c>
      <c r="AB109">
        <v>17707</v>
      </c>
      <c r="AC109">
        <v>37.6</v>
      </c>
      <c r="AI109">
        <v>0</v>
      </c>
      <c r="AJ109">
        <f t="shared" si="1"/>
        <v>1.8800000000000001</v>
      </c>
      <c r="AK109">
        <v>0.81</v>
      </c>
      <c r="AL109">
        <v>0</v>
      </c>
      <c r="AS109" t="s">
        <v>365</v>
      </c>
      <c r="AY109" t="s">
        <v>366</v>
      </c>
      <c r="BO109" t="s">
        <v>108</v>
      </c>
    </row>
    <row r="110" spans="1:70" x14ac:dyDescent="0.25">
      <c r="A110" t="s">
        <v>166</v>
      </c>
      <c r="B110">
        <v>8</v>
      </c>
      <c r="C110" t="s">
        <v>367</v>
      </c>
      <c r="D110" t="s">
        <v>423</v>
      </c>
      <c r="E110" t="s">
        <v>424</v>
      </c>
      <c r="F110" t="s">
        <v>304</v>
      </c>
      <c r="G110" t="s">
        <v>399</v>
      </c>
      <c r="H110" t="s">
        <v>372</v>
      </c>
      <c r="I110" t="s">
        <v>302</v>
      </c>
      <c r="J110" t="s">
        <v>364</v>
      </c>
      <c r="K110">
        <v>52</v>
      </c>
      <c r="L110" t="s">
        <v>303</v>
      </c>
      <c r="M110">
        <v>1</v>
      </c>
      <c r="T110">
        <v>13.95</v>
      </c>
      <c r="AA110">
        <v>0</v>
      </c>
      <c r="AB110">
        <v>17707</v>
      </c>
      <c r="AC110">
        <v>97.76</v>
      </c>
      <c r="AI110">
        <v>0</v>
      </c>
      <c r="AJ110">
        <f t="shared" si="1"/>
        <v>1.8800000000000001</v>
      </c>
      <c r="AK110">
        <v>0.81</v>
      </c>
      <c r="AL110">
        <v>0</v>
      </c>
      <c r="AS110" t="s">
        <v>365</v>
      </c>
      <c r="AY110" t="s">
        <v>366</v>
      </c>
      <c r="BO110" t="s">
        <v>108</v>
      </c>
    </row>
    <row r="111" spans="1:70" x14ac:dyDescent="0.25">
      <c r="A111" t="s">
        <v>166</v>
      </c>
      <c r="B111">
        <v>9</v>
      </c>
      <c r="C111" t="s">
        <v>367</v>
      </c>
      <c r="D111" t="s">
        <v>423</v>
      </c>
      <c r="E111" t="s">
        <v>424</v>
      </c>
      <c r="F111" t="s">
        <v>304</v>
      </c>
      <c r="G111" t="s">
        <v>399</v>
      </c>
      <c r="H111" t="s">
        <v>380</v>
      </c>
      <c r="I111" t="s">
        <v>302</v>
      </c>
      <c r="J111" t="s">
        <v>364</v>
      </c>
      <c r="K111">
        <v>24</v>
      </c>
      <c r="L111" t="s">
        <v>303</v>
      </c>
      <c r="M111">
        <v>0</v>
      </c>
      <c r="T111">
        <v>0</v>
      </c>
      <c r="AA111">
        <v>0</v>
      </c>
      <c r="AB111">
        <v>17707</v>
      </c>
      <c r="AC111">
        <v>45.12</v>
      </c>
      <c r="AI111">
        <v>0</v>
      </c>
      <c r="AJ111">
        <f t="shared" si="1"/>
        <v>1.88</v>
      </c>
      <c r="AK111">
        <v>0.81</v>
      </c>
      <c r="AL111">
        <v>0</v>
      </c>
      <c r="AS111" t="s">
        <v>365</v>
      </c>
      <c r="AY111" t="s">
        <v>366</v>
      </c>
      <c r="BO111" t="s">
        <v>108</v>
      </c>
    </row>
    <row r="112" spans="1:70" x14ac:dyDescent="0.25">
      <c r="A112" t="s">
        <v>169</v>
      </c>
      <c r="B112">
        <v>1</v>
      </c>
      <c r="C112" t="s">
        <v>425</v>
      </c>
      <c r="D112" t="s">
        <v>426</v>
      </c>
      <c r="E112" t="s">
        <v>427</v>
      </c>
      <c r="F112" t="s">
        <v>304</v>
      </c>
      <c r="G112" t="s">
        <v>428</v>
      </c>
      <c r="H112" t="s">
        <v>380</v>
      </c>
      <c r="I112" t="s">
        <v>302</v>
      </c>
      <c r="J112" t="s">
        <v>364</v>
      </c>
      <c r="K112">
        <v>11</v>
      </c>
      <c r="L112" t="s">
        <v>303</v>
      </c>
      <c r="M112">
        <v>0</v>
      </c>
      <c r="T112">
        <v>0</v>
      </c>
      <c r="Z112">
        <v>0</v>
      </c>
      <c r="AA112">
        <v>0</v>
      </c>
      <c r="AB112">
        <v>17707</v>
      </c>
      <c r="AC112">
        <v>29.92</v>
      </c>
      <c r="AF112">
        <v>0</v>
      </c>
      <c r="AG112">
        <v>0</v>
      </c>
      <c r="AI112">
        <v>0</v>
      </c>
      <c r="AJ112">
        <f t="shared" si="1"/>
        <v>2.72</v>
      </c>
      <c r="AK112">
        <v>1.05</v>
      </c>
      <c r="AL112">
        <v>0</v>
      </c>
      <c r="AM112">
        <v>0</v>
      </c>
      <c r="AN112">
        <v>0</v>
      </c>
      <c r="AS112" t="s">
        <v>365</v>
      </c>
      <c r="AY112" t="s">
        <v>366</v>
      </c>
      <c r="BJ112">
        <v>0</v>
      </c>
      <c r="BO112" t="s">
        <v>108</v>
      </c>
      <c r="BR112" t="s">
        <v>129</v>
      </c>
    </row>
    <row r="113" spans="1:67" x14ac:dyDescent="0.25">
      <c r="A113" t="s">
        <v>169</v>
      </c>
      <c r="B113">
        <v>5</v>
      </c>
      <c r="C113" t="s">
        <v>425</v>
      </c>
      <c r="D113" t="s">
        <v>426</v>
      </c>
      <c r="E113" t="s">
        <v>429</v>
      </c>
      <c r="F113" t="s">
        <v>304</v>
      </c>
      <c r="G113" t="s">
        <v>428</v>
      </c>
      <c r="H113" t="s">
        <v>373</v>
      </c>
      <c r="I113" t="s">
        <v>302</v>
      </c>
      <c r="J113" t="s">
        <v>364</v>
      </c>
      <c r="K113">
        <v>24</v>
      </c>
      <c r="L113" t="s">
        <v>303</v>
      </c>
      <c r="M113">
        <v>1</v>
      </c>
      <c r="T113">
        <v>3.2</v>
      </c>
      <c r="AA113">
        <v>0</v>
      </c>
      <c r="AB113">
        <v>17707</v>
      </c>
      <c r="AC113">
        <v>65.28</v>
      </c>
      <c r="AI113">
        <v>0</v>
      </c>
      <c r="AJ113">
        <f t="shared" si="1"/>
        <v>2.72</v>
      </c>
      <c r="AK113">
        <v>1.05</v>
      </c>
      <c r="AL113">
        <v>0</v>
      </c>
      <c r="AS113" t="s">
        <v>365</v>
      </c>
      <c r="AY113" t="s">
        <v>366</v>
      </c>
      <c r="BO113" t="s">
        <v>108</v>
      </c>
    </row>
    <row r="114" spans="1:67" x14ac:dyDescent="0.25">
      <c r="A114" t="s">
        <v>169</v>
      </c>
      <c r="B114">
        <v>6</v>
      </c>
      <c r="C114" t="s">
        <v>425</v>
      </c>
      <c r="D114" t="s">
        <v>426</v>
      </c>
      <c r="E114" t="s">
        <v>429</v>
      </c>
      <c r="F114" t="s">
        <v>304</v>
      </c>
      <c r="G114" t="s">
        <v>428</v>
      </c>
      <c r="H114" t="s">
        <v>376</v>
      </c>
      <c r="I114" t="s">
        <v>302</v>
      </c>
      <c r="J114" t="s">
        <v>364</v>
      </c>
      <c r="K114">
        <v>85</v>
      </c>
      <c r="L114" t="s">
        <v>303</v>
      </c>
      <c r="M114">
        <v>1</v>
      </c>
      <c r="T114">
        <v>12.45</v>
      </c>
      <c r="AA114">
        <v>0</v>
      </c>
      <c r="AB114">
        <v>17707</v>
      </c>
      <c r="AC114">
        <v>231.2</v>
      </c>
      <c r="AI114">
        <v>0</v>
      </c>
      <c r="AJ114">
        <f t="shared" si="1"/>
        <v>2.7199999999999998</v>
      </c>
      <c r="AK114">
        <v>1.05</v>
      </c>
      <c r="AL114">
        <v>0</v>
      </c>
      <c r="AS114" t="s">
        <v>365</v>
      </c>
      <c r="AY114" t="s">
        <v>366</v>
      </c>
      <c r="BO114" t="s">
        <v>108</v>
      </c>
    </row>
    <row r="115" spans="1:67" x14ac:dyDescent="0.25">
      <c r="A115" t="s">
        <v>169</v>
      </c>
      <c r="B115">
        <v>11</v>
      </c>
      <c r="C115" t="s">
        <v>425</v>
      </c>
      <c r="D115" t="s">
        <v>426</v>
      </c>
      <c r="E115" t="s">
        <v>430</v>
      </c>
      <c r="F115" t="s">
        <v>304</v>
      </c>
      <c r="G115" t="s">
        <v>428</v>
      </c>
      <c r="H115" t="s">
        <v>373</v>
      </c>
      <c r="I115" t="s">
        <v>302</v>
      </c>
      <c r="J115" t="s">
        <v>364</v>
      </c>
      <c r="K115">
        <v>39</v>
      </c>
      <c r="L115" t="s">
        <v>303</v>
      </c>
      <c r="M115">
        <v>1</v>
      </c>
      <c r="T115">
        <v>6</v>
      </c>
      <c r="AA115">
        <v>0</v>
      </c>
      <c r="AB115">
        <v>17707</v>
      </c>
      <c r="AC115">
        <v>106.08</v>
      </c>
      <c r="AI115">
        <v>0</v>
      </c>
      <c r="AJ115">
        <f t="shared" si="1"/>
        <v>2.7199999999999998</v>
      </c>
      <c r="AK115">
        <v>1.05</v>
      </c>
      <c r="AL115">
        <v>0</v>
      </c>
      <c r="AS115" t="s">
        <v>365</v>
      </c>
      <c r="AY115" t="s">
        <v>366</v>
      </c>
      <c r="BO115" t="s">
        <v>108</v>
      </c>
    </row>
    <row r="116" spans="1:67" x14ac:dyDescent="0.25">
      <c r="A116" t="s">
        <v>169</v>
      </c>
      <c r="B116">
        <v>13</v>
      </c>
      <c r="C116" t="s">
        <v>425</v>
      </c>
      <c r="D116" t="s">
        <v>426</v>
      </c>
      <c r="E116" t="s">
        <v>430</v>
      </c>
      <c r="F116" t="s">
        <v>304</v>
      </c>
      <c r="G116" t="s">
        <v>428</v>
      </c>
      <c r="H116" t="s">
        <v>380</v>
      </c>
      <c r="I116" t="s">
        <v>302</v>
      </c>
      <c r="J116" t="s">
        <v>364</v>
      </c>
      <c r="K116">
        <v>18</v>
      </c>
      <c r="L116" t="s">
        <v>303</v>
      </c>
      <c r="M116">
        <v>1</v>
      </c>
      <c r="T116">
        <v>3.3</v>
      </c>
      <c r="AA116">
        <v>0</v>
      </c>
      <c r="AB116">
        <v>17707</v>
      </c>
      <c r="AC116">
        <v>48.96</v>
      </c>
      <c r="AI116">
        <v>0</v>
      </c>
      <c r="AJ116">
        <f t="shared" si="1"/>
        <v>2.72</v>
      </c>
      <c r="AK116">
        <v>1.05</v>
      </c>
      <c r="AL116">
        <v>0</v>
      </c>
      <c r="AS116" t="s">
        <v>365</v>
      </c>
      <c r="AY116" t="s">
        <v>366</v>
      </c>
      <c r="BO116" t="s">
        <v>108</v>
      </c>
    </row>
    <row r="117" spans="1:67" x14ac:dyDescent="0.25">
      <c r="A117" t="s">
        <v>169</v>
      </c>
      <c r="B117">
        <v>12</v>
      </c>
      <c r="C117" t="s">
        <v>425</v>
      </c>
      <c r="D117" t="s">
        <v>426</v>
      </c>
      <c r="E117" t="s">
        <v>430</v>
      </c>
      <c r="F117" t="s">
        <v>304</v>
      </c>
      <c r="G117" t="s">
        <v>428</v>
      </c>
      <c r="H117" t="s">
        <v>379</v>
      </c>
      <c r="I117" t="s">
        <v>302</v>
      </c>
      <c r="J117" t="s">
        <v>364</v>
      </c>
      <c r="K117">
        <v>11</v>
      </c>
      <c r="L117" t="s">
        <v>303</v>
      </c>
      <c r="M117">
        <v>0</v>
      </c>
      <c r="T117">
        <v>0</v>
      </c>
      <c r="AA117">
        <v>0</v>
      </c>
      <c r="AB117">
        <v>17707</v>
      </c>
      <c r="AC117">
        <v>29.92</v>
      </c>
      <c r="AI117">
        <v>0</v>
      </c>
      <c r="AJ117">
        <f t="shared" si="1"/>
        <v>2.72</v>
      </c>
      <c r="AK117">
        <v>1.05</v>
      </c>
      <c r="AL117">
        <v>0</v>
      </c>
      <c r="AS117" t="s">
        <v>365</v>
      </c>
      <c r="AY117" t="s">
        <v>366</v>
      </c>
      <c r="BO117" t="s">
        <v>108</v>
      </c>
    </row>
    <row r="118" spans="1:67" x14ac:dyDescent="0.25">
      <c r="A118" t="s">
        <v>169</v>
      </c>
      <c r="B118">
        <v>17</v>
      </c>
      <c r="C118" t="s">
        <v>425</v>
      </c>
      <c r="D118" t="s">
        <v>426</v>
      </c>
      <c r="E118" t="s">
        <v>427</v>
      </c>
      <c r="F118" t="s">
        <v>304</v>
      </c>
      <c r="G118" t="s">
        <v>428</v>
      </c>
      <c r="H118" t="s">
        <v>372</v>
      </c>
      <c r="I118" t="s">
        <v>302</v>
      </c>
      <c r="J118" t="s">
        <v>364</v>
      </c>
      <c r="K118">
        <v>39</v>
      </c>
      <c r="L118" t="s">
        <v>303</v>
      </c>
      <c r="M118">
        <v>1</v>
      </c>
      <c r="T118">
        <v>3.72</v>
      </c>
      <c r="AA118">
        <v>0</v>
      </c>
      <c r="AB118">
        <v>17707</v>
      </c>
      <c r="AC118">
        <v>106.08</v>
      </c>
      <c r="AI118">
        <v>0</v>
      </c>
      <c r="AJ118">
        <f t="shared" si="1"/>
        <v>2.7199999999999998</v>
      </c>
      <c r="AK118">
        <v>1.05</v>
      </c>
      <c r="AL118">
        <v>0</v>
      </c>
      <c r="AS118" t="s">
        <v>365</v>
      </c>
      <c r="AY118" t="s">
        <v>366</v>
      </c>
      <c r="BO118" t="s">
        <v>108</v>
      </c>
    </row>
    <row r="119" spans="1:67" x14ac:dyDescent="0.25">
      <c r="A119" t="s">
        <v>169</v>
      </c>
      <c r="B119">
        <v>18</v>
      </c>
      <c r="C119" t="s">
        <v>425</v>
      </c>
      <c r="D119" t="s">
        <v>426</v>
      </c>
      <c r="E119" t="s">
        <v>427</v>
      </c>
      <c r="F119" t="s">
        <v>304</v>
      </c>
      <c r="G119" t="s">
        <v>428</v>
      </c>
      <c r="H119" t="s">
        <v>375</v>
      </c>
      <c r="I119" t="s">
        <v>302</v>
      </c>
      <c r="J119" t="s">
        <v>364</v>
      </c>
      <c r="K119">
        <v>87</v>
      </c>
      <c r="L119" t="s">
        <v>303</v>
      </c>
      <c r="M119">
        <v>2</v>
      </c>
      <c r="T119">
        <v>10.4</v>
      </c>
      <c r="AA119">
        <v>0</v>
      </c>
      <c r="AB119">
        <v>17707</v>
      </c>
      <c r="AC119">
        <v>236.64</v>
      </c>
      <c r="AI119">
        <v>0</v>
      </c>
      <c r="AJ119">
        <f t="shared" si="1"/>
        <v>2.7199999999999998</v>
      </c>
      <c r="AK119">
        <v>1.05</v>
      </c>
      <c r="AL119">
        <v>0</v>
      </c>
      <c r="AS119" t="s">
        <v>365</v>
      </c>
      <c r="AY119" t="s">
        <v>366</v>
      </c>
      <c r="BO119" t="s">
        <v>108</v>
      </c>
    </row>
    <row r="120" spans="1:67" x14ac:dyDescent="0.25">
      <c r="A120" t="s">
        <v>169</v>
      </c>
      <c r="B120">
        <v>19</v>
      </c>
      <c r="C120" t="s">
        <v>425</v>
      </c>
      <c r="D120" t="s">
        <v>426</v>
      </c>
      <c r="E120" t="s">
        <v>427</v>
      </c>
      <c r="F120" t="s">
        <v>304</v>
      </c>
      <c r="G120" t="s">
        <v>428</v>
      </c>
      <c r="H120" t="s">
        <v>376</v>
      </c>
      <c r="I120" t="s">
        <v>302</v>
      </c>
      <c r="J120" t="s">
        <v>364</v>
      </c>
      <c r="K120">
        <v>88</v>
      </c>
      <c r="L120" t="s">
        <v>303</v>
      </c>
      <c r="M120">
        <v>1</v>
      </c>
      <c r="T120">
        <v>12.9</v>
      </c>
      <c r="AA120">
        <v>0</v>
      </c>
      <c r="AB120">
        <v>17707</v>
      </c>
      <c r="AC120">
        <v>239.36</v>
      </c>
      <c r="AI120">
        <v>0</v>
      </c>
      <c r="AJ120">
        <f t="shared" si="1"/>
        <v>2.72</v>
      </c>
      <c r="AK120">
        <v>1.05</v>
      </c>
      <c r="AL120">
        <v>0</v>
      </c>
      <c r="AS120" t="s">
        <v>365</v>
      </c>
      <c r="AY120" t="s">
        <v>366</v>
      </c>
      <c r="BO120" t="s">
        <v>108</v>
      </c>
    </row>
    <row r="121" spans="1:67" x14ac:dyDescent="0.25">
      <c r="A121" t="s">
        <v>169</v>
      </c>
      <c r="B121">
        <v>20</v>
      </c>
      <c r="C121" t="s">
        <v>425</v>
      </c>
      <c r="D121" t="s">
        <v>426</v>
      </c>
      <c r="E121" t="s">
        <v>427</v>
      </c>
      <c r="F121" t="s">
        <v>304</v>
      </c>
      <c r="G121" t="s">
        <v>428</v>
      </c>
      <c r="H121" t="s">
        <v>371</v>
      </c>
      <c r="I121" t="s">
        <v>302</v>
      </c>
      <c r="J121" t="s">
        <v>364</v>
      </c>
      <c r="K121">
        <v>39</v>
      </c>
      <c r="L121" t="s">
        <v>303</v>
      </c>
      <c r="M121">
        <v>1</v>
      </c>
      <c r="T121">
        <v>6.3</v>
      </c>
      <c r="AA121">
        <v>0</v>
      </c>
      <c r="AB121">
        <v>17707</v>
      </c>
      <c r="AC121">
        <v>106.08</v>
      </c>
      <c r="AI121">
        <v>0</v>
      </c>
      <c r="AJ121">
        <f t="shared" si="1"/>
        <v>2.7199999999999998</v>
      </c>
      <c r="AK121">
        <v>1.05</v>
      </c>
      <c r="AL121">
        <v>0</v>
      </c>
      <c r="AS121" t="s">
        <v>365</v>
      </c>
      <c r="AY121" t="s">
        <v>366</v>
      </c>
      <c r="BO121" t="s">
        <v>108</v>
      </c>
    </row>
    <row r="122" spans="1:67" x14ac:dyDescent="0.25">
      <c r="A122" t="s">
        <v>169</v>
      </c>
      <c r="B122">
        <v>8</v>
      </c>
      <c r="C122" t="s">
        <v>425</v>
      </c>
      <c r="D122" t="s">
        <v>426</v>
      </c>
      <c r="E122" t="s">
        <v>430</v>
      </c>
      <c r="F122" t="s">
        <v>304</v>
      </c>
      <c r="G122" t="s">
        <v>428</v>
      </c>
      <c r="H122" t="s">
        <v>372</v>
      </c>
      <c r="I122" t="s">
        <v>302</v>
      </c>
      <c r="J122" t="s">
        <v>364</v>
      </c>
      <c r="K122">
        <v>65</v>
      </c>
      <c r="L122" t="s">
        <v>303</v>
      </c>
      <c r="M122">
        <v>1</v>
      </c>
      <c r="T122">
        <v>6</v>
      </c>
      <c r="AA122">
        <v>0</v>
      </c>
      <c r="AB122">
        <v>17707</v>
      </c>
      <c r="AC122">
        <v>176.8</v>
      </c>
      <c r="AI122">
        <v>0</v>
      </c>
      <c r="AJ122">
        <f t="shared" si="1"/>
        <v>2.72</v>
      </c>
      <c r="AK122">
        <v>1.05</v>
      </c>
      <c r="AL122">
        <v>0</v>
      </c>
      <c r="AS122" t="s">
        <v>365</v>
      </c>
      <c r="AY122" t="s">
        <v>366</v>
      </c>
      <c r="BO122" t="s">
        <v>108</v>
      </c>
    </row>
    <row r="123" spans="1:67" x14ac:dyDescent="0.25">
      <c r="A123" t="s">
        <v>169</v>
      </c>
      <c r="B123">
        <v>9</v>
      </c>
      <c r="C123" t="s">
        <v>425</v>
      </c>
      <c r="D123" t="s">
        <v>426</v>
      </c>
      <c r="E123" t="s">
        <v>430</v>
      </c>
      <c r="F123" t="s">
        <v>304</v>
      </c>
      <c r="G123" t="s">
        <v>428</v>
      </c>
      <c r="H123" t="s">
        <v>376</v>
      </c>
      <c r="I123" t="s">
        <v>302</v>
      </c>
      <c r="J123" t="s">
        <v>364</v>
      </c>
      <c r="K123">
        <v>134</v>
      </c>
      <c r="L123" t="s">
        <v>303</v>
      </c>
      <c r="M123">
        <v>2</v>
      </c>
      <c r="T123">
        <v>19.5</v>
      </c>
      <c r="AA123">
        <v>0</v>
      </c>
      <c r="AB123">
        <v>17707</v>
      </c>
      <c r="AC123">
        <v>364.48</v>
      </c>
      <c r="AI123">
        <v>0</v>
      </c>
      <c r="AJ123">
        <f t="shared" si="1"/>
        <v>2.72</v>
      </c>
      <c r="AK123">
        <v>1.05</v>
      </c>
      <c r="AL123">
        <v>0</v>
      </c>
      <c r="AS123" t="s">
        <v>365</v>
      </c>
      <c r="AY123" t="s">
        <v>366</v>
      </c>
      <c r="BO123" t="s">
        <v>108</v>
      </c>
    </row>
    <row r="124" spans="1:67" x14ac:dyDescent="0.25">
      <c r="A124" t="s">
        <v>169</v>
      </c>
      <c r="B124">
        <v>7</v>
      </c>
      <c r="C124" t="s">
        <v>425</v>
      </c>
      <c r="D124" t="s">
        <v>426</v>
      </c>
      <c r="E124" t="s">
        <v>429</v>
      </c>
      <c r="F124" t="s">
        <v>304</v>
      </c>
      <c r="G124" t="s">
        <v>428</v>
      </c>
      <c r="H124" t="s">
        <v>380</v>
      </c>
      <c r="I124" t="s">
        <v>302</v>
      </c>
      <c r="J124" t="s">
        <v>364</v>
      </c>
      <c r="K124">
        <v>11</v>
      </c>
      <c r="L124" t="s">
        <v>303</v>
      </c>
      <c r="M124">
        <v>0</v>
      </c>
      <c r="T124">
        <v>0</v>
      </c>
      <c r="AA124">
        <v>0</v>
      </c>
      <c r="AB124">
        <v>17707</v>
      </c>
      <c r="AC124">
        <v>29.92</v>
      </c>
      <c r="AI124">
        <v>0</v>
      </c>
      <c r="AJ124">
        <f t="shared" si="1"/>
        <v>2.72</v>
      </c>
      <c r="AK124">
        <v>1.05</v>
      </c>
      <c r="AL124">
        <v>0</v>
      </c>
      <c r="AS124" t="s">
        <v>365</v>
      </c>
      <c r="AY124" t="s">
        <v>366</v>
      </c>
      <c r="BO124" t="s">
        <v>108</v>
      </c>
    </row>
    <row r="125" spans="1:67" x14ac:dyDescent="0.25">
      <c r="A125" t="s">
        <v>169</v>
      </c>
      <c r="B125">
        <v>14</v>
      </c>
      <c r="C125" t="s">
        <v>425</v>
      </c>
      <c r="D125" t="s">
        <v>426</v>
      </c>
      <c r="E125" t="s">
        <v>429</v>
      </c>
      <c r="F125" t="s">
        <v>304</v>
      </c>
      <c r="G125" t="s">
        <v>428</v>
      </c>
      <c r="H125" t="s">
        <v>372</v>
      </c>
      <c r="I125" t="s">
        <v>302</v>
      </c>
      <c r="J125" t="s">
        <v>364</v>
      </c>
      <c r="K125">
        <v>40</v>
      </c>
      <c r="L125" t="s">
        <v>303</v>
      </c>
      <c r="M125">
        <v>1</v>
      </c>
      <c r="T125">
        <v>3.72</v>
      </c>
      <c r="AA125">
        <v>0</v>
      </c>
      <c r="AB125">
        <v>17707</v>
      </c>
      <c r="AC125">
        <v>108.8</v>
      </c>
      <c r="AI125">
        <v>0</v>
      </c>
      <c r="AJ125">
        <f t="shared" si="1"/>
        <v>2.7199999999999998</v>
      </c>
      <c r="AK125">
        <v>1.05</v>
      </c>
      <c r="AL125">
        <v>0</v>
      </c>
      <c r="AS125" t="s">
        <v>365</v>
      </c>
      <c r="AY125" t="s">
        <v>366</v>
      </c>
      <c r="BO125" t="s">
        <v>108</v>
      </c>
    </row>
    <row r="126" spans="1:67" x14ac:dyDescent="0.25">
      <c r="A126" t="s">
        <v>169</v>
      </c>
      <c r="B126">
        <v>15</v>
      </c>
      <c r="C126" t="s">
        <v>425</v>
      </c>
      <c r="D126" t="s">
        <v>426</v>
      </c>
      <c r="E126" t="s">
        <v>429</v>
      </c>
      <c r="F126" t="s">
        <v>304</v>
      </c>
      <c r="G126" t="s">
        <v>428</v>
      </c>
      <c r="H126" t="s">
        <v>379</v>
      </c>
      <c r="I126" t="s">
        <v>302</v>
      </c>
      <c r="J126" t="s">
        <v>364</v>
      </c>
      <c r="K126">
        <v>7</v>
      </c>
      <c r="L126" t="s">
        <v>303</v>
      </c>
      <c r="M126">
        <v>1</v>
      </c>
      <c r="T126">
        <v>12.28</v>
      </c>
      <c r="AA126">
        <v>0</v>
      </c>
      <c r="AB126">
        <v>17707</v>
      </c>
      <c r="AC126">
        <v>19.04</v>
      </c>
      <c r="AI126">
        <v>0</v>
      </c>
      <c r="AJ126">
        <f t="shared" si="1"/>
        <v>2.7199999999999998</v>
      </c>
      <c r="AK126">
        <v>1.05</v>
      </c>
      <c r="AL126">
        <v>0</v>
      </c>
      <c r="AS126" t="s">
        <v>365</v>
      </c>
      <c r="AY126" t="s">
        <v>366</v>
      </c>
      <c r="BO126" t="s">
        <v>108</v>
      </c>
    </row>
    <row r="127" spans="1:67" x14ac:dyDescent="0.25">
      <c r="A127" t="s">
        <v>169</v>
      </c>
      <c r="B127">
        <v>16</v>
      </c>
      <c r="C127" t="s">
        <v>425</v>
      </c>
      <c r="D127" t="s">
        <v>426</v>
      </c>
      <c r="E127" t="s">
        <v>429</v>
      </c>
      <c r="F127" t="s">
        <v>304</v>
      </c>
      <c r="G127" t="s">
        <v>428</v>
      </c>
      <c r="H127" t="s">
        <v>378</v>
      </c>
      <c r="I127" t="s">
        <v>302</v>
      </c>
      <c r="J127" t="s">
        <v>364</v>
      </c>
      <c r="K127">
        <v>7</v>
      </c>
      <c r="L127" t="s">
        <v>303</v>
      </c>
      <c r="M127">
        <v>1</v>
      </c>
      <c r="T127">
        <v>12.55</v>
      </c>
      <c r="AA127">
        <v>0</v>
      </c>
      <c r="AB127">
        <v>17707</v>
      </c>
      <c r="AC127">
        <v>19.04</v>
      </c>
      <c r="AI127">
        <v>0</v>
      </c>
      <c r="AJ127">
        <f t="shared" si="1"/>
        <v>2.7199999999999998</v>
      </c>
      <c r="AK127">
        <v>1.05</v>
      </c>
      <c r="AL127">
        <v>0</v>
      </c>
      <c r="AS127" t="s">
        <v>365</v>
      </c>
      <c r="AY127" t="s">
        <v>366</v>
      </c>
      <c r="BO127" t="s">
        <v>108</v>
      </c>
    </row>
    <row r="128" spans="1:67" x14ac:dyDescent="0.25">
      <c r="A128" t="s">
        <v>169</v>
      </c>
      <c r="B128">
        <v>10</v>
      </c>
      <c r="C128" t="s">
        <v>425</v>
      </c>
      <c r="D128" t="s">
        <v>426</v>
      </c>
      <c r="E128" t="s">
        <v>430</v>
      </c>
      <c r="F128" t="s">
        <v>304</v>
      </c>
      <c r="G128" t="s">
        <v>428</v>
      </c>
      <c r="H128" t="s">
        <v>371</v>
      </c>
      <c r="I128" t="s">
        <v>302</v>
      </c>
      <c r="J128" t="s">
        <v>364</v>
      </c>
      <c r="K128">
        <v>65</v>
      </c>
      <c r="L128" t="s">
        <v>303</v>
      </c>
      <c r="M128">
        <v>2</v>
      </c>
      <c r="T128">
        <v>11.7</v>
      </c>
      <c r="AA128">
        <v>0</v>
      </c>
      <c r="AB128">
        <v>17707</v>
      </c>
      <c r="AC128">
        <v>176.8</v>
      </c>
      <c r="AI128">
        <v>0</v>
      </c>
      <c r="AJ128">
        <f t="shared" si="1"/>
        <v>2.72</v>
      </c>
      <c r="AK128">
        <v>1.05</v>
      </c>
      <c r="AL128">
        <v>0</v>
      </c>
      <c r="AS128" t="s">
        <v>365</v>
      </c>
      <c r="AY128" t="s">
        <v>366</v>
      </c>
      <c r="BO128" t="s">
        <v>108</v>
      </c>
    </row>
    <row r="129" spans="1:67" x14ac:dyDescent="0.25">
      <c r="A129" t="s">
        <v>169</v>
      </c>
      <c r="B129">
        <v>22</v>
      </c>
      <c r="C129" t="s">
        <v>425</v>
      </c>
      <c r="D129" t="s">
        <v>426</v>
      </c>
      <c r="E129" t="s">
        <v>427</v>
      </c>
      <c r="F129" t="s">
        <v>304</v>
      </c>
      <c r="G129" t="s">
        <v>428</v>
      </c>
      <c r="H129" t="s">
        <v>379</v>
      </c>
      <c r="I129" t="s">
        <v>302</v>
      </c>
      <c r="J129" t="s">
        <v>364</v>
      </c>
      <c r="K129">
        <v>4</v>
      </c>
      <c r="L129" t="s">
        <v>303</v>
      </c>
      <c r="M129">
        <v>0</v>
      </c>
      <c r="T129">
        <v>0</v>
      </c>
      <c r="AA129">
        <v>0</v>
      </c>
      <c r="AB129">
        <v>17707</v>
      </c>
      <c r="AC129">
        <v>10.88</v>
      </c>
      <c r="AI129">
        <v>0</v>
      </c>
      <c r="AJ129">
        <f t="shared" si="1"/>
        <v>2.72</v>
      </c>
      <c r="AK129">
        <v>1.05</v>
      </c>
      <c r="AL129">
        <v>0</v>
      </c>
      <c r="AS129" t="s">
        <v>365</v>
      </c>
      <c r="AY129" t="s">
        <v>366</v>
      </c>
      <c r="BO129" t="s">
        <v>108</v>
      </c>
    </row>
    <row r="130" spans="1:67" x14ac:dyDescent="0.25">
      <c r="A130" t="s">
        <v>169</v>
      </c>
      <c r="B130">
        <v>23</v>
      </c>
      <c r="C130" t="s">
        <v>425</v>
      </c>
      <c r="D130" t="s">
        <v>426</v>
      </c>
      <c r="E130" t="s">
        <v>427</v>
      </c>
      <c r="F130" t="s">
        <v>304</v>
      </c>
      <c r="G130" t="s">
        <v>428</v>
      </c>
      <c r="H130" t="s">
        <v>378</v>
      </c>
      <c r="I130" t="s">
        <v>302</v>
      </c>
      <c r="J130" t="s">
        <v>364</v>
      </c>
      <c r="K130">
        <v>6</v>
      </c>
      <c r="L130" t="s">
        <v>303</v>
      </c>
      <c r="M130">
        <v>0</v>
      </c>
      <c r="T130">
        <v>0</v>
      </c>
      <c r="AA130">
        <v>0</v>
      </c>
      <c r="AB130">
        <v>17707</v>
      </c>
      <c r="AC130">
        <v>16.32</v>
      </c>
      <c r="AI130">
        <v>0</v>
      </c>
      <c r="AJ130">
        <f t="shared" si="1"/>
        <v>2.72</v>
      </c>
      <c r="AK130">
        <v>1.05</v>
      </c>
      <c r="AL130">
        <v>0</v>
      </c>
      <c r="AS130" t="s">
        <v>365</v>
      </c>
      <c r="AY130" t="s">
        <v>366</v>
      </c>
      <c r="BO130" t="s">
        <v>108</v>
      </c>
    </row>
    <row r="131" spans="1:67" x14ac:dyDescent="0.25">
      <c r="A131" t="s">
        <v>169</v>
      </c>
      <c r="B131">
        <v>24</v>
      </c>
      <c r="C131" t="s">
        <v>425</v>
      </c>
      <c r="D131" t="s">
        <v>426</v>
      </c>
      <c r="E131" t="s">
        <v>430</v>
      </c>
      <c r="F131" t="s">
        <v>304</v>
      </c>
      <c r="G131" t="s">
        <v>428</v>
      </c>
      <c r="H131" t="s">
        <v>375</v>
      </c>
      <c r="I131" t="s">
        <v>302</v>
      </c>
      <c r="J131" t="s">
        <v>364</v>
      </c>
      <c r="K131">
        <v>136</v>
      </c>
      <c r="L131" t="s">
        <v>303</v>
      </c>
      <c r="M131">
        <v>2</v>
      </c>
      <c r="T131">
        <v>17.68</v>
      </c>
      <c r="AA131">
        <v>0</v>
      </c>
      <c r="AB131">
        <v>17707</v>
      </c>
      <c r="AC131">
        <v>369.92</v>
      </c>
      <c r="AI131">
        <v>0</v>
      </c>
      <c r="AJ131">
        <f t="shared" ref="AJ131:AJ183" si="2">+AC131/K131</f>
        <v>2.72</v>
      </c>
      <c r="AK131">
        <v>1.05</v>
      </c>
      <c r="AL131">
        <v>0</v>
      </c>
      <c r="AS131" t="s">
        <v>365</v>
      </c>
      <c r="AY131" t="s">
        <v>366</v>
      </c>
      <c r="BO131" t="s">
        <v>108</v>
      </c>
    </row>
    <row r="132" spans="1:67" x14ac:dyDescent="0.25">
      <c r="A132" t="s">
        <v>169</v>
      </c>
      <c r="B132">
        <v>21</v>
      </c>
      <c r="C132" t="s">
        <v>425</v>
      </c>
      <c r="D132" t="s">
        <v>426</v>
      </c>
      <c r="E132" t="s">
        <v>427</v>
      </c>
      <c r="F132" t="s">
        <v>304</v>
      </c>
      <c r="G132" t="s">
        <v>428</v>
      </c>
      <c r="H132" t="s">
        <v>373</v>
      </c>
      <c r="I132" t="s">
        <v>302</v>
      </c>
      <c r="J132" t="s">
        <v>364</v>
      </c>
      <c r="K132">
        <v>28</v>
      </c>
      <c r="L132" t="s">
        <v>303</v>
      </c>
      <c r="M132">
        <v>1</v>
      </c>
      <c r="T132">
        <v>5.6</v>
      </c>
      <c r="AA132">
        <v>0</v>
      </c>
      <c r="AB132">
        <v>17707</v>
      </c>
      <c r="AC132">
        <v>76.16</v>
      </c>
      <c r="AI132">
        <v>0</v>
      </c>
      <c r="AJ132">
        <f t="shared" si="2"/>
        <v>2.7199999999999998</v>
      </c>
      <c r="AK132">
        <v>1.05</v>
      </c>
      <c r="AL132">
        <v>0</v>
      </c>
      <c r="AS132" t="s">
        <v>365</v>
      </c>
      <c r="AY132" t="s">
        <v>366</v>
      </c>
      <c r="BO132" t="s">
        <v>108</v>
      </c>
    </row>
    <row r="133" spans="1:67" x14ac:dyDescent="0.25">
      <c r="A133" t="s">
        <v>169</v>
      </c>
      <c r="B133">
        <v>25</v>
      </c>
      <c r="C133" t="s">
        <v>425</v>
      </c>
      <c r="D133" t="s">
        <v>426</v>
      </c>
      <c r="E133" t="s">
        <v>430</v>
      </c>
      <c r="F133" t="s">
        <v>304</v>
      </c>
      <c r="G133" t="s">
        <v>428</v>
      </c>
      <c r="H133" t="s">
        <v>377</v>
      </c>
      <c r="I133" t="s">
        <v>302</v>
      </c>
      <c r="J133" t="s">
        <v>364</v>
      </c>
      <c r="K133">
        <v>118</v>
      </c>
      <c r="L133" t="s">
        <v>303</v>
      </c>
      <c r="M133">
        <v>2</v>
      </c>
      <c r="T133">
        <v>18.88</v>
      </c>
      <c r="AA133">
        <v>0</v>
      </c>
      <c r="AB133">
        <v>17707</v>
      </c>
      <c r="AC133">
        <v>320.95999999999998</v>
      </c>
      <c r="AI133">
        <v>0</v>
      </c>
      <c r="AJ133">
        <f t="shared" si="2"/>
        <v>2.7199999999999998</v>
      </c>
      <c r="AK133">
        <v>1.05</v>
      </c>
      <c r="AL133">
        <v>0</v>
      </c>
      <c r="AS133" t="s">
        <v>365</v>
      </c>
      <c r="AY133" t="s">
        <v>366</v>
      </c>
      <c r="BO133" t="s">
        <v>108</v>
      </c>
    </row>
    <row r="134" spans="1:67" x14ac:dyDescent="0.25">
      <c r="A134" t="s">
        <v>169</v>
      </c>
      <c r="B134">
        <v>26</v>
      </c>
      <c r="C134" t="s">
        <v>425</v>
      </c>
      <c r="D134" t="s">
        <v>426</v>
      </c>
      <c r="E134" t="s">
        <v>430</v>
      </c>
      <c r="F134" t="s">
        <v>304</v>
      </c>
      <c r="G134" t="s">
        <v>428</v>
      </c>
      <c r="H134" t="s">
        <v>378</v>
      </c>
      <c r="I134" t="s">
        <v>302</v>
      </c>
      <c r="J134" t="s">
        <v>364</v>
      </c>
      <c r="K134">
        <v>11</v>
      </c>
      <c r="L134" t="s">
        <v>303</v>
      </c>
      <c r="M134">
        <v>0</v>
      </c>
      <c r="T134">
        <v>0</v>
      </c>
      <c r="AA134">
        <v>0</v>
      </c>
      <c r="AB134">
        <v>17707</v>
      </c>
      <c r="AC134">
        <v>29.92</v>
      </c>
      <c r="AI134">
        <v>0</v>
      </c>
      <c r="AJ134">
        <f t="shared" si="2"/>
        <v>2.72</v>
      </c>
      <c r="AK134">
        <v>1.05</v>
      </c>
      <c r="AL134">
        <v>0</v>
      </c>
      <c r="AS134" t="s">
        <v>365</v>
      </c>
      <c r="AY134" t="s">
        <v>366</v>
      </c>
      <c r="BO134" t="s">
        <v>108</v>
      </c>
    </row>
    <row r="135" spans="1:67" x14ac:dyDescent="0.25">
      <c r="A135" t="s">
        <v>169</v>
      </c>
      <c r="B135">
        <v>27</v>
      </c>
      <c r="C135" t="s">
        <v>425</v>
      </c>
      <c r="D135" t="s">
        <v>426</v>
      </c>
      <c r="E135" t="s">
        <v>427</v>
      </c>
      <c r="F135" t="s">
        <v>304</v>
      </c>
      <c r="G135" t="s">
        <v>428</v>
      </c>
      <c r="H135" t="s">
        <v>377</v>
      </c>
      <c r="I135" t="s">
        <v>302</v>
      </c>
      <c r="J135" t="s">
        <v>364</v>
      </c>
      <c r="K135">
        <v>75</v>
      </c>
      <c r="L135" t="s">
        <v>303</v>
      </c>
      <c r="M135">
        <v>1</v>
      </c>
      <c r="T135">
        <v>11.68</v>
      </c>
      <c r="AA135">
        <v>0</v>
      </c>
      <c r="AB135">
        <v>17707</v>
      </c>
      <c r="AC135">
        <v>204</v>
      </c>
      <c r="AI135">
        <v>0</v>
      </c>
      <c r="AJ135">
        <f t="shared" si="2"/>
        <v>2.72</v>
      </c>
      <c r="AK135">
        <v>1.05</v>
      </c>
      <c r="AL135">
        <v>0</v>
      </c>
      <c r="AS135" t="s">
        <v>365</v>
      </c>
      <c r="AY135" t="s">
        <v>366</v>
      </c>
      <c r="BO135" t="s">
        <v>108</v>
      </c>
    </row>
    <row r="136" spans="1:67" x14ac:dyDescent="0.25">
      <c r="A136" t="s">
        <v>169</v>
      </c>
      <c r="B136">
        <v>2</v>
      </c>
      <c r="C136" t="s">
        <v>425</v>
      </c>
      <c r="D136" t="s">
        <v>426</v>
      </c>
      <c r="E136" t="s">
        <v>429</v>
      </c>
      <c r="F136" t="s">
        <v>304</v>
      </c>
      <c r="G136" t="s">
        <v>428</v>
      </c>
      <c r="H136" t="s">
        <v>375</v>
      </c>
      <c r="I136" t="s">
        <v>302</v>
      </c>
      <c r="J136" t="s">
        <v>364</v>
      </c>
      <c r="K136">
        <v>90</v>
      </c>
      <c r="L136" t="s">
        <v>303</v>
      </c>
      <c r="M136">
        <v>1</v>
      </c>
      <c r="T136">
        <v>11.7</v>
      </c>
      <c r="AA136">
        <v>0</v>
      </c>
      <c r="AB136">
        <v>17707</v>
      </c>
      <c r="AC136">
        <v>244.8</v>
      </c>
      <c r="AI136">
        <v>0</v>
      </c>
      <c r="AJ136">
        <f t="shared" si="2"/>
        <v>2.72</v>
      </c>
      <c r="AK136">
        <v>1.05</v>
      </c>
      <c r="AL136">
        <v>0</v>
      </c>
      <c r="AS136" t="s">
        <v>365</v>
      </c>
      <c r="AY136" t="s">
        <v>366</v>
      </c>
      <c r="BO136" t="s">
        <v>108</v>
      </c>
    </row>
    <row r="137" spans="1:67" x14ac:dyDescent="0.25">
      <c r="A137" t="s">
        <v>169</v>
      </c>
      <c r="B137">
        <v>3</v>
      </c>
      <c r="C137" t="s">
        <v>425</v>
      </c>
      <c r="D137" t="s">
        <v>426</v>
      </c>
      <c r="E137" t="s">
        <v>429</v>
      </c>
      <c r="F137" t="s">
        <v>304</v>
      </c>
      <c r="G137" t="s">
        <v>428</v>
      </c>
      <c r="H137" t="s">
        <v>377</v>
      </c>
      <c r="I137" t="s">
        <v>302</v>
      </c>
      <c r="J137" t="s">
        <v>364</v>
      </c>
      <c r="K137">
        <v>74</v>
      </c>
      <c r="L137" t="s">
        <v>303</v>
      </c>
      <c r="M137">
        <v>1</v>
      </c>
      <c r="T137">
        <v>11.84</v>
      </c>
      <c r="AA137">
        <v>0</v>
      </c>
      <c r="AB137">
        <v>17707</v>
      </c>
      <c r="AC137">
        <v>201.28</v>
      </c>
      <c r="AI137">
        <v>0</v>
      </c>
      <c r="AJ137">
        <f t="shared" si="2"/>
        <v>2.72</v>
      </c>
      <c r="AK137">
        <v>1.05</v>
      </c>
      <c r="AL137">
        <v>0</v>
      </c>
      <c r="AS137" t="s">
        <v>365</v>
      </c>
      <c r="AY137" t="s">
        <v>366</v>
      </c>
      <c r="BO137" t="s">
        <v>108</v>
      </c>
    </row>
    <row r="138" spans="1:67" x14ac:dyDescent="0.25">
      <c r="A138" t="s">
        <v>169</v>
      </c>
      <c r="B138">
        <v>4</v>
      </c>
      <c r="C138" t="s">
        <v>425</v>
      </c>
      <c r="D138" t="s">
        <v>426</v>
      </c>
      <c r="E138" t="s">
        <v>429</v>
      </c>
      <c r="F138" t="s">
        <v>304</v>
      </c>
      <c r="G138" t="s">
        <v>428</v>
      </c>
      <c r="H138" t="s">
        <v>371</v>
      </c>
      <c r="I138" t="s">
        <v>302</v>
      </c>
      <c r="J138" t="s">
        <v>364</v>
      </c>
      <c r="K138">
        <v>37</v>
      </c>
      <c r="L138" t="s">
        <v>303</v>
      </c>
      <c r="M138">
        <v>1</v>
      </c>
      <c r="T138">
        <v>6.48</v>
      </c>
      <c r="AA138">
        <v>0</v>
      </c>
      <c r="AB138">
        <v>17707</v>
      </c>
      <c r="AC138">
        <v>100.64</v>
      </c>
      <c r="AI138">
        <v>0</v>
      </c>
      <c r="AJ138">
        <f t="shared" si="2"/>
        <v>2.72</v>
      </c>
      <c r="AK138">
        <v>1.05</v>
      </c>
      <c r="AL138">
        <v>0</v>
      </c>
      <c r="AS138" t="s">
        <v>365</v>
      </c>
      <c r="AY138" t="s">
        <v>366</v>
      </c>
      <c r="BO138" t="s">
        <v>108</v>
      </c>
    </row>
    <row r="139" spans="1:67" x14ac:dyDescent="0.25">
      <c r="A139" t="s">
        <v>171</v>
      </c>
      <c r="B139">
        <v>16</v>
      </c>
      <c r="C139" t="s">
        <v>425</v>
      </c>
      <c r="D139" t="s">
        <v>426</v>
      </c>
      <c r="E139" t="s">
        <v>431</v>
      </c>
      <c r="F139" t="s">
        <v>304</v>
      </c>
      <c r="G139" t="s">
        <v>428</v>
      </c>
      <c r="H139" t="s">
        <v>375</v>
      </c>
      <c r="I139" t="s">
        <v>302</v>
      </c>
      <c r="J139" t="s">
        <v>364</v>
      </c>
      <c r="K139">
        <v>153</v>
      </c>
      <c r="L139" t="s">
        <v>303</v>
      </c>
      <c r="M139">
        <v>3</v>
      </c>
      <c r="T139">
        <v>19.5</v>
      </c>
      <c r="AA139">
        <v>0</v>
      </c>
      <c r="AB139">
        <v>17707</v>
      </c>
      <c r="AC139">
        <v>416.16</v>
      </c>
      <c r="AI139">
        <v>0</v>
      </c>
      <c r="AJ139">
        <f t="shared" si="2"/>
        <v>2.72</v>
      </c>
      <c r="AK139">
        <v>1.05</v>
      </c>
      <c r="AL139">
        <v>0</v>
      </c>
      <c r="AS139" t="s">
        <v>365</v>
      </c>
      <c r="AY139" t="s">
        <v>366</v>
      </c>
      <c r="BO139" t="s">
        <v>108</v>
      </c>
    </row>
    <row r="140" spans="1:67" x14ac:dyDescent="0.25">
      <c r="A140" t="s">
        <v>171</v>
      </c>
      <c r="B140">
        <v>1</v>
      </c>
      <c r="C140" t="s">
        <v>425</v>
      </c>
      <c r="D140" t="s">
        <v>426</v>
      </c>
      <c r="E140" t="s">
        <v>431</v>
      </c>
      <c r="F140" t="s">
        <v>304</v>
      </c>
      <c r="G140" t="s">
        <v>428</v>
      </c>
      <c r="H140" t="s">
        <v>380</v>
      </c>
      <c r="I140" t="s">
        <v>302</v>
      </c>
      <c r="J140" t="s">
        <v>364</v>
      </c>
      <c r="K140">
        <v>21</v>
      </c>
      <c r="L140" t="s">
        <v>303</v>
      </c>
      <c r="M140">
        <v>1</v>
      </c>
      <c r="T140">
        <v>3.3</v>
      </c>
      <c r="AA140">
        <v>0</v>
      </c>
      <c r="AB140">
        <v>17707</v>
      </c>
      <c r="AC140">
        <v>57.12</v>
      </c>
      <c r="AI140">
        <v>0</v>
      </c>
      <c r="AJ140">
        <f t="shared" si="2"/>
        <v>2.7199999999999998</v>
      </c>
      <c r="AK140">
        <v>1.05</v>
      </c>
      <c r="AL140">
        <v>0</v>
      </c>
      <c r="AS140" t="s">
        <v>365</v>
      </c>
      <c r="AY140" t="s">
        <v>366</v>
      </c>
      <c r="BO140" t="s">
        <v>108</v>
      </c>
    </row>
    <row r="141" spans="1:67" x14ac:dyDescent="0.25">
      <c r="A141" t="s">
        <v>171</v>
      </c>
      <c r="B141">
        <v>2</v>
      </c>
      <c r="C141" t="s">
        <v>425</v>
      </c>
      <c r="D141" t="s">
        <v>426</v>
      </c>
      <c r="E141" t="s">
        <v>432</v>
      </c>
      <c r="F141" t="s">
        <v>304</v>
      </c>
      <c r="G141" t="s">
        <v>428</v>
      </c>
      <c r="H141" t="s">
        <v>375</v>
      </c>
      <c r="I141" t="s">
        <v>302</v>
      </c>
      <c r="J141" t="s">
        <v>364</v>
      </c>
      <c r="K141">
        <v>96</v>
      </c>
      <c r="L141" t="s">
        <v>303</v>
      </c>
      <c r="M141">
        <v>2</v>
      </c>
      <c r="T141">
        <v>12.48</v>
      </c>
      <c r="AA141">
        <v>0</v>
      </c>
      <c r="AB141">
        <v>17707</v>
      </c>
      <c r="AC141">
        <v>261.12</v>
      </c>
      <c r="AI141">
        <v>0</v>
      </c>
      <c r="AJ141">
        <f t="shared" si="2"/>
        <v>2.72</v>
      </c>
      <c r="AK141">
        <v>1.05</v>
      </c>
      <c r="AL141">
        <v>0</v>
      </c>
      <c r="AS141" t="s">
        <v>365</v>
      </c>
      <c r="AY141" t="s">
        <v>366</v>
      </c>
      <c r="BO141" t="s">
        <v>108</v>
      </c>
    </row>
    <row r="142" spans="1:67" x14ac:dyDescent="0.25">
      <c r="A142" t="s">
        <v>171</v>
      </c>
      <c r="B142">
        <v>3</v>
      </c>
      <c r="C142" t="s">
        <v>425</v>
      </c>
      <c r="D142" t="s">
        <v>426</v>
      </c>
      <c r="E142" t="s">
        <v>432</v>
      </c>
      <c r="F142" t="s">
        <v>304</v>
      </c>
      <c r="G142" t="s">
        <v>428</v>
      </c>
      <c r="H142" t="s">
        <v>376</v>
      </c>
      <c r="I142" t="s">
        <v>302</v>
      </c>
      <c r="J142" t="s">
        <v>364</v>
      </c>
      <c r="K142">
        <v>98</v>
      </c>
      <c r="L142" t="s">
        <v>303</v>
      </c>
      <c r="M142">
        <v>2</v>
      </c>
      <c r="T142">
        <v>13.8</v>
      </c>
      <c r="AA142">
        <v>0</v>
      </c>
      <c r="AB142">
        <v>17707</v>
      </c>
      <c r="AC142">
        <v>266.56</v>
      </c>
      <c r="AI142">
        <v>0</v>
      </c>
      <c r="AJ142">
        <f t="shared" si="2"/>
        <v>2.72</v>
      </c>
      <c r="AK142">
        <v>1.05</v>
      </c>
      <c r="AL142">
        <v>0</v>
      </c>
      <c r="AS142" t="s">
        <v>365</v>
      </c>
      <c r="AY142" t="s">
        <v>366</v>
      </c>
      <c r="BO142" t="s">
        <v>108</v>
      </c>
    </row>
    <row r="143" spans="1:67" x14ac:dyDescent="0.25">
      <c r="A143" t="s">
        <v>171</v>
      </c>
      <c r="B143">
        <v>4</v>
      </c>
      <c r="C143" t="s">
        <v>425</v>
      </c>
      <c r="D143" t="s">
        <v>426</v>
      </c>
      <c r="E143" t="s">
        <v>432</v>
      </c>
      <c r="F143" t="s">
        <v>304</v>
      </c>
      <c r="G143" t="s">
        <v>428</v>
      </c>
      <c r="H143" t="s">
        <v>377</v>
      </c>
      <c r="I143" t="s">
        <v>302</v>
      </c>
      <c r="J143" t="s">
        <v>364</v>
      </c>
      <c r="K143">
        <v>79</v>
      </c>
      <c r="L143" t="s">
        <v>303</v>
      </c>
      <c r="M143">
        <v>1</v>
      </c>
      <c r="T143">
        <v>12.16</v>
      </c>
      <c r="AA143">
        <v>0</v>
      </c>
      <c r="AB143">
        <v>17707</v>
      </c>
      <c r="AC143">
        <v>214.88</v>
      </c>
      <c r="AI143">
        <v>0</v>
      </c>
      <c r="AJ143">
        <f t="shared" si="2"/>
        <v>2.7199999999999998</v>
      </c>
      <c r="AK143">
        <v>1.05</v>
      </c>
      <c r="AL143">
        <v>0</v>
      </c>
      <c r="AS143" t="s">
        <v>365</v>
      </c>
      <c r="AY143" t="s">
        <v>366</v>
      </c>
      <c r="BO143" t="s">
        <v>108</v>
      </c>
    </row>
    <row r="144" spans="1:67" x14ac:dyDescent="0.25">
      <c r="A144" t="s">
        <v>171</v>
      </c>
      <c r="B144">
        <v>5</v>
      </c>
      <c r="C144" t="s">
        <v>425</v>
      </c>
      <c r="D144" t="s">
        <v>426</v>
      </c>
      <c r="E144" t="s">
        <v>432</v>
      </c>
      <c r="F144" t="s">
        <v>304</v>
      </c>
      <c r="G144" t="s">
        <v>428</v>
      </c>
      <c r="H144" t="s">
        <v>378</v>
      </c>
      <c r="I144" t="s">
        <v>302</v>
      </c>
      <c r="J144" t="s">
        <v>364</v>
      </c>
      <c r="K144">
        <v>6</v>
      </c>
      <c r="L144" t="s">
        <v>303</v>
      </c>
      <c r="M144">
        <v>0</v>
      </c>
      <c r="T144">
        <v>0</v>
      </c>
      <c r="AA144">
        <v>0</v>
      </c>
      <c r="AB144">
        <v>17707</v>
      </c>
      <c r="AC144">
        <v>16.32</v>
      </c>
      <c r="AI144">
        <v>0</v>
      </c>
      <c r="AJ144">
        <f t="shared" si="2"/>
        <v>2.72</v>
      </c>
      <c r="AK144">
        <v>1.05</v>
      </c>
      <c r="AL144">
        <v>0</v>
      </c>
      <c r="AS144" t="s">
        <v>365</v>
      </c>
      <c r="AY144" t="s">
        <v>366</v>
      </c>
      <c r="BO144" t="s">
        <v>108</v>
      </c>
    </row>
    <row r="145" spans="1:67" x14ac:dyDescent="0.25">
      <c r="A145" t="s">
        <v>171</v>
      </c>
      <c r="B145">
        <v>6</v>
      </c>
      <c r="C145" t="s">
        <v>425</v>
      </c>
      <c r="D145" t="s">
        <v>426</v>
      </c>
      <c r="E145" t="s">
        <v>432</v>
      </c>
      <c r="F145" t="s">
        <v>304</v>
      </c>
      <c r="G145" t="s">
        <v>428</v>
      </c>
      <c r="H145" t="s">
        <v>371</v>
      </c>
      <c r="I145" t="s">
        <v>302</v>
      </c>
      <c r="J145" t="s">
        <v>364</v>
      </c>
      <c r="K145">
        <v>38</v>
      </c>
      <c r="L145" t="s">
        <v>303</v>
      </c>
      <c r="M145">
        <v>1</v>
      </c>
      <c r="T145">
        <v>6.3</v>
      </c>
      <c r="AA145">
        <v>0</v>
      </c>
      <c r="AB145">
        <v>17707</v>
      </c>
      <c r="AC145">
        <v>103.36</v>
      </c>
      <c r="AI145">
        <v>0</v>
      </c>
      <c r="AJ145">
        <f t="shared" si="2"/>
        <v>2.72</v>
      </c>
      <c r="AK145">
        <v>1.05</v>
      </c>
      <c r="AL145">
        <v>0</v>
      </c>
      <c r="AS145" t="s">
        <v>365</v>
      </c>
      <c r="AY145" t="s">
        <v>366</v>
      </c>
      <c r="BO145" t="s">
        <v>108</v>
      </c>
    </row>
    <row r="146" spans="1:67" x14ac:dyDescent="0.25">
      <c r="A146" t="s">
        <v>171</v>
      </c>
      <c r="B146">
        <v>7</v>
      </c>
      <c r="C146" t="s">
        <v>425</v>
      </c>
      <c r="D146" t="s">
        <v>426</v>
      </c>
      <c r="E146" t="s">
        <v>431</v>
      </c>
      <c r="F146" t="s">
        <v>304</v>
      </c>
      <c r="G146" t="s">
        <v>428</v>
      </c>
      <c r="H146" t="s">
        <v>379</v>
      </c>
      <c r="I146" t="s">
        <v>302</v>
      </c>
      <c r="J146" t="s">
        <v>364</v>
      </c>
      <c r="K146">
        <v>14</v>
      </c>
      <c r="L146" t="s">
        <v>303</v>
      </c>
      <c r="M146">
        <v>1</v>
      </c>
      <c r="T146">
        <v>2.52</v>
      </c>
      <c r="AA146">
        <v>0</v>
      </c>
      <c r="AB146">
        <v>17707</v>
      </c>
      <c r="AC146">
        <v>38.08</v>
      </c>
      <c r="AI146">
        <v>0</v>
      </c>
      <c r="AJ146">
        <f t="shared" si="2"/>
        <v>2.7199999999999998</v>
      </c>
      <c r="AK146">
        <v>1.05</v>
      </c>
      <c r="AL146">
        <v>0</v>
      </c>
      <c r="AS146" t="s">
        <v>365</v>
      </c>
      <c r="AY146" t="s">
        <v>366</v>
      </c>
      <c r="BO146" t="s">
        <v>108</v>
      </c>
    </row>
    <row r="147" spans="1:67" x14ac:dyDescent="0.25">
      <c r="A147" t="s">
        <v>171</v>
      </c>
      <c r="B147">
        <v>8</v>
      </c>
      <c r="C147" t="s">
        <v>425</v>
      </c>
      <c r="D147" t="s">
        <v>426</v>
      </c>
      <c r="E147" t="s">
        <v>431</v>
      </c>
      <c r="F147" t="s">
        <v>304</v>
      </c>
      <c r="G147" t="s">
        <v>428</v>
      </c>
      <c r="H147" t="s">
        <v>378</v>
      </c>
      <c r="I147" t="s">
        <v>302</v>
      </c>
      <c r="J147" t="s">
        <v>364</v>
      </c>
      <c r="K147">
        <v>15</v>
      </c>
      <c r="L147" t="s">
        <v>303</v>
      </c>
      <c r="M147">
        <v>1</v>
      </c>
      <c r="T147">
        <v>3</v>
      </c>
      <c r="AA147">
        <v>0</v>
      </c>
      <c r="AB147">
        <v>17707</v>
      </c>
      <c r="AC147">
        <v>40.799999999999997</v>
      </c>
      <c r="AI147">
        <v>0</v>
      </c>
      <c r="AJ147">
        <f t="shared" si="2"/>
        <v>2.7199999999999998</v>
      </c>
      <c r="AK147">
        <v>1.05</v>
      </c>
      <c r="AL147">
        <v>0</v>
      </c>
      <c r="AS147" t="s">
        <v>365</v>
      </c>
      <c r="AY147" t="s">
        <v>366</v>
      </c>
      <c r="BO147" t="s">
        <v>108</v>
      </c>
    </row>
    <row r="148" spans="1:67" x14ac:dyDescent="0.25">
      <c r="A148" t="s">
        <v>171</v>
      </c>
      <c r="B148">
        <v>9</v>
      </c>
      <c r="C148" t="s">
        <v>425</v>
      </c>
      <c r="D148" t="s">
        <v>426</v>
      </c>
      <c r="E148" t="s">
        <v>432</v>
      </c>
      <c r="F148" t="s">
        <v>304</v>
      </c>
      <c r="G148" t="s">
        <v>428</v>
      </c>
      <c r="H148" t="s">
        <v>372</v>
      </c>
      <c r="I148" t="s">
        <v>302</v>
      </c>
      <c r="J148" t="s">
        <v>364</v>
      </c>
      <c r="K148">
        <v>43</v>
      </c>
      <c r="L148" t="s">
        <v>303</v>
      </c>
      <c r="M148">
        <v>2</v>
      </c>
      <c r="T148">
        <v>16.11</v>
      </c>
      <c r="AA148">
        <v>0</v>
      </c>
      <c r="AB148">
        <v>17707</v>
      </c>
      <c r="AC148">
        <v>116.96</v>
      </c>
      <c r="AI148">
        <v>0</v>
      </c>
      <c r="AJ148">
        <f t="shared" si="2"/>
        <v>2.7199999999999998</v>
      </c>
      <c r="AK148">
        <v>1.05</v>
      </c>
      <c r="AL148">
        <v>0</v>
      </c>
      <c r="AS148" t="s">
        <v>365</v>
      </c>
      <c r="AY148" t="s">
        <v>366</v>
      </c>
      <c r="BO148" t="s">
        <v>108</v>
      </c>
    </row>
    <row r="149" spans="1:67" x14ac:dyDescent="0.25">
      <c r="A149" t="s">
        <v>171</v>
      </c>
      <c r="B149">
        <v>10</v>
      </c>
      <c r="C149" t="s">
        <v>425</v>
      </c>
      <c r="D149" t="s">
        <v>426</v>
      </c>
      <c r="E149" t="s">
        <v>432</v>
      </c>
      <c r="F149" t="s">
        <v>304</v>
      </c>
      <c r="G149" t="s">
        <v>428</v>
      </c>
      <c r="H149" t="s">
        <v>373</v>
      </c>
      <c r="I149" t="s">
        <v>302</v>
      </c>
      <c r="J149" t="s">
        <v>364</v>
      </c>
      <c r="K149">
        <v>31</v>
      </c>
      <c r="L149" t="s">
        <v>303</v>
      </c>
      <c r="M149">
        <v>1</v>
      </c>
      <c r="T149">
        <v>6.2</v>
      </c>
      <c r="AA149">
        <v>0</v>
      </c>
      <c r="AB149">
        <v>17707</v>
      </c>
      <c r="AC149">
        <v>84.32</v>
      </c>
      <c r="AI149">
        <v>0</v>
      </c>
      <c r="AJ149">
        <f t="shared" si="2"/>
        <v>2.7199999999999998</v>
      </c>
      <c r="AK149">
        <v>1.05</v>
      </c>
      <c r="AL149">
        <v>0</v>
      </c>
      <c r="AS149" t="s">
        <v>365</v>
      </c>
      <c r="AY149" t="s">
        <v>366</v>
      </c>
      <c r="BO149" t="s">
        <v>108</v>
      </c>
    </row>
    <row r="150" spans="1:67" x14ac:dyDescent="0.25">
      <c r="A150" t="s">
        <v>171</v>
      </c>
      <c r="B150">
        <v>11</v>
      </c>
      <c r="C150" t="s">
        <v>425</v>
      </c>
      <c r="D150" t="s">
        <v>426</v>
      </c>
      <c r="E150" t="s">
        <v>432</v>
      </c>
      <c r="F150" t="s">
        <v>304</v>
      </c>
      <c r="G150" t="s">
        <v>428</v>
      </c>
      <c r="H150" t="s">
        <v>380</v>
      </c>
      <c r="I150" t="s">
        <v>302</v>
      </c>
      <c r="J150" t="s">
        <v>364</v>
      </c>
      <c r="K150">
        <v>11</v>
      </c>
      <c r="L150" t="s">
        <v>303</v>
      </c>
      <c r="M150">
        <v>1</v>
      </c>
      <c r="T150">
        <v>2.42</v>
      </c>
      <c r="AA150">
        <v>0</v>
      </c>
      <c r="AB150">
        <v>17707</v>
      </c>
      <c r="AC150">
        <v>29.92</v>
      </c>
      <c r="AI150">
        <v>0</v>
      </c>
      <c r="AJ150">
        <f t="shared" si="2"/>
        <v>2.72</v>
      </c>
      <c r="AK150">
        <v>1.05</v>
      </c>
      <c r="AL150">
        <v>0</v>
      </c>
      <c r="AS150" t="s">
        <v>365</v>
      </c>
      <c r="AY150" t="s">
        <v>366</v>
      </c>
      <c r="BO150" t="s">
        <v>108</v>
      </c>
    </row>
    <row r="151" spans="1:67" x14ac:dyDescent="0.25">
      <c r="A151" t="s">
        <v>171</v>
      </c>
      <c r="B151">
        <v>12</v>
      </c>
      <c r="C151" t="s">
        <v>425</v>
      </c>
      <c r="D151" t="s">
        <v>426</v>
      </c>
      <c r="E151" t="s">
        <v>433</v>
      </c>
      <c r="F151" t="s">
        <v>304</v>
      </c>
      <c r="G151" t="s">
        <v>428</v>
      </c>
      <c r="H151" t="s">
        <v>377</v>
      </c>
      <c r="I151" t="s">
        <v>302</v>
      </c>
      <c r="J151" t="s">
        <v>364</v>
      </c>
      <c r="K151">
        <v>24</v>
      </c>
      <c r="L151" t="s">
        <v>303</v>
      </c>
      <c r="M151">
        <v>1</v>
      </c>
      <c r="T151">
        <v>3.68</v>
      </c>
      <c r="AA151">
        <v>0</v>
      </c>
      <c r="AB151">
        <v>17707</v>
      </c>
      <c r="AC151">
        <v>65.28</v>
      </c>
      <c r="AI151">
        <v>0</v>
      </c>
      <c r="AJ151">
        <f t="shared" si="2"/>
        <v>2.72</v>
      </c>
      <c r="AK151">
        <v>1.05</v>
      </c>
      <c r="AL151">
        <v>0</v>
      </c>
      <c r="AS151" t="s">
        <v>365</v>
      </c>
      <c r="AY151" t="s">
        <v>366</v>
      </c>
      <c r="BO151" t="s">
        <v>108</v>
      </c>
    </row>
    <row r="152" spans="1:67" x14ac:dyDescent="0.25">
      <c r="A152" t="s">
        <v>171</v>
      </c>
      <c r="B152">
        <v>13</v>
      </c>
      <c r="C152" t="s">
        <v>425</v>
      </c>
      <c r="D152" t="s">
        <v>426</v>
      </c>
      <c r="E152" t="s">
        <v>433</v>
      </c>
      <c r="F152" t="s">
        <v>304</v>
      </c>
      <c r="G152" t="s">
        <v>428</v>
      </c>
      <c r="H152" t="s">
        <v>376</v>
      </c>
      <c r="I152" t="s">
        <v>302</v>
      </c>
      <c r="J152" t="s">
        <v>364</v>
      </c>
      <c r="K152">
        <v>29</v>
      </c>
      <c r="L152" t="s">
        <v>303</v>
      </c>
      <c r="M152">
        <v>1</v>
      </c>
      <c r="T152">
        <v>4.3499999999999996</v>
      </c>
      <c r="AA152">
        <v>0</v>
      </c>
      <c r="AB152">
        <v>17707</v>
      </c>
      <c r="AC152">
        <v>78.88</v>
      </c>
      <c r="AI152">
        <v>0</v>
      </c>
      <c r="AJ152">
        <f t="shared" si="2"/>
        <v>2.7199999999999998</v>
      </c>
      <c r="AK152">
        <v>1.05</v>
      </c>
      <c r="AL152">
        <v>0</v>
      </c>
      <c r="AS152" t="s">
        <v>365</v>
      </c>
      <c r="AY152" t="s">
        <v>366</v>
      </c>
      <c r="BO152" t="s">
        <v>108</v>
      </c>
    </row>
    <row r="153" spans="1:67" x14ac:dyDescent="0.25">
      <c r="A153" t="s">
        <v>171</v>
      </c>
      <c r="B153">
        <v>14</v>
      </c>
      <c r="C153" t="s">
        <v>425</v>
      </c>
      <c r="D153" t="s">
        <v>426</v>
      </c>
      <c r="E153" t="s">
        <v>433</v>
      </c>
      <c r="F153" t="s">
        <v>304</v>
      </c>
      <c r="G153" t="s">
        <v>428</v>
      </c>
      <c r="H153" t="s">
        <v>371</v>
      </c>
      <c r="I153" t="s">
        <v>302</v>
      </c>
      <c r="J153" t="s">
        <v>364</v>
      </c>
      <c r="K153">
        <v>10</v>
      </c>
      <c r="L153" t="s">
        <v>303</v>
      </c>
      <c r="M153">
        <v>0</v>
      </c>
      <c r="T153">
        <v>0</v>
      </c>
      <c r="AA153">
        <v>0</v>
      </c>
      <c r="AB153">
        <v>17707</v>
      </c>
      <c r="AC153">
        <v>27.2</v>
      </c>
      <c r="AI153">
        <v>0</v>
      </c>
      <c r="AJ153">
        <f t="shared" si="2"/>
        <v>2.7199999999999998</v>
      </c>
      <c r="AK153">
        <v>1.05</v>
      </c>
      <c r="AL153">
        <v>0</v>
      </c>
      <c r="AS153" t="s">
        <v>365</v>
      </c>
      <c r="AY153" t="s">
        <v>366</v>
      </c>
      <c r="BO153" t="s">
        <v>108</v>
      </c>
    </row>
    <row r="154" spans="1:67" x14ac:dyDescent="0.25">
      <c r="A154" t="s">
        <v>171</v>
      </c>
      <c r="B154">
        <v>15</v>
      </c>
      <c r="C154" t="s">
        <v>425</v>
      </c>
      <c r="D154" t="s">
        <v>426</v>
      </c>
      <c r="E154" t="s">
        <v>433</v>
      </c>
      <c r="F154" t="s">
        <v>304</v>
      </c>
      <c r="G154" t="s">
        <v>428</v>
      </c>
      <c r="H154" t="s">
        <v>373</v>
      </c>
      <c r="I154" t="s">
        <v>302</v>
      </c>
      <c r="J154" t="s">
        <v>364</v>
      </c>
      <c r="K154">
        <v>9</v>
      </c>
      <c r="L154" t="s">
        <v>303</v>
      </c>
      <c r="M154">
        <v>0</v>
      </c>
      <c r="T154">
        <v>0</v>
      </c>
      <c r="AA154">
        <v>0</v>
      </c>
      <c r="AB154">
        <v>17707</v>
      </c>
      <c r="AC154">
        <v>24.48</v>
      </c>
      <c r="AI154">
        <v>0</v>
      </c>
      <c r="AJ154">
        <f t="shared" si="2"/>
        <v>2.72</v>
      </c>
      <c r="AK154">
        <v>1.05</v>
      </c>
      <c r="AL154">
        <v>0</v>
      </c>
      <c r="AS154" t="s">
        <v>365</v>
      </c>
      <c r="AY154" t="s">
        <v>366</v>
      </c>
      <c r="BO154" t="s">
        <v>108</v>
      </c>
    </row>
    <row r="155" spans="1:67" x14ac:dyDescent="0.25">
      <c r="A155" t="s">
        <v>171</v>
      </c>
      <c r="B155">
        <v>17</v>
      </c>
      <c r="C155" t="s">
        <v>425</v>
      </c>
      <c r="D155" t="s">
        <v>426</v>
      </c>
      <c r="E155" t="s">
        <v>431</v>
      </c>
      <c r="F155" t="s">
        <v>304</v>
      </c>
      <c r="G155" t="s">
        <v>428</v>
      </c>
      <c r="H155" t="s">
        <v>376</v>
      </c>
      <c r="I155" t="s">
        <v>302</v>
      </c>
      <c r="J155" t="s">
        <v>364</v>
      </c>
      <c r="K155">
        <v>170</v>
      </c>
      <c r="L155" t="s">
        <v>303</v>
      </c>
      <c r="M155">
        <v>2</v>
      </c>
      <c r="T155">
        <v>25.5</v>
      </c>
      <c r="AA155">
        <v>0</v>
      </c>
      <c r="AB155">
        <v>17707</v>
      </c>
      <c r="AC155">
        <v>462.4</v>
      </c>
      <c r="AI155">
        <v>0</v>
      </c>
      <c r="AJ155">
        <f t="shared" si="2"/>
        <v>2.7199999999999998</v>
      </c>
      <c r="AK155">
        <v>1.05</v>
      </c>
      <c r="AL155">
        <v>0</v>
      </c>
      <c r="AS155" t="s">
        <v>365</v>
      </c>
      <c r="AY155" t="s">
        <v>366</v>
      </c>
      <c r="BO155" t="s">
        <v>108</v>
      </c>
    </row>
    <row r="156" spans="1:67" x14ac:dyDescent="0.25">
      <c r="A156" t="s">
        <v>171</v>
      </c>
      <c r="B156">
        <v>18</v>
      </c>
      <c r="C156" t="s">
        <v>425</v>
      </c>
      <c r="D156" t="s">
        <v>426</v>
      </c>
      <c r="E156" t="s">
        <v>431</v>
      </c>
      <c r="F156" t="s">
        <v>304</v>
      </c>
      <c r="G156" t="s">
        <v>428</v>
      </c>
      <c r="H156" t="s">
        <v>377</v>
      </c>
      <c r="I156" t="s">
        <v>302</v>
      </c>
      <c r="J156" t="s">
        <v>364</v>
      </c>
      <c r="K156">
        <v>143</v>
      </c>
      <c r="L156" t="s">
        <v>303</v>
      </c>
      <c r="M156">
        <v>3</v>
      </c>
      <c r="T156">
        <v>22.4</v>
      </c>
      <c r="AA156">
        <v>0</v>
      </c>
      <c r="AB156">
        <v>17707</v>
      </c>
      <c r="AC156">
        <v>388.96</v>
      </c>
      <c r="AI156">
        <v>0</v>
      </c>
      <c r="AJ156">
        <f t="shared" si="2"/>
        <v>2.7199999999999998</v>
      </c>
      <c r="AK156">
        <v>1.05</v>
      </c>
      <c r="AL156">
        <v>0</v>
      </c>
      <c r="AS156" t="s">
        <v>365</v>
      </c>
      <c r="AY156" t="s">
        <v>366</v>
      </c>
      <c r="BO156" t="s">
        <v>108</v>
      </c>
    </row>
    <row r="157" spans="1:67" x14ac:dyDescent="0.25">
      <c r="A157" t="s">
        <v>171</v>
      </c>
      <c r="B157">
        <v>19</v>
      </c>
      <c r="C157" t="s">
        <v>425</v>
      </c>
      <c r="D157" t="s">
        <v>426</v>
      </c>
      <c r="E157" t="s">
        <v>431</v>
      </c>
      <c r="F157" t="s">
        <v>304</v>
      </c>
      <c r="G157" t="s">
        <v>428</v>
      </c>
      <c r="H157" t="s">
        <v>371</v>
      </c>
      <c r="I157" t="s">
        <v>302</v>
      </c>
      <c r="J157" t="s">
        <v>364</v>
      </c>
      <c r="K157">
        <v>72</v>
      </c>
      <c r="L157" t="s">
        <v>303</v>
      </c>
      <c r="M157">
        <v>1</v>
      </c>
      <c r="T157">
        <v>12.6</v>
      </c>
      <c r="AA157">
        <v>0</v>
      </c>
      <c r="AB157">
        <v>17707</v>
      </c>
      <c r="AC157">
        <v>195.84</v>
      </c>
      <c r="AI157">
        <v>0</v>
      </c>
      <c r="AJ157">
        <f t="shared" si="2"/>
        <v>2.72</v>
      </c>
      <c r="AK157">
        <v>1.05</v>
      </c>
      <c r="AL157">
        <v>0</v>
      </c>
      <c r="AS157" t="s">
        <v>365</v>
      </c>
      <c r="AY157" t="s">
        <v>366</v>
      </c>
      <c r="BO157" t="s">
        <v>108</v>
      </c>
    </row>
    <row r="158" spans="1:67" x14ac:dyDescent="0.25">
      <c r="A158" t="s">
        <v>171</v>
      </c>
      <c r="B158">
        <v>20</v>
      </c>
      <c r="C158" t="s">
        <v>425</v>
      </c>
      <c r="D158" t="s">
        <v>426</v>
      </c>
      <c r="E158" t="s">
        <v>431</v>
      </c>
      <c r="F158" t="s">
        <v>304</v>
      </c>
      <c r="G158" t="s">
        <v>428</v>
      </c>
      <c r="H158" t="s">
        <v>372</v>
      </c>
      <c r="I158" t="s">
        <v>302</v>
      </c>
      <c r="J158" t="s">
        <v>364</v>
      </c>
      <c r="K158">
        <v>68</v>
      </c>
      <c r="L158" t="s">
        <v>303</v>
      </c>
      <c r="M158">
        <v>2</v>
      </c>
      <c r="T158">
        <v>7.2</v>
      </c>
      <c r="AA158">
        <v>0</v>
      </c>
      <c r="AB158">
        <v>17707</v>
      </c>
      <c r="AC158">
        <v>184.96</v>
      </c>
      <c r="AI158">
        <v>0</v>
      </c>
      <c r="AJ158">
        <f t="shared" si="2"/>
        <v>2.72</v>
      </c>
      <c r="AK158">
        <v>1.05</v>
      </c>
      <c r="AL158">
        <v>0</v>
      </c>
      <c r="AS158" t="s">
        <v>365</v>
      </c>
      <c r="AY158" t="s">
        <v>366</v>
      </c>
      <c r="BO158" t="s">
        <v>108</v>
      </c>
    </row>
    <row r="159" spans="1:67" x14ac:dyDescent="0.25">
      <c r="A159" t="s">
        <v>171</v>
      </c>
      <c r="B159">
        <v>21</v>
      </c>
      <c r="C159" t="s">
        <v>425</v>
      </c>
      <c r="D159" t="s">
        <v>426</v>
      </c>
      <c r="E159" t="s">
        <v>431</v>
      </c>
      <c r="F159" t="s">
        <v>304</v>
      </c>
      <c r="G159" t="s">
        <v>428</v>
      </c>
      <c r="H159" t="s">
        <v>373</v>
      </c>
      <c r="I159" t="s">
        <v>302</v>
      </c>
      <c r="J159" t="s">
        <v>364</v>
      </c>
      <c r="K159">
        <v>52</v>
      </c>
      <c r="L159" t="s">
        <v>303</v>
      </c>
      <c r="M159">
        <v>2</v>
      </c>
      <c r="T159">
        <v>9.4</v>
      </c>
      <c r="AA159">
        <v>0</v>
      </c>
      <c r="AB159">
        <v>17707</v>
      </c>
      <c r="AC159">
        <v>141.44</v>
      </c>
      <c r="AI159">
        <v>0</v>
      </c>
      <c r="AJ159">
        <f t="shared" si="2"/>
        <v>2.7199999999999998</v>
      </c>
      <c r="AK159">
        <v>1.05</v>
      </c>
      <c r="AL159">
        <v>0</v>
      </c>
      <c r="AS159" t="s">
        <v>365</v>
      </c>
      <c r="AY159" t="s">
        <v>366</v>
      </c>
      <c r="BO159" t="s">
        <v>108</v>
      </c>
    </row>
    <row r="160" spans="1:67" x14ac:dyDescent="0.25">
      <c r="A160" t="s">
        <v>171</v>
      </c>
      <c r="B160">
        <v>22</v>
      </c>
      <c r="C160" t="s">
        <v>425</v>
      </c>
      <c r="D160" t="s">
        <v>426</v>
      </c>
      <c r="E160" t="s">
        <v>433</v>
      </c>
      <c r="F160" t="s">
        <v>304</v>
      </c>
      <c r="G160" t="s">
        <v>428</v>
      </c>
      <c r="H160" t="s">
        <v>375</v>
      </c>
      <c r="I160" t="s">
        <v>302</v>
      </c>
      <c r="J160" t="s">
        <v>364</v>
      </c>
      <c r="K160">
        <v>28</v>
      </c>
      <c r="L160" t="s">
        <v>303</v>
      </c>
      <c r="M160">
        <v>1</v>
      </c>
      <c r="T160">
        <v>3.64</v>
      </c>
      <c r="AA160">
        <v>0</v>
      </c>
      <c r="AB160">
        <v>17707</v>
      </c>
      <c r="AC160">
        <v>76.16</v>
      </c>
      <c r="AI160">
        <v>0</v>
      </c>
      <c r="AJ160">
        <f t="shared" si="2"/>
        <v>2.7199999999999998</v>
      </c>
      <c r="AK160">
        <v>1.05</v>
      </c>
      <c r="AL160">
        <v>0</v>
      </c>
      <c r="AS160" t="s">
        <v>365</v>
      </c>
      <c r="AY160" t="s">
        <v>366</v>
      </c>
      <c r="BO160" t="s">
        <v>108</v>
      </c>
    </row>
    <row r="161" spans="1:67" x14ac:dyDescent="0.25">
      <c r="A161" t="s">
        <v>171</v>
      </c>
      <c r="B161">
        <v>23</v>
      </c>
      <c r="C161" t="s">
        <v>425</v>
      </c>
      <c r="D161" t="s">
        <v>426</v>
      </c>
      <c r="E161" t="s">
        <v>432</v>
      </c>
      <c r="F161" t="s">
        <v>304</v>
      </c>
      <c r="G161" t="s">
        <v>428</v>
      </c>
      <c r="H161" t="s">
        <v>379</v>
      </c>
      <c r="I161" t="s">
        <v>302</v>
      </c>
      <c r="J161" t="s">
        <v>364</v>
      </c>
      <c r="K161">
        <v>7</v>
      </c>
      <c r="L161" t="s">
        <v>303</v>
      </c>
      <c r="M161">
        <v>1</v>
      </c>
      <c r="T161">
        <v>12.67</v>
      </c>
      <c r="AA161">
        <v>0</v>
      </c>
      <c r="AB161">
        <v>17707</v>
      </c>
      <c r="AC161">
        <v>19.04</v>
      </c>
      <c r="AI161">
        <v>0</v>
      </c>
      <c r="AJ161">
        <f t="shared" si="2"/>
        <v>2.7199999999999998</v>
      </c>
      <c r="AK161">
        <v>1.05</v>
      </c>
      <c r="AL161">
        <v>0</v>
      </c>
      <c r="AS161" t="s">
        <v>365</v>
      </c>
      <c r="AY161" t="s">
        <v>366</v>
      </c>
      <c r="BO161" t="s">
        <v>108</v>
      </c>
    </row>
    <row r="162" spans="1:67" x14ac:dyDescent="0.25">
      <c r="A162" t="s">
        <v>171</v>
      </c>
      <c r="B162">
        <v>24</v>
      </c>
      <c r="C162" t="s">
        <v>425</v>
      </c>
      <c r="D162" t="s">
        <v>426</v>
      </c>
      <c r="E162" t="s">
        <v>433</v>
      </c>
      <c r="F162" t="s">
        <v>304</v>
      </c>
      <c r="G162" t="s">
        <v>428</v>
      </c>
      <c r="H162" t="s">
        <v>380</v>
      </c>
      <c r="I162" t="s">
        <v>302</v>
      </c>
      <c r="J162" t="s">
        <v>364</v>
      </c>
      <c r="K162">
        <v>3</v>
      </c>
      <c r="L162" t="s">
        <v>303</v>
      </c>
      <c r="M162">
        <v>0</v>
      </c>
      <c r="T162">
        <v>0</v>
      </c>
      <c r="AA162">
        <v>0</v>
      </c>
      <c r="AB162">
        <v>17707</v>
      </c>
      <c r="AC162">
        <v>8.16</v>
      </c>
      <c r="AI162">
        <v>0</v>
      </c>
      <c r="AJ162">
        <f t="shared" si="2"/>
        <v>2.72</v>
      </c>
      <c r="AK162">
        <v>1.05</v>
      </c>
      <c r="AL162">
        <v>0</v>
      </c>
      <c r="AS162" t="s">
        <v>365</v>
      </c>
      <c r="AY162" t="s">
        <v>366</v>
      </c>
      <c r="BO162" t="s">
        <v>108</v>
      </c>
    </row>
    <row r="163" spans="1:67" x14ac:dyDescent="0.25">
      <c r="A163" t="s">
        <v>171</v>
      </c>
      <c r="B163">
        <v>25</v>
      </c>
      <c r="C163" t="s">
        <v>425</v>
      </c>
      <c r="D163" t="s">
        <v>426</v>
      </c>
      <c r="E163" t="s">
        <v>433</v>
      </c>
      <c r="F163" t="s">
        <v>304</v>
      </c>
      <c r="G163" t="s">
        <v>428</v>
      </c>
      <c r="H163" t="s">
        <v>378</v>
      </c>
      <c r="I163" t="s">
        <v>302</v>
      </c>
      <c r="J163" t="s">
        <v>364</v>
      </c>
      <c r="K163">
        <v>2</v>
      </c>
      <c r="L163" t="s">
        <v>303</v>
      </c>
      <c r="M163">
        <v>0</v>
      </c>
      <c r="T163">
        <v>0</v>
      </c>
      <c r="AA163">
        <v>0</v>
      </c>
      <c r="AB163">
        <v>17707</v>
      </c>
      <c r="AC163">
        <v>5.44</v>
      </c>
      <c r="AI163">
        <v>0</v>
      </c>
      <c r="AJ163">
        <f t="shared" si="2"/>
        <v>2.72</v>
      </c>
      <c r="AK163">
        <v>1.05</v>
      </c>
      <c r="AL163">
        <v>0</v>
      </c>
      <c r="AS163" t="s">
        <v>365</v>
      </c>
      <c r="AY163" t="s">
        <v>366</v>
      </c>
      <c r="BO163" t="s">
        <v>108</v>
      </c>
    </row>
    <row r="164" spans="1:67" x14ac:dyDescent="0.25">
      <c r="A164" t="s">
        <v>171</v>
      </c>
      <c r="B164">
        <v>26</v>
      </c>
      <c r="C164" t="s">
        <v>425</v>
      </c>
      <c r="D164" t="s">
        <v>426</v>
      </c>
      <c r="E164" t="s">
        <v>433</v>
      </c>
      <c r="F164" t="s">
        <v>304</v>
      </c>
      <c r="G164" t="s">
        <v>428</v>
      </c>
      <c r="H164" t="s">
        <v>379</v>
      </c>
      <c r="I164" t="s">
        <v>302</v>
      </c>
      <c r="J164" t="s">
        <v>364</v>
      </c>
      <c r="K164">
        <v>2</v>
      </c>
      <c r="L164" t="s">
        <v>303</v>
      </c>
      <c r="M164">
        <v>0</v>
      </c>
      <c r="T164">
        <v>0</v>
      </c>
      <c r="AA164">
        <v>0</v>
      </c>
      <c r="AB164">
        <v>17707</v>
      </c>
      <c r="AC164">
        <v>5.44</v>
      </c>
      <c r="AI164">
        <v>0</v>
      </c>
      <c r="AJ164">
        <f t="shared" si="2"/>
        <v>2.72</v>
      </c>
      <c r="AK164">
        <v>1.05</v>
      </c>
      <c r="AL164">
        <v>0</v>
      </c>
      <c r="AS164" t="s">
        <v>365</v>
      </c>
      <c r="AY164" t="s">
        <v>366</v>
      </c>
      <c r="BO164" t="s">
        <v>108</v>
      </c>
    </row>
    <row r="165" spans="1:67" x14ac:dyDescent="0.25">
      <c r="A165" t="s">
        <v>171</v>
      </c>
      <c r="B165">
        <v>27</v>
      </c>
      <c r="C165" t="s">
        <v>425</v>
      </c>
      <c r="D165" t="s">
        <v>426</v>
      </c>
      <c r="E165" t="s">
        <v>433</v>
      </c>
      <c r="F165" t="s">
        <v>304</v>
      </c>
      <c r="G165" t="s">
        <v>428</v>
      </c>
      <c r="H165" t="s">
        <v>372</v>
      </c>
      <c r="I165" t="s">
        <v>302</v>
      </c>
      <c r="J165" t="s">
        <v>364</v>
      </c>
      <c r="K165">
        <v>13</v>
      </c>
      <c r="L165" t="s">
        <v>303</v>
      </c>
      <c r="M165">
        <v>0</v>
      </c>
      <c r="T165">
        <v>0</v>
      </c>
      <c r="AA165">
        <v>0</v>
      </c>
      <c r="AB165">
        <v>17707</v>
      </c>
      <c r="AC165">
        <v>35.36</v>
      </c>
      <c r="AI165">
        <v>0</v>
      </c>
      <c r="AJ165">
        <f t="shared" si="2"/>
        <v>2.7199999999999998</v>
      </c>
      <c r="AK165">
        <v>1.05</v>
      </c>
      <c r="AL165">
        <v>0</v>
      </c>
      <c r="AS165" t="s">
        <v>365</v>
      </c>
      <c r="AY165" t="s">
        <v>366</v>
      </c>
      <c r="BO165" t="s">
        <v>108</v>
      </c>
    </row>
    <row r="166" spans="1:67" x14ac:dyDescent="0.25">
      <c r="A166" t="s">
        <v>171</v>
      </c>
      <c r="B166">
        <v>28</v>
      </c>
      <c r="C166" t="s">
        <v>425</v>
      </c>
      <c r="D166" t="s">
        <v>426</v>
      </c>
      <c r="E166" t="s">
        <v>434</v>
      </c>
      <c r="F166" t="s">
        <v>304</v>
      </c>
      <c r="G166" t="s">
        <v>428</v>
      </c>
      <c r="H166" t="s">
        <v>373</v>
      </c>
      <c r="I166" t="s">
        <v>302</v>
      </c>
      <c r="J166" t="s">
        <v>364</v>
      </c>
      <c r="K166">
        <v>39</v>
      </c>
      <c r="L166" t="s">
        <v>303</v>
      </c>
      <c r="M166">
        <v>2</v>
      </c>
      <c r="T166">
        <v>7.8</v>
      </c>
      <c r="AA166">
        <v>0</v>
      </c>
      <c r="AB166">
        <v>17707</v>
      </c>
      <c r="AC166">
        <v>106.08</v>
      </c>
      <c r="AI166">
        <v>0</v>
      </c>
      <c r="AJ166">
        <f t="shared" si="2"/>
        <v>2.7199999999999998</v>
      </c>
      <c r="AK166">
        <v>1.05</v>
      </c>
      <c r="AL166">
        <v>0</v>
      </c>
      <c r="AS166" t="s">
        <v>365</v>
      </c>
      <c r="AY166" t="s">
        <v>366</v>
      </c>
      <c r="BO166" t="s">
        <v>108</v>
      </c>
    </row>
    <row r="167" spans="1:67" x14ac:dyDescent="0.25">
      <c r="A167" t="s">
        <v>171</v>
      </c>
      <c r="B167">
        <v>29</v>
      </c>
      <c r="C167" t="s">
        <v>425</v>
      </c>
      <c r="D167" t="s">
        <v>426</v>
      </c>
      <c r="E167" t="s">
        <v>435</v>
      </c>
      <c r="F167" t="s">
        <v>304</v>
      </c>
      <c r="G167" t="s">
        <v>428</v>
      </c>
      <c r="H167" t="s">
        <v>373</v>
      </c>
      <c r="I167" t="s">
        <v>302</v>
      </c>
      <c r="J167" t="s">
        <v>364</v>
      </c>
      <c r="K167">
        <v>40</v>
      </c>
      <c r="L167" t="s">
        <v>303</v>
      </c>
      <c r="M167">
        <v>2</v>
      </c>
      <c r="T167">
        <v>8</v>
      </c>
      <c r="AA167">
        <v>0</v>
      </c>
      <c r="AB167">
        <v>17707</v>
      </c>
      <c r="AC167">
        <v>108.8</v>
      </c>
      <c r="AI167">
        <v>0</v>
      </c>
      <c r="AJ167">
        <f t="shared" si="2"/>
        <v>2.7199999999999998</v>
      </c>
      <c r="AK167">
        <v>1.05</v>
      </c>
      <c r="AL167">
        <v>0</v>
      </c>
      <c r="AS167" t="s">
        <v>365</v>
      </c>
      <c r="AY167" t="s">
        <v>366</v>
      </c>
      <c r="BO167" t="s">
        <v>108</v>
      </c>
    </row>
    <row r="168" spans="1:67" x14ac:dyDescent="0.25">
      <c r="A168" t="s">
        <v>171</v>
      </c>
      <c r="B168">
        <v>30</v>
      </c>
      <c r="C168" t="s">
        <v>425</v>
      </c>
      <c r="D168" t="s">
        <v>426</v>
      </c>
      <c r="E168" t="s">
        <v>435</v>
      </c>
      <c r="F168" t="s">
        <v>304</v>
      </c>
      <c r="G168" t="s">
        <v>428</v>
      </c>
      <c r="H168" t="s">
        <v>372</v>
      </c>
      <c r="I168" t="s">
        <v>302</v>
      </c>
      <c r="J168" t="s">
        <v>364</v>
      </c>
      <c r="K168">
        <v>56</v>
      </c>
      <c r="L168" t="s">
        <v>303</v>
      </c>
      <c r="M168">
        <v>2</v>
      </c>
      <c r="T168">
        <v>6.72</v>
      </c>
      <c r="AA168">
        <v>0</v>
      </c>
      <c r="AB168">
        <v>17707</v>
      </c>
      <c r="AC168">
        <v>152.32</v>
      </c>
      <c r="AI168">
        <v>0</v>
      </c>
      <c r="AJ168">
        <f t="shared" si="2"/>
        <v>2.7199999999999998</v>
      </c>
      <c r="AK168">
        <v>1.05</v>
      </c>
      <c r="AL168">
        <v>0</v>
      </c>
      <c r="AS168" t="s">
        <v>365</v>
      </c>
      <c r="AY168" t="s">
        <v>366</v>
      </c>
      <c r="BO168" t="s">
        <v>108</v>
      </c>
    </row>
    <row r="169" spans="1:67" x14ac:dyDescent="0.25">
      <c r="A169" t="s">
        <v>171</v>
      </c>
      <c r="B169">
        <v>31</v>
      </c>
      <c r="C169" t="s">
        <v>425</v>
      </c>
      <c r="D169" t="s">
        <v>426</v>
      </c>
      <c r="E169" t="s">
        <v>435</v>
      </c>
      <c r="F169" t="s">
        <v>304</v>
      </c>
      <c r="G169" t="s">
        <v>428</v>
      </c>
      <c r="H169" t="s">
        <v>371</v>
      </c>
      <c r="I169" t="s">
        <v>302</v>
      </c>
      <c r="J169" t="s">
        <v>364</v>
      </c>
      <c r="K169">
        <v>57</v>
      </c>
      <c r="L169" t="s">
        <v>303</v>
      </c>
      <c r="M169">
        <v>2</v>
      </c>
      <c r="T169">
        <v>10.08</v>
      </c>
      <c r="AA169">
        <v>0</v>
      </c>
      <c r="AB169">
        <v>17707</v>
      </c>
      <c r="AC169">
        <v>155.04</v>
      </c>
      <c r="AI169">
        <v>0</v>
      </c>
      <c r="AJ169">
        <f t="shared" si="2"/>
        <v>2.7199999999999998</v>
      </c>
      <c r="AK169">
        <v>1.05</v>
      </c>
      <c r="AL169">
        <v>0</v>
      </c>
      <c r="AS169" t="s">
        <v>365</v>
      </c>
      <c r="AY169" t="s">
        <v>366</v>
      </c>
      <c r="BO169" t="s">
        <v>108</v>
      </c>
    </row>
    <row r="170" spans="1:67" x14ac:dyDescent="0.25">
      <c r="A170" t="s">
        <v>171</v>
      </c>
      <c r="B170">
        <v>32</v>
      </c>
      <c r="C170" t="s">
        <v>425</v>
      </c>
      <c r="D170" t="s">
        <v>426</v>
      </c>
      <c r="E170" t="s">
        <v>434</v>
      </c>
      <c r="F170" t="s">
        <v>304</v>
      </c>
      <c r="G170" t="s">
        <v>428</v>
      </c>
      <c r="H170" t="s">
        <v>375</v>
      </c>
      <c r="I170" t="s">
        <v>302</v>
      </c>
      <c r="J170" t="s">
        <v>364</v>
      </c>
      <c r="K170">
        <v>127</v>
      </c>
      <c r="L170" t="s">
        <v>303</v>
      </c>
      <c r="M170">
        <v>2</v>
      </c>
      <c r="T170">
        <v>15.6</v>
      </c>
      <c r="AA170">
        <v>0</v>
      </c>
      <c r="AB170">
        <v>17707</v>
      </c>
      <c r="AC170">
        <v>345.44</v>
      </c>
      <c r="AI170">
        <v>0</v>
      </c>
      <c r="AJ170">
        <f t="shared" si="2"/>
        <v>2.72</v>
      </c>
      <c r="AK170">
        <v>1.05</v>
      </c>
      <c r="AL170">
        <v>0</v>
      </c>
      <c r="AS170" t="s">
        <v>365</v>
      </c>
      <c r="AY170" t="s">
        <v>366</v>
      </c>
      <c r="BO170" t="s">
        <v>108</v>
      </c>
    </row>
    <row r="171" spans="1:67" x14ac:dyDescent="0.25">
      <c r="A171" t="s">
        <v>171</v>
      </c>
      <c r="B171">
        <v>33</v>
      </c>
      <c r="C171" t="s">
        <v>425</v>
      </c>
      <c r="D171" t="s">
        <v>426</v>
      </c>
      <c r="E171" t="s">
        <v>434</v>
      </c>
      <c r="F171" t="s">
        <v>304</v>
      </c>
      <c r="G171" t="s">
        <v>428</v>
      </c>
      <c r="H171" t="s">
        <v>376</v>
      </c>
      <c r="I171" t="s">
        <v>302</v>
      </c>
      <c r="J171" t="s">
        <v>364</v>
      </c>
      <c r="K171">
        <v>135</v>
      </c>
      <c r="L171" t="s">
        <v>303</v>
      </c>
      <c r="M171">
        <v>2</v>
      </c>
      <c r="T171">
        <v>19.8</v>
      </c>
      <c r="AA171">
        <v>0</v>
      </c>
      <c r="AB171">
        <v>17707</v>
      </c>
      <c r="AC171">
        <v>367.2</v>
      </c>
      <c r="AI171">
        <v>0</v>
      </c>
      <c r="AJ171">
        <f t="shared" si="2"/>
        <v>2.7199999999999998</v>
      </c>
      <c r="AK171">
        <v>1.05</v>
      </c>
      <c r="AL171">
        <v>0</v>
      </c>
      <c r="AS171" t="s">
        <v>365</v>
      </c>
      <c r="AY171" t="s">
        <v>366</v>
      </c>
      <c r="BO171" t="s">
        <v>108</v>
      </c>
    </row>
    <row r="172" spans="1:67" x14ac:dyDescent="0.25">
      <c r="A172" t="s">
        <v>171</v>
      </c>
      <c r="B172">
        <v>34</v>
      </c>
      <c r="C172" t="s">
        <v>425</v>
      </c>
      <c r="D172" t="s">
        <v>426</v>
      </c>
      <c r="E172" t="s">
        <v>434</v>
      </c>
      <c r="F172" t="s">
        <v>304</v>
      </c>
      <c r="G172" t="s">
        <v>428</v>
      </c>
      <c r="H172" t="s">
        <v>377</v>
      </c>
      <c r="I172" t="s">
        <v>302</v>
      </c>
      <c r="J172" t="s">
        <v>364</v>
      </c>
      <c r="K172">
        <v>109</v>
      </c>
      <c r="L172" t="s">
        <v>303</v>
      </c>
      <c r="M172">
        <v>2</v>
      </c>
      <c r="T172">
        <v>16.64</v>
      </c>
      <c r="AA172">
        <v>0</v>
      </c>
      <c r="AB172">
        <v>17707</v>
      </c>
      <c r="AC172">
        <v>296.48</v>
      </c>
      <c r="AI172">
        <v>0</v>
      </c>
      <c r="AJ172">
        <f t="shared" si="2"/>
        <v>2.72</v>
      </c>
      <c r="AK172">
        <v>1.05</v>
      </c>
      <c r="AL172">
        <v>0</v>
      </c>
      <c r="AS172" t="s">
        <v>365</v>
      </c>
      <c r="AY172" t="s">
        <v>366</v>
      </c>
      <c r="BO172" t="s">
        <v>108</v>
      </c>
    </row>
    <row r="173" spans="1:67" x14ac:dyDescent="0.25">
      <c r="A173" t="s">
        <v>171</v>
      </c>
      <c r="B173">
        <v>35</v>
      </c>
      <c r="C173" t="s">
        <v>425</v>
      </c>
      <c r="D173" t="s">
        <v>426</v>
      </c>
      <c r="E173" t="s">
        <v>434</v>
      </c>
      <c r="F173" t="s">
        <v>304</v>
      </c>
      <c r="G173" t="s">
        <v>428</v>
      </c>
      <c r="H173" t="s">
        <v>371</v>
      </c>
      <c r="I173" t="s">
        <v>302</v>
      </c>
      <c r="J173" t="s">
        <v>364</v>
      </c>
      <c r="K173">
        <v>54</v>
      </c>
      <c r="L173" t="s">
        <v>303</v>
      </c>
      <c r="M173">
        <v>2</v>
      </c>
      <c r="T173">
        <v>9.7200000000000006</v>
      </c>
      <c r="AA173">
        <v>0</v>
      </c>
      <c r="AB173">
        <v>17707</v>
      </c>
      <c r="AC173">
        <v>146.88</v>
      </c>
      <c r="AI173">
        <v>0</v>
      </c>
      <c r="AJ173">
        <f t="shared" si="2"/>
        <v>2.7199999999999998</v>
      </c>
      <c r="AK173">
        <v>1.05</v>
      </c>
      <c r="AL173">
        <v>0</v>
      </c>
      <c r="AS173" t="s">
        <v>365</v>
      </c>
      <c r="AY173" t="s">
        <v>366</v>
      </c>
      <c r="BO173" t="s">
        <v>108</v>
      </c>
    </row>
    <row r="174" spans="1:67" x14ac:dyDescent="0.25">
      <c r="A174" t="s">
        <v>171</v>
      </c>
      <c r="B174">
        <v>36</v>
      </c>
      <c r="C174" t="s">
        <v>425</v>
      </c>
      <c r="D174" t="s">
        <v>426</v>
      </c>
      <c r="E174" t="s">
        <v>434</v>
      </c>
      <c r="F174" t="s">
        <v>304</v>
      </c>
      <c r="G174" t="s">
        <v>428</v>
      </c>
      <c r="H174" t="s">
        <v>372</v>
      </c>
      <c r="I174" t="s">
        <v>302</v>
      </c>
      <c r="J174" t="s">
        <v>364</v>
      </c>
      <c r="K174">
        <v>56</v>
      </c>
      <c r="L174" t="s">
        <v>303</v>
      </c>
      <c r="M174">
        <v>2</v>
      </c>
      <c r="T174">
        <v>6.72</v>
      </c>
      <c r="AA174">
        <v>0</v>
      </c>
      <c r="AB174">
        <v>17707</v>
      </c>
      <c r="AC174">
        <v>152.32</v>
      </c>
      <c r="AI174">
        <v>0</v>
      </c>
      <c r="AJ174">
        <f t="shared" si="2"/>
        <v>2.7199999999999998</v>
      </c>
      <c r="AK174">
        <v>1.05</v>
      </c>
      <c r="AL174">
        <v>0</v>
      </c>
      <c r="AS174" t="s">
        <v>365</v>
      </c>
      <c r="AY174" t="s">
        <v>366</v>
      </c>
      <c r="BO174" t="s">
        <v>108</v>
      </c>
    </row>
    <row r="175" spans="1:67" x14ac:dyDescent="0.25">
      <c r="A175" t="s">
        <v>171</v>
      </c>
      <c r="B175">
        <v>37</v>
      </c>
      <c r="C175" t="s">
        <v>425</v>
      </c>
      <c r="D175" t="s">
        <v>426</v>
      </c>
      <c r="E175" t="s">
        <v>435</v>
      </c>
      <c r="F175" t="s">
        <v>304</v>
      </c>
      <c r="G175" t="s">
        <v>428</v>
      </c>
      <c r="H175" t="s">
        <v>375</v>
      </c>
      <c r="I175" t="s">
        <v>302</v>
      </c>
      <c r="J175" t="s">
        <v>364</v>
      </c>
      <c r="K175">
        <v>125</v>
      </c>
      <c r="L175" t="s">
        <v>303</v>
      </c>
      <c r="M175">
        <v>2</v>
      </c>
      <c r="T175">
        <v>15.86</v>
      </c>
      <c r="AA175">
        <v>0</v>
      </c>
      <c r="AB175">
        <v>17707</v>
      </c>
      <c r="AC175">
        <v>340</v>
      </c>
      <c r="AI175">
        <v>0</v>
      </c>
      <c r="AJ175">
        <f t="shared" si="2"/>
        <v>2.72</v>
      </c>
      <c r="AK175">
        <v>1.05</v>
      </c>
      <c r="AL175">
        <v>0</v>
      </c>
      <c r="AS175" t="s">
        <v>365</v>
      </c>
      <c r="AY175" t="s">
        <v>366</v>
      </c>
      <c r="BO175" t="s">
        <v>108</v>
      </c>
    </row>
    <row r="176" spans="1:67" x14ac:dyDescent="0.25">
      <c r="A176" t="s">
        <v>171</v>
      </c>
      <c r="B176">
        <v>38</v>
      </c>
      <c r="C176" t="s">
        <v>425</v>
      </c>
      <c r="D176" t="s">
        <v>426</v>
      </c>
      <c r="E176" t="s">
        <v>435</v>
      </c>
      <c r="F176" t="s">
        <v>304</v>
      </c>
      <c r="G176" t="s">
        <v>428</v>
      </c>
      <c r="H176" t="s">
        <v>377</v>
      </c>
      <c r="I176" t="s">
        <v>302</v>
      </c>
      <c r="J176" t="s">
        <v>364</v>
      </c>
      <c r="K176">
        <v>114</v>
      </c>
      <c r="L176" t="s">
        <v>303</v>
      </c>
      <c r="M176">
        <v>2</v>
      </c>
      <c r="T176">
        <v>18.239999999999998</v>
      </c>
      <c r="AA176">
        <v>0</v>
      </c>
      <c r="AB176">
        <v>17707</v>
      </c>
      <c r="AC176">
        <v>310.08</v>
      </c>
      <c r="AI176">
        <v>0</v>
      </c>
      <c r="AJ176">
        <f t="shared" si="2"/>
        <v>2.7199999999999998</v>
      </c>
      <c r="AK176">
        <v>1.05</v>
      </c>
      <c r="AL176">
        <v>0</v>
      </c>
      <c r="AS176" t="s">
        <v>365</v>
      </c>
      <c r="AY176" t="s">
        <v>366</v>
      </c>
      <c r="BO176" t="s">
        <v>108</v>
      </c>
    </row>
    <row r="177" spans="1:67" x14ac:dyDescent="0.25">
      <c r="A177" t="s">
        <v>171</v>
      </c>
      <c r="B177">
        <v>39</v>
      </c>
      <c r="C177" t="s">
        <v>425</v>
      </c>
      <c r="D177" t="s">
        <v>426</v>
      </c>
      <c r="E177" t="s">
        <v>435</v>
      </c>
      <c r="F177" t="s">
        <v>304</v>
      </c>
      <c r="G177" t="s">
        <v>428</v>
      </c>
      <c r="H177" t="s">
        <v>376</v>
      </c>
      <c r="I177" t="s">
        <v>302</v>
      </c>
      <c r="J177" t="s">
        <v>364</v>
      </c>
      <c r="K177">
        <v>130</v>
      </c>
      <c r="L177" t="s">
        <v>303</v>
      </c>
      <c r="M177">
        <v>2</v>
      </c>
      <c r="T177">
        <v>19.5</v>
      </c>
      <c r="AA177">
        <v>0</v>
      </c>
      <c r="AB177">
        <v>17707</v>
      </c>
      <c r="AC177">
        <v>353.6</v>
      </c>
      <c r="AI177">
        <v>0</v>
      </c>
      <c r="AJ177">
        <f t="shared" si="2"/>
        <v>2.72</v>
      </c>
      <c r="AK177">
        <v>1.05</v>
      </c>
      <c r="AL177">
        <v>0</v>
      </c>
      <c r="AS177" t="s">
        <v>365</v>
      </c>
      <c r="AY177" t="s">
        <v>366</v>
      </c>
      <c r="BO177" t="s">
        <v>108</v>
      </c>
    </row>
    <row r="178" spans="1:67" x14ac:dyDescent="0.25">
      <c r="A178" t="s">
        <v>171</v>
      </c>
      <c r="B178">
        <v>40</v>
      </c>
      <c r="C178" t="s">
        <v>425</v>
      </c>
      <c r="D178" t="s">
        <v>426</v>
      </c>
      <c r="E178" t="s">
        <v>435</v>
      </c>
      <c r="F178" t="s">
        <v>304</v>
      </c>
      <c r="G178" t="s">
        <v>428</v>
      </c>
      <c r="H178" t="s">
        <v>380</v>
      </c>
      <c r="I178" t="s">
        <v>302</v>
      </c>
      <c r="J178" t="s">
        <v>364</v>
      </c>
      <c r="K178">
        <v>14</v>
      </c>
      <c r="L178" t="s">
        <v>303</v>
      </c>
      <c r="M178">
        <v>1</v>
      </c>
      <c r="T178">
        <v>3.08</v>
      </c>
      <c r="AA178">
        <v>0</v>
      </c>
      <c r="AB178">
        <v>17707</v>
      </c>
      <c r="AC178">
        <v>38.08</v>
      </c>
      <c r="AI178">
        <v>0</v>
      </c>
      <c r="AJ178">
        <f t="shared" si="2"/>
        <v>2.7199999999999998</v>
      </c>
      <c r="AK178">
        <v>1.05</v>
      </c>
      <c r="AL178">
        <v>0</v>
      </c>
      <c r="AS178" t="s">
        <v>365</v>
      </c>
      <c r="AY178" t="s">
        <v>366</v>
      </c>
      <c r="BO178" t="s">
        <v>108</v>
      </c>
    </row>
    <row r="179" spans="1:67" x14ac:dyDescent="0.25">
      <c r="A179" t="s">
        <v>171</v>
      </c>
      <c r="B179">
        <v>41</v>
      </c>
      <c r="C179" t="s">
        <v>425</v>
      </c>
      <c r="D179" t="s">
        <v>426</v>
      </c>
      <c r="E179" t="s">
        <v>434</v>
      </c>
      <c r="F179" t="s">
        <v>304</v>
      </c>
      <c r="G179" t="s">
        <v>428</v>
      </c>
      <c r="H179" t="s">
        <v>379</v>
      </c>
      <c r="I179" t="s">
        <v>302</v>
      </c>
      <c r="J179" t="s">
        <v>364</v>
      </c>
      <c r="K179">
        <v>9</v>
      </c>
      <c r="L179" t="s">
        <v>303</v>
      </c>
      <c r="M179">
        <v>0</v>
      </c>
      <c r="T179">
        <v>0</v>
      </c>
      <c r="AA179">
        <v>0</v>
      </c>
      <c r="AB179">
        <v>17707</v>
      </c>
      <c r="AC179">
        <v>24.48</v>
      </c>
      <c r="AI179">
        <v>0</v>
      </c>
      <c r="AJ179">
        <f t="shared" si="2"/>
        <v>2.72</v>
      </c>
      <c r="AK179">
        <v>1.05</v>
      </c>
      <c r="AL179">
        <v>0</v>
      </c>
      <c r="AS179" t="s">
        <v>365</v>
      </c>
      <c r="AY179" t="s">
        <v>366</v>
      </c>
      <c r="BO179" t="s">
        <v>108</v>
      </c>
    </row>
    <row r="180" spans="1:67" x14ac:dyDescent="0.25">
      <c r="A180" t="s">
        <v>171</v>
      </c>
      <c r="B180">
        <v>42</v>
      </c>
      <c r="C180" t="s">
        <v>425</v>
      </c>
      <c r="D180" t="s">
        <v>426</v>
      </c>
      <c r="E180" t="s">
        <v>434</v>
      </c>
      <c r="F180" t="s">
        <v>304</v>
      </c>
      <c r="G180" t="s">
        <v>428</v>
      </c>
      <c r="H180" t="s">
        <v>378</v>
      </c>
      <c r="I180" t="s">
        <v>302</v>
      </c>
      <c r="J180" t="s">
        <v>364</v>
      </c>
      <c r="K180">
        <v>6</v>
      </c>
      <c r="L180" t="s">
        <v>303</v>
      </c>
      <c r="M180">
        <v>0</v>
      </c>
      <c r="T180">
        <v>0</v>
      </c>
      <c r="AA180">
        <v>0</v>
      </c>
      <c r="AB180">
        <v>17707</v>
      </c>
      <c r="AC180">
        <v>16.32</v>
      </c>
      <c r="AI180">
        <v>0</v>
      </c>
      <c r="AJ180">
        <f t="shared" si="2"/>
        <v>2.72</v>
      </c>
      <c r="AK180">
        <v>1.05</v>
      </c>
      <c r="AL180">
        <v>0</v>
      </c>
      <c r="AS180" t="s">
        <v>365</v>
      </c>
      <c r="AY180" t="s">
        <v>366</v>
      </c>
      <c r="BO180" t="s">
        <v>108</v>
      </c>
    </row>
    <row r="181" spans="1:67" x14ac:dyDescent="0.25">
      <c r="A181" t="s">
        <v>171</v>
      </c>
      <c r="B181">
        <v>43</v>
      </c>
      <c r="C181" t="s">
        <v>425</v>
      </c>
      <c r="D181" t="s">
        <v>426</v>
      </c>
      <c r="E181" t="s">
        <v>435</v>
      </c>
      <c r="F181" t="s">
        <v>304</v>
      </c>
      <c r="G181" t="s">
        <v>428</v>
      </c>
      <c r="H181" t="s">
        <v>378</v>
      </c>
      <c r="I181" t="s">
        <v>302</v>
      </c>
      <c r="J181" t="s">
        <v>364</v>
      </c>
      <c r="K181">
        <v>5</v>
      </c>
      <c r="L181" t="s">
        <v>303</v>
      </c>
      <c r="M181">
        <v>0</v>
      </c>
      <c r="T181">
        <v>0</v>
      </c>
      <c r="AA181">
        <v>0</v>
      </c>
      <c r="AB181">
        <v>17707</v>
      </c>
      <c r="AC181">
        <v>13.6</v>
      </c>
      <c r="AI181">
        <v>0</v>
      </c>
      <c r="AJ181">
        <f t="shared" si="2"/>
        <v>2.7199999999999998</v>
      </c>
      <c r="AK181">
        <v>1.05</v>
      </c>
      <c r="AL181">
        <v>0</v>
      </c>
      <c r="AS181" t="s">
        <v>365</v>
      </c>
      <c r="AY181" t="s">
        <v>366</v>
      </c>
      <c r="BO181" t="s">
        <v>108</v>
      </c>
    </row>
    <row r="182" spans="1:67" x14ac:dyDescent="0.25">
      <c r="A182" t="s">
        <v>171</v>
      </c>
      <c r="B182">
        <v>44</v>
      </c>
      <c r="C182" t="s">
        <v>425</v>
      </c>
      <c r="D182" t="s">
        <v>426</v>
      </c>
      <c r="E182" t="s">
        <v>434</v>
      </c>
      <c r="F182" t="s">
        <v>304</v>
      </c>
      <c r="G182" t="s">
        <v>428</v>
      </c>
      <c r="H182" t="s">
        <v>380</v>
      </c>
      <c r="I182" t="s">
        <v>302</v>
      </c>
      <c r="J182" t="s">
        <v>364</v>
      </c>
      <c r="K182">
        <v>14</v>
      </c>
      <c r="L182" t="s">
        <v>303</v>
      </c>
      <c r="M182">
        <v>1</v>
      </c>
      <c r="T182">
        <v>3.08</v>
      </c>
      <c r="AA182">
        <v>0</v>
      </c>
      <c r="AB182">
        <v>17707</v>
      </c>
      <c r="AC182">
        <v>38.08</v>
      </c>
      <c r="AI182">
        <v>0</v>
      </c>
      <c r="AJ182">
        <f t="shared" si="2"/>
        <v>2.7199999999999998</v>
      </c>
      <c r="AK182">
        <v>1.05</v>
      </c>
      <c r="AL182">
        <v>0</v>
      </c>
      <c r="AS182" t="s">
        <v>365</v>
      </c>
      <c r="AY182" t="s">
        <v>366</v>
      </c>
      <c r="BO182" t="s">
        <v>108</v>
      </c>
    </row>
    <row r="183" spans="1:67" x14ac:dyDescent="0.25">
      <c r="A183" t="s">
        <v>171</v>
      </c>
      <c r="B183">
        <v>45</v>
      </c>
      <c r="C183" t="s">
        <v>425</v>
      </c>
      <c r="D183" t="s">
        <v>426</v>
      </c>
      <c r="E183" t="s">
        <v>435</v>
      </c>
      <c r="F183" t="s">
        <v>304</v>
      </c>
      <c r="G183" t="s">
        <v>428</v>
      </c>
      <c r="H183" t="s">
        <v>379</v>
      </c>
      <c r="I183" t="s">
        <v>302</v>
      </c>
      <c r="J183" t="s">
        <v>364</v>
      </c>
      <c r="K183">
        <v>8</v>
      </c>
      <c r="L183" t="s">
        <v>303</v>
      </c>
      <c r="M183">
        <v>0</v>
      </c>
      <c r="T183">
        <v>0</v>
      </c>
      <c r="AA183">
        <v>0</v>
      </c>
      <c r="AB183">
        <v>17707</v>
      </c>
      <c r="AC183">
        <v>21.76</v>
      </c>
      <c r="AI183">
        <v>0</v>
      </c>
      <c r="AJ183">
        <f t="shared" si="2"/>
        <v>2.72</v>
      </c>
      <c r="AK183">
        <v>1.05</v>
      </c>
      <c r="AL183">
        <v>0</v>
      </c>
      <c r="AS183" t="s">
        <v>365</v>
      </c>
      <c r="AY183" t="s">
        <v>366</v>
      </c>
      <c r="BO183" t="s">
        <v>108</v>
      </c>
    </row>
  </sheetData>
  <pageMargins left="0.7" right="0.7" top="0.75" bottom="0.75" header="0.3" footer="0.3"/>
  <pageSetup firstPageNumber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autoPageBreaks="0"/>
  </sheetPr>
  <dimension ref="A1:S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4.42578125" bestFit="1" customWidth="1"/>
    <col min="4" max="4" width="11.42578125" bestFit="1" customWidth="1"/>
    <col min="6" max="6" width="15.42578125" bestFit="1" customWidth="1"/>
    <col min="7" max="7" width="16.42578125" bestFit="1" customWidth="1"/>
    <col min="8" max="8" width="12.42578125" bestFit="1" customWidth="1"/>
    <col min="9" max="9" width="16.42578125" bestFit="1" customWidth="1"/>
    <col min="10" max="10" width="21.42578125" bestFit="1" customWidth="1"/>
    <col min="11" max="11" width="12.42578125" bestFit="1" customWidth="1"/>
    <col min="12" max="12" width="14.42578125" bestFit="1" customWidth="1"/>
    <col min="13" max="13" width="19.42578125" bestFit="1" customWidth="1"/>
    <col min="14" max="14" width="20.42578125" bestFit="1" customWidth="1"/>
    <col min="15" max="15" width="24.42578125" bestFit="1" customWidth="1"/>
    <col min="16" max="16" width="9.42578125" bestFit="1" customWidth="1"/>
    <col min="17" max="17" width="15.42578125" bestFit="1" customWidth="1"/>
    <col min="18" max="18" width="13.42578125" bestFit="1" customWidth="1"/>
    <col min="19" max="19" width="15.42578125" bestFit="1" customWidth="1"/>
  </cols>
  <sheetData>
    <row r="1" spans="1:19" ht="15.75" x14ac:dyDescent="0.25">
      <c r="A1" s="1" t="s">
        <v>0</v>
      </c>
      <c r="B1" s="1" t="s">
        <v>309</v>
      </c>
      <c r="C1" s="1" t="s">
        <v>436</v>
      </c>
      <c r="D1" s="1" t="s">
        <v>437</v>
      </c>
      <c r="E1" s="1" t="s">
        <v>438</v>
      </c>
      <c r="F1" s="1" t="s">
        <v>233</v>
      </c>
      <c r="G1" s="1" t="s">
        <v>439</v>
      </c>
      <c r="H1" s="1" t="s">
        <v>440</v>
      </c>
      <c r="I1" s="1" t="s">
        <v>441</v>
      </c>
      <c r="J1" s="1" t="s">
        <v>442</v>
      </c>
      <c r="K1" s="1" t="s">
        <v>316</v>
      </c>
      <c r="L1" s="1" t="s">
        <v>317</v>
      </c>
      <c r="M1" s="1" t="s">
        <v>443</v>
      </c>
      <c r="N1" s="1" t="s">
        <v>444</v>
      </c>
      <c r="O1" s="1" t="s">
        <v>445</v>
      </c>
      <c r="P1" s="1" t="s">
        <v>353</v>
      </c>
      <c r="Q1" s="1" t="s">
        <v>446</v>
      </c>
      <c r="R1" s="1" t="s">
        <v>297</v>
      </c>
      <c r="S1" s="1" t="s">
        <v>298</v>
      </c>
    </row>
  </sheetData>
  <pageMargins left="0.7" right="0.7" top="0.75" bottom="0.75" header="0.3" footer="0.3"/>
  <pageSetup firstPageNumber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autoPageBreaks="0"/>
  </sheetPr>
  <dimension ref="A1:D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3.42578125" bestFit="1" customWidth="1"/>
    <col min="4" max="4" width="10.42578125" bestFit="1" customWidth="1"/>
  </cols>
  <sheetData>
    <row r="1" spans="1:4" ht="15.75" x14ac:dyDescent="0.25">
      <c r="A1" s="1" t="s">
        <v>0</v>
      </c>
      <c r="B1" s="1" t="s">
        <v>309</v>
      </c>
      <c r="C1" s="1" t="s">
        <v>447</v>
      </c>
      <c r="D1" s="1" t="s">
        <v>347</v>
      </c>
    </row>
  </sheetData>
  <pageMargins left="0.7" right="0.7" top="0.75" bottom="0.75" header="0.3" footer="0.3"/>
  <pageSetup firstPageNumber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autoPageBreaks="0"/>
  </sheetPr>
  <dimension ref="A1:C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3.42578125" bestFit="1" customWidth="1"/>
  </cols>
  <sheetData>
    <row r="1" spans="1:3" ht="15.75" x14ac:dyDescent="0.25">
      <c r="A1" s="1" t="s">
        <v>0</v>
      </c>
      <c r="B1" s="1" t="s">
        <v>309</v>
      </c>
      <c r="C1" s="1" t="s">
        <v>448</v>
      </c>
    </row>
  </sheetData>
  <pageMargins left="0.7" right="0.7" top="0.75" bottom="0.75" header="0.3" footer="0.3"/>
  <pageSetup firstPageNumber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autoPageBreaks="0"/>
  </sheetPr>
  <dimension ref="A1:D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</cols>
  <sheetData>
    <row r="1" spans="1:4" ht="15.75" x14ac:dyDescent="0.25">
      <c r="A1" s="1" t="s">
        <v>0</v>
      </c>
      <c r="B1" s="1" t="s">
        <v>309</v>
      </c>
      <c r="C1" s="1" t="s">
        <v>449</v>
      </c>
      <c r="D1" s="1" t="s">
        <v>312</v>
      </c>
    </row>
  </sheetData>
  <pageMargins left="0.7" right="0.7" top="0.75" bottom="0.75" header="0.3" footer="0.3"/>
  <pageSetup firstPageNumber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autoPageBreaks="0"/>
  </sheetPr>
  <dimension ref="A1:G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4" max="4" width="13.42578125" bestFit="1" customWidth="1"/>
    <col min="5" max="5" width="15.42578125" bestFit="1" customWidth="1"/>
    <col min="6" max="6" width="16.42578125" bestFit="1" customWidth="1"/>
    <col min="7" max="7" width="12.42578125" bestFit="1" customWidth="1"/>
  </cols>
  <sheetData>
    <row r="1" spans="1:7" ht="15.75" x14ac:dyDescent="0.25">
      <c r="A1" s="1" t="s">
        <v>0</v>
      </c>
      <c r="B1" s="1" t="s">
        <v>309</v>
      </c>
      <c r="C1" s="1" t="s">
        <v>450</v>
      </c>
      <c r="D1" s="1" t="s">
        <v>61</v>
      </c>
      <c r="E1" s="1" t="s">
        <v>66</v>
      </c>
      <c r="F1" s="1" t="s">
        <v>67</v>
      </c>
      <c r="G1" s="1" t="s">
        <v>451</v>
      </c>
    </row>
  </sheetData>
  <pageMargins left="0.7" right="0.7" top="0.75" bottom="0.75" header="0.3" footer="0.3"/>
  <pageSetup firstPageNumber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autoPageBreaks="0"/>
  </sheetPr>
  <dimension ref="A1:AO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6.42578125" bestFit="1" customWidth="1"/>
    <col min="4" max="4" width="21.42578125" bestFit="1" customWidth="1"/>
    <col min="6" max="6" width="12.42578125" bestFit="1" customWidth="1"/>
    <col min="11" max="11" width="17.42578125" bestFit="1" customWidth="1"/>
    <col min="12" max="12" width="12.42578125" bestFit="1" customWidth="1"/>
    <col min="13" max="13" width="14.42578125" bestFit="1" customWidth="1"/>
    <col min="14" max="14" width="13.42578125" bestFit="1" customWidth="1"/>
    <col min="15" max="15" width="15.42578125" bestFit="1" customWidth="1"/>
    <col min="16" max="16" width="18.42578125" bestFit="1" customWidth="1"/>
    <col min="17" max="17" width="17.42578125" bestFit="1" customWidth="1"/>
    <col min="18" max="18" width="18.42578125" bestFit="1" customWidth="1"/>
    <col min="19" max="19" width="20.42578125" bestFit="1" customWidth="1"/>
    <col min="20" max="20" width="15.42578125" bestFit="1" customWidth="1"/>
    <col min="21" max="21" width="17.42578125" bestFit="1" customWidth="1"/>
    <col min="26" max="26" width="11.42578125" bestFit="1" customWidth="1"/>
    <col min="28" max="28" width="17.42578125" bestFit="1" customWidth="1"/>
    <col min="29" max="29" width="16.42578125" bestFit="1" customWidth="1"/>
    <col min="30" max="30" width="11.42578125" bestFit="1" customWidth="1"/>
    <col min="31" max="31" width="10.42578125" bestFit="1" customWidth="1"/>
    <col min="33" max="33" width="9.42578125" bestFit="1" customWidth="1"/>
    <col min="34" max="34" width="18.42578125" bestFit="1" customWidth="1"/>
    <col min="35" max="35" width="22.42578125" bestFit="1" customWidth="1"/>
    <col min="36" max="36" width="9.42578125" bestFit="1" customWidth="1"/>
    <col min="37" max="37" width="16.42578125" bestFit="1" customWidth="1"/>
    <col min="38" max="39" width="18.42578125" bestFit="1" customWidth="1"/>
    <col min="40" max="40" width="10.42578125" bestFit="1" customWidth="1"/>
    <col min="41" max="41" width="12.42578125" bestFit="1" customWidth="1"/>
  </cols>
  <sheetData>
    <row r="1" spans="1:41" ht="15.75" x14ac:dyDescent="0.25">
      <c r="A1" s="1" t="s">
        <v>0</v>
      </c>
      <c r="B1" s="1" t="s">
        <v>309</v>
      </c>
      <c r="C1" s="1" t="s">
        <v>452</v>
      </c>
      <c r="D1" s="1" t="s">
        <v>453</v>
      </c>
      <c r="E1" s="1" t="s">
        <v>310</v>
      </c>
      <c r="F1" s="1" t="s">
        <v>311</v>
      </c>
      <c r="G1" s="1" t="s">
        <v>312</v>
      </c>
      <c r="H1" s="1" t="s">
        <v>299</v>
      </c>
      <c r="I1" s="1" t="s">
        <v>313</v>
      </c>
      <c r="J1" s="1" t="s">
        <v>314</v>
      </c>
      <c r="K1" s="1" t="s">
        <v>315</v>
      </c>
      <c r="L1" s="1" t="s">
        <v>316</v>
      </c>
      <c r="M1" s="1" t="s">
        <v>317</v>
      </c>
      <c r="N1" s="1" t="s">
        <v>297</v>
      </c>
      <c r="O1" s="1" t="s">
        <v>298</v>
      </c>
      <c r="P1" s="1" t="s">
        <v>318</v>
      </c>
      <c r="Q1" s="1" t="s">
        <v>319</v>
      </c>
      <c r="R1" s="1" t="s">
        <v>320</v>
      </c>
      <c r="S1" s="1" t="s">
        <v>321</v>
      </c>
      <c r="T1" s="1" t="s">
        <v>322</v>
      </c>
      <c r="U1" s="1" t="s">
        <v>323</v>
      </c>
      <c r="V1" s="1" t="s">
        <v>77</v>
      </c>
      <c r="W1" s="1" t="s">
        <v>76</v>
      </c>
      <c r="X1" s="1" t="s">
        <v>78</v>
      </c>
      <c r="Y1" s="1" t="s">
        <v>69</v>
      </c>
      <c r="Z1" s="1" t="s">
        <v>327</v>
      </c>
      <c r="AA1" s="1" t="s">
        <v>71</v>
      </c>
      <c r="AB1" s="1" t="s">
        <v>330</v>
      </c>
      <c r="AC1" s="1" t="s">
        <v>331</v>
      </c>
      <c r="AD1" s="1" t="s">
        <v>74</v>
      </c>
      <c r="AE1" s="1" t="s">
        <v>347</v>
      </c>
      <c r="AF1" s="1" t="s">
        <v>454</v>
      </c>
      <c r="AG1" s="1" t="s">
        <v>350</v>
      </c>
      <c r="AH1" s="1" t="s">
        <v>351</v>
      </c>
      <c r="AI1" s="1" t="s">
        <v>352</v>
      </c>
      <c r="AJ1" s="1" t="s">
        <v>353</v>
      </c>
      <c r="AK1" s="1" t="s">
        <v>354</v>
      </c>
      <c r="AL1" s="1" t="s">
        <v>355</v>
      </c>
      <c r="AM1" s="1" t="s">
        <v>356</v>
      </c>
      <c r="AN1" s="1" t="s">
        <v>357</v>
      </c>
      <c r="AO1" s="1" t="s">
        <v>358</v>
      </c>
    </row>
  </sheetData>
  <pageMargins left="0.7" right="0.7" top="0.75" bottom="0.75" header="0.3" footer="0.3"/>
  <pageSetup firstPageNumber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autoPageBreaks="0"/>
  </sheetPr>
  <dimension ref="A1:Y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6.42578125" bestFit="1" customWidth="1"/>
    <col min="4" max="4" width="21.42578125" bestFit="1" customWidth="1"/>
    <col min="5" max="5" width="14.42578125" bestFit="1" customWidth="1"/>
    <col min="6" max="6" width="11.42578125" bestFit="1" customWidth="1"/>
    <col min="8" max="8" width="15.42578125" bestFit="1" customWidth="1"/>
    <col min="9" max="9" width="16.42578125" bestFit="1" customWidth="1"/>
    <col min="10" max="10" width="12.42578125" bestFit="1" customWidth="1"/>
    <col min="11" max="11" width="16.42578125" bestFit="1" customWidth="1"/>
    <col min="12" max="12" width="21.42578125" bestFit="1" customWidth="1"/>
    <col min="13" max="13" width="12.42578125" bestFit="1" customWidth="1"/>
    <col min="14" max="14" width="14.42578125" bestFit="1" customWidth="1"/>
    <col min="15" max="15" width="19.42578125" bestFit="1" customWidth="1"/>
    <col min="16" max="16" width="20.42578125" bestFit="1" customWidth="1"/>
    <col min="17" max="17" width="24.42578125" bestFit="1" customWidth="1"/>
    <col min="18" max="18" width="9.42578125" bestFit="1" customWidth="1"/>
    <col min="19" max="19" width="15.42578125" bestFit="1" customWidth="1"/>
    <col min="20" max="20" width="13.42578125" bestFit="1" customWidth="1"/>
    <col min="21" max="21" width="24.42578125" bestFit="1" customWidth="1"/>
    <col min="22" max="22" width="9.42578125" bestFit="1" customWidth="1"/>
    <col min="23" max="23" width="15.42578125" bestFit="1" customWidth="1"/>
    <col min="24" max="24" width="13.42578125" bestFit="1" customWidth="1"/>
    <col min="25" max="25" width="15.42578125" bestFit="1" customWidth="1"/>
  </cols>
  <sheetData>
    <row r="1" spans="1:25" ht="15.75" x14ac:dyDescent="0.25">
      <c r="A1" s="1" t="s">
        <v>0</v>
      </c>
      <c r="B1" s="1" t="s">
        <v>309</v>
      </c>
      <c r="C1" s="1" t="s">
        <v>452</v>
      </c>
      <c r="D1" s="1" t="s">
        <v>453</v>
      </c>
      <c r="E1" s="1" t="s">
        <v>436</v>
      </c>
      <c r="F1" s="1" t="s">
        <v>437</v>
      </c>
      <c r="G1" s="1" t="s">
        <v>438</v>
      </c>
      <c r="H1" s="1" t="s">
        <v>233</v>
      </c>
      <c r="I1" s="1" t="s">
        <v>439</v>
      </c>
      <c r="J1" s="1" t="s">
        <v>440</v>
      </c>
      <c r="K1" s="1" t="s">
        <v>441</v>
      </c>
      <c r="L1" s="1" t="s">
        <v>442</v>
      </c>
      <c r="M1" s="1" t="s">
        <v>316</v>
      </c>
      <c r="N1" s="1" t="s">
        <v>317</v>
      </c>
      <c r="O1" s="1" t="s">
        <v>443</v>
      </c>
      <c r="P1" s="1" t="s">
        <v>444</v>
      </c>
      <c r="Q1" s="1" t="s">
        <v>445</v>
      </c>
      <c r="R1" s="1" t="s">
        <v>353</v>
      </c>
      <c r="S1" s="1" t="s">
        <v>446</v>
      </c>
      <c r="T1" s="1" t="s">
        <v>297</v>
      </c>
      <c r="U1" s="1" t="s">
        <v>445</v>
      </c>
      <c r="V1" s="1" t="s">
        <v>353</v>
      </c>
      <c r="W1" s="1" t="s">
        <v>446</v>
      </c>
      <c r="X1" s="1" t="s">
        <v>297</v>
      </c>
      <c r="Y1" s="1" t="s">
        <v>298</v>
      </c>
    </row>
  </sheetData>
  <pageMargins left="0.7" right="0.7" top="0.75" bottom="0.75" header="0.3" footer="0.3"/>
  <pageSetup firstPageNumber="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autoPageBreaks="0"/>
  </sheetPr>
  <dimension ref="A1:F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6.42578125" bestFit="1" customWidth="1"/>
    <col min="4" max="4" width="21.42578125" bestFit="1" customWidth="1"/>
    <col min="5" max="5" width="13.42578125" bestFit="1" customWidth="1"/>
    <col min="6" max="6" width="10.42578125" bestFit="1" customWidth="1"/>
  </cols>
  <sheetData>
    <row r="1" spans="1:6" ht="15.75" x14ac:dyDescent="0.25">
      <c r="A1" s="1" t="s">
        <v>0</v>
      </c>
      <c r="B1" s="1" t="s">
        <v>309</v>
      </c>
      <c r="C1" s="1" t="s">
        <v>452</v>
      </c>
      <c r="D1" s="1" t="s">
        <v>455</v>
      </c>
      <c r="E1" s="1" t="s">
        <v>447</v>
      </c>
      <c r="F1" s="1" t="s">
        <v>347</v>
      </c>
    </row>
  </sheetData>
  <pageMargins left="0.7" right="0.7" top="0.75" bottom="0.75" header="0.3" footer="0.3"/>
  <pageSetup firstPageNumber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autoPageBreaks="0"/>
  </sheetPr>
  <dimension ref="A1:E1"/>
  <sheetViews>
    <sheetView workbookViewId="0"/>
  </sheetViews>
  <sheetFormatPr defaultRowHeight="15" x14ac:dyDescent="0.25"/>
  <cols>
    <col min="1" max="1" width="10.42578125" bestFit="1" customWidth="1"/>
    <col min="2" max="2" width="21.42578125" bestFit="1" customWidth="1"/>
    <col min="3" max="3" width="20.42578125" bestFit="1" customWidth="1"/>
    <col min="4" max="4" width="15.42578125" bestFit="1" customWidth="1"/>
    <col min="5" max="5" width="13.42578125" bestFit="1" customWidth="1"/>
  </cols>
  <sheetData>
    <row r="1" spans="1:5" ht="15.75" x14ac:dyDescent="0.25">
      <c r="A1" s="1" t="s">
        <v>0</v>
      </c>
      <c r="B1" s="1" t="s">
        <v>173</v>
      </c>
      <c r="C1" s="1" t="s">
        <v>174</v>
      </c>
      <c r="D1" s="1" t="s">
        <v>175</v>
      </c>
      <c r="E1" s="1" t="s">
        <v>176</v>
      </c>
    </row>
  </sheetData>
  <pageMargins left="0.7" right="0.7" top="0.75" bottom="0.75" header="0.3" footer="0.3"/>
  <pageSetup firstPageNumber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autoPageBreaks="0"/>
  </sheetPr>
  <dimension ref="A1:J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3.42578125" bestFit="1" customWidth="1"/>
    <col min="4" max="4" width="14.42578125" bestFit="1" customWidth="1"/>
    <col min="5" max="5" width="16.42578125" bestFit="1" customWidth="1"/>
    <col min="6" max="6" width="14.42578125" bestFit="1" customWidth="1"/>
    <col min="7" max="7" width="9.42578125" bestFit="1" customWidth="1"/>
    <col min="8" max="8" width="20.42578125" bestFit="1" customWidth="1"/>
    <col min="9" max="9" width="10.42578125" bestFit="1" customWidth="1"/>
    <col min="10" max="10" width="12.42578125" bestFit="1" customWidth="1"/>
  </cols>
  <sheetData>
    <row r="1" spans="1:10" ht="15.75" x14ac:dyDescent="0.25">
      <c r="A1" s="1" t="s">
        <v>0</v>
      </c>
      <c r="B1" s="1" t="s">
        <v>2</v>
      </c>
      <c r="C1" s="1" t="s">
        <v>456</v>
      </c>
      <c r="D1" s="1" t="s">
        <v>457</v>
      </c>
      <c r="E1" s="1" t="s">
        <v>458</v>
      </c>
      <c r="F1" s="1" t="s">
        <v>459</v>
      </c>
      <c r="G1" s="1" t="s">
        <v>460</v>
      </c>
      <c r="H1" s="1" t="s">
        <v>461</v>
      </c>
      <c r="I1" s="1" t="s">
        <v>462</v>
      </c>
      <c r="J1" s="1" t="s">
        <v>463</v>
      </c>
    </row>
  </sheetData>
  <pageMargins left="0.7" right="0.7" top="0.75" bottom="0.75" header="0.3" footer="0.3"/>
  <pageSetup firstPageNumber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autoPageBreaks="0"/>
  </sheetPr>
  <dimension ref="A1:D16"/>
  <sheetViews>
    <sheetView workbookViewId="0"/>
  </sheetViews>
  <sheetFormatPr defaultRowHeight="15" x14ac:dyDescent="0.25"/>
  <cols>
    <col min="1" max="1" width="27.42578125" bestFit="1" customWidth="1"/>
    <col min="4" max="4" width="18.42578125" bestFit="1" customWidth="1"/>
  </cols>
  <sheetData>
    <row r="1" spans="1:4" ht="15.75" x14ac:dyDescent="0.25">
      <c r="A1" s="1" t="s">
        <v>0</v>
      </c>
      <c r="B1" s="1" t="s">
        <v>177</v>
      </c>
      <c r="C1" s="1" t="s">
        <v>449</v>
      </c>
      <c r="D1" s="1" t="s">
        <v>464</v>
      </c>
    </row>
    <row r="2" spans="1:4" x14ac:dyDescent="0.25">
      <c r="A2" t="s">
        <v>104</v>
      </c>
      <c r="B2">
        <v>1</v>
      </c>
      <c r="C2" t="s">
        <v>110</v>
      </c>
      <c r="D2" t="s">
        <v>465</v>
      </c>
    </row>
    <row r="3" spans="1:4" x14ac:dyDescent="0.25">
      <c r="A3" t="s">
        <v>130</v>
      </c>
      <c r="B3">
        <v>1</v>
      </c>
      <c r="C3" t="s">
        <v>110</v>
      </c>
      <c r="D3" t="s">
        <v>466</v>
      </c>
    </row>
    <row r="4" spans="1:4" x14ac:dyDescent="0.25">
      <c r="A4" t="s">
        <v>138</v>
      </c>
      <c r="B4">
        <v>1</v>
      </c>
      <c r="C4" t="s">
        <v>110</v>
      </c>
      <c r="D4" t="s">
        <v>466</v>
      </c>
    </row>
    <row r="5" spans="1:4" x14ac:dyDescent="0.25">
      <c r="A5" t="s">
        <v>140</v>
      </c>
      <c r="B5">
        <v>1</v>
      </c>
      <c r="C5" t="s">
        <v>110</v>
      </c>
      <c r="D5" t="s">
        <v>465</v>
      </c>
    </row>
    <row r="6" spans="1:4" x14ac:dyDescent="0.25">
      <c r="A6" t="s">
        <v>145</v>
      </c>
      <c r="B6">
        <v>1</v>
      </c>
      <c r="C6" t="s">
        <v>110</v>
      </c>
      <c r="D6" t="s">
        <v>466</v>
      </c>
    </row>
    <row r="7" spans="1:4" x14ac:dyDescent="0.25">
      <c r="A7" t="s">
        <v>147</v>
      </c>
      <c r="B7">
        <v>1</v>
      </c>
      <c r="C7" t="s">
        <v>110</v>
      </c>
      <c r="D7" t="s">
        <v>466</v>
      </c>
    </row>
    <row r="8" spans="1:4" x14ac:dyDescent="0.25">
      <c r="A8" t="s">
        <v>150</v>
      </c>
      <c r="B8">
        <v>1</v>
      </c>
      <c r="C8" t="s">
        <v>110</v>
      </c>
      <c r="D8" t="s">
        <v>466</v>
      </c>
    </row>
    <row r="9" spans="1:4" x14ac:dyDescent="0.25">
      <c r="A9" t="s">
        <v>152</v>
      </c>
      <c r="B9">
        <v>1</v>
      </c>
      <c r="C9" t="s">
        <v>110</v>
      </c>
      <c r="D9" t="s">
        <v>465</v>
      </c>
    </row>
    <row r="10" spans="1:4" x14ac:dyDescent="0.25">
      <c r="A10" t="s">
        <v>157</v>
      </c>
      <c r="B10">
        <v>1</v>
      </c>
      <c r="C10" t="s">
        <v>110</v>
      </c>
      <c r="D10" t="s">
        <v>466</v>
      </c>
    </row>
    <row r="11" spans="1:4" x14ac:dyDescent="0.25">
      <c r="A11" t="s">
        <v>159</v>
      </c>
      <c r="B11">
        <v>1</v>
      </c>
      <c r="C11" t="s">
        <v>110</v>
      </c>
      <c r="D11" t="s">
        <v>466</v>
      </c>
    </row>
    <row r="12" spans="1:4" x14ac:dyDescent="0.25">
      <c r="A12" t="s">
        <v>161</v>
      </c>
      <c r="B12">
        <v>1</v>
      </c>
      <c r="C12" t="s">
        <v>110</v>
      </c>
      <c r="D12" t="s">
        <v>466</v>
      </c>
    </row>
    <row r="13" spans="1:4" x14ac:dyDescent="0.25">
      <c r="A13" t="s">
        <v>163</v>
      </c>
      <c r="B13">
        <v>1</v>
      </c>
      <c r="C13" t="s">
        <v>110</v>
      </c>
      <c r="D13" t="s">
        <v>465</v>
      </c>
    </row>
    <row r="14" spans="1:4" x14ac:dyDescent="0.25">
      <c r="A14" t="s">
        <v>166</v>
      </c>
      <c r="B14">
        <v>1</v>
      </c>
      <c r="C14" t="s">
        <v>110</v>
      </c>
      <c r="D14" t="s">
        <v>466</v>
      </c>
    </row>
    <row r="15" spans="1:4" x14ac:dyDescent="0.25">
      <c r="A15" t="s">
        <v>169</v>
      </c>
      <c r="B15">
        <v>1</v>
      </c>
      <c r="C15" t="s">
        <v>110</v>
      </c>
      <c r="D15" t="s">
        <v>466</v>
      </c>
    </row>
    <row r="16" spans="1:4" x14ac:dyDescent="0.25">
      <c r="A16" t="s">
        <v>171</v>
      </c>
      <c r="B16">
        <v>1</v>
      </c>
      <c r="C16" t="s">
        <v>110</v>
      </c>
      <c r="D16" t="s">
        <v>466</v>
      </c>
    </row>
  </sheetData>
  <pageMargins left="0.7" right="0.7" top="0.75" bottom="0.75" header="0.3" footer="0.3"/>
  <pageSetup firstPageNumber="0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autoPageBreaks="0"/>
  </sheetPr>
  <dimension ref="A1:A2"/>
  <sheetViews>
    <sheetView workbookViewId="0"/>
  </sheetViews>
  <sheetFormatPr defaultRowHeight="15" x14ac:dyDescent="0.25"/>
  <sheetData>
    <row r="1" spans="1:1" ht="15.75" x14ac:dyDescent="0.25">
      <c r="A1" s="2" t="s">
        <v>484</v>
      </c>
    </row>
    <row r="2" spans="1:1" x14ac:dyDescent="0.25">
      <c r="A2" t="s">
        <v>485</v>
      </c>
    </row>
  </sheetData>
  <pageMargins left="0.7" right="0.7" top="0.75" bottom="0.75" header="0.3" footer="0.3"/>
  <pageSetup firstPageNumber="0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autoPageBreaks="0"/>
  </sheetPr>
  <dimension ref="A1:D16"/>
  <sheetViews>
    <sheetView workbookViewId="0"/>
  </sheetViews>
  <sheetFormatPr defaultRowHeight="15" x14ac:dyDescent="0.25"/>
  <cols>
    <col min="1" max="1" width="27.42578125" bestFit="1" customWidth="1"/>
    <col min="2" max="2" width="12.42578125" bestFit="1" customWidth="1"/>
    <col min="3" max="3" width="21.42578125" bestFit="1" customWidth="1"/>
    <col min="4" max="4" width="15.42578125" bestFit="1" customWidth="1"/>
  </cols>
  <sheetData>
    <row r="1" spans="1:4" x14ac:dyDescent="0.25">
      <c r="A1" t="s">
        <v>0</v>
      </c>
      <c r="B1" t="s">
        <v>486</v>
      </c>
      <c r="C1" t="s">
        <v>487</v>
      </c>
      <c r="D1" t="s">
        <v>488</v>
      </c>
    </row>
    <row r="2" spans="1:4" x14ac:dyDescent="0.25">
      <c r="A2" t="s">
        <v>138</v>
      </c>
      <c r="B2" t="s">
        <v>489</v>
      </c>
      <c r="C2" t="s">
        <v>490</v>
      </c>
      <c r="D2" t="s">
        <v>121</v>
      </c>
    </row>
    <row r="3" spans="1:4" x14ac:dyDescent="0.25">
      <c r="A3" t="s">
        <v>152</v>
      </c>
      <c r="B3" t="s">
        <v>489</v>
      </c>
      <c r="C3" t="s">
        <v>491</v>
      </c>
      <c r="D3" t="s">
        <v>121</v>
      </c>
    </row>
    <row r="4" spans="1:4" x14ac:dyDescent="0.25">
      <c r="A4" t="s">
        <v>166</v>
      </c>
      <c r="B4" t="s">
        <v>489</v>
      </c>
      <c r="C4" t="s">
        <v>492</v>
      </c>
      <c r="D4" t="s">
        <v>121</v>
      </c>
    </row>
    <row r="5" spans="1:4" x14ac:dyDescent="0.25">
      <c r="A5" t="s">
        <v>104</v>
      </c>
      <c r="B5" t="s">
        <v>489</v>
      </c>
      <c r="C5" t="s">
        <v>493</v>
      </c>
      <c r="D5" t="s">
        <v>121</v>
      </c>
    </row>
    <row r="6" spans="1:4" x14ac:dyDescent="0.25">
      <c r="A6" t="s">
        <v>157</v>
      </c>
      <c r="B6" t="s">
        <v>489</v>
      </c>
      <c r="C6" t="s">
        <v>494</v>
      </c>
      <c r="D6" t="s">
        <v>121</v>
      </c>
    </row>
    <row r="7" spans="1:4" x14ac:dyDescent="0.25">
      <c r="A7" t="s">
        <v>163</v>
      </c>
      <c r="B7" t="s">
        <v>489</v>
      </c>
      <c r="C7" t="s">
        <v>495</v>
      </c>
      <c r="D7" t="s">
        <v>121</v>
      </c>
    </row>
    <row r="8" spans="1:4" x14ac:dyDescent="0.25">
      <c r="A8" t="s">
        <v>159</v>
      </c>
      <c r="B8" t="s">
        <v>489</v>
      </c>
      <c r="C8" t="s">
        <v>496</v>
      </c>
      <c r="D8" t="s">
        <v>121</v>
      </c>
    </row>
    <row r="9" spans="1:4" x14ac:dyDescent="0.25">
      <c r="A9" t="s">
        <v>130</v>
      </c>
      <c r="B9" t="s">
        <v>489</v>
      </c>
      <c r="C9" t="s">
        <v>497</v>
      </c>
      <c r="D9" t="s">
        <v>121</v>
      </c>
    </row>
    <row r="10" spans="1:4" x14ac:dyDescent="0.25">
      <c r="A10" t="s">
        <v>169</v>
      </c>
      <c r="B10" t="s">
        <v>489</v>
      </c>
      <c r="C10" t="s">
        <v>498</v>
      </c>
      <c r="D10" t="s">
        <v>121</v>
      </c>
    </row>
    <row r="11" spans="1:4" x14ac:dyDescent="0.25">
      <c r="A11" t="s">
        <v>140</v>
      </c>
      <c r="B11" t="s">
        <v>489</v>
      </c>
      <c r="C11" t="s">
        <v>499</v>
      </c>
      <c r="D11" t="s">
        <v>121</v>
      </c>
    </row>
    <row r="12" spans="1:4" x14ac:dyDescent="0.25">
      <c r="A12" t="s">
        <v>147</v>
      </c>
      <c r="B12" t="s">
        <v>489</v>
      </c>
      <c r="C12" t="s">
        <v>500</v>
      </c>
      <c r="D12" t="s">
        <v>121</v>
      </c>
    </row>
    <row r="13" spans="1:4" x14ac:dyDescent="0.25">
      <c r="A13" t="s">
        <v>171</v>
      </c>
      <c r="B13" t="s">
        <v>489</v>
      </c>
      <c r="C13" t="s">
        <v>501</v>
      </c>
      <c r="D13" t="s">
        <v>121</v>
      </c>
    </row>
    <row r="14" spans="1:4" x14ac:dyDescent="0.25">
      <c r="A14" t="s">
        <v>150</v>
      </c>
      <c r="B14" t="s">
        <v>489</v>
      </c>
      <c r="C14" t="s">
        <v>502</v>
      </c>
      <c r="D14" t="s">
        <v>121</v>
      </c>
    </row>
    <row r="15" spans="1:4" x14ac:dyDescent="0.25">
      <c r="A15" t="s">
        <v>145</v>
      </c>
      <c r="B15" t="s">
        <v>489</v>
      </c>
      <c r="C15" t="s">
        <v>503</v>
      </c>
      <c r="D15" t="s">
        <v>121</v>
      </c>
    </row>
    <row r="16" spans="1:4" x14ac:dyDescent="0.25">
      <c r="A16" t="s">
        <v>161</v>
      </c>
      <c r="B16" t="s">
        <v>489</v>
      </c>
      <c r="C16" t="s">
        <v>504</v>
      </c>
      <c r="D16" t="s">
        <v>121</v>
      </c>
    </row>
  </sheetData>
  <pageMargins left="0.7" right="0.7" top="0.75" bottom="0.75" header="0.3" footer="0.3"/>
  <pageSetup firstPageNumber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HEADER</vt:lpstr>
      <vt:lpstr>ENTITAS</vt:lpstr>
      <vt:lpstr>DOKUMEN</vt:lpstr>
      <vt:lpstr>PENGANGKUT</vt:lpstr>
      <vt:lpstr>KEMASAN</vt:lpstr>
      <vt:lpstr>KONTAINER</vt:lpstr>
      <vt:lpstr>KOMPONENBIAYA</vt:lpstr>
      <vt:lpstr>BARANG</vt:lpstr>
      <vt:lpstr>BARANGTARIF</vt:lpstr>
      <vt:lpstr>BARANGDOKUMEN</vt:lpstr>
      <vt:lpstr>BARANGENTITAS</vt:lpstr>
      <vt:lpstr>BARANGSPEKKHUSUS</vt:lpstr>
      <vt:lpstr>BARANGVD</vt:lpstr>
      <vt:lpstr>BAHANBAKU</vt:lpstr>
      <vt:lpstr>BAHANBAKUTARIF</vt:lpstr>
      <vt:lpstr>BAHANBAKUDOKUMEN</vt:lpstr>
      <vt:lpstr>PUNGUTAN</vt:lpstr>
      <vt:lpstr>JAMINAN</vt:lpstr>
      <vt:lpstr>BANKDEVISA</vt:lpstr>
      <vt:lpstr>VERSI</vt:lpstr>
      <vt:lpstr>RESPON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Dokumen Tanggal 24-09-2026.xlsx</dc:creator>
  <cp:lastModifiedBy>ADM EXIM</cp:lastModifiedBy>
  <dcterms:created xsi:type="dcterms:W3CDTF">2026-09-29T10:06:31Z</dcterms:created>
  <dcterms:modified xsi:type="dcterms:W3CDTF">2026-09-29T10:07:38Z</dcterms:modified>
</cp:coreProperties>
</file>