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6\New folder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3" i="8" l="1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2" i="8"/>
</calcChain>
</file>

<file path=xl/sharedStrings.xml><?xml version="1.0" encoding="utf-8"?>
<sst xmlns="http://schemas.openxmlformats.org/spreadsheetml/2006/main" count="4156" uniqueCount="549">
  <si>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</si>
  <si>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</si>
  <si>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</si>
  <si>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</si>
  <si>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</si>
  <si>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</si>
  <si>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</si>
  <si>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</si>
  <si>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</si>
  <si>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</si>
  <si>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</si>
  <si>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</si>
  <si>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</si>
  <si>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</si>
  <si>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</si>
  <si>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</si>
  <si>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</si>
  <si>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</si>
  <si>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</si>
  <si>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</si>
  <si>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</si>
  <si>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</si>
  <si>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</si>
  <si>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</si>
  <si>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</si>
  <si>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</si>
  <si>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</si>
  <si>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</si>
  <si>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</si>
  <si>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</si>
  <si>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</si>
  <si>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</si>
  <si>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</si>
  <si>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</si>
  <si>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</si>
  <si>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</si>
  <si>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</si>
  <si>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</si>
  <si>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</si>
  <si>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</si>
  <si>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</si>
  <si>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</si>
  <si>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</si>
  <si>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</si>
  <si>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</si>
  <si>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</si>
  <si>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</si>
  <si>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</si>
  <si>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</si>
  <si>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</si>
  <si>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</si>
  <si>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</si>
  <si>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</si>
  <si>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</si>
  <si>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</si>
  <si>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</si>
  <si>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</si>
  <si>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</si>
  <si>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</si>
  <si>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</si>
  <si>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</si>
  <si>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</si>
  <si>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</si>
  <si>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</si>
  <si>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</si>
  <si>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</si>
  <si>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</si>
  <si>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</si>
  <si>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</si>
  <si>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</si>
  <si>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</si>
  <si>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</si>
  <si>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</si>
  <si>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</si>
  <si>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</si>
  <si>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</si>
  <si>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</si>
  <si>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</si>
  <si>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</si>
  <si>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</si>
  <si>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</si>
  <si>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</si>
  <si>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</si>
  <si>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</si>
  <si>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</si>
  <si>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</si>
  <si>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</si>
  <si>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</si>
  <si>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</si>
  <si>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</si>
  <si>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</si>
  <si>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</si>
  <si>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</si>
  <si>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</si>
  <si>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</si>
  <si>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</si>
  <si>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</si>
  <si>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</si>
  <si>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</si>
  <si>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</si>
  <si>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</si>
  <si>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</si>
  <si>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</si>
  <si>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</si>
  <si>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000030NIW34520260917001432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</si>
  <si>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</si>
  <si>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</si>
  <si>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</si>
  <si>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</si>
  <si>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</si>
  <si>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</si>
  <si>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</si>
  <si>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</si>
  <si>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</si>
  <si>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</si>
  <si>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</si>
  <si>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2026-09-24</t>
  </si>
  <si>
    <t>2026-09-17</t>
  </si>
  <si>
    <t>2</t>
  </si>
  <si>
    <t>DN</t>
  </si>
  <si>
    <t>BANDUNG</t>
  </si>
  <si>
    <t>YUS YULIUS</t>
  </si>
  <si>
    <t>MANAGER EXIM</t>
  </si>
  <si>
    <t>USD</t>
  </si>
  <si>
    <t>EXW</t>
  </si>
  <si>
    <t>590239</t>
  </si>
  <si>
    <t>T</t>
  </si>
  <si>
    <t>000030NIW34520260917001433</t>
  </si>
  <si>
    <t>590345</t>
  </si>
  <si>
    <t>000030NIW34520260917001440</t>
  </si>
  <si>
    <t>050100</t>
  </si>
  <si>
    <t>14</t>
  </si>
  <si>
    <t>IDCGK</t>
  </si>
  <si>
    <t>USHOU</t>
  </si>
  <si>
    <t>474784</t>
  </si>
  <si>
    <t>000030NIW34520260917001441</t>
  </si>
  <si>
    <t>VN</t>
  </si>
  <si>
    <t>VNSGN</t>
  </si>
  <si>
    <t>LN</t>
  </si>
  <si>
    <t>474886</t>
  </si>
  <si>
    <t>000030NIW34520260917001429</t>
  </si>
  <si>
    <t>589727</t>
  </si>
  <si>
    <t>000030NIW34520260917001437</t>
  </si>
  <si>
    <t>590605</t>
  </si>
  <si>
    <t>000030NIW34520260917001428</t>
  </si>
  <si>
    <t>USSAV</t>
  </si>
  <si>
    <t>589689</t>
  </si>
  <si>
    <t>000030NIW34520260917001438</t>
  </si>
  <si>
    <t>USJCC</t>
  </si>
  <si>
    <t>474669</t>
  </si>
  <si>
    <t>000030NIW34520260917001444</t>
  </si>
  <si>
    <t>GB</t>
  </si>
  <si>
    <t>GBPTL</t>
  </si>
  <si>
    <t>474856</t>
  </si>
  <si>
    <t>000030NIW34520260917001443</t>
  </si>
  <si>
    <t>474839</t>
  </si>
  <si>
    <t>000030NIW34520260917001430</t>
  </si>
  <si>
    <t>589931</t>
  </si>
  <si>
    <t>000030NIW34520260917001442</t>
  </si>
  <si>
    <t>474804</t>
  </si>
  <si>
    <t>000030NIW34520260917001431</t>
  </si>
  <si>
    <t>590033</t>
  </si>
  <si>
    <t>000030NIW34520260917001427</t>
  </si>
  <si>
    <t>FR</t>
  </si>
  <si>
    <t>FRCDG</t>
  </si>
  <si>
    <t>472697</t>
  </si>
  <si>
    <t>000030NIW34520260917001436</t>
  </si>
  <si>
    <t>590556</t>
  </si>
  <si>
    <t>000030NIW34520260917001435</t>
  </si>
  <si>
    <t>590481</t>
  </si>
  <si>
    <t>000030NIW34520260917001434</t>
  </si>
  <si>
    <t>590420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</si>
  <si>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</si>
  <si>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</si>
  <si>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</si>
  <si>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</si>
  <si>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</si>
  <si>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</si>
  <si>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</si>
  <si>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</si>
  <si>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</si>
  <si>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</si>
  <si>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</si>
  <si>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</si>
  <si>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</si>
  <si>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</si>
  <si>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</si>
  <si>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</si>
  <si>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</si>
  <si>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</si>
  <si>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</si>
  <si>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</si>
  <si>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</si>
  <si>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</si>
  <si>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</si>
  <si>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</si>
  <si>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4</t>
  </si>
  <si>
    <t>0000000000000000</t>
  </si>
  <si>
    <t>KANMAX ENTERPRISES LTD</t>
  </si>
  <si>
    <t>103 PENANG ROAD, #08-07, VISIONCREST ORCHARD, SINGAPORE 238467</t>
  </si>
  <si>
    <t>OLD NAVY, LLC</t>
  </si>
  <si>
    <t>2 FOLSOM STREET_x000D_
SAN FRANCISCO, CALIFORNIA_x000D_
94105</t>
  </si>
  <si>
    <t>8</t>
  </si>
  <si>
    <t>LVO LONGVIEW OMNI-0047</t>
  </si>
  <si>
    <t>5401 MICKEY MELTON BLD_x000D_
LONGVIEW, TX_x000D_
75605</t>
  </si>
  <si>
    <t>23</t>
  </si>
  <si>
    <t>0926856451045000000000</t>
  </si>
  <si>
    <t>KBN PRIMA LOGISTIK</t>
  </si>
  <si>
    <t>JL PULAU PAYUNG NO.1 RT.000 RW.000, TANJUNG PRIOK, TANJUNG PRIOK, KOTA ADMINISTRASI JAKARTA UTARA, DAERAH KHUSUS IBUKOTA JAKARTA</t>
  </si>
  <si>
    <t>02</t>
  </si>
  <si>
    <t>LAINNYA</t>
  </si>
  <si>
    <t>COLUMBIA SPORTSWEAR SHOWROOM/1051960</t>
  </si>
  <si>
    <t>14511 OLD KATY RD SUITE 100
SHOWROOM MGR; 281-670-1752
HOUSTON, TX, 77079
ATTN : BLAKE THOMPSON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</si>
  <si>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</si>
  <si>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</si>
  <si>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</si>
  <si>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MAXHILL MANAGEMENT SERVICE PTE LTD</t>
  </si>
  <si>
    <t>103 PENANG ROAD, #08-03 VISIONCREST  ORCHARD 238467
ATTN : CELINE NG/ MEI MEI</t>
  </si>
  <si>
    <t>SG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</si>
  <si>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</si>
  <si>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</si>
  <si>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</si>
  <si>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CHUTEX INTERNATIONAL CO., LTD</t>
  </si>
  <si>
    <t>18, THONG NHAT ROAD SONG THAN 2 INDUSTRIAL ZONE DI AN WARD, HO CHI MINH CITY
ATTN : JENNY</t>
  </si>
  <si>
    <t>FDC-0026</t>
  </si>
  <si>
    <t>3685 NORTH GAP DRIVE_x000D_
FRESNO, CA_x000D_
93727</t>
  </si>
  <si>
    <t>SDC-0017</t>
  </si>
  <si>
    <t>100 GAP BOULEVARD_x000D_
GALLATIN, TN_x000D_
37066</t>
  </si>
  <si>
    <t>OLD NAVY GLOBAL</t>
  </si>
  <si>
    <t>2 FOLSOM SAMPLE PROCESSING ROOM 0267 94105 SAN FRANCISCO  CALIFORNIA
ATTN : LILLIE ASHENFELTER</t>
  </si>
  <si>
    <t>COLUMBIA SPORTSWEAR PHOTO/1033461</t>
  </si>
  <si>
    <t>14375 NW SCIENCE PARK DR BLDG F
ANDY VAN KEMPEN; 503-985-3847
PORTLAND, OR, 97229
UNITED STATES</t>
  </si>
  <si>
    <t>COLUMBIA SPORTSWEAR PHOTO/1051466</t>
  </si>
  <si>
    <t>14375 NW SCIENCE PARK DR
ANDY VAN KEMPEN; 503-985-3847
PORTLAND, OR, 97229
UNITED STATES</t>
  </si>
  <si>
    <t>14375 NW SCIENCE PARK DR BLDG F
ANDY VAN KEMPEN; 503-985-3847
PORTLAND, OR, 97229</t>
  </si>
  <si>
    <t>EXPEDITORS INTL LRD-2284</t>
  </si>
  <si>
    <t>8510 BOB BULLOCK LOOP_x000D_
LAREDO, TX_x000D_
78045</t>
  </si>
  <si>
    <t>0220103231143</t>
  </si>
  <si>
    <t>13</t>
  </si>
  <si>
    <t>COLUMBIA SPORTSWEAR DISTRIBUTION SAS</t>
  </si>
  <si>
    <t>1542 AVENUE DES 2 VALLÉES
ZONE ACTIPOLE DE L'A2
59554 RAILLENCOURT STE OLLE</t>
  </si>
  <si>
    <t>0745406926444000</t>
  </si>
  <si>
    <t>WESTERN OMNI WEO-0008</t>
  </si>
  <si>
    <t>3400 NORTH GAP DR_x000D_
FRESNO, CA_x000D_
93727</t>
  </si>
  <si>
    <t>NOMOR DOKUMEN</t>
  </si>
  <si>
    <t>TANGGAL DOKUMEN</t>
  </si>
  <si>
    <t>KODE FASILITAS</t>
  </si>
  <si>
    <t>KODE IJIN</t>
  </si>
  <si>
    <t>027552</t>
  </si>
  <si>
    <t>2026-07-11</t>
  </si>
  <si>
    <t>027549</t>
  </si>
  <si>
    <t>028938</t>
  </si>
  <si>
    <t>2026-07-21</t>
  </si>
  <si>
    <t>920</t>
  </si>
  <si>
    <t>16/MK/WBC.09/2026</t>
  </si>
  <si>
    <t>2026-01-20</t>
  </si>
  <si>
    <t>380</t>
  </si>
  <si>
    <t>0289ENAG0926</t>
  </si>
  <si>
    <t>217</t>
  </si>
  <si>
    <t>027545</t>
  </si>
  <si>
    <t>0290ENAG0926</t>
  </si>
  <si>
    <t>0298EMAG0926</t>
  </si>
  <si>
    <t>740</t>
  </si>
  <si>
    <t>1Z5F0Y140408940741</t>
  </si>
  <si>
    <t>0317/E/NAG/0926</t>
  </si>
  <si>
    <t>2271420023</t>
  </si>
  <si>
    <t>286ENAG0926</t>
  </si>
  <si>
    <t>012234</t>
  </si>
  <si>
    <t>2025-04-08</t>
  </si>
  <si>
    <t>010371</t>
  </si>
  <si>
    <t>2025-03-18</t>
  </si>
  <si>
    <t>013900</t>
  </si>
  <si>
    <t>2025-04-17</t>
  </si>
  <si>
    <t>0294ENAG0926</t>
  </si>
  <si>
    <t>027093</t>
  </si>
  <si>
    <t>2026-07-08</t>
  </si>
  <si>
    <t>027939</t>
  </si>
  <si>
    <t>2026-07-14</t>
  </si>
  <si>
    <t>029032</t>
  </si>
  <si>
    <t>2026-07-22</t>
  </si>
  <si>
    <t>0285ENAG0926</t>
  </si>
  <si>
    <t>0306/E/NAG/0926</t>
  </si>
  <si>
    <t>5991045093</t>
  </si>
  <si>
    <t>031758</t>
  </si>
  <si>
    <t>2026-08-10</t>
  </si>
  <si>
    <t>034393</t>
  </si>
  <si>
    <t>2026-08-28</t>
  </si>
  <si>
    <t>0300EMAG0926</t>
  </si>
  <si>
    <t>1Z5F0Y140424750774</t>
  </si>
  <si>
    <t>0299EMAG0926</t>
  </si>
  <si>
    <t>1Z5F0Y140428600160</t>
  </si>
  <si>
    <t>0287ENAG0926</t>
  </si>
  <si>
    <t>046068</t>
  </si>
  <si>
    <t>2025-11-13</t>
  </si>
  <si>
    <t>047566</t>
  </si>
  <si>
    <t>2025-11-21</t>
  </si>
  <si>
    <t>004203</t>
  </si>
  <si>
    <t>2026-01-28</t>
  </si>
  <si>
    <t>0297EMAG0926</t>
  </si>
  <si>
    <t>1Z5F0Y140405960930</t>
  </si>
  <si>
    <t>0288ENAG0926</t>
  </si>
  <si>
    <t>TFKC26090094</t>
  </si>
  <si>
    <t>0293ENAG0926</t>
  </si>
  <si>
    <t>025758</t>
  </si>
  <si>
    <t>2026-06-30</t>
  </si>
  <si>
    <t>026656</t>
  </si>
  <si>
    <t>2026-07-06</t>
  </si>
  <si>
    <t>0292ENAG0926</t>
  </si>
  <si>
    <t>0291ENAG0926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</si>
  <si>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</si>
  <si>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</si>
  <si>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</si>
  <si>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</si>
  <si>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</si>
  <si>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</si>
  <si>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</si>
  <si>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</si>
  <si>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638N</t>
  </si>
  <si>
    <t>DK</t>
  </si>
  <si>
    <t>2Y</t>
  </si>
  <si>
    <t>924</t>
  </si>
  <si>
    <t>K - MILE AIR</t>
  </si>
  <si>
    <t>8K0801</t>
  </si>
  <si>
    <t>TH</t>
  </si>
  <si>
    <t>ID</t>
  </si>
  <si>
    <t>SV</t>
  </si>
  <si>
    <t>817</t>
  </si>
  <si>
    <t>AE</t>
  </si>
  <si>
    <t>KODE KEMASAN</t>
  </si>
  <si>
    <t>JUMLAH KEMASAN</t>
  </si>
  <si>
    <t>MEREK</t>
  </si>
  <si>
    <t>NOMOR SEGEL</t>
  </si>
  <si>
    <t>CT</t>
  </si>
  <si>
    <t>OLD NAVY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</si>
  <si>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</si>
  <si>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</si>
  <si>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</si>
  <si>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</si>
  <si>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</si>
  <si>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</si>
  <si>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</si>
  <si>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</si>
  <si>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</si>
  <si>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</si>
  <si>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</si>
  <si>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</si>
  <si>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</si>
  <si>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</si>
  <si>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</si>
  <si>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</si>
  <si>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</si>
  <si>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</si>
  <si>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</si>
  <si>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</si>
  <si>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</si>
  <si>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</si>
  <si>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</si>
  <si>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</si>
  <si>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</si>
  <si>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</si>
  <si>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</si>
  <si>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</si>
  <si>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</si>
  <si>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</si>
  <si>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</si>
  <si>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</si>
  <si>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</si>
  <si>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</si>
  <si>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</si>
  <si>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</si>
  <si>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</si>
  <si>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</si>
  <si>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</si>
  <si>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</si>
  <si>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</si>
  <si>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</si>
  <si>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</si>
  <si>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</si>
  <si>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</si>
  <si>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</si>
  <si>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</si>
  <si>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</si>
  <si>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</si>
  <si>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</si>
  <si>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</si>
  <si>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</si>
  <si>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</si>
  <si>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</si>
  <si>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</si>
  <si>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</si>
  <si>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</si>
  <si>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</si>
  <si>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</si>
  <si>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</si>
  <si>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KNM/0626/338</t>
  </si>
  <si>
    <t>POLO SHIRT LONG SLEEVE BLACK JACK _x000D_
PO : 62041859 STYLE : 767468 OF BOYS COTTON FIBERS KNIT SHIRT 60% COTTON 40% POLYESTER</t>
  </si>
  <si>
    <t>265K0077</t>
  </si>
  <si>
    <t>L HUSKY</t>
  </si>
  <si>
    <t>PCE</t>
  </si>
  <si>
    <t>3204</t>
  </si>
  <si>
    <t>XL HUSKY</t>
  </si>
  <si>
    <t>POLO SHIRT LONG SLEEVE CALLA LILY 451 _x000D_
PO : 62041859 STYLE : 767468 OF BOYS COTTON FIBERS KNIT SHIRT 60% COTTON 40% POLYESTER</t>
  </si>
  <si>
    <t>XS</t>
  </si>
  <si>
    <t>XXL</t>
  </si>
  <si>
    <t>XXL HUSKY</t>
  </si>
  <si>
    <t>POLO SHIRT LONG SLEEVE INK BLUE _x000D_
PO : 62041859 STYLE : 767468 OF BOYS COTTON FIBERS KNIT SHIRT 60% COTTON 40% POLYESTER</t>
  </si>
  <si>
    <t>L</t>
  </si>
  <si>
    <t>S</t>
  </si>
  <si>
    <t>M</t>
  </si>
  <si>
    <t>XL</t>
  </si>
  <si>
    <t>POLO SHIRT LONG SLEEVE DARK GREEN _x000D_
PO : 62041859 STYLE : 767468 OF BOYS COTTON FIBERS KNIT SHIRT 60% COTTON 40% POLYESTER</t>
  </si>
  <si>
    <t>POLO SHIRT LONG SLEEVE RON BURGUNDY _x000D_
PO : 62041859 STYLE : 767468 OF BOYS COTTON FIBERS KNIT SHIRT 60% COTTON 40% POLYESTER</t>
  </si>
  <si>
    <t>POLO SHIRT LONG SLEEVE RED TAPE _x000D_
PO : 62002318 STYLE : 767468 OF BOYS COTTON FIBERS KNIT SHIRT 60% COTTON 40% POLYESTER</t>
  </si>
  <si>
    <t>POLO SHIRT LONG SLEEVE BLUE TANGO _x000D_
PO : 62002318 STYLE : 767468 OF BOYS COTTON FIBERS KNIT SHIRT 60% COTTON 40% POLYESTER</t>
  </si>
  <si>
    <t>POLO SHIRT LONG SLEEVE MONET BLUE _x000D_
PO : 62002318 STYLE : 767468 OF BOYS COTTON FIBERS KNIT SHIRT 60% COTTON 40% POLYESTER</t>
  </si>
  <si>
    <t>61052010</t>
  </si>
  <si>
    <t>BARANG JADI SAMPLE 
UTILIZER POLO
PO : '4560038071 STYLE : AM0126</t>
  </si>
  <si>
    <t>96061090</t>
  </si>
  <si>
    <t>222</t>
  </si>
  <si>
    <t>ACCESORIES SEWING POLYESTER BUTTON EJW-1603 18L RED TAPE OLD NAVY</t>
  </si>
  <si>
    <t>OLD NAVY BOYS</t>
  </si>
  <si>
    <t>SAMPLE</t>
  </si>
  <si>
    <t>ACCESORIES SEWING POLYESTER BUTTON EJW-1603 18L CALLA LILY OLD NAVY</t>
  </si>
  <si>
    <t>ACCESORIES SEWING POLYESTER BUTTON EJW-1603 18L IN THE NAVY OLD NAVY</t>
  </si>
  <si>
    <t>ACCESORIES SEWING POLYESTER BUTTON EJW-1603 18L B25 FAUX HEATHER GREY OLD NAVY</t>
  </si>
  <si>
    <t>ACCESORIES SEWING POLYESTER BUTTON EJW-1603 18L BLACK JACK OLD NAVY</t>
  </si>
  <si>
    <t>ACCESORIES SEWING POLYESTER BUTTON EJW-1603 18L WINE STAIN OLD NAVY</t>
  </si>
  <si>
    <t>ACCESORIES SEWING POLYESTER BUTTON EJW-1603 18L BLUE TANGO OLD NAVY</t>
  </si>
  <si>
    <t>ACCESORIES SEWING POLYESTER BUTTON EJW-1603 18L PLANT LIFE OLD NAVY</t>
  </si>
  <si>
    <t>ACCESORIES SEWING POLYESTER BUTTON EJW-1603 18L MONET BLUE OLD NAVY</t>
  </si>
  <si>
    <t>61102000</t>
  </si>
  <si>
    <t>KNM/0425/026</t>
  </si>
  <si>
    <t>T-SHIRT SHORT SLEEVE CALLA LILY 451 _x000D_
PO : 62388692 STYLE : 881293 OF GIRLS COTTON FIBERS KNIT PULLOVER 60% COTTON 40% POLYESTER</t>
  </si>
  <si>
    <t>255K0079</t>
  </si>
  <si>
    <t>T-SHIRT SHORT SLEEVE CALLA LILY 451 XL_x000D_
PO : 62388692 STYLE : 881293 OF GIRLS COTTON FIBERS KNIT PULLOVER 60% COTTON 40% POLYESTER</t>
  </si>
  <si>
    <t>KNM/0626/329</t>
  </si>
  <si>
    <t>TANKTOP MOCHA TAFFY _x000D_
PO : 62212691 STYLE : 692926 OF WOMENS COTTON FIBERS KNIT PULLOVER 96% COTTON 4% SPANDEX</t>
  </si>
  <si>
    <t>265K0103</t>
  </si>
  <si>
    <t>XXL/T</t>
  </si>
  <si>
    <t>M/P</t>
  </si>
  <si>
    <t>XXS</t>
  </si>
  <si>
    <t>S/T</t>
  </si>
  <si>
    <t>XS/P</t>
  </si>
  <si>
    <t>TANKTOP MOCHA TAFFY_x000D_
PO : 62212691 STYLE : 692926 OF WOMENS COTTON FIBERS KNIT PULLOVER 96% COTTON 4% SPANDEX</t>
  </si>
  <si>
    <t>L/T</t>
  </si>
  <si>
    <t>M/T</t>
  </si>
  <si>
    <t>XL/T</t>
  </si>
  <si>
    <t>4X</t>
  </si>
  <si>
    <t>3X</t>
  </si>
  <si>
    <t>S/P</t>
  </si>
  <si>
    <t>L/P</t>
  </si>
  <si>
    <t>XL/P</t>
  </si>
  <si>
    <t>2X</t>
  </si>
  <si>
    <t>XS/T</t>
  </si>
  <si>
    <t>T-SHIRT SHORT SLEEVE CALLA LILY 451 _x000D_
PO : 62388688 STYLE : 881293 OF GIRLS COTTON FIBERS KNIT PULLOVER 60% COTTON 40% POLYESTER</t>
  </si>
  <si>
    <t>SM/ONG/0524/001</t>
  </si>
  <si>
    <t>T-SHIRT MIX COLOR MIX SIZE</t>
  </si>
  <si>
    <t>OLD NAVY GIRLS SEASON HOLIDAY 26</t>
  </si>
  <si>
    <t>1181671</t>
  </si>
  <si>
    <t>BARANG JADI SAMPLE 
SHIELDS RIVER POLO
PO :  4560038142  STYLE : XM6930</t>
  </si>
  <si>
    <t>BARANG JADI SAMPLE 
UTILIZER POLO
PO :  4560038113 STYLE : AM0126</t>
  </si>
  <si>
    <t>KNM/1225/104</t>
  </si>
  <si>
    <t>T-SHIRT SHORT SLEEVE BLACK JACK _x000D_
PO : 62388679 STYLE : 878746 OF GIRLS COTTON FIBERS KNIT PULLOVER 60% COTTON 40% POLYESTER</t>
  </si>
  <si>
    <t>265K0006</t>
  </si>
  <si>
    <t>61099030</t>
  </si>
  <si>
    <t>BARANG JADI SAMPLE 
T-SHIRT SHORT SLEEVE
PO :  '4560038183 STYLE : AK0679</t>
  </si>
  <si>
    <t>KNM/0626/340</t>
  </si>
  <si>
    <t>POLO SHIRT LONG SLEEVE CALLA LILY 451 _x000D_
PO : 62006614 STYLE : 767468 OF BOYS COTTON FIBERS KNIT SHIRT 60% COTTON 40% POLYESTER</t>
  </si>
  <si>
    <t>POLO SHIRT LONG SLEEVE BLACK JACK _x000D_
PO : 62006614 STYLE : 767468 OF BOYS COTTON FIBERS KNIT SHIRT 60% COTTON 40% POLYESTER</t>
  </si>
  <si>
    <t>T-SHIRT SHORT SLEEVE
AMAZEKNIT LS CREW
PO NO : 4540011748
STYLE : AK2156 /AK7645</t>
  </si>
  <si>
    <t>KNM/0626/341</t>
  </si>
  <si>
    <t>T-SHIRT SHORT SLEEVE BLACK LEOPARD _x000D_
PO : 61996864 STYLE : 905994 OF GIRLS COTTON FIBERS KNIT PULLOVER 100% COTTON</t>
  </si>
  <si>
    <t>265K0089</t>
  </si>
  <si>
    <t>KNM/0626/342</t>
  </si>
  <si>
    <t>T-SHIRT SHORT SLEEVE BLACK LEOPARD _x000D_
PO : 61996922 STYLE : 905994 OF GIRLS COTTON FIBERS KNIT PULLOVER 100% COTTON</t>
  </si>
  <si>
    <t>KNM/0626/324</t>
  </si>
  <si>
    <t>T-SHIRT SHORT SLEEVE CALLA LILY 451 _x000D_
PO : 61996941 STYLE : 867788 OF GIRLS COTTON FIBERS KNIT PULLOVER 60% COTTON 40% RECYCLED POLYESTER</t>
  </si>
  <si>
    <t>265K0088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</si>
  <si>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</si>
  <si>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</si>
  <si>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</si>
  <si>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</si>
  <si>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</si>
  <si>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</si>
  <si>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</si>
  <si>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</si>
  <si>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</si>
  <si>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</si>
  <si>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</si>
  <si>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</si>
  <si>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</si>
  <si>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</si>
  <si>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</si>
  <si>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</si>
  <si>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</si>
  <si>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</si>
  <si>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</si>
  <si>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</si>
  <si>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</si>
  <si>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</si>
  <si>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</si>
  <si>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</si>
  <si>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</si>
  <si>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</si>
  <si>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</si>
  <si>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</si>
  <si>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</si>
  <si>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</si>
  <si>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</si>
  <si>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</si>
  <si>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</si>
  <si>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</si>
  <si>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</si>
  <si>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</si>
  <si>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</si>
  <si>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</si>
  <si>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</si>
  <si>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</si>
  <si>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</si>
  <si>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</si>
  <si>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</si>
  <si>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</si>
  <si>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</si>
  <si>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</si>
  <si>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</si>
  <si>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</si>
  <si>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</si>
  <si>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</si>
  <si>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</si>
  <si>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</si>
  <si>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</si>
  <si>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</si>
  <si>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590170/PM/KPU.1/2026</t>
  </si>
  <si>
    <t>474644/KPU.3/2026</t>
  </si>
  <si>
    <t>589860/PM/KPU.1/2026</t>
  </si>
  <si>
    <t>474423/KPU.3/2026</t>
  </si>
  <si>
    <t>474541/KPU.3/2026</t>
  </si>
  <si>
    <t>590276/PM/KPU.1/2026</t>
  </si>
  <si>
    <t>590488/PM/KPU.1/2026</t>
  </si>
  <si>
    <t>589656/PM/KPU.1/2026</t>
  </si>
  <si>
    <t>474562/KPU.3/2026</t>
  </si>
  <si>
    <t>472467/KPU.3/2026</t>
  </si>
  <si>
    <t>589965/PM/KPU.1/2026</t>
  </si>
  <si>
    <t>474614/KPU.3/2026</t>
  </si>
  <si>
    <t>474598/KPU.3/2026</t>
  </si>
  <si>
    <t>590537/PM/KPU.1/2026</t>
  </si>
  <si>
    <t>589618/PM/KPU.1/2026</t>
  </si>
  <si>
    <t>590352/PM/KPU.1/2026</t>
  </si>
  <si>
    <t>590412/PM/KPU.1/2026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</si>
</sst>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18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2644.95</v>
      </c>
      <c r="BO2">
        <v>0</v>
      </c>
      <c r="BP2">
        <v>0</v>
      </c>
      <c r="BQ2">
        <v>6851.68</v>
      </c>
      <c r="BR2">
        <v>0</v>
      </c>
      <c r="BT2">
        <v>0</v>
      </c>
      <c r="BU2">
        <v>0</v>
      </c>
      <c r="BV2">
        <v>0</v>
      </c>
      <c r="BW2">
        <v>17594</v>
      </c>
      <c r="BX2">
        <v>0</v>
      </c>
      <c r="CB2">
        <v>437.76</v>
      </c>
      <c r="CC2">
        <v>388.26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1534.05</v>
      </c>
      <c r="BO3">
        <v>0</v>
      </c>
      <c r="BP3">
        <v>0</v>
      </c>
      <c r="BQ3">
        <v>3973.92</v>
      </c>
      <c r="BR3">
        <v>0</v>
      </c>
      <c r="BT3">
        <v>0</v>
      </c>
      <c r="BU3">
        <v>0</v>
      </c>
      <c r="BV3">
        <v>0</v>
      </c>
      <c r="BW3">
        <v>17594</v>
      </c>
      <c r="BX3">
        <v>0</v>
      </c>
      <c r="CB3">
        <v>252.64</v>
      </c>
      <c r="CC3">
        <v>225.04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130</v>
      </c>
      <c r="E4" t="s">
        <v>107</v>
      </c>
      <c r="G4" t="s">
        <v>130</v>
      </c>
      <c r="I4" t="s">
        <v>108</v>
      </c>
      <c r="P4" t="s">
        <v>109</v>
      </c>
      <c r="Q4" t="s">
        <v>131</v>
      </c>
      <c r="W4" t="s">
        <v>111</v>
      </c>
      <c r="AA4" t="s">
        <v>112</v>
      </c>
      <c r="AH4" t="s">
        <v>113</v>
      </c>
      <c r="AO4" t="s">
        <v>132</v>
      </c>
      <c r="AR4" t="s">
        <v>133</v>
      </c>
      <c r="AS4" t="s">
        <v>132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0.02</v>
      </c>
      <c r="BL4">
        <v>0</v>
      </c>
      <c r="BN4">
        <v>0</v>
      </c>
      <c r="BO4">
        <v>0.02</v>
      </c>
      <c r="BP4">
        <v>1.46</v>
      </c>
      <c r="BQ4">
        <v>7.67</v>
      </c>
      <c r="BR4">
        <v>0</v>
      </c>
      <c r="BS4">
        <v>0</v>
      </c>
      <c r="BT4">
        <v>0</v>
      </c>
      <c r="BU4">
        <v>0</v>
      </c>
      <c r="BV4">
        <v>0</v>
      </c>
      <c r="BW4">
        <v>17594</v>
      </c>
      <c r="BX4">
        <v>0</v>
      </c>
      <c r="BY4">
        <v>0</v>
      </c>
      <c r="CA4">
        <v>0</v>
      </c>
      <c r="CB4">
        <v>0.79</v>
      </c>
      <c r="CC4">
        <v>0.26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130</v>
      </c>
      <c r="CP4" t="s">
        <v>134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135</v>
      </c>
      <c r="B5" t="s">
        <v>105</v>
      </c>
      <c r="C5" t="s">
        <v>130</v>
      </c>
      <c r="E5" t="s">
        <v>107</v>
      </c>
      <c r="G5" t="s">
        <v>130</v>
      </c>
      <c r="I5" t="s">
        <v>108</v>
      </c>
      <c r="P5" t="s">
        <v>109</v>
      </c>
      <c r="Q5" t="s">
        <v>131</v>
      </c>
      <c r="W5" t="s">
        <v>111</v>
      </c>
      <c r="AA5" t="s">
        <v>112</v>
      </c>
      <c r="AH5" t="s">
        <v>136</v>
      </c>
      <c r="AO5" t="s">
        <v>132</v>
      </c>
      <c r="AR5" t="s">
        <v>137</v>
      </c>
      <c r="AS5" t="s">
        <v>132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138</v>
      </c>
      <c r="BK5">
        <v>0</v>
      </c>
      <c r="BL5">
        <v>0</v>
      </c>
      <c r="BN5">
        <v>0</v>
      </c>
      <c r="BO5">
        <v>0</v>
      </c>
      <c r="BP5">
        <v>0</v>
      </c>
      <c r="BQ5">
        <v>0.45</v>
      </c>
      <c r="BR5">
        <v>0</v>
      </c>
      <c r="BS5">
        <v>0</v>
      </c>
      <c r="BT5">
        <v>0</v>
      </c>
      <c r="BU5">
        <v>0</v>
      </c>
      <c r="BV5">
        <v>0</v>
      </c>
      <c r="BW5">
        <v>17594</v>
      </c>
      <c r="BX5">
        <v>0</v>
      </c>
      <c r="BY5">
        <v>0</v>
      </c>
      <c r="CA5">
        <v>0</v>
      </c>
      <c r="CB5">
        <v>0.8</v>
      </c>
      <c r="CC5">
        <v>0.65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130</v>
      </c>
      <c r="CP5" t="s">
        <v>139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140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1241.2</v>
      </c>
      <c r="BO6">
        <v>0</v>
      </c>
      <c r="BP6">
        <v>0</v>
      </c>
      <c r="BQ6">
        <v>3381.2</v>
      </c>
      <c r="BR6">
        <v>0</v>
      </c>
      <c r="BT6">
        <v>0</v>
      </c>
      <c r="BU6">
        <v>0</v>
      </c>
      <c r="BV6">
        <v>0</v>
      </c>
      <c r="BW6">
        <v>17594</v>
      </c>
      <c r="BX6">
        <v>0</v>
      </c>
      <c r="CB6">
        <v>182.03</v>
      </c>
      <c r="CC6">
        <v>169.03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141</v>
      </c>
      <c r="CQ6" t="s">
        <v>117</v>
      </c>
      <c r="CZ6" t="s">
        <v>126</v>
      </c>
      <c r="DB6" t="s">
        <v>108</v>
      </c>
    </row>
    <row r="7" spans="1:107" x14ac:dyDescent="0.25">
      <c r="A7" t="s">
        <v>142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667.28</v>
      </c>
      <c r="BO7">
        <v>0</v>
      </c>
      <c r="BP7">
        <v>0</v>
      </c>
      <c r="BQ7">
        <v>2151.1</v>
      </c>
      <c r="BR7">
        <v>0</v>
      </c>
      <c r="BT7">
        <v>0</v>
      </c>
      <c r="BU7">
        <v>0</v>
      </c>
      <c r="BV7">
        <v>0</v>
      </c>
      <c r="BW7">
        <v>17594</v>
      </c>
      <c r="BX7">
        <v>0</v>
      </c>
      <c r="CB7">
        <v>112.87</v>
      </c>
      <c r="CC7">
        <v>101.97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143</v>
      </c>
      <c r="CQ7" t="s">
        <v>117</v>
      </c>
      <c r="CZ7" t="s">
        <v>126</v>
      </c>
      <c r="DB7" t="s">
        <v>108</v>
      </c>
    </row>
    <row r="8" spans="1:107" x14ac:dyDescent="0.25">
      <c r="A8" t="s">
        <v>144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145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1241.2</v>
      </c>
      <c r="BO8">
        <v>0</v>
      </c>
      <c r="BP8">
        <v>0</v>
      </c>
      <c r="BQ8">
        <v>3381.2</v>
      </c>
      <c r="BR8">
        <v>0</v>
      </c>
      <c r="BT8">
        <v>0</v>
      </c>
      <c r="BU8">
        <v>0</v>
      </c>
      <c r="BV8">
        <v>0</v>
      </c>
      <c r="BW8">
        <v>17594</v>
      </c>
      <c r="BX8">
        <v>0</v>
      </c>
      <c r="CB8">
        <v>183.26</v>
      </c>
      <c r="CC8">
        <v>170.26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146</v>
      </c>
      <c r="CQ8" t="s">
        <v>117</v>
      </c>
      <c r="CZ8" t="s">
        <v>126</v>
      </c>
      <c r="DB8" t="s">
        <v>108</v>
      </c>
    </row>
    <row r="9" spans="1:107" x14ac:dyDescent="0.25">
      <c r="A9" t="s">
        <v>147</v>
      </c>
      <c r="B9" t="s">
        <v>105</v>
      </c>
      <c r="C9" t="s">
        <v>130</v>
      </c>
      <c r="E9" t="s">
        <v>107</v>
      </c>
      <c r="G9" t="s">
        <v>130</v>
      </c>
      <c r="I9" t="s">
        <v>108</v>
      </c>
      <c r="P9" t="s">
        <v>109</v>
      </c>
      <c r="Q9" t="s">
        <v>131</v>
      </c>
      <c r="W9" t="s">
        <v>111</v>
      </c>
      <c r="AA9" t="s">
        <v>112</v>
      </c>
      <c r="AH9" t="s">
        <v>113</v>
      </c>
      <c r="AO9" t="s">
        <v>132</v>
      </c>
      <c r="AR9" t="s">
        <v>148</v>
      </c>
      <c r="AS9" t="s">
        <v>132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0</v>
      </c>
      <c r="BO9">
        <v>0</v>
      </c>
      <c r="BP9">
        <v>0</v>
      </c>
      <c r="BQ9">
        <v>1</v>
      </c>
      <c r="BR9">
        <v>0</v>
      </c>
      <c r="BT9">
        <v>0</v>
      </c>
      <c r="BU9">
        <v>0</v>
      </c>
      <c r="BV9">
        <v>0</v>
      </c>
      <c r="BW9">
        <v>17594</v>
      </c>
      <c r="BX9">
        <v>0</v>
      </c>
      <c r="CB9">
        <v>0.6</v>
      </c>
      <c r="CC9">
        <v>0.5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130</v>
      </c>
      <c r="CP9" t="s">
        <v>149</v>
      </c>
      <c r="CQ9" t="s">
        <v>117</v>
      </c>
      <c r="CZ9" t="s">
        <v>126</v>
      </c>
      <c r="DB9" t="s">
        <v>108</v>
      </c>
    </row>
    <row r="10" spans="1:107" x14ac:dyDescent="0.25">
      <c r="A10" t="s">
        <v>150</v>
      </c>
      <c r="B10" t="s">
        <v>105</v>
      </c>
      <c r="C10" t="s">
        <v>130</v>
      </c>
      <c r="E10" t="s">
        <v>107</v>
      </c>
      <c r="G10" t="s">
        <v>130</v>
      </c>
      <c r="I10" t="s">
        <v>108</v>
      </c>
      <c r="P10" t="s">
        <v>109</v>
      </c>
      <c r="Q10" t="s">
        <v>131</v>
      </c>
      <c r="W10" t="s">
        <v>111</v>
      </c>
      <c r="AA10" t="s">
        <v>112</v>
      </c>
      <c r="AH10" t="s">
        <v>151</v>
      </c>
      <c r="AO10" t="s">
        <v>132</v>
      </c>
      <c r="AR10" t="s">
        <v>152</v>
      </c>
      <c r="AS10" t="s">
        <v>132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0.06</v>
      </c>
      <c r="BL10">
        <v>0</v>
      </c>
      <c r="BN10">
        <v>0</v>
      </c>
      <c r="BO10">
        <v>0.06</v>
      </c>
      <c r="BP10">
        <v>5.7</v>
      </c>
      <c r="BQ10">
        <v>31.41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17594</v>
      </c>
      <c r="BX10">
        <v>0</v>
      </c>
      <c r="BY10">
        <v>0</v>
      </c>
      <c r="CA10">
        <v>0</v>
      </c>
      <c r="CB10">
        <v>1.44</v>
      </c>
      <c r="CC10">
        <v>0.9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65</v>
      </c>
      <c r="CO10" t="s">
        <v>130</v>
      </c>
      <c r="CP10" t="s">
        <v>153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154</v>
      </c>
      <c r="B11" t="s">
        <v>105</v>
      </c>
      <c r="C11" t="s">
        <v>130</v>
      </c>
      <c r="E11" t="s">
        <v>107</v>
      </c>
      <c r="G11" t="s">
        <v>130</v>
      </c>
      <c r="I11" t="s">
        <v>108</v>
      </c>
      <c r="P11" t="s">
        <v>109</v>
      </c>
      <c r="Q11" t="s">
        <v>131</v>
      </c>
      <c r="W11" t="s">
        <v>111</v>
      </c>
      <c r="AA11" t="s">
        <v>112</v>
      </c>
      <c r="AH11" t="s">
        <v>151</v>
      </c>
      <c r="AO11" t="s">
        <v>132</v>
      </c>
      <c r="AR11" t="s">
        <v>152</v>
      </c>
      <c r="AS11" t="s">
        <v>132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0.02</v>
      </c>
      <c r="BL11">
        <v>0</v>
      </c>
      <c r="BN11">
        <v>0</v>
      </c>
      <c r="BO11">
        <v>0.02</v>
      </c>
      <c r="BP11">
        <v>1.39</v>
      </c>
      <c r="BQ11">
        <v>7.67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17594</v>
      </c>
      <c r="BX11">
        <v>0</v>
      </c>
      <c r="BY11">
        <v>0</v>
      </c>
      <c r="CA11">
        <v>0</v>
      </c>
      <c r="CB11">
        <v>0.78</v>
      </c>
      <c r="CC11">
        <v>0.24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65</v>
      </c>
      <c r="CO11" t="s">
        <v>130</v>
      </c>
      <c r="CP11" t="s">
        <v>155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156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1281.8</v>
      </c>
      <c r="BO12">
        <v>0</v>
      </c>
      <c r="BP12">
        <v>0</v>
      </c>
      <c r="BQ12">
        <v>3359.2</v>
      </c>
      <c r="BR12">
        <v>0</v>
      </c>
      <c r="BT12">
        <v>0</v>
      </c>
      <c r="BU12">
        <v>0</v>
      </c>
      <c r="BV12">
        <v>0</v>
      </c>
      <c r="BW12">
        <v>17594</v>
      </c>
      <c r="BX12">
        <v>0</v>
      </c>
      <c r="CB12">
        <v>200.29</v>
      </c>
      <c r="CC12">
        <v>186.29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157</v>
      </c>
      <c r="CQ12" t="s">
        <v>117</v>
      </c>
      <c r="CZ12" t="s">
        <v>126</v>
      </c>
      <c r="DB12" t="s">
        <v>108</v>
      </c>
    </row>
    <row r="13" spans="1:107" x14ac:dyDescent="0.25">
      <c r="A13" t="s">
        <v>158</v>
      </c>
      <c r="B13" t="s">
        <v>105</v>
      </c>
      <c r="C13" t="s">
        <v>130</v>
      </c>
      <c r="E13" t="s">
        <v>107</v>
      </c>
      <c r="G13" t="s">
        <v>130</v>
      </c>
      <c r="I13" t="s">
        <v>108</v>
      </c>
      <c r="P13" t="s">
        <v>109</v>
      </c>
      <c r="Q13" t="s">
        <v>131</v>
      </c>
      <c r="W13" t="s">
        <v>111</v>
      </c>
      <c r="AA13" t="s">
        <v>112</v>
      </c>
      <c r="AH13" t="s">
        <v>151</v>
      </c>
      <c r="AO13" t="s">
        <v>132</v>
      </c>
      <c r="AR13" t="s">
        <v>152</v>
      </c>
      <c r="AS13" t="s">
        <v>132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0.08</v>
      </c>
      <c r="BL13">
        <v>0</v>
      </c>
      <c r="BN13">
        <v>0</v>
      </c>
      <c r="BO13">
        <v>0.08</v>
      </c>
      <c r="BP13">
        <v>6.87</v>
      </c>
      <c r="BQ13">
        <v>36.119999999999997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17594</v>
      </c>
      <c r="BX13">
        <v>0</v>
      </c>
      <c r="BY13">
        <v>0</v>
      </c>
      <c r="CA13">
        <v>0</v>
      </c>
      <c r="CB13">
        <v>1.42</v>
      </c>
      <c r="CC13">
        <v>0.88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65</v>
      </c>
      <c r="CO13" t="s">
        <v>130</v>
      </c>
      <c r="CP13" t="s">
        <v>159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160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25.2</v>
      </c>
      <c r="BO14">
        <v>0</v>
      </c>
      <c r="BP14">
        <v>0</v>
      </c>
      <c r="BQ14">
        <v>66.48</v>
      </c>
      <c r="BR14">
        <v>0</v>
      </c>
      <c r="BT14">
        <v>0</v>
      </c>
      <c r="BU14">
        <v>0</v>
      </c>
      <c r="BV14">
        <v>0</v>
      </c>
      <c r="BW14">
        <v>17594</v>
      </c>
      <c r="BX14">
        <v>0</v>
      </c>
      <c r="CB14">
        <v>8.2200000000000006</v>
      </c>
      <c r="CC14">
        <v>3.72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161</v>
      </c>
      <c r="CQ14" t="s">
        <v>117</v>
      </c>
      <c r="CZ14" t="s">
        <v>126</v>
      </c>
      <c r="DB14" t="s">
        <v>108</v>
      </c>
    </row>
    <row r="15" spans="1:107" x14ac:dyDescent="0.25">
      <c r="A15" t="s">
        <v>162</v>
      </c>
      <c r="B15" t="s">
        <v>105</v>
      </c>
      <c r="C15" t="s">
        <v>130</v>
      </c>
      <c r="E15" t="s">
        <v>107</v>
      </c>
      <c r="G15" t="s">
        <v>130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163</v>
      </c>
      <c r="AO15" t="s">
        <v>132</v>
      </c>
      <c r="AR15" t="s">
        <v>164</v>
      </c>
      <c r="AS15" t="s">
        <v>132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>
        <v>0.1</v>
      </c>
      <c r="BL15">
        <v>0</v>
      </c>
      <c r="BN15">
        <v>8.5</v>
      </c>
      <c r="BO15">
        <v>0.1</v>
      </c>
      <c r="BP15">
        <v>8.6999999999999993</v>
      </c>
      <c r="BQ15">
        <v>47.88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17594</v>
      </c>
      <c r="BY15">
        <v>0</v>
      </c>
      <c r="CA15">
        <v>0</v>
      </c>
      <c r="CB15">
        <v>1.8</v>
      </c>
      <c r="CC15">
        <v>1.26</v>
      </c>
      <c r="CD15">
        <v>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65</v>
      </c>
      <c r="CO15" t="s">
        <v>130</v>
      </c>
      <c r="CP15" t="s">
        <v>165</v>
      </c>
      <c r="CQ15" t="s">
        <v>117</v>
      </c>
      <c r="CT15">
        <v>0</v>
      </c>
      <c r="CZ15" t="s">
        <v>126</v>
      </c>
      <c r="DB15" t="s">
        <v>108</v>
      </c>
    </row>
    <row r="16" spans="1:107" x14ac:dyDescent="0.25">
      <c r="A16" t="s">
        <v>166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>
        <v>0</v>
      </c>
      <c r="BL16">
        <v>0</v>
      </c>
      <c r="BN16">
        <v>371.79</v>
      </c>
      <c r="BO16">
        <v>0</v>
      </c>
      <c r="BP16">
        <v>0</v>
      </c>
      <c r="BQ16">
        <v>904.23</v>
      </c>
      <c r="BR16">
        <v>0</v>
      </c>
      <c r="BT16">
        <v>0</v>
      </c>
      <c r="BU16">
        <v>0</v>
      </c>
      <c r="BV16">
        <v>0</v>
      </c>
      <c r="BW16">
        <v>17594</v>
      </c>
      <c r="BX16">
        <v>0</v>
      </c>
      <c r="CB16">
        <v>37.445</v>
      </c>
      <c r="CC16">
        <v>32.494999999999997</v>
      </c>
      <c r="CD16">
        <v>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167</v>
      </c>
      <c r="CQ16" t="s">
        <v>117</v>
      </c>
      <c r="CZ16" t="s">
        <v>126</v>
      </c>
      <c r="DB16" t="s">
        <v>108</v>
      </c>
    </row>
    <row r="17" spans="1:106" x14ac:dyDescent="0.25">
      <c r="A17" t="s">
        <v>168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>
        <v>0</v>
      </c>
      <c r="BL17">
        <v>0</v>
      </c>
      <c r="BN17">
        <v>462.51</v>
      </c>
      <c r="BO17">
        <v>0</v>
      </c>
      <c r="BP17">
        <v>0</v>
      </c>
      <c r="BQ17">
        <v>1124.8699999999999</v>
      </c>
      <c r="BR17">
        <v>0</v>
      </c>
      <c r="BT17">
        <v>0</v>
      </c>
      <c r="BU17">
        <v>0</v>
      </c>
      <c r="BV17">
        <v>0</v>
      </c>
      <c r="BW17">
        <v>17594</v>
      </c>
      <c r="BX17">
        <v>0</v>
      </c>
      <c r="CB17">
        <v>49.045000000000002</v>
      </c>
      <c r="CC17">
        <v>43.545000000000002</v>
      </c>
      <c r="CD17">
        <v>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169</v>
      </c>
      <c r="CQ17" t="s">
        <v>117</v>
      </c>
      <c r="CZ17" t="s">
        <v>126</v>
      </c>
      <c r="DB17" t="s">
        <v>108</v>
      </c>
    </row>
    <row r="18" spans="1:106" x14ac:dyDescent="0.25">
      <c r="A18" t="s">
        <v>170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>
        <v>0</v>
      </c>
      <c r="BL18">
        <v>0</v>
      </c>
      <c r="BN18">
        <v>373.46</v>
      </c>
      <c r="BO18">
        <v>0</v>
      </c>
      <c r="BP18">
        <v>0</v>
      </c>
      <c r="BQ18">
        <v>967.84</v>
      </c>
      <c r="BR18">
        <v>0</v>
      </c>
      <c r="BT18">
        <v>0</v>
      </c>
      <c r="BU18">
        <v>0</v>
      </c>
      <c r="BV18">
        <v>0</v>
      </c>
      <c r="BW18">
        <v>17594</v>
      </c>
      <c r="BX18">
        <v>0</v>
      </c>
      <c r="CB18">
        <v>41.534999999999997</v>
      </c>
      <c r="CC18">
        <v>36.634999999999998</v>
      </c>
      <c r="CD18">
        <v>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171</v>
      </c>
      <c r="CQ18" t="s">
        <v>117</v>
      </c>
      <c r="CZ18" t="s">
        <v>126</v>
      </c>
      <c r="DB18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9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7.42578125" bestFit="1" customWidth="1"/>
    <col min="7" max="7" width="152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 spans="1:16" x14ac:dyDescent="0.25">
      <c r="A2" t="s">
        <v>104</v>
      </c>
      <c r="B2" t="s">
        <v>108</v>
      </c>
      <c r="C2" t="s">
        <v>118</v>
      </c>
      <c r="D2" t="s">
        <v>112</v>
      </c>
      <c r="E2" t="s">
        <v>191</v>
      </c>
      <c r="F2" t="s">
        <v>192</v>
      </c>
      <c r="G2" t="s">
        <v>193</v>
      </c>
      <c r="J2" t="s">
        <v>194</v>
      </c>
    </row>
    <row r="3" spans="1:16" x14ac:dyDescent="0.25">
      <c r="A3" t="s">
        <v>104</v>
      </c>
      <c r="B3" t="s">
        <v>118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</row>
    <row r="4" spans="1:16" x14ac:dyDescent="0.25">
      <c r="A4" t="s">
        <v>104</v>
      </c>
      <c r="B4" t="s">
        <v>196</v>
      </c>
      <c r="C4" t="s">
        <v>112</v>
      </c>
      <c r="F4" t="s">
        <v>200</v>
      </c>
      <c r="G4" t="s">
        <v>201</v>
      </c>
      <c r="M4" t="s">
        <v>113</v>
      </c>
    </row>
    <row r="5" spans="1:16" x14ac:dyDescent="0.25">
      <c r="A5" t="s">
        <v>104</v>
      </c>
      <c r="B5" t="s">
        <v>194</v>
      </c>
      <c r="C5" t="s">
        <v>202</v>
      </c>
      <c r="F5" t="s">
        <v>203</v>
      </c>
      <c r="G5" t="s">
        <v>204</v>
      </c>
      <c r="M5" t="s">
        <v>113</v>
      </c>
    </row>
    <row r="6" spans="1:16" x14ac:dyDescent="0.25">
      <c r="A6" t="s">
        <v>104</v>
      </c>
      <c r="B6" t="s">
        <v>205</v>
      </c>
      <c r="C6" t="s">
        <v>205</v>
      </c>
      <c r="D6" t="s">
        <v>112</v>
      </c>
      <c r="E6" t="s">
        <v>206</v>
      </c>
      <c r="F6" t="s">
        <v>207</v>
      </c>
      <c r="G6" t="s">
        <v>208</v>
      </c>
      <c r="I6" t="s">
        <v>209</v>
      </c>
      <c r="J6" t="s">
        <v>210</v>
      </c>
      <c r="O6" t="s">
        <v>108</v>
      </c>
    </row>
    <row r="7" spans="1:16" x14ac:dyDescent="0.25">
      <c r="A7" t="s">
        <v>127</v>
      </c>
      <c r="B7" t="s">
        <v>108</v>
      </c>
      <c r="C7" t="s">
        <v>118</v>
      </c>
      <c r="D7" t="s">
        <v>112</v>
      </c>
      <c r="E7" t="s">
        <v>191</v>
      </c>
      <c r="F7" t="s">
        <v>192</v>
      </c>
      <c r="G7" t="s">
        <v>193</v>
      </c>
      <c r="J7" t="s">
        <v>194</v>
      </c>
    </row>
    <row r="8" spans="1:16" x14ac:dyDescent="0.25">
      <c r="A8" t="s">
        <v>127</v>
      </c>
      <c r="B8" t="s">
        <v>118</v>
      </c>
      <c r="C8" t="s">
        <v>195</v>
      </c>
      <c r="D8" t="s">
        <v>196</v>
      </c>
      <c r="E8" t="s">
        <v>197</v>
      </c>
      <c r="F8" t="s">
        <v>198</v>
      </c>
      <c r="G8" t="s">
        <v>199</v>
      </c>
    </row>
    <row r="9" spans="1:16" x14ac:dyDescent="0.25">
      <c r="A9" t="s">
        <v>127</v>
      </c>
      <c r="B9" t="s">
        <v>194</v>
      </c>
      <c r="C9" t="s">
        <v>202</v>
      </c>
      <c r="F9" t="s">
        <v>203</v>
      </c>
      <c r="G9" t="s">
        <v>204</v>
      </c>
      <c r="M9" t="s">
        <v>113</v>
      </c>
    </row>
    <row r="10" spans="1:16" x14ac:dyDescent="0.25">
      <c r="A10" t="s">
        <v>127</v>
      </c>
      <c r="B10" t="s">
        <v>205</v>
      </c>
      <c r="C10" t="s">
        <v>205</v>
      </c>
      <c r="D10" t="s">
        <v>112</v>
      </c>
      <c r="E10" t="s">
        <v>206</v>
      </c>
      <c r="F10" t="s">
        <v>207</v>
      </c>
      <c r="G10" t="s">
        <v>208</v>
      </c>
      <c r="I10" t="s">
        <v>209</v>
      </c>
      <c r="J10" t="s">
        <v>210</v>
      </c>
      <c r="O10" t="s">
        <v>108</v>
      </c>
    </row>
    <row r="11" spans="1:16" x14ac:dyDescent="0.25">
      <c r="A11" t="s">
        <v>127</v>
      </c>
      <c r="B11" t="s">
        <v>196</v>
      </c>
      <c r="C11" t="s">
        <v>112</v>
      </c>
      <c r="F11" t="s">
        <v>200</v>
      </c>
      <c r="G11" t="s">
        <v>201</v>
      </c>
      <c r="M11" t="s">
        <v>113</v>
      </c>
    </row>
    <row r="12" spans="1:16" x14ac:dyDescent="0.25">
      <c r="A12" t="s">
        <v>129</v>
      </c>
      <c r="B12" t="s">
        <v>112</v>
      </c>
      <c r="C12" t="s">
        <v>112</v>
      </c>
      <c r="F12" t="s">
        <v>211</v>
      </c>
      <c r="G12" t="s">
        <v>212</v>
      </c>
      <c r="M12" t="s">
        <v>113</v>
      </c>
    </row>
    <row r="13" spans="1:16" x14ac:dyDescent="0.25">
      <c r="A13" t="s">
        <v>129</v>
      </c>
      <c r="B13" t="s">
        <v>205</v>
      </c>
      <c r="C13" t="s">
        <v>205</v>
      </c>
      <c r="D13" t="s">
        <v>112</v>
      </c>
      <c r="E13" t="s">
        <v>213</v>
      </c>
      <c r="F13" t="s">
        <v>214</v>
      </c>
      <c r="G13" t="s">
        <v>215</v>
      </c>
      <c r="I13" t="s">
        <v>209</v>
      </c>
      <c r="J13" t="s">
        <v>210</v>
      </c>
      <c r="O13" t="s">
        <v>108</v>
      </c>
    </row>
    <row r="14" spans="1:16" x14ac:dyDescent="0.25">
      <c r="A14" t="s">
        <v>129</v>
      </c>
      <c r="B14" t="s">
        <v>108</v>
      </c>
      <c r="C14" t="s">
        <v>118</v>
      </c>
      <c r="D14" t="s">
        <v>112</v>
      </c>
      <c r="E14" t="s">
        <v>191</v>
      </c>
      <c r="F14" t="s">
        <v>192</v>
      </c>
      <c r="G14" t="s">
        <v>193</v>
      </c>
      <c r="J14" t="s">
        <v>194</v>
      </c>
    </row>
    <row r="15" spans="1:16" x14ac:dyDescent="0.25">
      <c r="A15" t="s">
        <v>129</v>
      </c>
      <c r="B15" t="s">
        <v>118</v>
      </c>
      <c r="C15" t="s">
        <v>195</v>
      </c>
      <c r="D15" t="s">
        <v>112</v>
      </c>
      <c r="E15" t="s">
        <v>191</v>
      </c>
      <c r="F15" t="s">
        <v>192</v>
      </c>
      <c r="G15" t="s">
        <v>193</v>
      </c>
    </row>
    <row r="16" spans="1:16" x14ac:dyDescent="0.25">
      <c r="A16" t="s">
        <v>129</v>
      </c>
      <c r="B16" t="s">
        <v>196</v>
      </c>
      <c r="C16" t="s">
        <v>112</v>
      </c>
      <c r="F16" t="s">
        <v>216</v>
      </c>
      <c r="G16" t="s">
        <v>217</v>
      </c>
      <c r="M16" t="s">
        <v>218</v>
      </c>
    </row>
    <row r="17" spans="1:15" x14ac:dyDescent="0.25">
      <c r="A17" t="s">
        <v>129</v>
      </c>
      <c r="B17" t="s">
        <v>194</v>
      </c>
      <c r="C17" t="s">
        <v>202</v>
      </c>
      <c r="F17" t="s">
        <v>211</v>
      </c>
      <c r="G17" t="s">
        <v>212</v>
      </c>
      <c r="M17" t="s">
        <v>113</v>
      </c>
    </row>
    <row r="18" spans="1:15" x14ac:dyDescent="0.25">
      <c r="A18" t="s">
        <v>135</v>
      </c>
      <c r="B18" t="s">
        <v>205</v>
      </c>
      <c r="C18" t="s">
        <v>205</v>
      </c>
      <c r="D18" t="s">
        <v>112</v>
      </c>
      <c r="E18" t="s">
        <v>219</v>
      </c>
      <c r="F18" t="s">
        <v>220</v>
      </c>
      <c r="G18" t="s">
        <v>221</v>
      </c>
      <c r="I18" t="s">
        <v>209</v>
      </c>
      <c r="J18" t="s">
        <v>210</v>
      </c>
      <c r="O18" t="s">
        <v>108</v>
      </c>
    </row>
    <row r="19" spans="1:15" x14ac:dyDescent="0.25">
      <c r="A19" t="s">
        <v>135</v>
      </c>
      <c r="B19" t="s">
        <v>108</v>
      </c>
      <c r="C19" t="s">
        <v>118</v>
      </c>
      <c r="D19" t="s">
        <v>112</v>
      </c>
      <c r="E19" t="s">
        <v>191</v>
      </c>
      <c r="F19" t="s">
        <v>192</v>
      </c>
      <c r="G19" t="s">
        <v>193</v>
      </c>
      <c r="J19" t="s">
        <v>194</v>
      </c>
    </row>
    <row r="20" spans="1:15" x14ac:dyDescent="0.25">
      <c r="A20" t="s">
        <v>135</v>
      </c>
      <c r="B20" t="s">
        <v>118</v>
      </c>
      <c r="C20" t="s">
        <v>195</v>
      </c>
      <c r="D20" t="s">
        <v>112</v>
      </c>
      <c r="E20" t="s">
        <v>191</v>
      </c>
      <c r="F20" t="s">
        <v>192</v>
      </c>
      <c r="G20" t="s">
        <v>193</v>
      </c>
    </row>
    <row r="21" spans="1:15" x14ac:dyDescent="0.25">
      <c r="A21" t="s">
        <v>135</v>
      </c>
      <c r="B21" t="s">
        <v>194</v>
      </c>
      <c r="C21" t="s">
        <v>202</v>
      </c>
      <c r="F21" t="s">
        <v>222</v>
      </c>
      <c r="G21" t="s">
        <v>223</v>
      </c>
      <c r="M21" t="s">
        <v>136</v>
      </c>
    </row>
    <row r="22" spans="1:15" x14ac:dyDescent="0.25">
      <c r="A22" t="s">
        <v>135</v>
      </c>
      <c r="B22" t="s">
        <v>196</v>
      </c>
      <c r="C22" t="s">
        <v>112</v>
      </c>
      <c r="F22" t="s">
        <v>222</v>
      </c>
      <c r="G22" t="s">
        <v>223</v>
      </c>
      <c r="M22" t="s">
        <v>136</v>
      </c>
    </row>
    <row r="23" spans="1:15" x14ac:dyDescent="0.25">
      <c r="A23" t="s">
        <v>140</v>
      </c>
      <c r="B23" t="s">
        <v>118</v>
      </c>
      <c r="C23" t="s">
        <v>195</v>
      </c>
      <c r="D23" t="s">
        <v>196</v>
      </c>
      <c r="E23" t="s">
        <v>197</v>
      </c>
      <c r="F23" t="s">
        <v>198</v>
      </c>
      <c r="G23" t="s">
        <v>199</v>
      </c>
    </row>
    <row r="24" spans="1:15" x14ac:dyDescent="0.25">
      <c r="A24" t="s">
        <v>140</v>
      </c>
      <c r="B24" t="s">
        <v>194</v>
      </c>
      <c r="C24" t="s">
        <v>202</v>
      </c>
      <c r="F24" t="s">
        <v>224</v>
      </c>
      <c r="G24" t="s">
        <v>225</v>
      </c>
      <c r="M24" t="s">
        <v>113</v>
      </c>
    </row>
    <row r="25" spans="1:15" x14ac:dyDescent="0.25">
      <c r="A25" t="s">
        <v>140</v>
      </c>
      <c r="B25" t="s">
        <v>196</v>
      </c>
      <c r="C25" t="s">
        <v>112</v>
      </c>
      <c r="F25" t="s">
        <v>200</v>
      </c>
      <c r="G25" t="s">
        <v>201</v>
      </c>
      <c r="M25" t="s">
        <v>113</v>
      </c>
    </row>
    <row r="26" spans="1:15" x14ac:dyDescent="0.25">
      <c r="A26" t="s">
        <v>140</v>
      </c>
      <c r="B26" t="s">
        <v>205</v>
      </c>
      <c r="C26" t="s">
        <v>205</v>
      </c>
      <c r="D26" t="s">
        <v>112</v>
      </c>
      <c r="E26" t="s">
        <v>206</v>
      </c>
      <c r="F26" t="s">
        <v>207</v>
      </c>
      <c r="G26" t="s">
        <v>208</v>
      </c>
      <c r="I26" t="s">
        <v>209</v>
      </c>
      <c r="J26" t="s">
        <v>210</v>
      </c>
      <c r="O26" t="s">
        <v>108</v>
      </c>
    </row>
    <row r="27" spans="1:15" x14ac:dyDescent="0.25">
      <c r="A27" t="s">
        <v>140</v>
      </c>
      <c r="B27" t="s">
        <v>108</v>
      </c>
      <c r="C27" t="s">
        <v>118</v>
      </c>
      <c r="D27" t="s">
        <v>112</v>
      </c>
      <c r="E27" t="s">
        <v>191</v>
      </c>
      <c r="F27" t="s">
        <v>192</v>
      </c>
      <c r="G27" t="s">
        <v>193</v>
      </c>
      <c r="J27" t="s">
        <v>194</v>
      </c>
    </row>
    <row r="28" spans="1:15" x14ac:dyDescent="0.25">
      <c r="A28" t="s">
        <v>142</v>
      </c>
      <c r="B28" t="s">
        <v>196</v>
      </c>
      <c r="C28" t="s">
        <v>112</v>
      </c>
      <c r="F28" t="s">
        <v>200</v>
      </c>
      <c r="G28" t="s">
        <v>201</v>
      </c>
      <c r="M28" t="s">
        <v>113</v>
      </c>
    </row>
    <row r="29" spans="1:15" x14ac:dyDescent="0.25">
      <c r="A29" t="s">
        <v>142</v>
      </c>
      <c r="B29" t="s">
        <v>205</v>
      </c>
      <c r="C29" t="s">
        <v>205</v>
      </c>
      <c r="D29" t="s">
        <v>112</v>
      </c>
      <c r="E29" t="s">
        <v>206</v>
      </c>
      <c r="F29" t="s">
        <v>207</v>
      </c>
      <c r="G29" t="s">
        <v>208</v>
      </c>
      <c r="I29" t="s">
        <v>209</v>
      </c>
      <c r="J29" t="s">
        <v>210</v>
      </c>
      <c r="O29" t="s">
        <v>108</v>
      </c>
    </row>
    <row r="30" spans="1:15" x14ac:dyDescent="0.25">
      <c r="A30" t="s">
        <v>142</v>
      </c>
      <c r="B30" t="s">
        <v>108</v>
      </c>
      <c r="C30" t="s">
        <v>118</v>
      </c>
      <c r="D30" t="s">
        <v>112</v>
      </c>
      <c r="E30" t="s">
        <v>191</v>
      </c>
      <c r="F30" t="s">
        <v>192</v>
      </c>
      <c r="G30" t="s">
        <v>193</v>
      </c>
      <c r="J30" t="s">
        <v>194</v>
      </c>
    </row>
    <row r="31" spans="1:15" x14ac:dyDescent="0.25">
      <c r="A31" t="s">
        <v>142</v>
      </c>
      <c r="B31" t="s">
        <v>118</v>
      </c>
      <c r="C31" t="s">
        <v>195</v>
      </c>
      <c r="D31" t="s">
        <v>196</v>
      </c>
      <c r="E31" t="s">
        <v>197</v>
      </c>
      <c r="F31" t="s">
        <v>198</v>
      </c>
      <c r="G31" t="s">
        <v>199</v>
      </c>
    </row>
    <row r="32" spans="1:15" x14ac:dyDescent="0.25">
      <c r="A32" t="s">
        <v>142</v>
      </c>
      <c r="B32" t="s">
        <v>194</v>
      </c>
      <c r="C32" t="s">
        <v>202</v>
      </c>
      <c r="F32" t="s">
        <v>203</v>
      </c>
      <c r="G32" t="s">
        <v>204</v>
      </c>
      <c r="M32" t="s">
        <v>113</v>
      </c>
    </row>
    <row r="33" spans="1:15" x14ac:dyDescent="0.25">
      <c r="A33" t="s">
        <v>144</v>
      </c>
      <c r="B33" t="s">
        <v>196</v>
      </c>
      <c r="C33" t="s">
        <v>112</v>
      </c>
      <c r="F33" t="s">
        <v>200</v>
      </c>
      <c r="G33" t="s">
        <v>201</v>
      </c>
      <c r="M33" t="s">
        <v>113</v>
      </c>
    </row>
    <row r="34" spans="1:15" x14ac:dyDescent="0.25">
      <c r="A34" t="s">
        <v>144</v>
      </c>
      <c r="B34" t="s">
        <v>205</v>
      </c>
      <c r="C34" t="s">
        <v>205</v>
      </c>
      <c r="D34" t="s">
        <v>112</v>
      </c>
      <c r="E34" t="s">
        <v>206</v>
      </c>
      <c r="F34" t="s">
        <v>207</v>
      </c>
      <c r="G34" t="s">
        <v>208</v>
      </c>
      <c r="I34" t="s">
        <v>209</v>
      </c>
      <c r="J34" t="s">
        <v>210</v>
      </c>
      <c r="O34" t="s">
        <v>108</v>
      </c>
    </row>
    <row r="35" spans="1:15" x14ac:dyDescent="0.25">
      <c r="A35" t="s">
        <v>144</v>
      </c>
      <c r="B35" t="s">
        <v>108</v>
      </c>
      <c r="C35" t="s">
        <v>118</v>
      </c>
      <c r="D35" t="s">
        <v>112</v>
      </c>
      <c r="E35" t="s">
        <v>191</v>
      </c>
      <c r="F35" t="s">
        <v>192</v>
      </c>
      <c r="G35" t="s">
        <v>193</v>
      </c>
      <c r="J35" t="s">
        <v>194</v>
      </c>
    </row>
    <row r="36" spans="1:15" x14ac:dyDescent="0.25">
      <c r="A36" t="s">
        <v>144</v>
      </c>
      <c r="B36" t="s">
        <v>118</v>
      </c>
      <c r="C36" t="s">
        <v>195</v>
      </c>
      <c r="D36" t="s">
        <v>196</v>
      </c>
      <c r="E36" t="s">
        <v>197</v>
      </c>
      <c r="F36" t="s">
        <v>198</v>
      </c>
      <c r="G36" t="s">
        <v>199</v>
      </c>
    </row>
    <row r="37" spans="1:15" x14ac:dyDescent="0.25">
      <c r="A37" t="s">
        <v>144</v>
      </c>
      <c r="B37" t="s">
        <v>194</v>
      </c>
      <c r="C37" t="s">
        <v>202</v>
      </c>
      <c r="F37" t="s">
        <v>226</v>
      </c>
      <c r="G37" t="s">
        <v>227</v>
      </c>
      <c r="M37" t="s">
        <v>113</v>
      </c>
    </row>
    <row r="38" spans="1:15" x14ac:dyDescent="0.25">
      <c r="A38" t="s">
        <v>147</v>
      </c>
      <c r="B38" t="s">
        <v>205</v>
      </c>
      <c r="C38" t="s">
        <v>205</v>
      </c>
      <c r="D38" t="s">
        <v>112</v>
      </c>
      <c r="E38" t="s">
        <v>219</v>
      </c>
      <c r="F38" t="s">
        <v>220</v>
      </c>
      <c r="G38" t="s">
        <v>221</v>
      </c>
      <c r="I38" t="s">
        <v>209</v>
      </c>
      <c r="J38" t="s">
        <v>210</v>
      </c>
      <c r="O38" t="s">
        <v>108</v>
      </c>
    </row>
    <row r="39" spans="1:15" x14ac:dyDescent="0.25">
      <c r="A39" t="s">
        <v>147</v>
      </c>
      <c r="B39" t="s">
        <v>118</v>
      </c>
      <c r="C39" t="s">
        <v>195</v>
      </c>
      <c r="D39" t="s">
        <v>112</v>
      </c>
      <c r="E39" t="s">
        <v>191</v>
      </c>
      <c r="F39" t="s">
        <v>192</v>
      </c>
      <c r="G39" t="s">
        <v>193</v>
      </c>
    </row>
    <row r="40" spans="1:15" x14ac:dyDescent="0.25">
      <c r="A40" t="s">
        <v>147</v>
      </c>
      <c r="B40" t="s">
        <v>194</v>
      </c>
      <c r="C40" t="s">
        <v>202</v>
      </c>
      <c r="F40" t="s">
        <v>228</v>
      </c>
      <c r="G40" t="s">
        <v>229</v>
      </c>
      <c r="M40" t="s">
        <v>113</v>
      </c>
    </row>
    <row r="41" spans="1:15" x14ac:dyDescent="0.25">
      <c r="A41" t="s">
        <v>147</v>
      </c>
      <c r="B41" t="s">
        <v>196</v>
      </c>
      <c r="C41" t="s">
        <v>112</v>
      </c>
      <c r="F41" t="s">
        <v>228</v>
      </c>
      <c r="G41" t="s">
        <v>229</v>
      </c>
      <c r="M41" t="s">
        <v>113</v>
      </c>
    </row>
    <row r="42" spans="1:15" x14ac:dyDescent="0.25">
      <c r="A42" t="s">
        <v>147</v>
      </c>
      <c r="B42" t="s">
        <v>108</v>
      </c>
      <c r="C42" t="s">
        <v>118</v>
      </c>
      <c r="D42" t="s">
        <v>112</v>
      </c>
      <c r="E42" t="s">
        <v>191</v>
      </c>
      <c r="F42" t="s">
        <v>192</v>
      </c>
      <c r="G42" t="s">
        <v>193</v>
      </c>
      <c r="J42" t="s">
        <v>194</v>
      </c>
    </row>
    <row r="43" spans="1:15" x14ac:dyDescent="0.25">
      <c r="A43" t="s">
        <v>150</v>
      </c>
      <c r="B43" t="s">
        <v>112</v>
      </c>
      <c r="C43" t="s">
        <v>112</v>
      </c>
      <c r="E43" t="s">
        <v>191</v>
      </c>
      <c r="F43" t="s">
        <v>230</v>
      </c>
      <c r="G43" t="s">
        <v>231</v>
      </c>
      <c r="M43" t="s">
        <v>113</v>
      </c>
    </row>
    <row r="44" spans="1:15" x14ac:dyDescent="0.25">
      <c r="A44" t="s">
        <v>150</v>
      </c>
      <c r="B44" t="s">
        <v>118</v>
      </c>
      <c r="C44" t="s">
        <v>195</v>
      </c>
      <c r="D44" t="s">
        <v>112</v>
      </c>
      <c r="E44" t="s">
        <v>191</v>
      </c>
      <c r="F44" t="s">
        <v>192</v>
      </c>
      <c r="G44" t="s">
        <v>193</v>
      </c>
    </row>
    <row r="45" spans="1:15" x14ac:dyDescent="0.25">
      <c r="A45" t="s">
        <v>150</v>
      </c>
      <c r="B45" t="s">
        <v>196</v>
      </c>
      <c r="C45" t="s">
        <v>112</v>
      </c>
      <c r="F45" t="s">
        <v>216</v>
      </c>
      <c r="G45" t="s">
        <v>217</v>
      </c>
      <c r="M45" t="s">
        <v>218</v>
      </c>
    </row>
    <row r="46" spans="1:15" x14ac:dyDescent="0.25">
      <c r="A46" t="s">
        <v>150</v>
      </c>
      <c r="B46" t="s">
        <v>194</v>
      </c>
      <c r="C46" t="s">
        <v>202</v>
      </c>
      <c r="E46" t="s">
        <v>191</v>
      </c>
      <c r="F46" t="s">
        <v>230</v>
      </c>
      <c r="G46" t="s">
        <v>231</v>
      </c>
      <c r="M46" t="s">
        <v>113</v>
      </c>
    </row>
    <row r="47" spans="1:15" x14ac:dyDescent="0.25">
      <c r="A47" t="s">
        <v>150</v>
      </c>
      <c r="B47" t="s">
        <v>108</v>
      </c>
      <c r="C47" t="s">
        <v>118</v>
      </c>
      <c r="D47" t="s">
        <v>112</v>
      </c>
      <c r="E47" t="s">
        <v>191</v>
      </c>
      <c r="F47" t="s">
        <v>192</v>
      </c>
      <c r="G47" t="s">
        <v>193</v>
      </c>
      <c r="J47" t="s">
        <v>194</v>
      </c>
    </row>
    <row r="48" spans="1:15" x14ac:dyDescent="0.25">
      <c r="A48" t="s">
        <v>150</v>
      </c>
      <c r="B48" t="s">
        <v>205</v>
      </c>
      <c r="C48" t="s">
        <v>205</v>
      </c>
      <c r="D48" t="s">
        <v>112</v>
      </c>
      <c r="E48" t="s">
        <v>213</v>
      </c>
      <c r="F48" t="s">
        <v>214</v>
      </c>
      <c r="G48" t="s">
        <v>215</v>
      </c>
      <c r="I48" t="s">
        <v>209</v>
      </c>
      <c r="J48" t="s">
        <v>210</v>
      </c>
      <c r="O48" t="s">
        <v>108</v>
      </c>
    </row>
    <row r="49" spans="1:15" x14ac:dyDescent="0.25">
      <c r="A49" t="s">
        <v>154</v>
      </c>
      <c r="B49" t="s">
        <v>194</v>
      </c>
      <c r="C49" t="s">
        <v>202</v>
      </c>
      <c r="E49" t="s">
        <v>191</v>
      </c>
      <c r="F49" t="s">
        <v>232</v>
      </c>
      <c r="G49" t="s">
        <v>233</v>
      </c>
      <c r="M49" t="s">
        <v>113</v>
      </c>
    </row>
    <row r="50" spans="1:15" x14ac:dyDescent="0.25">
      <c r="A50" t="s">
        <v>154</v>
      </c>
      <c r="B50" t="s">
        <v>112</v>
      </c>
      <c r="C50" t="s">
        <v>112</v>
      </c>
      <c r="E50" t="s">
        <v>191</v>
      </c>
      <c r="F50" t="s">
        <v>232</v>
      </c>
      <c r="G50" t="s">
        <v>233</v>
      </c>
      <c r="M50" t="s">
        <v>113</v>
      </c>
    </row>
    <row r="51" spans="1:15" x14ac:dyDescent="0.25">
      <c r="A51" t="s">
        <v>154</v>
      </c>
      <c r="B51" t="s">
        <v>118</v>
      </c>
      <c r="C51" t="s">
        <v>195</v>
      </c>
      <c r="D51" t="s">
        <v>112</v>
      </c>
      <c r="E51" t="s">
        <v>191</v>
      </c>
      <c r="F51" t="s">
        <v>192</v>
      </c>
      <c r="G51" t="s">
        <v>193</v>
      </c>
    </row>
    <row r="52" spans="1:15" x14ac:dyDescent="0.25">
      <c r="A52" t="s">
        <v>154</v>
      </c>
      <c r="B52" t="s">
        <v>196</v>
      </c>
      <c r="C52" t="s">
        <v>112</v>
      </c>
      <c r="F52" t="s">
        <v>216</v>
      </c>
      <c r="G52" t="s">
        <v>217</v>
      </c>
      <c r="M52" t="s">
        <v>218</v>
      </c>
    </row>
    <row r="53" spans="1:15" x14ac:dyDescent="0.25">
      <c r="A53" t="s">
        <v>154</v>
      </c>
      <c r="B53" t="s">
        <v>205</v>
      </c>
      <c r="C53" t="s">
        <v>205</v>
      </c>
      <c r="D53" t="s">
        <v>112</v>
      </c>
      <c r="E53" t="s">
        <v>213</v>
      </c>
      <c r="F53" t="s">
        <v>214</v>
      </c>
      <c r="G53" t="s">
        <v>215</v>
      </c>
      <c r="I53" t="s">
        <v>209</v>
      </c>
      <c r="J53" t="s">
        <v>210</v>
      </c>
      <c r="O53" t="s">
        <v>108</v>
      </c>
    </row>
    <row r="54" spans="1:15" x14ac:dyDescent="0.25">
      <c r="A54" t="s">
        <v>154</v>
      </c>
      <c r="B54" t="s">
        <v>108</v>
      </c>
      <c r="C54" t="s">
        <v>118</v>
      </c>
      <c r="D54" t="s">
        <v>112</v>
      </c>
      <c r="E54" t="s">
        <v>191</v>
      </c>
      <c r="F54" t="s">
        <v>192</v>
      </c>
      <c r="G54" t="s">
        <v>193</v>
      </c>
      <c r="J54" t="s">
        <v>194</v>
      </c>
    </row>
    <row r="55" spans="1:15" x14ac:dyDescent="0.25">
      <c r="A55" t="s">
        <v>156</v>
      </c>
      <c r="B55" t="s">
        <v>108</v>
      </c>
      <c r="C55" t="s">
        <v>118</v>
      </c>
      <c r="D55" t="s">
        <v>112</v>
      </c>
      <c r="E55" t="s">
        <v>191</v>
      </c>
      <c r="F55" t="s">
        <v>192</v>
      </c>
      <c r="G55" t="s">
        <v>193</v>
      </c>
      <c r="J55" t="s">
        <v>194</v>
      </c>
    </row>
    <row r="56" spans="1:15" x14ac:dyDescent="0.25">
      <c r="A56" t="s">
        <v>156</v>
      </c>
      <c r="B56" t="s">
        <v>118</v>
      </c>
      <c r="C56" t="s">
        <v>195</v>
      </c>
      <c r="D56" t="s">
        <v>196</v>
      </c>
      <c r="E56" t="s">
        <v>197</v>
      </c>
      <c r="F56" t="s">
        <v>198</v>
      </c>
      <c r="G56" t="s">
        <v>199</v>
      </c>
    </row>
    <row r="57" spans="1:15" x14ac:dyDescent="0.25">
      <c r="A57" t="s">
        <v>156</v>
      </c>
      <c r="B57" t="s">
        <v>194</v>
      </c>
      <c r="C57" t="s">
        <v>202</v>
      </c>
      <c r="F57" t="s">
        <v>224</v>
      </c>
      <c r="G57" t="s">
        <v>225</v>
      </c>
      <c r="M57" t="s">
        <v>113</v>
      </c>
    </row>
    <row r="58" spans="1:15" x14ac:dyDescent="0.25">
      <c r="A58" t="s">
        <v>156</v>
      </c>
      <c r="B58" t="s">
        <v>196</v>
      </c>
      <c r="C58" t="s">
        <v>112</v>
      </c>
      <c r="F58" t="s">
        <v>200</v>
      </c>
      <c r="G58" t="s">
        <v>201</v>
      </c>
      <c r="M58" t="s">
        <v>113</v>
      </c>
    </row>
    <row r="59" spans="1:15" x14ac:dyDescent="0.25">
      <c r="A59" t="s">
        <v>156</v>
      </c>
      <c r="B59" t="s">
        <v>205</v>
      </c>
      <c r="C59" t="s">
        <v>205</v>
      </c>
      <c r="D59" t="s">
        <v>112</v>
      </c>
      <c r="E59" t="s">
        <v>206</v>
      </c>
      <c r="F59" t="s">
        <v>207</v>
      </c>
      <c r="G59" t="s">
        <v>208</v>
      </c>
      <c r="I59" t="s">
        <v>209</v>
      </c>
      <c r="J59" t="s">
        <v>210</v>
      </c>
      <c r="O59" t="s">
        <v>108</v>
      </c>
    </row>
    <row r="60" spans="1:15" x14ac:dyDescent="0.25">
      <c r="A60" t="s">
        <v>158</v>
      </c>
      <c r="B60" t="s">
        <v>112</v>
      </c>
      <c r="C60" t="s">
        <v>112</v>
      </c>
      <c r="E60" t="s">
        <v>191</v>
      </c>
      <c r="F60" t="s">
        <v>230</v>
      </c>
      <c r="G60" t="s">
        <v>234</v>
      </c>
      <c r="M60" t="s">
        <v>113</v>
      </c>
    </row>
    <row r="61" spans="1:15" x14ac:dyDescent="0.25">
      <c r="A61" t="s">
        <v>158</v>
      </c>
      <c r="B61" t="s">
        <v>205</v>
      </c>
      <c r="C61" t="s">
        <v>205</v>
      </c>
      <c r="D61" t="s">
        <v>112</v>
      </c>
      <c r="E61" t="s">
        <v>213</v>
      </c>
      <c r="F61" t="s">
        <v>214</v>
      </c>
      <c r="G61" t="s">
        <v>215</v>
      </c>
      <c r="I61" t="s">
        <v>209</v>
      </c>
      <c r="J61" t="s">
        <v>210</v>
      </c>
      <c r="O61" t="s">
        <v>108</v>
      </c>
    </row>
    <row r="62" spans="1:15" x14ac:dyDescent="0.25">
      <c r="A62" t="s">
        <v>158</v>
      </c>
      <c r="B62" t="s">
        <v>108</v>
      </c>
      <c r="C62" t="s">
        <v>118</v>
      </c>
      <c r="D62" t="s">
        <v>112</v>
      </c>
      <c r="E62" t="s">
        <v>191</v>
      </c>
      <c r="F62" t="s">
        <v>192</v>
      </c>
      <c r="G62" t="s">
        <v>193</v>
      </c>
      <c r="J62" t="s">
        <v>194</v>
      </c>
    </row>
    <row r="63" spans="1:15" x14ac:dyDescent="0.25">
      <c r="A63" t="s">
        <v>158</v>
      </c>
      <c r="B63" t="s">
        <v>118</v>
      </c>
      <c r="C63" t="s">
        <v>195</v>
      </c>
      <c r="D63" t="s">
        <v>112</v>
      </c>
      <c r="E63" t="s">
        <v>191</v>
      </c>
      <c r="F63" t="s">
        <v>192</v>
      </c>
      <c r="G63" t="s">
        <v>193</v>
      </c>
    </row>
    <row r="64" spans="1:15" x14ac:dyDescent="0.25">
      <c r="A64" t="s">
        <v>158</v>
      </c>
      <c r="B64" t="s">
        <v>196</v>
      </c>
      <c r="C64" t="s">
        <v>112</v>
      </c>
      <c r="F64" t="s">
        <v>216</v>
      </c>
      <c r="G64" t="s">
        <v>217</v>
      </c>
      <c r="M64" t="s">
        <v>218</v>
      </c>
    </row>
    <row r="65" spans="1:15" x14ac:dyDescent="0.25">
      <c r="A65" t="s">
        <v>158</v>
      </c>
      <c r="B65" t="s">
        <v>194</v>
      </c>
      <c r="C65" t="s">
        <v>202</v>
      </c>
      <c r="E65" t="s">
        <v>191</v>
      </c>
      <c r="F65" t="s">
        <v>230</v>
      </c>
      <c r="G65" t="s">
        <v>234</v>
      </c>
      <c r="M65" t="s">
        <v>113</v>
      </c>
    </row>
    <row r="66" spans="1:15" x14ac:dyDescent="0.25">
      <c r="A66" t="s">
        <v>160</v>
      </c>
      <c r="B66" t="s">
        <v>194</v>
      </c>
      <c r="C66" t="s">
        <v>202</v>
      </c>
      <c r="F66" t="s">
        <v>235</v>
      </c>
      <c r="G66" t="s">
        <v>236</v>
      </c>
      <c r="M66" t="s">
        <v>113</v>
      </c>
    </row>
    <row r="67" spans="1:15" x14ac:dyDescent="0.25">
      <c r="A67" t="s">
        <v>160</v>
      </c>
      <c r="B67" t="s">
        <v>108</v>
      </c>
      <c r="C67" t="s">
        <v>118</v>
      </c>
      <c r="D67" t="s">
        <v>112</v>
      </c>
      <c r="E67" t="s">
        <v>191</v>
      </c>
      <c r="F67" t="s">
        <v>192</v>
      </c>
      <c r="G67" t="s">
        <v>193</v>
      </c>
      <c r="J67" t="s">
        <v>194</v>
      </c>
    </row>
    <row r="68" spans="1:15" x14ac:dyDescent="0.25">
      <c r="A68" t="s">
        <v>160</v>
      </c>
      <c r="B68" t="s">
        <v>118</v>
      </c>
      <c r="C68" t="s">
        <v>195</v>
      </c>
      <c r="D68" t="s">
        <v>196</v>
      </c>
      <c r="E68" t="s">
        <v>197</v>
      </c>
      <c r="F68" t="s">
        <v>198</v>
      </c>
      <c r="G68" t="s">
        <v>199</v>
      </c>
    </row>
    <row r="69" spans="1:15" x14ac:dyDescent="0.25">
      <c r="A69" t="s">
        <v>160</v>
      </c>
      <c r="B69" t="s">
        <v>196</v>
      </c>
      <c r="C69" t="s">
        <v>112</v>
      </c>
      <c r="F69" t="s">
        <v>200</v>
      </c>
      <c r="G69" t="s">
        <v>201</v>
      </c>
      <c r="M69" t="s">
        <v>113</v>
      </c>
    </row>
    <row r="70" spans="1:15" x14ac:dyDescent="0.25">
      <c r="A70" t="s">
        <v>160</v>
      </c>
      <c r="B70" t="s">
        <v>205</v>
      </c>
      <c r="C70" t="s">
        <v>205</v>
      </c>
      <c r="D70" t="s">
        <v>112</v>
      </c>
      <c r="E70" t="s">
        <v>206</v>
      </c>
      <c r="F70" t="s">
        <v>207</v>
      </c>
      <c r="G70" t="s">
        <v>208</v>
      </c>
      <c r="I70" t="s">
        <v>209</v>
      </c>
      <c r="J70" t="s">
        <v>210</v>
      </c>
      <c r="O70" t="s">
        <v>108</v>
      </c>
    </row>
    <row r="71" spans="1:15" x14ac:dyDescent="0.25">
      <c r="A71" t="s">
        <v>162</v>
      </c>
      <c r="B71" t="s">
        <v>118</v>
      </c>
      <c r="C71" t="s">
        <v>118</v>
      </c>
      <c r="D71" t="s">
        <v>112</v>
      </c>
      <c r="E71" t="s">
        <v>191</v>
      </c>
      <c r="F71" t="s">
        <v>192</v>
      </c>
      <c r="G71" t="s">
        <v>193</v>
      </c>
      <c r="H71" t="s">
        <v>237</v>
      </c>
      <c r="J71" t="s">
        <v>194</v>
      </c>
    </row>
    <row r="72" spans="1:15" x14ac:dyDescent="0.25">
      <c r="A72" t="s">
        <v>162</v>
      </c>
      <c r="B72" t="s">
        <v>238</v>
      </c>
      <c r="C72" t="s">
        <v>195</v>
      </c>
      <c r="D72" t="s">
        <v>112</v>
      </c>
      <c r="E72" t="s">
        <v>191</v>
      </c>
      <c r="F72" t="s">
        <v>192</v>
      </c>
      <c r="G72" t="s">
        <v>193</v>
      </c>
    </row>
    <row r="73" spans="1:15" x14ac:dyDescent="0.25">
      <c r="A73" t="s">
        <v>162</v>
      </c>
      <c r="B73" t="s">
        <v>205</v>
      </c>
      <c r="C73" t="s">
        <v>205</v>
      </c>
      <c r="I73" t="s">
        <v>209</v>
      </c>
      <c r="J73" t="s">
        <v>210</v>
      </c>
    </row>
    <row r="74" spans="1:15" x14ac:dyDescent="0.25">
      <c r="A74" t="s">
        <v>162</v>
      </c>
      <c r="B74" t="s">
        <v>112</v>
      </c>
      <c r="C74" t="s">
        <v>112</v>
      </c>
      <c r="F74" t="s">
        <v>239</v>
      </c>
      <c r="G74" t="s">
        <v>240</v>
      </c>
      <c r="M74" t="s">
        <v>163</v>
      </c>
    </row>
    <row r="75" spans="1:15" x14ac:dyDescent="0.25">
      <c r="A75" t="s">
        <v>162</v>
      </c>
      <c r="B75" t="s">
        <v>202</v>
      </c>
      <c r="C75" t="s">
        <v>202</v>
      </c>
      <c r="F75" t="s">
        <v>239</v>
      </c>
      <c r="G75" t="s">
        <v>240</v>
      </c>
      <c r="M75" t="s">
        <v>163</v>
      </c>
    </row>
    <row r="76" spans="1:15" x14ac:dyDescent="0.25">
      <c r="A76" t="s">
        <v>166</v>
      </c>
      <c r="B76" t="s">
        <v>196</v>
      </c>
      <c r="C76" t="s">
        <v>112</v>
      </c>
      <c r="F76" t="s">
        <v>200</v>
      </c>
      <c r="G76" t="s">
        <v>201</v>
      </c>
      <c r="M76" t="s">
        <v>113</v>
      </c>
    </row>
    <row r="77" spans="1:15" x14ac:dyDescent="0.25">
      <c r="A77" t="s">
        <v>166</v>
      </c>
      <c r="B77" t="s">
        <v>205</v>
      </c>
      <c r="C77" t="s">
        <v>205</v>
      </c>
      <c r="D77" t="s">
        <v>112</v>
      </c>
      <c r="E77" t="s">
        <v>206</v>
      </c>
      <c r="F77" t="s">
        <v>207</v>
      </c>
      <c r="G77" t="s">
        <v>208</v>
      </c>
      <c r="I77" t="s">
        <v>209</v>
      </c>
      <c r="J77" t="s">
        <v>210</v>
      </c>
      <c r="O77" t="s">
        <v>108</v>
      </c>
    </row>
    <row r="78" spans="1:15" x14ac:dyDescent="0.25">
      <c r="A78" t="s">
        <v>166</v>
      </c>
      <c r="B78" t="s">
        <v>118</v>
      </c>
      <c r="C78" t="s">
        <v>195</v>
      </c>
      <c r="D78" t="s">
        <v>196</v>
      </c>
      <c r="E78" t="s">
        <v>197</v>
      </c>
      <c r="F78" t="s">
        <v>198</v>
      </c>
      <c r="G78" t="s">
        <v>199</v>
      </c>
    </row>
    <row r="79" spans="1:15" x14ac:dyDescent="0.25">
      <c r="A79" t="s">
        <v>166</v>
      </c>
      <c r="B79" t="s">
        <v>194</v>
      </c>
      <c r="C79" t="s">
        <v>202</v>
      </c>
      <c r="F79" t="s">
        <v>224</v>
      </c>
      <c r="G79" t="s">
        <v>225</v>
      </c>
      <c r="M79" t="s">
        <v>113</v>
      </c>
    </row>
    <row r="80" spans="1:15" x14ac:dyDescent="0.25">
      <c r="A80" t="s">
        <v>166</v>
      </c>
      <c r="B80" t="s">
        <v>108</v>
      </c>
      <c r="C80" t="s">
        <v>118</v>
      </c>
      <c r="D80" t="s">
        <v>112</v>
      </c>
      <c r="E80" t="s">
        <v>191</v>
      </c>
      <c r="F80" t="s">
        <v>192</v>
      </c>
      <c r="G80" t="s">
        <v>193</v>
      </c>
      <c r="J80" t="s">
        <v>194</v>
      </c>
    </row>
    <row r="81" spans="1:15" x14ac:dyDescent="0.25">
      <c r="A81" t="s">
        <v>168</v>
      </c>
      <c r="B81" t="s">
        <v>196</v>
      </c>
      <c r="C81" t="s">
        <v>112</v>
      </c>
      <c r="F81" t="s">
        <v>200</v>
      </c>
      <c r="G81" t="s">
        <v>201</v>
      </c>
      <c r="M81" t="s">
        <v>113</v>
      </c>
    </row>
    <row r="82" spans="1:15" x14ac:dyDescent="0.25">
      <c r="A82" t="s">
        <v>168</v>
      </c>
      <c r="B82" t="s">
        <v>205</v>
      </c>
      <c r="C82" t="s">
        <v>205</v>
      </c>
      <c r="D82" t="s">
        <v>112</v>
      </c>
      <c r="E82" t="s">
        <v>206</v>
      </c>
      <c r="F82" t="s">
        <v>207</v>
      </c>
      <c r="G82" t="s">
        <v>208</v>
      </c>
      <c r="I82" t="s">
        <v>209</v>
      </c>
      <c r="J82" t="s">
        <v>210</v>
      </c>
      <c r="O82" t="s">
        <v>108</v>
      </c>
    </row>
    <row r="83" spans="1:15" x14ac:dyDescent="0.25">
      <c r="A83" t="s">
        <v>168</v>
      </c>
      <c r="B83" t="s">
        <v>108</v>
      </c>
      <c r="C83" t="s">
        <v>118</v>
      </c>
      <c r="D83" t="s">
        <v>112</v>
      </c>
      <c r="E83" t="s">
        <v>191</v>
      </c>
      <c r="F83" t="s">
        <v>192</v>
      </c>
      <c r="G83" t="s">
        <v>193</v>
      </c>
      <c r="J83" t="s">
        <v>194</v>
      </c>
    </row>
    <row r="84" spans="1:15" x14ac:dyDescent="0.25">
      <c r="A84" t="s">
        <v>168</v>
      </c>
      <c r="B84" t="s">
        <v>118</v>
      </c>
      <c r="C84" t="s">
        <v>195</v>
      </c>
      <c r="D84" t="s">
        <v>196</v>
      </c>
      <c r="E84" t="s">
        <v>241</v>
      </c>
      <c r="F84" t="s">
        <v>198</v>
      </c>
      <c r="G84" t="s">
        <v>199</v>
      </c>
    </row>
    <row r="85" spans="1:15" x14ac:dyDescent="0.25">
      <c r="A85" t="s">
        <v>168</v>
      </c>
      <c r="B85" t="s">
        <v>194</v>
      </c>
      <c r="C85" t="s">
        <v>202</v>
      </c>
      <c r="F85" t="s">
        <v>242</v>
      </c>
      <c r="G85" t="s">
        <v>243</v>
      </c>
      <c r="M85" t="s">
        <v>113</v>
      </c>
    </row>
    <row r="86" spans="1:15" x14ac:dyDescent="0.25">
      <c r="A86" t="s">
        <v>170</v>
      </c>
      <c r="B86" t="s">
        <v>196</v>
      </c>
      <c r="C86" t="s">
        <v>112</v>
      </c>
      <c r="F86" t="s">
        <v>200</v>
      </c>
      <c r="G86" t="s">
        <v>201</v>
      </c>
      <c r="M86" t="s">
        <v>113</v>
      </c>
    </row>
    <row r="87" spans="1:15" x14ac:dyDescent="0.25">
      <c r="A87" t="s">
        <v>170</v>
      </c>
      <c r="B87" t="s">
        <v>205</v>
      </c>
      <c r="C87" t="s">
        <v>205</v>
      </c>
      <c r="D87" t="s">
        <v>112</v>
      </c>
      <c r="E87" t="s">
        <v>206</v>
      </c>
      <c r="F87" t="s">
        <v>207</v>
      </c>
      <c r="G87" t="s">
        <v>208</v>
      </c>
      <c r="I87" t="s">
        <v>209</v>
      </c>
      <c r="J87" t="s">
        <v>210</v>
      </c>
      <c r="O87" t="s">
        <v>108</v>
      </c>
    </row>
    <row r="88" spans="1:15" x14ac:dyDescent="0.25">
      <c r="A88" t="s">
        <v>170</v>
      </c>
      <c r="B88" t="s">
        <v>108</v>
      </c>
      <c r="C88" t="s">
        <v>118</v>
      </c>
      <c r="D88" t="s">
        <v>112</v>
      </c>
      <c r="E88" t="s">
        <v>191</v>
      </c>
      <c r="F88" t="s">
        <v>192</v>
      </c>
      <c r="G88" t="s">
        <v>193</v>
      </c>
      <c r="J88" t="s">
        <v>194</v>
      </c>
    </row>
    <row r="89" spans="1:15" x14ac:dyDescent="0.25">
      <c r="A89" t="s">
        <v>170</v>
      </c>
      <c r="B89" t="s">
        <v>118</v>
      </c>
      <c r="C89" t="s">
        <v>195</v>
      </c>
      <c r="D89" t="s">
        <v>196</v>
      </c>
      <c r="E89" t="s">
        <v>197</v>
      </c>
      <c r="F89" t="s">
        <v>198</v>
      </c>
      <c r="G89" t="s">
        <v>199</v>
      </c>
    </row>
    <row r="90" spans="1:15" x14ac:dyDescent="0.25">
      <c r="A90" t="s">
        <v>170</v>
      </c>
      <c r="B90" t="s">
        <v>194</v>
      </c>
      <c r="C90" t="s">
        <v>202</v>
      </c>
      <c r="F90" t="s">
        <v>242</v>
      </c>
      <c r="G90" t="s">
        <v>243</v>
      </c>
      <c r="M90" t="s">
        <v>113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9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9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176</v>
      </c>
      <c r="C1" s="1" t="s">
        <v>1</v>
      </c>
      <c r="D1" s="1" t="s">
        <v>244</v>
      </c>
      <c r="E1" s="1" t="s">
        <v>245</v>
      </c>
      <c r="F1" s="1" t="s">
        <v>246</v>
      </c>
      <c r="G1" s="1" t="s">
        <v>247</v>
      </c>
    </row>
    <row r="2" spans="1:7" x14ac:dyDescent="0.25">
      <c r="A2" t="s">
        <v>104</v>
      </c>
      <c r="B2">
        <v>5</v>
      </c>
      <c r="C2" t="s">
        <v>205</v>
      </c>
      <c r="D2" t="s">
        <v>248</v>
      </c>
      <c r="E2" t="s">
        <v>249</v>
      </c>
    </row>
    <row r="3" spans="1:7" x14ac:dyDescent="0.25">
      <c r="A3" t="s">
        <v>104</v>
      </c>
      <c r="B3">
        <v>6</v>
      </c>
      <c r="C3" t="s">
        <v>205</v>
      </c>
      <c r="D3" t="s">
        <v>250</v>
      </c>
      <c r="E3" t="s">
        <v>249</v>
      </c>
    </row>
    <row r="4" spans="1:7" x14ac:dyDescent="0.25">
      <c r="A4" t="s">
        <v>104</v>
      </c>
      <c r="B4">
        <v>7</v>
      </c>
      <c r="C4" t="s">
        <v>205</v>
      </c>
      <c r="D4" t="s">
        <v>251</v>
      </c>
      <c r="E4" t="s">
        <v>252</v>
      </c>
    </row>
    <row r="5" spans="1:7" x14ac:dyDescent="0.25">
      <c r="A5" t="s">
        <v>104</v>
      </c>
      <c r="B5">
        <v>1</v>
      </c>
      <c r="C5" t="s">
        <v>253</v>
      </c>
      <c r="D5" t="s">
        <v>254</v>
      </c>
      <c r="E5" t="s">
        <v>255</v>
      </c>
    </row>
    <row r="6" spans="1:7" x14ac:dyDescent="0.25">
      <c r="A6" t="s">
        <v>104</v>
      </c>
      <c r="B6">
        <v>2</v>
      </c>
      <c r="C6" t="s">
        <v>256</v>
      </c>
      <c r="D6" t="s">
        <v>257</v>
      </c>
      <c r="E6" t="s">
        <v>117</v>
      </c>
    </row>
    <row r="7" spans="1:7" x14ac:dyDescent="0.25">
      <c r="A7" t="s">
        <v>104</v>
      </c>
      <c r="B7">
        <v>3</v>
      </c>
      <c r="C7" t="s">
        <v>258</v>
      </c>
      <c r="D7" t="s">
        <v>257</v>
      </c>
      <c r="E7" t="s">
        <v>117</v>
      </c>
    </row>
    <row r="8" spans="1:7" x14ac:dyDescent="0.25">
      <c r="A8" t="s">
        <v>104</v>
      </c>
      <c r="B8">
        <v>4</v>
      </c>
      <c r="C8" t="s">
        <v>205</v>
      </c>
      <c r="D8" t="s">
        <v>259</v>
      </c>
      <c r="E8" t="s">
        <v>249</v>
      </c>
    </row>
    <row r="9" spans="1:7" x14ac:dyDescent="0.25">
      <c r="A9" t="s">
        <v>127</v>
      </c>
      <c r="B9">
        <v>1</v>
      </c>
      <c r="C9" t="s">
        <v>253</v>
      </c>
      <c r="D9" t="s">
        <v>254</v>
      </c>
      <c r="E9" t="s">
        <v>255</v>
      </c>
    </row>
    <row r="10" spans="1:7" x14ac:dyDescent="0.25">
      <c r="A10" t="s">
        <v>127</v>
      </c>
      <c r="B10">
        <v>2</v>
      </c>
      <c r="C10" t="s">
        <v>256</v>
      </c>
      <c r="D10" t="s">
        <v>260</v>
      </c>
      <c r="E10" t="s">
        <v>117</v>
      </c>
    </row>
    <row r="11" spans="1:7" x14ac:dyDescent="0.25">
      <c r="A11" t="s">
        <v>127</v>
      </c>
      <c r="B11">
        <v>3</v>
      </c>
      <c r="C11" t="s">
        <v>258</v>
      </c>
      <c r="D11" t="s">
        <v>260</v>
      </c>
      <c r="E11" t="s">
        <v>117</v>
      </c>
    </row>
    <row r="12" spans="1:7" x14ac:dyDescent="0.25">
      <c r="A12" t="s">
        <v>127</v>
      </c>
      <c r="B12">
        <v>4</v>
      </c>
      <c r="C12" t="s">
        <v>205</v>
      </c>
      <c r="D12" t="s">
        <v>259</v>
      </c>
      <c r="E12" t="s">
        <v>249</v>
      </c>
    </row>
    <row r="13" spans="1:7" x14ac:dyDescent="0.25">
      <c r="A13" t="s">
        <v>127</v>
      </c>
      <c r="B13">
        <v>5</v>
      </c>
      <c r="C13" t="s">
        <v>205</v>
      </c>
      <c r="D13" t="s">
        <v>248</v>
      </c>
      <c r="E13" t="s">
        <v>249</v>
      </c>
    </row>
    <row r="14" spans="1:7" x14ac:dyDescent="0.25">
      <c r="A14" t="s">
        <v>127</v>
      </c>
      <c r="B14">
        <v>6</v>
      </c>
      <c r="C14" t="s">
        <v>205</v>
      </c>
      <c r="D14" t="s">
        <v>250</v>
      </c>
      <c r="E14" t="s">
        <v>249</v>
      </c>
    </row>
    <row r="15" spans="1:7" x14ac:dyDescent="0.25">
      <c r="A15" t="s">
        <v>127</v>
      </c>
      <c r="B15">
        <v>7</v>
      </c>
      <c r="C15" t="s">
        <v>205</v>
      </c>
      <c r="D15" t="s">
        <v>251</v>
      </c>
      <c r="E15" t="s">
        <v>252</v>
      </c>
    </row>
    <row r="16" spans="1:7" x14ac:dyDescent="0.25">
      <c r="A16" t="s">
        <v>129</v>
      </c>
      <c r="B16">
        <v>1</v>
      </c>
      <c r="C16" t="s">
        <v>253</v>
      </c>
      <c r="D16" t="s">
        <v>254</v>
      </c>
      <c r="E16" t="s">
        <v>255</v>
      </c>
    </row>
    <row r="17" spans="1:5" x14ac:dyDescent="0.25">
      <c r="A17" t="s">
        <v>129</v>
      </c>
      <c r="B17">
        <v>2</v>
      </c>
      <c r="C17" t="s">
        <v>256</v>
      </c>
      <c r="D17" t="s">
        <v>261</v>
      </c>
      <c r="E17" t="s">
        <v>117</v>
      </c>
    </row>
    <row r="18" spans="1:5" x14ac:dyDescent="0.25">
      <c r="A18" t="s">
        <v>129</v>
      </c>
      <c r="B18">
        <v>3</v>
      </c>
      <c r="C18" t="s">
        <v>258</v>
      </c>
      <c r="D18" t="s">
        <v>261</v>
      </c>
      <c r="E18" t="s">
        <v>117</v>
      </c>
    </row>
    <row r="19" spans="1:5" x14ac:dyDescent="0.25">
      <c r="A19" t="s">
        <v>129</v>
      </c>
      <c r="B19">
        <v>4</v>
      </c>
      <c r="C19" t="s">
        <v>262</v>
      </c>
      <c r="D19" t="s">
        <v>263</v>
      </c>
      <c r="E19" t="s">
        <v>117</v>
      </c>
    </row>
    <row r="20" spans="1:5" x14ac:dyDescent="0.25">
      <c r="A20" t="s">
        <v>135</v>
      </c>
      <c r="B20">
        <v>1</v>
      </c>
      <c r="C20" t="s">
        <v>253</v>
      </c>
      <c r="D20" t="s">
        <v>254</v>
      </c>
      <c r="E20" t="s">
        <v>255</v>
      </c>
    </row>
    <row r="21" spans="1:5" x14ac:dyDescent="0.25">
      <c r="A21" t="s">
        <v>135</v>
      </c>
      <c r="B21">
        <v>2</v>
      </c>
      <c r="C21" t="s">
        <v>256</v>
      </c>
      <c r="D21" t="s">
        <v>264</v>
      </c>
      <c r="E21" t="s">
        <v>117</v>
      </c>
    </row>
    <row r="22" spans="1:5" x14ac:dyDescent="0.25">
      <c r="A22" t="s">
        <v>135</v>
      </c>
      <c r="B22">
        <v>3</v>
      </c>
      <c r="C22" t="s">
        <v>258</v>
      </c>
      <c r="D22" t="s">
        <v>264</v>
      </c>
      <c r="E22" t="s">
        <v>117</v>
      </c>
    </row>
    <row r="23" spans="1:5" x14ac:dyDescent="0.25">
      <c r="A23" t="s">
        <v>135</v>
      </c>
      <c r="B23">
        <v>4</v>
      </c>
      <c r="C23" t="s">
        <v>262</v>
      </c>
      <c r="D23" t="s">
        <v>265</v>
      </c>
      <c r="E23" t="s">
        <v>117</v>
      </c>
    </row>
    <row r="24" spans="1:5" x14ac:dyDescent="0.25">
      <c r="A24" t="s">
        <v>140</v>
      </c>
      <c r="B24">
        <v>1</v>
      </c>
      <c r="C24" t="s">
        <v>253</v>
      </c>
      <c r="D24" t="s">
        <v>254</v>
      </c>
      <c r="E24" t="s">
        <v>255</v>
      </c>
    </row>
    <row r="25" spans="1:5" x14ac:dyDescent="0.25">
      <c r="A25" t="s">
        <v>140</v>
      </c>
      <c r="B25">
        <v>2</v>
      </c>
      <c r="C25" t="s">
        <v>256</v>
      </c>
      <c r="D25" t="s">
        <v>266</v>
      </c>
      <c r="E25" t="s">
        <v>117</v>
      </c>
    </row>
    <row r="26" spans="1:5" x14ac:dyDescent="0.25">
      <c r="A26" t="s">
        <v>140</v>
      </c>
      <c r="B26">
        <v>3</v>
      </c>
      <c r="C26" t="s">
        <v>258</v>
      </c>
      <c r="D26" t="s">
        <v>266</v>
      </c>
      <c r="E26" t="s">
        <v>117</v>
      </c>
    </row>
    <row r="27" spans="1:5" x14ac:dyDescent="0.25">
      <c r="A27" t="s">
        <v>140</v>
      </c>
      <c r="B27">
        <v>4</v>
      </c>
      <c r="C27" t="s">
        <v>205</v>
      </c>
      <c r="D27" t="s">
        <v>267</v>
      </c>
      <c r="E27" t="s">
        <v>268</v>
      </c>
    </row>
    <row r="28" spans="1:5" x14ac:dyDescent="0.25">
      <c r="A28" t="s">
        <v>140</v>
      </c>
      <c r="B28">
        <v>5</v>
      </c>
      <c r="C28" t="s">
        <v>205</v>
      </c>
      <c r="D28" t="s">
        <v>269</v>
      </c>
      <c r="E28" t="s">
        <v>270</v>
      </c>
    </row>
    <row r="29" spans="1:5" x14ac:dyDescent="0.25">
      <c r="A29" t="s">
        <v>140</v>
      </c>
      <c r="B29">
        <v>6</v>
      </c>
      <c r="C29" t="s">
        <v>205</v>
      </c>
      <c r="D29" t="s">
        <v>271</v>
      </c>
      <c r="E29" t="s">
        <v>272</v>
      </c>
    </row>
    <row r="30" spans="1:5" x14ac:dyDescent="0.25">
      <c r="A30" t="s">
        <v>142</v>
      </c>
      <c r="B30">
        <v>1</v>
      </c>
      <c r="C30" t="s">
        <v>253</v>
      </c>
      <c r="D30" t="s">
        <v>254</v>
      </c>
      <c r="E30" t="s">
        <v>255</v>
      </c>
    </row>
    <row r="31" spans="1:5" x14ac:dyDescent="0.25">
      <c r="A31" t="s">
        <v>142</v>
      </c>
      <c r="B31">
        <v>2</v>
      </c>
      <c r="C31" t="s">
        <v>256</v>
      </c>
      <c r="D31" t="s">
        <v>273</v>
      </c>
      <c r="E31" t="s">
        <v>117</v>
      </c>
    </row>
    <row r="32" spans="1:5" x14ac:dyDescent="0.25">
      <c r="A32" t="s">
        <v>142</v>
      </c>
      <c r="B32">
        <v>3</v>
      </c>
      <c r="C32" t="s">
        <v>258</v>
      </c>
      <c r="D32" t="s">
        <v>273</v>
      </c>
      <c r="E32" t="s">
        <v>117</v>
      </c>
    </row>
    <row r="33" spans="1:5" x14ac:dyDescent="0.25">
      <c r="A33" t="s">
        <v>142</v>
      </c>
      <c r="B33">
        <v>4</v>
      </c>
      <c r="C33" t="s">
        <v>205</v>
      </c>
      <c r="D33" t="s">
        <v>274</v>
      </c>
      <c r="E33" t="s">
        <v>275</v>
      </c>
    </row>
    <row r="34" spans="1:5" x14ac:dyDescent="0.25">
      <c r="A34" t="s">
        <v>142</v>
      </c>
      <c r="B34">
        <v>5</v>
      </c>
      <c r="C34" t="s">
        <v>205</v>
      </c>
      <c r="D34" t="s">
        <v>276</v>
      </c>
      <c r="E34" t="s">
        <v>277</v>
      </c>
    </row>
    <row r="35" spans="1:5" x14ac:dyDescent="0.25">
      <c r="A35" t="s">
        <v>142</v>
      </c>
      <c r="B35">
        <v>6</v>
      </c>
      <c r="C35" t="s">
        <v>205</v>
      </c>
      <c r="D35" t="s">
        <v>278</v>
      </c>
      <c r="E35" t="s">
        <v>279</v>
      </c>
    </row>
    <row r="36" spans="1:5" x14ac:dyDescent="0.25">
      <c r="A36" t="s">
        <v>144</v>
      </c>
      <c r="B36">
        <v>1</v>
      </c>
      <c r="C36" t="s">
        <v>253</v>
      </c>
      <c r="D36" t="s">
        <v>254</v>
      </c>
      <c r="E36" t="s">
        <v>255</v>
      </c>
    </row>
    <row r="37" spans="1:5" x14ac:dyDescent="0.25">
      <c r="A37" t="s">
        <v>144</v>
      </c>
      <c r="B37">
        <v>2</v>
      </c>
      <c r="C37" t="s">
        <v>256</v>
      </c>
      <c r="D37" t="s">
        <v>280</v>
      </c>
      <c r="E37" t="s">
        <v>117</v>
      </c>
    </row>
    <row r="38" spans="1:5" x14ac:dyDescent="0.25">
      <c r="A38" t="s">
        <v>144</v>
      </c>
      <c r="B38">
        <v>3</v>
      </c>
      <c r="C38" t="s">
        <v>258</v>
      </c>
      <c r="D38" t="s">
        <v>280</v>
      </c>
      <c r="E38" t="s">
        <v>117</v>
      </c>
    </row>
    <row r="39" spans="1:5" x14ac:dyDescent="0.25">
      <c r="A39" t="s">
        <v>144</v>
      </c>
      <c r="B39">
        <v>4</v>
      </c>
      <c r="C39" t="s">
        <v>205</v>
      </c>
      <c r="D39" t="s">
        <v>267</v>
      </c>
      <c r="E39" t="s">
        <v>268</v>
      </c>
    </row>
    <row r="40" spans="1:5" x14ac:dyDescent="0.25">
      <c r="A40" t="s">
        <v>144</v>
      </c>
      <c r="B40">
        <v>5</v>
      </c>
      <c r="C40" t="s">
        <v>205</v>
      </c>
      <c r="D40" t="s">
        <v>269</v>
      </c>
      <c r="E40" t="s">
        <v>270</v>
      </c>
    </row>
    <row r="41" spans="1:5" x14ac:dyDescent="0.25">
      <c r="A41" t="s">
        <v>144</v>
      </c>
      <c r="B41">
        <v>6</v>
      </c>
      <c r="C41" t="s">
        <v>205</v>
      </c>
      <c r="D41" t="s">
        <v>271</v>
      </c>
      <c r="E41" t="s">
        <v>272</v>
      </c>
    </row>
    <row r="42" spans="1:5" x14ac:dyDescent="0.25">
      <c r="A42" t="s">
        <v>147</v>
      </c>
      <c r="B42">
        <v>1</v>
      </c>
      <c r="C42" t="s">
        <v>253</v>
      </c>
      <c r="D42" t="s">
        <v>254</v>
      </c>
      <c r="E42" t="s">
        <v>255</v>
      </c>
    </row>
    <row r="43" spans="1:5" x14ac:dyDescent="0.25">
      <c r="A43" t="s">
        <v>147</v>
      </c>
      <c r="B43">
        <v>2</v>
      </c>
      <c r="C43" t="s">
        <v>256</v>
      </c>
      <c r="D43" t="s">
        <v>281</v>
      </c>
      <c r="E43" t="s">
        <v>117</v>
      </c>
    </row>
    <row r="44" spans="1:5" x14ac:dyDescent="0.25">
      <c r="A44" t="s">
        <v>147</v>
      </c>
      <c r="B44">
        <v>3</v>
      </c>
      <c r="C44" t="s">
        <v>258</v>
      </c>
      <c r="D44" t="s">
        <v>281</v>
      </c>
      <c r="E44" t="s">
        <v>117</v>
      </c>
    </row>
    <row r="45" spans="1:5" x14ac:dyDescent="0.25">
      <c r="A45" t="s">
        <v>147</v>
      </c>
      <c r="B45">
        <v>4</v>
      </c>
      <c r="C45" t="s">
        <v>262</v>
      </c>
      <c r="D45" t="s">
        <v>282</v>
      </c>
      <c r="E45" t="s">
        <v>117</v>
      </c>
    </row>
    <row r="46" spans="1:5" x14ac:dyDescent="0.25">
      <c r="A46" t="s">
        <v>147</v>
      </c>
      <c r="B46">
        <v>5</v>
      </c>
      <c r="C46" t="s">
        <v>205</v>
      </c>
      <c r="D46" t="s">
        <v>283</v>
      </c>
      <c r="E46" t="s">
        <v>284</v>
      </c>
    </row>
    <row r="47" spans="1:5" x14ac:dyDescent="0.25">
      <c r="A47" t="s">
        <v>147</v>
      </c>
      <c r="B47">
        <v>6</v>
      </c>
      <c r="C47" t="s">
        <v>205</v>
      </c>
      <c r="D47" t="s">
        <v>285</v>
      </c>
      <c r="E47" t="s">
        <v>286</v>
      </c>
    </row>
    <row r="48" spans="1:5" x14ac:dyDescent="0.25">
      <c r="A48" t="s">
        <v>150</v>
      </c>
      <c r="B48">
        <v>1</v>
      </c>
      <c r="C48" t="s">
        <v>253</v>
      </c>
      <c r="D48" t="s">
        <v>254</v>
      </c>
      <c r="E48" t="s">
        <v>255</v>
      </c>
    </row>
    <row r="49" spans="1:5" x14ac:dyDescent="0.25">
      <c r="A49" t="s">
        <v>150</v>
      </c>
      <c r="B49">
        <v>2</v>
      </c>
      <c r="C49" t="s">
        <v>256</v>
      </c>
      <c r="D49" t="s">
        <v>287</v>
      </c>
      <c r="E49" t="s">
        <v>117</v>
      </c>
    </row>
    <row r="50" spans="1:5" x14ac:dyDescent="0.25">
      <c r="A50" t="s">
        <v>150</v>
      </c>
      <c r="B50">
        <v>3</v>
      </c>
      <c r="C50" t="s">
        <v>258</v>
      </c>
      <c r="D50" t="s">
        <v>287</v>
      </c>
      <c r="E50" t="s">
        <v>117</v>
      </c>
    </row>
    <row r="51" spans="1:5" x14ac:dyDescent="0.25">
      <c r="A51" t="s">
        <v>150</v>
      </c>
      <c r="B51">
        <v>4</v>
      </c>
      <c r="C51" t="s">
        <v>262</v>
      </c>
      <c r="D51" t="s">
        <v>288</v>
      </c>
      <c r="E51" t="s">
        <v>117</v>
      </c>
    </row>
    <row r="52" spans="1:5" x14ac:dyDescent="0.25">
      <c r="A52" t="s">
        <v>154</v>
      </c>
      <c r="B52">
        <v>1</v>
      </c>
      <c r="C52" t="s">
        <v>253</v>
      </c>
      <c r="D52" t="s">
        <v>254</v>
      </c>
      <c r="E52" t="s">
        <v>255</v>
      </c>
    </row>
    <row r="53" spans="1:5" x14ac:dyDescent="0.25">
      <c r="A53" t="s">
        <v>154</v>
      </c>
      <c r="B53">
        <v>2</v>
      </c>
      <c r="C53" t="s">
        <v>256</v>
      </c>
      <c r="D53" t="s">
        <v>289</v>
      </c>
      <c r="E53" t="s">
        <v>117</v>
      </c>
    </row>
    <row r="54" spans="1:5" x14ac:dyDescent="0.25">
      <c r="A54" t="s">
        <v>154</v>
      </c>
      <c r="B54">
        <v>3</v>
      </c>
      <c r="C54" t="s">
        <v>258</v>
      </c>
      <c r="D54" t="s">
        <v>289</v>
      </c>
      <c r="E54" t="s">
        <v>117</v>
      </c>
    </row>
    <row r="55" spans="1:5" x14ac:dyDescent="0.25">
      <c r="A55" t="s">
        <v>154</v>
      </c>
      <c r="B55">
        <v>4</v>
      </c>
      <c r="C55" t="s">
        <v>262</v>
      </c>
      <c r="D55" t="s">
        <v>290</v>
      </c>
      <c r="E55" t="s">
        <v>117</v>
      </c>
    </row>
    <row r="56" spans="1:5" x14ac:dyDescent="0.25">
      <c r="A56" t="s">
        <v>156</v>
      </c>
      <c r="B56">
        <v>1</v>
      </c>
      <c r="C56" t="s">
        <v>253</v>
      </c>
      <c r="D56" t="s">
        <v>254</v>
      </c>
      <c r="E56" t="s">
        <v>255</v>
      </c>
    </row>
    <row r="57" spans="1:5" x14ac:dyDescent="0.25">
      <c r="A57" t="s">
        <v>156</v>
      </c>
      <c r="B57">
        <v>2</v>
      </c>
      <c r="C57" t="s">
        <v>256</v>
      </c>
      <c r="D57" t="s">
        <v>291</v>
      </c>
      <c r="E57" t="s">
        <v>117</v>
      </c>
    </row>
    <row r="58" spans="1:5" x14ac:dyDescent="0.25">
      <c r="A58" t="s">
        <v>156</v>
      </c>
      <c r="B58">
        <v>3</v>
      </c>
      <c r="C58" t="s">
        <v>258</v>
      </c>
      <c r="D58" t="s">
        <v>291</v>
      </c>
      <c r="E58" t="s">
        <v>117</v>
      </c>
    </row>
    <row r="59" spans="1:5" x14ac:dyDescent="0.25">
      <c r="A59" t="s">
        <v>156</v>
      </c>
      <c r="B59">
        <v>4</v>
      </c>
      <c r="C59" t="s">
        <v>205</v>
      </c>
      <c r="D59" t="s">
        <v>292</v>
      </c>
      <c r="E59" t="s">
        <v>293</v>
      </c>
    </row>
    <row r="60" spans="1:5" x14ac:dyDescent="0.25">
      <c r="A60" t="s">
        <v>156</v>
      </c>
      <c r="B60">
        <v>5</v>
      </c>
      <c r="C60" t="s">
        <v>205</v>
      </c>
      <c r="D60" t="s">
        <v>294</v>
      </c>
      <c r="E60" t="s">
        <v>295</v>
      </c>
    </row>
    <row r="61" spans="1:5" x14ac:dyDescent="0.25">
      <c r="A61" t="s">
        <v>156</v>
      </c>
      <c r="B61">
        <v>6</v>
      </c>
      <c r="C61" t="s">
        <v>205</v>
      </c>
      <c r="D61" t="s">
        <v>296</v>
      </c>
      <c r="E61" t="s">
        <v>297</v>
      </c>
    </row>
    <row r="62" spans="1:5" x14ac:dyDescent="0.25">
      <c r="A62" t="s">
        <v>158</v>
      </c>
      <c r="B62">
        <v>1</v>
      </c>
      <c r="C62" t="s">
        <v>253</v>
      </c>
      <c r="D62" t="s">
        <v>254</v>
      </c>
      <c r="E62" t="s">
        <v>255</v>
      </c>
    </row>
    <row r="63" spans="1:5" x14ac:dyDescent="0.25">
      <c r="A63" t="s">
        <v>158</v>
      </c>
      <c r="B63">
        <v>2</v>
      </c>
      <c r="C63" t="s">
        <v>256</v>
      </c>
      <c r="D63" t="s">
        <v>298</v>
      </c>
      <c r="E63" t="s">
        <v>117</v>
      </c>
    </row>
    <row r="64" spans="1:5" x14ac:dyDescent="0.25">
      <c r="A64" t="s">
        <v>158</v>
      </c>
      <c r="B64">
        <v>3</v>
      </c>
      <c r="C64" t="s">
        <v>258</v>
      </c>
      <c r="D64" t="s">
        <v>298</v>
      </c>
      <c r="E64" t="s">
        <v>117</v>
      </c>
    </row>
    <row r="65" spans="1:5" x14ac:dyDescent="0.25">
      <c r="A65" t="s">
        <v>158</v>
      </c>
      <c r="B65">
        <v>4</v>
      </c>
      <c r="C65" t="s">
        <v>262</v>
      </c>
      <c r="D65" t="s">
        <v>299</v>
      </c>
      <c r="E65" t="s">
        <v>117</v>
      </c>
    </row>
    <row r="66" spans="1:5" x14ac:dyDescent="0.25">
      <c r="A66" t="s">
        <v>160</v>
      </c>
      <c r="B66">
        <v>3</v>
      </c>
      <c r="C66" t="s">
        <v>258</v>
      </c>
      <c r="D66" t="s">
        <v>300</v>
      </c>
      <c r="E66" t="s">
        <v>117</v>
      </c>
    </row>
    <row r="67" spans="1:5" x14ac:dyDescent="0.25">
      <c r="A67" t="s">
        <v>160</v>
      </c>
      <c r="B67">
        <v>4</v>
      </c>
      <c r="C67" t="s">
        <v>205</v>
      </c>
      <c r="D67" t="s">
        <v>259</v>
      </c>
      <c r="E67" t="s">
        <v>249</v>
      </c>
    </row>
    <row r="68" spans="1:5" x14ac:dyDescent="0.25">
      <c r="A68" t="s">
        <v>160</v>
      </c>
      <c r="B68">
        <v>5</v>
      </c>
      <c r="C68" t="s">
        <v>205</v>
      </c>
      <c r="D68" t="s">
        <v>248</v>
      </c>
      <c r="E68" t="s">
        <v>249</v>
      </c>
    </row>
    <row r="69" spans="1:5" x14ac:dyDescent="0.25">
      <c r="A69" t="s">
        <v>160</v>
      </c>
      <c r="B69">
        <v>6</v>
      </c>
      <c r="C69" t="s">
        <v>205</v>
      </c>
      <c r="D69" t="s">
        <v>250</v>
      </c>
      <c r="E69" t="s">
        <v>249</v>
      </c>
    </row>
    <row r="70" spans="1:5" x14ac:dyDescent="0.25">
      <c r="A70" t="s">
        <v>160</v>
      </c>
      <c r="B70">
        <v>7</v>
      </c>
      <c r="C70" t="s">
        <v>205</v>
      </c>
      <c r="D70" t="s">
        <v>251</v>
      </c>
      <c r="E70" t="s">
        <v>252</v>
      </c>
    </row>
    <row r="71" spans="1:5" x14ac:dyDescent="0.25">
      <c r="A71" t="s">
        <v>160</v>
      </c>
      <c r="B71">
        <v>1</v>
      </c>
      <c r="C71" t="s">
        <v>253</v>
      </c>
      <c r="D71" t="s">
        <v>254</v>
      </c>
      <c r="E71" t="s">
        <v>255</v>
      </c>
    </row>
    <row r="72" spans="1:5" x14ac:dyDescent="0.25">
      <c r="A72" t="s">
        <v>160</v>
      </c>
      <c r="B72">
        <v>2</v>
      </c>
      <c r="C72" t="s">
        <v>256</v>
      </c>
      <c r="D72" t="s">
        <v>300</v>
      </c>
      <c r="E72" t="s">
        <v>117</v>
      </c>
    </row>
    <row r="73" spans="1:5" x14ac:dyDescent="0.25">
      <c r="A73" t="s">
        <v>162</v>
      </c>
      <c r="B73">
        <v>1</v>
      </c>
      <c r="C73" t="s">
        <v>253</v>
      </c>
      <c r="D73" t="s">
        <v>254</v>
      </c>
      <c r="E73" t="s">
        <v>255</v>
      </c>
    </row>
    <row r="74" spans="1:5" x14ac:dyDescent="0.25">
      <c r="A74" t="s">
        <v>162</v>
      </c>
      <c r="B74">
        <v>2</v>
      </c>
      <c r="C74" t="s">
        <v>256</v>
      </c>
      <c r="D74" t="s">
        <v>301</v>
      </c>
      <c r="E74" t="s">
        <v>117</v>
      </c>
    </row>
    <row r="75" spans="1:5" x14ac:dyDescent="0.25">
      <c r="A75" t="s">
        <v>162</v>
      </c>
      <c r="B75">
        <v>3</v>
      </c>
      <c r="C75" t="s">
        <v>258</v>
      </c>
      <c r="D75" t="s">
        <v>301</v>
      </c>
      <c r="E75" t="s">
        <v>117</v>
      </c>
    </row>
    <row r="76" spans="1:5" x14ac:dyDescent="0.25">
      <c r="A76" t="s">
        <v>166</v>
      </c>
      <c r="B76">
        <v>1</v>
      </c>
      <c r="C76" t="s">
        <v>253</v>
      </c>
      <c r="D76" t="s">
        <v>254</v>
      </c>
      <c r="E76" t="s">
        <v>255</v>
      </c>
    </row>
    <row r="77" spans="1:5" x14ac:dyDescent="0.25">
      <c r="A77" t="s">
        <v>166</v>
      </c>
      <c r="B77">
        <v>2</v>
      </c>
      <c r="C77" t="s">
        <v>256</v>
      </c>
      <c r="D77" t="s">
        <v>302</v>
      </c>
      <c r="E77" t="s">
        <v>117</v>
      </c>
    </row>
    <row r="78" spans="1:5" x14ac:dyDescent="0.25">
      <c r="A78" t="s">
        <v>166</v>
      </c>
      <c r="B78">
        <v>3</v>
      </c>
      <c r="C78" t="s">
        <v>258</v>
      </c>
      <c r="D78" t="s">
        <v>302</v>
      </c>
      <c r="E78" t="s">
        <v>117</v>
      </c>
    </row>
    <row r="79" spans="1:5" x14ac:dyDescent="0.25">
      <c r="A79" t="s">
        <v>166</v>
      </c>
      <c r="B79">
        <v>4</v>
      </c>
      <c r="C79" t="s">
        <v>205</v>
      </c>
      <c r="D79" t="s">
        <v>303</v>
      </c>
      <c r="E79" t="s">
        <v>304</v>
      </c>
    </row>
    <row r="80" spans="1:5" x14ac:dyDescent="0.25">
      <c r="A80" t="s">
        <v>166</v>
      </c>
      <c r="B80">
        <v>5</v>
      </c>
      <c r="C80" t="s">
        <v>205</v>
      </c>
      <c r="D80" t="s">
        <v>305</v>
      </c>
      <c r="E80" t="s">
        <v>306</v>
      </c>
    </row>
    <row r="81" spans="1:5" x14ac:dyDescent="0.25">
      <c r="A81" t="s">
        <v>166</v>
      </c>
      <c r="B81">
        <v>6</v>
      </c>
      <c r="C81" t="s">
        <v>205</v>
      </c>
      <c r="D81" t="s">
        <v>248</v>
      </c>
      <c r="E81" t="s">
        <v>249</v>
      </c>
    </row>
    <row r="82" spans="1:5" x14ac:dyDescent="0.25">
      <c r="A82" t="s">
        <v>168</v>
      </c>
      <c r="B82">
        <v>1</v>
      </c>
      <c r="C82" t="s">
        <v>253</v>
      </c>
      <c r="D82" t="s">
        <v>254</v>
      </c>
      <c r="E82" t="s">
        <v>255</v>
      </c>
    </row>
    <row r="83" spans="1:5" x14ac:dyDescent="0.25">
      <c r="A83" t="s">
        <v>168</v>
      </c>
      <c r="B83">
        <v>2</v>
      </c>
      <c r="C83" t="s">
        <v>256</v>
      </c>
      <c r="D83" t="s">
        <v>307</v>
      </c>
      <c r="E83" t="s">
        <v>117</v>
      </c>
    </row>
    <row r="84" spans="1:5" x14ac:dyDescent="0.25">
      <c r="A84" t="s">
        <v>168</v>
      </c>
      <c r="B84">
        <v>3</v>
      </c>
      <c r="C84" t="s">
        <v>258</v>
      </c>
      <c r="D84" t="s">
        <v>307</v>
      </c>
      <c r="E84" t="s">
        <v>117</v>
      </c>
    </row>
    <row r="85" spans="1:5" x14ac:dyDescent="0.25">
      <c r="A85" t="s">
        <v>168</v>
      </c>
      <c r="B85">
        <v>4</v>
      </c>
      <c r="C85" t="s">
        <v>205</v>
      </c>
      <c r="D85" t="s">
        <v>303</v>
      </c>
      <c r="E85" t="s">
        <v>304</v>
      </c>
    </row>
    <row r="86" spans="1:5" x14ac:dyDescent="0.25">
      <c r="A86" t="s">
        <v>168</v>
      </c>
      <c r="B86">
        <v>5</v>
      </c>
      <c r="C86" t="s">
        <v>205</v>
      </c>
      <c r="D86" t="s">
        <v>305</v>
      </c>
      <c r="E86" t="s">
        <v>306</v>
      </c>
    </row>
    <row r="87" spans="1:5" x14ac:dyDescent="0.25">
      <c r="A87" t="s">
        <v>168</v>
      </c>
      <c r="B87">
        <v>6</v>
      </c>
      <c r="C87" t="s">
        <v>205</v>
      </c>
      <c r="D87" t="s">
        <v>248</v>
      </c>
      <c r="E87" t="s">
        <v>249</v>
      </c>
    </row>
    <row r="88" spans="1:5" x14ac:dyDescent="0.25">
      <c r="A88" t="s">
        <v>170</v>
      </c>
      <c r="B88">
        <v>1</v>
      </c>
      <c r="C88" t="s">
        <v>253</v>
      </c>
      <c r="D88" t="s">
        <v>254</v>
      </c>
      <c r="E88" t="s">
        <v>255</v>
      </c>
    </row>
    <row r="89" spans="1:5" x14ac:dyDescent="0.25">
      <c r="A89" t="s">
        <v>170</v>
      </c>
      <c r="B89">
        <v>2</v>
      </c>
      <c r="C89" t="s">
        <v>256</v>
      </c>
      <c r="D89" t="s">
        <v>308</v>
      </c>
      <c r="E89" t="s">
        <v>117</v>
      </c>
    </row>
    <row r="90" spans="1:5" x14ac:dyDescent="0.25">
      <c r="A90" t="s">
        <v>170</v>
      </c>
      <c r="B90">
        <v>3</v>
      </c>
      <c r="C90" t="s">
        <v>258</v>
      </c>
      <c r="D90" t="s">
        <v>308</v>
      </c>
      <c r="E90" t="s">
        <v>117</v>
      </c>
    </row>
    <row r="91" spans="1:5" x14ac:dyDescent="0.25">
      <c r="A91" t="s">
        <v>170</v>
      </c>
      <c r="B91">
        <v>4</v>
      </c>
      <c r="C91" t="s">
        <v>205</v>
      </c>
      <c r="D91" t="s">
        <v>303</v>
      </c>
      <c r="E91" t="s">
        <v>304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8"/>
  <sheetViews>
    <sheetView workbookViewId="0"/>
  </sheetViews>
  <sheetFormatPr defaultRowHeight="15" x14ac:dyDescent="0.25"/>
  <cols>
    <col min="1" max="1" width="27.42578125" bestFit="1" customWidth="1"/>
    <col min="3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176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</row>
    <row r="2" spans="1:9" x14ac:dyDescent="0.25">
      <c r="A2" t="s">
        <v>104</v>
      </c>
      <c r="B2">
        <v>1</v>
      </c>
      <c r="C2" t="s">
        <v>108</v>
      </c>
      <c r="D2" t="s">
        <v>316</v>
      </c>
      <c r="E2" t="s">
        <v>317</v>
      </c>
      <c r="F2" t="s">
        <v>318</v>
      </c>
    </row>
    <row r="3" spans="1:9" x14ac:dyDescent="0.25">
      <c r="A3" t="s">
        <v>127</v>
      </c>
      <c r="B3">
        <v>1</v>
      </c>
      <c r="C3" t="s">
        <v>108</v>
      </c>
      <c r="D3" t="s">
        <v>316</v>
      </c>
      <c r="E3" t="s">
        <v>317</v>
      </c>
      <c r="F3" t="s">
        <v>318</v>
      </c>
    </row>
    <row r="4" spans="1:9" x14ac:dyDescent="0.25">
      <c r="A4" t="s">
        <v>129</v>
      </c>
      <c r="B4">
        <v>1</v>
      </c>
      <c r="C4" t="s">
        <v>196</v>
      </c>
      <c r="D4" t="s">
        <v>319</v>
      </c>
      <c r="E4" t="s">
        <v>320</v>
      </c>
      <c r="F4" t="s">
        <v>113</v>
      </c>
    </row>
    <row r="5" spans="1:9" x14ac:dyDescent="0.25">
      <c r="A5" t="s">
        <v>135</v>
      </c>
      <c r="B5">
        <v>1</v>
      </c>
      <c r="C5" t="s">
        <v>196</v>
      </c>
      <c r="D5" t="s">
        <v>321</v>
      </c>
      <c r="E5" t="s">
        <v>322</v>
      </c>
      <c r="F5" t="s">
        <v>323</v>
      </c>
    </row>
    <row r="6" spans="1:9" x14ac:dyDescent="0.25">
      <c r="A6" t="s">
        <v>140</v>
      </c>
      <c r="B6">
        <v>1</v>
      </c>
      <c r="C6" t="s">
        <v>108</v>
      </c>
      <c r="D6" t="s">
        <v>316</v>
      </c>
      <c r="E6" t="s">
        <v>317</v>
      </c>
      <c r="F6" t="s">
        <v>318</v>
      </c>
    </row>
    <row r="7" spans="1:9" x14ac:dyDescent="0.25">
      <c r="A7" t="s">
        <v>142</v>
      </c>
      <c r="B7">
        <v>1</v>
      </c>
      <c r="C7" t="s">
        <v>108</v>
      </c>
      <c r="D7" t="s">
        <v>316</v>
      </c>
      <c r="E7" t="s">
        <v>317</v>
      </c>
      <c r="F7" t="s">
        <v>324</v>
      </c>
    </row>
    <row r="8" spans="1:9" x14ac:dyDescent="0.25">
      <c r="A8" t="s">
        <v>144</v>
      </c>
      <c r="B8">
        <v>1</v>
      </c>
      <c r="C8" t="s">
        <v>108</v>
      </c>
      <c r="D8" t="s">
        <v>316</v>
      </c>
      <c r="E8" t="s">
        <v>317</v>
      </c>
      <c r="F8" t="s">
        <v>318</v>
      </c>
    </row>
    <row r="9" spans="1:9" x14ac:dyDescent="0.25">
      <c r="A9" t="s">
        <v>147</v>
      </c>
      <c r="B9">
        <v>1</v>
      </c>
      <c r="C9" t="s">
        <v>196</v>
      </c>
      <c r="D9" t="s">
        <v>321</v>
      </c>
      <c r="E9" t="s">
        <v>322</v>
      </c>
      <c r="F9" t="s">
        <v>323</v>
      </c>
    </row>
    <row r="10" spans="1:9" x14ac:dyDescent="0.25">
      <c r="A10" t="s">
        <v>150</v>
      </c>
      <c r="B10">
        <v>1</v>
      </c>
      <c r="C10" t="s">
        <v>196</v>
      </c>
      <c r="D10" t="s">
        <v>319</v>
      </c>
      <c r="E10" t="s">
        <v>320</v>
      </c>
      <c r="F10" t="s">
        <v>113</v>
      </c>
    </row>
    <row r="11" spans="1:9" x14ac:dyDescent="0.25">
      <c r="A11" t="s">
        <v>154</v>
      </c>
      <c r="B11">
        <v>1</v>
      </c>
      <c r="C11" t="s">
        <v>196</v>
      </c>
      <c r="D11" t="s">
        <v>319</v>
      </c>
      <c r="E11" t="s">
        <v>320</v>
      </c>
      <c r="F11" t="s">
        <v>113</v>
      </c>
    </row>
    <row r="12" spans="1:9" x14ac:dyDescent="0.25">
      <c r="A12" t="s">
        <v>156</v>
      </c>
      <c r="B12">
        <v>1</v>
      </c>
      <c r="C12" t="s">
        <v>108</v>
      </c>
      <c r="D12" t="s">
        <v>316</v>
      </c>
      <c r="E12" t="s">
        <v>317</v>
      </c>
      <c r="F12" t="s">
        <v>318</v>
      </c>
    </row>
    <row r="13" spans="1:9" x14ac:dyDescent="0.25">
      <c r="A13" t="s">
        <v>158</v>
      </c>
      <c r="B13">
        <v>1</v>
      </c>
      <c r="C13" t="s">
        <v>196</v>
      </c>
      <c r="D13" t="s">
        <v>319</v>
      </c>
      <c r="E13" t="s">
        <v>320</v>
      </c>
      <c r="F13" t="s">
        <v>113</v>
      </c>
    </row>
    <row r="14" spans="1:9" x14ac:dyDescent="0.25">
      <c r="A14" t="s">
        <v>160</v>
      </c>
      <c r="B14">
        <v>1</v>
      </c>
      <c r="C14" t="s">
        <v>108</v>
      </c>
      <c r="D14" t="s">
        <v>316</v>
      </c>
      <c r="E14" t="s">
        <v>317</v>
      </c>
      <c r="F14" t="s">
        <v>318</v>
      </c>
    </row>
    <row r="15" spans="1:9" x14ac:dyDescent="0.25">
      <c r="A15" t="s">
        <v>162</v>
      </c>
      <c r="B15">
        <v>1</v>
      </c>
      <c r="C15" t="s">
        <v>196</v>
      </c>
      <c r="D15" t="s">
        <v>325</v>
      </c>
      <c r="E15" t="s">
        <v>326</v>
      </c>
      <c r="F15" t="s">
        <v>327</v>
      </c>
    </row>
    <row r="16" spans="1:9" x14ac:dyDescent="0.25">
      <c r="A16" t="s">
        <v>166</v>
      </c>
      <c r="B16">
        <v>1</v>
      </c>
      <c r="C16" t="s">
        <v>108</v>
      </c>
      <c r="D16" t="s">
        <v>316</v>
      </c>
      <c r="E16" t="s">
        <v>317</v>
      </c>
      <c r="F16" t="s">
        <v>318</v>
      </c>
    </row>
    <row r="17" spans="1:6" x14ac:dyDescent="0.25">
      <c r="A17" t="s">
        <v>168</v>
      </c>
      <c r="B17">
        <v>1</v>
      </c>
      <c r="C17" t="s">
        <v>108</v>
      </c>
      <c r="D17" t="s">
        <v>316</v>
      </c>
      <c r="E17" t="s">
        <v>317</v>
      </c>
      <c r="F17" t="s">
        <v>318</v>
      </c>
    </row>
    <row r="18" spans="1:6" x14ac:dyDescent="0.25">
      <c r="A18" t="s">
        <v>170</v>
      </c>
      <c r="B18">
        <v>1</v>
      </c>
      <c r="C18" t="s">
        <v>108</v>
      </c>
      <c r="D18" t="s">
        <v>316</v>
      </c>
      <c r="E18" t="s">
        <v>317</v>
      </c>
      <c r="F18" t="s">
        <v>318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176</v>
      </c>
      <c r="C1" s="1" t="s">
        <v>328</v>
      </c>
      <c r="D1" s="1" t="s">
        <v>329</v>
      </c>
      <c r="E1" s="1" t="s">
        <v>330</v>
      </c>
      <c r="F1" s="1" t="s">
        <v>331</v>
      </c>
    </row>
    <row r="2" spans="1:6" x14ac:dyDescent="0.25">
      <c r="A2" t="s">
        <v>104</v>
      </c>
      <c r="B2">
        <v>1</v>
      </c>
      <c r="C2" t="s">
        <v>332</v>
      </c>
      <c r="D2">
        <v>62</v>
      </c>
      <c r="E2" t="s">
        <v>333</v>
      </c>
    </row>
    <row r="3" spans="1:6" x14ac:dyDescent="0.25">
      <c r="A3" t="s">
        <v>127</v>
      </c>
      <c r="B3">
        <v>1</v>
      </c>
      <c r="C3" t="s">
        <v>332</v>
      </c>
      <c r="D3">
        <v>34</v>
      </c>
      <c r="E3" t="s">
        <v>333</v>
      </c>
    </row>
    <row r="4" spans="1:6" x14ac:dyDescent="0.25">
      <c r="A4" t="s">
        <v>129</v>
      </c>
      <c r="B4">
        <v>1</v>
      </c>
      <c r="C4" t="s">
        <v>334</v>
      </c>
      <c r="D4">
        <v>1</v>
      </c>
      <c r="E4" t="s">
        <v>335</v>
      </c>
    </row>
    <row r="5" spans="1:6" x14ac:dyDescent="0.25">
      <c r="A5" t="s">
        <v>135</v>
      </c>
      <c r="B5">
        <v>1</v>
      </c>
      <c r="C5" t="s">
        <v>334</v>
      </c>
      <c r="D5">
        <v>1</v>
      </c>
      <c r="E5" t="s">
        <v>335</v>
      </c>
    </row>
    <row r="6" spans="1:6" x14ac:dyDescent="0.25">
      <c r="A6" t="s">
        <v>140</v>
      </c>
      <c r="B6">
        <v>1</v>
      </c>
      <c r="C6" t="s">
        <v>332</v>
      </c>
      <c r="D6">
        <v>13</v>
      </c>
      <c r="E6" t="s">
        <v>333</v>
      </c>
    </row>
    <row r="7" spans="1:6" x14ac:dyDescent="0.25">
      <c r="A7" t="s">
        <v>142</v>
      </c>
      <c r="B7">
        <v>1</v>
      </c>
      <c r="C7" t="s">
        <v>332</v>
      </c>
      <c r="D7">
        <v>13</v>
      </c>
      <c r="E7" t="s">
        <v>333</v>
      </c>
    </row>
    <row r="8" spans="1:6" x14ac:dyDescent="0.25">
      <c r="A8" t="s">
        <v>144</v>
      </c>
      <c r="B8">
        <v>1</v>
      </c>
      <c r="C8" t="s">
        <v>332</v>
      </c>
      <c r="D8">
        <v>13</v>
      </c>
      <c r="E8" t="s">
        <v>333</v>
      </c>
    </row>
    <row r="9" spans="1:6" x14ac:dyDescent="0.25">
      <c r="A9" t="s">
        <v>147</v>
      </c>
      <c r="B9">
        <v>1</v>
      </c>
      <c r="C9" t="s">
        <v>334</v>
      </c>
      <c r="D9">
        <v>1</v>
      </c>
      <c r="E9" t="s">
        <v>335</v>
      </c>
    </row>
    <row r="10" spans="1:6" x14ac:dyDescent="0.25">
      <c r="A10" t="s">
        <v>150</v>
      </c>
      <c r="B10">
        <v>1</v>
      </c>
      <c r="C10" t="s">
        <v>334</v>
      </c>
      <c r="D10">
        <v>1</v>
      </c>
      <c r="E10" t="s">
        <v>335</v>
      </c>
    </row>
    <row r="11" spans="1:6" x14ac:dyDescent="0.25">
      <c r="A11" t="s">
        <v>154</v>
      </c>
      <c r="B11">
        <v>1</v>
      </c>
      <c r="C11" t="s">
        <v>334</v>
      </c>
      <c r="D11">
        <v>1</v>
      </c>
      <c r="E11" t="s">
        <v>335</v>
      </c>
    </row>
    <row r="12" spans="1:6" x14ac:dyDescent="0.25">
      <c r="A12" t="s">
        <v>156</v>
      </c>
      <c r="B12">
        <v>1</v>
      </c>
      <c r="C12" t="s">
        <v>332</v>
      </c>
      <c r="D12">
        <v>14</v>
      </c>
      <c r="E12" t="s">
        <v>333</v>
      </c>
    </row>
    <row r="13" spans="1:6" x14ac:dyDescent="0.25">
      <c r="A13" t="s">
        <v>158</v>
      </c>
      <c r="B13">
        <v>1</v>
      </c>
      <c r="C13" t="s">
        <v>334</v>
      </c>
      <c r="D13">
        <v>1</v>
      </c>
      <c r="E13" t="s">
        <v>335</v>
      </c>
    </row>
    <row r="14" spans="1:6" x14ac:dyDescent="0.25">
      <c r="A14" t="s">
        <v>160</v>
      </c>
      <c r="B14">
        <v>1</v>
      </c>
      <c r="C14" t="s">
        <v>332</v>
      </c>
      <c r="D14">
        <v>10</v>
      </c>
      <c r="E14" t="s">
        <v>333</v>
      </c>
    </row>
    <row r="15" spans="1:6" x14ac:dyDescent="0.25">
      <c r="A15" t="s">
        <v>162</v>
      </c>
      <c r="B15">
        <v>1</v>
      </c>
      <c r="C15" t="s">
        <v>332</v>
      </c>
      <c r="D15">
        <v>1</v>
      </c>
      <c r="E15" t="s">
        <v>335</v>
      </c>
    </row>
    <row r="16" spans="1:6" x14ac:dyDescent="0.25">
      <c r="A16" t="s">
        <v>166</v>
      </c>
      <c r="B16">
        <v>1</v>
      </c>
      <c r="C16" t="s">
        <v>332</v>
      </c>
      <c r="D16">
        <v>9</v>
      </c>
      <c r="E16" t="s">
        <v>333</v>
      </c>
    </row>
    <row r="17" spans="1:5" x14ac:dyDescent="0.25">
      <c r="A17" t="s">
        <v>168</v>
      </c>
      <c r="B17">
        <v>1</v>
      </c>
      <c r="C17" t="s">
        <v>332</v>
      </c>
      <c r="D17">
        <v>7</v>
      </c>
      <c r="E17" t="s">
        <v>333</v>
      </c>
    </row>
    <row r="18" spans="1:5" x14ac:dyDescent="0.25">
      <c r="A18" t="s">
        <v>170</v>
      </c>
      <c r="B18">
        <v>1</v>
      </c>
      <c r="C18" t="s">
        <v>332</v>
      </c>
      <c r="D18">
        <v>6</v>
      </c>
      <c r="E18" t="s">
        <v>333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176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331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509</v>
      </c>
      <c r="C1" s="1" t="s">
        <v>510</v>
      </c>
      <c r="D1" s="1" t="s">
        <v>511</v>
      </c>
      <c r="E1" s="1" t="s">
        <v>360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519</v>
      </c>
      <c r="N1" s="1" t="s">
        <v>60</v>
      </c>
      <c r="O1" s="1" t="s">
        <v>520</v>
      </c>
      <c r="P1" s="1" t="s">
        <v>521</v>
      </c>
      <c r="Q1" s="1" t="s">
        <v>522</v>
      </c>
      <c r="R1" s="1" t="s">
        <v>523</v>
      </c>
      <c r="S1" s="1" t="s">
        <v>524</v>
      </c>
      <c r="T1" s="1" t="s">
        <v>525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153"/>
  <sheetViews>
    <sheetView tabSelected="1" topLeftCell="AD61" workbookViewId="0">
      <selection activeCell="AJ75" sqref="AJ7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6.42578125" bestFit="1" customWidth="1"/>
    <col min="5" max="5" width="138.42578125" bestFit="1" customWidth="1"/>
    <col min="6" max="6" width="33.42578125" bestFit="1" customWidth="1"/>
    <col min="7" max="7" width="9.42578125" bestFit="1" customWidth="1"/>
    <col min="8" max="8" width="1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6" width="24" bestFit="1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330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328</v>
      </c>
      <c r="M1" s="1" t="s">
        <v>329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77</v>
      </c>
      <c r="U1" s="1" t="s">
        <v>76</v>
      </c>
      <c r="V1" s="1" t="s">
        <v>78</v>
      </c>
      <c r="W1" s="1" t="s">
        <v>355</v>
      </c>
      <c r="X1" s="1" t="s">
        <v>356</v>
      </c>
      <c r="Y1" s="1" t="s">
        <v>357</v>
      </c>
      <c r="Z1" s="1" t="s">
        <v>69</v>
      </c>
      <c r="AA1" s="1" t="s">
        <v>358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61</v>
      </c>
      <c r="AN1" s="1" t="s">
        <v>74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30</v>
      </c>
      <c r="AT1" s="1" t="s">
        <v>370</v>
      </c>
      <c r="AU1" s="1" t="s">
        <v>88</v>
      </c>
      <c r="AV1" s="1" t="s">
        <v>371</v>
      </c>
      <c r="AW1" s="1" t="s">
        <v>372</v>
      </c>
      <c r="AX1" s="1" t="s">
        <v>373</v>
      </c>
      <c r="AY1" s="1" t="s">
        <v>374</v>
      </c>
      <c r="AZ1" s="1" t="s">
        <v>375</v>
      </c>
      <c r="BA1" s="1" t="s">
        <v>376</v>
      </c>
      <c r="BB1" s="1" t="s">
        <v>377</v>
      </c>
      <c r="BC1" s="1" t="s">
        <v>378</v>
      </c>
      <c r="BD1" s="1" t="s">
        <v>379</v>
      </c>
      <c r="BE1" s="1" t="s">
        <v>380</v>
      </c>
      <c r="BF1" s="1" t="s">
        <v>381</v>
      </c>
      <c r="BG1" s="1" t="s">
        <v>382</v>
      </c>
      <c r="BH1" s="1" t="s">
        <v>383</v>
      </c>
      <c r="BI1" s="1" t="s">
        <v>384</v>
      </c>
      <c r="BJ1" s="1" t="s">
        <v>385</v>
      </c>
      <c r="BK1" s="1" t="s">
        <v>386</v>
      </c>
      <c r="BL1" s="1" t="s">
        <v>387</v>
      </c>
      <c r="BM1" s="1" t="s">
        <v>388</v>
      </c>
      <c r="BN1" s="1" t="s">
        <v>389</v>
      </c>
      <c r="BO1" s="1" t="s">
        <v>8</v>
      </c>
      <c r="BP1" s="1" t="s">
        <v>390</v>
      </c>
      <c r="BQ1" s="1" t="s">
        <v>391</v>
      </c>
      <c r="BR1" s="1" t="s">
        <v>392</v>
      </c>
    </row>
    <row r="2" spans="1:70" x14ac:dyDescent="0.25">
      <c r="A2" t="s">
        <v>104</v>
      </c>
      <c r="B2">
        <v>7</v>
      </c>
      <c r="C2" t="s">
        <v>393</v>
      </c>
      <c r="D2" t="s">
        <v>394</v>
      </c>
      <c r="E2" t="s">
        <v>395</v>
      </c>
      <c r="F2" t="s">
        <v>333</v>
      </c>
      <c r="G2" t="s">
        <v>396</v>
      </c>
      <c r="H2" t="s">
        <v>397</v>
      </c>
      <c r="I2" t="s">
        <v>335</v>
      </c>
      <c r="J2" t="s">
        <v>398</v>
      </c>
      <c r="K2">
        <v>15</v>
      </c>
      <c r="L2" t="s">
        <v>332</v>
      </c>
      <c r="M2">
        <v>1</v>
      </c>
      <c r="T2">
        <v>2.7</v>
      </c>
      <c r="AA2">
        <v>0</v>
      </c>
      <c r="AB2">
        <v>17594</v>
      </c>
      <c r="AC2">
        <v>40.799999999999997</v>
      </c>
      <c r="AI2">
        <v>0</v>
      </c>
      <c r="AJ2">
        <f>+AC2/K2</f>
        <v>2.7199999999999998</v>
      </c>
      <c r="AK2">
        <v>1.05</v>
      </c>
      <c r="AL2">
        <v>0</v>
      </c>
      <c r="AS2" t="s">
        <v>399</v>
      </c>
      <c r="AY2" t="s">
        <v>324</v>
      </c>
      <c r="BO2" t="s">
        <v>108</v>
      </c>
    </row>
    <row r="3" spans="1:70" x14ac:dyDescent="0.25">
      <c r="A3" t="s">
        <v>104</v>
      </c>
      <c r="B3">
        <v>8</v>
      </c>
      <c r="C3" t="s">
        <v>393</v>
      </c>
      <c r="D3" t="s">
        <v>394</v>
      </c>
      <c r="E3" t="s">
        <v>395</v>
      </c>
      <c r="F3" t="s">
        <v>333</v>
      </c>
      <c r="G3" t="s">
        <v>396</v>
      </c>
      <c r="H3" t="s">
        <v>400</v>
      </c>
      <c r="I3" t="s">
        <v>335</v>
      </c>
      <c r="J3" t="s">
        <v>398</v>
      </c>
      <c r="K3">
        <v>16</v>
      </c>
      <c r="L3" t="s">
        <v>332</v>
      </c>
      <c r="M3">
        <v>1</v>
      </c>
      <c r="T3">
        <v>3</v>
      </c>
      <c r="AA3">
        <v>0</v>
      </c>
      <c r="AB3">
        <v>17594</v>
      </c>
      <c r="AC3">
        <v>43.52</v>
      </c>
      <c r="AI3">
        <v>0</v>
      </c>
      <c r="AJ3">
        <f t="shared" ref="AJ3:AJ66" si="0">+AC3/K3</f>
        <v>2.72</v>
      </c>
      <c r="AK3">
        <v>1.05</v>
      </c>
      <c r="AL3">
        <v>0</v>
      </c>
      <c r="AS3" t="s">
        <v>399</v>
      </c>
      <c r="AY3" t="s">
        <v>324</v>
      </c>
      <c r="BO3" t="s">
        <v>108</v>
      </c>
    </row>
    <row r="4" spans="1:70" x14ac:dyDescent="0.25">
      <c r="A4" t="s">
        <v>104</v>
      </c>
      <c r="B4">
        <v>9</v>
      </c>
      <c r="C4" t="s">
        <v>393</v>
      </c>
      <c r="D4" t="s">
        <v>394</v>
      </c>
      <c r="E4" t="s">
        <v>401</v>
      </c>
      <c r="F4" t="s">
        <v>333</v>
      </c>
      <c r="G4" t="s">
        <v>396</v>
      </c>
      <c r="H4" t="s">
        <v>402</v>
      </c>
      <c r="I4" t="s">
        <v>335</v>
      </c>
      <c r="J4" t="s">
        <v>398</v>
      </c>
      <c r="K4">
        <v>47</v>
      </c>
      <c r="L4" t="s">
        <v>332</v>
      </c>
      <c r="M4">
        <v>1</v>
      </c>
      <c r="T4">
        <v>5.64</v>
      </c>
      <c r="AA4">
        <v>0</v>
      </c>
      <c r="AB4">
        <v>17594</v>
      </c>
      <c r="AC4">
        <v>127.84</v>
      </c>
      <c r="AI4">
        <v>0</v>
      </c>
      <c r="AJ4">
        <f t="shared" si="0"/>
        <v>2.72</v>
      </c>
      <c r="AK4">
        <v>1.05</v>
      </c>
      <c r="AL4">
        <v>0</v>
      </c>
      <c r="AS4" t="s">
        <v>399</v>
      </c>
      <c r="AY4" t="s">
        <v>324</v>
      </c>
      <c r="BO4" t="s">
        <v>108</v>
      </c>
    </row>
    <row r="5" spans="1:70" x14ac:dyDescent="0.25">
      <c r="A5" t="s">
        <v>104</v>
      </c>
      <c r="B5">
        <v>10</v>
      </c>
      <c r="C5" t="s">
        <v>393</v>
      </c>
      <c r="D5" t="s">
        <v>394</v>
      </c>
      <c r="E5" t="s">
        <v>401</v>
      </c>
      <c r="F5" t="s">
        <v>333</v>
      </c>
      <c r="G5" t="s">
        <v>396</v>
      </c>
      <c r="H5" t="s">
        <v>403</v>
      </c>
      <c r="I5" t="s">
        <v>335</v>
      </c>
      <c r="J5" t="s">
        <v>398</v>
      </c>
      <c r="K5">
        <v>33</v>
      </c>
      <c r="L5" t="s">
        <v>332</v>
      </c>
      <c r="M5">
        <v>1</v>
      </c>
      <c r="T5">
        <v>6</v>
      </c>
      <c r="AA5">
        <v>0</v>
      </c>
      <c r="AB5">
        <v>17594</v>
      </c>
      <c r="AC5">
        <v>89.76</v>
      </c>
      <c r="AI5">
        <v>0</v>
      </c>
      <c r="AJ5">
        <f t="shared" si="0"/>
        <v>2.72</v>
      </c>
      <c r="AK5">
        <v>1.05</v>
      </c>
      <c r="AL5">
        <v>0</v>
      </c>
      <c r="AS5" t="s">
        <v>399</v>
      </c>
      <c r="AY5" t="s">
        <v>324</v>
      </c>
      <c r="BO5" t="s">
        <v>108</v>
      </c>
    </row>
    <row r="6" spans="1:70" x14ac:dyDescent="0.25">
      <c r="A6" t="s">
        <v>104</v>
      </c>
      <c r="B6">
        <v>11</v>
      </c>
      <c r="C6" t="s">
        <v>393</v>
      </c>
      <c r="D6" t="s">
        <v>394</v>
      </c>
      <c r="E6" t="s">
        <v>401</v>
      </c>
      <c r="F6" t="s">
        <v>333</v>
      </c>
      <c r="G6" t="s">
        <v>396</v>
      </c>
      <c r="H6" t="s">
        <v>404</v>
      </c>
      <c r="I6" t="s">
        <v>335</v>
      </c>
      <c r="J6" t="s">
        <v>398</v>
      </c>
      <c r="K6">
        <v>12</v>
      </c>
      <c r="L6" t="s">
        <v>332</v>
      </c>
      <c r="M6">
        <v>1</v>
      </c>
      <c r="T6">
        <v>2.64</v>
      </c>
      <c r="AA6">
        <v>0</v>
      </c>
      <c r="AB6">
        <v>17594</v>
      </c>
      <c r="AC6">
        <v>32.64</v>
      </c>
      <c r="AI6">
        <v>0</v>
      </c>
      <c r="AJ6">
        <f t="shared" si="0"/>
        <v>2.72</v>
      </c>
      <c r="AK6">
        <v>1.05</v>
      </c>
      <c r="AL6">
        <v>0</v>
      </c>
      <c r="AS6" t="s">
        <v>399</v>
      </c>
      <c r="AY6" t="s">
        <v>324</v>
      </c>
      <c r="BO6" t="s">
        <v>108</v>
      </c>
    </row>
    <row r="7" spans="1:70" x14ac:dyDescent="0.25">
      <c r="A7" t="s">
        <v>104</v>
      </c>
      <c r="B7">
        <v>12</v>
      </c>
      <c r="C7" t="s">
        <v>393</v>
      </c>
      <c r="D7" t="s">
        <v>394</v>
      </c>
      <c r="E7" t="s">
        <v>405</v>
      </c>
      <c r="F7" t="s">
        <v>333</v>
      </c>
      <c r="G7" t="s">
        <v>396</v>
      </c>
      <c r="H7" t="s">
        <v>406</v>
      </c>
      <c r="I7" t="s">
        <v>335</v>
      </c>
      <c r="J7" t="s">
        <v>398</v>
      </c>
      <c r="K7">
        <v>26</v>
      </c>
      <c r="L7" t="s">
        <v>332</v>
      </c>
      <c r="M7">
        <v>1</v>
      </c>
      <c r="T7">
        <v>3.68</v>
      </c>
      <c r="AA7">
        <v>0</v>
      </c>
      <c r="AB7">
        <v>17594</v>
      </c>
      <c r="AC7">
        <v>70.72</v>
      </c>
      <c r="AI7">
        <v>0</v>
      </c>
      <c r="AJ7">
        <f t="shared" si="0"/>
        <v>2.7199999999999998</v>
      </c>
      <c r="AK7">
        <v>1.05</v>
      </c>
      <c r="AL7">
        <v>0</v>
      </c>
      <c r="AS7" t="s">
        <v>399</v>
      </c>
      <c r="AY7" t="s">
        <v>324</v>
      </c>
      <c r="BO7" t="s">
        <v>108</v>
      </c>
    </row>
    <row r="8" spans="1:70" x14ac:dyDescent="0.25">
      <c r="A8" t="s">
        <v>104</v>
      </c>
      <c r="B8">
        <v>1</v>
      </c>
      <c r="C8" t="s">
        <v>393</v>
      </c>
      <c r="D8" t="s">
        <v>394</v>
      </c>
      <c r="E8" t="s">
        <v>395</v>
      </c>
      <c r="F8" t="s">
        <v>333</v>
      </c>
      <c r="G8" t="s">
        <v>396</v>
      </c>
      <c r="H8" t="s">
        <v>404</v>
      </c>
      <c r="I8" t="s">
        <v>335</v>
      </c>
      <c r="J8" t="s">
        <v>398</v>
      </c>
      <c r="K8">
        <v>22</v>
      </c>
      <c r="L8" t="s">
        <v>332</v>
      </c>
      <c r="M8">
        <v>1</v>
      </c>
      <c r="T8">
        <v>3.3</v>
      </c>
      <c r="AA8">
        <v>0</v>
      </c>
      <c r="AB8">
        <v>17594</v>
      </c>
      <c r="AC8">
        <v>59.84</v>
      </c>
      <c r="AI8">
        <v>0</v>
      </c>
      <c r="AJ8">
        <f t="shared" si="0"/>
        <v>2.72</v>
      </c>
      <c r="AK8">
        <v>1.05</v>
      </c>
      <c r="AL8">
        <v>0</v>
      </c>
      <c r="AS8" t="s">
        <v>399</v>
      </c>
      <c r="AY8" t="s">
        <v>324</v>
      </c>
      <c r="BO8" t="s">
        <v>108</v>
      </c>
    </row>
    <row r="9" spans="1:70" x14ac:dyDescent="0.25">
      <c r="A9" t="s">
        <v>104</v>
      </c>
      <c r="B9">
        <v>2</v>
      </c>
      <c r="C9" t="s">
        <v>393</v>
      </c>
      <c r="D9" t="s">
        <v>394</v>
      </c>
      <c r="E9" t="s">
        <v>401</v>
      </c>
      <c r="F9" t="s">
        <v>333</v>
      </c>
      <c r="G9" t="s">
        <v>396</v>
      </c>
      <c r="H9" t="s">
        <v>407</v>
      </c>
      <c r="I9" t="s">
        <v>335</v>
      </c>
      <c r="J9" t="s">
        <v>398</v>
      </c>
      <c r="K9">
        <v>104</v>
      </c>
      <c r="L9" t="s">
        <v>332</v>
      </c>
      <c r="M9">
        <v>2</v>
      </c>
      <c r="T9">
        <v>12.48</v>
      </c>
      <c r="AA9">
        <v>0</v>
      </c>
      <c r="AB9">
        <v>17594</v>
      </c>
      <c r="AC9">
        <v>282.88</v>
      </c>
      <c r="AI9">
        <v>0</v>
      </c>
      <c r="AJ9">
        <f t="shared" si="0"/>
        <v>2.7199999999999998</v>
      </c>
      <c r="AK9">
        <v>1.05</v>
      </c>
      <c r="AL9">
        <v>0</v>
      </c>
      <c r="AS9" t="s">
        <v>399</v>
      </c>
      <c r="AY9" t="s">
        <v>324</v>
      </c>
      <c r="BO9" t="s">
        <v>108</v>
      </c>
    </row>
    <row r="10" spans="1:70" x14ac:dyDescent="0.25">
      <c r="A10" t="s">
        <v>104</v>
      </c>
      <c r="B10">
        <v>3</v>
      </c>
      <c r="C10" t="s">
        <v>393</v>
      </c>
      <c r="D10" t="s">
        <v>394</v>
      </c>
      <c r="E10" t="s">
        <v>401</v>
      </c>
      <c r="F10" t="s">
        <v>333</v>
      </c>
      <c r="G10" t="s">
        <v>396</v>
      </c>
      <c r="H10" t="s">
        <v>408</v>
      </c>
      <c r="I10" t="s">
        <v>335</v>
      </c>
      <c r="J10" t="s">
        <v>398</v>
      </c>
      <c r="K10">
        <v>107</v>
      </c>
      <c r="L10" t="s">
        <v>332</v>
      </c>
      <c r="M10">
        <v>2</v>
      </c>
      <c r="T10">
        <v>16.05</v>
      </c>
      <c r="AA10">
        <v>0</v>
      </c>
      <c r="AB10">
        <v>17594</v>
      </c>
      <c r="AC10">
        <v>291.04000000000002</v>
      </c>
      <c r="AI10">
        <v>0</v>
      </c>
      <c r="AJ10">
        <f t="shared" si="0"/>
        <v>2.72</v>
      </c>
      <c r="AK10">
        <v>1.05</v>
      </c>
      <c r="AL10">
        <v>0</v>
      </c>
      <c r="AS10" t="s">
        <v>399</v>
      </c>
      <c r="AY10" t="s">
        <v>324</v>
      </c>
      <c r="BO10" t="s">
        <v>108</v>
      </c>
    </row>
    <row r="11" spans="1:70" x14ac:dyDescent="0.25">
      <c r="A11" t="s">
        <v>104</v>
      </c>
      <c r="B11">
        <v>4</v>
      </c>
      <c r="C11" t="s">
        <v>393</v>
      </c>
      <c r="D11" t="s">
        <v>394</v>
      </c>
      <c r="E11" t="s">
        <v>401</v>
      </c>
      <c r="F11" t="s">
        <v>333</v>
      </c>
      <c r="G11" t="s">
        <v>396</v>
      </c>
      <c r="H11" t="s">
        <v>406</v>
      </c>
      <c r="I11" t="s">
        <v>335</v>
      </c>
      <c r="J11" t="s">
        <v>398</v>
      </c>
      <c r="K11">
        <v>86</v>
      </c>
      <c r="L11" t="s">
        <v>332</v>
      </c>
      <c r="M11">
        <v>3</v>
      </c>
      <c r="T11">
        <v>13.76</v>
      </c>
      <c r="AA11">
        <v>0</v>
      </c>
      <c r="AB11">
        <v>17594</v>
      </c>
      <c r="AC11">
        <v>233.92</v>
      </c>
      <c r="AI11">
        <v>0</v>
      </c>
      <c r="AJ11">
        <f t="shared" si="0"/>
        <v>2.7199999999999998</v>
      </c>
      <c r="AK11">
        <v>1.05</v>
      </c>
      <c r="AL11">
        <v>0</v>
      </c>
      <c r="AS11" t="s">
        <v>399</v>
      </c>
      <c r="AY11" t="s">
        <v>324</v>
      </c>
      <c r="BO11" t="s">
        <v>108</v>
      </c>
    </row>
    <row r="12" spans="1:70" x14ac:dyDescent="0.25">
      <c r="A12" t="s">
        <v>104</v>
      </c>
      <c r="B12">
        <v>5</v>
      </c>
      <c r="C12" t="s">
        <v>393</v>
      </c>
      <c r="D12" t="s">
        <v>394</v>
      </c>
      <c r="E12" t="s">
        <v>401</v>
      </c>
      <c r="F12" t="s">
        <v>333</v>
      </c>
      <c r="G12" t="s">
        <v>396</v>
      </c>
      <c r="H12" t="s">
        <v>400</v>
      </c>
      <c r="I12" t="s">
        <v>335</v>
      </c>
      <c r="J12" t="s">
        <v>398</v>
      </c>
      <c r="K12">
        <v>6</v>
      </c>
      <c r="L12" t="s">
        <v>332</v>
      </c>
      <c r="M12">
        <v>0</v>
      </c>
      <c r="T12">
        <v>0</v>
      </c>
      <c r="AA12">
        <v>0</v>
      </c>
      <c r="AB12">
        <v>17594</v>
      </c>
      <c r="AC12">
        <v>16.32</v>
      </c>
      <c r="AI12">
        <v>0</v>
      </c>
      <c r="AJ12">
        <f t="shared" si="0"/>
        <v>2.72</v>
      </c>
      <c r="AK12">
        <v>1.05</v>
      </c>
      <c r="AL12">
        <v>0</v>
      </c>
      <c r="AS12" t="s">
        <v>399</v>
      </c>
      <c r="AY12" t="s">
        <v>324</v>
      </c>
      <c r="BO12" t="s">
        <v>108</v>
      </c>
    </row>
    <row r="13" spans="1:70" x14ac:dyDescent="0.25">
      <c r="A13" t="s">
        <v>104</v>
      </c>
      <c r="B13">
        <v>6</v>
      </c>
      <c r="C13" t="s">
        <v>393</v>
      </c>
      <c r="D13" t="s">
        <v>394</v>
      </c>
      <c r="E13" t="s">
        <v>401</v>
      </c>
      <c r="F13" t="s">
        <v>333</v>
      </c>
      <c r="G13" t="s">
        <v>396</v>
      </c>
      <c r="H13" t="s">
        <v>409</v>
      </c>
      <c r="I13" t="s">
        <v>335</v>
      </c>
      <c r="J13" t="s">
        <v>398</v>
      </c>
      <c r="K13">
        <v>40</v>
      </c>
      <c r="L13" t="s">
        <v>332</v>
      </c>
      <c r="M13">
        <v>1</v>
      </c>
      <c r="T13">
        <v>6.12</v>
      </c>
      <c r="AA13">
        <v>0</v>
      </c>
      <c r="AB13">
        <v>17594</v>
      </c>
      <c r="AC13">
        <v>108.8</v>
      </c>
      <c r="AI13">
        <v>0</v>
      </c>
      <c r="AJ13">
        <f t="shared" si="0"/>
        <v>2.7199999999999998</v>
      </c>
      <c r="AK13">
        <v>1.05</v>
      </c>
      <c r="AL13">
        <v>0</v>
      </c>
      <c r="AS13" t="s">
        <v>399</v>
      </c>
      <c r="AY13" t="s">
        <v>324</v>
      </c>
      <c r="BO13" t="s">
        <v>108</v>
      </c>
    </row>
    <row r="14" spans="1:70" x14ac:dyDescent="0.25">
      <c r="A14" t="s">
        <v>104</v>
      </c>
      <c r="B14">
        <v>13</v>
      </c>
      <c r="C14" t="s">
        <v>393</v>
      </c>
      <c r="D14" t="s">
        <v>394</v>
      </c>
      <c r="E14" t="s">
        <v>405</v>
      </c>
      <c r="F14" t="s">
        <v>333</v>
      </c>
      <c r="G14" t="s">
        <v>396</v>
      </c>
      <c r="H14" t="s">
        <v>408</v>
      </c>
      <c r="I14" t="s">
        <v>335</v>
      </c>
      <c r="J14" t="s">
        <v>398</v>
      </c>
      <c r="K14">
        <v>32</v>
      </c>
      <c r="L14" t="s">
        <v>332</v>
      </c>
      <c r="M14">
        <v>1</v>
      </c>
      <c r="T14">
        <v>4.6500000000000004</v>
      </c>
      <c r="AA14">
        <v>0</v>
      </c>
      <c r="AB14">
        <v>17594</v>
      </c>
      <c r="AC14">
        <v>87.04</v>
      </c>
      <c r="AI14">
        <v>0</v>
      </c>
      <c r="AJ14">
        <f t="shared" si="0"/>
        <v>2.72</v>
      </c>
      <c r="AK14">
        <v>1.05</v>
      </c>
      <c r="AL14">
        <v>0</v>
      </c>
      <c r="AS14" t="s">
        <v>399</v>
      </c>
      <c r="AY14" t="s">
        <v>324</v>
      </c>
      <c r="BO14" t="s">
        <v>108</v>
      </c>
    </row>
    <row r="15" spans="1:70" x14ac:dyDescent="0.25">
      <c r="A15" t="s">
        <v>104</v>
      </c>
      <c r="B15">
        <v>14</v>
      </c>
      <c r="C15" t="s">
        <v>393</v>
      </c>
      <c r="D15" t="s">
        <v>394</v>
      </c>
      <c r="E15" t="s">
        <v>405</v>
      </c>
      <c r="F15" t="s">
        <v>333</v>
      </c>
      <c r="G15" t="s">
        <v>396</v>
      </c>
      <c r="H15" t="s">
        <v>409</v>
      </c>
      <c r="I15" t="s">
        <v>335</v>
      </c>
      <c r="J15" t="s">
        <v>398</v>
      </c>
      <c r="K15">
        <v>12</v>
      </c>
      <c r="L15" t="s">
        <v>332</v>
      </c>
      <c r="M15">
        <v>0</v>
      </c>
      <c r="T15">
        <v>0</v>
      </c>
      <c r="AA15">
        <v>0</v>
      </c>
      <c r="AB15">
        <v>17594</v>
      </c>
      <c r="AC15">
        <v>32.64</v>
      </c>
      <c r="AI15">
        <v>0</v>
      </c>
      <c r="AJ15">
        <f t="shared" si="0"/>
        <v>2.72</v>
      </c>
      <c r="AK15">
        <v>1.05</v>
      </c>
      <c r="AL15">
        <v>0</v>
      </c>
      <c r="AS15" t="s">
        <v>399</v>
      </c>
      <c r="AY15" t="s">
        <v>324</v>
      </c>
      <c r="BO15" t="s">
        <v>108</v>
      </c>
    </row>
    <row r="16" spans="1:70" x14ac:dyDescent="0.25">
      <c r="A16" t="s">
        <v>104</v>
      </c>
      <c r="B16">
        <v>15</v>
      </c>
      <c r="C16" t="s">
        <v>393</v>
      </c>
      <c r="D16" t="s">
        <v>394</v>
      </c>
      <c r="E16" t="s">
        <v>405</v>
      </c>
      <c r="F16" t="s">
        <v>333</v>
      </c>
      <c r="G16" t="s">
        <v>396</v>
      </c>
      <c r="H16" t="s">
        <v>403</v>
      </c>
      <c r="I16" t="s">
        <v>335</v>
      </c>
      <c r="J16" t="s">
        <v>398</v>
      </c>
      <c r="K16">
        <v>10</v>
      </c>
      <c r="L16" t="s">
        <v>332</v>
      </c>
      <c r="M16">
        <v>1</v>
      </c>
      <c r="T16">
        <v>2</v>
      </c>
      <c r="AA16">
        <v>0</v>
      </c>
      <c r="AB16">
        <v>17594</v>
      </c>
      <c r="AC16">
        <v>27.2</v>
      </c>
      <c r="AI16">
        <v>0</v>
      </c>
      <c r="AJ16">
        <f t="shared" si="0"/>
        <v>2.7199999999999998</v>
      </c>
      <c r="AK16">
        <v>1.05</v>
      </c>
      <c r="AL16">
        <v>0</v>
      </c>
      <c r="AS16" t="s">
        <v>399</v>
      </c>
      <c r="AY16" t="s">
        <v>324</v>
      </c>
      <c r="BO16" t="s">
        <v>108</v>
      </c>
    </row>
    <row r="17" spans="1:67" x14ac:dyDescent="0.25">
      <c r="A17" t="s">
        <v>104</v>
      </c>
      <c r="B17">
        <v>16</v>
      </c>
      <c r="C17" t="s">
        <v>393</v>
      </c>
      <c r="D17" t="s">
        <v>394</v>
      </c>
      <c r="E17" t="s">
        <v>395</v>
      </c>
      <c r="F17" t="s">
        <v>333</v>
      </c>
      <c r="G17" t="s">
        <v>396</v>
      </c>
      <c r="H17" t="s">
        <v>407</v>
      </c>
      <c r="I17" t="s">
        <v>335</v>
      </c>
      <c r="J17" t="s">
        <v>398</v>
      </c>
      <c r="K17">
        <v>166</v>
      </c>
      <c r="L17" t="s">
        <v>332</v>
      </c>
      <c r="M17">
        <v>3</v>
      </c>
      <c r="T17">
        <v>21.58</v>
      </c>
      <c r="AA17">
        <v>0</v>
      </c>
      <c r="AB17">
        <v>17594</v>
      </c>
      <c r="AC17">
        <v>451.52</v>
      </c>
      <c r="AI17">
        <v>0</v>
      </c>
      <c r="AJ17">
        <f t="shared" si="0"/>
        <v>2.7199999999999998</v>
      </c>
      <c r="AK17">
        <v>1.05</v>
      </c>
      <c r="AL17">
        <v>0</v>
      </c>
      <c r="AS17" t="s">
        <v>399</v>
      </c>
      <c r="AY17" t="s">
        <v>324</v>
      </c>
      <c r="BO17" t="s">
        <v>108</v>
      </c>
    </row>
    <row r="18" spans="1:67" x14ac:dyDescent="0.25">
      <c r="A18" t="s">
        <v>104</v>
      </c>
      <c r="B18">
        <v>17</v>
      </c>
      <c r="C18" t="s">
        <v>393</v>
      </c>
      <c r="D18" t="s">
        <v>394</v>
      </c>
      <c r="E18" t="s">
        <v>395</v>
      </c>
      <c r="F18" t="s">
        <v>333</v>
      </c>
      <c r="G18" t="s">
        <v>396</v>
      </c>
      <c r="H18" t="s">
        <v>408</v>
      </c>
      <c r="I18" t="s">
        <v>335</v>
      </c>
      <c r="J18" t="s">
        <v>398</v>
      </c>
      <c r="K18">
        <v>184</v>
      </c>
      <c r="L18" t="s">
        <v>332</v>
      </c>
      <c r="M18">
        <v>3</v>
      </c>
      <c r="T18">
        <v>26.1</v>
      </c>
      <c r="AA18">
        <v>0</v>
      </c>
      <c r="AB18">
        <v>17594</v>
      </c>
      <c r="AC18">
        <v>500.48</v>
      </c>
      <c r="AI18">
        <v>0</v>
      </c>
      <c r="AJ18">
        <f t="shared" si="0"/>
        <v>2.72</v>
      </c>
      <c r="AK18">
        <v>1.05</v>
      </c>
      <c r="AL18">
        <v>0</v>
      </c>
      <c r="AS18" t="s">
        <v>399</v>
      </c>
      <c r="AY18" t="s">
        <v>324</v>
      </c>
      <c r="BO18" t="s">
        <v>108</v>
      </c>
    </row>
    <row r="19" spans="1:67" x14ac:dyDescent="0.25">
      <c r="A19" t="s">
        <v>104</v>
      </c>
      <c r="B19">
        <v>18</v>
      </c>
      <c r="C19" t="s">
        <v>393</v>
      </c>
      <c r="D19" t="s">
        <v>394</v>
      </c>
      <c r="E19" t="s">
        <v>395</v>
      </c>
      <c r="F19" t="s">
        <v>333</v>
      </c>
      <c r="G19" t="s">
        <v>396</v>
      </c>
      <c r="H19" t="s">
        <v>406</v>
      </c>
      <c r="I19" t="s">
        <v>335</v>
      </c>
      <c r="J19" t="s">
        <v>398</v>
      </c>
      <c r="K19">
        <v>154</v>
      </c>
      <c r="L19" t="s">
        <v>332</v>
      </c>
      <c r="M19">
        <v>2</v>
      </c>
      <c r="T19">
        <v>24.32</v>
      </c>
      <c r="AA19">
        <v>0</v>
      </c>
      <c r="AB19">
        <v>17594</v>
      </c>
      <c r="AC19">
        <v>418.88</v>
      </c>
      <c r="AI19">
        <v>0</v>
      </c>
      <c r="AJ19">
        <f t="shared" si="0"/>
        <v>2.7199999999999998</v>
      </c>
      <c r="AK19">
        <v>1.05</v>
      </c>
      <c r="AL19">
        <v>0</v>
      </c>
      <c r="AS19" t="s">
        <v>399</v>
      </c>
      <c r="AY19" t="s">
        <v>324</v>
      </c>
      <c r="BO19" t="s">
        <v>108</v>
      </c>
    </row>
    <row r="20" spans="1:67" x14ac:dyDescent="0.25">
      <c r="A20" t="s">
        <v>104</v>
      </c>
      <c r="B20">
        <v>19</v>
      </c>
      <c r="C20" t="s">
        <v>393</v>
      </c>
      <c r="D20" t="s">
        <v>394</v>
      </c>
      <c r="E20" t="s">
        <v>395</v>
      </c>
      <c r="F20" t="s">
        <v>333</v>
      </c>
      <c r="G20" t="s">
        <v>396</v>
      </c>
      <c r="H20" t="s">
        <v>409</v>
      </c>
      <c r="I20" t="s">
        <v>335</v>
      </c>
      <c r="J20" t="s">
        <v>398</v>
      </c>
      <c r="K20">
        <v>77</v>
      </c>
      <c r="L20" t="s">
        <v>332</v>
      </c>
      <c r="M20">
        <v>1</v>
      </c>
      <c r="T20">
        <v>12.6</v>
      </c>
      <c r="AA20">
        <v>0</v>
      </c>
      <c r="AB20">
        <v>17594</v>
      </c>
      <c r="AC20">
        <v>209.44</v>
      </c>
      <c r="AI20">
        <v>0</v>
      </c>
      <c r="AJ20">
        <f t="shared" si="0"/>
        <v>2.7199999999999998</v>
      </c>
      <c r="AK20">
        <v>1.05</v>
      </c>
      <c r="AL20">
        <v>0</v>
      </c>
      <c r="AS20" t="s">
        <v>399</v>
      </c>
      <c r="AY20" t="s">
        <v>324</v>
      </c>
      <c r="BO20" t="s">
        <v>108</v>
      </c>
    </row>
    <row r="21" spans="1:67" x14ac:dyDescent="0.25">
      <c r="A21" t="s">
        <v>104</v>
      </c>
      <c r="B21">
        <v>27</v>
      </c>
      <c r="C21" t="s">
        <v>393</v>
      </c>
      <c r="D21" t="s">
        <v>394</v>
      </c>
      <c r="E21" t="s">
        <v>405</v>
      </c>
      <c r="F21" t="s">
        <v>333</v>
      </c>
      <c r="G21" t="s">
        <v>396</v>
      </c>
      <c r="H21" t="s">
        <v>402</v>
      </c>
      <c r="I21" t="s">
        <v>335</v>
      </c>
      <c r="J21" t="s">
        <v>398</v>
      </c>
      <c r="K21">
        <v>14</v>
      </c>
      <c r="L21" t="s">
        <v>332</v>
      </c>
      <c r="M21">
        <v>0</v>
      </c>
      <c r="T21">
        <v>0</v>
      </c>
      <c r="AA21">
        <v>0</v>
      </c>
      <c r="AB21">
        <v>17594</v>
      </c>
      <c r="AC21">
        <v>38.08</v>
      </c>
      <c r="AI21">
        <v>0</v>
      </c>
      <c r="AJ21">
        <f t="shared" si="0"/>
        <v>2.7199999999999998</v>
      </c>
      <c r="AK21">
        <v>1.05</v>
      </c>
      <c r="AL21">
        <v>0</v>
      </c>
      <c r="AS21" t="s">
        <v>399</v>
      </c>
      <c r="AY21" t="s">
        <v>324</v>
      </c>
      <c r="BO21" t="s">
        <v>108</v>
      </c>
    </row>
    <row r="22" spans="1:67" x14ac:dyDescent="0.25">
      <c r="A22" t="s">
        <v>104</v>
      </c>
      <c r="B22">
        <v>28</v>
      </c>
      <c r="C22" t="s">
        <v>393</v>
      </c>
      <c r="D22" t="s">
        <v>394</v>
      </c>
      <c r="E22" t="s">
        <v>410</v>
      </c>
      <c r="F22" t="s">
        <v>333</v>
      </c>
      <c r="G22" t="s">
        <v>396</v>
      </c>
      <c r="H22" t="s">
        <v>403</v>
      </c>
      <c r="I22" t="s">
        <v>335</v>
      </c>
      <c r="J22" t="s">
        <v>398</v>
      </c>
      <c r="K22">
        <v>41</v>
      </c>
      <c r="L22" t="s">
        <v>332</v>
      </c>
      <c r="M22">
        <v>2</v>
      </c>
      <c r="T22">
        <v>8.1999999999999993</v>
      </c>
      <c r="AA22">
        <v>0</v>
      </c>
      <c r="AB22">
        <v>17594</v>
      </c>
      <c r="AC22">
        <v>111.52</v>
      </c>
      <c r="AI22">
        <v>0</v>
      </c>
      <c r="AJ22">
        <f t="shared" si="0"/>
        <v>2.7199999999999998</v>
      </c>
      <c r="AK22">
        <v>1.05</v>
      </c>
      <c r="AL22">
        <v>0</v>
      </c>
      <c r="AS22" t="s">
        <v>399</v>
      </c>
      <c r="AY22" t="s">
        <v>324</v>
      </c>
      <c r="BO22" t="s">
        <v>108</v>
      </c>
    </row>
    <row r="23" spans="1:67" x14ac:dyDescent="0.25">
      <c r="A23" t="s">
        <v>104</v>
      </c>
      <c r="B23">
        <v>29</v>
      </c>
      <c r="C23" t="s">
        <v>393</v>
      </c>
      <c r="D23" t="s">
        <v>394</v>
      </c>
      <c r="E23" t="s">
        <v>411</v>
      </c>
      <c r="F23" t="s">
        <v>333</v>
      </c>
      <c r="G23" t="s">
        <v>396</v>
      </c>
      <c r="H23" t="s">
        <v>403</v>
      </c>
      <c r="I23" t="s">
        <v>335</v>
      </c>
      <c r="J23" t="s">
        <v>398</v>
      </c>
      <c r="K23">
        <v>43</v>
      </c>
      <c r="L23" t="s">
        <v>332</v>
      </c>
      <c r="M23">
        <v>2</v>
      </c>
      <c r="T23">
        <v>8.6</v>
      </c>
      <c r="AA23">
        <v>0</v>
      </c>
      <c r="AB23">
        <v>17594</v>
      </c>
      <c r="AC23">
        <v>116.96</v>
      </c>
      <c r="AI23">
        <v>0</v>
      </c>
      <c r="AJ23">
        <f t="shared" si="0"/>
        <v>2.7199999999999998</v>
      </c>
      <c r="AK23">
        <v>1.05</v>
      </c>
      <c r="AL23">
        <v>0</v>
      </c>
      <c r="AS23" t="s">
        <v>399</v>
      </c>
      <c r="AY23" t="s">
        <v>324</v>
      </c>
      <c r="BO23" t="s">
        <v>108</v>
      </c>
    </row>
    <row r="24" spans="1:67" x14ac:dyDescent="0.25">
      <c r="A24" t="s">
        <v>104</v>
      </c>
      <c r="B24">
        <v>30</v>
      </c>
      <c r="C24" t="s">
        <v>393</v>
      </c>
      <c r="D24" t="s">
        <v>394</v>
      </c>
      <c r="E24" t="s">
        <v>411</v>
      </c>
      <c r="F24" t="s">
        <v>333</v>
      </c>
      <c r="G24" t="s">
        <v>396</v>
      </c>
      <c r="H24" t="s">
        <v>402</v>
      </c>
      <c r="I24" t="s">
        <v>335</v>
      </c>
      <c r="J24" t="s">
        <v>398</v>
      </c>
      <c r="K24">
        <v>60</v>
      </c>
      <c r="L24" t="s">
        <v>332</v>
      </c>
      <c r="M24">
        <v>2</v>
      </c>
      <c r="T24">
        <v>6.96</v>
      </c>
      <c r="AA24">
        <v>0</v>
      </c>
      <c r="AB24">
        <v>17594</v>
      </c>
      <c r="AC24">
        <v>163.19999999999999</v>
      </c>
      <c r="AI24">
        <v>0</v>
      </c>
      <c r="AJ24">
        <f t="shared" si="0"/>
        <v>2.7199999999999998</v>
      </c>
      <c r="AK24">
        <v>1.05</v>
      </c>
      <c r="AL24">
        <v>0</v>
      </c>
      <c r="AS24" t="s">
        <v>399</v>
      </c>
      <c r="AY24" t="s">
        <v>324</v>
      </c>
      <c r="BO24" t="s">
        <v>108</v>
      </c>
    </row>
    <row r="25" spans="1:67" x14ac:dyDescent="0.25">
      <c r="A25" t="s">
        <v>104</v>
      </c>
      <c r="B25">
        <v>31</v>
      </c>
      <c r="C25" t="s">
        <v>393</v>
      </c>
      <c r="D25" t="s">
        <v>394</v>
      </c>
      <c r="E25" t="s">
        <v>411</v>
      </c>
      <c r="F25" t="s">
        <v>333</v>
      </c>
      <c r="G25" t="s">
        <v>396</v>
      </c>
      <c r="H25" t="s">
        <v>409</v>
      </c>
      <c r="I25" t="s">
        <v>335</v>
      </c>
      <c r="J25" t="s">
        <v>398</v>
      </c>
      <c r="K25">
        <v>61</v>
      </c>
      <c r="L25" t="s">
        <v>332</v>
      </c>
      <c r="M25">
        <v>3</v>
      </c>
      <c r="T25">
        <v>10.8</v>
      </c>
      <c r="AA25">
        <v>0</v>
      </c>
      <c r="AB25">
        <v>17594</v>
      </c>
      <c r="AC25">
        <v>165.92</v>
      </c>
      <c r="AI25">
        <v>0</v>
      </c>
      <c r="AJ25">
        <f t="shared" si="0"/>
        <v>2.7199999999999998</v>
      </c>
      <c r="AK25">
        <v>1.05</v>
      </c>
      <c r="AL25">
        <v>0</v>
      </c>
      <c r="AS25" t="s">
        <v>399</v>
      </c>
      <c r="AY25" t="s">
        <v>324</v>
      </c>
      <c r="BO25" t="s">
        <v>108</v>
      </c>
    </row>
    <row r="26" spans="1:67" x14ac:dyDescent="0.25">
      <c r="A26" t="s">
        <v>104</v>
      </c>
      <c r="B26">
        <v>32</v>
      </c>
      <c r="C26" t="s">
        <v>393</v>
      </c>
      <c r="D26" t="s">
        <v>394</v>
      </c>
      <c r="E26" t="s">
        <v>410</v>
      </c>
      <c r="F26" t="s">
        <v>333</v>
      </c>
      <c r="G26" t="s">
        <v>396</v>
      </c>
      <c r="H26" t="s">
        <v>407</v>
      </c>
      <c r="I26" t="s">
        <v>335</v>
      </c>
      <c r="J26" t="s">
        <v>398</v>
      </c>
      <c r="K26">
        <v>137</v>
      </c>
      <c r="L26" t="s">
        <v>332</v>
      </c>
      <c r="M26">
        <v>2</v>
      </c>
      <c r="T26">
        <v>17.809999999999999</v>
      </c>
      <c r="AA26">
        <v>0</v>
      </c>
      <c r="AB26">
        <v>17594</v>
      </c>
      <c r="AC26">
        <v>372.64</v>
      </c>
      <c r="AI26">
        <v>0</v>
      </c>
      <c r="AJ26">
        <f t="shared" si="0"/>
        <v>2.7199999999999998</v>
      </c>
      <c r="AK26">
        <v>1.05</v>
      </c>
      <c r="AL26">
        <v>0</v>
      </c>
      <c r="AS26" t="s">
        <v>399</v>
      </c>
      <c r="AY26" t="s">
        <v>324</v>
      </c>
      <c r="BO26" t="s">
        <v>108</v>
      </c>
    </row>
    <row r="27" spans="1:67" x14ac:dyDescent="0.25">
      <c r="A27" t="s">
        <v>104</v>
      </c>
      <c r="B27">
        <v>33</v>
      </c>
      <c r="C27" t="s">
        <v>393</v>
      </c>
      <c r="D27" t="s">
        <v>394</v>
      </c>
      <c r="E27" t="s">
        <v>410</v>
      </c>
      <c r="F27" t="s">
        <v>333</v>
      </c>
      <c r="G27" t="s">
        <v>396</v>
      </c>
      <c r="H27" t="s">
        <v>408</v>
      </c>
      <c r="I27" t="s">
        <v>335</v>
      </c>
      <c r="J27" t="s">
        <v>398</v>
      </c>
      <c r="K27">
        <v>144</v>
      </c>
      <c r="L27" t="s">
        <v>332</v>
      </c>
      <c r="M27">
        <v>3</v>
      </c>
      <c r="T27">
        <v>21.6</v>
      </c>
      <c r="AA27">
        <v>0</v>
      </c>
      <c r="AB27">
        <v>17594</v>
      </c>
      <c r="AC27">
        <v>391.68</v>
      </c>
      <c r="AI27">
        <v>0</v>
      </c>
      <c r="AJ27">
        <f t="shared" si="0"/>
        <v>2.72</v>
      </c>
      <c r="AK27">
        <v>1.05</v>
      </c>
      <c r="AL27">
        <v>0</v>
      </c>
      <c r="AS27" t="s">
        <v>399</v>
      </c>
      <c r="AY27" t="s">
        <v>324</v>
      </c>
      <c r="BO27" t="s">
        <v>108</v>
      </c>
    </row>
    <row r="28" spans="1:67" x14ac:dyDescent="0.25">
      <c r="A28" t="s">
        <v>104</v>
      </c>
      <c r="B28">
        <v>34</v>
      </c>
      <c r="C28" t="s">
        <v>393</v>
      </c>
      <c r="D28" t="s">
        <v>394</v>
      </c>
      <c r="E28" t="s">
        <v>410</v>
      </c>
      <c r="F28" t="s">
        <v>333</v>
      </c>
      <c r="G28" t="s">
        <v>396</v>
      </c>
      <c r="H28" t="s">
        <v>406</v>
      </c>
      <c r="I28" t="s">
        <v>335</v>
      </c>
      <c r="J28" t="s">
        <v>398</v>
      </c>
      <c r="K28">
        <v>118</v>
      </c>
      <c r="L28" t="s">
        <v>332</v>
      </c>
      <c r="M28">
        <v>2</v>
      </c>
      <c r="T28">
        <v>18.88</v>
      </c>
      <c r="AA28">
        <v>0</v>
      </c>
      <c r="AB28">
        <v>17594</v>
      </c>
      <c r="AC28">
        <v>320.95999999999998</v>
      </c>
      <c r="AI28">
        <v>0</v>
      </c>
      <c r="AJ28">
        <f t="shared" si="0"/>
        <v>2.7199999999999998</v>
      </c>
      <c r="AK28">
        <v>1.05</v>
      </c>
      <c r="AL28">
        <v>0</v>
      </c>
      <c r="AS28" t="s">
        <v>399</v>
      </c>
      <c r="AY28" t="s">
        <v>324</v>
      </c>
      <c r="BO28" t="s">
        <v>108</v>
      </c>
    </row>
    <row r="29" spans="1:67" x14ac:dyDescent="0.25">
      <c r="A29" t="s">
        <v>104</v>
      </c>
      <c r="B29">
        <v>20</v>
      </c>
      <c r="C29" t="s">
        <v>393</v>
      </c>
      <c r="D29" t="s">
        <v>394</v>
      </c>
      <c r="E29" t="s">
        <v>395</v>
      </c>
      <c r="F29" t="s">
        <v>333</v>
      </c>
      <c r="G29" t="s">
        <v>396</v>
      </c>
      <c r="H29" t="s">
        <v>402</v>
      </c>
      <c r="I29" t="s">
        <v>335</v>
      </c>
      <c r="J29" t="s">
        <v>398</v>
      </c>
      <c r="K29">
        <v>74</v>
      </c>
      <c r="L29" t="s">
        <v>332</v>
      </c>
      <c r="M29">
        <v>2</v>
      </c>
      <c r="T29">
        <v>8.8800000000000008</v>
      </c>
      <c r="AA29">
        <v>0</v>
      </c>
      <c r="AB29">
        <v>17594</v>
      </c>
      <c r="AC29">
        <v>201.28</v>
      </c>
      <c r="AI29">
        <v>0</v>
      </c>
      <c r="AJ29">
        <f t="shared" si="0"/>
        <v>2.72</v>
      </c>
      <c r="AK29">
        <v>1.05</v>
      </c>
      <c r="AL29">
        <v>0</v>
      </c>
      <c r="AS29" t="s">
        <v>399</v>
      </c>
      <c r="AY29" t="s">
        <v>324</v>
      </c>
      <c r="BO29" t="s">
        <v>108</v>
      </c>
    </row>
    <row r="30" spans="1:67" x14ac:dyDescent="0.25">
      <c r="A30" t="s">
        <v>104</v>
      </c>
      <c r="B30">
        <v>21</v>
      </c>
      <c r="C30" t="s">
        <v>393</v>
      </c>
      <c r="D30" t="s">
        <v>394</v>
      </c>
      <c r="E30" t="s">
        <v>395</v>
      </c>
      <c r="F30" t="s">
        <v>333</v>
      </c>
      <c r="G30" t="s">
        <v>396</v>
      </c>
      <c r="H30" t="s">
        <v>403</v>
      </c>
      <c r="I30" t="s">
        <v>335</v>
      </c>
      <c r="J30" t="s">
        <v>398</v>
      </c>
      <c r="K30">
        <v>56</v>
      </c>
      <c r="L30" t="s">
        <v>332</v>
      </c>
      <c r="M30">
        <v>2</v>
      </c>
      <c r="T30">
        <v>11.2</v>
      </c>
      <c r="AA30">
        <v>0</v>
      </c>
      <c r="AB30">
        <v>17594</v>
      </c>
      <c r="AC30">
        <v>152.32</v>
      </c>
      <c r="AI30">
        <v>0</v>
      </c>
      <c r="AJ30">
        <f t="shared" si="0"/>
        <v>2.7199999999999998</v>
      </c>
      <c r="AK30">
        <v>1.05</v>
      </c>
      <c r="AL30">
        <v>0</v>
      </c>
      <c r="AS30" t="s">
        <v>399</v>
      </c>
      <c r="AY30" t="s">
        <v>324</v>
      </c>
      <c r="BO30" t="s">
        <v>108</v>
      </c>
    </row>
    <row r="31" spans="1:67" x14ac:dyDescent="0.25">
      <c r="A31" t="s">
        <v>104</v>
      </c>
      <c r="B31">
        <v>22</v>
      </c>
      <c r="C31" t="s">
        <v>393</v>
      </c>
      <c r="D31" t="s">
        <v>394</v>
      </c>
      <c r="E31" t="s">
        <v>405</v>
      </c>
      <c r="F31" t="s">
        <v>333</v>
      </c>
      <c r="G31" t="s">
        <v>396</v>
      </c>
      <c r="H31" t="s">
        <v>407</v>
      </c>
      <c r="I31" t="s">
        <v>335</v>
      </c>
      <c r="J31" t="s">
        <v>398</v>
      </c>
      <c r="K31">
        <v>31</v>
      </c>
      <c r="L31" t="s">
        <v>332</v>
      </c>
      <c r="M31">
        <v>1</v>
      </c>
      <c r="T31">
        <v>3.9</v>
      </c>
      <c r="AA31">
        <v>0</v>
      </c>
      <c r="AB31">
        <v>17594</v>
      </c>
      <c r="AC31">
        <v>84.32</v>
      </c>
      <c r="AI31">
        <v>0</v>
      </c>
      <c r="AJ31">
        <f t="shared" si="0"/>
        <v>2.7199999999999998</v>
      </c>
      <c r="AK31">
        <v>1.05</v>
      </c>
      <c r="AL31">
        <v>0</v>
      </c>
      <c r="AS31" t="s">
        <v>399</v>
      </c>
      <c r="AY31" t="s">
        <v>324</v>
      </c>
      <c r="BO31" t="s">
        <v>108</v>
      </c>
    </row>
    <row r="32" spans="1:67" x14ac:dyDescent="0.25">
      <c r="A32" t="s">
        <v>104</v>
      </c>
      <c r="B32">
        <v>23</v>
      </c>
      <c r="C32" t="s">
        <v>393</v>
      </c>
      <c r="D32" t="s">
        <v>394</v>
      </c>
      <c r="E32" t="s">
        <v>401</v>
      </c>
      <c r="F32" t="s">
        <v>333</v>
      </c>
      <c r="G32" t="s">
        <v>396</v>
      </c>
      <c r="H32" t="s">
        <v>397</v>
      </c>
      <c r="I32" t="s">
        <v>335</v>
      </c>
      <c r="J32" t="s">
        <v>398</v>
      </c>
      <c r="K32">
        <v>7</v>
      </c>
      <c r="L32" t="s">
        <v>332</v>
      </c>
      <c r="M32">
        <v>1</v>
      </c>
      <c r="T32">
        <v>13.02</v>
      </c>
      <c r="AA32">
        <v>0</v>
      </c>
      <c r="AB32">
        <v>17594</v>
      </c>
      <c r="AC32">
        <v>19.04</v>
      </c>
      <c r="AI32">
        <v>0</v>
      </c>
      <c r="AJ32">
        <f t="shared" si="0"/>
        <v>2.7199999999999998</v>
      </c>
      <c r="AK32">
        <v>1.05</v>
      </c>
      <c r="AL32">
        <v>0</v>
      </c>
      <c r="AS32" t="s">
        <v>399</v>
      </c>
      <c r="AY32" t="s">
        <v>324</v>
      </c>
      <c r="BO32" t="s">
        <v>108</v>
      </c>
    </row>
    <row r="33" spans="1:67" x14ac:dyDescent="0.25">
      <c r="A33" t="s">
        <v>104</v>
      </c>
      <c r="B33">
        <v>24</v>
      </c>
      <c r="C33" t="s">
        <v>393</v>
      </c>
      <c r="D33" t="s">
        <v>394</v>
      </c>
      <c r="E33" t="s">
        <v>405</v>
      </c>
      <c r="F33" t="s">
        <v>333</v>
      </c>
      <c r="G33" t="s">
        <v>396</v>
      </c>
      <c r="H33" t="s">
        <v>404</v>
      </c>
      <c r="I33" t="s">
        <v>335</v>
      </c>
      <c r="J33" t="s">
        <v>398</v>
      </c>
      <c r="K33">
        <v>4</v>
      </c>
      <c r="L33" t="s">
        <v>332</v>
      </c>
      <c r="M33">
        <v>0</v>
      </c>
      <c r="T33">
        <v>0</v>
      </c>
      <c r="AA33">
        <v>0</v>
      </c>
      <c r="AB33">
        <v>17594</v>
      </c>
      <c r="AC33">
        <v>10.88</v>
      </c>
      <c r="AI33">
        <v>0</v>
      </c>
      <c r="AJ33">
        <f t="shared" si="0"/>
        <v>2.72</v>
      </c>
      <c r="AK33">
        <v>1.05</v>
      </c>
      <c r="AL33">
        <v>0</v>
      </c>
      <c r="AS33" t="s">
        <v>399</v>
      </c>
      <c r="AY33" t="s">
        <v>324</v>
      </c>
      <c r="BO33" t="s">
        <v>108</v>
      </c>
    </row>
    <row r="34" spans="1:67" x14ac:dyDescent="0.25">
      <c r="A34" t="s">
        <v>104</v>
      </c>
      <c r="B34">
        <v>25</v>
      </c>
      <c r="C34" t="s">
        <v>393</v>
      </c>
      <c r="D34" t="s">
        <v>394</v>
      </c>
      <c r="E34" t="s">
        <v>405</v>
      </c>
      <c r="F34" t="s">
        <v>333</v>
      </c>
      <c r="G34" t="s">
        <v>396</v>
      </c>
      <c r="H34" t="s">
        <v>400</v>
      </c>
      <c r="I34" t="s">
        <v>335</v>
      </c>
      <c r="J34" t="s">
        <v>398</v>
      </c>
      <c r="K34">
        <v>2</v>
      </c>
      <c r="L34" t="s">
        <v>332</v>
      </c>
      <c r="M34">
        <v>0</v>
      </c>
      <c r="T34">
        <v>0</v>
      </c>
      <c r="AA34">
        <v>0</v>
      </c>
      <c r="AB34">
        <v>17594</v>
      </c>
      <c r="AC34">
        <v>5.44</v>
      </c>
      <c r="AI34">
        <v>0</v>
      </c>
      <c r="AJ34">
        <f t="shared" si="0"/>
        <v>2.72</v>
      </c>
      <c r="AK34">
        <v>1.05</v>
      </c>
      <c r="AL34">
        <v>0</v>
      </c>
      <c r="AS34" t="s">
        <v>399</v>
      </c>
      <c r="AY34" t="s">
        <v>324</v>
      </c>
      <c r="BO34" t="s">
        <v>108</v>
      </c>
    </row>
    <row r="35" spans="1:67" x14ac:dyDescent="0.25">
      <c r="A35" t="s">
        <v>104</v>
      </c>
      <c r="B35">
        <v>26</v>
      </c>
      <c r="C35" t="s">
        <v>393</v>
      </c>
      <c r="D35" t="s">
        <v>394</v>
      </c>
      <c r="E35" t="s">
        <v>405</v>
      </c>
      <c r="F35" t="s">
        <v>333</v>
      </c>
      <c r="G35" t="s">
        <v>396</v>
      </c>
      <c r="H35" t="s">
        <v>397</v>
      </c>
      <c r="I35" t="s">
        <v>335</v>
      </c>
      <c r="J35" t="s">
        <v>398</v>
      </c>
      <c r="K35">
        <v>2</v>
      </c>
      <c r="L35" t="s">
        <v>332</v>
      </c>
      <c r="M35">
        <v>1</v>
      </c>
      <c r="T35">
        <v>12.3</v>
      </c>
      <c r="AA35">
        <v>0</v>
      </c>
      <c r="AB35">
        <v>17594</v>
      </c>
      <c r="AC35">
        <v>5.44</v>
      </c>
      <c r="AI35">
        <v>0</v>
      </c>
      <c r="AJ35">
        <f t="shared" si="0"/>
        <v>2.72</v>
      </c>
      <c r="AK35">
        <v>1.05</v>
      </c>
      <c r="AL35">
        <v>0</v>
      </c>
      <c r="AS35" t="s">
        <v>399</v>
      </c>
      <c r="AY35" t="s">
        <v>324</v>
      </c>
      <c r="BO35" t="s">
        <v>108</v>
      </c>
    </row>
    <row r="36" spans="1:67" x14ac:dyDescent="0.25">
      <c r="A36" t="s">
        <v>104</v>
      </c>
      <c r="B36">
        <v>37</v>
      </c>
      <c r="C36" t="s">
        <v>393</v>
      </c>
      <c r="D36" t="s">
        <v>394</v>
      </c>
      <c r="E36" t="s">
        <v>411</v>
      </c>
      <c r="F36" t="s">
        <v>333</v>
      </c>
      <c r="G36" t="s">
        <v>396</v>
      </c>
      <c r="H36" t="s">
        <v>407</v>
      </c>
      <c r="I36" t="s">
        <v>335</v>
      </c>
      <c r="J36" t="s">
        <v>398</v>
      </c>
      <c r="K36">
        <v>135</v>
      </c>
      <c r="L36" t="s">
        <v>332</v>
      </c>
      <c r="M36">
        <v>2</v>
      </c>
      <c r="T36">
        <v>17.55</v>
      </c>
      <c r="AA36">
        <v>0</v>
      </c>
      <c r="AB36">
        <v>17594</v>
      </c>
      <c r="AC36">
        <v>367.2</v>
      </c>
      <c r="AI36">
        <v>0</v>
      </c>
      <c r="AJ36">
        <f t="shared" si="0"/>
        <v>2.7199999999999998</v>
      </c>
      <c r="AK36">
        <v>1.05</v>
      </c>
      <c r="AL36">
        <v>0</v>
      </c>
      <c r="AS36" t="s">
        <v>399</v>
      </c>
      <c r="AY36" t="s">
        <v>324</v>
      </c>
      <c r="BO36" t="s">
        <v>108</v>
      </c>
    </row>
    <row r="37" spans="1:67" x14ac:dyDescent="0.25">
      <c r="A37" t="s">
        <v>104</v>
      </c>
      <c r="B37">
        <v>38</v>
      </c>
      <c r="C37" t="s">
        <v>393</v>
      </c>
      <c r="D37" t="s">
        <v>394</v>
      </c>
      <c r="E37" t="s">
        <v>411</v>
      </c>
      <c r="F37" t="s">
        <v>333</v>
      </c>
      <c r="G37" t="s">
        <v>396</v>
      </c>
      <c r="H37" t="s">
        <v>406</v>
      </c>
      <c r="I37" t="s">
        <v>335</v>
      </c>
      <c r="J37" t="s">
        <v>398</v>
      </c>
      <c r="K37">
        <v>122</v>
      </c>
      <c r="L37" t="s">
        <v>332</v>
      </c>
      <c r="M37">
        <v>3</v>
      </c>
      <c r="T37">
        <v>18.559999999999999</v>
      </c>
      <c r="AA37">
        <v>0</v>
      </c>
      <c r="AB37">
        <v>17594</v>
      </c>
      <c r="AC37">
        <v>331.84</v>
      </c>
      <c r="AI37">
        <v>0</v>
      </c>
      <c r="AJ37">
        <f t="shared" si="0"/>
        <v>2.7199999999999998</v>
      </c>
      <c r="AK37">
        <v>1.05</v>
      </c>
      <c r="AL37">
        <v>0</v>
      </c>
      <c r="AS37" t="s">
        <v>399</v>
      </c>
      <c r="AY37" t="s">
        <v>324</v>
      </c>
      <c r="BO37" t="s">
        <v>108</v>
      </c>
    </row>
    <row r="38" spans="1:67" x14ac:dyDescent="0.25">
      <c r="A38" t="s">
        <v>104</v>
      </c>
      <c r="B38">
        <v>39</v>
      </c>
      <c r="C38" t="s">
        <v>393</v>
      </c>
      <c r="D38" t="s">
        <v>394</v>
      </c>
      <c r="E38" t="s">
        <v>411</v>
      </c>
      <c r="F38" t="s">
        <v>333</v>
      </c>
      <c r="G38" t="s">
        <v>396</v>
      </c>
      <c r="H38" t="s">
        <v>408</v>
      </c>
      <c r="I38" t="s">
        <v>335</v>
      </c>
      <c r="J38" t="s">
        <v>398</v>
      </c>
      <c r="K38">
        <v>140</v>
      </c>
      <c r="L38" t="s">
        <v>332</v>
      </c>
      <c r="M38">
        <v>2</v>
      </c>
      <c r="T38">
        <v>19.5</v>
      </c>
      <c r="AA38">
        <v>0</v>
      </c>
      <c r="AB38">
        <v>17594</v>
      </c>
      <c r="AC38">
        <v>380.8</v>
      </c>
      <c r="AI38">
        <v>0</v>
      </c>
      <c r="AJ38">
        <f t="shared" si="0"/>
        <v>2.72</v>
      </c>
      <c r="AK38">
        <v>1.05</v>
      </c>
      <c r="AL38">
        <v>0</v>
      </c>
      <c r="AS38" t="s">
        <v>399</v>
      </c>
      <c r="AY38" t="s">
        <v>324</v>
      </c>
      <c r="BO38" t="s">
        <v>108</v>
      </c>
    </row>
    <row r="39" spans="1:67" x14ac:dyDescent="0.25">
      <c r="A39" t="s">
        <v>104</v>
      </c>
      <c r="B39">
        <v>40</v>
      </c>
      <c r="C39" t="s">
        <v>393</v>
      </c>
      <c r="D39" t="s">
        <v>394</v>
      </c>
      <c r="E39" t="s">
        <v>411</v>
      </c>
      <c r="F39" t="s">
        <v>333</v>
      </c>
      <c r="G39" t="s">
        <v>396</v>
      </c>
      <c r="H39" t="s">
        <v>404</v>
      </c>
      <c r="I39" t="s">
        <v>335</v>
      </c>
      <c r="J39" t="s">
        <v>398</v>
      </c>
      <c r="K39">
        <v>15</v>
      </c>
      <c r="L39" t="s">
        <v>332</v>
      </c>
      <c r="M39">
        <v>1</v>
      </c>
      <c r="T39">
        <v>3.3</v>
      </c>
      <c r="AA39">
        <v>0</v>
      </c>
      <c r="AB39">
        <v>17594</v>
      </c>
      <c r="AC39">
        <v>40.799999999999997</v>
      </c>
      <c r="AI39">
        <v>0</v>
      </c>
      <c r="AJ39">
        <f t="shared" si="0"/>
        <v>2.7199999999999998</v>
      </c>
      <c r="AK39">
        <v>1.05</v>
      </c>
      <c r="AL39">
        <v>0</v>
      </c>
      <c r="AS39" t="s">
        <v>399</v>
      </c>
      <c r="AY39" t="s">
        <v>324</v>
      </c>
      <c r="BO39" t="s">
        <v>108</v>
      </c>
    </row>
    <row r="40" spans="1:67" x14ac:dyDescent="0.25">
      <c r="A40" t="s">
        <v>104</v>
      </c>
      <c r="B40">
        <v>41</v>
      </c>
      <c r="C40" t="s">
        <v>393</v>
      </c>
      <c r="D40" t="s">
        <v>394</v>
      </c>
      <c r="E40" t="s">
        <v>410</v>
      </c>
      <c r="F40" t="s">
        <v>333</v>
      </c>
      <c r="G40" t="s">
        <v>396</v>
      </c>
      <c r="H40" t="s">
        <v>397</v>
      </c>
      <c r="I40" t="s">
        <v>335</v>
      </c>
      <c r="J40" t="s">
        <v>398</v>
      </c>
      <c r="K40">
        <v>9</v>
      </c>
      <c r="L40" t="s">
        <v>332</v>
      </c>
      <c r="M40">
        <v>0</v>
      </c>
      <c r="T40">
        <v>0</v>
      </c>
      <c r="AA40">
        <v>0</v>
      </c>
      <c r="AB40">
        <v>17594</v>
      </c>
      <c r="AC40">
        <v>24.48</v>
      </c>
      <c r="AI40">
        <v>0</v>
      </c>
      <c r="AJ40">
        <f t="shared" si="0"/>
        <v>2.72</v>
      </c>
      <c r="AK40">
        <v>1.05</v>
      </c>
      <c r="AL40">
        <v>0</v>
      </c>
      <c r="AS40" t="s">
        <v>399</v>
      </c>
      <c r="AY40" t="s">
        <v>324</v>
      </c>
      <c r="BO40" t="s">
        <v>108</v>
      </c>
    </row>
    <row r="41" spans="1:67" x14ac:dyDescent="0.25">
      <c r="A41" t="s">
        <v>104</v>
      </c>
      <c r="B41">
        <v>35</v>
      </c>
      <c r="C41" t="s">
        <v>393</v>
      </c>
      <c r="D41" t="s">
        <v>394</v>
      </c>
      <c r="E41" t="s">
        <v>410</v>
      </c>
      <c r="F41" t="s">
        <v>333</v>
      </c>
      <c r="G41" t="s">
        <v>396</v>
      </c>
      <c r="H41" t="s">
        <v>409</v>
      </c>
      <c r="I41" t="s">
        <v>335</v>
      </c>
      <c r="J41" t="s">
        <v>398</v>
      </c>
      <c r="K41">
        <v>58</v>
      </c>
      <c r="L41" t="s">
        <v>332</v>
      </c>
      <c r="M41">
        <v>2</v>
      </c>
      <c r="T41">
        <v>10.08</v>
      </c>
      <c r="AA41">
        <v>0</v>
      </c>
      <c r="AB41">
        <v>17594</v>
      </c>
      <c r="AC41">
        <v>157.76</v>
      </c>
      <c r="AI41">
        <v>0</v>
      </c>
      <c r="AJ41">
        <f t="shared" si="0"/>
        <v>2.7199999999999998</v>
      </c>
      <c r="AK41">
        <v>1.05</v>
      </c>
      <c r="AL41">
        <v>0</v>
      </c>
      <c r="AS41" t="s">
        <v>399</v>
      </c>
      <c r="AY41" t="s">
        <v>324</v>
      </c>
      <c r="BO41" t="s">
        <v>108</v>
      </c>
    </row>
    <row r="42" spans="1:67" x14ac:dyDescent="0.25">
      <c r="A42" t="s">
        <v>104</v>
      </c>
      <c r="B42">
        <v>42</v>
      </c>
      <c r="C42" t="s">
        <v>393</v>
      </c>
      <c r="D42" t="s">
        <v>394</v>
      </c>
      <c r="E42" t="s">
        <v>410</v>
      </c>
      <c r="F42" t="s">
        <v>333</v>
      </c>
      <c r="G42" t="s">
        <v>396</v>
      </c>
      <c r="H42" t="s">
        <v>400</v>
      </c>
      <c r="I42" t="s">
        <v>335</v>
      </c>
      <c r="J42" t="s">
        <v>398</v>
      </c>
      <c r="K42">
        <v>7</v>
      </c>
      <c r="L42" t="s">
        <v>332</v>
      </c>
      <c r="M42">
        <v>0</v>
      </c>
      <c r="T42">
        <v>0</v>
      </c>
      <c r="AA42">
        <v>0</v>
      </c>
      <c r="AB42">
        <v>17594</v>
      </c>
      <c r="AC42">
        <v>19.04</v>
      </c>
      <c r="AI42">
        <v>0</v>
      </c>
      <c r="AJ42">
        <f t="shared" si="0"/>
        <v>2.7199999999999998</v>
      </c>
      <c r="AK42">
        <v>1.05</v>
      </c>
      <c r="AL42">
        <v>0</v>
      </c>
      <c r="AS42" t="s">
        <v>399</v>
      </c>
      <c r="AY42" t="s">
        <v>324</v>
      </c>
      <c r="BO42" t="s">
        <v>108</v>
      </c>
    </row>
    <row r="43" spans="1:67" x14ac:dyDescent="0.25">
      <c r="A43" t="s">
        <v>104</v>
      </c>
      <c r="B43">
        <v>43</v>
      </c>
      <c r="C43" t="s">
        <v>393</v>
      </c>
      <c r="D43" t="s">
        <v>394</v>
      </c>
      <c r="E43" t="s">
        <v>411</v>
      </c>
      <c r="F43" t="s">
        <v>333</v>
      </c>
      <c r="G43" t="s">
        <v>396</v>
      </c>
      <c r="H43" t="s">
        <v>400</v>
      </c>
      <c r="I43" t="s">
        <v>335</v>
      </c>
      <c r="J43" t="s">
        <v>398</v>
      </c>
      <c r="K43">
        <v>6</v>
      </c>
      <c r="L43" t="s">
        <v>332</v>
      </c>
      <c r="M43">
        <v>0</v>
      </c>
      <c r="T43">
        <v>0</v>
      </c>
      <c r="AA43">
        <v>0</v>
      </c>
      <c r="AB43">
        <v>17594</v>
      </c>
      <c r="AC43">
        <v>16.32</v>
      </c>
      <c r="AI43">
        <v>0</v>
      </c>
      <c r="AJ43">
        <f t="shared" si="0"/>
        <v>2.72</v>
      </c>
      <c r="AK43">
        <v>1.05</v>
      </c>
      <c r="AL43">
        <v>0</v>
      </c>
      <c r="AS43" t="s">
        <v>399</v>
      </c>
      <c r="AY43" t="s">
        <v>324</v>
      </c>
      <c r="BO43" t="s">
        <v>108</v>
      </c>
    </row>
    <row r="44" spans="1:67" x14ac:dyDescent="0.25">
      <c r="A44" t="s">
        <v>104</v>
      </c>
      <c r="B44">
        <v>44</v>
      </c>
      <c r="C44" t="s">
        <v>393</v>
      </c>
      <c r="D44" t="s">
        <v>394</v>
      </c>
      <c r="E44" t="s">
        <v>410</v>
      </c>
      <c r="F44" t="s">
        <v>333</v>
      </c>
      <c r="G44" t="s">
        <v>396</v>
      </c>
      <c r="H44" t="s">
        <v>404</v>
      </c>
      <c r="I44" t="s">
        <v>335</v>
      </c>
      <c r="J44" t="s">
        <v>398</v>
      </c>
      <c r="K44">
        <v>15</v>
      </c>
      <c r="L44" t="s">
        <v>332</v>
      </c>
      <c r="M44">
        <v>1</v>
      </c>
      <c r="T44">
        <v>3.3</v>
      </c>
      <c r="AA44">
        <v>0</v>
      </c>
      <c r="AB44">
        <v>17594</v>
      </c>
      <c r="AC44">
        <v>40.799999999999997</v>
      </c>
      <c r="AI44">
        <v>0</v>
      </c>
      <c r="AJ44">
        <f t="shared" si="0"/>
        <v>2.7199999999999998</v>
      </c>
      <c r="AK44">
        <v>1.05</v>
      </c>
      <c r="AL44">
        <v>0</v>
      </c>
      <c r="AS44" t="s">
        <v>399</v>
      </c>
      <c r="AY44" t="s">
        <v>324</v>
      </c>
      <c r="BO44" t="s">
        <v>108</v>
      </c>
    </row>
    <row r="45" spans="1:67" x14ac:dyDescent="0.25">
      <c r="A45" t="s">
        <v>104</v>
      </c>
      <c r="B45">
        <v>36</v>
      </c>
      <c r="C45" t="s">
        <v>393</v>
      </c>
      <c r="D45" t="s">
        <v>394</v>
      </c>
      <c r="E45" t="s">
        <v>410</v>
      </c>
      <c r="F45" t="s">
        <v>333</v>
      </c>
      <c r="G45" t="s">
        <v>396</v>
      </c>
      <c r="H45" t="s">
        <v>402</v>
      </c>
      <c r="I45" t="s">
        <v>335</v>
      </c>
      <c r="J45" t="s">
        <v>398</v>
      </c>
      <c r="K45">
        <v>60</v>
      </c>
      <c r="L45" t="s">
        <v>332</v>
      </c>
      <c r="M45">
        <v>2</v>
      </c>
      <c r="T45">
        <v>7.2</v>
      </c>
      <c r="AA45">
        <v>0</v>
      </c>
      <c r="AB45">
        <v>17594</v>
      </c>
      <c r="AC45">
        <v>163.19999999999999</v>
      </c>
      <c r="AI45">
        <v>0</v>
      </c>
      <c r="AJ45">
        <f t="shared" si="0"/>
        <v>2.7199999999999998</v>
      </c>
      <c r="AK45">
        <v>1.05</v>
      </c>
      <c r="AL45">
        <v>0</v>
      </c>
      <c r="AS45" t="s">
        <v>399</v>
      </c>
      <c r="AY45" t="s">
        <v>324</v>
      </c>
      <c r="BO45" t="s">
        <v>108</v>
      </c>
    </row>
    <row r="46" spans="1:67" x14ac:dyDescent="0.25">
      <c r="A46" t="s">
        <v>104</v>
      </c>
      <c r="B46">
        <v>45</v>
      </c>
      <c r="C46" t="s">
        <v>393</v>
      </c>
      <c r="D46" t="s">
        <v>394</v>
      </c>
      <c r="E46" t="s">
        <v>411</v>
      </c>
      <c r="F46" t="s">
        <v>333</v>
      </c>
      <c r="G46" t="s">
        <v>396</v>
      </c>
      <c r="H46" t="s">
        <v>397</v>
      </c>
      <c r="I46" t="s">
        <v>335</v>
      </c>
      <c r="J46" t="s">
        <v>398</v>
      </c>
      <c r="K46">
        <v>9</v>
      </c>
      <c r="L46" t="s">
        <v>332</v>
      </c>
      <c r="M46">
        <v>0</v>
      </c>
      <c r="T46">
        <v>0</v>
      </c>
      <c r="AA46">
        <v>0</v>
      </c>
      <c r="AB46">
        <v>17594</v>
      </c>
      <c r="AC46">
        <v>24.48</v>
      </c>
      <c r="AI46">
        <v>0</v>
      </c>
      <c r="AJ46">
        <f t="shared" si="0"/>
        <v>2.72</v>
      </c>
      <c r="AK46">
        <v>1.05</v>
      </c>
      <c r="AL46">
        <v>0</v>
      </c>
      <c r="AS46" t="s">
        <v>399</v>
      </c>
      <c r="AY46" t="s">
        <v>324</v>
      </c>
      <c r="BO46" t="s">
        <v>108</v>
      </c>
    </row>
    <row r="47" spans="1:67" x14ac:dyDescent="0.25">
      <c r="A47" t="s">
        <v>127</v>
      </c>
      <c r="B47">
        <v>14</v>
      </c>
      <c r="C47" t="s">
        <v>393</v>
      </c>
      <c r="D47" t="s">
        <v>394</v>
      </c>
      <c r="E47" t="s">
        <v>412</v>
      </c>
      <c r="F47" t="s">
        <v>333</v>
      </c>
      <c r="G47" t="s">
        <v>396</v>
      </c>
      <c r="H47" t="s">
        <v>402</v>
      </c>
      <c r="I47" t="s">
        <v>335</v>
      </c>
      <c r="J47" t="s">
        <v>398</v>
      </c>
      <c r="K47">
        <v>44</v>
      </c>
      <c r="L47" t="s">
        <v>332</v>
      </c>
      <c r="M47">
        <v>1</v>
      </c>
      <c r="T47">
        <v>3.72</v>
      </c>
      <c r="AA47">
        <v>0</v>
      </c>
      <c r="AB47">
        <v>17594</v>
      </c>
      <c r="AC47">
        <v>119.68</v>
      </c>
      <c r="AI47">
        <v>0</v>
      </c>
      <c r="AJ47">
        <f t="shared" si="0"/>
        <v>2.72</v>
      </c>
      <c r="AK47">
        <v>1.05</v>
      </c>
      <c r="AL47">
        <v>0</v>
      </c>
      <c r="AS47" t="s">
        <v>399</v>
      </c>
      <c r="AY47" t="s">
        <v>324</v>
      </c>
      <c r="BO47" t="s">
        <v>108</v>
      </c>
    </row>
    <row r="48" spans="1:67" x14ac:dyDescent="0.25">
      <c r="A48" t="s">
        <v>127</v>
      </c>
      <c r="B48">
        <v>15</v>
      </c>
      <c r="C48" t="s">
        <v>393</v>
      </c>
      <c r="D48" t="s">
        <v>394</v>
      </c>
      <c r="E48" t="s">
        <v>412</v>
      </c>
      <c r="F48" t="s">
        <v>333</v>
      </c>
      <c r="G48" t="s">
        <v>396</v>
      </c>
      <c r="H48" t="s">
        <v>397</v>
      </c>
      <c r="I48" t="s">
        <v>335</v>
      </c>
      <c r="J48" t="s">
        <v>398</v>
      </c>
      <c r="K48">
        <v>7</v>
      </c>
      <c r="L48" t="s">
        <v>332</v>
      </c>
      <c r="M48">
        <v>1</v>
      </c>
      <c r="T48">
        <v>11.46</v>
      </c>
      <c r="AA48">
        <v>0</v>
      </c>
      <c r="AB48">
        <v>17594</v>
      </c>
      <c r="AC48">
        <v>19.04</v>
      </c>
      <c r="AI48">
        <v>0</v>
      </c>
      <c r="AJ48">
        <f t="shared" si="0"/>
        <v>2.7199999999999998</v>
      </c>
      <c r="AK48">
        <v>1.05</v>
      </c>
      <c r="AL48">
        <v>0</v>
      </c>
      <c r="AS48" t="s">
        <v>399</v>
      </c>
      <c r="AY48" t="s">
        <v>324</v>
      </c>
      <c r="BO48" t="s">
        <v>108</v>
      </c>
    </row>
    <row r="49" spans="1:67" x14ac:dyDescent="0.25">
      <c r="A49" t="s">
        <v>127</v>
      </c>
      <c r="B49">
        <v>25</v>
      </c>
      <c r="C49" t="s">
        <v>393</v>
      </c>
      <c r="D49" t="s">
        <v>394</v>
      </c>
      <c r="E49" t="s">
        <v>413</v>
      </c>
      <c r="F49" t="s">
        <v>333</v>
      </c>
      <c r="G49" t="s">
        <v>396</v>
      </c>
      <c r="H49" t="s">
        <v>406</v>
      </c>
      <c r="I49" t="s">
        <v>335</v>
      </c>
      <c r="J49" t="s">
        <v>398</v>
      </c>
      <c r="K49">
        <v>128</v>
      </c>
      <c r="L49" t="s">
        <v>332</v>
      </c>
      <c r="M49">
        <v>2</v>
      </c>
      <c r="T49">
        <v>18.88</v>
      </c>
      <c r="AA49">
        <v>0</v>
      </c>
      <c r="AB49">
        <v>17594</v>
      </c>
      <c r="AC49">
        <v>348.16</v>
      </c>
      <c r="AI49">
        <v>0</v>
      </c>
      <c r="AJ49">
        <f t="shared" si="0"/>
        <v>2.72</v>
      </c>
      <c r="AK49">
        <v>1.05</v>
      </c>
      <c r="AL49">
        <v>0</v>
      </c>
      <c r="AS49" t="s">
        <v>399</v>
      </c>
      <c r="AY49" t="s">
        <v>324</v>
      </c>
      <c r="BO49" t="s">
        <v>108</v>
      </c>
    </row>
    <row r="50" spans="1:67" x14ac:dyDescent="0.25">
      <c r="A50" t="s">
        <v>127</v>
      </c>
      <c r="B50">
        <v>26</v>
      </c>
      <c r="C50" t="s">
        <v>393</v>
      </c>
      <c r="D50" t="s">
        <v>394</v>
      </c>
      <c r="E50" t="s">
        <v>413</v>
      </c>
      <c r="F50" t="s">
        <v>333</v>
      </c>
      <c r="G50" t="s">
        <v>396</v>
      </c>
      <c r="H50" t="s">
        <v>400</v>
      </c>
      <c r="I50" t="s">
        <v>335</v>
      </c>
      <c r="J50" t="s">
        <v>398</v>
      </c>
      <c r="K50">
        <v>12</v>
      </c>
      <c r="L50" t="s">
        <v>332</v>
      </c>
      <c r="M50">
        <v>1</v>
      </c>
      <c r="T50">
        <v>2.4</v>
      </c>
      <c r="AA50">
        <v>0</v>
      </c>
      <c r="AB50">
        <v>17594</v>
      </c>
      <c r="AC50">
        <v>32.64</v>
      </c>
      <c r="AI50">
        <v>0</v>
      </c>
      <c r="AJ50">
        <f t="shared" si="0"/>
        <v>2.72</v>
      </c>
      <c r="AK50">
        <v>1.05</v>
      </c>
      <c r="AL50">
        <v>0</v>
      </c>
      <c r="AS50" t="s">
        <v>399</v>
      </c>
      <c r="AY50" t="s">
        <v>324</v>
      </c>
      <c r="BO50" t="s">
        <v>108</v>
      </c>
    </row>
    <row r="51" spans="1:67" x14ac:dyDescent="0.25">
      <c r="A51" t="s">
        <v>127</v>
      </c>
      <c r="B51">
        <v>27</v>
      </c>
      <c r="C51" t="s">
        <v>393</v>
      </c>
      <c r="D51" t="s">
        <v>394</v>
      </c>
      <c r="E51" t="s">
        <v>414</v>
      </c>
      <c r="F51" t="s">
        <v>333</v>
      </c>
      <c r="G51" t="s">
        <v>396</v>
      </c>
      <c r="H51" t="s">
        <v>406</v>
      </c>
      <c r="I51" t="s">
        <v>335</v>
      </c>
      <c r="J51" t="s">
        <v>398</v>
      </c>
      <c r="K51">
        <v>81</v>
      </c>
      <c r="L51" t="s">
        <v>332</v>
      </c>
      <c r="M51">
        <v>2</v>
      </c>
      <c r="T51">
        <v>12.8</v>
      </c>
      <c r="AA51">
        <v>0</v>
      </c>
      <c r="AB51">
        <v>17594</v>
      </c>
      <c r="AC51">
        <v>220.32</v>
      </c>
      <c r="AI51">
        <v>0</v>
      </c>
      <c r="AJ51">
        <f t="shared" si="0"/>
        <v>2.7199999999999998</v>
      </c>
      <c r="AK51">
        <v>1.05</v>
      </c>
      <c r="AL51">
        <v>0</v>
      </c>
      <c r="AS51" t="s">
        <v>399</v>
      </c>
      <c r="AY51" t="s">
        <v>324</v>
      </c>
      <c r="BO51" t="s">
        <v>108</v>
      </c>
    </row>
    <row r="52" spans="1:67" x14ac:dyDescent="0.25">
      <c r="A52" t="s">
        <v>127</v>
      </c>
      <c r="B52">
        <v>22</v>
      </c>
      <c r="C52" t="s">
        <v>393</v>
      </c>
      <c r="D52" t="s">
        <v>394</v>
      </c>
      <c r="E52" t="s">
        <v>414</v>
      </c>
      <c r="F52" t="s">
        <v>333</v>
      </c>
      <c r="G52" t="s">
        <v>396</v>
      </c>
      <c r="H52" t="s">
        <v>397</v>
      </c>
      <c r="I52" t="s">
        <v>335</v>
      </c>
      <c r="J52" t="s">
        <v>398</v>
      </c>
      <c r="K52">
        <v>5</v>
      </c>
      <c r="L52" t="s">
        <v>332</v>
      </c>
      <c r="M52">
        <v>0</v>
      </c>
      <c r="T52">
        <v>0</v>
      </c>
      <c r="AA52">
        <v>0</v>
      </c>
      <c r="AB52">
        <v>17594</v>
      </c>
      <c r="AC52">
        <v>13.6</v>
      </c>
      <c r="AI52">
        <v>0</v>
      </c>
      <c r="AJ52">
        <f t="shared" si="0"/>
        <v>2.7199999999999998</v>
      </c>
      <c r="AK52">
        <v>1.05</v>
      </c>
      <c r="AL52">
        <v>0</v>
      </c>
      <c r="AS52" t="s">
        <v>399</v>
      </c>
      <c r="AY52" t="s">
        <v>324</v>
      </c>
      <c r="BO52" t="s">
        <v>108</v>
      </c>
    </row>
    <row r="53" spans="1:67" x14ac:dyDescent="0.25">
      <c r="A53" t="s">
        <v>127</v>
      </c>
      <c r="B53">
        <v>23</v>
      </c>
      <c r="C53" t="s">
        <v>393</v>
      </c>
      <c r="D53" t="s">
        <v>394</v>
      </c>
      <c r="E53" t="s">
        <v>414</v>
      </c>
      <c r="F53" t="s">
        <v>333</v>
      </c>
      <c r="G53" t="s">
        <v>396</v>
      </c>
      <c r="H53" t="s">
        <v>400</v>
      </c>
      <c r="I53" t="s">
        <v>335</v>
      </c>
      <c r="J53" t="s">
        <v>398</v>
      </c>
      <c r="K53">
        <v>7</v>
      </c>
      <c r="L53" t="s">
        <v>332</v>
      </c>
      <c r="M53">
        <v>0</v>
      </c>
      <c r="T53">
        <v>0</v>
      </c>
      <c r="AA53">
        <v>0</v>
      </c>
      <c r="AB53">
        <v>17594</v>
      </c>
      <c r="AC53">
        <v>19.04</v>
      </c>
      <c r="AI53">
        <v>0</v>
      </c>
      <c r="AJ53">
        <f t="shared" si="0"/>
        <v>2.7199999999999998</v>
      </c>
      <c r="AK53">
        <v>1.05</v>
      </c>
      <c r="AL53">
        <v>0</v>
      </c>
      <c r="AS53" t="s">
        <v>399</v>
      </c>
      <c r="AY53" t="s">
        <v>324</v>
      </c>
      <c r="BO53" t="s">
        <v>108</v>
      </c>
    </row>
    <row r="54" spans="1:67" x14ac:dyDescent="0.25">
      <c r="A54" t="s">
        <v>127</v>
      </c>
      <c r="B54">
        <v>24</v>
      </c>
      <c r="C54" t="s">
        <v>393</v>
      </c>
      <c r="D54" t="s">
        <v>394</v>
      </c>
      <c r="E54" t="s">
        <v>413</v>
      </c>
      <c r="F54" t="s">
        <v>333</v>
      </c>
      <c r="G54" t="s">
        <v>396</v>
      </c>
      <c r="H54" t="s">
        <v>407</v>
      </c>
      <c r="I54" t="s">
        <v>335</v>
      </c>
      <c r="J54" t="s">
        <v>398</v>
      </c>
      <c r="K54">
        <v>147</v>
      </c>
      <c r="L54" t="s">
        <v>332</v>
      </c>
      <c r="M54">
        <v>2</v>
      </c>
      <c r="T54">
        <v>18.46</v>
      </c>
      <c r="AA54">
        <v>0</v>
      </c>
      <c r="AB54">
        <v>17594</v>
      </c>
      <c r="AC54">
        <v>399.84</v>
      </c>
      <c r="AI54">
        <v>0</v>
      </c>
      <c r="AJ54">
        <f t="shared" si="0"/>
        <v>2.7199999999999998</v>
      </c>
      <c r="AK54">
        <v>1.05</v>
      </c>
      <c r="AL54">
        <v>0</v>
      </c>
      <c r="AS54" t="s">
        <v>399</v>
      </c>
      <c r="AY54" t="s">
        <v>324</v>
      </c>
      <c r="BO54" t="s">
        <v>108</v>
      </c>
    </row>
    <row r="55" spans="1:67" x14ac:dyDescent="0.25">
      <c r="A55" t="s">
        <v>127</v>
      </c>
      <c r="B55">
        <v>16</v>
      </c>
      <c r="C55" t="s">
        <v>393</v>
      </c>
      <c r="D55" t="s">
        <v>394</v>
      </c>
      <c r="E55" t="s">
        <v>412</v>
      </c>
      <c r="F55" t="s">
        <v>333</v>
      </c>
      <c r="G55" t="s">
        <v>396</v>
      </c>
      <c r="H55" t="s">
        <v>400</v>
      </c>
      <c r="I55" t="s">
        <v>335</v>
      </c>
      <c r="J55" t="s">
        <v>398</v>
      </c>
      <c r="K55">
        <v>7</v>
      </c>
      <c r="L55" t="s">
        <v>332</v>
      </c>
      <c r="M55">
        <v>0</v>
      </c>
      <c r="T55">
        <v>0</v>
      </c>
      <c r="AA55">
        <v>0</v>
      </c>
      <c r="AB55">
        <v>17594</v>
      </c>
      <c r="AC55">
        <v>19.04</v>
      </c>
      <c r="AI55">
        <v>0</v>
      </c>
      <c r="AJ55">
        <f t="shared" si="0"/>
        <v>2.7199999999999998</v>
      </c>
      <c r="AK55">
        <v>1.05</v>
      </c>
      <c r="AL55">
        <v>0</v>
      </c>
      <c r="AS55" t="s">
        <v>399</v>
      </c>
      <c r="AY55" t="s">
        <v>324</v>
      </c>
      <c r="BO55" t="s">
        <v>108</v>
      </c>
    </row>
    <row r="56" spans="1:67" x14ac:dyDescent="0.25">
      <c r="A56" t="s">
        <v>127</v>
      </c>
      <c r="B56">
        <v>17</v>
      </c>
      <c r="C56" t="s">
        <v>393</v>
      </c>
      <c r="D56" t="s">
        <v>394</v>
      </c>
      <c r="E56" t="s">
        <v>414</v>
      </c>
      <c r="F56" t="s">
        <v>333</v>
      </c>
      <c r="G56" t="s">
        <v>396</v>
      </c>
      <c r="H56" t="s">
        <v>402</v>
      </c>
      <c r="I56" t="s">
        <v>335</v>
      </c>
      <c r="J56" t="s">
        <v>398</v>
      </c>
      <c r="K56">
        <v>42</v>
      </c>
      <c r="L56" t="s">
        <v>332</v>
      </c>
      <c r="M56">
        <v>1</v>
      </c>
      <c r="T56">
        <v>3.36</v>
      </c>
      <c r="AA56">
        <v>0</v>
      </c>
      <c r="AB56">
        <v>17594</v>
      </c>
      <c r="AC56">
        <v>114.24</v>
      </c>
      <c r="AI56">
        <v>0</v>
      </c>
      <c r="AJ56">
        <f t="shared" si="0"/>
        <v>2.7199999999999998</v>
      </c>
      <c r="AK56">
        <v>1.05</v>
      </c>
      <c r="AL56">
        <v>0</v>
      </c>
      <c r="AS56" t="s">
        <v>399</v>
      </c>
      <c r="AY56" t="s">
        <v>324</v>
      </c>
      <c r="BO56" t="s">
        <v>108</v>
      </c>
    </row>
    <row r="57" spans="1:67" x14ac:dyDescent="0.25">
      <c r="A57" t="s">
        <v>127</v>
      </c>
      <c r="B57">
        <v>18</v>
      </c>
      <c r="C57" t="s">
        <v>393</v>
      </c>
      <c r="D57" t="s">
        <v>394</v>
      </c>
      <c r="E57" t="s">
        <v>414</v>
      </c>
      <c r="F57" t="s">
        <v>333</v>
      </c>
      <c r="G57" t="s">
        <v>396</v>
      </c>
      <c r="H57" t="s">
        <v>407</v>
      </c>
      <c r="I57" t="s">
        <v>335</v>
      </c>
      <c r="J57" t="s">
        <v>398</v>
      </c>
      <c r="K57">
        <v>95</v>
      </c>
      <c r="L57" t="s">
        <v>332</v>
      </c>
      <c r="M57">
        <v>1</v>
      </c>
      <c r="T57">
        <v>11.57</v>
      </c>
      <c r="AA57">
        <v>0</v>
      </c>
      <c r="AB57">
        <v>17594</v>
      </c>
      <c r="AC57">
        <v>258.39999999999998</v>
      </c>
      <c r="AI57">
        <v>0</v>
      </c>
      <c r="AJ57">
        <f t="shared" si="0"/>
        <v>2.7199999999999998</v>
      </c>
      <c r="AK57">
        <v>1.05</v>
      </c>
      <c r="AL57">
        <v>0</v>
      </c>
      <c r="AS57" t="s">
        <v>399</v>
      </c>
      <c r="AY57" t="s">
        <v>324</v>
      </c>
      <c r="BO57" t="s">
        <v>108</v>
      </c>
    </row>
    <row r="58" spans="1:67" x14ac:dyDescent="0.25">
      <c r="A58" t="s">
        <v>127</v>
      </c>
      <c r="B58">
        <v>20</v>
      </c>
      <c r="C58" t="s">
        <v>393</v>
      </c>
      <c r="D58" t="s">
        <v>394</v>
      </c>
      <c r="E58" t="s">
        <v>414</v>
      </c>
      <c r="F58" t="s">
        <v>333</v>
      </c>
      <c r="G58" t="s">
        <v>396</v>
      </c>
      <c r="H58" t="s">
        <v>409</v>
      </c>
      <c r="I58" t="s">
        <v>335</v>
      </c>
      <c r="J58" t="s">
        <v>398</v>
      </c>
      <c r="K58">
        <v>41</v>
      </c>
      <c r="L58" t="s">
        <v>332</v>
      </c>
      <c r="M58">
        <v>1</v>
      </c>
      <c r="T58">
        <v>5.94</v>
      </c>
      <c r="AA58">
        <v>0</v>
      </c>
      <c r="AB58">
        <v>17594</v>
      </c>
      <c r="AC58">
        <v>111.52</v>
      </c>
      <c r="AI58">
        <v>0</v>
      </c>
      <c r="AJ58">
        <f t="shared" si="0"/>
        <v>2.7199999999999998</v>
      </c>
      <c r="AK58">
        <v>1.05</v>
      </c>
      <c r="AL58">
        <v>0</v>
      </c>
      <c r="AS58" t="s">
        <v>399</v>
      </c>
      <c r="AY58" t="s">
        <v>324</v>
      </c>
      <c r="BO58" t="s">
        <v>108</v>
      </c>
    </row>
    <row r="59" spans="1:67" x14ac:dyDescent="0.25">
      <c r="A59" t="s">
        <v>127</v>
      </c>
      <c r="B59">
        <v>19</v>
      </c>
      <c r="C59" t="s">
        <v>393</v>
      </c>
      <c r="D59" t="s">
        <v>394</v>
      </c>
      <c r="E59" t="s">
        <v>414</v>
      </c>
      <c r="F59" t="s">
        <v>333</v>
      </c>
      <c r="G59" t="s">
        <v>396</v>
      </c>
      <c r="H59" t="s">
        <v>408</v>
      </c>
      <c r="I59" t="s">
        <v>335</v>
      </c>
      <c r="J59" t="s">
        <v>398</v>
      </c>
      <c r="K59">
        <v>96</v>
      </c>
      <c r="L59" t="s">
        <v>332</v>
      </c>
      <c r="M59">
        <v>1</v>
      </c>
      <c r="T59">
        <v>12.6</v>
      </c>
      <c r="AA59">
        <v>0</v>
      </c>
      <c r="AB59">
        <v>17594</v>
      </c>
      <c r="AC59">
        <v>261.12</v>
      </c>
      <c r="AI59">
        <v>0</v>
      </c>
      <c r="AJ59">
        <f t="shared" si="0"/>
        <v>2.72</v>
      </c>
      <c r="AK59">
        <v>1.05</v>
      </c>
      <c r="AL59">
        <v>0</v>
      </c>
      <c r="AS59" t="s">
        <v>399</v>
      </c>
      <c r="AY59" t="s">
        <v>324</v>
      </c>
      <c r="BO59" t="s">
        <v>108</v>
      </c>
    </row>
    <row r="60" spans="1:67" x14ac:dyDescent="0.25">
      <c r="A60" t="s">
        <v>127</v>
      </c>
      <c r="B60">
        <v>21</v>
      </c>
      <c r="C60" t="s">
        <v>393</v>
      </c>
      <c r="D60" t="s">
        <v>394</v>
      </c>
      <c r="E60" t="s">
        <v>414</v>
      </c>
      <c r="F60" t="s">
        <v>333</v>
      </c>
      <c r="G60" t="s">
        <v>396</v>
      </c>
      <c r="H60" t="s">
        <v>403</v>
      </c>
      <c r="I60" t="s">
        <v>335</v>
      </c>
      <c r="J60" t="s">
        <v>398</v>
      </c>
      <c r="K60">
        <v>31</v>
      </c>
      <c r="L60" t="s">
        <v>332</v>
      </c>
      <c r="M60">
        <v>2</v>
      </c>
      <c r="T60">
        <v>6</v>
      </c>
      <c r="AA60">
        <v>0</v>
      </c>
      <c r="AB60">
        <v>17594</v>
      </c>
      <c r="AC60">
        <v>84.32</v>
      </c>
      <c r="AI60">
        <v>0</v>
      </c>
      <c r="AJ60">
        <f t="shared" si="0"/>
        <v>2.7199999999999998</v>
      </c>
      <c r="AK60">
        <v>1.05</v>
      </c>
      <c r="AL60">
        <v>0</v>
      </c>
      <c r="AS60" t="s">
        <v>399</v>
      </c>
      <c r="AY60" t="s">
        <v>324</v>
      </c>
      <c r="BO60" t="s">
        <v>108</v>
      </c>
    </row>
    <row r="61" spans="1:67" x14ac:dyDescent="0.25">
      <c r="A61" t="s">
        <v>127</v>
      </c>
      <c r="B61">
        <v>5</v>
      </c>
      <c r="C61" t="s">
        <v>393</v>
      </c>
      <c r="D61" t="s">
        <v>394</v>
      </c>
      <c r="E61" t="s">
        <v>412</v>
      </c>
      <c r="F61" t="s">
        <v>333</v>
      </c>
      <c r="G61" t="s">
        <v>396</v>
      </c>
      <c r="H61" t="s">
        <v>403</v>
      </c>
      <c r="I61" t="s">
        <v>335</v>
      </c>
      <c r="J61" t="s">
        <v>398</v>
      </c>
      <c r="K61">
        <v>26</v>
      </c>
      <c r="L61" t="s">
        <v>332</v>
      </c>
      <c r="M61">
        <v>1</v>
      </c>
      <c r="T61">
        <v>5.2</v>
      </c>
      <c r="AA61">
        <v>0</v>
      </c>
      <c r="AB61">
        <v>17594</v>
      </c>
      <c r="AC61">
        <v>70.72</v>
      </c>
      <c r="AI61">
        <v>0</v>
      </c>
      <c r="AJ61">
        <f t="shared" si="0"/>
        <v>2.7199999999999998</v>
      </c>
      <c r="AK61">
        <v>1.05</v>
      </c>
      <c r="AL61">
        <v>0</v>
      </c>
      <c r="AS61" t="s">
        <v>399</v>
      </c>
      <c r="AY61" t="s">
        <v>324</v>
      </c>
      <c r="BO61" t="s">
        <v>108</v>
      </c>
    </row>
    <row r="62" spans="1:67" x14ac:dyDescent="0.25">
      <c r="A62" t="s">
        <v>127</v>
      </c>
      <c r="B62">
        <v>6</v>
      </c>
      <c r="C62" t="s">
        <v>393</v>
      </c>
      <c r="D62" t="s">
        <v>394</v>
      </c>
      <c r="E62" t="s">
        <v>412</v>
      </c>
      <c r="F62" t="s">
        <v>333</v>
      </c>
      <c r="G62" t="s">
        <v>396</v>
      </c>
      <c r="H62" t="s">
        <v>408</v>
      </c>
      <c r="I62" t="s">
        <v>335</v>
      </c>
      <c r="J62" t="s">
        <v>398</v>
      </c>
      <c r="K62">
        <v>93</v>
      </c>
      <c r="L62" t="s">
        <v>332</v>
      </c>
      <c r="M62">
        <v>1</v>
      </c>
      <c r="T62">
        <v>12.9</v>
      </c>
      <c r="AA62">
        <v>0</v>
      </c>
      <c r="AB62">
        <v>17594</v>
      </c>
      <c r="AC62">
        <v>252.96</v>
      </c>
      <c r="AI62">
        <v>0</v>
      </c>
      <c r="AJ62">
        <f t="shared" si="0"/>
        <v>2.72</v>
      </c>
      <c r="AK62">
        <v>1.05</v>
      </c>
      <c r="AL62">
        <v>0</v>
      </c>
      <c r="AS62" t="s">
        <v>399</v>
      </c>
      <c r="AY62" t="s">
        <v>324</v>
      </c>
      <c r="BO62" t="s">
        <v>108</v>
      </c>
    </row>
    <row r="63" spans="1:67" x14ac:dyDescent="0.25">
      <c r="A63" t="s">
        <v>127</v>
      </c>
      <c r="B63">
        <v>7</v>
      </c>
      <c r="C63" t="s">
        <v>393</v>
      </c>
      <c r="D63" t="s">
        <v>394</v>
      </c>
      <c r="E63" t="s">
        <v>412</v>
      </c>
      <c r="F63" t="s">
        <v>333</v>
      </c>
      <c r="G63" t="s">
        <v>396</v>
      </c>
      <c r="H63" t="s">
        <v>404</v>
      </c>
      <c r="I63" t="s">
        <v>335</v>
      </c>
      <c r="J63" t="s">
        <v>398</v>
      </c>
      <c r="K63">
        <v>12</v>
      </c>
      <c r="L63" t="s">
        <v>332</v>
      </c>
      <c r="M63">
        <v>1</v>
      </c>
      <c r="T63">
        <v>11.93</v>
      </c>
      <c r="AA63">
        <v>0</v>
      </c>
      <c r="AB63">
        <v>17594</v>
      </c>
      <c r="AC63">
        <v>32.64</v>
      </c>
      <c r="AI63">
        <v>0</v>
      </c>
      <c r="AJ63">
        <f t="shared" si="0"/>
        <v>2.72</v>
      </c>
      <c r="AK63">
        <v>1.05</v>
      </c>
      <c r="AL63">
        <v>0</v>
      </c>
      <c r="AS63" t="s">
        <v>399</v>
      </c>
      <c r="AY63" t="s">
        <v>324</v>
      </c>
      <c r="BO63" t="s">
        <v>108</v>
      </c>
    </row>
    <row r="64" spans="1:67" x14ac:dyDescent="0.25">
      <c r="A64" t="s">
        <v>127</v>
      </c>
      <c r="B64">
        <v>3</v>
      </c>
      <c r="C64" t="s">
        <v>393</v>
      </c>
      <c r="D64" t="s">
        <v>394</v>
      </c>
      <c r="E64" t="s">
        <v>412</v>
      </c>
      <c r="F64" t="s">
        <v>333</v>
      </c>
      <c r="G64" t="s">
        <v>396</v>
      </c>
      <c r="H64" t="s">
        <v>406</v>
      </c>
      <c r="I64" t="s">
        <v>335</v>
      </c>
      <c r="J64" t="s">
        <v>398</v>
      </c>
      <c r="K64">
        <v>79</v>
      </c>
      <c r="L64" t="s">
        <v>332</v>
      </c>
      <c r="M64">
        <v>2</v>
      </c>
      <c r="T64">
        <v>12.64</v>
      </c>
      <c r="AA64">
        <v>0</v>
      </c>
      <c r="AB64">
        <v>17594</v>
      </c>
      <c r="AC64">
        <v>214.88</v>
      </c>
      <c r="AI64">
        <v>0</v>
      </c>
      <c r="AJ64">
        <f t="shared" si="0"/>
        <v>2.7199999999999998</v>
      </c>
      <c r="AK64">
        <v>1.05</v>
      </c>
      <c r="AL64">
        <v>0</v>
      </c>
      <c r="AS64" t="s">
        <v>399</v>
      </c>
      <c r="AY64" t="s">
        <v>324</v>
      </c>
      <c r="BO64" t="s">
        <v>108</v>
      </c>
    </row>
    <row r="65" spans="1:70" x14ac:dyDescent="0.25">
      <c r="A65" t="s">
        <v>127</v>
      </c>
      <c r="B65">
        <v>4</v>
      </c>
      <c r="C65" t="s">
        <v>393</v>
      </c>
      <c r="D65" t="s">
        <v>394</v>
      </c>
      <c r="E65" t="s">
        <v>412</v>
      </c>
      <c r="F65" t="s">
        <v>333</v>
      </c>
      <c r="G65" t="s">
        <v>396</v>
      </c>
      <c r="H65" t="s">
        <v>409</v>
      </c>
      <c r="I65" t="s">
        <v>335</v>
      </c>
      <c r="J65" t="s">
        <v>398</v>
      </c>
      <c r="K65">
        <v>39</v>
      </c>
      <c r="L65" t="s">
        <v>332</v>
      </c>
      <c r="M65">
        <v>2</v>
      </c>
      <c r="T65">
        <v>6.84</v>
      </c>
      <c r="AA65">
        <v>0</v>
      </c>
      <c r="AB65">
        <v>17594</v>
      </c>
      <c r="AC65">
        <v>106.08</v>
      </c>
      <c r="AI65">
        <v>0</v>
      </c>
      <c r="AJ65">
        <f t="shared" si="0"/>
        <v>2.7199999999999998</v>
      </c>
      <c r="AK65">
        <v>1.05</v>
      </c>
      <c r="AL65">
        <v>0</v>
      </c>
      <c r="AS65" t="s">
        <v>399</v>
      </c>
      <c r="AY65" t="s">
        <v>324</v>
      </c>
      <c r="BO65" t="s">
        <v>108</v>
      </c>
    </row>
    <row r="66" spans="1:70" x14ac:dyDescent="0.25">
      <c r="A66" t="s">
        <v>127</v>
      </c>
      <c r="B66">
        <v>1</v>
      </c>
      <c r="C66" t="s">
        <v>393</v>
      </c>
      <c r="D66" t="s">
        <v>394</v>
      </c>
      <c r="E66" t="s">
        <v>414</v>
      </c>
      <c r="F66" t="s">
        <v>333</v>
      </c>
      <c r="G66" t="s">
        <v>396</v>
      </c>
      <c r="H66" t="s">
        <v>404</v>
      </c>
      <c r="I66" t="s">
        <v>335</v>
      </c>
      <c r="J66" t="s">
        <v>398</v>
      </c>
      <c r="K66">
        <v>12</v>
      </c>
      <c r="L66" t="s">
        <v>332</v>
      </c>
      <c r="M66">
        <v>1</v>
      </c>
      <c r="T66">
        <v>2.64</v>
      </c>
      <c r="AA66">
        <v>0</v>
      </c>
      <c r="AB66">
        <v>17594</v>
      </c>
      <c r="AC66">
        <v>32.64</v>
      </c>
      <c r="AI66">
        <v>0</v>
      </c>
      <c r="AJ66">
        <f t="shared" si="0"/>
        <v>2.72</v>
      </c>
      <c r="AK66">
        <v>1.05</v>
      </c>
      <c r="AL66">
        <v>0</v>
      </c>
      <c r="AS66" t="s">
        <v>399</v>
      </c>
      <c r="AY66" t="s">
        <v>324</v>
      </c>
      <c r="BO66" t="s">
        <v>108</v>
      </c>
    </row>
    <row r="67" spans="1:70" x14ac:dyDescent="0.25">
      <c r="A67" t="s">
        <v>127</v>
      </c>
      <c r="B67">
        <v>2</v>
      </c>
      <c r="C67" t="s">
        <v>393</v>
      </c>
      <c r="D67" t="s">
        <v>394</v>
      </c>
      <c r="E67" t="s">
        <v>412</v>
      </c>
      <c r="F67" t="s">
        <v>333</v>
      </c>
      <c r="G67" t="s">
        <v>396</v>
      </c>
      <c r="H67" t="s">
        <v>407</v>
      </c>
      <c r="I67" t="s">
        <v>335</v>
      </c>
      <c r="J67" t="s">
        <v>398</v>
      </c>
      <c r="K67">
        <v>97</v>
      </c>
      <c r="L67" t="s">
        <v>332</v>
      </c>
      <c r="M67">
        <v>2</v>
      </c>
      <c r="T67">
        <v>12.48</v>
      </c>
      <c r="AA67">
        <v>0</v>
      </c>
      <c r="AB67">
        <v>17594</v>
      </c>
      <c r="AC67">
        <v>263.83999999999997</v>
      </c>
      <c r="AI67">
        <v>0</v>
      </c>
      <c r="AJ67">
        <f t="shared" ref="AJ67:AJ130" si="1">+AC67/K67</f>
        <v>2.7199999999999998</v>
      </c>
      <c r="AK67">
        <v>1.05</v>
      </c>
      <c r="AL67">
        <v>0</v>
      </c>
      <c r="AS67" t="s">
        <v>399</v>
      </c>
      <c r="AY67" t="s">
        <v>324</v>
      </c>
      <c r="BO67" t="s">
        <v>108</v>
      </c>
    </row>
    <row r="68" spans="1:70" x14ac:dyDescent="0.25">
      <c r="A68" t="s">
        <v>127</v>
      </c>
      <c r="B68">
        <v>10</v>
      </c>
      <c r="C68" t="s">
        <v>393</v>
      </c>
      <c r="D68" t="s">
        <v>394</v>
      </c>
      <c r="E68" t="s">
        <v>413</v>
      </c>
      <c r="F68" t="s">
        <v>333</v>
      </c>
      <c r="G68" t="s">
        <v>396</v>
      </c>
      <c r="H68" t="s">
        <v>409</v>
      </c>
      <c r="I68" t="s">
        <v>335</v>
      </c>
      <c r="J68" t="s">
        <v>398</v>
      </c>
      <c r="K68">
        <v>70</v>
      </c>
      <c r="L68" t="s">
        <v>332</v>
      </c>
      <c r="M68">
        <v>1</v>
      </c>
      <c r="T68">
        <v>12.6</v>
      </c>
      <c r="AA68">
        <v>0</v>
      </c>
      <c r="AB68">
        <v>17594</v>
      </c>
      <c r="AC68">
        <v>190.4</v>
      </c>
      <c r="AI68">
        <v>0</v>
      </c>
      <c r="AJ68">
        <f t="shared" si="1"/>
        <v>2.72</v>
      </c>
      <c r="AK68">
        <v>1.05</v>
      </c>
      <c r="AL68">
        <v>0</v>
      </c>
      <c r="AS68" t="s">
        <v>399</v>
      </c>
      <c r="AY68" t="s">
        <v>324</v>
      </c>
      <c r="BO68" t="s">
        <v>108</v>
      </c>
    </row>
    <row r="69" spans="1:70" x14ac:dyDescent="0.25">
      <c r="A69" t="s">
        <v>127</v>
      </c>
      <c r="B69">
        <v>8</v>
      </c>
      <c r="C69" t="s">
        <v>393</v>
      </c>
      <c r="D69" t="s">
        <v>394</v>
      </c>
      <c r="E69" t="s">
        <v>413</v>
      </c>
      <c r="F69" t="s">
        <v>333</v>
      </c>
      <c r="G69" t="s">
        <v>396</v>
      </c>
      <c r="H69" t="s">
        <v>402</v>
      </c>
      <c r="I69" t="s">
        <v>335</v>
      </c>
      <c r="J69" t="s">
        <v>398</v>
      </c>
      <c r="K69">
        <v>71</v>
      </c>
      <c r="L69" t="s">
        <v>332</v>
      </c>
      <c r="M69">
        <v>2</v>
      </c>
      <c r="T69">
        <v>7.44</v>
      </c>
      <c r="AA69">
        <v>0</v>
      </c>
      <c r="AB69">
        <v>17594</v>
      </c>
      <c r="AC69">
        <v>193.12</v>
      </c>
      <c r="AI69">
        <v>0</v>
      </c>
      <c r="AJ69">
        <f t="shared" si="1"/>
        <v>2.72</v>
      </c>
      <c r="AK69">
        <v>1.05</v>
      </c>
      <c r="AL69">
        <v>0</v>
      </c>
      <c r="AS69" t="s">
        <v>399</v>
      </c>
      <c r="AY69" t="s">
        <v>324</v>
      </c>
      <c r="BO69" t="s">
        <v>108</v>
      </c>
    </row>
    <row r="70" spans="1:70" x14ac:dyDescent="0.25">
      <c r="A70" t="s">
        <v>127</v>
      </c>
      <c r="B70">
        <v>9</v>
      </c>
      <c r="C70" t="s">
        <v>393</v>
      </c>
      <c r="D70" t="s">
        <v>394</v>
      </c>
      <c r="E70" t="s">
        <v>413</v>
      </c>
      <c r="F70" t="s">
        <v>333</v>
      </c>
      <c r="G70" t="s">
        <v>396</v>
      </c>
      <c r="H70" t="s">
        <v>408</v>
      </c>
      <c r="I70" t="s">
        <v>335</v>
      </c>
      <c r="J70" t="s">
        <v>398</v>
      </c>
      <c r="K70">
        <v>146</v>
      </c>
      <c r="L70" t="s">
        <v>332</v>
      </c>
      <c r="M70">
        <v>3</v>
      </c>
      <c r="T70">
        <v>21.9</v>
      </c>
      <c r="AA70">
        <v>0</v>
      </c>
      <c r="AB70">
        <v>17594</v>
      </c>
      <c r="AC70">
        <v>397.12</v>
      </c>
      <c r="AI70">
        <v>0</v>
      </c>
      <c r="AJ70">
        <f t="shared" si="1"/>
        <v>2.72</v>
      </c>
      <c r="AK70">
        <v>1.05</v>
      </c>
      <c r="AL70">
        <v>0</v>
      </c>
      <c r="AS70" t="s">
        <v>399</v>
      </c>
      <c r="AY70" t="s">
        <v>324</v>
      </c>
      <c r="BO70" t="s">
        <v>108</v>
      </c>
    </row>
    <row r="71" spans="1:70" x14ac:dyDescent="0.25">
      <c r="A71" t="s">
        <v>127</v>
      </c>
      <c r="B71">
        <v>13</v>
      </c>
      <c r="C71" t="s">
        <v>393</v>
      </c>
      <c r="D71" t="s">
        <v>394</v>
      </c>
      <c r="E71" t="s">
        <v>413</v>
      </c>
      <c r="F71" t="s">
        <v>333</v>
      </c>
      <c r="G71" t="s">
        <v>396</v>
      </c>
      <c r="H71" t="s">
        <v>404</v>
      </c>
      <c r="I71" t="s">
        <v>335</v>
      </c>
      <c r="J71" t="s">
        <v>398</v>
      </c>
      <c r="K71">
        <v>20</v>
      </c>
      <c r="L71" t="s">
        <v>332</v>
      </c>
      <c r="M71">
        <v>1</v>
      </c>
      <c r="T71">
        <v>3.08</v>
      </c>
      <c r="AA71">
        <v>0</v>
      </c>
      <c r="AB71">
        <v>17594</v>
      </c>
      <c r="AC71">
        <v>54.4</v>
      </c>
      <c r="AI71">
        <v>0</v>
      </c>
      <c r="AJ71">
        <f t="shared" si="1"/>
        <v>2.7199999999999998</v>
      </c>
      <c r="AK71">
        <v>1.05</v>
      </c>
      <c r="AL71">
        <v>0</v>
      </c>
      <c r="AS71" t="s">
        <v>399</v>
      </c>
      <c r="AY71" t="s">
        <v>324</v>
      </c>
      <c r="BO71" t="s">
        <v>108</v>
      </c>
    </row>
    <row r="72" spans="1:70" x14ac:dyDescent="0.25">
      <c r="A72" t="s">
        <v>127</v>
      </c>
      <c r="B72">
        <v>11</v>
      </c>
      <c r="C72" t="s">
        <v>393</v>
      </c>
      <c r="D72" t="s">
        <v>394</v>
      </c>
      <c r="E72" t="s">
        <v>413</v>
      </c>
      <c r="F72" t="s">
        <v>333</v>
      </c>
      <c r="G72" t="s">
        <v>396</v>
      </c>
      <c r="H72" t="s">
        <v>403</v>
      </c>
      <c r="I72" t="s">
        <v>335</v>
      </c>
      <c r="J72" t="s">
        <v>398</v>
      </c>
      <c r="K72">
        <v>41</v>
      </c>
      <c r="L72" t="s">
        <v>332</v>
      </c>
      <c r="M72">
        <v>2</v>
      </c>
      <c r="T72">
        <v>8.1999999999999993</v>
      </c>
      <c r="AA72">
        <v>0</v>
      </c>
      <c r="AB72">
        <v>17594</v>
      </c>
      <c r="AC72">
        <v>111.52</v>
      </c>
      <c r="AI72">
        <v>0</v>
      </c>
      <c r="AJ72">
        <f t="shared" si="1"/>
        <v>2.7199999999999998</v>
      </c>
      <c r="AK72">
        <v>1.05</v>
      </c>
      <c r="AL72">
        <v>0</v>
      </c>
      <c r="AS72" t="s">
        <v>399</v>
      </c>
      <c r="AY72" t="s">
        <v>324</v>
      </c>
      <c r="BO72" t="s">
        <v>108</v>
      </c>
    </row>
    <row r="73" spans="1:70" x14ac:dyDescent="0.25">
      <c r="A73" t="s">
        <v>127</v>
      </c>
      <c r="B73">
        <v>12</v>
      </c>
      <c r="C73" t="s">
        <v>393</v>
      </c>
      <c r="D73" t="s">
        <v>394</v>
      </c>
      <c r="E73" t="s">
        <v>413</v>
      </c>
      <c r="F73" t="s">
        <v>333</v>
      </c>
      <c r="G73" t="s">
        <v>396</v>
      </c>
      <c r="H73" t="s">
        <v>397</v>
      </c>
      <c r="I73" t="s">
        <v>335</v>
      </c>
      <c r="J73" t="s">
        <v>398</v>
      </c>
      <c r="K73">
        <v>12</v>
      </c>
      <c r="L73" t="s">
        <v>332</v>
      </c>
      <c r="M73">
        <v>0</v>
      </c>
      <c r="T73">
        <v>0</v>
      </c>
      <c r="AA73">
        <v>0</v>
      </c>
      <c r="AB73">
        <v>17594</v>
      </c>
      <c r="AC73">
        <v>32.64</v>
      </c>
      <c r="AI73">
        <v>0</v>
      </c>
      <c r="AJ73">
        <f t="shared" si="1"/>
        <v>2.72</v>
      </c>
      <c r="AK73">
        <v>1.05</v>
      </c>
      <c r="AL73">
        <v>0</v>
      </c>
      <c r="AS73" t="s">
        <v>399</v>
      </c>
      <c r="AY73" t="s">
        <v>324</v>
      </c>
      <c r="BO73" t="s">
        <v>108</v>
      </c>
    </row>
    <row r="74" spans="1:70" x14ac:dyDescent="0.25">
      <c r="A74" t="s">
        <v>129</v>
      </c>
      <c r="B74">
        <v>1</v>
      </c>
      <c r="C74" t="s">
        <v>415</v>
      </c>
      <c r="D74" t="s">
        <v>335</v>
      </c>
      <c r="E74" t="s">
        <v>416</v>
      </c>
      <c r="F74" t="s">
        <v>335</v>
      </c>
      <c r="G74" t="s">
        <v>335</v>
      </c>
      <c r="H74" t="s">
        <v>335</v>
      </c>
      <c r="I74" t="s">
        <v>335</v>
      </c>
      <c r="J74" t="s">
        <v>398</v>
      </c>
      <c r="K74">
        <v>1</v>
      </c>
      <c r="L74" t="s">
        <v>334</v>
      </c>
      <c r="M74">
        <v>1</v>
      </c>
      <c r="T74">
        <v>0.26</v>
      </c>
      <c r="Z74">
        <v>0</v>
      </c>
      <c r="AA74">
        <v>0</v>
      </c>
      <c r="AB74">
        <v>17594</v>
      </c>
      <c r="AC74">
        <v>7.67</v>
      </c>
      <c r="AF74">
        <v>0</v>
      </c>
      <c r="AG74">
        <v>0</v>
      </c>
      <c r="AI74">
        <v>0</v>
      </c>
      <c r="AJ74">
        <f t="shared" si="1"/>
        <v>7.67</v>
      </c>
      <c r="AK74">
        <v>0</v>
      </c>
      <c r="AL74">
        <v>0</v>
      </c>
      <c r="AM74">
        <v>0</v>
      </c>
      <c r="AN74">
        <v>0</v>
      </c>
      <c r="AS74" t="s">
        <v>399</v>
      </c>
      <c r="AY74" t="s">
        <v>324</v>
      </c>
      <c r="BJ74">
        <v>0</v>
      </c>
      <c r="BO74" t="s">
        <v>108</v>
      </c>
      <c r="BR74" t="s">
        <v>126</v>
      </c>
    </row>
    <row r="75" spans="1:70" x14ac:dyDescent="0.25">
      <c r="A75" t="s">
        <v>135</v>
      </c>
      <c r="B75">
        <v>1</v>
      </c>
      <c r="C75" t="s">
        <v>417</v>
      </c>
      <c r="D75" t="s">
        <v>418</v>
      </c>
      <c r="E75" t="s">
        <v>419</v>
      </c>
      <c r="F75" t="s">
        <v>420</v>
      </c>
      <c r="G75" t="s">
        <v>421</v>
      </c>
      <c r="H75" t="s">
        <v>335</v>
      </c>
      <c r="I75" t="s">
        <v>335</v>
      </c>
      <c r="J75" t="s">
        <v>398</v>
      </c>
      <c r="K75">
        <v>5</v>
      </c>
      <c r="L75" t="s">
        <v>334</v>
      </c>
      <c r="M75">
        <v>1</v>
      </c>
      <c r="T75">
        <v>0.65</v>
      </c>
      <c r="Z75">
        <v>0</v>
      </c>
      <c r="AA75">
        <v>0</v>
      </c>
      <c r="AB75">
        <v>17594</v>
      </c>
      <c r="AC75">
        <v>0.45</v>
      </c>
      <c r="AF75">
        <v>0</v>
      </c>
      <c r="AG75">
        <v>0</v>
      </c>
      <c r="AI75">
        <v>0</v>
      </c>
      <c r="AJ75" s="3">
        <v>0.09</v>
      </c>
      <c r="AK75">
        <v>0</v>
      </c>
      <c r="AL75">
        <v>0</v>
      </c>
      <c r="AM75">
        <v>0</v>
      </c>
      <c r="AN75">
        <v>0</v>
      </c>
      <c r="AS75" t="s">
        <v>399</v>
      </c>
      <c r="AY75" t="s">
        <v>324</v>
      </c>
      <c r="BJ75">
        <v>0</v>
      </c>
      <c r="BO75" t="s">
        <v>108</v>
      </c>
      <c r="BR75" t="s">
        <v>126</v>
      </c>
    </row>
    <row r="76" spans="1:70" x14ac:dyDescent="0.25">
      <c r="A76" t="s">
        <v>135</v>
      </c>
      <c r="B76">
        <v>2</v>
      </c>
      <c r="C76" t="s">
        <v>417</v>
      </c>
      <c r="D76" t="s">
        <v>418</v>
      </c>
      <c r="E76" t="s">
        <v>422</v>
      </c>
      <c r="F76" t="s">
        <v>420</v>
      </c>
      <c r="G76" t="s">
        <v>421</v>
      </c>
      <c r="H76" t="s">
        <v>335</v>
      </c>
      <c r="I76" t="s">
        <v>335</v>
      </c>
      <c r="J76" t="s">
        <v>398</v>
      </c>
      <c r="K76">
        <v>5</v>
      </c>
      <c r="L76" t="s">
        <v>334</v>
      </c>
      <c r="M76">
        <v>0</v>
      </c>
      <c r="T76">
        <v>0</v>
      </c>
      <c r="AA76">
        <v>0</v>
      </c>
      <c r="AB76">
        <v>17594</v>
      </c>
      <c r="AC76">
        <v>0</v>
      </c>
      <c r="AI76">
        <v>0</v>
      </c>
      <c r="AJ76">
        <f t="shared" si="1"/>
        <v>0</v>
      </c>
      <c r="AK76">
        <v>0</v>
      </c>
      <c r="AL76">
        <v>0</v>
      </c>
      <c r="AS76" t="s">
        <v>399</v>
      </c>
      <c r="AY76" t="s">
        <v>324</v>
      </c>
      <c r="BO76" t="s">
        <v>108</v>
      </c>
    </row>
    <row r="77" spans="1:70" x14ac:dyDescent="0.25">
      <c r="A77" t="s">
        <v>135</v>
      </c>
      <c r="B77">
        <v>3</v>
      </c>
      <c r="C77" t="s">
        <v>417</v>
      </c>
      <c r="D77" t="s">
        <v>418</v>
      </c>
      <c r="E77" t="s">
        <v>423</v>
      </c>
      <c r="F77" t="s">
        <v>420</v>
      </c>
      <c r="G77" t="s">
        <v>421</v>
      </c>
      <c r="H77" t="s">
        <v>335</v>
      </c>
      <c r="I77" t="s">
        <v>335</v>
      </c>
      <c r="J77" t="s">
        <v>398</v>
      </c>
      <c r="K77">
        <v>5</v>
      </c>
      <c r="L77" t="s">
        <v>334</v>
      </c>
      <c r="M77">
        <v>0</v>
      </c>
      <c r="T77">
        <v>0</v>
      </c>
      <c r="AA77">
        <v>0</v>
      </c>
      <c r="AB77">
        <v>17594</v>
      </c>
      <c r="AC77">
        <v>0</v>
      </c>
      <c r="AI77">
        <v>0</v>
      </c>
      <c r="AJ77">
        <f t="shared" si="1"/>
        <v>0</v>
      </c>
      <c r="AK77">
        <v>0</v>
      </c>
      <c r="AL77">
        <v>0</v>
      </c>
      <c r="AS77" t="s">
        <v>399</v>
      </c>
      <c r="AY77" t="s">
        <v>324</v>
      </c>
      <c r="BO77" t="s">
        <v>108</v>
      </c>
    </row>
    <row r="78" spans="1:70" x14ac:dyDescent="0.25">
      <c r="A78" t="s">
        <v>135</v>
      </c>
      <c r="B78">
        <v>4</v>
      </c>
      <c r="C78" t="s">
        <v>417</v>
      </c>
      <c r="D78" t="s">
        <v>418</v>
      </c>
      <c r="E78" t="s">
        <v>424</v>
      </c>
      <c r="F78" t="s">
        <v>420</v>
      </c>
      <c r="G78" t="s">
        <v>421</v>
      </c>
      <c r="H78" t="s">
        <v>335</v>
      </c>
      <c r="I78" t="s">
        <v>335</v>
      </c>
      <c r="J78" t="s">
        <v>398</v>
      </c>
      <c r="K78">
        <v>10</v>
      </c>
      <c r="L78" t="s">
        <v>334</v>
      </c>
      <c r="M78">
        <v>0</v>
      </c>
      <c r="T78">
        <v>0</v>
      </c>
      <c r="AA78">
        <v>0</v>
      </c>
      <c r="AB78">
        <v>17594</v>
      </c>
      <c r="AC78">
        <v>0</v>
      </c>
      <c r="AI78">
        <v>0</v>
      </c>
      <c r="AJ78">
        <f t="shared" si="1"/>
        <v>0</v>
      </c>
      <c r="AK78">
        <v>0</v>
      </c>
      <c r="AL78">
        <v>0</v>
      </c>
      <c r="AS78" t="s">
        <v>399</v>
      </c>
      <c r="AY78" t="s">
        <v>324</v>
      </c>
      <c r="BO78" t="s">
        <v>108</v>
      </c>
    </row>
    <row r="79" spans="1:70" x14ac:dyDescent="0.25">
      <c r="A79" t="s">
        <v>135</v>
      </c>
      <c r="B79">
        <v>5</v>
      </c>
      <c r="C79" t="s">
        <v>417</v>
      </c>
      <c r="D79" t="s">
        <v>418</v>
      </c>
      <c r="E79" t="s">
        <v>425</v>
      </c>
      <c r="F79" t="s">
        <v>420</v>
      </c>
      <c r="G79" t="s">
        <v>421</v>
      </c>
      <c r="H79" t="s">
        <v>335</v>
      </c>
      <c r="I79" t="s">
        <v>335</v>
      </c>
      <c r="J79" t="s">
        <v>398</v>
      </c>
      <c r="K79">
        <v>10</v>
      </c>
      <c r="L79" t="s">
        <v>334</v>
      </c>
      <c r="M79">
        <v>0</v>
      </c>
      <c r="T79">
        <v>0</v>
      </c>
      <c r="AA79">
        <v>0</v>
      </c>
      <c r="AB79">
        <v>17594</v>
      </c>
      <c r="AC79">
        <v>0</v>
      </c>
      <c r="AI79">
        <v>0</v>
      </c>
      <c r="AJ79">
        <f t="shared" si="1"/>
        <v>0</v>
      </c>
      <c r="AK79">
        <v>0</v>
      </c>
      <c r="AL79">
        <v>0</v>
      </c>
      <c r="AS79" t="s">
        <v>399</v>
      </c>
      <c r="AY79" t="s">
        <v>324</v>
      </c>
      <c r="BO79" t="s">
        <v>108</v>
      </c>
    </row>
    <row r="80" spans="1:70" x14ac:dyDescent="0.25">
      <c r="A80" t="s">
        <v>135</v>
      </c>
      <c r="B80">
        <v>6</v>
      </c>
      <c r="C80" t="s">
        <v>417</v>
      </c>
      <c r="D80" t="s">
        <v>418</v>
      </c>
      <c r="E80" t="s">
        <v>426</v>
      </c>
      <c r="F80" t="s">
        <v>420</v>
      </c>
      <c r="G80" t="s">
        <v>421</v>
      </c>
      <c r="H80" t="s">
        <v>335</v>
      </c>
      <c r="I80" t="s">
        <v>335</v>
      </c>
      <c r="J80" t="s">
        <v>398</v>
      </c>
      <c r="K80">
        <v>10</v>
      </c>
      <c r="L80" t="s">
        <v>334</v>
      </c>
      <c r="M80">
        <v>0</v>
      </c>
      <c r="T80">
        <v>0</v>
      </c>
      <c r="AA80">
        <v>0</v>
      </c>
      <c r="AB80">
        <v>17594</v>
      </c>
      <c r="AC80">
        <v>0</v>
      </c>
      <c r="AI80">
        <v>0</v>
      </c>
      <c r="AJ80">
        <f t="shared" si="1"/>
        <v>0</v>
      </c>
      <c r="AK80">
        <v>0</v>
      </c>
      <c r="AL80">
        <v>0</v>
      </c>
      <c r="AS80" t="s">
        <v>399</v>
      </c>
      <c r="AY80" t="s">
        <v>324</v>
      </c>
      <c r="BO80" t="s">
        <v>108</v>
      </c>
    </row>
    <row r="81" spans="1:67" x14ac:dyDescent="0.25">
      <c r="A81" t="s">
        <v>135</v>
      </c>
      <c r="B81">
        <v>7</v>
      </c>
      <c r="C81" t="s">
        <v>417</v>
      </c>
      <c r="D81" t="s">
        <v>418</v>
      </c>
      <c r="E81" t="s">
        <v>427</v>
      </c>
      <c r="F81" t="s">
        <v>420</v>
      </c>
      <c r="G81" t="s">
        <v>421</v>
      </c>
      <c r="H81" t="s">
        <v>335</v>
      </c>
      <c r="I81" t="s">
        <v>335</v>
      </c>
      <c r="J81" t="s">
        <v>398</v>
      </c>
      <c r="K81">
        <v>5</v>
      </c>
      <c r="L81" t="s">
        <v>334</v>
      </c>
      <c r="M81">
        <v>0</v>
      </c>
      <c r="T81">
        <v>0</v>
      </c>
      <c r="AA81">
        <v>0</v>
      </c>
      <c r="AB81">
        <v>17594</v>
      </c>
      <c r="AC81">
        <v>0</v>
      </c>
      <c r="AI81">
        <v>0</v>
      </c>
      <c r="AJ81">
        <f t="shared" si="1"/>
        <v>0</v>
      </c>
      <c r="AK81">
        <v>0</v>
      </c>
      <c r="AL81">
        <v>0</v>
      </c>
      <c r="AS81" t="s">
        <v>399</v>
      </c>
      <c r="AY81" t="s">
        <v>324</v>
      </c>
      <c r="BO81" t="s">
        <v>108</v>
      </c>
    </row>
    <row r="82" spans="1:67" x14ac:dyDescent="0.25">
      <c r="A82" t="s">
        <v>135</v>
      </c>
      <c r="B82">
        <v>8</v>
      </c>
      <c r="C82" t="s">
        <v>417</v>
      </c>
      <c r="D82" t="s">
        <v>418</v>
      </c>
      <c r="E82" t="s">
        <v>428</v>
      </c>
      <c r="F82" t="s">
        <v>420</v>
      </c>
      <c r="G82" t="s">
        <v>421</v>
      </c>
      <c r="H82" t="s">
        <v>335</v>
      </c>
      <c r="I82" t="s">
        <v>335</v>
      </c>
      <c r="J82" t="s">
        <v>398</v>
      </c>
      <c r="K82">
        <v>10</v>
      </c>
      <c r="L82" t="s">
        <v>334</v>
      </c>
      <c r="M82">
        <v>0</v>
      </c>
      <c r="T82">
        <v>0</v>
      </c>
      <c r="AA82">
        <v>0</v>
      </c>
      <c r="AB82">
        <v>17594</v>
      </c>
      <c r="AC82">
        <v>0</v>
      </c>
      <c r="AI82">
        <v>0</v>
      </c>
      <c r="AJ82">
        <f t="shared" si="1"/>
        <v>0</v>
      </c>
      <c r="AK82">
        <v>0</v>
      </c>
      <c r="AL82">
        <v>0</v>
      </c>
      <c r="AS82" t="s">
        <v>399</v>
      </c>
      <c r="AY82" t="s">
        <v>324</v>
      </c>
      <c r="BO82" t="s">
        <v>108</v>
      </c>
    </row>
    <row r="83" spans="1:67" x14ac:dyDescent="0.25">
      <c r="A83" t="s">
        <v>135</v>
      </c>
      <c r="B83">
        <v>9</v>
      </c>
      <c r="C83" t="s">
        <v>417</v>
      </c>
      <c r="D83" t="s">
        <v>418</v>
      </c>
      <c r="E83" t="s">
        <v>429</v>
      </c>
      <c r="F83" t="s">
        <v>420</v>
      </c>
      <c r="G83" t="s">
        <v>421</v>
      </c>
      <c r="H83" t="s">
        <v>335</v>
      </c>
      <c r="I83" t="s">
        <v>335</v>
      </c>
      <c r="J83" t="s">
        <v>398</v>
      </c>
      <c r="K83">
        <v>5</v>
      </c>
      <c r="L83" t="s">
        <v>334</v>
      </c>
      <c r="M83">
        <v>0</v>
      </c>
      <c r="T83">
        <v>0</v>
      </c>
      <c r="AA83">
        <v>0</v>
      </c>
      <c r="AB83">
        <v>17594</v>
      </c>
      <c r="AC83">
        <v>0</v>
      </c>
      <c r="AI83">
        <v>0</v>
      </c>
      <c r="AJ83">
        <f t="shared" si="1"/>
        <v>0</v>
      </c>
      <c r="AK83">
        <v>0</v>
      </c>
      <c r="AL83">
        <v>0</v>
      </c>
      <c r="AS83" t="s">
        <v>399</v>
      </c>
      <c r="AY83" t="s">
        <v>324</v>
      </c>
      <c r="BO83" t="s">
        <v>108</v>
      </c>
    </row>
    <row r="84" spans="1:67" x14ac:dyDescent="0.25">
      <c r="A84" t="s">
        <v>140</v>
      </c>
      <c r="B84">
        <v>1</v>
      </c>
      <c r="C84" t="s">
        <v>430</v>
      </c>
      <c r="D84" t="s">
        <v>431</v>
      </c>
      <c r="E84" t="s">
        <v>432</v>
      </c>
      <c r="F84" t="s">
        <v>333</v>
      </c>
      <c r="G84" t="s">
        <v>433</v>
      </c>
      <c r="H84" t="s">
        <v>407</v>
      </c>
      <c r="I84" t="s">
        <v>335</v>
      </c>
      <c r="J84" t="s">
        <v>398</v>
      </c>
      <c r="K84">
        <v>540</v>
      </c>
      <c r="L84" t="s">
        <v>332</v>
      </c>
      <c r="M84">
        <v>3</v>
      </c>
      <c r="T84">
        <v>36.72</v>
      </c>
      <c r="AA84">
        <v>0</v>
      </c>
      <c r="AB84">
        <v>17594</v>
      </c>
      <c r="AC84">
        <v>853.2</v>
      </c>
      <c r="AI84">
        <v>0</v>
      </c>
      <c r="AJ84">
        <f t="shared" si="1"/>
        <v>1.58</v>
      </c>
      <c r="AK84">
        <v>0.57999999999999996</v>
      </c>
      <c r="AL84">
        <v>0</v>
      </c>
      <c r="AS84" t="s">
        <v>399</v>
      </c>
      <c r="AY84" t="s">
        <v>324</v>
      </c>
      <c r="BO84" t="s">
        <v>108</v>
      </c>
    </row>
    <row r="85" spans="1:67" x14ac:dyDescent="0.25">
      <c r="A85" t="s">
        <v>140</v>
      </c>
      <c r="B85">
        <v>2</v>
      </c>
      <c r="C85" t="s">
        <v>430</v>
      </c>
      <c r="D85" t="s">
        <v>431</v>
      </c>
      <c r="E85" t="s">
        <v>432</v>
      </c>
      <c r="F85" t="s">
        <v>333</v>
      </c>
      <c r="G85" t="s">
        <v>433</v>
      </c>
      <c r="H85" t="s">
        <v>408</v>
      </c>
      <c r="I85" t="s">
        <v>335</v>
      </c>
      <c r="J85" t="s">
        <v>398</v>
      </c>
      <c r="K85">
        <v>510</v>
      </c>
      <c r="L85" t="s">
        <v>332</v>
      </c>
      <c r="M85">
        <v>3</v>
      </c>
      <c r="T85">
        <v>38.76</v>
      </c>
      <c r="AA85">
        <v>0</v>
      </c>
      <c r="AB85">
        <v>17594</v>
      </c>
      <c r="AC85">
        <v>805.8</v>
      </c>
      <c r="AI85">
        <v>0</v>
      </c>
      <c r="AJ85">
        <f t="shared" si="1"/>
        <v>1.5799999999999998</v>
      </c>
      <c r="AK85">
        <v>0.57999999999999996</v>
      </c>
      <c r="AL85">
        <v>0</v>
      </c>
      <c r="AS85" t="s">
        <v>399</v>
      </c>
      <c r="AY85" t="s">
        <v>324</v>
      </c>
      <c r="BO85" t="s">
        <v>108</v>
      </c>
    </row>
    <row r="86" spans="1:67" x14ac:dyDescent="0.25">
      <c r="A86" t="s">
        <v>140</v>
      </c>
      <c r="B86">
        <v>3</v>
      </c>
      <c r="C86" t="s">
        <v>430</v>
      </c>
      <c r="D86" t="s">
        <v>431</v>
      </c>
      <c r="E86" t="s">
        <v>432</v>
      </c>
      <c r="F86" t="s">
        <v>333</v>
      </c>
      <c r="G86" t="s">
        <v>433</v>
      </c>
      <c r="H86" t="s">
        <v>406</v>
      </c>
      <c r="I86" t="s">
        <v>335</v>
      </c>
      <c r="J86" t="s">
        <v>398</v>
      </c>
      <c r="K86">
        <v>640</v>
      </c>
      <c r="L86" t="s">
        <v>332</v>
      </c>
      <c r="M86">
        <v>4</v>
      </c>
      <c r="T86">
        <v>54.4</v>
      </c>
      <c r="AA86">
        <v>0</v>
      </c>
      <c r="AB86">
        <v>17594</v>
      </c>
      <c r="AC86">
        <v>1011.2</v>
      </c>
      <c r="AI86">
        <v>0</v>
      </c>
      <c r="AJ86">
        <f t="shared" si="1"/>
        <v>1.58</v>
      </c>
      <c r="AK86">
        <v>0.57999999999999996</v>
      </c>
      <c r="AL86">
        <v>0</v>
      </c>
      <c r="AS86" t="s">
        <v>399</v>
      </c>
      <c r="AY86" t="s">
        <v>324</v>
      </c>
      <c r="BO86" t="s">
        <v>108</v>
      </c>
    </row>
    <row r="87" spans="1:67" x14ac:dyDescent="0.25">
      <c r="A87" t="s">
        <v>140</v>
      </c>
      <c r="B87">
        <v>4</v>
      </c>
      <c r="C87" t="s">
        <v>430</v>
      </c>
      <c r="D87" t="s">
        <v>431</v>
      </c>
      <c r="E87" t="s">
        <v>434</v>
      </c>
      <c r="F87" t="s">
        <v>333</v>
      </c>
      <c r="G87" t="s">
        <v>433</v>
      </c>
      <c r="H87" t="s">
        <v>409</v>
      </c>
      <c r="I87" t="s">
        <v>335</v>
      </c>
      <c r="J87" t="s">
        <v>398</v>
      </c>
      <c r="K87">
        <v>450</v>
      </c>
      <c r="L87" t="s">
        <v>332</v>
      </c>
      <c r="M87">
        <v>3</v>
      </c>
      <c r="T87">
        <v>39.15</v>
      </c>
      <c r="AA87">
        <v>0</v>
      </c>
      <c r="AB87">
        <v>17594</v>
      </c>
      <c r="AC87">
        <v>711</v>
      </c>
      <c r="AI87">
        <v>0</v>
      </c>
      <c r="AJ87">
        <f t="shared" si="1"/>
        <v>1.58</v>
      </c>
      <c r="AK87">
        <v>0.57999999999999996</v>
      </c>
      <c r="AL87">
        <v>0</v>
      </c>
      <c r="AS87" t="s">
        <v>399</v>
      </c>
      <c r="AY87" t="s">
        <v>324</v>
      </c>
      <c r="BO87" t="s">
        <v>108</v>
      </c>
    </row>
    <row r="88" spans="1:67" x14ac:dyDescent="0.25">
      <c r="A88" t="s">
        <v>142</v>
      </c>
      <c r="B88">
        <v>18</v>
      </c>
      <c r="C88" t="s">
        <v>430</v>
      </c>
      <c r="D88" t="s">
        <v>435</v>
      </c>
      <c r="E88" t="s">
        <v>436</v>
      </c>
      <c r="F88" t="s">
        <v>333</v>
      </c>
      <c r="G88" t="s">
        <v>437</v>
      </c>
      <c r="H88" t="s">
        <v>438</v>
      </c>
      <c r="I88" t="s">
        <v>335</v>
      </c>
      <c r="J88" t="s">
        <v>398</v>
      </c>
      <c r="K88">
        <v>11</v>
      </c>
      <c r="L88" t="s">
        <v>332</v>
      </c>
      <c r="M88">
        <v>0</v>
      </c>
      <c r="T88">
        <v>0</v>
      </c>
      <c r="AA88">
        <v>0</v>
      </c>
      <c r="AB88">
        <v>17594</v>
      </c>
      <c r="AC88">
        <v>26.95</v>
      </c>
      <c r="AI88">
        <v>0</v>
      </c>
      <c r="AJ88">
        <f t="shared" si="1"/>
        <v>2.4499999999999997</v>
      </c>
      <c r="AK88">
        <v>0.76</v>
      </c>
      <c r="AL88">
        <v>0</v>
      </c>
      <c r="AS88" t="s">
        <v>399</v>
      </c>
      <c r="AY88" t="s">
        <v>324</v>
      </c>
      <c r="BO88" t="s">
        <v>108</v>
      </c>
    </row>
    <row r="89" spans="1:67" x14ac:dyDescent="0.25">
      <c r="A89" t="s">
        <v>142</v>
      </c>
      <c r="B89">
        <v>19</v>
      </c>
      <c r="C89" t="s">
        <v>430</v>
      </c>
      <c r="D89" t="s">
        <v>435</v>
      </c>
      <c r="E89" t="s">
        <v>436</v>
      </c>
      <c r="F89" t="s">
        <v>333</v>
      </c>
      <c r="G89" t="s">
        <v>437</v>
      </c>
      <c r="H89" t="s">
        <v>439</v>
      </c>
      <c r="I89" t="s">
        <v>335</v>
      </c>
      <c r="J89" t="s">
        <v>398</v>
      </c>
      <c r="K89">
        <v>13</v>
      </c>
      <c r="L89" t="s">
        <v>332</v>
      </c>
      <c r="M89">
        <v>0</v>
      </c>
      <c r="T89">
        <v>0</v>
      </c>
      <c r="AA89">
        <v>0</v>
      </c>
      <c r="AB89">
        <v>17594</v>
      </c>
      <c r="AC89">
        <v>31.85</v>
      </c>
      <c r="AI89">
        <v>0</v>
      </c>
      <c r="AJ89">
        <f t="shared" si="1"/>
        <v>2.4500000000000002</v>
      </c>
      <c r="AK89">
        <v>0.76</v>
      </c>
      <c r="AL89">
        <v>0</v>
      </c>
      <c r="AS89" t="s">
        <v>399</v>
      </c>
      <c r="AY89" t="s">
        <v>324</v>
      </c>
      <c r="BO89" t="s">
        <v>108</v>
      </c>
    </row>
    <row r="90" spans="1:67" x14ac:dyDescent="0.25">
      <c r="A90" t="s">
        <v>142</v>
      </c>
      <c r="B90">
        <v>9</v>
      </c>
      <c r="C90" t="s">
        <v>430</v>
      </c>
      <c r="D90" t="s">
        <v>435</v>
      </c>
      <c r="E90" t="s">
        <v>436</v>
      </c>
      <c r="F90" t="s">
        <v>333</v>
      </c>
      <c r="G90" t="s">
        <v>437</v>
      </c>
      <c r="H90" t="s">
        <v>403</v>
      </c>
      <c r="I90" t="s">
        <v>335</v>
      </c>
      <c r="J90" t="s">
        <v>398</v>
      </c>
      <c r="K90">
        <v>24</v>
      </c>
      <c r="L90" t="s">
        <v>332</v>
      </c>
      <c r="M90">
        <v>1</v>
      </c>
      <c r="T90">
        <v>3.84</v>
      </c>
      <c r="AA90">
        <v>0</v>
      </c>
      <c r="AB90">
        <v>17594</v>
      </c>
      <c r="AC90">
        <v>58.8</v>
      </c>
      <c r="AI90">
        <v>0</v>
      </c>
      <c r="AJ90">
        <f t="shared" si="1"/>
        <v>2.4499999999999997</v>
      </c>
      <c r="AK90">
        <v>0.76</v>
      </c>
      <c r="AL90">
        <v>0</v>
      </c>
      <c r="AS90" t="s">
        <v>399</v>
      </c>
      <c r="AY90" t="s">
        <v>324</v>
      </c>
      <c r="BO90" t="s">
        <v>108</v>
      </c>
    </row>
    <row r="91" spans="1:67" x14ac:dyDescent="0.25">
      <c r="A91" t="s">
        <v>142</v>
      </c>
      <c r="B91">
        <v>10</v>
      </c>
      <c r="C91" t="s">
        <v>430</v>
      </c>
      <c r="D91" t="s">
        <v>435</v>
      </c>
      <c r="E91" t="s">
        <v>436</v>
      </c>
      <c r="F91" t="s">
        <v>333</v>
      </c>
      <c r="G91" t="s">
        <v>437</v>
      </c>
      <c r="H91" t="s">
        <v>440</v>
      </c>
      <c r="I91" t="s">
        <v>335</v>
      </c>
      <c r="J91" t="s">
        <v>398</v>
      </c>
      <c r="K91">
        <v>6</v>
      </c>
      <c r="L91" t="s">
        <v>332</v>
      </c>
      <c r="M91">
        <v>0</v>
      </c>
      <c r="T91">
        <v>0</v>
      </c>
      <c r="AA91">
        <v>0</v>
      </c>
      <c r="AB91">
        <v>17594</v>
      </c>
      <c r="AC91">
        <v>14.7</v>
      </c>
      <c r="AI91">
        <v>0</v>
      </c>
      <c r="AJ91">
        <f t="shared" si="1"/>
        <v>2.4499999999999997</v>
      </c>
      <c r="AK91">
        <v>0.76</v>
      </c>
      <c r="AL91">
        <v>0</v>
      </c>
      <c r="AS91" t="s">
        <v>399</v>
      </c>
      <c r="AY91" t="s">
        <v>324</v>
      </c>
      <c r="BO91" t="s">
        <v>108</v>
      </c>
    </row>
    <row r="92" spans="1:67" x14ac:dyDescent="0.25">
      <c r="A92" t="s">
        <v>142</v>
      </c>
      <c r="B92">
        <v>11</v>
      </c>
      <c r="C92" t="s">
        <v>430</v>
      </c>
      <c r="D92" t="s">
        <v>435</v>
      </c>
      <c r="E92" t="s">
        <v>436</v>
      </c>
      <c r="F92" t="s">
        <v>333</v>
      </c>
      <c r="G92" t="s">
        <v>437</v>
      </c>
      <c r="H92" t="s">
        <v>441</v>
      </c>
      <c r="I92" t="s">
        <v>335</v>
      </c>
      <c r="J92" t="s">
        <v>398</v>
      </c>
      <c r="K92">
        <v>15</v>
      </c>
      <c r="L92" t="s">
        <v>332</v>
      </c>
      <c r="M92">
        <v>0</v>
      </c>
      <c r="T92">
        <v>0</v>
      </c>
      <c r="AA92">
        <v>0</v>
      </c>
      <c r="AB92">
        <v>17594</v>
      </c>
      <c r="AC92">
        <v>36.75</v>
      </c>
      <c r="AI92">
        <v>0</v>
      </c>
      <c r="AJ92">
        <f t="shared" si="1"/>
        <v>2.4500000000000002</v>
      </c>
      <c r="AK92">
        <v>0.76</v>
      </c>
      <c r="AL92">
        <v>0</v>
      </c>
      <c r="AS92" t="s">
        <v>399</v>
      </c>
      <c r="AY92" t="s">
        <v>324</v>
      </c>
      <c r="BO92" t="s">
        <v>108</v>
      </c>
    </row>
    <row r="93" spans="1:67" x14ac:dyDescent="0.25">
      <c r="A93" t="s">
        <v>142</v>
      </c>
      <c r="B93">
        <v>12</v>
      </c>
      <c r="C93" t="s">
        <v>430</v>
      </c>
      <c r="D93" t="s">
        <v>435</v>
      </c>
      <c r="E93" t="s">
        <v>436</v>
      </c>
      <c r="F93" t="s">
        <v>333</v>
      </c>
      <c r="G93" t="s">
        <v>437</v>
      </c>
      <c r="H93" t="s">
        <v>442</v>
      </c>
      <c r="I93" t="s">
        <v>335</v>
      </c>
      <c r="J93" t="s">
        <v>398</v>
      </c>
      <c r="K93">
        <v>7</v>
      </c>
      <c r="L93" t="s">
        <v>332</v>
      </c>
      <c r="M93">
        <v>0</v>
      </c>
      <c r="T93">
        <v>0</v>
      </c>
      <c r="AA93">
        <v>0</v>
      </c>
      <c r="AB93">
        <v>17594</v>
      </c>
      <c r="AC93">
        <v>17.149999999999999</v>
      </c>
      <c r="AI93">
        <v>0</v>
      </c>
      <c r="AJ93">
        <f t="shared" si="1"/>
        <v>2.4499999999999997</v>
      </c>
      <c r="AK93">
        <v>0.76</v>
      </c>
      <c r="AL93">
        <v>0</v>
      </c>
      <c r="AS93" t="s">
        <v>399</v>
      </c>
      <c r="AY93" t="s">
        <v>324</v>
      </c>
      <c r="BO93" t="s">
        <v>108</v>
      </c>
    </row>
    <row r="94" spans="1:67" x14ac:dyDescent="0.25">
      <c r="A94" t="s">
        <v>142</v>
      </c>
      <c r="B94">
        <v>8</v>
      </c>
      <c r="C94" t="s">
        <v>430</v>
      </c>
      <c r="D94" t="s">
        <v>435</v>
      </c>
      <c r="E94" t="s">
        <v>436</v>
      </c>
      <c r="F94" t="s">
        <v>333</v>
      </c>
      <c r="G94" t="s">
        <v>437</v>
      </c>
      <c r="H94" t="s">
        <v>402</v>
      </c>
      <c r="I94" t="s">
        <v>335</v>
      </c>
      <c r="J94" t="s">
        <v>398</v>
      </c>
      <c r="K94">
        <v>42</v>
      </c>
      <c r="L94" t="s">
        <v>332</v>
      </c>
      <c r="M94">
        <v>2</v>
      </c>
      <c r="T94">
        <v>18.465</v>
      </c>
      <c r="AA94">
        <v>0</v>
      </c>
      <c r="AB94">
        <v>17594</v>
      </c>
      <c r="AC94">
        <v>102.9</v>
      </c>
      <c r="AI94">
        <v>0</v>
      </c>
      <c r="AJ94">
        <f t="shared" si="1"/>
        <v>2.4500000000000002</v>
      </c>
      <c r="AK94">
        <v>0.76</v>
      </c>
      <c r="AL94">
        <v>0</v>
      </c>
      <c r="AS94" t="s">
        <v>399</v>
      </c>
      <c r="AY94" t="s">
        <v>324</v>
      </c>
      <c r="BO94" t="s">
        <v>108</v>
      </c>
    </row>
    <row r="95" spans="1:67" x14ac:dyDescent="0.25">
      <c r="A95" t="s">
        <v>142</v>
      </c>
      <c r="B95">
        <v>1</v>
      </c>
      <c r="C95" t="s">
        <v>430</v>
      </c>
      <c r="D95" t="s">
        <v>435</v>
      </c>
      <c r="E95" t="s">
        <v>436</v>
      </c>
      <c r="F95" t="s">
        <v>333</v>
      </c>
      <c r="G95" t="s">
        <v>437</v>
      </c>
      <c r="H95" t="s">
        <v>407</v>
      </c>
      <c r="I95" t="s">
        <v>335</v>
      </c>
      <c r="J95" t="s">
        <v>398</v>
      </c>
      <c r="K95">
        <v>147</v>
      </c>
      <c r="L95" t="s">
        <v>332</v>
      </c>
      <c r="M95">
        <v>1</v>
      </c>
      <c r="T95">
        <v>13.1</v>
      </c>
      <c r="AA95">
        <v>0</v>
      </c>
      <c r="AB95">
        <v>17594</v>
      </c>
      <c r="AC95">
        <v>360.15</v>
      </c>
      <c r="AI95">
        <v>0</v>
      </c>
      <c r="AJ95">
        <f t="shared" si="1"/>
        <v>2.4499999999999997</v>
      </c>
      <c r="AK95">
        <v>0.76</v>
      </c>
      <c r="AL95">
        <v>0</v>
      </c>
      <c r="AS95" t="s">
        <v>399</v>
      </c>
      <c r="AY95" t="s">
        <v>324</v>
      </c>
      <c r="BO95" t="s">
        <v>108</v>
      </c>
    </row>
    <row r="96" spans="1:67" x14ac:dyDescent="0.25">
      <c r="A96" t="s">
        <v>142</v>
      </c>
      <c r="B96">
        <v>2</v>
      </c>
      <c r="C96" t="s">
        <v>430</v>
      </c>
      <c r="D96" t="s">
        <v>435</v>
      </c>
      <c r="E96" t="s">
        <v>436</v>
      </c>
      <c r="F96" t="s">
        <v>333</v>
      </c>
      <c r="G96" t="s">
        <v>437</v>
      </c>
      <c r="H96" t="s">
        <v>406</v>
      </c>
      <c r="I96" t="s">
        <v>335</v>
      </c>
      <c r="J96" t="s">
        <v>398</v>
      </c>
      <c r="K96">
        <v>162</v>
      </c>
      <c r="L96" t="s">
        <v>332</v>
      </c>
      <c r="M96">
        <v>2</v>
      </c>
      <c r="T96">
        <v>18.72</v>
      </c>
      <c r="AA96">
        <v>0</v>
      </c>
      <c r="AB96">
        <v>17594</v>
      </c>
      <c r="AC96">
        <v>396.9</v>
      </c>
      <c r="AI96">
        <v>0</v>
      </c>
      <c r="AJ96">
        <f t="shared" si="1"/>
        <v>2.4499999999999997</v>
      </c>
      <c r="AK96">
        <v>0.76</v>
      </c>
      <c r="AL96">
        <v>0</v>
      </c>
      <c r="AS96" t="s">
        <v>399</v>
      </c>
      <c r="AY96" t="s">
        <v>324</v>
      </c>
      <c r="BO96" t="s">
        <v>108</v>
      </c>
    </row>
    <row r="97" spans="1:67" x14ac:dyDescent="0.25">
      <c r="A97" t="s">
        <v>142</v>
      </c>
      <c r="B97">
        <v>3</v>
      </c>
      <c r="C97" t="s">
        <v>430</v>
      </c>
      <c r="D97" t="s">
        <v>435</v>
      </c>
      <c r="E97" t="s">
        <v>436</v>
      </c>
      <c r="F97" t="s">
        <v>333</v>
      </c>
      <c r="G97" t="s">
        <v>437</v>
      </c>
      <c r="H97" t="s">
        <v>408</v>
      </c>
      <c r="I97" t="s">
        <v>335</v>
      </c>
      <c r="J97" t="s">
        <v>398</v>
      </c>
      <c r="K97">
        <v>211</v>
      </c>
      <c r="L97" t="s">
        <v>332</v>
      </c>
      <c r="M97">
        <v>3</v>
      </c>
      <c r="T97">
        <v>32.085000000000001</v>
      </c>
      <c r="AA97">
        <v>0</v>
      </c>
      <c r="AB97">
        <v>17594</v>
      </c>
      <c r="AC97">
        <v>516.95000000000005</v>
      </c>
      <c r="AI97">
        <v>0</v>
      </c>
      <c r="AJ97">
        <f t="shared" si="1"/>
        <v>2.4500000000000002</v>
      </c>
      <c r="AK97">
        <v>0.76</v>
      </c>
      <c r="AL97">
        <v>0</v>
      </c>
      <c r="AS97" t="s">
        <v>399</v>
      </c>
      <c r="AY97" t="s">
        <v>324</v>
      </c>
      <c r="BO97" t="s">
        <v>108</v>
      </c>
    </row>
    <row r="98" spans="1:67" x14ac:dyDescent="0.25">
      <c r="A98" t="s">
        <v>142</v>
      </c>
      <c r="B98">
        <v>4</v>
      </c>
      <c r="C98" t="s">
        <v>430</v>
      </c>
      <c r="D98" t="s">
        <v>435</v>
      </c>
      <c r="E98" t="s">
        <v>436</v>
      </c>
      <c r="F98" t="s">
        <v>333</v>
      </c>
      <c r="G98" t="s">
        <v>437</v>
      </c>
      <c r="H98" t="s">
        <v>409</v>
      </c>
      <c r="I98" t="s">
        <v>335</v>
      </c>
      <c r="J98" t="s">
        <v>398</v>
      </c>
      <c r="K98">
        <v>79</v>
      </c>
      <c r="L98" t="s">
        <v>332</v>
      </c>
      <c r="M98">
        <v>2</v>
      </c>
      <c r="T98">
        <v>8.91</v>
      </c>
      <c r="AA98">
        <v>0</v>
      </c>
      <c r="AB98">
        <v>17594</v>
      </c>
      <c r="AC98">
        <v>193.55</v>
      </c>
      <c r="AI98">
        <v>0</v>
      </c>
      <c r="AJ98">
        <f t="shared" si="1"/>
        <v>2.4500000000000002</v>
      </c>
      <c r="AK98">
        <v>0.76</v>
      </c>
      <c r="AL98">
        <v>0</v>
      </c>
      <c r="AS98" t="s">
        <v>399</v>
      </c>
      <c r="AY98" t="s">
        <v>324</v>
      </c>
      <c r="BO98" t="s">
        <v>108</v>
      </c>
    </row>
    <row r="99" spans="1:67" x14ac:dyDescent="0.25">
      <c r="A99" t="s">
        <v>142</v>
      </c>
      <c r="B99">
        <v>5</v>
      </c>
      <c r="C99" t="s">
        <v>430</v>
      </c>
      <c r="D99" t="s">
        <v>435</v>
      </c>
      <c r="E99" t="s">
        <v>443</v>
      </c>
      <c r="F99" t="s">
        <v>333</v>
      </c>
      <c r="G99" t="s">
        <v>437</v>
      </c>
      <c r="H99" t="s">
        <v>444</v>
      </c>
      <c r="I99" t="s">
        <v>335</v>
      </c>
      <c r="J99" t="s">
        <v>398</v>
      </c>
      <c r="K99">
        <v>42</v>
      </c>
      <c r="L99" t="s">
        <v>332</v>
      </c>
      <c r="M99">
        <v>1</v>
      </c>
      <c r="T99">
        <v>3.25</v>
      </c>
      <c r="AA99">
        <v>0</v>
      </c>
      <c r="AB99">
        <v>17594</v>
      </c>
      <c r="AC99">
        <v>102.9</v>
      </c>
      <c r="AI99">
        <v>0</v>
      </c>
      <c r="AJ99">
        <f t="shared" si="1"/>
        <v>2.4500000000000002</v>
      </c>
      <c r="AK99">
        <v>0.76</v>
      </c>
      <c r="AL99">
        <v>0</v>
      </c>
      <c r="AS99" t="s">
        <v>399</v>
      </c>
      <c r="AY99" t="s">
        <v>324</v>
      </c>
      <c r="BO99" t="s">
        <v>108</v>
      </c>
    </row>
    <row r="100" spans="1:67" x14ac:dyDescent="0.25">
      <c r="A100" t="s">
        <v>142</v>
      </c>
      <c r="B100">
        <v>6</v>
      </c>
      <c r="C100" t="s">
        <v>430</v>
      </c>
      <c r="D100" t="s">
        <v>435</v>
      </c>
      <c r="E100" t="s">
        <v>436</v>
      </c>
      <c r="F100" t="s">
        <v>333</v>
      </c>
      <c r="G100" t="s">
        <v>437</v>
      </c>
      <c r="H100" t="s">
        <v>445</v>
      </c>
      <c r="I100" t="s">
        <v>335</v>
      </c>
      <c r="J100" t="s">
        <v>398</v>
      </c>
      <c r="K100">
        <v>37</v>
      </c>
      <c r="L100" t="s">
        <v>332</v>
      </c>
      <c r="M100">
        <v>1</v>
      </c>
      <c r="T100">
        <v>3.6</v>
      </c>
      <c r="AA100">
        <v>0</v>
      </c>
      <c r="AB100">
        <v>17594</v>
      </c>
      <c r="AC100">
        <v>90.65</v>
      </c>
      <c r="AI100">
        <v>0</v>
      </c>
      <c r="AJ100">
        <f t="shared" si="1"/>
        <v>2.4500000000000002</v>
      </c>
      <c r="AK100">
        <v>0.76</v>
      </c>
      <c r="AL100">
        <v>0</v>
      </c>
      <c r="AS100" t="s">
        <v>399</v>
      </c>
      <c r="AY100" t="s">
        <v>324</v>
      </c>
      <c r="BO100" t="s">
        <v>108</v>
      </c>
    </row>
    <row r="101" spans="1:67" x14ac:dyDescent="0.25">
      <c r="A101" t="s">
        <v>142</v>
      </c>
      <c r="B101">
        <v>7</v>
      </c>
      <c r="C101" t="s">
        <v>430</v>
      </c>
      <c r="D101" t="s">
        <v>435</v>
      </c>
      <c r="E101" t="s">
        <v>436</v>
      </c>
      <c r="F101" t="s">
        <v>333</v>
      </c>
      <c r="G101" t="s">
        <v>437</v>
      </c>
      <c r="H101" t="s">
        <v>446</v>
      </c>
      <c r="I101" t="s">
        <v>335</v>
      </c>
      <c r="J101" t="s">
        <v>398</v>
      </c>
      <c r="K101">
        <v>23</v>
      </c>
      <c r="L101" t="s">
        <v>332</v>
      </c>
      <c r="M101">
        <v>0</v>
      </c>
      <c r="T101">
        <v>0</v>
      </c>
      <c r="AA101">
        <v>0</v>
      </c>
      <c r="AB101">
        <v>17594</v>
      </c>
      <c r="AC101">
        <v>56.35</v>
      </c>
      <c r="AI101">
        <v>0</v>
      </c>
      <c r="AJ101">
        <f t="shared" si="1"/>
        <v>2.4500000000000002</v>
      </c>
      <c r="AK101">
        <v>0.76</v>
      </c>
      <c r="AL101">
        <v>0</v>
      </c>
      <c r="AS101" t="s">
        <v>399</v>
      </c>
      <c r="AY101" t="s">
        <v>324</v>
      </c>
      <c r="BO101" t="s">
        <v>108</v>
      </c>
    </row>
    <row r="102" spans="1:67" x14ac:dyDescent="0.25">
      <c r="A102" t="s">
        <v>142</v>
      </c>
      <c r="B102">
        <v>21</v>
      </c>
      <c r="C102" t="s">
        <v>430</v>
      </c>
      <c r="D102" t="s">
        <v>435</v>
      </c>
      <c r="E102" t="s">
        <v>436</v>
      </c>
      <c r="F102" t="s">
        <v>333</v>
      </c>
      <c r="G102" t="s">
        <v>437</v>
      </c>
      <c r="H102" t="s">
        <v>447</v>
      </c>
      <c r="I102" t="s">
        <v>335</v>
      </c>
      <c r="J102" t="s">
        <v>398</v>
      </c>
      <c r="K102">
        <v>6</v>
      </c>
      <c r="L102" t="s">
        <v>332</v>
      </c>
      <c r="M102">
        <v>0</v>
      </c>
      <c r="T102">
        <v>0</v>
      </c>
      <c r="AA102">
        <v>0</v>
      </c>
      <c r="AB102">
        <v>17594</v>
      </c>
      <c r="AC102">
        <v>14.7</v>
      </c>
      <c r="AI102">
        <v>0</v>
      </c>
      <c r="AJ102">
        <f t="shared" si="1"/>
        <v>2.4499999999999997</v>
      </c>
      <c r="AK102">
        <v>0.76</v>
      </c>
      <c r="AL102">
        <v>0</v>
      </c>
      <c r="AS102" t="s">
        <v>399</v>
      </c>
      <c r="AY102" t="s">
        <v>324</v>
      </c>
      <c r="BO102" t="s">
        <v>108</v>
      </c>
    </row>
    <row r="103" spans="1:67" x14ac:dyDescent="0.25">
      <c r="A103" t="s">
        <v>142</v>
      </c>
      <c r="B103">
        <v>20</v>
      </c>
      <c r="C103" t="s">
        <v>430</v>
      </c>
      <c r="D103" t="s">
        <v>435</v>
      </c>
      <c r="E103" t="s">
        <v>436</v>
      </c>
      <c r="F103" t="s">
        <v>333</v>
      </c>
      <c r="G103" t="s">
        <v>437</v>
      </c>
      <c r="H103" t="s">
        <v>448</v>
      </c>
      <c r="I103" t="s">
        <v>335</v>
      </c>
      <c r="J103" t="s">
        <v>398</v>
      </c>
      <c r="K103">
        <v>12</v>
      </c>
      <c r="L103" t="s">
        <v>332</v>
      </c>
      <c r="M103">
        <v>0</v>
      </c>
      <c r="T103">
        <v>0</v>
      </c>
      <c r="AA103">
        <v>0</v>
      </c>
      <c r="AB103">
        <v>17594</v>
      </c>
      <c r="AC103">
        <v>29.4</v>
      </c>
      <c r="AI103">
        <v>0</v>
      </c>
      <c r="AJ103">
        <f t="shared" si="1"/>
        <v>2.4499999999999997</v>
      </c>
      <c r="AK103">
        <v>0.76</v>
      </c>
      <c r="AL103">
        <v>0</v>
      </c>
      <c r="AS103" t="s">
        <v>399</v>
      </c>
      <c r="AY103" t="s">
        <v>324</v>
      </c>
      <c r="BO103" t="s">
        <v>108</v>
      </c>
    </row>
    <row r="104" spans="1:67" x14ac:dyDescent="0.25">
      <c r="A104" t="s">
        <v>142</v>
      </c>
      <c r="B104">
        <v>13</v>
      </c>
      <c r="C104" t="s">
        <v>430</v>
      </c>
      <c r="D104" t="s">
        <v>435</v>
      </c>
      <c r="E104" t="s">
        <v>436</v>
      </c>
      <c r="F104" t="s">
        <v>333</v>
      </c>
      <c r="G104" t="s">
        <v>437</v>
      </c>
      <c r="H104" t="s">
        <v>449</v>
      </c>
      <c r="I104" t="s">
        <v>335</v>
      </c>
      <c r="J104" t="s">
        <v>398</v>
      </c>
      <c r="K104">
        <v>14</v>
      </c>
      <c r="L104" t="s">
        <v>332</v>
      </c>
      <c r="M104">
        <v>0</v>
      </c>
      <c r="T104">
        <v>0</v>
      </c>
      <c r="AA104">
        <v>0</v>
      </c>
      <c r="AB104">
        <v>17594</v>
      </c>
      <c r="AC104">
        <v>34.299999999999997</v>
      </c>
      <c r="AI104">
        <v>0</v>
      </c>
      <c r="AJ104">
        <f t="shared" si="1"/>
        <v>2.4499999999999997</v>
      </c>
      <c r="AK104">
        <v>0.76</v>
      </c>
      <c r="AL104">
        <v>0</v>
      </c>
      <c r="AS104" t="s">
        <v>399</v>
      </c>
      <c r="AY104" t="s">
        <v>324</v>
      </c>
      <c r="BO104" t="s">
        <v>108</v>
      </c>
    </row>
    <row r="105" spans="1:67" x14ac:dyDescent="0.25">
      <c r="A105" t="s">
        <v>142</v>
      </c>
      <c r="B105">
        <v>14</v>
      </c>
      <c r="C105" t="s">
        <v>430</v>
      </c>
      <c r="D105" t="s">
        <v>435</v>
      </c>
      <c r="E105" t="s">
        <v>436</v>
      </c>
      <c r="F105" t="s">
        <v>333</v>
      </c>
      <c r="G105" t="s">
        <v>437</v>
      </c>
      <c r="H105" t="s">
        <v>450</v>
      </c>
      <c r="I105" t="s">
        <v>335</v>
      </c>
      <c r="J105" t="s">
        <v>398</v>
      </c>
      <c r="K105">
        <v>8</v>
      </c>
      <c r="L105" t="s">
        <v>332</v>
      </c>
      <c r="M105">
        <v>0</v>
      </c>
      <c r="T105">
        <v>0</v>
      </c>
      <c r="AA105">
        <v>0</v>
      </c>
      <c r="AB105">
        <v>17594</v>
      </c>
      <c r="AC105">
        <v>19.600000000000001</v>
      </c>
      <c r="AI105">
        <v>0</v>
      </c>
      <c r="AJ105">
        <f t="shared" si="1"/>
        <v>2.4500000000000002</v>
      </c>
      <c r="AK105">
        <v>0.76</v>
      </c>
      <c r="AL105">
        <v>0</v>
      </c>
      <c r="AS105" t="s">
        <v>399</v>
      </c>
      <c r="AY105" t="s">
        <v>324</v>
      </c>
      <c r="BO105" t="s">
        <v>108</v>
      </c>
    </row>
    <row r="106" spans="1:67" x14ac:dyDescent="0.25">
      <c r="A106" t="s">
        <v>142</v>
      </c>
      <c r="B106">
        <v>15</v>
      </c>
      <c r="C106" t="s">
        <v>430</v>
      </c>
      <c r="D106" t="s">
        <v>435</v>
      </c>
      <c r="E106" t="s">
        <v>436</v>
      </c>
      <c r="F106" t="s">
        <v>333</v>
      </c>
      <c r="G106" t="s">
        <v>437</v>
      </c>
      <c r="H106" t="s">
        <v>451</v>
      </c>
      <c r="I106" t="s">
        <v>335</v>
      </c>
      <c r="J106" t="s">
        <v>398</v>
      </c>
      <c r="K106">
        <v>3</v>
      </c>
      <c r="L106" t="s">
        <v>332</v>
      </c>
      <c r="M106">
        <v>0</v>
      </c>
      <c r="T106">
        <v>0</v>
      </c>
      <c r="AA106">
        <v>0</v>
      </c>
      <c r="AB106">
        <v>17594</v>
      </c>
      <c r="AC106">
        <v>7.35</v>
      </c>
      <c r="AI106">
        <v>0</v>
      </c>
      <c r="AJ106">
        <f t="shared" si="1"/>
        <v>2.4499999999999997</v>
      </c>
      <c r="AK106">
        <v>0.76</v>
      </c>
      <c r="AL106">
        <v>0</v>
      </c>
      <c r="AS106" t="s">
        <v>399</v>
      </c>
      <c r="AY106" t="s">
        <v>324</v>
      </c>
      <c r="BO106" t="s">
        <v>108</v>
      </c>
    </row>
    <row r="107" spans="1:67" x14ac:dyDescent="0.25">
      <c r="A107" t="s">
        <v>142</v>
      </c>
      <c r="B107">
        <v>16</v>
      </c>
      <c r="C107" t="s">
        <v>430</v>
      </c>
      <c r="D107" t="s">
        <v>435</v>
      </c>
      <c r="E107" t="s">
        <v>436</v>
      </c>
      <c r="F107" t="s">
        <v>333</v>
      </c>
      <c r="G107" t="s">
        <v>437</v>
      </c>
      <c r="H107" t="s">
        <v>452</v>
      </c>
      <c r="I107" t="s">
        <v>335</v>
      </c>
      <c r="J107" t="s">
        <v>398</v>
      </c>
      <c r="K107">
        <v>14</v>
      </c>
      <c r="L107" t="s">
        <v>332</v>
      </c>
      <c r="M107">
        <v>0</v>
      </c>
      <c r="T107">
        <v>0</v>
      </c>
      <c r="AA107">
        <v>0</v>
      </c>
      <c r="AB107">
        <v>17594</v>
      </c>
      <c r="AC107">
        <v>34.299999999999997</v>
      </c>
      <c r="AI107">
        <v>0</v>
      </c>
      <c r="AJ107">
        <f t="shared" si="1"/>
        <v>2.4499999999999997</v>
      </c>
      <c r="AK107">
        <v>0.76</v>
      </c>
      <c r="AL107">
        <v>0</v>
      </c>
      <c r="AS107" t="s">
        <v>399</v>
      </c>
      <c r="AY107" t="s">
        <v>324</v>
      </c>
      <c r="BO107" t="s">
        <v>108</v>
      </c>
    </row>
    <row r="108" spans="1:67" x14ac:dyDescent="0.25">
      <c r="A108" t="s">
        <v>142</v>
      </c>
      <c r="B108">
        <v>17</v>
      </c>
      <c r="C108" t="s">
        <v>430</v>
      </c>
      <c r="D108" t="s">
        <v>435</v>
      </c>
      <c r="E108" t="s">
        <v>436</v>
      </c>
      <c r="F108" t="s">
        <v>333</v>
      </c>
      <c r="G108" t="s">
        <v>437</v>
      </c>
      <c r="H108" t="s">
        <v>453</v>
      </c>
      <c r="I108" t="s">
        <v>335</v>
      </c>
      <c r="J108" t="s">
        <v>398</v>
      </c>
      <c r="K108">
        <v>2</v>
      </c>
      <c r="L108" t="s">
        <v>332</v>
      </c>
      <c r="M108">
        <v>0</v>
      </c>
      <c r="T108">
        <v>0</v>
      </c>
      <c r="AA108">
        <v>0</v>
      </c>
      <c r="AB108">
        <v>17594</v>
      </c>
      <c r="AC108">
        <v>4.9000000000000004</v>
      </c>
      <c r="AI108">
        <v>0</v>
      </c>
      <c r="AJ108">
        <f t="shared" si="1"/>
        <v>2.4500000000000002</v>
      </c>
      <c r="AK108">
        <v>0.76</v>
      </c>
      <c r="AL108">
        <v>0</v>
      </c>
      <c r="AS108" t="s">
        <v>399</v>
      </c>
      <c r="AY108" t="s">
        <v>324</v>
      </c>
      <c r="BO108" t="s">
        <v>108</v>
      </c>
    </row>
    <row r="109" spans="1:67" x14ac:dyDescent="0.25">
      <c r="A109" t="s">
        <v>144</v>
      </c>
      <c r="B109">
        <v>1</v>
      </c>
      <c r="C109" t="s">
        <v>430</v>
      </c>
      <c r="D109" t="s">
        <v>431</v>
      </c>
      <c r="E109" t="s">
        <v>454</v>
      </c>
      <c r="F109" t="s">
        <v>333</v>
      </c>
      <c r="G109" t="s">
        <v>433</v>
      </c>
      <c r="H109" t="s">
        <v>407</v>
      </c>
      <c r="I109" t="s">
        <v>335</v>
      </c>
      <c r="J109" t="s">
        <v>398</v>
      </c>
      <c r="K109">
        <v>540</v>
      </c>
      <c r="L109" t="s">
        <v>332</v>
      </c>
      <c r="M109">
        <v>3</v>
      </c>
      <c r="T109">
        <v>36.72</v>
      </c>
      <c r="AA109">
        <v>0</v>
      </c>
      <c r="AB109">
        <v>17594</v>
      </c>
      <c r="AC109">
        <v>853.2</v>
      </c>
      <c r="AI109">
        <v>0</v>
      </c>
      <c r="AJ109">
        <f t="shared" si="1"/>
        <v>1.58</v>
      </c>
      <c r="AK109">
        <v>0.57999999999999996</v>
      </c>
      <c r="AL109">
        <v>0</v>
      </c>
      <c r="AS109" t="s">
        <v>399</v>
      </c>
      <c r="AY109" t="s">
        <v>324</v>
      </c>
      <c r="BO109" t="s">
        <v>108</v>
      </c>
    </row>
    <row r="110" spans="1:67" x14ac:dyDescent="0.25">
      <c r="A110" t="s">
        <v>144</v>
      </c>
      <c r="B110">
        <v>2</v>
      </c>
      <c r="C110" t="s">
        <v>430</v>
      </c>
      <c r="D110" t="s">
        <v>431</v>
      </c>
      <c r="E110" t="s">
        <v>454</v>
      </c>
      <c r="F110" t="s">
        <v>333</v>
      </c>
      <c r="G110" t="s">
        <v>433</v>
      </c>
      <c r="H110" t="s">
        <v>408</v>
      </c>
      <c r="I110" t="s">
        <v>335</v>
      </c>
      <c r="J110" t="s">
        <v>398</v>
      </c>
      <c r="K110">
        <v>340</v>
      </c>
      <c r="L110" t="s">
        <v>332</v>
      </c>
      <c r="M110">
        <v>2</v>
      </c>
      <c r="T110">
        <v>25.84</v>
      </c>
      <c r="AA110">
        <v>0</v>
      </c>
      <c r="AB110">
        <v>17594</v>
      </c>
      <c r="AC110">
        <v>537.20000000000005</v>
      </c>
      <c r="AI110">
        <v>0</v>
      </c>
      <c r="AJ110">
        <f t="shared" si="1"/>
        <v>1.58</v>
      </c>
      <c r="AK110">
        <v>0.57999999999999996</v>
      </c>
      <c r="AL110">
        <v>0</v>
      </c>
      <c r="AS110" t="s">
        <v>399</v>
      </c>
      <c r="AY110" t="s">
        <v>324</v>
      </c>
      <c r="BO110" t="s">
        <v>108</v>
      </c>
    </row>
    <row r="111" spans="1:67" x14ac:dyDescent="0.25">
      <c r="A111" t="s">
        <v>144</v>
      </c>
      <c r="B111">
        <v>3</v>
      </c>
      <c r="C111" t="s">
        <v>430</v>
      </c>
      <c r="D111" t="s">
        <v>431</v>
      </c>
      <c r="E111" t="s">
        <v>454</v>
      </c>
      <c r="F111" t="s">
        <v>333</v>
      </c>
      <c r="G111" t="s">
        <v>433</v>
      </c>
      <c r="H111" t="s">
        <v>406</v>
      </c>
      <c r="I111" t="s">
        <v>335</v>
      </c>
      <c r="J111" t="s">
        <v>398</v>
      </c>
      <c r="K111">
        <v>960</v>
      </c>
      <c r="L111" t="s">
        <v>332</v>
      </c>
      <c r="M111">
        <v>6</v>
      </c>
      <c r="T111">
        <v>81.599999999999994</v>
      </c>
      <c r="AA111">
        <v>0</v>
      </c>
      <c r="AB111">
        <v>17594</v>
      </c>
      <c r="AC111">
        <v>1516.8</v>
      </c>
      <c r="AI111">
        <v>0</v>
      </c>
      <c r="AJ111">
        <f t="shared" si="1"/>
        <v>1.5799999999999998</v>
      </c>
      <c r="AK111">
        <v>0.57999999999999996</v>
      </c>
      <c r="AL111">
        <v>0</v>
      </c>
      <c r="AS111" t="s">
        <v>399</v>
      </c>
      <c r="AY111" t="s">
        <v>324</v>
      </c>
      <c r="BO111" t="s">
        <v>108</v>
      </c>
    </row>
    <row r="112" spans="1:67" x14ac:dyDescent="0.25">
      <c r="A112" t="s">
        <v>144</v>
      </c>
      <c r="B112">
        <v>4</v>
      </c>
      <c r="C112" t="s">
        <v>430</v>
      </c>
      <c r="D112" t="s">
        <v>431</v>
      </c>
      <c r="E112" t="s">
        <v>454</v>
      </c>
      <c r="F112" t="s">
        <v>333</v>
      </c>
      <c r="G112" t="s">
        <v>433</v>
      </c>
      <c r="H112" t="s">
        <v>409</v>
      </c>
      <c r="I112" t="s">
        <v>335</v>
      </c>
      <c r="J112" t="s">
        <v>398</v>
      </c>
      <c r="K112">
        <v>300</v>
      </c>
      <c r="L112" t="s">
        <v>332</v>
      </c>
      <c r="M112">
        <v>2</v>
      </c>
      <c r="T112">
        <v>26.1</v>
      </c>
      <c r="AA112">
        <v>0</v>
      </c>
      <c r="AB112">
        <v>17594</v>
      </c>
      <c r="AC112">
        <v>474</v>
      </c>
      <c r="AI112">
        <v>0</v>
      </c>
      <c r="AJ112">
        <f t="shared" si="1"/>
        <v>1.58</v>
      </c>
      <c r="AK112">
        <v>0.57999999999999996</v>
      </c>
      <c r="AL112">
        <v>0</v>
      </c>
      <c r="AS112" t="s">
        <v>399</v>
      </c>
      <c r="AY112" t="s">
        <v>324</v>
      </c>
      <c r="BO112" t="s">
        <v>108</v>
      </c>
    </row>
    <row r="113" spans="1:70" x14ac:dyDescent="0.25">
      <c r="A113" t="s">
        <v>147</v>
      </c>
      <c r="B113">
        <v>1</v>
      </c>
      <c r="C113" t="s">
        <v>430</v>
      </c>
      <c r="D113" t="s">
        <v>455</v>
      </c>
      <c r="E113" t="s">
        <v>456</v>
      </c>
      <c r="F113" t="s">
        <v>457</v>
      </c>
      <c r="G113" t="s">
        <v>458</v>
      </c>
      <c r="H113" t="s">
        <v>408</v>
      </c>
      <c r="I113" t="s">
        <v>335</v>
      </c>
      <c r="J113" t="s">
        <v>398</v>
      </c>
      <c r="K113">
        <v>2</v>
      </c>
      <c r="L113" t="s">
        <v>334</v>
      </c>
      <c r="M113">
        <v>1</v>
      </c>
      <c r="T113">
        <v>0.5</v>
      </c>
      <c r="Z113">
        <v>0</v>
      </c>
      <c r="AA113">
        <v>0</v>
      </c>
      <c r="AB113">
        <v>17594</v>
      </c>
      <c r="AC113">
        <v>1</v>
      </c>
      <c r="AF113">
        <v>0</v>
      </c>
      <c r="AG113">
        <v>0</v>
      </c>
      <c r="AI113">
        <v>0</v>
      </c>
      <c r="AJ113">
        <f t="shared" si="1"/>
        <v>0.5</v>
      </c>
      <c r="AK113">
        <v>0.5</v>
      </c>
      <c r="AL113">
        <v>0</v>
      </c>
      <c r="AM113">
        <v>0</v>
      </c>
      <c r="AN113">
        <v>0</v>
      </c>
      <c r="AS113" t="s">
        <v>399</v>
      </c>
      <c r="AY113" t="s">
        <v>324</v>
      </c>
      <c r="BJ113">
        <v>0</v>
      </c>
      <c r="BO113" t="s">
        <v>108</v>
      </c>
      <c r="BR113" t="s">
        <v>126</v>
      </c>
    </row>
    <row r="114" spans="1:70" x14ac:dyDescent="0.25">
      <c r="A114" t="s">
        <v>150</v>
      </c>
      <c r="B114">
        <v>1</v>
      </c>
      <c r="C114" t="s">
        <v>415</v>
      </c>
      <c r="D114" t="s">
        <v>335</v>
      </c>
      <c r="E114" t="s">
        <v>459</v>
      </c>
      <c r="F114" t="s">
        <v>335</v>
      </c>
      <c r="G114" t="s">
        <v>335</v>
      </c>
      <c r="H114" t="s">
        <v>335</v>
      </c>
      <c r="I114" t="s">
        <v>335</v>
      </c>
      <c r="J114" t="s">
        <v>398</v>
      </c>
      <c r="K114">
        <v>3</v>
      </c>
      <c r="L114" t="s">
        <v>334</v>
      </c>
      <c r="M114">
        <v>1</v>
      </c>
      <c r="T114">
        <v>0.9</v>
      </c>
      <c r="Z114">
        <v>0</v>
      </c>
      <c r="AA114">
        <v>0</v>
      </c>
      <c r="AB114">
        <v>17594</v>
      </c>
      <c r="AC114">
        <v>31.41</v>
      </c>
      <c r="AF114">
        <v>0</v>
      </c>
      <c r="AG114">
        <v>0</v>
      </c>
      <c r="AI114">
        <v>0</v>
      </c>
      <c r="AJ114">
        <f t="shared" si="1"/>
        <v>10.47</v>
      </c>
      <c r="AK114">
        <v>0</v>
      </c>
      <c r="AL114">
        <v>0</v>
      </c>
      <c r="AM114">
        <v>0</v>
      </c>
      <c r="AN114">
        <v>0</v>
      </c>
      <c r="AS114" t="s">
        <v>399</v>
      </c>
      <c r="AY114" t="s">
        <v>324</v>
      </c>
      <c r="BJ114">
        <v>0</v>
      </c>
      <c r="BO114" t="s">
        <v>108</v>
      </c>
      <c r="BR114" t="s">
        <v>126</v>
      </c>
    </row>
    <row r="115" spans="1:70" x14ac:dyDescent="0.25">
      <c r="A115" t="s">
        <v>154</v>
      </c>
      <c r="B115">
        <v>1</v>
      </c>
      <c r="C115" t="s">
        <v>415</v>
      </c>
      <c r="D115" t="s">
        <v>335</v>
      </c>
      <c r="E115" t="s">
        <v>460</v>
      </c>
      <c r="F115" t="s">
        <v>335</v>
      </c>
      <c r="G115" t="s">
        <v>335</v>
      </c>
      <c r="H115" t="s">
        <v>335</v>
      </c>
      <c r="I115" t="s">
        <v>335</v>
      </c>
      <c r="J115" t="s">
        <v>398</v>
      </c>
      <c r="K115">
        <v>1</v>
      </c>
      <c r="L115" t="s">
        <v>334</v>
      </c>
      <c r="M115">
        <v>1</v>
      </c>
      <c r="T115">
        <v>0.24</v>
      </c>
      <c r="Z115">
        <v>0</v>
      </c>
      <c r="AA115">
        <v>0</v>
      </c>
      <c r="AB115">
        <v>17594</v>
      </c>
      <c r="AC115">
        <v>7.67</v>
      </c>
      <c r="AF115">
        <v>0</v>
      </c>
      <c r="AG115">
        <v>0</v>
      </c>
      <c r="AI115">
        <v>0</v>
      </c>
      <c r="AJ115">
        <f t="shared" si="1"/>
        <v>7.67</v>
      </c>
      <c r="AK115">
        <v>0</v>
      </c>
      <c r="AL115">
        <v>0</v>
      </c>
      <c r="AM115">
        <v>0</v>
      </c>
      <c r="AN115">
        <v>0</v>
      </c>
      <c r="AS115" t="s">
        <v>399</v>
      </c>
      <c r="AY115" t="s">
        <v>324</v>
      </c>
      <c r="BJ115">
        <v>0</v>
      </c>
      <c r="BO115" t="s">
        <v>108</v>
      </c>
      <c r="BR115" t="s">
        <v>126</v>
      </c>
    </row>
    <row r="116" spans="1:70" x14ac:dyDescent="0.25">
      <c r="A116" t="s">
        <v>156</v>
      </c>
      <c r="B116">
        <v>2</v>
      </c>
      <c r="C116" t="s">
        <v>430</v>
      </c>
      <c r="D116" t="s">
        <v>461</v>
      </c>
      <c r="E116" t="s">
        <v>462</v>
      </c>
      <c r="F116" t="s">
        <v>333</v>
      </c>
      <c r="G116" t="s">
        <v>463</v>
      </c>
      <c r="H116" t="s">
        <v>406</v>
      </c>
      <c r="I116" t="s">
        <v>335</v>
      </c>
      <c r="J116" t="s">
        <v>398</v>
      </c>
      <c r="K116">
        <v>1120</v>
      </c>
      <c r="L116" t="s">
        <v>332</v>
      </c>
      <c r="M116">
        <v>7</v>
      </c>
      <c r="T116">
        <v>95.2</v>
      </c>
      <c r="AA116">
        <v>0</v>
      </c>
      <c r="AB116">
        <v>17594</v>
      </c>
      <c r="AC116">
        <v>1702.4</v>
      </c>
      <c r="AI116">
        <v>0</v>
      </c>
      <c r="AJ116">
        <f t="shared" si="1"/>
        <v>1.52</v>
      </c>
      <c r="AK116">
        <v>0.57999999999999996</v>
      </c>
      <c r="AL116">
        <v>0</v>
      </c>
      <c r="AS116" t="s">
        <v>399</v>
      </c>
      <c r="AY116" t="s">
        <v>324</v>
      </c>
      <c r="BO116" t="s">
        <v>108</v>
      </c>
    </row>
    <row r="117" spans="1:70" x14ac:dyDescent="0.25">
      <c r="A117" t="s">
        <v>156</v>
      </c>
      <c r="B117">
        <v>1</v>
      </c>
      <c r="C117" t="s">
        <v>430</v>
      </c>
      <c r="D117" t="s">
        <v>461</v>
      </c>
      <c r="E117" t="s">
        <v>462</v>
      </c>
      <c r="F117" t="s">
        <v>333</v>
      </c>
      <c r="G117" t="s">
        <v>463</v>
      </c>
      <c r="H117" t="s">
        <v>408</v>
      </c>
      <c r="I117" t="s">
        <v>335</v>
      </c>
      <c r="J117" t="s">
        <v>398</v>
      </c>
      <c r="K117">
        <v>340</v>
      </c>
      <c r="L117" t="s">
        <v>332</v>
      </c>
      <c r="M117">
        <v>2</v>
      </c>
      <c r="T117">
        <v>25.84</v>
      </c>
      <c r="AA117">
        <v>0</v>
      </c>
      <c r="AB117">
        <v>17594</v>
      </c>
      <c r="AC117">
        <v>516.79999999999995</v>
      </c>
      <c r="AI117">
        <v>0</v>
      </c>
      <c r="AJ117">
        <f t="shared" si="1"/>
        <v>1.5199999999999998</v>
      </c>
      <c r="AK117">
        <v>0.57999999999999996</v>
      </c>
      <c r="AL117">
        <v>0</v>
      </c>
      <c r="AS117" t="s">
        <v>399</v>
      </c>
      <c r="AY117" t="s">
        <v>324</v>
      </c>
      <c r="BO117" t="s">
        <v>108</v>
      </c>
    </row>
    <row r="118" spans="1:70" x14ac:dyDescent="0.25">
      <c r="A118" t="s">
        <v>156</v>
      </c>
      <c r="B118">
        <v>3</v>
      </c>
      <c r="C118" t="s">
        <v>430</v>
      </c>
      <c r="D118" t="s">
        <v>461</v>
      </c>
      <c r="E118" t="s">
        <v>462</v>
      </c>
      <c r="F118" t="s">
        <v>333</v>
      </c>
      <c r="G118" t="s">
        <v>463</v>
      </c>
      <c r="H118" t="s">
        <v>409</v>
      </c>
      <c r="I118" t="s">
        <v>335</v>
      </c>
      <c r="J118" t="s">
        <v>398</v>
      </c>
      <c r="K118">
        <v>750</v>
      </c>
      <c r="L118" t="s">
        <v>332</v>
      </c>
      <c r="M118">
        <v>5</v>
      </c>
      <c r="T118">
        <v>65.25</v>
      </c>
      <c r="AA118">
        <v>0</v>
      </c>
      <c r="AB118">
        <v>17594</v>
      </c>
      <c r="AC118">
        <v>1140</v>
      </c>
      <c r="AI118">
        <v>0</v>
      </c>
      <c r="AJ118">
        <f t="shared" si="1"/>
        <v>1.52</v>
      </c>
      <c r="AK118">
        <v>0.57999999999999996</v>
      </c>
      <c r="AL118">
        <v>0</v>
      </c>
      <c r="AS118" t="s">
        <v>399</v>
      </c>
      <c r="AY118" t="s">
        <v>324</v>
      </c>
      <c r="BO118" t="s">
        <v>108</v>
      </c>
    </row>
    <row r="119" spans="1:70" x14ac:dyDescent="0.25">
      <c r="A119" t="s">
        <v>158</v>
      </c>
      <c r="B119">
        <v>1</v>
      </c>
      <c r="C119" t="s">
        <v>464</v>
      </c>
      <c r="D119" t="s">
        <v>335</v>
      </c>
      <c r="E119" t="s">
        <v>465</v>
      </c>
      <c r="F119" t="s">
        <v>335</v>
      </c>
      <c r="G119" t="s">
        <v>335</v>
      </c>
      <c r="H119" t="s">
        <v>335</v>
      </c>
      <c r="I119" t="s">
        <v>335</v>
      </c>
      <c r="J119" t="s">
        <v>398</v>
      </c>
      <c r="K119">
        <v>4</v>
      </c>
      <c r="L119" t="s">
        <v>334</v>
      </c>
      <c r="M119">
        <v>1</v>
      </c>
      <c r="T119">
        <v>0.88</v>
      </c>
      <c r="Z119">
        <v>0</v>
      </c>
      <c r="AA119">
        <v>0</v>
      </c>
      <c r="AB119">
        <v>17594</v>
      </c>
      <c r="AC119">
        <v>36.119999999999997</v>
      </c>
      <c r="AF119">
        <v>0</v>
      </c>
      <c r="AG119">
        <v>0</v>
      </c>
      <c r="AI119">
        <v>0</v>
      </c>
      <c r="AJ119">
        <f t="shared" si="1"/>
        <v>9.0299999999999994</v>
      </c>
      <c r="AK119">
        <v>0</v>
      </c>
      <c r="AL119">
        <v>0</v>
      </c>
      <c r="AM119">
        <v>0</v>
      </c>
      <c r="AN119">
        <v>0</v>
      </c>
      <c r="AS119" t="s">
        <v>399</v>
      </c>
      <c r="AY119" t="s">
        <v>324</v>
      </c>
      <c r="BJ119">
        <v>0</v>
      </c>
      <c r="BO119" t="s">
        <v>108</v>
      </c>
      <c r="BR119" t="s">
        <v>126</v>
      </c>
    </row>
    <row r="120" spans="1:70" x14ac:dyDescent="0.25">
      <c r="A120" t="s">
        <v>160</v>
      </c>
      <c r="B120">
        <v>1</v>
      </c>
      <c r="C120" t="s">
        <v>430</v>
      </c>
      <c r="D120" t="s">
        <v>466</v>
      </c>
      <c r="E120" t="s">
        <v>467</v>
      </c>
      <c r="F120" t="s">
        <v>333</v>
      </c>
      <c r="G120" t="s">
        <v>396</v>
      </c>
      <c r="H120" t="s">
        <v>409</v>
      </c>
      <c r="I120" t="s">
        <v>335</v>
      </c>
      <c r="J120" t="s">
        <v>398</v>
      </c>
      <c r="K120">
        <v>3</v>
      </c>
      <c r="L120" t="s">
        <v>332</v>
      </c>
      <c r="M120">
        <v>1</v>
      </c>
      <c r="T120">
        <v>0.54</v>
      </c>
      <c r="AA120">
        <v>0</v>
      </c>
      <c r="AB120">
        <v>17594</v>
      </c>
      <c r="AC120">
        <v>8.31</v>
      </c>
      <c r="AI120">
        <v>0</v>
      </c>
      <c r="AJ120">
        <f t="shared" si="1"/>
        <v>2.77</v>
      </c>
      <c r="AK120">
        <v>1.05</v>
      </c>
      <c r="AL120">
        <v>0</v>
      </c>
      <c r="AS120" t="s">
        <v>399</v>
      </c>
      <c r="AY120" t="s">
        <v>324</v>
      </c>
      <c r="BO120" t="s">
        <v>108</v>
      </c>
    </row>
    <row r="121" spans="1:70" x14ac:dyDescent="0.25">
      <c r="A121" t="s">
        <v>160</v>
      </c>
      <c r="B121">
        <v>2</v>
      </c>
      <c r="C121" t="s">
        <v>430</v>
      </c>
      <c r="D121" t="s">
        <v>466</v>
      </c>
      <c r="E121" t="s">
        <v>467</v>
      </c>
      <c r="F121" t="s">
        <v>333</v>
      </c>
      <c r="G121" t="s">
        <v>396</v>
      </c>
      <c r="H121" t="s">
        <v>402</v>
      </c>
      <c r="I121" t="s">
        <v>335</v>
      </c>
      <c r="J121" t="s">
        <v>398</v>
      </c>
      <c r="K121">
        <v>1</v>
      </c>
      <c r="L121" t="s">
        <v>332</v>
      </c>
      <c r="M121">
        <v>1</v>
      </c>
      <c r="T121">
        <v>0.12</v>
      </c>
      <c r="AA121">
        <v>0</v>
      </c>
      <c r="AB121">
        <v>17594</v>
      </c>
      <c r="AC121">
        <v>2.77</v>
      </c>
      <c r="AI121">
        <v>0</v>
      </c>
      <c r="AJ121">
        <f t="shared" si="1"/>
        <v>2.77</v>
      </c>
      <c r="AK121">
        <v>1.05</v>
      </c>
      <c r="AL121">
        <v>0</v>
      </c>
      <c r="AS121" t="s">
        <v>399</v>
      </c>
      <c r="AY121" t="s">
        <v>324</v>
      </c>
      <c r="BO121" t="s">
        <v>108</v>
      </c>
    </row>
    <row r="122" spans="1:70" x14ac:dyDescent="0.25">
      <c r="A122" t="s">
        <v>160</v>
      </c>
      <c r="B122">
        <v>3</v>
      </c>
      <c r="C122" t="s">
        <v>430</v>
      </c>
      <c r="D122" t="s">
        <v>466</v>
      </c>
      <c r="E122" t="s">
        <v>467</v>
      </c>
      <c r="F122" t="s">
        <v>333</v>
      </c>
      <c r="G122" t="s">
        <v>396</v>
      </c>
      <c r="H122" t="s">
        <v>407</v>
      </c>
      <c r="I122" t="s">
        <v>335</v>
      </c>
      <c r="J122" t="s">
        <v>398</v>
      </c>
      <c r="K122">
        <v>2</v>
      </c>
      <c r="L122" t="s">
        <v>332</v>
      </c>
      <c r="M122">
        <v>1</v>
      </c>
      <c r="T122">
        <v>0.26</v>
      </c>
      <c r="AA122">
        <v>0</v>
      </c>
      <c r="AB122">
        <v>17594</v>
      </c>
      <c r="AC122">
        <v>5.54</v>
      </c>
      <c r="AI122">
        <v>0</v>
      </c>
      <c r="AJ122">
        <f t="shared" si="1"/>
        <v>2.77</v>
      </c>
      <c r="AK122">
        <v>1.05</v>
      </c>
      <c r="AL122">
        <v>0</v>
      </c>
      <c r="AS122" t="s">
        <v>399</v>
      </c>
      <c r="AY122" t="s">
        <v>324</v>
      </c>
      <c r="BO122" t="s">
        <v>108</v>
      </c>
    </row>
    <row r="123" spans="1:70" x14ac:dyDescent="0.25">
      <c r="A123" t="s">
        <v>160</v>
      </c>
      <c r="B123">
        <v>8</v>
      </c>
      <c r="C123" t="s">
        <v>430</v>
      </c>
      <c r="D123" t="s">
        <v>466</v>
      </c>
      <c r="E123" t="s">
        <v>468</v>
      </c>
      <c r="F123" t="s">
        <v>333</v>
      </c>
      <c r="G123" t="s">
        <v>396</v>
      </c>
      <c r="H123" t="s">
        <v>408</v>
      </c>
      <c r="I123" t="s">
        <v>335</v>
      </c>
      <c r="J123" t="s">
        <v>398</v>
      </c>
      <c r="K123">
        <v>2</v>
      </c>
      <c r="L123" t="s">
        <v>332</v>
      </c>
      <c r="M123">
        <v>1</v>
      </c>
      <c r="T123">
        <v>0.3</v>
      </c>
      <c r="AA123">
        <v>0</v>
      </c>
      <c r="AB123">
        <v>17594</v>
      </c>
      <c r="AC123">
        <v>5.54</v>
      </c>
      <c r="AI123">
        <v>0</v>
      </c>
      <c r="AJ123">
        <f t="shared" si="1"/>
        <v>2.77</v>
      </c>
      <c r="AK123">
        <v>1.05</v>
      </c>
      <c r="AL123">
        <v>0</v>
      </c>
      <c r="AS123" t="s">
        <v>399</v>
      </c>
      <c r="AY123" t="s">
        <v>324</v>
      </c>
      <c r="BO123" t="s">
        <v>108</v>
      </c>
    </row>
    <row r="124" spans="1:70" x14ac:dyDescent="0.25">
      <c r="A124" t="s">
        <v>160</v>
      </c>
      <c r="B124">
        <v>9</v>
      </c>
      <c r="C124" t="s">
        <v>430</v>
      </c>
      <c r="D124" t="s">
        <v>466</v>
      </c>
      <c r="E124" t="s">
        <v>468</v>
      </c>
      <c r="F124" t="s">
        <v>333</v>
      </c>
      <c r="G124" t="s">
        <v>396</v>
      </c>
      <c r="H124" t="s">
        <v>406</v>
      </c>
      <c r="I124" t="s">
        <v>335</v>
      </c>
      <c r="J124" t="s">
        <v>398</v>
      </c>
      <c r="K124">
        <v>4</v>
      </c>
      <c r="L124" t="s">
        <v>332</v>
      </c>
      <c r="M124">
        <v>1</v>
      </c>
      <c r="T124">
        <v>0.64</v>
      </c>
      <c r="AA124">
        <v>0</v>
      </c>
      <c r="AB124">
        <v>17594</v>
      </c>
      <c r="AC124">
        <v>11.08</v>
      </c>
      <c r="AI124">
        <v>0</v>
      </c>
      <c r="AJ124">
        <f t="shared" si="1"/>
        <v>2.77</v>
      </c>
      <c r="AK124">
        <v>1.05</v>
      </c>
      <c r="AL124">
        <v>0</v>
      </c>
      <c r="AS124" t="s">
        <v>399</v>
      </c>
      <c r="AY124" t="s">
        <v>324</v>
      </c>
      <c r="BO124" t="s">
        <v>108</v>
      </c>
    </row>
    <row r="125" spans="1:70" x14ac:dyDescent="0.25">
      <c r="A125" t="s">
        <v>160</v>
      </c>
      <c r="B125">
        <v>10</v>
      </c>
      <c r="C125" t="s">
        <v>430</v>
      </c>
      <c r="D125" t="s">
        <v>466</v>
      </c>
      <c r="E125" t="s">
        <v>468</v>
      </c>
      <c r="F125" t="s">
        <v>333</v>
      </c>
      <c r="G125" t="s">
        <v>396</v>
      </c>
      <c r="H125" t="s">
        <v>409</v>
      </c>
      <c r="I125" t="s">
        <v>335</v>
      </c>
      <c r="J125" t="s">
        <v>398</v>
      </c>
      <c r="K125">
        <v>3</v>
      </c>
      <c r="L125" t="s">
        <v>332</v>
      </c>
      <c r="M125">
        <v>1</v>
      </c>
      <c r="T125">
        <v>0.54</v>
      </c>
      <c r="AA125">
        <v>0</v>
      </c>
      <c r="AB125">
        <v>17594</v>
      </c>
      <c r="AC125">
        <v>8.31</v>
      </c>
      <c r="AI125">
        <v>0</v>
      </c>
      <c r="AJ125">
        <f t="shared" si="1"/>
        <v>2.77</v>
      </c>
      <c r="AK125">
        <v>1.05</v>
      </c>
      <c r="AL125">
        <v>0</v>
      </c>
      <c r="AS125" t="s">
        <v>399</v>
      </c>
      <c r="AY125" t="s">
        <v>324</v>
      </c>
      <c r="BO125" t="s">
        <v>108</v>
      </c>
    </row>
    <row r="126" spans="1:70" x14ac:dyDescent="0.25">
      <c r="A126" t="s">
        <v>160</v>
      </c>
      <c r="B126">
        <v>7</v>
      </c>
      <c r="C126" t="s">
        <v>430</v>
      </c>
      <c r="D126" t="s">
        <v>466</v>
      </c>
      <c r="E126" t="s">
        <v>468</v>
      </c>
      <c r="F126" t="s">
        <v>333</v>
      </c>
      <c r="G126" t="s">
        <v>396</v>
      </c>
      <c r="H126" t="s">
        <v>407</v>
      </c>
      <c r="I126" t="s">
        <v>335</v>
      </c>
      <c r="J126" t="s">
        <v>398</v>
      </c>
      <c r="K126">
        <v>2</v>
      </c>
      <c r="L126" t="s">
        <v>332</v>
      </c>
      <c r="M126">
        <v>1</v>
      </c>
      <c r="T126">
        <v>0.26</v>
      </c>
      <c r="AA126">
        <v>0</v>
      </c>
      <c r="AB126">
        <v>17594</v>
      </c>
      <c r="AC126">
        <v>5.54</v>
      </c>
      <c r="AI126">
        <v>0</v>
      </c>
      <c r="AJ126">
        <f t="shared" si="1"/>
        <v>2.77</v>
      </c>
      <c r="AK126">
        <v>1.05</v>
      </c>
      <c r="AL126">
        <v>0</v>
      </c>
      <c r="AS126" t="s">
        <v>399</v>
      </c>
      <c r="AY126" t="s">
        <v>324</v>
      </c>
      <c r="BO126" t="s">
        <v>108</v>
      </c>
    </row>
    <row r="127" spans="1:70" x14ac:dyDescent="0.25">
      <c r="A127" t="s">
        <v>160</v>
      </c>
      <c r="B127">
        <v>4</v>
      </c>
      <c r="C127" t="s">
        <v>430</v>
      </c>
      <c r="D127" t="s">
        <v>466</v>
      </c>
      <c r="E127" t="s">
        <v>467</v>
      </c>
      <c r="F127" t="s">
        <v>333</v>
      </c>
      <c r="G127" t="s">
        <v>396</v>
      </c>
      <c r="H127" t="s">
        <v>408</v>
      </c>
      <c r="I127" t="s">
        <v>335</v>
      </c>
      <c r="J127" t="s">
        <v>398</v>
      </c>
      <c r="K127">
        <v>2</v>
      </c>
      <c r="L127" t="s">
        <v>332</v>
      </c>
      <c r="M127">
        <v>1</v>
      </c>
      <c r="T127">
        <v>0.3</v>
      </c>
      <c r="AA127">
        <v>0</v>
      </c>
      <c r="AB127">
        <v>17594</v>
      </c>
      <c r="AC127">
        <v>5.54</v>
      </c>
      <c r="AI127">
        <v>0</v>
      </c>
      <c r="AJ127">
        <f t="shared" si="1"/>
        <v>2.77</v>
      </c>
      <c r="AK127">
        <v>1.05</v>
      </c>
      <c r="AL127">
        <v>0</v>
      </c>
      <c r="AS127" t="s">
        <v>399</v>
      </c>
      <c r="AY127" t="s">
        <v>324</v>
      </c>
      <c r="BO127" t="s">
        <v>108</v>
      </c>
    </row>
    <row r="128" spans="1:70" x14ac:dyDescent="0.25">
      <c r="A128" t="s">
        <v>160</v>
      </c>
      <c r="B128">
        <v>5</v>
      </c>
      <c r="C128" t="s">
        <v>430</v>
      </c>
      <c r="D128" t="s">
        <v>466</v>
      </c>
      <c r="E128" t="s">
        <v>467</v>
      </c>
      <c r="F128" t="s">
        <v>333</v>
      </c>
      <c r="G128" t="s">
        <v>396</v>
      </c>
      <c r="H128" t="s">
        <v>406</v>
      </c>
      <c r="I128" t="s">
        <v>335</v>
      </c>
      <c r="J128" t="s">
        <v>398</v>
      </c>
      <c r="K128">
        <v>4</v>
      </c>
      <c r="L128" t="s">
        <v>332</v>
      </c>
      <c r="M128">
        <v>1</v>
      </c>
      <c r="T128">
        <v>0.64</v>
      </c>
      <c r="AA128">
        <v>0</v>
      </c>
      <c r="AB128">
        <v>17594</v>
      </c>
      <c r="AC128">
        <v>11.08</v>
      </c>
      <c r="AI128">
        <v>0</v>
      </c>
      <c r="AJ128">
        <f t="shared" si="1"/>
        <v>2.77</v>
      </c>
      <c r="AK128">
        <v>1.05</v>
      </c>
      <c r="AL128">
        <v>0</v>
      </c>
      <c r="AS128" t="s">
        <v>399</v>
      </c>
      <c r="AY128" t="s">
        <v>324</v>
      </c>
      <c r="BO128" t="s">
        <v>108</v>
      </c>
    </row>
    <row r="129" spans="1:70" x14ac:dyDescent="0.25">
      <c r="A129" t="s">
        <v>160</v>
      </c>
      <c r="B129">
        <v>6</v>
      </c>
      <c r="C129" t="s">
        <v>430</v>
      </c>
      <c r="D129" t="s">
        <v>466</v>
      </c>
      <c r="E129" t="s">
        <v>468</v>
      </c>
      <c r="F129" t="s">
        <v>333</v>
      </c>
      <c r="G129" t="s">
        <v>396</v>
      </c>
      <c r="H129" t="s">
        <v>402</v>
      </c>
      <c r="I129" t="s">
        <v>335</v>
      </c>
      <c r="J129" t="s">
        <v>398</v>
      </c>
      <c r="K129">
        <v>1</v>
      </c>
      <c r="L129" t="s">
        <v>332</v>
      </c>
      <c r="M129">
        <v>1</v>
      </c>
      <c r="T129">
        <v>0.12</v>
      </c>
      <c r="AA129">
        <v>0</v>
      </c>
      <c r="AB129">
        <v>17594</v>
      </c>
      <c r="AC129">
        <v>2.77</v>
      </c>
      <c r="AI129">
        <v>0</v>
      </c>
      <c r="AJ129">
        <f t="shared" si="1"/>
        <v>2.77</v>
      </c>
      <c r="AK129">
        <v>1.05</v>
      </c>
      <c r="AL129">
        <v>0</v>
      </c>
      <c r="AS129" t="s">
        <v>399</v>
      </c>
      <c r="AY129" t="s">
        <v>324</v>
      </c>
      <c r="BO129" t="s">
        <v>108</v>
      </c>
    </row>
    <row r="130" spans="1:70" x14ac:dyDescent="0.25">
      <c r="A130" t="s">
        <v>162</v>
      </c>
      <c r="B130">
        <v>1</v>
      </c>
      <c r="C130" t="s">
        <v>464</v>
      </c>
      <c r="D130" t="s">
        <v>335</v>
      </c>
      <c r="E130" t="s">
        <v>469</v>
      </c>
      <c r="F130" t="s">
        <v>335</v>
      </c>
      <c r="G130" t="s">
        <v>335</v>
      </c>
      <c r="H130" t="s">
        <v>335</v>
      </c>
      <c r="I130" t="s">
        <v>335</v>
      </c>
      <c r="J130" t="s">
        <v>398</v>
      </c>
      <c r="K130">
        <v>5</v>
      </c>
      <c r="L130" t="s">
        <v>332</v>
      </c>
      <c r="M130">
        <v>1</v>
      </c>
      <c r="T130">
        <v>1.26</v>
      </c>
      <c r="Z130">
        <v>0</v>
      </c>
      <c r="AA130">
        <v>0</v>
      </c>
      <c r="AB130">
        <v>17594</v>
      </c>
      <c r="AC130">
        <v>47.88</v>
      </c>
      <c r="AF130">
        <v>0</v>
      </c>
      <c r="AG130">
        <v>0</v>
      </c>
      <c r="AH130">
        <v>0</v>
      </c>
      <c r="AI130">
        <v>0</v>
      </c>
      <c r="AJ130">
        <f t="shared" si="1"/>
        <v>9.5760000000000005</v>
      </c>
      <c r="AK130">
        <v>0</v>
      </c>
      <c r="AM130">
        <v>0</v>
      </c>
      <c r="AN130">
        <v>0</v>
      </c>
      <c r="AS130" t="s">
        <v>399</v>
      </c>
      <c r="AY130" t="s">
        <v>324</v>
      </c>
      <c r="BJ130">
        <v>0</v>
      </c>
      <c r="BO130" t="s">
        <v>108</v>
      </c>
      <c r="BR130" t="s">
        <v>126</v>
      </c>
    </row>
    <row r="131" spans="1:70" x14ac:dyDescent="0.25">
      <c r="A131" t="s">
        <v>166</v>
      </c>
      <c r="B131">
        <v>4</v>
      </c>
      <c r="C131" t="s">
        <v>430</v>
      </c>
      <c r="D131" t="s">
        <v>470</v>
      </c>
      <c r="E131" t="s">
        <v>471</v>
      </c>
      <c r="F131" t="s">
        <v>333</v>
      </c>
      <c r="G131" t="s">
        <v>472</v>
      </c>
      <c r="H131" t="s">
        <v>408</v>
      </c>
      <c r="I131" t="s">
        <v>335</v>
      </c>
      <c r="J131" t="s">
        <v>398</v>
      </c>
      <c r="K131">
        <v>116</v>
      </c>
      <c r="L131" t="s">
        <v>332</v>
      </c>
      <c r="M131">
        <v>2</v>
      </c>
      <c r="T131">
        <v>4.55</v>
      </c>
      <c r="AA131">
        <v>0</v>
      </c>
      <c r="AB131">
        <v>17594</v>
      </c>
      <c r="AC131">
        <v>228.52</v>
      </c>
      <c r="AI131">
        <v>0</v>
      </c>
      <c r="AJ131">
        <f t="shared" ref="AJ131:AJ153" si="2">+AC131/K131</f>
        <v>1.9700000000000002</v>
      </c>
      <c r="AK131">
        <v>0.81</v>
      </c>
      <c r="AL131">
        <v>0</v>
      </c>
      <c r="AS131" t="s">
        <v>399</v>
      </c>
      <c r="AY131" t="s">
        <v>324</v>
      </c>
      <c r="BO131" t="s">
        <v>108</v>
      </c>
    </row>
    <row r="132" spans="1:70" x14ac:dyDescent="0.25">
      <c r="A132" t="s">
        <v>166</v>
      </c>
      <c r="B132">
        <v>1</v>
      </c>
      <c r="C132" t="s">
        <v>430</v>
      </c>
      <c r="D132" t="s">
        <v>470</v>
      </c>
      <c r="E132" t="s">
        <v>471</v>
      </c>
      <c r="F132" t="s">
        <v>333</v>
      </c>
      <c r="G132" t="s">
        <v>472</v>
      </c>
      <c r="H132" t="s">
        <v>409</v>
      </c>
      <c r="I132" t="s">
        <v>335</v>
      </c>
      <c r="J132" t="s">
        <v>398</v>
      </c>
      <c r="K132">
        <v>90</v>
      </c>
      <c r="L132" t="s">
        <v>332</v>
      </c>
      <c r="M132">
        <v>1</v>
      </c>
      <c r="T132">
        <v>2.04</v>
      </c>
      <c r="AA132">
        <v>0</v>
      </c>
      <c r="AB132">
        <v>17594</v>
      </c>
      <c r="AC132">
        <v>177.3</v>
      </c>
      <c r="AI132">
        <v>0</v>
      </c>
      <c r="AJ132">
        <f t="shared" si="2"/>
        <v>1.9700000000000002</v>
      </c>
      <c r="AK132">
        <v>0.81</v>
      </c>
      <c r="AL132">
        <v>0</v>
      </c>
      <c r="AS132" t="s">
        <v>399</v>
      </c>
      <c r="AY132" t="s">
        <v>324</v>
      </c>
      <c r="BO132" t="s">
        <v>108</v>
      </c>
    </row>
    <row r="133" spans="1:70" x14ac:dyDescent="0.25">
      <c r="A133" t="s">
        <v>166</v>
      </c>
      <c r="B133">
        <v>2</v>
      </c>
      <c r="C133" t="s">
        <v>430</v>
      </c>
      <c r="D133" t="s">
        <v>470</v>
      </c>
      <c r="E133" t="s">
        <v>471</v>
      </c>
      <c r="F133" t="s">
        <v>333</v>
      </c>
      <c r="G133" t="s">
        <v>472</v>
      </c>
      <c r="H133" t="s">
        <v>402</v>
      </c>
      <c r="I133" t="s">
        <v>335</v>
      </c>
      <c r="J133" t="s">
        <v>398</v>
      </c>
      <c r="K133">
        <v>30</v>
      </c>
      <c r="L133" t="s">
        <v>332</v>
      </c>
      <c r="M133">
        <v>2</v>
      </c>
      <c r="T133">
        <v>16.22</v>
      </c>
      <c r="AA133">
        <v>0</v>
      </c>
      <c r="AB133">
        <v>17594</v>
      </c>
      <c r="AC133">
        <v>59.1</v>
      </c>
      <c r="AI133">
        <v>0</v>
      </c>
      <c r="AJ133">
        <f t="shared" si="2"/>
        <v>1.97</v>
      </c>
      <c r="AK133">
        <v>0.81</v>
      </c>
      <c r="AL133">
        <v>0</v>
      </c>
      <c r="AS133" t="s">
        <v>399</v>
      </c>
      <c r="AY133" t="s">
        <v>324</v>
      </c>
      <c r="BO133" t="s">
        <v>108</v>
      </c>
    </row>
    <row r="134" spans="1:70" x14ac:dyDescent="0.25">
      <c r="A134" t="s">
        <v>166</v>
      </c>
      <c r="B134">
        <v>3</v>
      </c>
      <c r="C134" t="s">
        <v>430</v>
      </c>
      <c r="D134" t="s">
        <v>470</v>
      </c>
      <c r="E134" t="s">
        <v>471</v>
      </c>
      <c r="F134" t="s">
        <v>333</v>
      </c>
      <c r="G134" t="s">
        <v>472</v>
      </c>
      <c r="H134" t="s">
        <v>407</v>
      </c>
      <c r="I134" t="s">
        <v>335</v>
      </c>
      <c r="J134" t="s">
        <v>398</v>
      </c>
      <c r="K134">
        <v>107</v>
      </c>
      <c r="L134" t="s">
        <v>332</v>
      </c>
      <c r="M134">
        <v>1</v>
      </c>
      <c r="T134">
        <v>2.86</v>
      </c>
      <c r="AA134">
        <v>0</v>
      </c>
      <c r="AB134">
        <v>17594</v>
      </c>
      <c r="AC134">
        <v>210.79</v>
      </c>
      <c r="AI134">
        <v>0</v>
      </c>
      <c r="AJ134">
        <f t="shared" si="2"/>
        <v>1.97</v>
      </c>
      <c r="AK134">
        <v>0.81</v>
      </c>
      <c r="AL134">
        <v>0</v>
      </c>
      <c r="AS134" t="s">
        <v>399</v>
      </c>
      <c r="AY134" t="s">
        <v>324</v>
      </c>
      <c r="BO134" t="s">
        <v>108</v>
      </c>
    </row>
    <row r="135" spans="1:70" x14ac:dyDescent="0.25">
      <c r="A135" t="s">
        <v>166</v>
      </c>
      <c r="B135">
        <v>5</v>
      </c>
      <c r="C135" t="s">
        <v>430</v>
      </c>
      <c r="D135" t="s">
        <v>470</v>
      </c>
      <c r="E135" t="s">
        <v>471</v>
      </c>
      <c r="F135" t="s">
        <v>333</v>
      </c>
      <c r="G135" t="s">
        <v>472</v>
      </c>
      <c r="H135" t="s">
        <v>406</v>
      </c>
      <c r="I135" t="s">
        <v>335</v>
      </c>
      <c r="J135" t="s">
        <v>398</v>
      </c>
      <c r="K135">
        <v>116</v>
      </c>
      <c r="L135" t="s">
        <v>332</v>
      </c>
      <c r="M135">
        <v>3</v>
      </c>
      <c r="T135">
        <v>6.8250000000000002</v>
      </c>
      <c r="AA135">
        <v>0</v>
      </c>
      <c r="AB135">
        <v>17594</v>
      </c>
      <c r="AC135">
        <v>228.52</v>
      </c>
      <c r="AI135">
        <v>0</v>
      </c>
      <c r="AJ135">
        <f t="shared" si="2"/>
        <v>1.9700000000000002</v>
      </c>
      <c r="AK135">
        <v>0.81</v>
      </c>
      <c r="AL135">
        <v>0</v>
      </c>
      <c r="AS135" t="s">
        <v>399</v>
      </c>
      <c r="AY135" t="s">
        <v>324</v>
      </c>
      <c r="BO135" t="s">
        <v>108</v>
      </c>
    </row>
    <row r="136" spans="1:70" x14ac:dyDescent="0.25">
      <c r="A136" t="s">
        <v>168</v>
      </c>
      <c r="B136">
        <v>5</v>
      </c>
      <c r="C136" t="s">
        <v>430</v>
      </c>
      <c r="D136" t="s">
        <v>473</v>
      </c>
      <c r="E136" t="s">
        <v>474</v>
      </c>
      <c r="F136" t="s">
        <v>333</v>
      </c>
      <c r="G136" t="s">
        <v>472</v>
      </c>
      <c r="H136" t="s">
        <v>407</v>
      </c>
      <c r="I136" t="s">
        <v>335</v>
      </c>
      <c r="J136" t="s">
        <v>398</v>
      </c>
      <c r="K136">
        <v>115</v>
      </c>
      <c r="L136" t="s">
        <v>332</v>
      </c>
      <c r="M136">
        <v>1</v>
      </c>
      <c r="T136">
        <v>5.52</v>
      </c>
      <c r="AA136">
        <v>0</v>
      </c>
      <c r="AB136">
        <v>17594</v>
      </c>
      <c r="AC136">
        <v>226.55</v>
      </c>
      <c r="AI136">
        <v>0</v>
      </c>
      <c r="AJ136">
        <f t="shared" si="2"/>
        <v>1.9700000000000002</v>
      </c>
      <c r="AK136">
        <v>0.81</v>
      </c>
      <c r="AL136">
        <v>0</v>
      </c>
      <c r="AS136" t="s">
        <v>399</v>
      </c>
      <c r="AY136" t="s">
        <v>324</v>
      </c>
      <c r="BO136" t="s">
        <v>108</v>
      </c>
    </row>
    <row r="137" spans="1:70" x14ac:dyDescent="0.25">
      <c r="A137" t="s">
        <v>168</v>
      </c>
      <c r="B137">
        <v>3</v>
      </c>
      <c r="C137" t="s">
        <v>430</v>
      </c>
      <c r="D137" t="s">
        <v>473</v>
      </c>
      <c r="E137" t="s">
        <v>474</v>
      </c>
      <c r="F137" t="s">
        <v>333</v>
      </c>
      <c r="G137" t="s">
        <v>472</v>
      </c>
      <c r="H137" t="s">
        <v>409</v>
      </c>
      <c r="I137" t="s">
        <v>335</v>
      </c>
      <c r="J137" t="s">
        <v>398</v>
      </c>
      <c r="K137">
        <v>83</v>
      </c>
      <c r="L137" t="s">
        <v>332</v>
      </c>
      <c r="M137">
        <v>1</v>
      </c>
      <c r="T137">
        <v>3.87</v>
      </c>
      <c r="AA137">
        <v>0</v>
      </c>
      <c r="AB137">
        <v>17594</v>
      </c>
      <c r="AC137">
        <v>163.51</v>
      </c>
      <c r="AI137">
        <v>0</v>
      </c>
      <c r="AJ137">
        <f t="shared" si="2"/>
        <v>1.97</v>
      </c>
      <c r="AK137">
        <v>0.81</v>
      </c>
      <c r="AL137">
        <v>0</v>
      </c>
      <c r="AS137" t="s">
        <v>399</v>
      </c>
      <c r="AY137" t="s">
        <v>324</v>
      </c>
      <c r="BO137" t="s">
        <v>108</v>
      </c>
    </row>
    <row r="138" spans="1:70" x14ac:dyDescent="0.25">
      <c r="A138" t="s">
        <v>168</v>
      </c>
      <c r="B138">
        <v>4</v>
      </c>
      <c r="C138" t="s">
        <v>430</v>
      </c>
      <c r="D138" t="s">
        <v>473</v>
      </c>
      <c r="E138" t="s">
        <v>474</v>
      </c>
      <c r="F138" t="s">
        <v>333</v>
      </c>
      <c r="G138" t="s">
        <v>472</v>
      </c>
      <c r="H138" t="s">
        <v>402</v>
      </c>
      <c r="I138" t="s">
        <v>335</v>
      </c>
      <c r="J138" t="s">
        <v>398</v>
      </c>
      <c r="K138">
        <v>31</v>
      </c>
      <c r="L138" t="s">
        <v>332</v>
      </c>
      <c r="M138">
        <v>1</v>
      </c>
      <c r="T138">
        <v>14.734999999999999</v>
      </c>
      <c r="AA138">
        <v>0</v>
      </c>
      <c r="AB138">
        <v>17594</v>
      </c>
      <c r="AC138">
        <v>61.07</v>
      </c>
      <c r="AI138">
        <v>0</v>
      </c>
      <c r="AJ138">
        <f t="shared" si="2"/>
        <v>1.97</v>
      </c>
      <c r="AK138">
        <v>0.81</v>
      </c>
      <c r="AL138">
        <v>0</v>
      </c>
      <c r="AS138" t="s">
        <v>399</v>
      </c>
      <c r="AY138" t="s">
        <v>324</v>
      </c>
      <c r="BO138" t="s">
        <v>108</v>
      </c>
    </row>
    <row r="139" spans="1:70" x14ac:dyDescent="0.25">
      <c r="A139" t="s">
        <v>168</v>
      </c>
      <c r="B139">
        <v>6</v>
      </c>
      <c r="C139" t="s">
        <v>430</v>
      </c>
      <c r="D139" t="s">
        <v>473</v>
      </c>
      <c r="E139" t="s">
        <v>474</v>
      </c>
      <c r="F139" t="s">
        <v>333</v>
      </c>
      <c r="G139" t="s">
        <v>472</v>
      </c>
      <c r="H139" t="s">
        <v>403</v>
      </c>
      <c r="I139" t="s">
        <v>335</v>
      </c>
      <c r="J139" t="s">
        <v>398</v>
      </c>
      <c r="K139">
        <v>29</v>
      </c>
      <c r="L139" t="s">
        <v>332</v>
      </c>
      <c r="M139">
        <v>0</v>
      </c>
      <c r="T139">
        <v>0</v>
      </c>
      <c r="AA139">
        <v>0</v>
      </c>
      <c r="AB139">
        <v>17594</v>
      </c>
      <c r="AC139">
        <v>57.13</v>
      </c>
      <c r="AI139">
        <v>0</v>
      </c>
      <c r="AJ139">
        <f t="shared" si="2"/>
        <v>1.9700000000000002</v>
      </c>
      <c r="AK139">
        <v>0.81</v>
      </c>
      <c r="AL139">
        <v>0</v>
      </c>
      <c r="AS139" t="s">
        <v>399</v>
      </c>
      <c r="AY139" t="s">
        <v>324</v>
      </c>
      <c r="BO139" t="s">
        <v>108</v>
      </c>
    </row>
    <row r="140" spans="1:70" x14ac:dyDescent="0.25">
      <c r="A140" t="s">
        <v>168</v>
      </c>
      <c r="B140">
        <v>7</v>
      </c>
      <c r="C140" t="s">
        <v>430</v>
      </c>
      <c r="D140" t="s">
        <v>473</v>
      </c>
      <c r="E140" t="s">
        <v>474</v>
      </c>
      <c r="F140" t="s">
        <v>333</v>
      </c>
      <c r="G140" t="s">
        <v>472</v>
      </c>
      <c r="H140" t="s">
        <v>397</v>
      </c>
      <c r="I140" t="s">
        <v>335</v>
      </c>
      <c r="J140" t="s">
        <v>398</v>
      </c>
      <c r="K140">
        <v>9</v>
      </c>
      <c r="L140" t="s">
        <v>332</v>
      </c>
      <c r="M140">
        <v>0</v>
      </c>
      <c r="T140">
        <v>0</v>
      </c>
      <c r="AA140">
        <v>0</v>
      </c>
      <c r="AB140">
        <v>17594</v>
      </c>
      <c r="AC140">
        <v>17.73</v>
      </c>
      <c r="AI140">
        <v>0</v>
      </c>
      <c r="AJ140">
        <f t="shared" si="2"/>
        <v>1.97</v>
      </c>
      <c r="AK140">
        <v>0.81</v>
      </c>
      <c r="AL140">
        <v>0</v>
      </c>
      <c r="AS140" t="s">
        <v>399</v>
      </c>
      <c r="AY140" t="s">
        <v>324</v>
      </c>
      <c r="BO140" t="s">
        <v>108</v>
      </c>
    </row>
    <row r="141" spans="1:70" x14ac:dyDescent="0.25">
      <c r="A141" t="s">
        <v>168</v>
      </c>
      <c r="B141">
        <v>8</v>
      </c>
      <c r="C141" t="s">
        <v>430</v>
      </c>
      <c r="D141" t="s">
        <v>473</v>
      </c>
      <c r="E141" t="s">
        <v>474</v>
      </c>
      <c r="F141" t="s">
        <v>333</v>
      </c>
      <c r="G141" t="s">
        <v>472</v>
      </c>
      <c r="H141" t="s">
        <v>400</v>
      </c>
      <c r="I141" t="s">
        <v>335</v>
      </c>
      <c r="J141" t="s">
        <v>398</v>
      </c>
      <c r="K141">
        <v>13</v>
      </c>
      <c r="L141" t="s">
        <v>332</v>
      </c>
      <c r="M141">
        <v>0</v>
      </c>
      <c r="T141">
        <v>0</v>
      </c>
      <c r="AA141">
        <v>0</v>
      </c>
      <c r="AB141">
        <v>17594</v>
      </c>
      <c r="AC141">
        <v>25.61</v>
      </c>
      <c r="AI141">
        <v>0</v>
      </c>
      <c r="AJ141">
        <f t="shared" si="2"/>
        <v>1.97</v>
      </c>
      <c r="AK141">
        <v>0.81</v>
      </c>
      <c r="AL141">
        <v>0</v>
      </c>
      <c r="AS141" t="s">
        <v>399</v>
      </c>
      <c r="AY141" t="s">
        <v>324</v>
      </c>
      <c r="BO141" t="s">
        <v>108</v>
      </c>
    </row>
    <row r="142" spans="1:70" x14ac:dyDescent="0.25">
      <c r="A142" t="s">
        <v>168</v>
      </c>
      <c r="B142">
        <v>9</v>
      </c>
      <c r="C142" t="s">
        <v>430</v>
      </c>
      <c r="D142" t="s">
        <v>473</v>
      </c>
      <c r="E142" t="s">
        <v>474</v>
      </c>
      <c r="F142" t="s">
        <v>333</v>
      </c>
      <c r="G142" t="s">
        <v>472</v>
      </c>
      <c r="H142" t="s">
        <v>404</v>
      </c>
      <c r="I142" t="s">
        <v>335</v>
      </c>
      <c r="J142" t="s">
        <v>398</v>
      </c>
      <c r="K142">
        <v>15</v>
      </c>
      <c r="L142" t="s">
        <v>332</v>
      </c>
      <c r="M142">
        <v>0</v>
      </c>
      <c r="T142">
        <v>0</v>
      </c>
      <c r="AA142">
        <v>0</v>
      </c>
      <c r="AB142">
        <v>17594</v>
      </c>
      <c r="AC142">
        <v>29.55</v>
      </c>
      <c r="AI142">
        <v>0</v>
      </c>
      <c r="AJ142">
        <f t="shared" si="2"/>
        <v>1.97</v>
      </c>
      <c r="AK142">
        <v>0.81</v>
      </c>
      <c r="AL142">
        <v>0</v>
      </c>
      <c r="AS142" t="s">
        <v>399</v>
      </c>
      <c r="AY142" t="s">
        <v>324</v>
      </c>
      <c r="BO142" t="s">
        <v>108</v>
      </c>
    </row>
    <row r="143" spans="1:70" x14ac:dyDescent="0.25">
      <c r="A143" t="s">
        <v>168</v>
      </c>
      <c r="B143">
        <v>1</v>
      </c>
      <c r="C143" t="s">
        <v>430</v>
      </c>
      <c r="D143" t="s">
        <v>473</v>
      </c>
      <c r="E143" t="s">
        <v>474</v>
      </c>
      <c r="F143" t="s">
        <v>333</v>
      </c>
      <c r="G143" t="s">
        <v>472</v>
      </c>
      <c r="H143" t="s">
        <v>408</v>
      </c>
      <c r="I143" t="s">
        <v>335</v>
      </c>
      <c r="J143" t="s">
        <v>398</v>
      </c>
      <c r="K143">
        <v>133</v>
      </c>
      <c r="L143" t="s">
        <v>332</v>
      </c>
      <c r="M143">
        <v>2</v>
      </c>
      <c r="T143">
        <v>8.06</v>
      </c>
      <c r="AA143">
        <v>0</v>
      </c>
      <c r="AB143">
        <v>17594</v>
      </c>
      <c r="AC143">
        <v>262.01</v>
      </c>
      <c r="AI143">
        <v>0</v>
      </c>
      <c r="AJ143">
        <f t="shared" si="2"/>
        <v>1.97</v>
      </c>
      <c r="AK143">
        <v>0.81</v>
      </c>
      <c r="AL143">
        <v>0</v>
      </c>
      <c r="AS143" t="s">
        <v>399</v>
      </c>
      <c r="AY143" t="s">
        <v>324</v>
      </c>
      <c r="BO143" t="s">
        <v>108</v>
      </c>
    </row>
    <row r="144" spans="1:70" x14ac:dyDescent="0.25">
      <c r="A144" t="s">
        <v>168</v>
      </c>
      <c r="B144">
        <v>2</v>
      </c>
      <c r="C144" t="s">
        <v>430</v>
      </c>
      <c r="D144" t="s">
        <v>473</v>
      </c>
      <c r="E144" t="s">
        <v>474</v>
      </c>
      <c r="F144" t="s">
        <v>333</v>
      </c>
      <c r="G144" t="s">
        <v>472</v>
      </c>
      <c r="H144" t="s">
        <v>406</v>
      </c>
      <c r="I144" t="s">
        <v>335</v>
      </c>
      <c r="J144" t="s">
        <v>398</v>
      </c>
      <c r="K144">
        <v>143</v>
      </c>
      <c r="L144" t="s">
        <v>332</v>
      </c>
      <c r="M144">
        <v>2</v>
      </c>
      <c r="T144">
        <v>11.36</v>
      </c>
      <c r="AA144">
        <v>0</v>
      </c>
      <c r="AB144">
        <v>17594</v>
      </c>
      <c r="AC144">
        <v>281.70999999999998</v>
      </c>
      <c r="AI144">
        <v>0</v>
      </c>
      <c r="AJ144">
        <f t="shared" si="2"/>
        <v>1.9699999999999998</v>
      </c>
      <c r="AK144">
        <v>0.81</v>
      </c>
      <c r="AL144">
        <v>0</v>
      </c>
      <c r="AS144" t="s">
        <v>399</v>
      </c>
      <c r="AY144" t="s">
        <v>324</v>
      </c>
      <c r="BO144" t="s">
        <v>108</v>
      </c>
    </row>
    <row r="145" spans="1:67" x14ac:dyDescent="0.25">
      <c r="A145" t="s">
        <v>170</v>
      </c>
      <c r="B145">
        <v>4</v>
      </c>
      <c r="C145" t="s">
        <v>430</v>
      </c>
      <c r="D145" t="s">
        <v>475</v>
      </c>
      <c r="E145" t="s">
        <v>476</v>
      </c>
      <c r="F145" t="s">
        <v>333</v>
      </c>
      <c r="G145" t="s">
        <v>477</v>
      </c>
      <c r="H145" t="s">
        <v>406</v>
      </c>
      <c r="I145" t="s">
        <v>335</v>
      </c>
      <c r="J145" t="s">
        <v>398</v>
      </c>
      <c r="K145">
        <v>93</v>
      </c>
      <c r="L145" t="s">
        <v>332</v>
      </c>
      <c r="M145">
        <v>1</v>
      </c>
      <c r="T145">
        <v>5.0250000000000004</v>
      </c>
      <c r="AA145">
        <v>0</v>
      </c>
      <c r="AB145">
        <v>17594</v>
      </c>
      <c r="AC145">
        <v>171.12</v>
      </c>
      <c r="AI145">
        <v>0</v>
      </c>
      <c r="AJ145">
        <f t="shared" si="2"/>
        <v>1.84</v>
      </c>
      <c r="AK145">
        <v>0.71</v>
      </c>
      <c r="AL145">
        <v>0</v>
      </c>
      <c r="AS145" t="s">
        <v>399</v>
      </c>
      <c r="AY145" t="s">
        <v>324</v>
      </c>
      <c r="BO145" t="s">
        <v>108</v>
      </c>
    </row>
    <row r="146" spans="1:67" x14ac:dyDescent="0.25">
      <c r="A146" t="s">
        <v>170</v>
      </c>
      <c r="B146">
        <v>7</v>
      </c>
      <c r="C146" t="s">
        <v>430</v>
      </c>
      <c r="D146" t="s">
        <v>475</v>
      </c>
      <c r="E146" t="s">
        <v>476</v>
      </c>
      <c r="F146" t="s">
        <v>333</v>
      </c>
      <c r="G146" t="s">
        <v>477</v>
      </c>
      <c r="H146" t="s">
        <v>404</v>
      </c>
      <c r="I146" t="s">
        <v>335</v>
      </c>
      <c r="J146" t="s">
        <v>398</v>
      </c>
      <c r="K146">
        <v>9</v>
      </c>
      <c r="L146" t="s">
        <v>332</v>
      </c>
      <c r="M146">
        <v>0</v>
      </c>
      <c r="T146">
        <v>0</v>
      </c>
      <c r="AA146">
        <v>0</v>
      </c>
      <c r="AB146">
        <v>17594</v>
      </c>
      <c r="AC146">
        <v>16.559999999999999</v>
      </c>
      <c r="AI146">
        <v>0</v>
      </c>
      <c r="AJ146">
        <f t="shared" si="2"/>
        <v>1.8399999999999999</v>
      </c>
      <c r="AK146">
        <v>0.71</v>
      </c>
      <c r="AL146">
        <v>0</v>
      </c>
      <c r="AS146" t="s">
        <v>399</v>
      </c>
      <c r="AY146" t="s">
        <v>324</v>
      </c>
      <c r="BO146" t="s">
        <v>108</v>
      </c>
    </row>
    <row r="147" spans="1:67" x14ac:dyDescent="0.25">
      <c r="A147" t="s">
        <v>170</v>
      </c>
      <c r="B147">
        <v>5</v>
      </c>
      <c r="C147" t="s">
        <v>430</v>
      </c>
      <c r="D147" t="s">
        <v>475</v>
      </c>
      <c r="E147" t="s">
        <v>476</v>
      </c>
      <c r="F147" t="s">
        <v>333</v>
      </c>
      <c r="G147" t="s">
        <v>477</v>
      </c>
      <c r="H147" t="s">
        <v>397</v>
      </c>
      <c r="I147" t="s">
        <v>335</v>
      </c>
      <c r="J147" t="s">
        <v>398</v>
      </c>
      <c r="K147">
        <v>4</v>
      </c>
      <c r="L147" t="s">
        <v>332</v>
      </c>
      <c r="M147">
        <v>0</v>
      </c>
      <c r="T147">
        <v>0</v>
      </c>
      <c r="AA147">
        <v>0</v>
      </c>
      <c r="AB147">
        <v>17594</v>
      </c>
      <c r="AC147">
        <v>7.36</v>
      </c>
      <c r="AI147">
        <v>0</v>
      </c>
      <c r="AJ147">
        <f t="shared" si="2"/>
        <v>1.84</v>
      </c>
      <c r="AK147">
        <v>0.71</v>
      </c>
      <c r="AL147">
        <v>0</v>
      </c>
      <c r="AS147" t="s">
        <v>399</v>
      </c>
      <c r="AY147" t="s">
        <v>324</v>
      </c>
      <c r="BO147" t="s">
        <v>108</v>
      </c>
    </row>
    <row r="148" spans="1:67" x14ac:dyDescent="0.25">
      <c r="A148" t="s">
        <v>170</v>
      </c>
      <c r="B148">
        <v>6</v>
      </c>
      <c r="C148" t="s">
        <v>430</v>
      </c>
      <c r="D148" t="s">
        <v>475</v>
      </c>
      <c r="E148" t="s">
        <v>476</v>
      </c>
      <c r="F148" t="s">
        <v>333</v>
      </c>
      <c r="G148" t="s">
        <v>477</v>
      </c>
      <c r="H148" t="s">
        <v>400</v>
      </c>
      <c r="I148" t="s">
        <v>335</v>
      </c>
      <c r="J148" t="s">
        <v>398</v>
      </c>
      <c r="K148">
        <v>15</v>
      </c>
      <c r="L148" t="s">
        <v>332</v>
      </c>
      <c r="M148">
        <v>0</v>
      </c>
      <c r="T148">
        <v>0</v>
      </c>
      <c r="AA148">
        <v>0</v>
      </c>
      <c r="AB148">
        <v>17594</v>
      </c>
      <c r="AC148">
        <v>27.6</v>
      </c>
      <c r="AI148">
        <v>0</v>
      </c>
      <c r="AJ148">
        <f t="shared" si="2"/>
        <v>1.84</v>
      </c>
      <c r="AK148">
        <v>0.71</v>
      </c>
      <c r="AL148">
        <v>0</v>
      </c>
      <c r="AS148" t="s">
        <v>399</v>
      </c>
      <c r="AY148" t="s">
        <v>324</v>
      </c>
      <c r="BO148" t="s">
        <v>108</v>
      </c>
    </row>
    <row r="149" spans="1:67" x14ac:dyDescent="0.25">
      <c r="A149" t="s">
        <v>170</v>
      </c>
      <c r="B149">
        <v>8</v>
      </c>
      <c r="C149" t="s">
        <v>430</v>
      </c>
      <c r="D149" t="s">
        <v>475</v>
      </c>
      <c r="E149" t="s">
        <v>476</v>
      </c>
      <c r="F149" t="s">
        <v>333</v>
      </c>
      <c r="G149" t="s">
        <v>477</v>
      </c>
      <c r="H149" t="s">
        <v>409</v>
      </c>
      <c r="I149" t="s">
        <v>335</v>
      </c>
      <c r="J149" t="s">
        <v>398</v>
      </c>
      <c r="K149">
        <v>25</v>
      </c>
      <c r="L149" t="s">
        <v>332</v>
      </c>
      <c r="M149">
        <v>0</v>
      </c>
      <c r="T149">
        <v>0</v>
      </c>
      <c r="AA149">
        <v>0</v>
      </c>
      <c r="AB149">
        <v>17594</v>
      </c>
      <c r="AC149">
        <v>46</v>
      </c>
      <c r="AI149">
        <v>0</v>
      </c>
      <c r="AJ149">
        <f t="shared" si="2"/>
        <v>1.84</v>
      </c>
      <c r="AK149">
        <v>0.71</v>
      </c>
      <c r="AL149">
        <v>0</v>
      </c>
      <c r="AS149" t="s">
        <v>399</v>
      </c>
      <c r="AY149" t="s">
        <v>324</v>
      </c>
      <c r="BO149" t="s">
        <v>108</v>
      </c>
    </row>
    <row r="150" spans="1:67" x14ac:dyDescent="0.25">
      <c r="A150" t="s">
        <v>170</v>
      </c>
      <c r="B150">
        <v>9</v>
      </c>
      <c r="C150" t="s">
        <v>430</v>
      </c>
      <c r="D150" t="s">
        <v>475</v>
      </c>
      <c r="E150" t="s">
        <v>476</v>
      </c>
      <c r="F150" t="s">
        <v>333</v>
      </c>
      <c r="G150" t="s">
        <v>477</v>
      </c>
      <c r="H150" t="s">
        <v>403</v>
      </c>
      <c r="I150" t="s">
        <v>335</v>
      </c>
      <c r="J150" t="s">
        <v>398</v>
      </c>
      <c r="K150">
        <v>11</v>
      </c>
      <c r="L150" t="s">
        <v>332</v>
      </c>
      <c r="M150">
        <v>0</v>
      </c>
      <c r="T150">
        <v>0</v>
      </c>
      <c r="AA150">
        <v>0</v>
      </c>
      <c r="AB150">
        <v>17594</v>
      </c>
      <c r="AC150">
        <v>20.239999999999998</v>
      </c>
      <c r="AI150">
        <v>0</v>
      </c>
      <c r="AJ150">
        <f t="shared" si="2"/>
        <v>1.8399999999999999</v>
      </c>
      <c r="AK150">
        <v>0.71</v>
      </c>
      <c r="AL150">
        <v>0</v>
      </c>
      <c r="AS150" t="s">
        <v>399</v>
      </c>
      <c r="AY150" t="s">
        <v>324</v>
      </c>
      <c r="BO150" t="s">
        <v>108</v>
      </c>
    </row>
    <row r="151" spans="1:67" x14ac:dyDescent="0.25">
      <c r="A151" t="s">
        <v>170</v>
      </c>
      <c r="B151">
        <v>3</v>
      </c>
      <c r="C151" t="s">
        <v>430</v>
      </c>
      <c r="D151" t="s">
        <v>475</v>
      </c>
      <c r="E151" t="s">
        <v>476</v>
      </c>
      <c r="F151" t="s">
        <v>333</v>
      </c>
      <c r="G151" t="s">
        <v>477</v>
      </c>
      <c r="H151" t="s">
        <v>402</v>
      </c>
      <c r="I151" t="s">
        <v>335</v>
      </c>
      <c r="J151" t="s">
        <v>398</v>
      </c>
      <c r="K151">
        <v>60</v>
      </c>
      <c r="L151" t="s">
        <v>332</v>
      </c>
      <c r="M151">
        <v>1</v>
      </c>
      <c r="T151">
        <v>11.54</v>
      </c>
      <c r="AA151">
        <v>0</v>
      </c>
      <c r="AB151">
        <v>17594</v>
      </c>
      <c r="AC151">
        <v>110.4</v>
      </c>
      <c r="AI151">
        <v>0</v>
      </c>
      <c r="AJ151">
        <f t="shared" si="2"/>
        <v>1.84</v>
      </c>
      <c r="AK151">
        <v>0.71</v>
      </c>
      <c r="AL151">
        <v>0</v>
      </c>
      <c r="AS151" t="s">
        <v>399</v>
      </c>
      <c r="AY151" t="s">
        <v>324</v>
      </c>
      <c r="BO151" t="s">
        <v>108</v>
      </c>
    </row>
    <row r="152" spans="1:67" x14ac:dyDescent="0.25">
      <c r="A152" t="s">
        <v>170</v>
      </c>
      <c r="B152">
        <v>1</v>
      </c>
      <c r="C152" t="s">
        <v>430</v>
      </c>
      <c r="D152" t="s">
        <v>475</v>
      </c>
      <c r="E152" t="s">
        <v>476</v>
      </c>
      <c r="F152" t="s">
        <v>333</v>
      </c>
      <c r="G152" t="s">
        <v>477</v>
      </c>
      <c r="H152" t="s">
        <v>407</v>
      </c>
      <c r="I152" t="s">
        <v>335</v>
      </c>
      <c r="J152" t="s">
        <v>398</v>
      </c>
      <c r="K152">
        <v>182</v>
      </c>
      <c r="L152" t="s">
        <v>332</v>
      </c>
      <c r="M152">
        <v>2</v>
      </c>
      <c r="T152">
        <v>11.18</v>
      </c>
      <c r="AA152">
        <v>0</v>
      </c>
      <c r="AB152">
        <v>17594</v>
      </c>
      <c r="AC152">
        <v>334.88</v>
      </c>
      <c r="AI152">
        <v>0</v>
      </c>
      <c r="AJ152">
        <f t="shared" si="2"/>
        <v>1.84</v>
      </c>
      <c r="AK152">
        <v>0.71</v>
      </c>
      <c r="AL152">
        <v>0</v>
      </c>
      <c r="AS152" t="s">
        <v>399</v>
      </c>
      <c r="AY152" t="s">
        <v>324</v>
      </c>
      <c r="BO152" t="s">
        <v>108</v>
      </c>
    </row>
    <row r="153" spans="1:67" x14ac:dyDescent="0.25">
      <c r="A153" t="s">
        <v>170</v>
      </c>
      <c r="B153">
        <v>2</v>
      </c>
      <c r="C153" t="s">
        <v>430</v>
      </c>
      <c r="D153" t="s">
        <v>475</v>
      </c>
      <c r="E153" t="s">
        <v>476</v>
      </c>
      <c r="F153" t="s">
        <v>333</v>
      </c>
      <c r="G153" t="s">
        <v>477</v>
      </c>
      <c r="H153" t="s">
        <v>408</v>
      </c>
      <c r="I153" t="s">
        <v>335</v>
      </c>
      <c r="J153" t="s">
        <v>398</v>
      </c>
      <c r="K153">
        <v>127</v>
      </c>
      <c r="L153" t="s">
        <v>332</v>
      </c>
      <c r="M153">
        <v>2</v>
      </c>
      <c r="T153">
        <v>8.89</v>
      </c>
      <c r="AA153">
        <v>0</v>
      </c>
      <c r="AB153">
        <v>17594</v>
      </c>
      <c r="AC153">
        <v>233.68</v>
      </c>
      <c r="AI153">
        <v>0</v>
      </c>
      <c r="AJ153">
        <f t="shared" si="2"/>
        <v>1.84</v>
      </c>
      <c r="AK153">
        <v>0.71</v>
      </c>
      <c r="AL153">
        <v>0</v>
      </c>
      <c r="AS153" t="s">
        <v>399</v>
      </c>
      <c r="AY153" t="s">
        <v>324</v>
      </c>
      <c r="BO153" t="s">
        <v>108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340</v>
      </c>
      <c r="C1" s="1" t="s">
        <v>478</v>
      </c>
      <c r="D1" s="1" t="s">
        <v>479</v>
      </c>
      <c r="E1" s="1" t="s">
        <v>480</v>
      </c>
      <c r="F1" s="1" t="s">
        <v>246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347</v>
      </c>
      <c r="L1" s="1" t="s">
        <v>348</v>
      </c>
      <c r="M1" s="1" t="s">
        <v>485</v>
      </c>
      <c r="N1" s="1" t="s">
        <v>486</v>
      </c>
      <c r="O1" s="1" t="s">
        <v>487</v>
      </c>
      <c r="P1" s="1" t="s">
        <v>384</v>
      </c>
      <c r="Q1" s="1" t="s">
        <v>488</v>
      </c>
      <c r="R1" s="1" t="s">
        <v>328</v>
      </c>
      <c r="S1" s="1" t="s">
        <v>329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340</v>
      </c>
      <c r="C1" s="1" t="s">
        <v>489</v>
      </c>
      <c r="D1" s="1" t="s">
        <v>378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340</v>
      </c>
      <c r="C1" s="1" t="s">
        <v>490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340</v>
      </c>
      <c r="C1" s="1" t="s">
        <v>491</v>
      </c>
      <c r="D1" s="1" t="s">
        <v>343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340</v>
      </c>
      <c r="C1" s="1" t="s">
        <v>492</v>
      </c>
      <c r="D1" s="1" t="s">
        <v>61</v>
      </c>
      <c r="E1" s="1" t="s">
        <v>66</v>
      </c>
      <c r="F1" s="1" t="s">
        <v>67</v>
      </c>
      <c r="G1" s="1" t="s">
        <v>493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340</v>
      </c>
      <c r="C1" s="1" t="s">
        <v>494</v>
      </c>
      <c r="D1" s="1" t="s">
        <v>495</v>
      </c>
      <c r="E1" s="1" t="s">
        <v>341</v>
      </c>
      <c r="F1" s="1" t="s">
        <v>342</v>
      </c>
      <c r="G1" s="1" t="s">
        <v>343</v>
      </c>
      <c r="H1" s="1" t="s">
        <v>330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328</v>
      </c>
      <c r="O1" s="1" t="s">
        <v>329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358</v>
      </c>
      <c r="AA1" s="1" t="s">
        <v>71</v>
      </c>
      <c r="AB1" s="1" t="s">
        <v>361</v>
      </c>
      <c r="AC1" s="1" t="s">
        <v>362</v>
      </c>
      <c r="AD1" s="1" t="s">
        <v>74</v>
      </c>
      <c r="AE1" s="1" t="s">
        <v>378</v>
      </c>
      <c r="AF1" s="1" t="s">
        <v>496</v>
      </c>
      <c r="AG1" s="1" t="s">
        <v>381</v>
      </c>
      <c r="AH1" s="1" t="s">
        <v>382</v>
      </c>
      <c r="AI1" s="1" t="s">
        <v>383</v>
      </c>
      <c r="AJ1" s="1" t="s">
        <v>384</v>
      </c>
      <c r="AK1" s="1" t="s">
        <v>385</v>
      </c>
      <c r="AL1" s="1" t="s">
        <v>386</v>
      </c>
      <c r="AM1" s="1" t="s">
        <v>387</v>
      </c>
      <c r="AN1" s="1" t="s">
        <v>388</v>
      </c>
      <c r="AO1" s="1" t="s">
        <v>389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340</v>
      </c>
      <c r="C1" s="1" t="s">
        <v>494</v>
      </c>
      <c r="D1" s="1" t="s">
        <v>495</v>
      </c>
      <c r="E1" s="1" t="s">
        <v>478</v>
      </c>
      <c r="F1" s="1" t="s">
        <v>479</v>
      </c>
      <c r="G1" s="1" t="s">
        <v>480</v>
      </c>
      <c r="H1" s="1" t="s">
        <v>246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347</v>
      </c>
      <c r="N1" s="1" t="s">
        <v>348</v>
      </c>
      <c r="O1" s="1" t="s">
        <v>485</v>
      </c>
      <c r="P1" s="1" t="s">
        <v>486</v>
      </c>
      <c r="Q1" s="1" t="s">
        <v>487</v>
      </c>
      <c r="R1" s="1" t="s">
        <v>384</v>
      </c>
      <c r="S1" s="1" t="s">
        <v>488</v>
      </c>
      <c r="T1" s="1" t="s">
        <v>328</v>
      </c>
      <c r="U1" s="1" t="s">
        <v>487</v>
      </c>
      <c r="V1" s="1" t="s">
        <v>384</v>
      </c>
      <c r="W1" s="1" t="s">
        <v>488</v>
      </c>
      <c r="X1" s="1" t="s">
        <v>328</v>
      </c>
      <c r="Y1" s="1" t="s">
        <v>329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340</v>
      </c>
      <c r="C1" s="1" t="s">
        <v>494</v>
      </c>
      <c r="D1" s="1" t="s">
        <v>497</v>
      </c>
      <c r="E1" s="1" t="s">
        <v>489</v>
      </c>
      <c r="F1" s="1" t="s">
        <v>378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8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176</v>
      </c>
      <c r="C1" s="1" t="s">
        <v>491</v>
      </c>
      <c r="D1" s="1" t="s">
        <v>506</v>
      </c>
    </row>
    <row r="2" spans="1:4" x14ac:dyDescent="0.25">
      <c r="A2" t="s">
        <v>104</v>
      </c>
      <c r="B2">
        <v>1</v>
      </c>
      <c r="C2" t="s">
        <v>131</v>
      </c>
      <c r="D2" t="s">
        <v>507</v>
      </c>
    </row>
    <row r="3" spans="1:4" x14ac:dyDescent="0.25">
      <c r="A3" t="s">
        <v>127</v>
      </c>
      <c r="B3">
        <v>1</v>
      </c>
      <c r="C3" t="s">
        <v>131</v>
      </c>
      <c r="D3" t="s">
        <v>507</v>
      </c>
    </row>
    <row r="4" spans="1:4" x14ac:dyDescent="0.25">
      <c r="A4" t="s">
        <v>129</v>
      </c>
      <c r="B4">
        <v>1</v>
      </c>
      <c r="C4" t="s">
        <v>131</v>
      </c>
      <c r="D4" t="s">
        <v>507</v>
      </c>
    </row>
    <row r="5" spans="1:4" x14ac:dyDescent="0.25">
      <c r="A5" t="s">
        <v>135</v>
      </c>
      <c r="B5">
        <v>1</v>
      </c>
      <c r="C5" t="s">
        <v>131</v>
      </c>
      <c r="D5" t="s">
        <v>507</v>
      </c>
    </row>
    <row r="6" spans="1:4" x14ac:dyDescent="0.25">
      <c r="A6" t="s">
        <v>140</v>
      </c>
      <c r="B6">
        <v>1</v>
      </c>
      <c r="C6" t="s">
        <v>131</v>
      </c>
      <c r="D6" t="s">
        <v>507</v>
      </c>
    </row>
    <row r="7" spans="1:4" x14ac:dyDescent="0.25">
      <c r="A7" t="s">
        <v>142</v>
      </c>
      <c r="B7">
        <v>1</v>
      </c>
      <c r="C7" t="s">
        <v>131</v>
      </c>
      <c r="D7" t="s">
        <v>507</v>
      </c>
    </row>
    <row r="8" spans="1:4" x14ac:dyDescent="0.25">
      <c r="A8" t="s">
        <v>144</v>
      </c>
      <c r="B8">
        <v>1</v>
      </c>
      <c r="C8" t="s">
        <v>131</v>
      </c>
      <c r="D8" t="s">
        <v>507</v>
      </c>
    </row>
    <row r="9" spans="1:4" x14ac:dyDescent="0.25">
      <c r="A9" t="s">
        <v>147</v>
      </c>
      <c r="B9">
        <v>1</v>
      </c>
      <c r="C9" t="s">
        <v>131</v>
      </c>
      <c r="D9" t="s">
        <v>507</v>
      </c>
    </row>
    <row r="10" spans="1:4" x14ac:dyDescent="0.25">
      <c r="A10" t="s">
        <v>150</v>
      </c>
      <c r="B10">
        <v>1</v>
      </c>
      <c r="C10" t="s">
        <v>131</v>
      </c>
      <c r="D10" t="s">
        <v>507</v>
      </c>
    </row>
    <row r="11" spans="1:4" x14ac:dyDescent="0.25">
      <c r="A11" t="s">
        <v>154</v>
      </c>
      <c r="B11">
        <v>1</v>
      </c>
      <c r="C11" t="s">
        <v>131</v>
      </c>
      <c r="D11" t="s">
        <v>507</v>
      </c>
    </row>
    <row r="12" spans="1:4" x14ac:dyDescent="0.25">
      <c r="A12" t="s">
        <v>156</v>
      </c>
      <c r="B12">
        <v>1</v>
      </c>
      <c r="C12" t="s">
        <v>131</v>
      </c>
      <c r="D12" t="s">
        <v>507</v>
      </c>
    </row>
    <row r="13" spans="1:4" x14ac:dyDescent="0.25">
      <c r="A13" t="s">
        <v>158</v>
      </c>
      <c r="B13">
        <v>1</v>
      </c>
      <c r="C13" t="s">
        <v>131</v>
      </c>
      <c r="D13" t="s">
        <v>507</v>
      </c>
    </row>
    <row r="14" spans="1:4" x14ac:dyDescent="0.25">
      <c r="A14" t="s">
        <v>160</v>
      </c>
      <c r="B14">
        <v>1</v>
      </c>
      <c r="C14" t="s">
        <v>131</v>
      </c>
      <c r="D14" t="s">
        <v>507</v>
      </c>
    </row>
    <row r="15" spans="1:4" x14ac:dyDescent="0.25">
      <c r="A15" t="s">
        <v>162</v>
      </c>
      <c r="B15">
        <v>1</v>
      </c>
      <c r="C15" t="s">
        <v>131</v>
      </c>
      <c r="D15" t="s">
        <v>508</v>
      </c>
    </row>
    <row r="16" spans="1:4" x14ac:dyDescent="0.25">
      <c r="A16" t="s">
        <v>166</v>
      </c>
      <c r="B16">
        <v>1</v>
      </c>
      <c r="C16" t="s">
        <v>131</v>
      </c>
      <c r="D16" t="s">
        <v>507</v>
      </c>
    </row>
    <row r="17" spans="1:4" x14ac:dyDescent="0.25">
      <c r="A17" t="s">
        <v>168</v>
      </c>
      <c r="B17">
        <v>1</v>
      </c>
      <c r="C17" t="s">
        <v>131</v>
      </c>
      <c r="D17" t="s">
        <v>507</v>
      </c>
    </row>
    <row r="18" spans="1:4" x14ac:dyDescent="0.25">
      <c r="A18" t="s">
        <v>170</v>
      </c>
      <c r="B18">
        <v>1</v>
      </c>
      <c r="C18" t="s">
        <v>131</v>
      </c>
      <c r="D18" t="s">
        <v>507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526</v>
      </c>
    </row>
    <row r="2" spans="1:1" x14ac:dyDescent="0.25">
      <c r="A2" t="s">
        <v>527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528</v>
      </c>
      <c r="C1" t="s">
        <v>529</v>
      </c>
      <c r="D1" t="s">
        <v>530</v>
      </c>
    </row>
    <row r="2" spans="1:4" x14ac:dyDescent="0.25">
      <c r="A2" t="s">
        <v>104</v>
      </c>
      <c r="B2" t="s">
        <v>531</v>
      </c>
      <c r="C2" t="s">
        <v>532</v>
      </c>
      <c r="D2" t="s">
        <v>117</v>
      </c>
    </row>
    <row r="3" spans="1:4" x14ac:dyDescent="0.25">
      <c r="A3" t="s">
        <v>135</v>
      </c>
      <c r="B3" t="s">
        <v>531</v>
      </c>
      <c r="C3" t="s">
        <v>533</v>
      </c>
      <c r="D3" t="s">
        <v>117</v>
      </c>
    </row>
    <row r="4" spans="1:4" x14ac:dyDescent="0.25">
      <c r="A4" t="s">
        <v>156</v>
      </c>
      <c r="B4" t="s">
        <v>531</v>
      </c>
      <c r="C4" t="s">
        <v>534</v>
      </c>
      <c r="D4" t="s">
        <v>117</v>
      </c>
    </row>
    <row r="5" spans="1:4" x14ac:dyDescent="0.25">
      <c r="A5" t="s">
        <v>147</v>
      </c>
      <c r="B5" t="s">
        <v>531</v>
      </c>
      <c r="C5" t="s">
        <v>535</v>
      </c>
      <c r="D5" t="s">
        <v>117</v>
      </c>
    </row>
    <row r="6" spans="1:4" x14ac:dyDescent="0.25">
      <c r="A6" t="s">
        <v>129</v>
      </c>
      <c r="B6" t="s">
        <v>531</v>
      </c>
      <c r="C6" t="s">
        <v>536</v>
      </c>
      <c r="D6" t="s">
        <v>117</v>
      </c>
    </row>
    <row r="7" spans="1:4" x14ac:dyDescent="0.25">
      <c r="A7" t="s">
        <v>127</v>
      </c>
      <c r="B7" t="s">
        <v>531</v>
      </c>
      <c r="C7" t="s">
        <v>537</v>
      </c>
      <c r="D7" t="s">
        <v>117</v>
      </c>
    </row>
    <row r="8" spans="1:4" x14ac:dyDescent="0.25">
      <c r="A8" t="s">
        <v>166</v>
      </c>
      <c r="B8" t="s">
        <v>531</v>
      </c>
      <c r="C8" t="s">
        <v>538</v>
      </c>
      <c r="D8" t="s">
        <v>117</v>
      </c>
    </row>
    <row r="9" spans="1:4" x14ac:dyDescent="0.25">
      <c r="A9" t="s">
        <v>140</v>
      </c>
      <c r="B9" t="s">
        <v>531</v>
      </c>
      <c r="C9" t="s">
        <v>539</v>
      </c>
      <c r="D9" t="s">
        <v>117</v>
      </c>
    </row>
    <row r="10" spans="1:4" x14ac:dyDescent="0.25">
      <c r="A10" t="s">
        <v>158</v>
      </c>
      <c r="B10" t="s">
        <v>531</v>
      </c>
      <c r="C10" t="s">
        <v>540</v>
      </c>
      <c r="D10" t="s">
        <v>117</v>
      </c>
    </row>
    <row r="11" spans="1:4" x14ac:dyDescent="0.25">
      <c r="A11" t="s">
        <v>162</v>
      </c>
      <c r="B11" t="s">
        <v>531</v>
      </c>
      <c r="C11" t="s">
        <v>541</v>
      </c>
      <c r="D11" t="s">
        <v>117</v>
      </c>
    </row>
    <row r="12" spans="1:4" x14ac:dyDescent="0.25">
      <c r="A12" t="s">
        <v>160</v>
      </c>
      <c r="B12" t="s">
        <v>531</v>
      </c>
      <c r="C12" t="s">
        <v>542</v>
      </c>
      <c r="D12" t="s">
        <v>117</v>
      </c>
    </row>
    <row r="13" spans="1:4" x14ac:dyDescent="0.25">
      <c r="A13" t="s">
        <v>150</v>
      </c>
      <c r="B13" t="s">
        <v>531</v>
      </c>
      <c r="C13" t="s">
        <v>543</v>
      </c>
      <c r="D13" t="s">
        <v>117</v>
      </c>
    </row>
    <row r="14" spans="1:4" x14ac:dyDescent="0.25">
      <c r="A14" t="s">
        <v>154</v>
      </c>
      <c r="B14" t="s">
        <v>531</v>
      </c>
      <c r="C14" t="s">
        <v>544</v>
      </c>
      <c r="D14" t="s">
        <v>117</v>
      </c>
    </row>
    <row r="15" spans="1:4" x14ac:dyDescent="0.25">
      <c r="A15" t="s">
        <v>142</v>
      </c>
      <c r="B15" t="s">
        <v>531</v>
      </c>
      <c r="C15" t="s">
        <v>545</v>
      </c>
      <c r="D15" t="s">
        <v>117</v>
      </c>
    </row>
    <row r="16" spans="1:4" x14ac:dyDescent="0.25">
      <c r="A16" t="s">
        <v>144</v>
      </c>
      <c r="B16" t="s">
        <v>531</v>
      </c>
      <c r="C16" t="s">
        <v>546</v>
      </c>
      <c r="D16" t="s">
        <v>117</v>
      </c>
    </row>
    <row r="17" spans="1:4" x14ac:dyDescent="0.25">
      <c r="A17" t="s">
        <v>170</v>
      </c>
      <c r="B17" t="s">
        <v>531</v>
      </c>
      <c r="C17" t="s">
        <v>547</v>
      </c>
      <c r="D17" t="s">
        <v>117</v>
      </c>
    </row>
    <row r="18" spans="1:4" x14ac:dyDescent="0.25">
      <c r="A18" t="s">
        <v>168</v>
      </c>
      <c r="B18" t="s">
        <v>531</v>
      </c>
      <c r="C18" t="s">
        <v>548</v>
      </c>
      <c r="D18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17-09-2026.xlsx</dc:creator>
  <cp:lastModifiedBy>ADMEXIM3</cp:lastModifiedBy>
  <dcterms:created xsi:type="dcterms:W3CDTF">2026-09-18T03:47:48Z</dcterms:created>
  <dcterms:modified xsi:type="dcterms:W3CDTF">2026-09-18T03:56:29Z</dcterms:modified>
</cp:coreProperties>
</file>